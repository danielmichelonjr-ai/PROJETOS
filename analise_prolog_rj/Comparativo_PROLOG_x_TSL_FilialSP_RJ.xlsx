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Comparativo Tabelas" sheetId="2" state="visible" r:id="rId4"/>
    <sheet name="Top 20 Cidades" sheetId="3" state="visible" r:id="rId5"/>
    <sheet name="Faixa x Região" sheetId="4" state="visible" r:id="rId6"/>
    <sheet name="Proposta Tabela PROLOG" sheetId="5" state="visible" r:id="rId7"/>
    <sheet name="Frete Peso Top 20" sheetId="6" state="visible" r:id="rId8"/>
    <sheet name="Pedidos" sheetId="7" state="visible" r:id="rId9"/>
  </sheets>
  <definedNames>
    <definedName function="false" hidden="true" localSheetId="6" name="_xlnm._FilterDatabase" vbProcedure="false">Pedidos!$A$1:$AJ$2224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<sst xmlns="http://schemas.openxmlformats.org/spreadsheetml/2006/main" count="16501" uniqueCount="2301">
  <si>
    <t xml:space="preserve">PROLOG FILIAL SP x TSL FILIAL SP — pedidos RJ com origem de cotação FILIAL SP (jul–set/2026)</t>
  </si>
  <si>
    <t xml:space="preserve">PREMISSAS (células em azul podem ser alteradas)</t>
  </si>
  <si>
    <t xml:space="preserve">Parâmetro</t>
  </si>
  <si>
    <t xml:space="preserve">PROLOG</t>
  </si>
  <si>
    <t xml:space="preserve">TSL</t>
  </si>
  <si>
    <t xml:space="preserve">Fonte / observação</t>
  </si>
  <si>
    <t xml:space="preserve">ICMS por fora (gross-up: total = subtotal / (1 − alíquota))</t>
  </si>
  <si>
    <t xml:space="preserve">Confirmado pelo usuário: 12% por fora. Ambas as tabelas marcadas "ICMS incluso = N".</t>
  </si>
  <si>
    <t xml:space="preserve">Ad valorem / frete valor (% NF)</t>
  </si>
  <si>
    <t xml:space="preserve">Tabelas Intelipost</t>
  </si>
  <si>
    <t xml:space="preserve">GRIS (% NF)</t>
  </si>
  <si>
    <t xml:space="preserve">Seguro (% NF)</t>
  </si>
  <si>
    <t xml:space="preserve">Tabela TSL</t>
  </si>
  <si>
    <t xml:space="preserve">TAS / entrega fixo (R$ por pedido)</t>
  </si>
  <si>
    <t xml:space="preserve">PROLOG: TAS R$ 1,00 | TSL: entrega fixo R$ 11,90</t>
  </si>
  <si>
    <t xml:space="preserve">Pedágio (R$ por fração de 100 kg)</t>
  </si>
  <si>
    <t xml:space="preserve">TRT (% sobre o subtotal)</t>
  </si>
  <si>
    <t xml:space="preserve">TSL 5,5%. Base validada: subtotal (frete peso + taxas) — reproduz 100% das cotações reais TSL Filial SP ao centavo</t>
  </si>
  <si>
    <t xml:space="preserve">CTe (R$ por kg)</t>
  </si>
  <si>
    <t xml:space="preserve">Tabela PROLOG (faixa de 1 kg)</t>
  </si>
  <si>
    <t xml:space="preserve">Taxa interna (R$ por kg) — levar produto até a filial SP</t>
  </si>
  <si>
    <t xml:space="preserve">Confirmado pelo usuário: taxa interna obrigatória, lançada na tabela PROLOG como "outra taxa". NÃO consta na tabela TSL.</t>
  </si>
  <si>
    <t xml:space="preserve">Cubagem (kg/m³)</t>
  </si>
  <si>
    <t xml:space="preserve">Sem dimensões na base: simulado por peso real (as cotações TSL reais batem com peso real)</t>
  </si>
  <si>
    <t xml:space="preserve">VISÃO GERAL — mesmos 2.223 pedidos cotados pelas duas tabelas</t>
  </si>
  <si>
    <t xml:space="preserve">Indicador</t>
  </si>
  <si>
    <t xml:space="preserve">TSL FILIAL SP</t>
  </si>
  <si>
    <t xml:space="preserve">PROLOG FILIAL SP</t>
  </si>
  <si>
    <t xml:space="preserve">Diferença</t>
  </si>
  <si>
    <t xml:space="preserve">Pedidos</t>
  </si>
  <si>
    <t xml:space="preserve">Custo total de frete</t>
  </si>
  <si>
    <t xml:space="preserve">Custo médio por pedido</t>
  </si>
  <si>
    <t xml:space="preserve">Frete / NF</t>
  </si>
  <si>
    <t xml:space="preserve">% pedidos em que a PROLOG ganharia a cotação</t>
  </si>
  <si>
    <t xml:space="preserve">PROLOG sem a taxa interna — custo médio</t>
  </si>
  <si>
    <t xml:space="preserve">Prazo médio (dias úteis)</t>
  </si>
  <si>
    <t xml:space="preserve">Conferência: custo real cotado (todas transportadoras)</t>
  </si>
  <si>
    <t xml:space="preserve">A tabela TSL simulada reproduz as cotações reais da TSL Filial SP (1.592 pedidos) com diferença máxima de R$ 0,01 — o motor de cálculo está validado.</t>
  </si>
  <si>
    <t xml:space="preserve">DE ONDE VEM A DIFERENÇA — média por pedido (R$)</t>
  </si>
  <si>
    <t xml:space="preserve">Componente</t>
  </si>
  <si>
    <t xml:space="preserve">PROLOG − TSL</t>
  </si>
  <si>
    <t xml:space="preserve">% da diferença</t>
  </si>
  <si>
    <t xml:space="preserve">Frete peso</t>
  </si>
  <si>
    <t xml:space="preserve">Ad valorem</t>
  </si>
  <si>
    <t xml:space="preserve">GRIS</t>
  </si>
  <si>
    <t xml:space="preserve">Seguro</t>
  </si>
  <si>
    <t xml:space="preserve">TAS / Entrega fixo</t>
  </si>
  <si>
    <t xml:space="preserve">Pedágio</t>
  </si>
  <si>
    <t xml:space="preserve">TRT 5,5%</t>
  </si>
  <si>
    <t xml:space="preserve">CTe por kg</t>
  </si>
  <si>
    <t xml:space="preserve">Taxa interna R$ 0,45/kg</t>
  </si>
  <si>
    <t xml:space="preserve">ICMS 12% por fora</t>
  </si>
  <si>
    <t xml:space="preserve">TOTAL</t>
  </si>
  <si>
    <t xml:space="preserve">Estrutura das tabelas — principais diferenças</t>
  </si>
  <si>
    <t xml:space="preserve">Item</t>
  </si>
  <si>
    <t xml:space="preserve">Quem leva vantagem</t>
  </si>
  <si>
    <t xml:space="preserve">Comentário / oportunidade</t>
  </si>
  <si>
    <t xml:space="preserve">Regionalização do RJ</t>
  </si>
  <si>
    <t xml:space="preserve">93 faixas de CEP, 9 níveis de preço</t>
  </si>
  <si>
    <t xml:space="preserve">93 faixas de CEP, só 3 níveis: Capital, Metropolitana (10 faixas), Interior (82)</t>
  </si>
  <si>
    <t xml:space="preserve">—</t>
  </si>
  <si>
    <t xml:space="preserve">A TSL tem preço único por região; a PROLOG pode ser agressiva onde tem operação própria</t>
  </si>
  <si>
    <t xml:space="preserve">Frete peso — Capital (20 a 35 kg)</t>
  </si>
  <si>
    <t xml:space="preserve">R$ 82,21</t>
  </si>
  <si>
    <t xml:space="preserve">R$ 54,10</t>
  </si>
  <si>
    <t xml:space="preserve">A PROLOG está 52% acima na base; é o maior gap de valor (46% dos pedidos)</t>
  </si>
  <si>
    <t xml:space="preserve">Frete peso — Capital (40 a 50 kg)</t>
  </si>
  <si>
    <t xml:space="preserve">R$ 93,97</t>
  </si>
  <si>
    <t xml:space="preserve">R$ 71,00</t>
  </si>
  <si>
    <t xml:space="preserve">+32%</t>
  </si>
  <si>
    <t xml:space="preserve">Frete peso — Capital (50 a 60 kg)</t>
  </si>
  <si>
    <t xml:space="preserve">R$ 112,30</t>
  </si>
  <si>
    <t xml:space="preserve">R$ 79,81</t>
  </si>
  <si>
    <t xml:space="preserve">+41%</t>
  </si>
  <si>
    <t xml:space="preserve">Taxa fixa por pedido</t>
  </si>
  <si>
    <t xml:space="preserve">TAS R$ 1,00</t>
  </si>
  <si>
    <t xml:space="preserve">Entrega R$ 11,90</t>
  </si>
  <si>
    <t xml:space="preserve">R$ 10,90 a menos por pedido — vantagem forte em pedidos leves</t>
  </si>
  <si>
    <t xml:space="preserve">TRT</t>
  </si>
  <si>
    <t xml:space="preserve">não cobra</t>
  </si>
  <si>
    <t xml:space="preserve">5,5% sobre o subtotal</t>
  </si>
  <si>
    <t xml:space="preserve">≈ R$ 5,57 por pedido a favor da PROLOG</t>
  </si>
  <si>
    <t xml:space="preserve">Ad valorem / Seguro</t>
  </si>
  <si>
    <t xml:space="preserve">0,1% NF</t>
  </si>
  <si>
    <t xml:space="preserve">0,2% NF</t>
  </si>
  <si>
    <t xml:space="preserve">Pequeno (≈ R$ 0,64 a favor)</t>
  </si>
  <si>
    <t xml:space="preserve">Empate</t>
  </si>
  <si>
    <t xml:space="preserve">R$ 4,50 / 100 kg</t>
  </si>
  <si>
    <t xml:space="preserve">R$ 1,00 / 100 kg</t>
  </si>
  <si>
    <t xml:space="preserve">R$ 3,50 a mais por pedido — fácil de negociar para R$ 1,00</t>
  </si>
  <si>
    <t xml:space="preserve">CTe</t>
  </si>
  <si>
    <t xml:space="preserve">R$ 0,06 por kg</t>
  </si>
  <si>
    <t xml:space="preserve">≈ R$ 3,00 por pedido; pedir para transformar em fixo ou zerar</t>
  </si>
  <si>
    <t xml:space="preserve">Taxa interna (filial SP)</t>
  </si>
  <si>
    <t xml:space="preserve">R$ 0,45 por kg (na tabela)</t>
  </si>
  <si>
    <t xml:space="preserve">não consta</t>
  </si>
  <si>
    <t xml:space="preserve">≈ R$ 22,60 + ICMS = R$ 25,70 por pedido de penalidade. Se é um custo da operação da filial SP, deveria estar em TODAS as tabelas que saem da filial (inclusive TSL), senão a PROLOG concorre em desvantagem na Intelipost</t>
  </si>
  <si>
    <t xml:space="preserve">Cubagem</t>
  </si>
  <si>
    <t xml:space="preserve">não aplica (0)</t>
  </si>
  <si>
    <t xml:space="preserve">300 kg/m³</t>
  </si>
  <si>
    <t xml:space="preserve">Vantagem para produtos volumosos (não medida: base sem dimensões)</t>
  </si>
  <si>
    <t xml:space="preserve">Excedente acima de 250 kg</t>
  </si>
  <si>
    <t xml:space="preserve">R$ 7,71 a 12,05 / kg</t>
  </si>
  <si>
    <t xml:space="preserve">R$ 0,91 a 1,28 / kg</t>
  </si>
  <si>
    <t xml:space="preserve">Sem pedidos acima de 250 kg no período; mesmo assim, o excedente da PROLOG está fora de mercado</t>
  </si>
  <si>
    <t xml:space="preserve">Prazo — Capital</t>
  </si>
  <si>
    <t xml:space="preserve">5 dias úteis</t>
  </si>
  <si>
    <t xml:space="preserve">8 dias úteis</t>
  </si>
  <si>
    <t xml:space="preserve">3 dias mais rápido</t>
  </si>
  <si>
    <t xml:space="preserve">Prazo — Metropolitana</t>
  </si>
  <si>
    <t xml:space="preserve">5 a 7 dias úteis</t>
  </si>
  <si>
    <t xml:space="preserve">10 dias úteis</t>
  </si>
  <si>
    <t xml:space="preserve">3 a 5 dias mais rápido</t>
  </si>
  <si>
    <t xml:space="preserve">Prazo — Interior</t>
  </si>
  <si>
    <t xml:space="preserve">6 a 11 dias úteis</t>
  </si>
  <si>
    <t xml:space="preserve">13 dias úteis</t>
  </si>
  <si>
    <t xml:space="preserve">2 a 7 dias mais rápido</t>
  </si>
  <si>
    <t xml:space="preserve">Inconsistência na tabela TSL</t>
  </si>
  <si>
    <t xml:space="preserve">Interior, faixa 170 a 200 kg = R$ 143,51 (menor que a faixa 150 a 170 kg = R$ 215,70)</t>
  </si>
  <si>
    <t xml:space="preserve">Provável erro de digitação na TSL (deveria ser ~R$ 243). Hoje favorece a TSL nessa faixa</t>
  </si>
  <si>
    <t xml:space="preserve">Top 20 cidades RJ — preço final (com taxas e ICMS) PROLOG x TSL nos mesmos pedidos</t>
  </si>
  <si>
    <t xml:space="preserve">#</t>
  </si>
  <si>
    <t xml:space="preserve">Cidade</t>
  </si>
  <si>
    <t xml:space="preserve">Região TSL</t>
  </si>
  <si>
    <t xml:space="preserve">% pedidos RJ</t>
  </si>
  <si>
    <t xml:space="preserve">Peso médio (kg)</t>
  </si>
  <si>
    <t xml:space="preserve">NF média</t>
  </si>
  <si>
    <t xml:space="preserve">TSL médio</t>
  </si>
  <si>
    <t xml:space="preserve">PROLOG médio</t>
  </si>
  <si>
    <t xml:space="preserve">PROLOG vs TSL</t>
  </si>
  <si>
    <t xml:space="preserve">PROLOG s/ taxa interna vs TSL</t>
  </si>
  <si>
    <t xml:space="preserve">Frete/NF TSL</t>
  </si>
  <si>
    <t xml:space="preserve">Frete/NF PROLOG</t>
  </si>
  <si>
    <t xml:space="preserve">% pedidos PROLOG ganharia</t>
  </si>
  <si>
    <t xml:space="preserve">Frete peso PROLOG vs TSL</t>
  </si>
  <si>
    <t xml:space="preserve">Prazo TSL</t>
  </si>
  <si>
    <t xml:space="preserve">Prazo PROLOG</t>
  </si>
  <si>
    <t xml:space="preserve">Redução necessária no preço PROLOG p/ empatar</t>
  </si>
  <si>
    <t xml:space="preserve">Avaliação</t>
  </si>
  <si>
    <t xml:space="preserve">Rio de Janeiro</t>
  </si>
  <si>
    <t xml:space="preserve">São Gonçalo</t>
  </si>
  <si>
    <t xml:space="preserve">Duque de Caxias</t>
  </si>
  <si>
    <t xml:space="preserve">Nova Iguaçu</t>
  </si>
  <si>
    <t xml:space="preserve">Niterói</t>
  </si>
  <si>
    <t xml:space="preserve">Campos dos Goytacazes</t>
  </si>
  <si>
    <t xml:space="preserve">Belford Roxo</t>
  </si>
  <si>
    <t xml:space="preserve">Macaé</t>
  </si>
  <si>
    <t xml:space="preserve">São João de Meriti</t>
  </si>
  <si>
    <t xml:space="preserve">Volta Redonda</t>
  </si>
  <si>
    <t xml:space="preserve">Angra dos Reis</t>
  </si>
  <si>
    <t xml:space="preserve">Petrópolis</t>
  </si>
  <si>
    <t xml:space="preserve">Maricá</t>
  </si>
  <si>
    <t xml:space="preserve">Cabo Frio</t>
  </si>
  <si>
    <t xml:space="preserve">Araruama</t>
  </si>
  <si>
    <t xml:space="preserve">Itaboraí</t>
  </si>
  <si>
    <t xml:space="preserve">Mesquita</t>
  </si>
  <si>
    <t xml:space="preserve">Magé</t>
  </si>
  <si>
    <t xml:space="preserve">Nova Friburgo</t>
  </si>
  <si>
    <t xml:space="preserve">Rio das Ostras</t>
  </si>
  <si>
    <t xml:space="preserve">TOTAL TOP 20</t>
  </si>
  <si>
    <t xml:space="preserve">Avaliação: "Muito bem" = PROLOG mais barata; "Melhor posição" = até +32%; "Intermediária" = +32% a +45%; "Precisa melhorar" = acima de +45%.</t>
  </si>
  <si>
    <t xml:space="preserve">Por faixa de peso e região TSL — preço final PROLOG x TSL (mesmos pedidos, top 20 cidades)</t>
  </si>
  <si>
    <t xml:space="preserve">Região: TODAS</t>
  </si>
  <si>
    <t xml:space="preserve">Faixa (kg)</t>
  </si>
  <si>
    <t xml:space="preserve">TSL frete peso</t>
  </si>
  <si>
    <t xml:space="preserve">PROLOG frete peso</t>
  </si>
  <si>
    <t xml:space="preserve">Redução necessária</t>
  </si>
  <si>
    <t xml:space="preserve">0-20</t>
  </si>
  <si>
    <t xml:space="preserve">20-35</t>
  </si>
  <si>
    <t xml:space="preserve">35-40</t>
  </si>
  <si>
    <t xml:space="preserve">40-50</t>
  </si>
  <si>
    <t xml:space="preserve">50-60</t>
  </si>
  <si>
    <t xml:space="preserve">60-70</t>
  </si>
  <si>
    <t xml:space="preserve">70-80</t>
  </si>
  <si>
    <t xml:space="preserve">80-100</t>
  </si>
  <si>
    <t xml:space="preserve">100-120</t>
  </si>
  <si>
    <t xml:space="preserve">120-150</t>
  </si>
  <si>
    <t xml:space="preserve">150-170</t>
  </si>
  <si>
    <t xml:space="preserve">170-200</t>
  </si>
  <si>
    <t xml:space="preserve">200-250</t>
  </si>
  <si>
    <t xml:space="preserve">Região: Capital</t>
  </si>
  <si>
    <t xml:space="preserve">Região: Metropolitana</t>
  </si>
  <si>
    <t xml:space="preserve">Região: Interior</t>
  </si>
  <si>
    <t xml:space="preserve">Frete peso ALVO para a PROLOG empatar com a TSL (mantendo taxa interna, CTe, pedágio e TAS atuais da PROLOG)</t>
  </si>
  <si>
    <t xml:space="preserve">Alvo = subtotal TSL (frete peso + GRIS + seguro + pedágio + entrega, × (1 + TRT)) − taxas PROLOG (ad valorem + GRIS + TAS + pedágio + CTe/kg + taxa interna/kg), para um pedido de referência por faixa. ICMS é igual nas duas e se anula.</t>
  </si>
  <si>
    <t xml:space="preserve">Peso de referência (kg) →</t>
  </si>
  <si>
    <t xml:space="preserve">NF de referência (R$) →</t>
  </si>
  <si>
    <t xml:space="preserve">PROLOG atual — frete peso</t>
  </si>
  <si>
    <t xml:space="preserve">TSL — frete peso</t>
  </si>
  <si>
    <t xml:space="preserve">PROLOG ALVO (empate)</t>
  </si>
  <si>
    <t xml:space="preserve">Redução necessária no frete peso PROLOG</t>
  </si>
  <si>
    <t xml:space="preserve">UF</t>
  </si>
  <si>
    <t xml:space="preserve">Cidade (tabela PROLOG)</t>
  </si>
  <si>
    <t xml:space="preserve">CEP inicial</t>
  </si>
  <si>
    <t xml:space="preserve">CEP final</t>
  </si>
  <si>
    <t xml:space="preserve">Prazo PROLOG / TSL</t>
  </si>
  <si>
    <t xml:space="preserve">Pedidos no período</t>
  </si>
  <si>
    <t xml:space="preserve">RJ</t>
  </si>
  <si>
    <t xml:space="preserve">Capital</t>
  </si>
  <si>
    <t xml:space="preserve">5 / 8</t>
  </si>
  <si>
    <t xml:space="preserve">Itaguaí</t>
  </si>
  <si>
    <t xml:space="preserve">Interior</t>
  </si>
  <si>
    <t xml:space="preserve">5 / 13</t>
  </si>
  <si>
    <t xml:space="preserve">Mangaratiba</t>
  </si>
  <si>
    <t xml:space="preserve">10 / 13</t>
  </si>
  <si>
    <t xml:space="preserve">Seropédica</t>
  </si>
  <si>
    <t xml:space="preserve">Paraty</t>
  </si>
  <si>
    <t xml:space="preserve">Metropolitana</t>
  </si>
  <si>
    <t xml:space="preserve">7 / 10</t>
  </si>
  <si>
    <t xml:space="preserve">7 / 13</t>
  </si>
  <si>
    <t xml:space="preserve">Tanguá</t>
  </si>
  <si>
    <t xml:space="preserve">5 / 10</t>
  </si>
  <si>
    <t xml:space="preserve">8 / 13</t>
  </si>
  <si>
    <t xml:space="preserve">São José do Vale do Rio Preto</t>
  </si>
  <si>
    <t xml:space="preserve">Três Rios</t>
  </si>
  <si>
    <t xml:space="preserve">Areal</t>
  </si>
  <si>
    <t xml:space="preserve">Paraíba do Sul</t>
  </si>
  <si>
    <t xml:space="preserve">Comendador Levy Gasparian</t>
  </si>
  <si>
    <t xml:space="preserve">Sapucaia</t>
  </si>
  <si>
    <t xml:space="preserve">6 / 13</t>
  </si>
  <si>
    <t xml:space="preserve">Guapimirim</t>
  </si>
  <si>
    <t xml:space="preserve">Teresópolis</t>
  </si>
  <si>
    <t xml:space="preserve">Queimados</t>
  </si>
  <si>
    <t xml:space="preserve">Japeri</t>
  </si>
  <si>
    <t xml:space="preserve">Nilópolis</t>
  </si>
  <si>
    <t xml:space="preserve">Paracambi</t>
  </si>
  <si>
    <t xml:space="preserve">Engenheiro Paulo de Frontin</t>
  </si>
  <si>
    <t xml:space="preserve">Mendes</t>
  </si>
  <si>
    <t xml:space="preserve">Miguel Pereira</t>
  </si>
  <si>
    <t xml:space="preserve">Paty do Alferes</t>
  </si>
  <si>
    <t xml:space="preserve">Barra do Piraí</t>
  </si>
  <si>
    <t xml:space="preserve">Piraí</t>
  </si>
  <si>
    <t xml:space="preserve">Pinheiral</t>
  </si>
  <si>
    <t xml:space="preserve">Barra Mansa</t>
  </si>
  <si>
    <t xml:space="preserve">Quatis</t>
  </si>
  <si>
    <t xml:space="preserve">Rio Claro</t>
  </si>
  <si>
    <t xml:space="preserve">Resende</t>
  </si>
  <si>
    <t xml:space="preserve">Porto Real</t>
  </si>
  <si>
    <t xml:space="preserve">Itatiaia</t>
  </si>
  <si>
    <t xml:space="preserve">Valença</t>
  </si>
  <si>
    <t xml:space="preserve">Rio das Flores</t>
  </si>
  <si>
    <t xml:space="preserve">Vassouras</t>
  </si>
  <si>
    <t xml:space="preserve">11 / 13</t>
  </si>
  <si>
    <t xml:space="preserve">Carapebus</t>
  </si>
  <si>
    <t xml:space="preserve">Cardoso Moreira</t>
  </si>
  <si>
    <t xml:space="preserve">São João da Barra</t>
  </si>
  <si>
    <t xml:space="preserve">São Francisco de Itabapoana</t>
  </si>
  <si>
    <t xml:space="preserve">Italva</t>
  </si>
  <si>
    <t xml:space="preserve">Itaperuna</t>
  </si>
  <si>
    <t xml:space="preserve">Laje do Muriaé</t>
  </si>
  <si>
    <t xml:space="preserve">Bom Jesus do Itabapoana</t>
  </si>
  <si>
    <t xml:space="preserve">Varre-Sai</t>
  </si>
  <si>
    <t xml:space="preserve">Natividade</t>
  </si>
  <si>
    <t xml:space="preserve">Porciúncula</t>
  </si>
  <si>
    <t xml:space="preserve">São Fidélis</t>
  </si>
  <si>
    <t xml:space="preserve">Cambuci</t>
  </si>
  <si>
    <t xml:space="preserve">São José de Ubá</t>
  </si>
  <si>
    <t xml:space="preserve">Miracema</t>
  </si>
  <si>
    <t xml:space="preserve">Santo Antônio de Pádua</t>
  </si>
  <si>
    <t xml:space="preserve">Aperibé</t>
  </si>
  <si>
    <t xml:space="preserve">Cantagalo</t>
  </si>
  <si>
    <t xml:space="preserve">Cordeiro</t>
  </si>
  <si>
    <t xml:space="preserve">Macuco</t>
  </si>
  <si>
    <t xml:space="preserve">São Sebastião do Alto</t>
  </si>
  <si>
    <t xml:space="preserve">Itaocara</t>
  </si>
  <si>
    <t xml:space="preserve">Sumidouro</t>
  </si>
  <si>
    <t xml:space="preserve">Carmo</t>
  </si>
  <si>
    <t xml:space="preserve">Duas Barras</t>
  </si>
  <si>
    <t xml:space="preserve">Bom Jardim</t>
  </si>
  <si>
    <t xml:space="preserve">Cachoeiras de Macacu</t>
  </si>
  <si>
    <t xml:space="preserve">Quissamã</t>
  </si>
  <si>
    <t xml:space="preserve">Conceição de Macabu</t>
  </si>
  <si>
    <t xml:space="preserve">Trajano de Moraes</t>
  </si>
  <si>
    <t xml:space="preserve">Santa Maria Madalena</t>
  </si>
  <si>
    <t xml:space="preserve">Rio Bonito</t>
  </si>
  <si>
    <t xml:space="preserve">Silva Jardim</t>
  </si>
  <si>
    <t xml:space="preserve">Casimiro de Abreu</t>
  </si>
  <si>
    <t xml:space="preserve">Arraial do Cabo</t>
  </si>
  <si>
    <t xml:space="preserve">São Pedro da Aldeia</t>
  </si>
  <si>
    <t xml:space="preserve">Armação dos Búzios</t>
  </si>
  <si>
    <t xml:space="preserve">Iguaba Grande</t>
  </si>
  <si>
    <t xml:space="preserve">Saquarema</t>
  </si>
  <si>
    <t xml:space="preserve">Redução negativa = a PROLOG já está abaixo do empate nessa faixa/cidade (tem margem).</t>
  </si>
  <si>
    <t xml:space="preserve">Se a taxa interna R$ 0,45/kg também for aplicada à TSL (custo comum da filial SP), basta alterar Resumo!C13 para 0,45 — o alvo e todas as abas recalculam.</t>
  </si>
  <si>
    <t xml:space="preserve">Frete peso por faixa (valor de tabela, antes de taxas e ICMS) — PROLOG x TSL nas top 20 cidades</t>
  </si>
  <si>
    <t xml:space="preserve">Bloco 3 = quanto a PROLOG está acima (+) ou abaixo (−) da TSL apenas no frete peso.</t>
  </si>
  <si>
    <t xml:space="preserve">1) PROLOG — frete peso (R$)</t>
  </si>
  <si>
    <t xml:space="preserve">2) TSL — frete peso (R$)</t>
  </si>
  <si>
    <t xml:space="preserve">3) PROLOG vs TSL (%)</t>
  </si>
  <si>
    <t xml:space="preserve">Pedido HUB</t>
  </si>
  <si>
    <t xml:space="preserve">Data pagamento</t>
  </si>
  <si>
    <t xml:space="preserve">Canal</t>
  </si>
  <si>
    <t xml:space="preserve">CEP</t>
  </si>
  <si>
    <t xml:space="preserve">CEP (nº)</t>
  </si>
  <si>
    <t xml:space="preserve">Peso (kg)</t>
  </si>
  <si>
    <t xml:space="preserve">Valor NF (R$)</t>
  </si>
  <si>
    <t xml:space="preserve">Transportadora cotada</t>
  </si>
  <si>
    <t xml:space="preserve">Custo real cotado (R$)</t>
  </si>
  <si>
    <t xml:space="preserve">TSL GRIS</t>
  </si>
  <si>
    <t xml:space="preserve">TSL seguro</t>
  </si>
  <si>
    <t xml:space="preserve">TSL pedágio</t>
  </si>
  <si>
    <t xml:space="preserve">TSL entrega</t>
  </si>
  <si>
    <t xml:space="preserve">TSL TRT</t>
  </si>
  <si>
    <t xml:space="preserve">TSL subtotal</t>
  </si>
  <si>
    <t xml:space="preserve">TSL total c/ ICMS</t>
  </si>
  <si>
    <t xml:space="preserve">PROLOG ad valorem</t>
  </si>
  <si>
    <t xml:space="preserve">PROLOG GRIS</t>
  </si>
  <si>
    <t xml:space="preserve">PROLOG TAS</t>
  </si>
  <si>
    <t xml:space="preserve">PROLOG pedágio</t>
  </si>
  <si>
    <t xml:space="preserve">PROLOG CTe</t>
  </si>
  <si>
    <t xml:space="preserve">PROLOG taxa interna</t>
  </si>
  <si>
    <t xml:space="preserve">PROLOG subtotal</t>
  </si>
  <si>
    <t xml:space="preserve">PROLOG total c/ ICMS</t>
  </si>
  <si>
    <t xml:space="preserve">PROLOG s/ taxa interna c/ ICMS</t>
  </si>
  <si>
    <t xml:space="preserve">Dif. PROLOG − TSL (R$)</t>
  </si>
  <si>
    <t xml:space="preserve">Dif. %</t>
  </si>
  <si>
    <t xml:space="preserve">PROLOG mais barata?</t>
  </si>
  <si>
    <t xml:space="preserve">Prazo TSL (du)</t>
  </si>
  <si>
    <t xml:space="preserve">Prazo PROLOG (du)</t>
  </si>
  <si>
    <t xml:space="preserve">Top 20?</t>
  </si>
  <si>
    <t xml:space="preserve">Shopee</t>
  </si>
  <si>
    <t xml:space="preserve">28913240</t>
  </si>
  <si>
    <t xml:space="preserve">Tsl Filial Sp</t>
  </si>
  <si>
    <t xml:space="preserve">SIM</t>
  </si>
  <si>
    <t xml:space="preserve">21032000</t>
  </si>
  <si>
    <t xml:space="preserve">Mercado Livre Principal</t>
  </si>
  <si>
    <t xml:space="preserve">26545580</t>
  </si>
  <si>
    <t xml:space="preserve">NÃO</t>
  </si>
  <si>
    <t xml:space="preserve">22471150</t>
  </si>
  <si>
    <t xml:space="preserve">26325100</t>
  </si>
  <si>
    <t xml:space="preserve">21044020</t>
  </si>
  <si>
    <t xml:space="preserve">28025537</t>
  </si>
  <si>
    <t xml:space="preserve">25555570</t>
  </si>
  <si>
    <t xml:space="preserve">25947790</t>
  </si>
  <si>
    <t xml:space="preserve">22790725</t>
  </si>
  <si>
    <t xml:space="preserve">25811005</t>
  </si>
  <si>
    <t xml:space="preserve">24467575</t>
  </si>
  <si>
    <t xml:space="preserve">26116340</t>
  </si>
  <si>
    <t xml:space="preserve">24350042</t>
  </si>
  <si>
    <t xml:space="preserve">25945865</t>
  </si>
  <si>
    <t xml:space="preserve">23078415</t>
  </si>
  <si>
    <t xml:space="preserve">Casas Bahia</t>
  </si>
  <si>
    <t xml:space="preserve">20785224</t>
  </si>
  <si>
    <t xml:space="preserve">27948310</t>
  </si>
  <si>
    <t xml:space="preserve">21361190</t>
  </si>
  <si>
    <t xml:space="preserve">22050002</t>
  </si>
  <si>
    <t xml:space="preserve">Carrefour</t>
  </si>
  <si>
    <t xml:space="preserve">25530460</t>
  </si>
  <si>
    <t xml:space="preserve">26445140</t>
  </si>
  <si>
    <t xml:space="preserve">27120320</t>
  </si>
  <si>
    <t xml:space="preserve">21535590</t>
  </si>
  <si>
    <t xml:space="preserve">21041140</t>
  </si>
  <si>
    <t xml:space="preserve">Magazine Luiza 1</t>
  </si>
  <si>
    <t xml:space="preserve">26430020</t>
  </si>
  <si>
    <t xml:space="preserve">21021380</t>
  </si>
  <si>
    <t xml:space="preserve">Web Continental</t>
  </si>
  <si>
    <t xml:space="preserve">26060015</t>
  </si>
  <si>
    <t xml:space="preserve">24745630</t>
  </si>
  <si>
    <t xml:space="preserve">21770220</t>
  </si>
  <si>
    <t xml:space="preserve">Madeira Madeira</t>
  </si>
  <si>
    <t xml:space="preserve">21741060</t>
  </si>
  <si>
    <t xml:space="preserve">26298608</t>
  </si>
  <si>
    <t xml:space="preserve">26143290</t>
  </si>
  <si>
    <t xml:space="preserve">23893770</t>
  </si>
  <si>
    <t xml:space="preserve">23036076</t>
  </si>
  <si>
    <t xml:space="preserve">Jadlog Standard</t>
  </si>
  <si>
    <t xml:space="preserve">21381009</t>
  </si>
  <si>
    <t xml:space="preserve">20541170</t>
  </si>
  <si>
    <t xml:space="preserve">21380090</t>
  </si>
  <si>
    <t xml:space="preserve">23056630</t>
  </si>
  <si>
    <t xml:space="preserve">24310005</t>
  </si>
  <si>
    <t xml:space="preserve">23820810</t>
  </si>
  <si>
    <t xml:space="preserve">22753031</t>
  </si>
  <si>
    <t xml:space="preserve">28735560</t>
  </si>
  <si>
    <t xml:space="preserve">20950072</t>
  </si>
  <si>
    <t xml:space="preserve">26140110</t>
  </si>
  <si>
    <t xml:space="preserve">27525524</t>
  </si>
  <si>
    <t xml:space="preserve">21730290</t>
  </si>
  <si>
    <t xml:space="preserve">23520400</t>
  </si>
  <si>
    <t xml:space="preserve">25085135</t>
  </si>
  <si>
    <t xml:space="preserve">28920015</t>
  </si>
  <si>
    <t xml:space="preserve">28976666</t>
  </si>
  <si>
    <t xml:space="preserve">21842553</t>
  </si>
  <si>
    <t xml:space="preserve">22735000</t>
  </si>
  <si>
    <t xml:space="preserve">21241300</t>
  </si>
  <si>
    <t xml:space="preserve">20251440</t>
  </si>
  <si>
    <t xml:space="preserve">26087230</t>
  </si>
  <si>
    <t xml:space="preserve">25710093</t>
  </si>
  <si>
    <t xml:space="preserve">21032060</t>
  </si>
  <si>
    <t xml:space="preserve">22733010</t>
  </si>
  <si>
    <t xml:space="preserve">20760020</t>
  </si>
  <si>
    <t xml:space="preserve">22795135</t>
  </si>
  <si>
    <t xml:space="preserve">21715195</t>
  </si>
  <si>
    <t xml:space="preserve">20211220</t>
  </si>
  <si>
    <t xml:space="preserve">24110310</t>
  </si>
  <si>
    <t xml:space="preserve">28680040</t>
  </si>
  <si>
    <t xml:space="preserve">25561211</t>
  </si>
  <si>
    <t xml:space="preserve">25846220</t>
  </si>
  <si>
    <t xml:space="preserve">21060090</t>
  </si>
  <si>
    <t xml:space="preserve">23570084</t>
  </si>
  <si>
    <t xml:space="preserve">21852001</t>
  </si>
  <si>
    <t xml:space="preserve">26298373</t>
  </si>
  <si>
    <t xml:space="preserve">22230000</t>
  </si>
  <si>
    <t xml:space="preserve">22770330</t>
  </si>
  <si>
    <t xml:space="preserve">21675350</t>
  </si>
  <si>
    <t xml:space="preserve">24931415</t>
  </si>
  <si>
    <t xml:space="preserve">24451230</t>
  </si>
  <si>
    <t xml:space="preserve">22755155</t>
  </si>
  <si>
    <t xml:space="preserve">24878095</t>
  </si>
  <si>
    <t xml:space="preserve">28880000</t>
  </si>
  <si>
    <t xml:space="preserve">23900120</t>
  </si>
  <si>
    <t xml:space="preserve">23059039</t>
  </si>
  <si>
    <t xml:space="preserve">24727190</t>
  </si>
  <si>
    <t xml:space="preserve">25970077</t>
  </si>
  <si>
    <t xml:space="preserve">21750001</t>
  </si>
  <si>
    <t xml:space="preserve">27281640</t>
  </si>
  <si>
    <t xml:space="preserve">26177010</t>
  </si>
  <si>
    <t xml:space="preserve">21310030</t>
  </si>
  <si>
    <t xml:space="preserve">26480320</t>
  </si>
  <si>
    <t xml:space="preserve">24805900</t>
  </si>
  <si>
    <t xml:space="preserve">22641100</t>
  </si>
  <si>
    <t xml:space="preserve">26279240</t>
  </si>
  <si>
    <t xml:space="preserve">25937048</t>
  </si>
  <si>
    <t xml:space="preserve">25015045</t>
  </si>
  <si>
    <t xml:space="preserve">21221280</t>
  </si>
  <si>
    <t xml:space="preserve">22790550</t>
  </si>
  <si>
    <t xml:space="preserve">22790587</t>
  </si>
  <si>
    <t xml:space="preserve">21665001</t>
  </si>
  <si>
    <t xml:space="preserve">25995290</t>
  </si>
  <si>
    <t xml:space="preserve">20530003</t>
  </si>
  <si>
    <t xml:space="preserve">24744010</t>
  </si>
  <si>
    <t xml:space="preserve">24344487</t>
  </si>
  <si>
    <t xml:space="preserve">27602270</t>
  </si>
  <si>
    <t xml:space="preserve">21381350</t>
  </si>
  <si>
    <t xml:space="preserve">28200000</t>
  </si>
  <si>
    <t xml:space="preserve">25251210</t>
  </si>
  <si>
    <t xml:space="preserve">21531450</t>
  </si>
  <si>
    <t xml:space="preserve">23891730</t>
  </si>
  <si>
    <t xml:space="preserve">28986330</t>
  </si>
  <si>
    <t xml:space="preserve">24750045</t>
  </si>
  <si>
    <t xml:space="preserve">25035770</t>
  </si>
  <si>
    <t xml:space="preserve">28024417</t>
  </si>
  <si>
    <t xml:space="preserve">24315000</t>
  </si>
  <si>
    <t xml:space="preserve">28430014</t>
  </si>
  <si>
    <t xml:space="preserve">21041030</t>
  </si>
  <si>
    <t xml:space="preserve">21321620</t>
  </si>
  <si>
    <t xml:space="preserve">25271330</t>
  </si>
  <si>
    <t xml:space="preserve">20760110</t>
  </si>
  <si>
    <t xml:space="preserve">21911130</t>
  </si>
  <si>
    <t xml:space="preserve">24320200</t>
  </si>
  <si>
    <t xml:space="preserve">26116670</t>
  </si>
  <si>
    <t xml:space="preserve">23060612</t>
  </si>
  <si>
    <t xml:space="preserve">21830008</t>
  </si>
  <si>
    <t xml:space="preserve">22451010</t>
  </si>
  <si>
    <t xml:space="preserve">23575240</t>
  </si>
  <si>
    <t xml:space="preserve">23575216</t>
  </si>
  <si>
    <t xml:space="preserve">26262120</t>
  </si>
  <si>
    <t xml:space="preserve">20241320</t>
  </si>
  <si>
    <t xml:space="preserve">24935160</t>
  </si>
  <si>
    <t xml:space="preserve">26298698</t>
  </si>
  <si>
    <t xml:space="preserve">27276375</t>
  </si>
  <si>
    <t xml:space="preserve">26310340</t>
  </si>
  <si>
    <t xml:space="preserve">26445390</t>
  </si>
  <si>
    <t xml:space="preserve">24754190</t>
  </si>
  <si>
    <t xml:space="preserve">27933140</t>
  </si>
  <si>
    <t xml:space="preserve">28660000</t>
  </si>
  <si>
    <t xml:space="preserve">22765240</t>
  </si>
  <si>
    <t xml:space="preserve">22763627</t>
  </si>
  <si>
    <t xml:space="preserve">20261040</t>
  </si>
  <si>
    <t xml:space="preserve">21735150</t>
  </si>
  <si>
    <t xml:space="preserve">26115490</t>
  </si>
  <si>
    <t xml:space="preserve">25011420</t>
  </si>
  <si>
    <t xml:space="preserve">24320570</t>
  </si>
  <si>
    <t xml:space="preserve">24110360</t>
  </si>
  <si>
    <t xml:space="preserve">23520132</t>
  </si>
  <si>
    <t xml:space="preserve">Ecommerce</t>
  </si>
  <si>
    <t xml:space="preserve">23065006</t>
  </si>
  <si>
    <t xml:space="preserve">24802370</t>
  </si>
  <si>
    <t xml:space="preserve">26021061</t>
  </si>
  <si>
    <t xml:space="preserve">28982360</t>
  </si>
  <si>
    <t xml:space="preserve">22710568</t>
  </si>
  <si>
    <t xml:space="preserve">23017440</t>
  </si>
  <si>
    <t xml:space="preserve">26065012</t>
  </si>
  <si>
    <t xml:space="preserve">21235112</t>
  </si>
  <si>
    <t xml:space="preserve">22611070</t>
  </si>
  <si>
    <t xml:space="preserve">23898081</t>
  </si>
  <si>
    <t xml:space="preserve">26280190</t>
  </si>
  <si>
    <t xml:space="preserve">24737475</t>
  </si>
  <si>
    <t xml:space="preserve">22795216</t>
  </si>
  <si>
    <t xml:space="preserve">23898033</t>
  </si>
  <si>
    <t xml:space="preserve">28943292</t>
  </si>
  <si>
    <t xml:space="preserve">20060070</t>
  </si>
  <si>
    <t xml:space="preserve">21370290</t>
  </si>
  <si>
    <t xml:space="preserve">21310050</t>
  </si>
  <si>
    <t xml:space="preserve">27251340</t>
  </si>
  <si>
    <t xml:space="preserve">24751140</t>
  </si>
  <si>
    <t xml:space="preserve">21011460</t>
  </si>
  <si>
    <t xml:space="preserve">22770040</t>
  </si>
  <si>
    <t xml:space="preserve">Tsl Transportes</t>
  </si>
  <si>
    <t xml:space="preserve">21825320</t>
  </si>
  <si>
    <t xml:space="preserve">22780760</t>
  </si>
  <si>
    <t xml:space="preserve">25525670</t>
  </si>
  <si>
    <t xml:space="preserve">27940290</t>
  </si>
  <si>
    <t xml:space="preserve">25271550</t>
  </si>
  <si>
    <t xml:space="preserve">21330600</t>
  </si>
  <si>
    <t xml:space="preserve">23026260</t>
  </si>
  <si>
    <t xml:space="preserve">22783412</t>
  </si>
  <si>
    <t xml:space="preserve">20560001</t>
  </si>
  <si>
    <t xml:space="preserve">24130775</t>
  </si>
  <si>
    <t xml:space="preserve">21031700</t>
  </si>
  <si>
    <t xml:space="preserve">20931005</t>
  </si>
  <si>
    <t xml:space="preserve">21852580</t>
  </si>
  <si>
    <t xml:space="preserve">21235480</t>
  </si>
  <si>
    <t xml:space="preserve">27211670</t>
  </si>
  <si>
    <t xml:space="preserve">26041270</t>
  </si>
  <si>
    <t xml:space="preserve">20251060</t>
  </si>
  <si>
    <t xml:space="preserve">20397135</t>
  </si>
  <si>
    <t xml:space="preserve">Amazon</t>
  </si>
  <si>
    <t xml:space="preserve">26022821</t>
  </si>
  <si>
    <t xml:space="preserve">25225210</t>
  </si>
  <si>
    <t xml:space="preserve">21512070</t>
  </si>
  <si>
    <t xml:space="preserve">21911310</t>
  </si>
  <si>
    <t xml:space="preserve">20940060</t>
  </si>
  <si>
    <t xml:space="preserve">27963770</t>
  </si>
  <si>
    <t xml:space="preserve">25880000</t>
  </si>
  <si>
    <t xml:space="preserve">21010260</t>
  </si>
  <si>
    <t xml:space="preserve">28987608</t>
  </si>
  <si>
    <t xml:space="preserve">28380000</t>
  </si>
  <si>
    <t xml:space="preserve">25214410</t>
  </si>
  <si>
    <t xml:space="preserve">28470000</t>
  </si>
  <si>
    <t xml:space="preserve">Rapido Alem Paraiba - Standard</t>
  </si>
  <si>
    <t xml:space="preserve">23020722</t>
  </si>
  <si>
    <t xml:space="preserve">28540000</t>
  </si>
  <si>
    <t xml:space="preserve">20250500</t>
  </si>
  <si>
    <t xml:space="preserve">24370297</t>
  </si>
  <si>
    <t xml:space="preserve">25040240</t>
  </si>
  <si>
    <t xml:space="preserve">28623410</t>
  </si>
  <si>
    <t xml:space="preserve">25560440</t>
  </si>
  <si>
    <t xml:space="preserve">22725441</t>
  </si>
  <si>
    <t xml:space="preserve">23587610</t>
  </si>
  <si>
    <t xml:space="preserve">25985010</t>
  </si>
  <si>
    <t xml:space="preserve">23028050</t>
  </si>
  <si>
    <t xml:space="preserve">27113320</t>
  </si>
  <si>
    <t xml:space="preserve">21630310</t>
  </si>
  <si>
    <t xml:space="preserve">22451265</t>
  </si>
  <si>
    <t xml:space="preserve">21331690</t>
  </si>
  <si>
    <t xml:space="preserve">23585330</t>
  </si>
  <si>
    <t xml:space="preserve">23560660</t>
  </si>
  <si>
    <t xml:space="preserve">23036060</t>
  </si>
  <si>
    <t xml:space="preserve">27972109</t>
  </si>
  <si>
    <t xml:space="preserve">23010310</t>
  </si>
  <si>
    <t xml:space="preserve">21863430</t>
  </si>
  <si>
    <t xml:space="preserve">21610290</t>
  </si>
  <si>
    <t xml:space="preserve">27973410</t>
  </si>
  <si>
    <t xml:space="preserve">21830080</t>
  </si>
  <si>
    <t xml:space="preserve">27336410</t>
  </si>
  <si>
    <t xml:space="preserve">27170650</t>
  </si>
  <si>
    <t xml:space="preserve">24425640</t>
  </si>
  <si>
    <t xml:space="preserve">27966803</t>
  </si>
  <si>
    <t xml:space="preserve">26515600</t>
  </si>
  <si>
    <t xml:space="preserve">23040400</t>
  </si>
  <si>
    <t xml:space="preserve">28611320</t>
  </si>
  <si>
    <t xml:space="preserve">26950000</t>
  </si>
  <si>
    <t xml:space="preserve">25515180</t>
  </si>
  <si>
    <t xml:space="preserve">24913350</t>
  </si>
  <si>
    <t xml:space="preserve">23565005</t>
  </si>
  <si>
    <t xml:space="preserve">22790430</t>
  </si>
  <si>
    <t xml:space="preserve">26250380</t>
  </si>
  <si>
    <t xml:space="preserve">27963834</t>
  </si>
  <si>
    <t xml:space="preserve">23030372</t>
  </si>
  <si>
    <t xml:space="preserve">27963738</t>
  </si>
  <si>
    <t xml:space="preserve">23894694</t>
  </si>
  <si>
    <t xml:space="preserve">22780070</t>
  </si>
  <si>
    <t xml:space="preserve">26298396</t>
  </si>
  <si>
    <t xml:space="preserve">22795006</t>
  </si>
  <si>
    <t xml:space="preserve">23895670</t>
  </si>
  <si>
    <t xml:space="preserve">24110556</t>
  </si>
  <si>
    <t xml:space="preserve">23970000</t>
  </si>
  <si>
    <t xml:space="preserve">26385030</t>
  </si>
  <si>
    <t xml:space="preserve">26160225</t>
  </si>
  <si>
    <t xml:space="preserve">22765590</t>
  </si>
  <si>
    <t xml:space="preserve">25730070</t>
  </si>
  <si>
    <t xml:space="preserve">21011250</t>
  </si>
  <si>
    <t xml:space="preserve">25261300</t>
  </si>
  <si>
    <t xml:space="preserve">24476720</t>
  </si>
  <si>
    <t xml:space="preserve">21532197</t>
  </si>
  <si>
    <t xml:space="preserve">24913090</t>
  </si>
  <si>
    <t xml:space="preserve">23092093</t>
  </si>
  <si>
    <t xml:space="preserve">27583864</t>
  </si>
  <si>
    <t xml:space="preserve">28925832</t>
  </si>
  <si>
    <t xml:space="preserve">21843040</t>
  </si>
  <si>
    <t xml:space="preserve">24736220</t>
  </si>
  <si>
    <t xml:space="preserve">22790661</t>
  </si>
  <si>
    <t xml:space="preserve">26050470</t>
  </si>
  <si>
    <t xml:space="preserve">25055625</t>
  </si>
  <si>
    <t xml:space="preserve">20972290</t>
  </si>
  <si>
    <t xml:space="preserve">23052320</t>
  </si>
  <si>
    <t xml:space="preserve">22783111</t>
  </si>
  <si>
    <t xml:space="preserve">20725050</t>
  </si>
  <si>
    <t xml:space="preserve">23045830</t>
  </si>
  <si>
    <t xml:space="preserve">27250800</t>
  </si>
  <si>
    <t xml:space="preserve">21331660</t>
  </si>
  <si>
    <t xml:space="preserve">27325310</t>
  </si>
  <si>
    <t xml:space="preserve">26130336</t>
  </si>
  <si>
    <t xml:space="preserve">21250620</t>
  </si>
  <si>
    <t xml:space="preserve">21675340</t>
  </si>
  <si>
    <t xml:space="preserve">22775033</t>
  </si>
  <si>
    <t xml:space="preserve">22780085</t>
  </si>
  <si>
    <t xml:space="preserve">24725060</t>
  </si>
  <si>
    <t xml:space="preserve">21770000</t>
  </si>
  <si>
    <t xml:space="preserve">23520560</t>
  </si>
  <si>
    <t xml:space="preserve">23016010</t>
  </si>
  <si>
    <t xml:space="preserve">22790735</t>
  </si>
  <si>
    <t xml:space="preserve">24230000</t>
  </si>
  <si>
    <t xml:space="preserve">23520660</t>
  </si>
  <si>
    <t xml:space="preserve">20755300</t>
  </si>
  <si>
    <t xml:space="preserve">26560540</t>
  </si>
  <si>
    <t xml:space="preserve">21655340</t>
  </si>
  <si>
    <t xml:space="preserve">21635100</t>
  </si>
  <si>
    <t xml:space="preserve">24910750</t>
  </si>
  <si>
    <t xml:space="preserve">20211350</t>
  </si>
  <si>
    <t xml:space="preserve">23510242</t>
  </si>
  <si>
    <t xml:space="preserve">22730305</t>
  </si>
  <si>
    <t xml:space="preserve">21670380</t>
  </si>
  <si>
    <t xml:space="preserve">20520160</t>
  </si>
  <si>
    <t xml:space="preserve">21235535</t>
  </si>
  <si>
    <t xml:space="preserve">26290198</t>
  </si>
  <si>
    <t xml:space="preserve">22230080</t>
  </si>
  <si>
    <t xml:space="preserve">25070330</t>
  </si>
  <si>
    <t xml:space="preserve">23076360</t>
  </si>
  <si>
    <t xml:space="preserve">28050003</t>
  </si>
  <si>
    <t xml:space="preserve">24230253</t>
  </si>
  <si>
    <t xml:space="preserve">23860000</t>
  </si>
  <si>
    <t xml:space="preserve">21921000</t>
  </si>
  <si>
    <t xml:space="preserve">27281270</t>
  </si>
  <si>
    <t xml:space="preserve">24241002</t>
  </si>
  <si>
    <t xml:space="preserve">22740361</t>
  </si>
  <si>
    <t xml:space="preserve">26553390</t>
  </si>
  <si>
    <t xml:space="preserve">21852413</t>
  </si>
  <si>
    <t xml:space="preserve">21555080</t>
  </si>
  <si>
    <t xml:space="preserve">22793075</t>
  </si>
  <si>
    <t xml:space="preserve">22783123</t>
  </si>
  <si>
    <t xml:space="preserve">26295607</t>
  </si>
  <si>
    <t xml:space="preserve">22723391</t>
  </si>
  <si>
    <t xml:space="preserve">22783200</t>
  </si>
  <si>
    <t xml:space="preserve">23020230</t>
  </si>
  <si>
    <t xml:space="preserve">24465531</t>
  </si>
  <si>
    <t xml:space="preserve">24445790</t>
  </si>
  <si>
    <t xml:space="preserve">24750070</t>
  </si>
  <si>
    <t xml:space="preserve">24461290</t>
  </si>
  <si>
    <t xml:space="preserve">25975450</t>
  </si>
  <si>
    <t xml:space="preserve">28927410</t>
  </si>
  <si>
    <t xml:space="preserve">22451263</t>
  </si>
  <si>
    <t xml:space="preserve">25035520</t>
  </si>
  <si>
    <t xml:space="preserve">24715532</t>
  </si>
  <si>
    <t xml:space="preserve">24753600</t>
  </si>
  <si>
    <t xml:space="preserve">22790880</t>
  </si>
  <si>
    <t xml:space="preserve">22290140</t>
  </si>
  <si>
    <t xml:space="preserve">28983036</t>
  </si>
  <si>
    <t xml:space="preserve">28890133</t>
  </si>
  <si>
    <t xml:space="preserve">21530000</t>
  </si>
  <si>
    <t xml:space="preserve">24924465</t>
  </si>
  <si>
    <t xml:space="preserve">21710200</t>
  </si>
  <si>
    <t xml:space="preserve">28300000</t>
  </si>
  <si>
    <t xml:space="preserve">28920060</t>
  </si>
  <si>
    <t xml:space="preserve">26265190</t>
  </si>
  <si>
    <t xml:space="preserve">24050330</t>
  </si>
  <si>
    <t xml:space="preserve">23525002</t>
  </si>
  <si>
    <t xml:space="preserve">20931060</t>
  </si>
  <si>
    <t xml:space="preserve">20756070</t>
  </si>
  <si>
    <t xml:space="preserve">25710193</t>
  </si>
  <si>
    <t xml:space="preserve">23812720</t>
  </si>
  <si>
    <t xml:space="preserve">26084185</t>
  </si>
  <si>
    <t xml:space="preserve">25056360</t>
  </si>
  <si>
    <t xml:space="preserve">28400000</t>
  </si>
  <si>
    <t xml:space="preserve">20911250</t>
  </si>
  <si>
    <t xml:space="preserve">23092080</t>
  </si>
  <si>
    <t xml:space="preserve">24861008</t>
  </si>
  <si>
    <t xml:space="preserve">28020197</t>
  </si>
  <si>
    <t xml:space="preserve">28928524</t>
  </si>
  <si>
    <t xml:space="preserve">23028210</t>
  </si>
  <si>
    <t xml:space="preserve">26155040</t>
  </si>
  <si>
    <t xml:space="preserve">21830360</t>
  </si>
  <si>
    <t xml:space="preserve">21775370</t>
  </si>
  <si>
    <t xml:space="preserve">25065210</t>
  </si>
  <si>
    <t xml:space="preserve">22775045</t>
  </si>
  <si>
    <t xml:space="preserve">26291368</t>
  </si>
  <si>
    <t xml:space="preserve">20920410</t>
  </si>
  <si>
    <t xml:space="preserve">26554220</t>
  </si>
  <si>
    <t xml:space="preserve">20785000</t>
  </si>
  <si>
    <t xml:space="preserve">23587617</t>
  </si>
  <si>
    <t xml:space="preserve">20775000</t>
  </si>
  <si>
    <t xml:space="preserve">22641190</t>
  </si>
  <si>
    <t xml:space="preserve">22452100</t>
  </si>
  <si>
    <t xml:space="preserve">20261004</t>
  </si>
  <si>
    <t xml:space="preserve">23025070</t>
  </si>
  <si>
    <t xml:space="preserve">22730521</t>
  </si>
  <si>
    <t xml:space="preserve">21331050</t>
  </si>
  <si>
    <t xml:space="preserve">27130050</t>
  </si>
  <si>
    <t xml:space="preserve">25025237</t>
  </si>
  <si>
    <t xml:space="preserve">21715421</t>
  </si>
  <si>
    <t xml:space="preserve">23912440</t>
  </si>
  <si>
    <t xml:space="preserve">23555090</t>
  </si>
  <si>
    <t xml:space="preserve">25268410</t>
  </si>
  <si>
    <t xml:space="preserve">21745310</t>
  </si>
  <si>
    <t xml:space="preserve">26425320</t>
  </si>
  <si>
    <t xml:space="preserve">22753005</t>
  </si>
  <si>
    <t xml:space="preserve">24310340</t>
  </si>
  <si>
    <t xml:space="preserve">27211560</t>
  </si>
  <si>
    <t xml:space="preserve">28928788</t>
  </si>
  <si>
    <t xml:space="preserve">24350405</t>
  </si>
  <si>
    <t xml:space="preserve">24452005</t>
  </si>
  <si>
    <t xml:space="preserve">22240004</t>
  </si>
  <si>
    <t xml:space="preserve">21250150</t>
  </si>
  <si>
    <t xml:space="preserve">28630590</t>
  </si>
  <si>
    <t xml:space="preserve">22031112</t>
  </si>
  <si>
    <t xml:space="preserve">27320710</t>
  </si>
  <si>
    <t xml:space="preserve">21321740</t>
  </si>
  <si>
    <t xml:space="preserve">21920070</t>
  </si>
  <si>
    <t xml:space="preserve">24322535</t>
  </si>
  <si>
    <t xml:space="preserve">22051002</t>
  </si>
  <si>
    <t xml:space="preserve">23075067</t>
  </si>
  <si>
    <t xml:space="preserve">23903602</t>
  </si>
  <si>
    <t xml:space="preserve">21073190</t>
  </si>
  <si>
    <t xml:space="preserve">22471210</t>
  </si>
  <si>
    <t xml:space="preserve">27521071</t>
  </si>
  <si>
    <t xml:space="preserve">26190420</t>
  </si>
  <si>
    <t xml:space="preserve">25035060</t>
  </si>
  <si>
    <t xml:space="preserve">21740170</t>
  </si>
  <si>
    <t xml:space="preserve">20911300</t>
  </si>
  <si>
    <t xml:space="preserve">28455130</t>
  </si>
  <si>
    <t xml:space="preserve">23028340</t>
  </si>
  <si>
    <t xml:space="preserve">22775002</t>
  </si>
  <si>
    <t xml:space="preserve">21340120</t>
  </si>
  <si>
    <t xml:space="preserve">23075470</t>
  </si>
  <si>
    <t xml:space="preserve">22610050</t>
  </si>
  <si>
    <t xml:space="preserve">28650000</t>
  </si>
  <si>
    <t xml:space="preserve">25253650</t>
  </si>
  <si>
    <t xml:space="preserve">20220007</t>
  </si>
  <si>
    <t xml:space="preserve">21853410</t>
  </si>
  <si>
    <t xml:space="preserve">28983712</t>
  </si>
  <si>
    <t xml:space="preserve">21370260</t>
  </si>
  <si>
    <t xml:space="preserve">27963452</t>
  </si>
  <si>
    <t xml:space="preserve">25270550</t>
  </si>
  <si>
    <t xml:space="preserve">23891755</t>
  </si>
  <si>
    <t xml:space="preserve">23092190</t>
  </si>
  <si>
    <t xml:space="preserve">20920460</t>
  </si>
  <si>
    <t xml:space="preserve">24210470</t>
  </si>
  <si>
    <t xml:space="preserve">21853340</t>
  </si>
  <si>
    <t xml:space="preserve">22765390</t>
  </si>
  <si>
    <t xml:space="preserve">26183490</t>
  </si>
  <si>
    <t xml:space="preserve">23550375</t>
  </si>
  <si>
    <t xml:space="preserve">24755420</t>
  </si>
  <si>
    <t xml:space="preserve">27961804</t>
  </si>
  <si>
    <t xml:space="preserve">24916125</t>
  </si>
  <si>
    <t xml:space="preserve">24470030</t>
  </si>
  <si>
    <t xml:space="preserve">23944040</t>
  </si>
  <si>
    <t xml:space="preserve">22420004</t>
  </si>
  <si>
    <t xml:space="preserve">24466142</t>
  </si>
  <si>
    <t xml:space="preserve">21046210</t>
  </si>
  <si>
    <t xml:space="preserve">20051070</t>
  </si>
  <si>
    <t xml:space="preserve">26291003</t>
  </si>
  <si>
    <t xml:space="preserve">26381368</t>
  </si>
  <si>
    <t xml:space="preserve">28941412</t>
  </si>
  <si>
    <t xml:space="preserve">20931350</t>
  </si>
  <si>
    <t xml:space="preserve">23520286</t>
  </si>
  <si>
    <t xml:space="preserve">24412560</t>
  </si>
  <si>
    <t xml:space="preserve">28350190</t>
  </si>
  <si>
    <t xml:space="preserve">23932405</t>
  </si>
  <si>
    <t xml:space="preserve">24809230</t>
  </si>
  <si>
    <t xml:space="preserve">27931173</t>
  </si>
  <si>
    <t xml:space="preserve">23914465</t>
  </si>
  <si>
    <t xml:space="preserve">23094140</t>
  </si>
  <si>
    <t xml:space="preserve">20561098</t>
  </si>
  <si>
    <t xml:space="preserve">24425480</t>
  </si>
  <si>
    <t xml:space="preserve">26160630</t>
  </si>
  <si>
    <t xml:space="preserve">26180150</t>
  </si>
  <si>
    <t xml:space="preserve">25680502</t>
  </si>
  <si>
    <t xml:space="preserve">22713320</t>
  </si>
  <si>
    <t xml:space="preserve">26297120</t>
  </si>
  <si>
    <t xml:space="preserve">20230194</t>
  </si>
  <si>
    <t xml:space="preserve">26155480</t>
  </si>
  <si>
    <t xml:space="preserve">28681375</t>
  </si>
  <si>
    <t xml:space="preserve">28956710</t>
  </si>
  <si>
    <t xml:space="preserve">21911325</t>
  </si>
  <si>
    <t xml:space="preserve">21610460</t>
  </si>
  <si>
    <t xml:space="preserve">26070760</t>
  </si>
  <si>
    <t xml:space="preserve">28921799</t>
  </si>
  <si>
    <t xml:space="preserve">22783410</t>
  </si>
  <si>
    <t xml:space="preserve">26172144</t>
  </si>
  <si>
    <t xml:space="preserve">28035301</t>
  </si>
  <si>
    <t xml:space="preserve">24813564</t>
  </si>
  <si>
    <t xml:space="preserve">28637000</t>
  </si>
  <si>
    <t xml:space="preserve">26453230</t>
  </si>
  <si>
    <t xml:space="preserve">20511170</t>
  </si>
  <si>
    <t xml:space="preserve">28968770</t>
  </si>
  <si>
    <t xml:space="preserve">21073185</t>
  </si>
  <si>
    <t xml:space="preserve">20540218</t>
  </si>
  <si>
    <t xml:space="preserve">20550011</t>
  </si>
  <si>
    <t xml:space="preserve">28980000</t>
  </si>
  <si>
    <t xml:space="preserve">26587000</t>
  </si>
  <si>
    <t xml:space="preserve">21061020</t>
  </si>
  <si>
    <t xml:space="preserve">25545300</t>
  </si>
  <si>
    <t xml:space="preserve">25086296</t>
  </si>
  <si>
    <t xml:space="preserve">22773260</t>
  </si>
  <si>
    <t xml:space="preserve">21250540</t>
  </si>
  <si>
    <t xml:space="preserve">23076410</t>
  </si>
  <si>
    <t xml:space="preserve">26062320</t>
  </si>
  <si>
    <t xml:space="preserve">21040005</t>
  </si>
  <si>
    <t xml:space="preserve">24340100</t>
  </si>
  <si>
    <t xml:space="preserve">20750040</t>
  </si>
  <si>
    <t xml:space="preserve">25957025</t>
  </si>
  <si>
    <t xml:space="preserve">26900000</t>
  </si>
  <si>
    <t xml:space="preserve">25015280</t>
  </si>
  <si>
    <t xml:space="preserve">20720010</t>
  </si>
  <si>
    <t xml:space="preserve">25240170</t>
  </si>
  <si>
    <t xml:space="preserve">24241085</t>
  </si>
  <si>
    <t xml:space="preserve">21370500</t>
  </si>
  <si>
    <t xml:space="preserve">22785085</t>
  </si>
  <si>
    <t xml:space="preserve">23098006</t>
  </si>
  <si>
    <t xml:space="preserve">28050270</t>
  </si>
  <si>
    <t xml:space="preserve">26297222</t>
  </si>
  <si>
    <t xml:space="preserve">22620171</t>
  </si>
  <si>
    <t xml:space="preserve">27961068</t>
  </si>
  <si>
    <t xml:space="preserve">25035230</t>
  </si>
  <si>
    <t xml:space="preserve">23520131</t>
  </si>
  <si>
    <t xml:space="preserve">26265580</t>
  </si>
  <si>
    <t xml:space="preserve">21070590</t>
  </si>
  <si>
    <t xml:space="preserve">24735075</t>
  </si>
  <si>
    <t xml:space="preserve">26125450</t>
  </si>
  <si>
    <t xml:space="preserve">26515035</t>
  </si>
  <si>
    <t xml:space="preserve">23550265</t>
  </si>
  <si>
    <t xml:space="preserve">24940505</t>
  </si>
  <si>
    <t xml:space="preserve">23050180</t>
  </si>
  <si>
    <t xml:space="preserve">21050690</t>
  </si>
  <si>
    <t xml:space="preserve">21340510</t>
  </si>
  <si>
    <t xml:space="preserve">21650002</t>
  </si>
  <si>
    <t xml:space="preserve">21635350</t>
  </si>
  <si>
    <t xml:space="preserve">21512040</t>
  </si>
  <si>
    <t xml:space="preserve">22010050</t>
  </si>
  <si>
    <t xml:space="preserve">20972010</t>
  </si>
  <si>
    <t xml:space="preserve">20930430</t>
  </si>
  <si>
    <t xml:space="preserve">21862170</t>
  </si>
  <si>
    <t xml:space="preserve">21361470</t>
  </si>
  <si>
    <t xml:space="preserve">24342805</t>
  </si>
  <si>
    <t xml:space="preserve">24802695</t>
  </si>
  <si>
    <t xml:space="preserve">23835005</t>
  </si>
  <si>
    <t xml:space="preserve">21832150</t>
  </si>
  <si>
    <t xml:space="preserve">20770160</t>
  </si>
  <si>
    <t xml:space="preserve">24756151</t>
  </si>
  <si>
    <t xml:space="preserve">25271390</t>
  </si>
  <si>
    <t xml:space="preserve">21012190</t>
  </si>
  <si>
    <t xml:space="preserve">25585021</t>
  </si>
  <si>
    <t xml:space="preserve">25561202</t>
  </si>
  <si>
    <t xml:space="preserve">27353420</t>
  </si>
  <si>
    <t xml:space="preserve">25510170</t>
  </si>
  <si>
    <t xml:space="preserve">28915120</t>
  </si>
  <si>
    <t xml:space="preserve">26183250</t>
  </si>
  <si>
    <t xml:space="preserve">20960070</t>
  </si>
  <si>
    <t xml:space="preserve">25635530</t>
  </si>
  <si>
    <t xml:space="preserve">22291050</t>
  </si>
  <si>
    <t xml:space="preserve">25270438</t>
  </si>
  <si>
    <t xml:space="preserve">23812040</t>
  </si>
  <si>
    <t xml:space="preserve">24466540</t>
  </si>
  <si>
    <t xml:space="preserve">25251039</t>
  </si>
  <si>
    <t xml:space="preserve">21341180</t>
  </si>
  <si>
    <t xml:space="preserve">21240270</t>
  </si>
  <si>
    <t xml:space="preserve">25916060</t>
  </si>
  <si>
    <t xml:space="preserve">28360000</t>
  </si>
  <si>
    <t xml:space="preserve">23946105</t>
  </si>
  <si>
    <t xml:space="preserve">24330325</t>
  </si>
  <si>
    <t xml:space="preserve">26112250</t>
  </si>
  <si>
    <t xml:space="preserve">23525180</t>
  </si>
  <si>
    <t xml:space="preserve">26600000</t>
  </si>
  <si>
    <t xml:space="preserve">26291320</t>
  </si>
  <si>
    <t xml:space="preserve">26265090</t>
  </si>
  <si>
    <t xml:space="preserve">20710350</t>
  </si>
  <si>
    <t xml:space="preserve">21862390</t>
  </si>
  <si>
    <t xml:space="preserve">28941013</t>
  </si>
  <si>
    <t xml:space="preserve">27325110</t>
  </si>
  <si>
    <t xml:space="preserve">25964005</t>
  </si>
  <si>
    <t xml:space="preserve">28920030</t>
  </si>
  <si>
    <t xml:space="preserve">28930000</t>
  </si>
  <si>
    <t xml:space="preserve">26032060</t>
  </si>
  <si>
    <t xml:space="preserve">23010095</t>
  </si>
  <si>
    <t xml:space="preserve">21920370</t>
  </si>
  <si>
    <t xml:space="preserve">25635340</t>
  </si>
  <si>
    <t xml:space="preserve">22740362</t>
  </si>
  <si>
    <t xml:space="preserve">26278535</t>
  </si>
  <si>
    <t xml:space="preserve">28926596</t>
  </si>
  <si>
    <t xml:space="preserve">25946148</t>
  </si>
  <si>
    <t xml:space="preserve">26562421</t>
  </si>
  <si>
    <t xml:space="preserve">26582220</t>
  </si>
  <si>
    <t xml:space="preserve">24812280</t>
  </si>
  <si>
    <t xml:space="preserve">20550210</t>
  </si>
  <si>
    <t xml:space="preserve">25214415</t>
  </si>
  <si>
    <t xml:space="preserve">21341270</t>
  </si>
  <si>
    <t xml:space="preserve">21853054</t>
  </si>
  <si>
    <t xml:space="preserve">25215285</t>
  </si>
  <si>
    <t xml:space="preserve">23570490</t>
  </si>
  <si>
    <t xml:space="preserve">25850000</t>
  </si>
  <si>
    <t xml:space="preserve">26293384</t>
  </si>
  <si>
    <t xml:space="preserve">26082005</t>
  </si>
  <si>
    <t xml:space="preserve">26110323</t>
  </si>
  <si>
    <t xml:space="preserve">22753053</t>
  </si>
  <si>
    <t xml:space="preserve">22070011</t>
  </si>
  <si>
    <t xml:space="preserve">25270270</t>
  </si>
  <si>
    <t xml:space="preserve">22753501</t>
  </si>
  <si>
    <t xml:space="preserve">25267320</t>
  </si>
  <si>
    <t xml:space="preserve">28027150</t>
  </si>
  <si>
    <t xml:space="preserve">25545201</t>
  </si>
  <si>
    <t xml:space="preserve">21715190</t>
  </si>
  <si>
    <t xml:space="preserve">26515401</t>
  </si>
  <si>
    <t xml:space="preserve">22061020</t>
  </si>
  <si>
    <t xml:space="preserve">27935170</t>
  </si>
  <si>
    <t xml:space="preserve">27330660</t>
  </si>
  <si>
    <t xml:space="preserve">26383560</t>
  </si>
  <si>
    <t xml:space="preserve">22770360</t>
  </si>
  <si>
    <t xml:space="preserve">24738834</t>
  </si>
  <si>
    <t xml:space="preserve">21031752</t>
  </si>
  <si>
    <t xml:space="preserve">22753050</t>
  </si>
  <si>
    <t xml:space="preserve">28944042</t>
  </si>
  <si>
    <t xml:space="preserve">25025086</t>
  </si>
  <si>
    <t xml:space="preserve">23042500</t>
  </si>
  <si>
    <t xml:space="preserve">22210050</t>
  </si>
  <si>
    <t xml:space="preserve">27197249</t>
  </si>
  <si>
    <t xml:space="preserve">25555091</t>
  </si>
  <si>
    <t xml:space="preserve">26083460</t>
  </si>
  <si>
    <t xml:space="preserve">24421021</t>
  </si>
  <si>
    <t xml:space="preserve">24804700</t>
  </si>
  <si>
    <t xml:space="preserve">21721480</t>
  </si>
  <si>
    <t xml:space="preserve">20750120</t>
  </si>
  <si>
    <t xml:space="preserve">22783325</t>
  </si>
  <si>
    <t xml:space="preserve">24436000</t>
  </si>
  <si>
    <t xml:space="preserve">21640260</t>
  </si>
  <si>
    <t xml:space="preserve">20765171</t>
  </si>
  <si>
    <t xml:space="preserve">24754007</t>
  </si>
  <si>
    <t xml:space="preserve">28994500</t>
  </si>
  <si>
    <t xml:space="preserve">24436807</t>
  </si>
  <si>
    <t xml:space="preserve">21843110</t>
  </si>
  <si>
    <t xml:space="preserve">21920120</t>
  </si>
  <si>
    <t xml:space="preserve">21230354</t>
  </si>
  <si>
    <t xml:space="preserve">20766721</t>
  </si>
  <si>
    <t xml:space="preserve">21775410</t>
  </si>
  <si>
    <t xml:space="preserve">25261470</t>
  </si>
  <si>
    <t xml:space="preserve">21760001</t>
  </si>
  <si>
    <t xml:space="preserve">26381411</t>
  </si>
  <si>
    <t xml:space="preserve">28990051</t>
  </si>
  <si>
    <t xml:space="preserve">24325020</t>
  </si>
  <si>
    <t xml:space="preserve">28972872</t>
  </si>
  <si>
    <t xml:space="preserve">25525720</t>
  </si>
  <si>
    <t xml:space="preserve">23555220</t>
  </si>
  <si>
    <t xml:space="preserve">28985225</t>
  </si>
  <si>
    <t xml:space="preserve">21740030</t>
  </si>
  <si>
    <t xml:space="preserve">23030300</t>
  </si>
  <si>
    <t xml:space="preserve">26042450</t>
  </si>
  <si>
    <t xml:space="preserve">24440440</t>
  </si>
  <si>
    <t xml:space="preserve">23058150</t>
  </si>
  <si>
    <t xml:space="preserve">21215060</t>
  </si>
  <si>
    <t xml:space="preserve">25264480</t>
  </si>
  <si>
    <t xml:space="preserve">22775598</t>
  </si>
  <si>
    <t xml:space="preserve">24813093</t>
  </si>
  <si>
    <t xml:space="preserve">23520521</t>
  </si>
  <si>
    <t xml:space="preserve">20771631</t>
  </si>
  <si>
    <t xml:space="preserve">24900155</t>
  </si>
  <si>
    <t xml:space="preserve">27255005</t>
  </si>
  <si>
    <t xml:space="preserve">23063152</t>
  </si>
  <si>
    <t xml:space="preserve">21042070</t>
  </si>
  <si>
    <t xml:space="preserve">23914215</t>
  </si>
  <si>
    <t xml:space="preserve">24725229</t>
  </si>
  <si>
    <t xml:space="preserve">25213152</t>
  </si>
  <si>
    <t xml:space="preserve">27262470</t>
  </si>
  <si>
    <t xml:space="preserve">21211740</t>
  </si>
  <si>
    <t xml:space="preserve">28030350</t>
  </si>
  <si>
    <t xml:space="preserve">24472160</t>
  </si>
  <si>
    <t xml:space="preserve">25015005</t>
  </si>
  <si>
    <t xml:space="preserve">21555150</t>
  </si>
  <si>
    <t xml:space="preserve">23061200</t>
  </si>
  <si>
    <t xml:space="preserve">22790873</t>
  </si>
  <si>
    <t xml:space="preserve">24230090</t>
  </si>
  <si>
    <t xml:space="preserve">28989520</t>
  </si>
  <si>
    <t xml:space="preserve">26033310</t>
  </si>
  <si>
    <t xml:space="preserve">27935365</t>
  </si>
  <si>
    <t xml:space="preserve">23587076</t>
  </si>
  <si>
    <t xml:space="preserve">25220340</t>
  </si>
  <si>
    <t xml:space="preserve">24425290</t>
  </si>
  <si>
    <t xml:space="preserve">21770100</t>
  </si>
  <si>
    <t xml:space="preserve">26190520</t>
  </si>
  <si>
    <t xml:space="preserve">27283040</t>
  </si>
  <si>
    <t xml:space="preserve">24460170</t>
  </si>
  <si>
    <t xml:space="preserve">20973900</t>
  </si>
  <si>
    <t xml:space="preserve">28120000</t>
  </si>
  <si>
    <t xml:space="preserve">25535120</t>
  </si>
  <si>
    <t xml:space="preserve">26165340</t>
  </si>
  <si>
    <t xml:space="preserve">25575080</t>
  </si>
  <si>
    <t xml:space="preserve">21050424</t>
  </si>
  <si>
    <t xml:space="preserve">24461590</t>
  </si>
  <si>
    <t xml:space="preserve">23042330</t>
  </si>
  <si>
    <t xml:space="preserve">25225660</t>
  </si>
  <si>
    <t xml:space="preserve">26515020</t>
  </si>
  <si>
    <t xml:space="preserve">23092002</t>
  </si>
  <si>
    <t xml:space="preserve">26178200</t>
  </si>
  <si>
    <t xml:space="preserve">23025150</t>
  </si>
  <si>
    <t xml:space="preserve">24425190</t>
  </si>
  <si>
    <t xml:space="preserve">26110250</t>
  </si>
  <si>
    <t xml:space="preserve">28948008</t>
  </si>
  <si>
    <t xml:space="preserve">22783124</t>
  </si>
  <si>
    <t xml:space="preserve">23032180</t>
  </si>
  <si>
    <t xml:space="preserve">21910170</t>
  </si>
  <si>
    <t xml:space="preserve">21046415</t>
  </si>
  <si>
    <t xml:space="preserve">21072150</t>
  </si>
  <si>
    <t xml:space="preserve">24344121</t>
  </si>
  <si>
    <t xml:space="preserve">26297072</t>
  </si>
  <si>
    <t xml:space="preserve">23894658</t>
  </si>
  <si>
    <t xml:space="preserve">26116260</t>
  </si>
  <si>
    <t xml:space="preserve">24806686</t>
  </si>
  <si>
    <t xml:space="preserve">21060630</t>
  </si>
  <si>
    <t xml:space="preserve">28908105</t>
  </si>
  <si>
    <t xml:space="preserve">23811790</t>
  </si>
  <si>
    <t xml:space="preserve">21840102</t>
  </si>
  <si>
    <t xml:space="preserve">21040016</t>
  </si>
  <si>
    <t xml:space="preserve">21241430</t>
  </si>
  <si>
    <t xml:space="preserve">23580440</t>
  </si>
  <si>
    <t xml:space="preserve">25035030</t>
  </si>
  <si>
    <t xml:space="preserve">23075007</t>
  </si>
  <si>
    <t xml:space="preserve">24745170</t>
  </si>
  <si>
    <t xml:space="preserve">23535811</t>
  </si>
  <si>
    <t xml:space="preserve">23830080</t>
  </si>
  <si>
    <t xml:space="preserve">24921770</t>
  </si>
  <si>
    <t xml:space="preserve">24914100</t>
  </si>
  <si>
    <t xml:space="preserve">26376040</t>
  </si>
  <si>
    <t xml:space="preserve">21210260</t>
  </si>
  <si>
    <t xml:space="preserve">21545290</t>
  </si>
  <si>
    <t xml:space="preserve">21854002</t>
  </si>
  <si>
    <t xml:space="preserve">23070130</t>
  </si>
  <si>
    <t xml:space="preserve">23075078</t>
  </si>
  <si>
    <t xml:space="preserve">27274090</t>
  </si>
  <si>
    <t xml:space="preserve">26381736</t>
  </si>
  <si>
    <t xml:space="preserve">25230050</t>
  </si>
  <si>
    <t xml:space="preserve">28080095</t>
  </si>
  <si>
    <t xml:space="preserve">25235105</t>
  </si>
  <si>
    <t xml:space="preserve">28897174</t>
  </si>
  <si>
    <t xml:space="preserve">21665110</t>
  </si>
  <si>
    <t xml:space="preserve">22713587</t>
  </si>
  <si>
    <t xml:space="preserve">21616410</t>
  </si>
  <si>
    <t xml:space="preserve">22775118</t>
  </si>
  <si>
    <t xml:space="preserve">25266070</t>
  </si>
  <si>
    <t xml:space="preserve">25570290</t>
  </si>
  <si>
    <t xml:space="preserve">22775060</t>
  </si>
  <si>
    <t xml:space="preserve">23918510</t>
  </si>
  <si>
    <t xml:space="preserve">28022720</t>
  </si>
  <si>
    <t xml:space="preserve">26525131</t>
  </si>
  <si>
    <t xml:space="preserve">28948243</t>
  </si>
  <si>
    <t xml:space="preserve">22770590</t>
  </si>
  <si>
    <t xml:space="preserve">25243054</t>
  </si>
  <si>
    <t xml:space="preserve">23550570</t>
  </si>
  <si>
    <t xml:space="preserve">27511610</t>
  </si>
  <si>
    <t xml:space="preserve">23585245</t>
  </si>
  <si>
    <t xml:space="preserve">28415000</t>
  </si>
  <si>
    <t xml:space="preserve">26455365</t>
  </si>
  <si>
    <t xml:space="preserve">28770000</t>
  </si>
  <si>
    <t xml:space="preserve">28968345</t>
  </si>
  <si>
    <t xml:space="preserve">23068100</t>
  </si>
  <si>
    <t xml:space="preserve">22410001</t>
  </si>
  <si>
    <t xml:space="preserve">22270060</t>
  </si>
  <si>
    <t xml:space="preserve">23097640</t>
  </si>
  <si>
    <t xml:space="preserve">24436810</t>
  </si>
  <si>
    <t xml:space="preserve">24730090</t>
  </si>
  <si>
    <t xml:space="preserve">21530013</t>
  </si>
  <si>
    <t xml:space="preserve">21011290</t>
  </si>
  <si>
    <t xml:space="preserve">28994282</t>
  </si>
  <si>
    <t xml:space="preserve">24456150</t>
  </si>
  <si>
    <t xml:space="preserve">24320420</t>
  </si>
  <si>
    <t xml:space="preserve">20750030</t>
  </si>
  <si>
    <t xml:space="preserve">24723415</t>
  </si>
  <si>
    <t xml:space="preserve">22210030</t>
  </si>
  <si>
    <t xml:space="preserve">25046480</t>
  </si>
  <si>
    <t xml:space="preserve">20770180</t>
  </si>
  <si>
    <t xml:space="preserve">24753532</t>
  </si>
  <si>
    <t xml:space="preserve">23595020</t>
  </si>
  <si>
    <t xml:space="preserve">20740370</t>
  </si>
  <si>
    <t xml:space="preserve">24914420</t>
  </si>
  <si>
    <t xml:space="preserve">22041011</t>
  </si>
  <si>
    <t xml:space="preserve">20540106</t>
  </si>
  <si>
    <t xml:space="preserve">21042001</t>
  </si>
  <si>
    <t xml:space="preserve">28988892</t>
  </si>
  <si>
    <t xml:space="preserve">24415000</t>
  </si>
  <si>
    <t xml:space="preserve">24932855</t>
  </si>
  <si>
    <t xml:space="preserve">25555221</t>
  </si>
  <si>
    <t xml:space="preserve">22753710</t>
  </si>
  <si>
    <t xml:space="preserve">27923390</t>
  </si>
  <si>
    <t xml:space="preserve">22790714</t>
  </si>
  <si>
    <t xml:space="preserve">22740240</t>
  </si>
  <si>
    <t xml:space="preserve">26540130</t>
  </si>
  <si>
    <t xml:space="preserve">27273500</t>
  </si>
  <si>
    <t xml:space="preserve">20521030</t>
  </si>
  <si>
    <t xml:space="preserve">26293307</t>
  </si>
  <si>
    <t xml:space="preserve">26173140</t>
  </si>
  <si>
    <t xml:space="preserve">24722250</t>
  </si>
  <si>
    <t xml:space="preserve">26177110</t>
  </si>
  <si>
    <t xml:space="preserve">24455436</t>
  </si>
  <si>
    <t xml:space="preserve">23550105</t>
  </si>
  <si>
    <t xml:space="preserve">22011900</t>
  </si>
  <si>
    <t xml:space="preserve">23035600</t>
  </si>
  <si>
    <t xml:space="preserve">26553495</t>
  </si>
  <si>
    <t xml:space="preserve">24130247</t>
  </si>
  <si>
    <t xml:space="preserve">21230075</t>
  </si>
  <si>
    <t xml:space="preserve">21520050</t>
  </si>
  <si>
    <t xml:space="preserve">20730200</t>
  </si>
  <si>
    <t xml:space="preserve">21046020</t>
  </si>
  <si>
    <t xml:space="preserve">25035008</t>
  </si>
  <si>
    <t xml:space="preserve">21725180</t>
  </si>
  <si>
    <t xml:space="preserve">26278010</t>
  </si>
  <si>
    <t xml:space="preserve">22641004</t>
  </si>
  <si>
    <t xml:space="preserve">25212610</t>
  </si>
  <si>
    <t xml:space="preserve">23025033</t>
  </si>
  <si>
    <t xml:space="preserve">26030095</t>
  </si>
  <si>
    <t xml:space="preserve">26175240</t>
  </si>
  <si>
    <t xml:space="preserve">21515070</t>
  </si>
  <si>
    <t xml:space="preserve">24020320</t>
  </si>
  <si>
    <t xml:space="preserve">21341370</t>
  </si>
  <si>
    <t xml:space="preserve">23587460</t>
  </si>
  <si>
    <t xml:space="preserve">21520280</t>
  </si>
  <si>
    <t xml:space="preserve">28027040</t>
  </si>
  <si>
    <t xml:space="preserve">25071100</t>
  </si>
  <si>
    <t xml:space="preserve">22452770</t>
  </si>
  <si>
    <t xml:space="preserve">25010005</t>
  </si>
  <si>
    <t xml:space="preserve">25586030</t>
  </si>
  <si>
    <t xml:space="preserve">26311240</t>
  </si>
  <si>
    <t xml:space="preserve">21321035</t>
  </si>
  <si>
    <t xml:space="preserve">21545230</t>
  </si>
  <si>
    <t xml:space="preserve">28920050</t>
  </si>
  <si>
    <t xml:space="preserve">25070170</t>
  </si>
  <si>
    <t xml:space="preserve">22430070</t>
  </si>
  <si>
    <t xml:space="preserve">24744490</t>
  </si>
  <si>
    <t xml:space="preserve">20270231</t>
  </si>
  <si>
    <t xml:space="preserve">26294462</t>
  </si>
  <si>
    <t xml:space="preserve">25020085</t>
  </si>
  <si>
    <t xml:space="preserve">20541018</t>
  </si>
  <si>
    <t xml:space="preserve">21843070</t>
  </si>
  <si>
    <t xml:space="preserve">23547320</t>
  </si>
  <si>
    <t xml:space="preserve">28898024</t>
  </si>
  <si>
    <t xml:space="preserve">25056100</t>
  </si>
  <si>
    <t xml:space="preserve">26294300</t>
  </si>
  <si>
    <t xml:space="preserve">22723497</t>
  </si>
  <si>
    <t xml:space="preserve">26260035</t>
  </si>
  <si>
    <t xml:space="preserve">25035460</t>
  </si>
  <si>
    <t xml:space="preserve">25720142</t>
  </si>
  <si>
    <t xml:space="preserve">27276310</t>
  </si>
  <si>
    <t xml:space="preserve">28991406</t>
  </si>
  <si>
    <t xml:space="preserve">25030058</t>
  </si>
  <si>
    <t xml:space="preserve">25035200</t>
  </si>
  <si>
    <t xml:space="preserve">26040810</t>
  </si>
  <si>
    <t xml:space="preserve">28934815</t>
  </si>
  <si>
    <t xml:space="preserve">24931115</t>
  </si>
  <si>
    <t xml:space="preserve">21760140</t>
  </si>
  <si>
    <t xml:space="preserve">25235074</t>
  </si>
  <si>
    <t xml:space="preserve">28998320</t>
  </si>
  <si>
    <t xml:space="preserve">21215395</t>
  </si>
  <si>
    <t xml:space="preserve">Sicredi</t>
  </si>
  <si>
    <t xml:space="preserve">27516240</t>
  </si>
  <si>
    <t xml:space="preserve">22793400</t>
  </si>
  <si>
    <t xml:space="preserve">23575093</t>
  </si>
  <si>
    <t xml:space="preserve">21830005</t>
  </si>
  <si>
    <t xml:space="preserve">25565370</t>
  </si>
  <si>
    <t xml:space="preserve">25943377</t>
  </si>
  <si>
    <t xml:space="preserve">21043280</t>
  </si>
  <si>
    <t xml:space="preserve">24430460</t>
  </si>
  <si>
    <t xml:space="preserve">23530550</t>
  </si>
  <si>
    <t xml:space="preserve">21555480</t>
  </si>
  <si>
    <t xml:space="preserve">22250060</t>
  </si>
  <si>
    <t xml:space="preserve">23870000</t>
  </si>
  <si>
    <t xml:space="preserve">23040550</t>
  </si>
  <si>
    <t xml:space="preserve">28925071</t>
  </si>
  <si>
    <t xml:space="preserve">23520241</t>
  </si>
  <si>
    <t xml:space="preserve">22730150</t>
  </si>
  <si>
    <t xml:space="preserve">26087335</t>
  </si>
  <si>
    <t xml:space="preserve">21815030</t>
  </si>
  <si>
    <t xml:space="preserve">21755270</t>
  </si>
  <si>
    <t xml:space="preserve">22765455</t>
  </si>
  <si>
    <t xml:space="preserve">21833050</t>
  </si>
  <si>
    <t xml:space="preserve">22783116</t>
  </si>
  <si>
    <t xml:space="preserve">23093146</t>
  </si>
  <si>
    <t xml:space="preserve">22750300</t>
  </si>
  <si>
    <t xml:space="preserve">21236020</t>
  </si>
  <si>
    <t xml:space="preserve">23032310</t>
  </si>
  <si>
    <t xml:space="preserve">26562040</t>
  </si>
  <si>
    <t xml:space="preserve">20785342</t>
  </si>
  <si>
    <t xml:space="preserve">23585081</t>
  </si>
  <si>
    <t xml:space="preserve">27525847</t>
  </si>
  <si>
    <t xml:space="preserve">23935080</t>
  </si>
  <si>
    <t xml:space="preserve">24856232</t>
  </si>
  <si>
    <t xml:space="preserve">25620002</t>
  </si>
  <si>
    <t xml:space="preserve">22763550</t>
  </si>
  <si>
    <t xml:space="preserve">22753340</t>
  </si>
  <si>
    <t xml:space="preserve">21670450</t>
  </si>
  <si>
    <t xml:space="preserve">26587310</t>
  </si>
  <si>
    <t xml:space="preserve">23058070</t>
  </si>
  <si>
    <t xml:space="preserve">22793395</t>
  </si>
  <si>
    <t xml:space="preserve">28995211</t>
  </si>
  <si>
    <t xml:space="preserve">26535380</t>
  </si>
  <si>
    <t xml:space="preserve">24445210</t>
  </si>
  <si>
    <t xml:space="preserve">22793366</t>
  </si>
  <si>
    <t xml:space="preserve">27213050</t>
  </si>
  <si>
    <t xml:space="preserve">23061010</t>
  </si>
  <si>
    <t xml:space="preserve">24474295</t>
  </si>
  <si>
    <t xml:space="preserve">21210270</t>
  </si>
  <si>
    <t xml:space="preserve">23907205</t>
  </si>
  <si>
    <t xml:space="preserve">23082410</t>
  </si>
  <si>
    <t xml:space="preserve">25550500</t>
  </si>
  <si>
    <t xml:space="preserve">25555201</t>
  </si>
  <si>
    <t xml:space="preserve">24745120</t>
  </si>
  <si>
    <t xml:space="preserve">25272660</t>
  </si>
  <si>
    <t xml:space="preserve">24340105</t>
  </si>
  <si>
    <t xml:space="preserve">28990760</t>
  </si>
  <si>
    <t xml:space="preserve">26475040</t>
  </si>
  <si>
    <t xml:space="preserve">26525046</t>
  </si>
  <si>
    <t xml:space="preserve">26587390</t>
  </si>
  <si>
    <t xml:space="preserve">24800770</t>
  </si>
  <si>
    <t xml:space="preserve">28990542</t>
  </si>
  <si>
    <t xml:space="preserve">23040150</t>
  </si>
  <si>
    <t xml:space="preserve">26376070</t>
  </si>
  <si>
    <t xml:space="preserve">22753155</t>
  </si>
  <si>
    <t xml:space="preserve">20550220</t>
  </si>
  <si>
    <t xml:space="preserve">20211020</t>
  </si>
  <si>
    <t xml:space="preserve">28013025</t>
  </si>
  <si>
    <t xml:space="preserve">28890603</t>
  </si>
  <si>
    <t xml:space="preserve">28024492</t>
  </si>
  <si>
    <t xml:space="preserve">25935075</t>
  </si>
  <si>
    <t xml:space="preserve">22753200</t>
  </si>
  <si>
    <t xml:space="preserve">20751010</t>
  </si>
  <si>
    <t xml:space="preserve">21615410</t>
  </si>
  <si>
    <t xml:space="preserve">28925732</t>
  </si>
  <si>
    <t xml:space="preserve">25071220</t>
  </si>
  <si>
    <t xml:space="preserve">24724100</t>
  </si>
  <si>
    <t xml:space="preserve">21050060</t>
  </si>
  <si>
    <t xml:space="preserve">21330430</t>
  </si>
  <si>
    <t xml:space="preserve">26155070</t>
  </si>
  <si>
    <t xml:space="preserve">24457340</t>
  </si>
  <si>
    <t xml:space="preserve">28890868</t>
  </si>
  <si>
    <t xml:space="preserve">23515680</t>
  </si>
  <si>
    <t xml:space="preserve">26220060</t>
  </si>
  <si>
    <t xml:space="preserve">28983332</t>
  </si>
  <si>
    <t xml:space="preserve">24330180</t>
  </si>
  <si>
    <t xml:space="preserve">28699899</t>
  </si>
  <si>
    <t xml:space="preserve">26061810</t>
  </si>
  <si>
    <t xml:space="preserve">21630250</t>
  </si>
  <si>
    <t xml:space="preserve">22725031</t>
  </si>
  <si>
    <t xml:space="preserve">23032305</t>
  </si>
  <si>
    <t xml:space="preserve">25214300</t>
  </si>
  <si>
    <t xml:space="preserve">28060480</t>
  </si>
  <si>
    <t xml:space="preserve">24737540</t>
  </si>
  <si>
    <t xml:space="preserve">23898030</t>
  </si>
  <si>
    <t xml:space="preserve">20961050</t>
  </si>
  <si>
    <t xml:space="preserve">23510570</t>
  </si>
  <si>
    <t xml:space="preserve">25253554</t>
  </si>
  <si>
    <t xml:space="preserve">25645250</t>
  </si>
  <si>
    <t xml:space="preserve">28909460</t>
  </si>
  <si>
    <t xml:space="preserve">26510040</t>
  </si>
  <si>
    <t xml:space="preserve">26087095</t>
  </si>
  <si>
    <t xml:space="preserve">23595290</t>
  </si>
  <si>
    <t xml:space="preserve">21210002</t>
  </si>
  <si>
    <t xml:space="preserve">27580180</t>
  </si>
  <si>
    <t xml:space="preserve">21020160</t>
  </si>
  <si>
    <t xml:space="preserve">23066550</t>
  </si>
  <si>
    <t xml:space="preserve">24908780</t>
  </si>
  <si>
    <t xml:space="preserve">23098393</t>
  </si>
  <si>
    <t xml:space="preserve">22795355</t>
  </si>
  <si>
    <t xml:space="preserve">21020123</t>
  </si>
  <si>
    <t xml:space="preserve">27522130</t>
  </si>
  <si>
    <t xml:space="preserve">25946244</t>
  </si>
  <si>
    <t xml:space="preserve">26510608</t>
  </si>
  <si>
    <t xml:space="preserve">24425470</t>
  </si>
  <si>
    <t xml:space="preserve">24931740</t>
  </si>
  <si>
    <t xml:space="preserve">21921730</t>
  </si>
  <si>
    <t xml:space="preserve">21920001</t>
  </si>
  <si>
    <t xml:space="preserve">28040630</t>
  </si>
  <si>
    <t xml:space="preserve">24944232</t>
  </si>
  <si>
    <t xml:space="preserve">21720070</t>
  </si>
  <si>
    <t xml:space="preserve">21920115</t>
  </si>
  <si>
    <t xml:space="preserve">28090115</t>
  </si>
  <si>
    <t xml:space="preserve">22470230</t>
  </si>
  <si>
    <t xml:space="preserve">20761120</t>
  </si>
  <si>
    <t xml:space="preserve">28635360</t>
  </si>
  <si>
    <t xml:space="preserve">26554300</t>
  </si>
  <si>
    <t xml:space="preserve">27250005</t>
  </si>
  <si>
    <t xml:space="preserve">26215210</t>
  </si>
  <si>
    <t xml:space="preserve">23575275</t>
  </si>
  <si>
    <t xml:space="preserve">21745350</t>
  </si>
  <si>
    <t xml:space="preserve">21725020</t>
  </si>
  <si>
    <t xml:space="preserve">25071070</t>
  </si>
  <si>
    <t xml:space="preserve">23065004</t>
  </si>
  <si>
    <t xml:space="preserve">25935546</t>
  </si>
  <si>
    <t xml:space="preserve">24431720</t>
  </si>
  <si>
    <t xml:space="preserve">21540690</t>
  </si>
  <si>
    <t xml:space="preserve">23067438</t>
  </si>
  <si>
    <t xml:space="preserve">24310260</t>
  </si>
  <si>
    <t xml:space="preserve">22785276</t>
  </si>
  <si>
    <t xml:space="preserve">21710510</t>
  </si>
  <si>
    <t xml:space="preserve">26445270</t>
  </si>
  <si>
    <t xml:space="preserve">22795200</t>
  </si>
  <si>
    <t xml:space="preserve">21715075</t>
  </si>
  <si>
    <t xml:space="preserve">22770280</t>
  </si>
  <si>
    <t xml:space="preserve">26135300</t>
  </si>
  <si>
    <t xml:space="preserve">23898093</t>
  </si>
  <si>
    <t xml:space="preserve">25640550</t>
  </si>
  <si>
    <t xml:space="preserve">21046160</t>
  </si>
  <si>
    <t xml:space="preserve">21051020</t>
  </si>
  <si>
    <t xml:space="preserve">28961777</t>
  </si>
  <si>
    <t xml:space="preserve">26190281</t>
  </si>
  <si>
    <t xml:space="preserve">22713581</t>
  </si>
  <si>
    <t xml:space="preserve">23025500</t>
  </si>
  <si>
    <t xml:space="preserve">23040580</t>
  </si>
  <si>
    <t xml:space="preserve">24020240</t>
  </si>
  <si>
    <t xml:space="preserve">26112100</t>
  </si>
  <si>
    <t xml:space="preserve">23560050</t>
  </si>
  <si>
    <t xml:space="preserve">25235160</t>
  </si>
  <si>
    <t xml:space="preserve">24732660</t>
  </si>
  <si>
    <t xml:space="preserve">28899404</t>
  </si>
  <si>
    <t xml:space="preserve">27963812</t>
  </si>
  <si>
    <t xml:space="preserve">26271090</t>
  </si>
  <si>
    <t xml:space="preserve">26113660</t>
  </si>
  <si>
    <t xml:space="preserve">22460300</t>
  </si>
  <si>
    <t xml:space="preserve">21825183</t>
  </si>
  <si>
    <t xml:space="preserve">27532328</t>
  </si>
  <si>
    <t xml:space="preserve">26160165</t>
  </si>
  <si>
    <t xml:space="preserve">24130307</t>
  </si>
  <si>
    <t xml:space="preserve">25221424</t>
  </si>
  <si>
    <t xml:space="preserve">26032830</t>
  </si>
  <si>
    <t xml:space="preserve">25540540</t>
  </si>
  <si>
    <t xml:space="preserve">26553190</t>
  </si>
  <si>
    <t xml:space="preserve">28968485</t>
  </si>
  <si>
    <t xml:space="preserve">23075440</t>
  </si>
  <si>
    <t xml:space="preserve">24812022</t>
  </si>
  <si>
    <t xml:space="preserve">25780000</t>
  </si>
  <si>
    <t xml:space="preserve">26176050</t>
  </si>
  <si>
    <t xml:space="preserve">23027290</t>
  </si>
  <si>
    <t xml:space="preserve">20261063</t>
  </si>
  <si>
    <t xml:space="preserve">26050610</t>
  </si>
  <si>
    <t xml:space="preserve">25650490</t>
  </si>
  <si>
    <t xml:space="preserve">22713570</t>
  </si>
  <si>
    <t xml:space="preserve">26130230</t>
  </si>
  <si>
    <t xml:space="preserve">25565430</t>
  </si>
  <si>
    <t xml:space="preserve">22743040</t>
  </si>
  <si>
    <t xml:space="preserve">23097692</t>
  </si>
  <si>
    <t xml:space="preserve">21230330</t>
  </si>
  <si>
    <t xml:space="preserve">23033020</t>
  </si>
  <si>
    <t xml:space="preserve">27135280</t>
  </si>
  <si>
    <t xml:space="preserve">27277210</t>
  </si>
  <si>
    <t xml:space="preserve">20960008</t>
  </si>
  <si>
    <t xml:space="preserve">21760360</t>
  </si>
  <si>
    <t xml:space="preserve">20071002</t>
  </si>
  <si>
    <t xml:space="preserve">25271755</t>
  </si>
  <si>
    <t xml:space="preserve">21660620</t>
  </si>
  <si>
    <t xml:space="preserve">24422400</t>
  </si>
  <si>
    <t xml:space="preserve">20961020</t>
  </si>
  <si>
    <t xml:space="preserve">21852540</t>
  </si>
  <si>
    <t xml:space="preserve">22270012</t>
  </si>
  <si>
    <t xml:space="preserve">22260040</t>
  </si>
  <si>
    <t xml:space="preserve">21380400</t>
  </si>
  <si>
    <t xml:space="preserve">21042120</t>
  </si>
  <si>
    <t xml:space="preserve">23535230</t>
  </si>
  <si>
    <t xml:space="preserve">24726460</t>
  </si>
  <si>
    <t xml:space="preserve">27343270</t>
  </si>
  <si>
    <t xml:space="preserve">24804141</t>
  </si>
  <si>
    <t xml:space="preserve">26041070</t>
  </si>
  <si>
    <t xml:space="preserve">26010390</t>
  </si>
  <si>
    <t xml:space="preserve">22730170</t>
  </si>
  <si>
    <t xml:space="preserve">22450130</t>
  </si>
  <si>
    <t xml:space="preserve">28942820</t>
  </si>
  <si>
    <t xml:space="preserve">22610001</t>
  </si>
  <si>
    <t xml:space="preserve">21862560</t>
  </si>
  <si>
    <t xml:space="preserve">25212672</t>
  </si>
  <si>
    <t xml:space="preserve">24430500</t>
  </si>
  <si>
    <t xml:space="preserve">21625060</t>
  </si>
  <si>
    <t xml:space="preserve">23933115</t>
  </si>
  <si>
    <t xml:space="preserve">21073160</t>
  </si>
  <si>
    <t xml:space="preserve">26296528</t>
  </si>
  <si>
    <t xml:space="preserve">25812742</t>
  </si>
  <si>
    <t xml:space="preserve">20920050</t>
  </si>
  <si>
    <t xml:space="preserve">26115460</t>
  </si>
  <si>
    <t xml:space="preserve">21330650</t>
  </si>
  <si>
    <t xml:space="preserve">24715330</t>
  </si>
  <si>
    <t xml:space="preserve">22753315</t>
  </si>
  <si>
    <t xml:space="preserve">25555150</t>
  </si>
  <si>
    <t xml:space="preserve">21620590</t>
  </si>
  <si>
    <t xml:space="preserve">22785200</t>
  </si>
  <si>
    <t xml:space="preserve">23555100</t>
  </si>
  <si>
    <t xml:space="preserve">25212310</t>
  </si>
  <si>
    <t xml:space="preserve">21311281</t>
  </si>
  <si>
    <t xml:space="preserve">23092370</t>
  </si>
  <si>
    <t xml:space="preserve">28024731</t>
  </si>
  <si>
    <t xml:space="preserve">24725170</t>
  </si>
  <si>
    <t xml:space="preserve">21220410</t>
  </si>
  <si>
    <t xml:space="preserve">27971791</t>
  </si>
  <si>
    <t xml:space="preserve">21220220</t>
  </si>
  <si>
    <t xml:space="preserve">28908050</t>
  </si>
  <si>
    <t xml:space="preserve">24417180</t>
  </si>
  <si>
    <t xml:space="preserve">20251370</t>
  </si>
  <si>
    <t xml:space="preserve">28994172</t>
  </si>
  <si>
    <t xml:space="preserve">25884000</t>
  </si>
  <si>
    <t xml:space="preserve">24315571</t>
  </si>
  <si>
    <t xml:space="preserve">24456595</t>
  </si>
  <si>
    <t xml:space="preserve">22610020</t>
  </si>
  <si>
    <t xml:space="preserve">26275010</t>
  </si>
  <si>
    <t xml:space="preserve">21911430</t>
  </si>
  <si>
    <t xml:space="preserve">25956120</t>
  </si>
  <si>
    <t xml:space="preserve">28981446</t>
  </si>
  <si>
    <t xml:space="preserve">25571210</t>
  </si>
  <si>
    <t xml:space="preserve">20760120</t>
  </si>
  <si>
    <t xml:space="preserve">26435160</t>
  </si>
  <si>
    <t xml:space="preserve">23515162</t>
  </si>
  <si>
    <t xml:space="preserve">25245640</t>
  </si>
  <si>
    <t xml:space="preserve">28895622</t>
  </si>
  <si>
    <t xml:space="preserve">26510110</t>
  </si>
  <si>
    <t xml:space="preserve">25615061</t>
  </si>
  <si>
    <t xml:space="preserve">21853031</t>
  </si>
  <si>
    <t xml:space="preserve">28949460</t>
  </si>
  <si>
    <t xml:space="preserve">27995000</t>
  </si>
  <si>
    <t xml:space="preserve">23595200</t>
  </si>
  <si>
    <t xml:space="preserve">28634110</t>
  </si>
  <si>
    <t xml:space="preserve">24751000</t>
  </si>
  <si>
    <t xml:space="preserve">27240559</t>
  </si>
  <si>
    <t xml:space="preserve">24934275</t>
  </si>
  <si>
    <t xml:space="preserve">21875240</t>
  </si>
  <si>
    <t xml:space="preserve">25268376</t>
  </si>
  <si>
    <t xml:space="preserve">25268370</t>
  </si>
  <si>
    <t xml:space="preserve">22451264</t>
  </si>
  <si>
    <t xml:space="preserve">21720140</t>
  </si>
  <si>
    <t xml:space="preserve">23936170</t>
  </si>
  <si>
    <t xml:space="preserve">26115729</t>
  </si>
  <si>
    <t xml:space="preserve">23070221</t>
  </si>
  <si>
    <t xml:space="preserve">23025110</t>
  </si>
  <si>
    <t xml:space="preserve">21540440</t>
  </si>
  <si>
    <t xml:space="preserve">26298629</t>
  </si>
  <si>
    <t xml:space="preserve">28500000</t>
  </si>
  <si>
    <t xml:space="preserve">28634450</t>
  </si>
  <si>
    <t xml:space="preserve">24900485</t>
  </si>
  <si>
    <t xml:space="preserve">21735210</t>
  </si>
  <si>
    <t xml:space="preserve">22723535</t>
  </si>
  <si>
    <t xml:space="preserve">26215090</t>
  </si>
  <si>
    <t xml:space="preserve">25056130</t>
  </si>
  <si>
    <t xml:space="preserve">25555050</t>
  </si>
  <si>
    <t xml:space="preserve">26298611</t>
  </si>
  <si>
    <t xml:space="preserve">22211230</t>
  </si>
  <si>
    <t xml:space="preserve">27536220</t>
  </si>
  <si>
    <t xml:space="preserve">20250450</t>
  </si>
  <si>
    <t xml:space="preserve">28985445</t>
  </si>
  <si>
    <t xml:space="preserve">23085600</t>
  </si>
  <si>
    <t xml:space="preserve">24934510</t>
  </si>
  <si>
    <t xml:space="preserve">21540400</t>
  </si>
  <si>
    <t xml:space="preserve">27580001</t>
  </si>
  <si>
    <t xml:space="preserve">27943120</t>
  </si>
  <si>
    <t xml:space="preserve">24736120</t>
  </si>
  <si>
    <t xml:space="preserve">24860100</t>
  </si>
  <si>
    <t xml:space="preserve">21341332</t>
  </si>
  <si>
    <t xml:space="preserve">26175007</t>
  </si>
  <si>
    <t xml:space="preserve">24440670</t>
  </si>
  <si>
    <t xml:space="preserve">21675090</t>
  </si>
  <si>
    <t xml:space="preserve">21044340</t>
  </si>
  <si>
    <t xml:space="preserve">24813006</t>
  </si>
  <si>
    <t xml:space="preserve">21815340</t>
  </si>
  <si>
    <t xml:space="preserve">25015301</t>
  </si>
  <si>
    <t xml:space="preserve">28948878</t>
  </si>
  <si>
    <t xml:space="preserve">25223500</t>
  </si>
  <si>
    <t xml:space="preserve">28692600</t>
  </si>
  <si>
    <t xml:space="preserve">22221000</t>
  </si>
  <si>
    <t xml:space="preserve">27913260</t>
  </si>
  <si>
    <t xml:space="preserve">20740570</t>
  </si>
  <si>
    <t xml:space="preserve">25030040</t>
  </si>
  <si>
    <t xml:space="preserve">23036061</t>
  </si>
  <si>
    <t xml:space="preserve">26574391</t>
  </si>
  <si>
    <t xml:space="preserve">25575050</t>
  </si>
  <si>
    <t xml:space="preserve">24715392</t>
  </si>
  <si>
    <t xml:space="preserve">28899386</t>
  </si>
  <si>
    <t xml:space="preserve">21061500</t>
  </si>
  <si>
    <t xml:space="preserve">20961150</t>
  </si>
  <si>
    <t xml:space="preserve">21852330</t>
  </si>
  <si>
    <t xml:space="preserve">20950004</t>
  </si>
  <si>
    <t xml:space="preserve">24806100</t>
  </si>
  <si>
    <t xml:space="preserve">25930860</t>
  </si>
  <si>
    <t xml:space="preserve">24450170</t>
  </si>
  <si>
    <t xml:space="preserve">25225330</t>
  </si>
  <si>
    <t xml:space="preserve">25610011</t>
  </si>
  <si>
    <t xml:space="preserve">21740230</t>
  </si>
  <si>
    <t xml:space="preserve">21843790</t>
  </si>
  <si>
    <t xml:space="preserve">25576220</t>
  </si>
  <si>
    <t xml:space="preserve">25220005</t>
  </si>
  <si>
    <t xml:space="preserve">22770190</t>
  </si>
  <si>
    <t xml:space="preserve">24230541</t>
  </si>
  <si>
    <t xml:space="preserve">24422640</t>
  </si>
  <si>
    <t xml:space="preserve">24858500</t>
  </si>
  <si>
    <t xml:space="preserve">26010421</t>
  </si>
  <si>
    <t xml:space="preserve">22790710</t>
  </si>
  <si>
    <t xml:space="preserve">28570000</t>
  </si>
  <si>
    <t xml:space="preserve">20540341</t>
  </si>
  <si>
    <t xml:space="preserve">25555490</t>
  </si>
  <si>
    <t xml:space="preserve">21520030</t>
  </si>
  <si>
    <t xml:space="preserve">21665090</t>
  </si>
  <si>
    <t xml:space="preserve">28982265</t>
  </si>
  <si>
    <t xml:space="preserve">24856660</t>
  </si>
  <si>
    <t xml:space="preserve">26553360</t>
  </si>
  <si>
    <t xml:space="preserve">28980816</t>
  </si>
  <si>
    <t xml:space="preserve">26110260</t>
  </si>
  <si>
    <t xml:space="preserve">28057290</t>
  </si>
  <si>
    <t xml:space="preserve">26510140</t>
  </si>
  <si>
    <t xml:space="preserve">28800101</t>
  </si>
  <si>
    <t xml:space="preserve">21350250</t>
  </si>
  <si>
    <t xml:space="preserve">26086460</t>
  </si>
  <si>
    <t xml:space="preserve">28070406</t>
  </si>
  <si>
    <t xml:space="preserve">25035160</t>
  </si>
  <si>
    <t xml:space="preserve">22750443</t>
  </si>
  <si>
    <t xml:space="preserve">21020260</t>
  </si>
  <si>
    <t xml:space="preserve">27213250</t>
  </si>
  <si>
    <t xml:space="preserve">26042310</t>
  </si>
  <si>
    <t xml:space="preserve">22451030</t>
  </si>
  <si>
    <t xml:space="preserve">22420030</t>
  </si>
  <si>
    <t xml:space="preserve">22795255</t>
  </si>
  <si>
    <t xml:space="preserve">28950800</t>
  </si>
  <si>
    <t xml:space="preserve">26062025</t>
  </si>
  <si>
    <t xml:space="preserve">23820390</t>
  </si>
  <si>
    <t xml:space="preserve">20730430</t>
  </si>
  <si>
    <t xml:space="preserve">27971209</t>
  </si>
  <si>
    <t xml:space="preserve">24220120</t>
  </si>
  <si>
    <t xml:space="preserve">28090100</t>
  </si>
  <si>
    <t xml:space="preserve">21870220</t>
  </si>
  <si>
    <t xml:space="preserve">28630080</t>
  </si>
  <si>
    <t xml:space="preserve">25906890</t>
  </si>
  <si>
    <t xml:space="preserve">26290723</t>
  </si>
  <si>
    <t xml:space="preserve">26140450</t>
  </si>
  <si>
    <t xml:space="preserve">26157579</t>
  </si>
  <si>
    <t xml:space="preserve">26089225</t>
  </si>
  <si>
    <t xml:space="preserve">21511140</t>
  </si>
  <si>
    <t xml:space="preserve">25075240</t>
  </si>
  <si>
    <t xml:space="preserve">28890052</t>
  </si>
  <si>
    <t xml:space="preserve">22793580</t>
  </si>
  <si>
    <t xml:space="preserve">26263175</t>
  </si>
  <si>
    <t xml:space="preserve">20745040</t>
  </si>
  <si>
    <t xml:space="preserve">21770190</t>
  </si>
  <si>
    <t xml:space="preserve">25565040</t>
  </si>
  <si>
    <t xml:space="preserve">28623583</t>
  </si>
  <si>
    <t xml:space="preserve">23059318</t>
  </si>
  <si>
    <t xml:space="preserve">24740110</t>
  </si>
  <si>
    <t xml:space="preserve">24722315</t>
  </si>
  <si>
    <t xml:space="preserve">26278670</t>
  </si>
  <si>
    <t xml:space="preserve">28908120</t>
  </si>
  <si>
    <t xml:space="preserve">28250000</t>
  </si>
  <si>
    <t xml:space="preserve">21341331</t>
  </si>
  <si>
    <t xml:space="preserve">24230131</t>
  </si>
  <si>
    <t xml:space="preserve">22793325</t>
  </si>
  <si>
    <t xml:space="preserve">26261130</t>
  </si>
  <si>
    <t xml:space="preserve">25730736</t>
  </si>
  <si>
    <t xml:space="preserve">24426410</t>
  </si>
  <si>
    <t xml:space="preserve">23575437</t>
  </si>
  <si>
    <t xml:space="preserve">27240440</t>
  </si>
  <si>
    <t xml:space="preserve">28943628</t>
  </si>
  <si>
    <t xml:space="preserve">27963111</t>
  </si>
  <si>
    <t xml:space="preserve">23934010</t>
  </si>
  <si>
    <t xml:space="preserve">25710130</t>
  </si>
  <si>
    <t xml:space="preserve">25030020</t>
  </si>
  <si>
    <t xml:space="preserve">26415190</t>
  </si>
  <si>
    <t xml:space="preserve">26080030</t>
  </si>
  <si>
    <t xml:space="preserve">22040021</t>
  </si>
  <si>
    <t xml:space="preserve">27283260</t>
  </si>
  <si>
    <t xml:space="preserve">22733510</t>
  </si>
  <si>
    <t xml:space="preserve">20770270</t>
  </si>
  <si>
    <t xml:space="preserve">23097604</t>
  </si>
  <si>
    <t xml:space="preserve">26280310</t>
  </si>
  <si>
    <t xml:space="preserve">27410180</t>
  </si>
  <si>
    <t xml:space="preserve">21843154</t>
  </si>
  <si>
    <t xml:space="preserve">28027130</t>
  </si>
  <si>
    <t xml:space="preserve">21241190</t>
  </si>
  <si>
    <t xml:space="preserve">20230014</t>
  </si>
  <si>
    <t xml:space="preserve">23918540</t>
  </si>
  <si>
    <t xml:space="preserve">21931383</t>
  </si>
  <si>
    <t xml:space="preserve">25960410</t>
  </si>
  <si>
    <t xml:space="preserve">24474770</t>
  </si>
  <si>
    <t xml:space="preserve">26293567</t>
  </si>
  <si>
    <t xml:space="preserve">20735320</t>
  </si>
  <si>
    <t xml:space="preserve">25975550</t>
  </si>
  <si>
    <t xml:space="preserve">23020590</t>
  </si>
  <si>
    <t xml:space="preserve">25086390</t>
  </si>
  <si>
    <t xml:space="preserve">22270016</t>
  </si>
  <si>
    <t xml:space="preserve">23025034</t>
  </si>
  <si>
    <t xml:space="preserve">25261100</t>
  </si>
  <si>
    <t xml:space="preserve">23068320</t>
  </si>
  <si>
    <t xml:space="preserve">24851564</t>
  </si>
  <si>
    <t xml:space="preserve">22763153</t>
  </si>
  <si>
    <t xml:space="preserve">23036053</t>
  </si>
  <si>
    <t xml:space="preserve">24457530</t>
  </si>
  <si>
    <t xml:space="preserve">26087390</t>
  </si>
  <si>
    <t xml:space="preserve">26553161</t>
  </si>
  <si>
    <t xml:space="preserve">22783210</t>
  </si>
  <si>
    <t xml:space="preserve">20745250</t>
  </si>
  <si>
    <t xml:space="preserve">20530400</t>
  </si>
  <si>
    <t xml:space="preserve">27971750</t>
  </si>
  <si>
    <t xml:space="preserve">21910100</t>
  </si>
  <si>
    <t xml:space="preserve">26052390</t>
  </si>
  <si>
    <t xml:space="preserve">20785130</t>
  </si>
  <si>
    <t xml:space="preserve">21215050</t>
  </si>
  <si>
    <t xml:space="preserve">22221020</t>
  </si>
  <si>
    <t xml:space="preserve">22011002</t>
  </si>
  <si>
    <t xml:space="preserve">25035800</t>
  </si>
  <si>
    <t xml:space="preserve">25963007</t>
  </si>
  <si>
    <t xml:space="preserve">23071180</t>
  </si>
  <si>
    <t xml:space="preserve">20730110</t>
  </si>
  <si>
    <t xml:space="preserve">24451840</t>
  </si>
  <si>
    <t xml:space="preserve">23031203</t>
  </si>
  <si>
    <t xml:space="preserve">25211300</t>
  </si>
  <si>
    <t xml:space="preserve">24470545</t>
  </si>
  <si>
    <t xml:space="preserve">22790877</t>
  </si>
  <si>
    <t xml:space="preserve">21321560</t>
  </si>
  <si>
    <t xml:space="preserve">24716570</t>
  </si>
  <si>
    <t xml:space="preserve">20211010</t>
  </si>
  <si>
    <t xml:space="preserve">26520020</t>
  </si>
  <si>
    <t xml:space="preserve">28020465</t>
  </si>
  <si>
    <t xml:space="preserve">21521360</t>
  </si>
  <si>
    <t xml:space="preserve">22621070</t>
  </si>
  <si>
    <t xml:space="preserve">25040335</t>
  </si>
  <si>
    <t xml:space="preserve">26554150</t>
  </si>
  <si>
    <t xml:space="preserve">22451262</t>
  </si>
  <si>
    <t xml:space="preserve">28981640</t>
  </si>
  <si>
    <t xml:space="preserve">28971530</t>
  </si>
  <si>
    <t xml:space="preserve">23050340</t>
  </si>
  <si>
    <t xml:space="preserve">26572280</t>
  </si>
  <si>
    <t xml:space="preserve">20725080</t>
  </si>
  <si>
    <t xml:space="preserve">21241050</t>
  </si>
  <si>
    <t xml:space="preserve">21775540</t>
  </si>
  <si>
    <t xml:space="preserve">21910280</t>
  </si>
  <si>
    <t xml:space="preserve">28053100</t>
  </si>
  <si>
    <t xml:space="preserve">28995639</t>
  </si>
  <si>
    <t xml:space="preserve">22031071</t>
  </si>
  <si>
    <t xml:space="preserve">22740360</t>
  </si>
  <si>
    <t xml:space="preserve">28013080</t>
  </si>
  <si>
    <t xml:space="preserve">27345220</t>
  </si>
  <si>
    <t xml:space="preserve">21072720</t>
  </si>
  <si>
    <t xml:space="preserve">28920803</t>
  </si>
  <si>
    <t xml:space="preserve">20020010</t>
  </si>
  <si>
    <t xml:space="preserve">28180000</t>
  </si>
  <si>
    <t xml:space="preserve">25264180</t>
  </si>
  <si>
    <t xml:space="preserve">21371440</t>
  </si>
  <si>
    <t xml:space="preserve">28625570</t>
  </si>
  <si>
    <t xml:space="preserve">23035146</t>
  </si>
  <si>
    <t xml:space="preserve">24736210</t>
  </si>
  <si>
    <t xml:space="preserve">25651075</t>
  </si>
  <si>
    <t xml:space="preserve">22770580</t>
  </si>
  <si>
    <t xml:space="preserve">28220000</t>
  </si>
  <si>
    <t xml:space="preserve">28981070</t>
  </si>
  <si>
    <t xml:space="preserve">25650230</t>
  </si>
  <si>
    <t xml:space="preserve">21221420</t>
  </si>
  <si>
    <t xml:space="preserve">21870260</t>
  </si>
  <si>
    <t xml:space="preserve">22220040</t>
  </si>
  <si>
    <t xml:space="preserve">21755430</t>
  </si>
  <si>
    <t xml:space="preserve">28051320</t>
  </si>
  <si>
    <t xml:space="preserve">26551481</t>
  </si>
  <si>
    <t xml:space="preserve">25010350</t>
  </si>
  <si>
    <t xml:space="preserve">24470500</t>
  </si>
  <si>
    <t xml:space="preserve">24934350</t>
  </si>
  <si>
    <t xml:space="preserve">28941382</t>
  </si>
  <si>
    <t xml:space="preserve">22753211</t>
  </si>
  <si>
    <t xml:space="preserve">23082220</t>
  </si>
  <si>
    <t xml:space="preserve">26167570</t>
  </si>
  <si>
    <t xml:space="preserve">25040220</t>
  </si>
  <si>
    <t xml:space="preserve">22765430</t>
  </si>
  <si>
    <t xml:space="preserve">23575050</t>
  </si>
  <si>
    <t xml:space="preserve">25041130</t>
  </si>
  <si>
    <t xml:space="preserve">25931890</t>
  </si>
  <si>
    <t xml:space="preserve">25680000</t>
  </si>
  <si>
    <t xml:space="preserve">28623060</t>
  </si>
  <si>
    <t xml:space="preserve">28690430</t>
  </si>
  <si>
    <t xml:space="preserve">24724565</t>
  </si>
  <si>
    <t xml:space="preserve">27960186</t>
  </si>
  <si>
    <t xml:space="preserve">26271360</t>
  </si>
  <si>
    <t xml:space="preserve">23058001</t>
  </si>
  <si>
    <t xml:space="preserve">22710280</t>
  </si>
  <si>
    <t xml:space="preserve">25213160</t>
  </si>
  <si>
    <t xml:space="preserve">20230240</t>
  </si>
  <si>
    <t xml:space="preserve">23935013</t>
  </si>
  <si>
    <t xml:space="preserve">25932145</t>
  </si>
  <si>
    <t xml:space="preserve">26281010</t>
  </si>
  <si>
    <t xml:space="preserve">28230000</t>
  </si>
  <si>
    <t xml:space="preserve">27944751</t>
  </si>
  <si>
    <t xml:space="preserve">21866340</t>
  </si>
  <si>
    <t xml:space="preserve">21340230</t>
  </si>
  <si>
    <t xml:space="preserve">28035053</t>
  </si>
  <si>
    <t xml:space="preserve">23585126</t>
  </si>
  <si>
    <t xml:space="preserve">25045730</t>
  </si>
  <si>
    <t xml:space="preserve">26420000</t>
  </si>
  <si>
    <t xml:space="preserve">21370200</t>
  </si>
  <si>
    <t xml:space="preserve">22745270</t>
  </si>
  <si>
    <t xml:space="preserve">27321620</t>
  </si>
  <si>
    <t xml:space="preserve">28021340</t>
  </si>
  <si>
    <t xml:space="preserve">28613450</t>
  </si>
  <si>
    <t xml:space="preserve">23075006</t>
  </si>
  <si>
    <t xml:space="preserve">21863360</t>
  </si>
  <si>
    <t xml:space="preserve">21361132</t>
  </si>
  <si>
    <t xml:space="preserve">28020301</t>
  </si>
  <si>
    <t xml:space="preserve">22641514</t>
  </si>
  <si>
    <t xml:space="preserve">25810130</t>
  </si>
  <si>
    <t xml:space="preserve">23510535</t>
  </si>
  <si>
    <t xml:space="preserve">22795810</t>
  </si>
  <si>
    <t xml:space="preserve">24802660</t>
  </si>
  <si>
    <t xml:space="preserve">23058002</t>
  </si>
  <si>
    <t xml:space="preserve">28085140</t>
  </si>
  <si>
    <t xml:space="preserve">21250570</t>
  </si>
  <si>
    <t xml:space="preserve">26480350</t>
  </si>
  <si>
    <t xml:space="preserve">28623000</t>
  </si>
  <si>
    <t xml:space="preserve">26297234</t>
  </si>
  <si>
    <t xml:space="preserve">25745010</t>
  </si>
  <si>
    <t xml:space="preserve">25932110</t>
  </si>
  <si>
    <t xml:space="preserve">23010220</t>
  </si>
  <si>
    <t xml:space="preserve">28083170</t>
  </si>
  <si>
    <t xml:space="preserve">22715160</t>
  </si>
  <si>
    <t xml:space="preserve">20920370</t>
  </si>
  <si>
    <t xml:space="preserve">26040800</t>
  </si>
  <si>
    <t xml:space="preserve">21510500</t>
  </si>
  <si>
    <t xml:space="preserve">21530040</t>
  </si>
  <si>
    <t xml:space="preserve">24350340</t>
  </si>
  <si>
    <t xml:space="preserve">28030315</t>
  </si>
  <si>
    <t xml:space="preserve">23914243</t>
  </si>
  <si>
    <t xml:space="preserve">26295595</t>
  </si>
  <si>
    <t xml:space="preserve">21070050</t>
  </si>
  <si>
    <t xml:space="preserve">21221440</t>
  </si>
  <si>
    <t xml:space="preserve">24717200</t>
  </si>
  <si>
    <t xml:space="preserve">23020724</t>
  </si>
  <si>
    <t xml:space="preserve">23550230</t>
  </si>
  <si>
    <t xml:space="preserve">21853355</t>
  </si>
  <si>
    <t xml:space="preserve">25675050</t>
  </si>
  <si>
    <t xml:space="preserve">28941348</t>
  </si>
  <si>
    <t xml:space="preserve">20220150</t>
  </si>
  <si>
    <t xml:space="preserve">28995104</t>
  </si>
  <si>
    <t xml:space="preserve">28928420</t>
  </si>
  <si>
    <t xml:space="preserve">21760320</t>
  </si>
  <si>
    <t xml:space="preserve">24722045</t>
  </si>
  <si>
    <t xml:space="preserve">28899401</t>
  </si>
  <si>
    <t xml:space="preserve">25570681</t>
  </si>
  <si>
    <t xml:space="preserve">22245100</t>
  </si>
  <si>
    <t xml:space="preserve">26294312</t>
  </si>
  <si>
    <t xml:space="preserve">21615310</t>
  </si>
  <si>
    <t xml:space="preserve">28633630</t>
  </si>
  <si>
    <t xml:space="preserve">28499040</t>
  </si>
  <si>
    <t xml:space="preserve">22790693</t>
  </si>
  <si>
    <t xml:space="preserve">25935330</t>
  </si>
  <si>
    <t xml:space="preserve">25815560</t>
  </si>
  <si>
    <t xml:space="preserve">21932220</t>
  </si>
  <si>
    <t xml:space="preserve">21865320</t>
  </si>
  <si>
    <t xml:space="preserve">27525502</t>
  </si>
  <si>
    <t xml:space="preserve">23060720</t>
  </si>
  <si>
    <t xml:space="preserve">27971805</t>
  </si>
  <si>
    <t xml:space="preserve">24813126</t>
  </si>
  <si>
    <t xml:space="preserve">22790147</t>
  </si>
  <si>
    <t xml:space="preserve">26535350</t>
  </si>
  <si>
    <t xml:space="preserve">26021560</t>
  </si>
  <si>
    <t xml:space="preserve">28895679</t>
  </si>
  <si>
    <t xml:space="preserve">22790682</t>
  </si>
  <si>
    <t xml:space="preserve">26423400</t>
  </si>
  <si>
    <t xml:space="preserve">20541125</t>
  </si>
  <si>
    <t xml:space="preserve">24344150</t>
  </si>
  <si>
    <t xml:space="preserve">22780081</t>
  </si>
  <si>
    <t xml:space="preserve">22220060</t>
  </si>
  <si>
    <t xml:space="preserve">Prolog Transportes</t>
  </si>
  <si>
    <t xml:space="preserve">23073356</t>
  </si>
  <si>
    <t xml:space="preserve">22790180</t>
  </si>
  <si>
    <t xml:space="preserve">24340080</t>
  </si>
  <si>
    <t xml:space="preserve">23013420</t>
  </si>
  <si>
    <t xml:space="preserve">28021245</t>
  </si>
  <si>
    <t xml:space="preserve">25660004</t>
  </si>
  <si>
    <t xml:space="preserve">27321320</t>
  </si>
  <si>
    <t xml:space="preserve">23020110</t>
  </si>
  <si>
    <t xml:space="preserve">25936110</t>
  </si>
  <si>
    <t xml:space="preserve">21831445</t>
  </si>
  <si>
    <t xml:space="preserve">24435140</t>
  </si>
  <si>
    <t xml:space="preserve">21010570</t>
  </si>
  <si>
    <t xml:space="preserve">20765240</t>
  </si>
  <si>
    <t xml:space="preserve">28928368</t>
  </si>
  <si>
    <t xml:space="preserve">21775420</t>
  </si>
  <si>
    <t xml:space="preserve">21044550</t>
  </si>
  <si>
    <t xml:space="preserve">28920225</t>
  </si>
  <si>
    <t xml:space="preserve">23935105</t>
  </si>
  <si>
    <t xml:space="preserve">23047530</t>
  </si>
  <si>
    <t xml:space="preserve">22221140</t>
  </si>
  <si>
    <t xml:space="preserve">27603051</t>
  </si>
  <si>
    <t xml:space="preserve">22783360</t>
  </si>
  <si>
    <t xml:space="preserve">22250040</t>
  </si>
  <si>
    <t xml:space="preserve">28922470</t>
  </si>
  <si>
    <t xml:space="preserve">23587415</t>
  </si>
  <si>
    <t xml:space="preserve">24710210</t>
  </si>
  <si>
    <t xml:space="preserve">23935172</t>
  </si>
  <si>
    <t xml:space="preserve">23067430</t>
  </si>
  <si>
    <t xml:space="preserve">26270100</t>
  </si>
  <si>
    <t xml:space="preserve">26377300</t>
  </si>
  <si>
    <t xml:space="preserve">28893513</t>
  </si>
  <si>
    <t xml:space="preserve">25804130</t>
  </si>
  <si>
    <t xml:space="preserve">23933600</t>
  </si>
  <si>
    <t xml:space="preserve">21361140</t>
  </si>
  <si>
    <t xml:space="preserve">23058281</t>
  </si>
  <si>
    <t xml:space="preserve">23085570</t>
  </si>
  <si>
    <t xml:space="preserve">24916000</t>
  </si>
  <si>
    <t xml:space="preserve">21012351</t>
  </si>
  <si>
    <t xml:space="preserve">28928510</t>
  </si>
  <si>
    <t xml:space="preserve">22471270</t>
  </si>
  <si>
    <t xml:space="preserve">22631030</t>
  </si>
  <si>
    <t xml:space="preserve">21340440</t>
  </si>
  <si>
    <t xml:space="preserve">20560050</t>
  </si>
  <si>
    <t xml:space="preserve">28740000</t>
  </si>
  <si>
    <t xml:space="preserve">21820097</t>
  </si>
  <si>
    <t xml:space="preserve">22735020</t>
  </si>
  <si>
    <t xml:space="preserve">28110000</t>
  </si>
  <si>
    <t xml:space="preserve">22723002</t>
  </si>
  <si>
    <t xml:space="preserve">24350242</t>
  </si>
  <si>
    <t xml:space="preserve">24744720</t>
  </si>
  <si>
    <t xml:space="preserve">26195140</t>
  </si>
  <si>
    <t xml:space="preserve">24430210</t>
  </si>
  <si>
    <t xml:space="preserve">27925396</t>
  </si>
  <si>
    <t xml:space="preserve">25221124</t>
  </si>
  <si>
    <t xml:space="preserve">28692632</t>
  </si>
  <si>
    <t xml:space="preserve">21042431</t>
  </si>
  <si>
    <t xml:space="preserve">23565450</t>
  </si>
  <si>
    <t xml:space="preserve">22790495</t>
  </si>
  <si>
    <t xml:space="preserve">21832310</t>
  </si>
  <si>
    <t xml:space="preserve">23955385</t>
  </si>
  <si>
    <t xml:space="preserve">22710125</t>
  </si>
  <si>
    <t xml:space="preserve">22251050</t>
  </si>
  <si>
    <t xml:space="preserve">23035090</t>
  </si>
  <si>
    <t xml:space="preserve">24140590</t>
  </si>
  <si>
    <t xml:space="preserve">23075640</t>
  </si>
  <si>
    <t xml:space="preserve">28960289</t>
  </si>
  <si>
    <t xml:space="preserve">28620310</t>
  </si>
  <si>
    <t xml:space="preserve">21231020</t>
  </si>
  <si>
    <t xml:space="preserve">24921452</t>
  </si>
  <si>
    <t xml:space="preserve">25665400</t>
  </si>
  <si>
    <t xml:space="preserve">23560510</t>
  </si>
  <si>
    <t xml:space="preserve">24240415</t>
  </si>
  <si>
    <t xml:space="preserve">25645260</t>
  </si>
  <si>
    <t xml:space="preserve">24742160</t>
  </si>
  <si>
    <t xml:space="preserve">28085450</t>
  </si>
  <si>
    <t xml:space="preserve">27277030</t>
  </si>
  <si>
    <t xml:space="preserve">23028055</t>
  </si>
  <si>
    <t xml:space="preserve">21012200</t>
  </si>
  <si>
    <t xml:space="preserve">24715631</t>
  </si>
  <si>
    <t xml:space="preserve">21842596</t>
  </si>
  <si>
    <t xml:space="preserve">24440900</t>
  </si>
  <si>
    <t xml:space="preserve">27966690</t>
  </si>
  <si>
    <t xml:space="preserve">27963795</t>
  </si>
  <si>
    <t xml:space="preserve">23914325</t>
  </si>
  <si>
    <t xml:space="preserve">23078001</t>
  </si>
  <si>
    <t xml:space="preserve">24467000</t>
  </si>
  <si>
    <t xml:space="preserve">21321020</t>
  </si>
  <si>
    <t xml:space="preserve">28979801</t>
  </si>
  <si>
    <t xml:space="preserve">21341140</t>
  </si>
  <si>
    <t xml:space="preserve">24751160</t>
  </si>
  <si>
    <t xml:space="preserve">27966610</t>
  </si>
  <si>
    <t xml:space="preserve">25655363</t>
  </si>
  <si>
    <t xml:space="preserve">23943120</t>
  </si>
  <si>
    <t xml:space="preserve">27140290</t>
  </si>
  <si>
    <t xml:space="preserve">24474215</t>
  </si>
  <si>
    <t xml:space="preserve">24730530</t>
  </si>
  <si>
    <t xml:space="preserve">25936840</t>
  </si>
  <si>
    <t xml:space="preserve">21046630</t>
  </si>
  <si>
    <t xml:space="preserve">28943770</t>
  </si>
  <si>
    <t xml:space="preserve">21250391</t>
  </si>
  <si>
    <t xml:space="preserve">21625130</t>
  </si>
  <si>
    <t xml:space="preserve">21535330</t>
  </si>
  <si>
    <t xml:space="preserve">24456050</t>
  </si>
  <si>
    <t xml:space="preserve">20541200</t>
  </si>
  <si>
    <t xml:space="preserve">24931410</t>
  </si>
  <si>
    <t xml:space="preserve">23587565</t>
  </si>
  <si>
    <t xml:space="preserve">24901640</t>
  </si>
  <si>
    <t xml:space="preserve">27930805</t>
  </si>
  <si>
    <t xml:space="preserve">28983816</t>
  </si>
  <si>
    <t xml:space="preserve">27946010</t>
  </si>
  <si>
    <t xml:space="preserve">27276385</t>
  </si>
  <si>
    <t xml:space="preserve">28165000</t>
  </si>
  <si>
    <t xml:space="preserve">25802250</t>
  </si>
  <si>
    <t xml:space="preserve">25665442</t>
  </si>
  <si>
    <t xml:space="preserve">21645521</t>
  </si>
  <si>
    <t xml:space="preserve">27214615</t>
  </si>
  <si>
    <t xml:space="preserve">24130345</t>
  </si>
  <si>
    <t xml:space="preserve">25060140</t>
  </si>
  <si>
    <t xml:space="preserve">24943255</t>
  </si>
  <si>
    <t xml:space="preserve">24802245</t>
  </si>
  <si>
    <t xml:space="preserve">26053200</t>
  </si>
  <si>
    <t xml:space="preserve">21046035</t>
  </si>
  <si>
    <t xml:space="preserve">21775490</t>
  </si>
  <si>
    <t xml:space="preserve">21370650</t>
  </si>
  <si>
    <t xml:space="preserve">28962284</t>
  </si>
  <si>
    <t xml:space="preserve">21073230</t>
  </si>
  <si>
    <t xml:space="preserve">28994816</t>
  </si>
  <si>
    <t xml:space="preserve">27240110</t>
  </si>
  <si>
    <t xml:space="preserve">27276000</t>
  </si>
  <si>
    <t xml:space="preserve">20750310</t>
  </si>
  <si>
    <t xml:space="preserve">22240006</t>
  </si>
  <si>
    <t xml:space="preserve">20961130</t>
  </si>
  <si>
    <t xml:space="preserve">22715090</t>
  </si>
  <si>
    <t xml:space="preserve">24350105</t>
  </si>
  <si>
    <t xml:space="preserve">25847140</t>
  </si>
  <si>
    <t xml:space="preserve">27197868</t>
  </si>
  <si>
    <t xml:space="preserve">28148000</t>
  </si>
  <si>
    <t xml:space="preserve">24241001</t>
  </si>
  <si>
    <t xml:space="preserve">28897364</t>
  </si>
  <si>
    <t xml:space="preserve">20972450</t>
  </si>
  <si>
    <t xml:space="preserve">24360005</t>
  </si>
  <si>
    <t xml:space="preserve">23062220</t>
  </si>
  <si>
    <t xml:space="preserve">21941480</t>
  </si>
  <si>
    <t xml:space="preserve">21610520</t>
  </si>
  <si>
    <t xml:space="preserve">21250392</t>
  </si>
  <si>
    <t xml:space="preserve">27212050</t>
  </si>
  <si>
    <t xml:space="preserve">26520332</t>
  </si>
  <si>
    <t xml:space="preserve">24715316</t>
  </si>
  <si>
    <t xml:space="preserve">27273480</t>
  </si>
  <si>
    <t xml:space="preserve">27943210</t>
  </si>
  <si>
    <t xml:space="preserve">27948075</t>
  </si>
  <si>
    <t xml:space="preserve">27251085</t>
  </si>
  <si>
    <t xml:space="preserve">22723320</t>
  </si>
  <si>
    <t xml:space="preserve">20770150</t>
  </si>
  <si>
    <t xml:space="preserve">20031204</t>
  </si>
  <si>
    <t xml:space="preserve">25015370</t>
  </si>
  <si>
    <t xml:space="preserve">22790728</t>
  </si>
  <si>
    <t xml:space="preserve">21750320</t>
  </si>
  <si>
    <t xml:space="preserve">28800000</t>
  </si>
  <si>
    <t xml:space="preserve">27935070</t>
  </si>
  <si>
    <t xml:space="preserve">23895340</t>
  </si>
  <si>
    <t xml:space="preserve">27940700</t>
  </si>
  <si>
    <t xml:space="preserve">24724310</t>
  </si>
  <si>
    <t xml:space="preserve">27347370</t>
  </si>
  <si>
    <t xml:space="preserve">20960045</t>
  </si>
  <si>
    <t xml:space="preserve">24330060</t>
  </si>
  <si>
    <t xml:space="preserve">24460310</t>
  </si>
  <si>
    <t xml:space="preserve">21921525</t>
  </si>
  <si>
    <t xml:space="preserve">24717070</t>
  </si>
  <si>
    <t xml:space="preserve">22710092</t>
  </si>
  <si>
    <t xml:space="preserve">20760005</t>
  </si>
  <si>
    <t xml:space="preserve">20943000</t>
  </si>
  <si>
    <t xml:space="preserve">26053440</t>
  </si>
  <si>
    <t xml:space="preserve">27185000</t>
  </si>
  <si>
    <t xml:space="preserve">27460000</t>
  </si>
  <si>
    <t xml:space="preserve">28943784</t>
  </si>
  <si>
    <t xml:space="preserve">23020240</t>
  </si>
  <si>
    <t xml:space="preserve">21725500</t>
  </si>
  <si>
    <t xml:space="preserve">24410230</t>
  </si>
  <si>
    <t xml:space="preserve">21050320</t>
  </si>
  <si>
    <t xml:space="preserve">20720011</t>
  </si>
  <si>
    <t xml:space="preserve">25953600</t>
  </si>
  <si>
    <t xml:space="preserve">20715010</t>
  </si>
  <si>
    <t xml:space="preserve">25044030</t>
  </si>
  <si>
    <t xml:space="preserve">22790703</t>
  </si>
  <si>
    <t xml:space="preserve">21930135</t>
  </si>
  <si>
    <t xml:space="preserve">23068155</t>
  </si>
  <si>
    <t xml:space="preserve">23050360</t>
  </si>
  <si>
    <t xml:space="preserve">21931242</t>
  </si>
  <si>
    <t xml:space="preserve">23020715</t>
  </si>
  <si>
    <t xml:space="preserve">28750000</t>
  </si>
  <si>
    <t xml:space="preserve">27581714</t>
  </si>
  <si>
    <t xml:space="preserve">22220030</t>
  </si>
  <si>
    <t xml:space="preserve">28635000</t>
  </si>
  <si>
    <t xml:space="preserve">24210130</t>
  </si>
  <si>
    <t xml:space="preserve">21021422</t>
  </si>
  <si>
    <t xml:space="preserve">20920350</t>
  </si>
  <si>
    <t xml:space="preserve">20521060</t>
  </si>
  <si>
    <t xml:space="preserve">25931858</t>
  </si>
  <si>
    <t xml:space="preserve">27525500</t>
  </si>
  <si>
    <t xml:space="preserve">27240050</t>
  </si>
  <si>
    <t xml:space="preserve">20745110</t>
  </si>
  <si>
    <t xml:space="preserve">21755380</t>
  </si>
  <si>
    <t xml:space="preserve">23575920</t>
  </si>
  <si>
    <t xml:space="preserve">27603830</t>
  </si>
  <si>
    <t xml:space="preserve">27175000</t>
  </si>
  <si>
    <t xml:space="preserve">21250520</t>
  </si>
  <si>
    <t xml:space="preserve">23943140</t>
  </si>
  <si>
    <t xml:space="preserve">20940010</t>
  </si>
  <si>
    <t xml:space="preserve">22793105</t>
  </si>
  <si>
    <t xml:space="preserve">23933630</t>
  </si>
  <si>
    <t xml:space="preserve">20750130</t>
  </si>
  <si>
    <t xml:space="preserve">28956144</t>
  </si>
  <si>
    <t xml:space="preserve">24240460</t>
  </si>
  <si>
    <t xml:space="preserve">25922144</t>
  </si>
  <si>
    <t xml:space="preserve">23595250</t>
  </si>
  <si>
    <t xml:space="preserve">22773200</t>
  </si>
  <si>
    <t xml:space="preserve">22790701</t>
  </si>
  <si>
    <t xml:space="preserve">23575000</t>
  </si>
  <si>
    <t xml:space="preserve">25959195</t>
  </si>
  <si>
    <t xml:space="preserve">21351080</t>
  </si>
  <si>
    <t xml:space="preserve">21755370</t>
  </si>
  <si>
    <t xml:space="preserve">28979476</t>
  </si>
  <si>
    <t xml:space="preserve">24110007</t>
  </si>
  <si>
    <t xml:space="preserve">26022136</t>
  </si>
  <si>
    <t xml:space="preserve">27525662</t>
  </si>
  <si>
    <t xml:space="preserve">28860000</t>
  </si>
  <si>
    <t xml:space="preserve">21311050</t>
  </si>
  <si>
    <t xml:space="preserve">27115270</t>
  </si>
  <si>
    <t xml:space="preserve">24726123</t>
  </si>
  <si>
    <t xml:space="preserve">27343430</t>
  </si>
  <si>
    <t xml:space="preserve">28997710</t>
  </si>
  <si>
    <t xml:space="preserve">Outro</t>
  </si>
  <si>
    <t xml:space="preserve">20770290</t>
  </si>
  <si>
    <t xml:space="preserve">21510014</t>
  </si>
  <si>
    <t xml:space="preserve">21710000</t>
  </si>
  <si>
    <t xml:space="preserve">26290672</t>
  </si>
  <si>
    <t xml:space="preserve">23062410</t>
  </si>
  <si>
    <t xml:space="preserve">23016480</t>
  </si>
  <si>
    <t xml:space="preserve">24350068</t>
  </si>
  <si>
    <t xml:space="preserve">23065620</t>
  </si>
  <si>
    <t xml:space="preserve">25075300</t>
  </si>
  <si>
    <t xml:space="preserve">21665062</t>
  </si>
  <si>
    <t xml:space="preserve">21060060</t>
  </si>
  <si>
    <t xml:space="preserve">21061520</t>
  </si>
  <si>
    <t xml:space="preserve">22743370</t>
  </si>
  <si>
    <t xml:space="preserve">23028620</t>
  </si>
  <si>
    <t xml:space="preserve">24416170</t>
  </si>
  <si>
    <t xml:space="preserve">27910060</t>
  </si>
  <si>
    <t xml:space="preserve">24410100</t>
  </si>
  <si>
    <t xml:space="preserve">21850510</t>
  </si>
  <si>
    <t xml:space="preserve">22715410</t>
  </si>
  <si>
    <t xml:space="preserve">22783551</t>
  </si>
  <si>
    <t xml:space="preserve">25650390</t>
  </si>
  <si>
    <t xml:space="preserve">20530420</t>
  </si>
  <si>
    <t xml:space="preserve">26160455</t>
  </si>
  <si>
    <t xml:space="preserve">24130410</t>
  </si>
  <si>
    <t xml:space="preserve">28905165</t>
  </si>
  <si>
    <t xml:space="preserve">27197970</t>
  </si>
  <si>
    <t xml:space="preserve">28090230</t>
  </si>
  <si>
    <t xml:space="preserve">26210022</t>
  </si>
  <si>
    <t xml:space="preserve">28959880</t>
  </si>
  <si>
    <t xml:space="preserve">28635010</t>
  </si>
  <si>
    <t xml:space="preserve">21910160</t>
  </si>
  <si>
    <t xml:space="preserve">22471180</t>
  </si>
  <si>
    <t xml:space="preserve">20745230</t>
  </si>
  <si>
    <t xml:space="preserve">24070000</t>
  </si>
  <si>
    <t xml:space="preserve">21840096</t>
  </si>
  <si>
    <t xml:space="preserve">21030640</t>
  </si>
  <si>
    <t xml:space="preserve">22785050</t>
  </si>
  <si>
    <t xml:space="preserve">28920231</t>
  </si>
  <si>
    <t xml:space="preserve">24474655</t>
  </si>
  <si>
    <t xml:space="preserve">21555290</t>
  </si>
  <si>
    <t xml:space="preserve">24110026</t>
  </si>
  <si>
    <t xml:space="preserve">22783240</t>
  </si>
  <si>
    <t xml:space="preserve">27963788</t>
  </si>
  <si>
    <t xml:space="preserve">28053600</t>
  </si>
  <si>
    <t xml:space="preserve">22430190</t>
  </si>
  <si>
    <t xml:space="preserve">22280030</t>
  </si>
  <si>
    <t xml:space="preserve">21061600</t>
  </si>
  <si>
    <t xml:space="preserve">28982235</t>
  </si>
  <si>
    <t xml:space="preserve">21321624</t>
  </si>
  <si>
    <t xml:space="preserve">21842550</t>
  </si>
  <si>
    <t xml:space="preserve">28899314</t>
  </si>
  <si>
    <t xml:space="preserve">23032780</t>
  </si>
  <si>
    <t xml:space="preserve">23030360</t>
  </si>
  <si>
    <t xml:space="preserve">27323340</t>
  </si>
  <si>
    <t xml:space="preserve">21941598</t>
  </si>
  <si>
    <t xml:space="preserve">26275580</t>
  </si>
  <si>
    <t xml:space="preserve">23914250</t>
  </si>
  <si>
    <t xml:space="preserve">22610095</t>
  </si>
  <si>
    <t xml:space="preserve">26585400</t>
  </si>
  <si>
    <t xml:space="preserve">24475290</t>
  </si>
  <si>
    <t xml:space="preserve">22793084</t>
  </si>
  <si>
    <t xml:space="preserve">24930628</t>
  </si>
  <si>
    <t xml:space="preserve">20250460</t>
  </si>
  <si>
    <t xml:space="preserve">20973011</t>
  </si>
  <si>
    <t xml:space="preserve">24470270</t>
  </si>
  <si>
    <t xml:space="preserve">24921768</t>
  </si>
  <si>
    <t xml:space="preserve">27256005</t>
  </si>
  <si>
    <t xml:space="preserve">25730204</t>
  </si>
  <si>
    <t xml:space="preserve">21320080</t>
  </si>
  <si>
    <t xml:space="preserve">24736050</t>
  </si>
  <si>
    <t xml:space="preserve">21853470</t>
  </si>
  <si>
    <t xml:space="preserve">20745220</t>
  </si>
  <si>
    <t xml:space="preserve">24900798</t>
  </si>
  <si>
    <t xml:space="preserve">28143000</t>
  </si>
  <si>
    <t xml:space="preserve">23050200</t>
  </si>
  <si>
    <t xml:space="preserve">25808360</t>
  </si>
  <si>
    <t xml:space="preserve">23570020</t>
  </si>
  <si>
    <t xml:space="preserve">25086540</t>
  </si>
  <si>
    <t xml:space="preserve">20550160</t>
  </si>
  <si>
    <t xml:space="preserve">24431580</t>
  </si>
  <si>
    <t xml:space="preserve">24472090</t>
  </si>
  <si>
    <t xml:space="preserve">27258180</t>
  </si>
  <si>
    <t xml:space="preserve">25821060</t>
  </si>
  <si>
    <t xml:space="preserve">25565071</t>
  </si>
  <si>
    <t xml:space="preserve">27288450</t>
  </si>
  <si>
    <t xml:space="preserve">22780510</t>
  </si>
  <si>
    <t xml:space="preserve">24346040</t>
  </si>
  <si>
    <t xml:space="preserve">28977010</t>
  </si>
  <si>
    <t xml:space="preserve">25919279</t>
  </si>
  <si>
    <t xml:space="preserve">21511200</t>
  </si>
  <si>
    <t xml:space="preserve">21361640</t>
  </si>
  <si>
    <t xml:space="preserve">22713460</t>
  </si>
  <si>
    <t xml:space="preserve">27264520</t>
  </si>
  <si>
    <t xml:space="preserve">Leroy Merlin</t>
  </si>
  <si>
    <t xml:space="preserve">22240005</t>
  </si>
  <si>
    <t xml:space="preserve">22723000</t>
  </si>
  <si>
    <t xml:space="preserve">20931003</t>
  </si>
  <si>
    <t xml:space="preserve">22750006</t>
  </si>
  <si>
    <t xml:space="preserve">23575080</t>
  </si>
  <si>
    <t xml:space="preserve">26050803</t>
  </si>
  <si>
    <t xml:space="preserve">21842340</t>
  </si>
  <si>
    <t xml:space="preserve">21046425</t>
  </si>
  <si>
    <t xml:space="preserve">24725040</t>
  </si>
  <si>
    <t xml:space="preserve">27966031</t>
  </si>
  <si>
    <t xml:space="preserve">21381070</t>
  </si>
  <si>
    <t xml:space="preserve">23050170</t>
  </si>
  <si>
    <t xml:space="preserve">25051020</t>
  </si>
  <si>
    <t xml:space="preserve">24715562</t>
  </si>
  <si>
    <t xml:space="preserve">27966843</t>
  </si>
  <si>
    <t xml:space="preserve">25908713</t>
  </si>
  <si>
    <t xml:space="preserve">20766200</t>
  </si>
  <si>
    <t xml:space="preserve">28620075</t>
  </si>
  <si>
    <t xml:space="preserve">28010801</t>
  </si>
  <si>
    <t xml:space="preserve">28894330</t>
  </si>
  <si>
    <t xml:space="preserve">25685050</t>
  </si>
  <si>
    <t xml:space="preserve">20040001</t>
  </si>
  <si>
    <t xml:space="preserve">22641005</t>
  </si>
  <si>
    <t xml:space="preserve">28020822</t>
  </si>
  <si>
    <t xml:space="preserve">21381140</t>
  </si>
  <si>
    <t xml:space="preserve">20720230</t>
  </si>
  <si>
    <t xml:space="preserve">28963050</t>
  </si>
  <si>
    <t xml:space="preserve">28140000</t>
  </si>
  <si>
    <t xml:space="preserve">27143460</t>
  </si>
  <si>
    <t xml:space="preserve">28175000</t>
  </si>
  <si>
    <t xml:space="preserve">25635142</t>
  </si>
  <si>
    <t xml:space="preserve">21745291</t>
  </si>
  <si>
    <t xml:space="preserve">28894030</t>
  </si>
  <si>
    <t xml:space="preserve">20755010</t>
  </si>
  <si>
    <t xml:space="preserve">26086195</t>
  </si>
  <si>
    <t xml:space="preserve">28804254</t>
  </si>
  <si>
    <t xml:space="preserve">23057700</t>
  </si>
  <si>
    <t xml:space="preserve">23082350</t>
  </si>
  <si>
    <t xml:space="preserve">21843780</t>
  </si>
  <si>
    <t xml:space="preserve">22620172</t>
  </si>
  <si>
    <t xml:space="preserve">28956048</t>
  </si>
  <si>
    <t xml:space="preserve">22631004</t>
  </si>
  <si>
    <t xml:space="preserve">28895620</t>
  </si>
  <si>
    <t xml:space="preserve">22783117</t>
  </si>
  <si>
    <t xml:space="preserve">25685132</t>
  </si>
  <si>
    <t xml:space="preserve">22770235</t>
  </si>
  <si>
    <t xml:space="preserve">28664000</t>
  </si>
  <si>
    <t xml:space="preserve">25560581</t>
  </si>
  <si>
    <t xml:space="preserve">20540140</t>
  </si>
  <si>
    <t xml:space="preserve">26291212</t>
  </si>
  <si>
    <t xml:space="preserve">27520270</t>
  </si>
  <si>
    <t xml:space="preserve">20921260</t>
  </si>
  <si>
    <t xml:space="preserve">25911279</t>
  </si>
  <si>
    <t xml:space="preserve">21921420</t>
  </si>
  <si>
    <t xml:space="preserve">23895160</t>
  </si>
  <si>
    <t xml:space="preserve">25233289</t>
  </si>
  <si>
    <t xml:space="preserve">20910063</t>
  </si>
  <si>
    <t xml:space="preserve">21931574</t>
  </si>
  <si>
    <t xml:space="preserve">27770000</t>
  </si>
  <si>
    <t xml:space="preserve">27966780</t>
  </si>
  <si>
    <t xml:space="preserve">21321250</t>
  </si>
  <si>
    <t xml:space="preserve">25520430</t>
  </si>
  <si>
    <t xml:space="preserve">22630010</t>
  </si>
  <si>
    <t xml:space="preserve">21310310</t>
  </si>
  <si>
    <t xml:space="preserve">27281422</t>
  </si>
  <si>
    <t xml:space="preserve">24731070</t>
  </si>
  <si>
    <t xml:space="preserve">23028255</t>
  </si>
  <si>
    <t xml:space="preserve">28375000</t>
  </si>
  <si>
    <t xml:space="preserve">22765595</t>
  </si>
  <si>
    <t xml:space="preserve">20230011</t>
  </si>
  <si>
    <t xml:space="preserve">25040080</t>
  </si>
  <si>
    <t xml:space="preserve">26195020</t>
  </si>
  <si>
    <t xml:space="preserve">26582020</t>
  </si>
  <si>
    <t xml:space="preserve">25040005</t>
  </si>
  <si>
    <t xml:space="preserve">28022670</t>
  </si>
  <si>
    <t xml:space="preserve">22451510</t>
  </si>
  <si>
    <t xml:space="preserve">20725220</t>
  </si>
  <si>
    <t xml:space="preserve">22080002</t>
  </si>
  <si>
    <t xml:space="preserve">25060000</t>
  </si>
  <si>
    <t xml:space="preserve">25943518</t>
  </si>
  <si>
    <t xml:space="preserve">20531420</t>
  </si>
  <si>
    <t xml:space="preserve">22795780</t>
  </si>
  <si>
    <t xml:space="preserve">28994807</t>
  </si>
  <si>
    <t xml:space="preserve">25545430</t>
  </si>
  <si>
    <t xml:space="preserve">25821370</t>
  </si>
  <si>
    <t xml:space="preserve">21230165</t>
  </si>
  <si>
    <t xml:space="preserve">24710150</t>
  </si>
  <si>
    <t xml:space="preserve">28980014</t>
  </si>
  <si>
    <t xml:space="preserve">26700000</t>
  </si>
  <si>
    <t xml:space="preserve">25963140</t>
  </si>
  <si>
    <t xml:space="preserve">26290069</t>
  </si>
  <si>
    <t xml:space="preserve">28907000</t>
  </si>
  <si>
    <t xml:space="preserve">27323540</t>
  </si>
  <si>
    <t xml:space="preserve">25250530</t>
  </si>
  <si>
    <t xml:space="preserve">24355020</t>
  </si>
  <si>
    <t xml:space="preserve">21044725</t>
  </si>
  <si>
    <t xml:space="preserve">21831300</t>
  </si>
  <si>
    <t xml:space="preserve">22790851</t>
  </si>
  <si>
    <t xml:space="preserve">20241110</t>
  </si>
  <si>
    <t xml:space="preserve">21911270</t>
  </si>
  <si>
    <t xml:space="preserve">26155090</t>
  </si>
  <si>
    <t xml:space="preserve">27250100</t>
  </si>
  <si>
    <t xml:space="preserve">23575330</t>
  </si>
  <si>
    <t xml:space="preserve">21825330</t>
  </si>
  <si>
    <t xml:space="preserve">25085132</t>
  </si>
  <si>
    <t xml:space="preserve">23555024</t>
  </si>
  <si>
    <t xml:space="preserve">20720310</t>
  </si>
  <si>
    <t xml:space="preserve">24933440</t>
  </si>
  <si>
    <t xml:space="preserve">26110180</t>
  </si>
  <si>
    <t xml:space="preserve">24451785</t>
  </si>
  <si>
    <t xml:space="preserve">23943138</t>
  </si>
  <si>
    <t xml:space="preserve">25036160</t>
  </si>
  <si>
    <t xml:space="preserve">27700000</t>
  </si>
  <si>
    <t xml:space="preserve">21031690</t>
  </si>
  <si>
    <t xml:space="preserve">23933216</t>
  </si>
  <si>
    <t xml:space="preserve">21862755</t>
  </si>
  <si>
    <t xml:space="preserve">25847020</t>
  </si>
  <si>
    <t xml:space="preserve">23595475</t>
  </si>
  <si>
    <t xml:space="preserve">21550610</t>
  </si>
  <si>
    <t xml:space="preserve">22061010</t>
  </si>
  <si>
    <t xml:space="preserve">23914020</t>
  </si>
  <si>
    <t xml:space="preserve">25943521</t>
  </si>
  <si>
    <t xml:space="preserve">20730390</t>
  </si>
  <si>
    <t xml:space="preserve">22221010</t>
  </si>
  <si>
    <t xml:space="preserve">26327210</t>
  </si>
  <si>
    <t xml:space="preserve">23570510</t>
  </si>
  <si>
    <t xml:space="preserve">21044650</t>
  </si>
  <si>
    <t xml:space="preserve">21930410</t>
  </si>
  <si>
    <t xml:space="preserve">24723190</t>
  </si>
  <si>
    <t xml:space="preserve">24456060</t>
  </si>
  <si>
    <t xml:space="preserve">22241000</t>
  </si>
  <si>
    <t xml:space="preserve">20261030</t>
  </si>
  <si>
    <t xml:space="preserve">28013602</t>
  </si>
  <si>
    <t xml:space="preserve">28897036</t>
  </si>
  <si>
    <t xml:space="preserve">25953003</t>
  </si>
  <si>
    <t xml:space="preserve">20771580</t>
  </si>
  <si>
    <t xml:space="preserve">24451001</t>
  </si>
  <si>
    <t xml:space="preserve">22740050</t>
  </si>
  <si>
    <t xml:space="preserve">26293552</t>
  </si>
  <si>
    <t xml:space="preserve">27525260</t>
  </si>
  <si>
    <t xml:space="preserve">21380010</t>
  </si>
  <si>
    <t xml:space="preserve">28988804</t>
  </si>
  <si>
    <t xml:space="preserve">25954205</t>
  </si>
  <si>
    <t xml:space="preserve">25935426</t>
  </si>
  <si>
    <t xml:space="preserve">23059001</t>
  </si>
  <si>
    <t xml:space="preserve">24465000</t>
  </si>
  <si>
    <t xml:space="preserve">21060110</t>
  </si>
  <si>
    <t xml:space="preserve">22793261</t>
  </si>
  <si>
    <t xml:space="preserve">21620560</t>
  </si>
  <si>
    <t xml:space="preserve">21750210</t>
  </si>
  <si>
    <t xml:space="preserve">25250597</t>
  </si>
  <si>
    <t xml:space="preserve">24360380</t>
  </si>
  <si>
    <t xml:space="preserve">23092650</t>
  </si>
  <si>
    <t xml:space="preserve">23573340</t>
  </si>
  <si>
    <t xml:space="preserve">23954030</t>
  </si>
  <si>
    <t xml:space="preserve">25730050</t>
  </si>
  <si>
    <t xml:space="preserve">26087535</t>
  </si>
  <si>
    <t xml:space="preserve">27961086</t>
  </si>
  <si>
    <t xml:space="preserve">23885000</t>
  </si>
  <si>
    <t xml:space="preserve">20780370</t>
  </si>
  <si>
    <t xml:space="preserve">28625805</t>
  </si>
  <si>
    <t xml:space="preserve">24717241</t>
  </si>
  <si>
    <t xml:space="preserve">24120015</t>
  </si>
  <si>
    <t xml:space="preserve">27276367</t>
  </si>
  <si>
    <t xml:space="preserve">23015170</t>
  </si>
  <si>
    <t xml:space="preserve">21061340</t>
  </si>
  <si>
    <t xml:space="preserve">24425320</t>
  </si>
  <si>
    <t xml:space="preserve">23903500</t>
  </si>
  <si>
    <t xml:space="preserve">22260000</t>
  </si>
  <si>
    <t xml:space="preserve">25931422</t>
  </si>
  <si>
    <t xml:space="preserve">20520051</t>
  </si>
  <si>
    <t xml:space="preserve">23955210</t>
  </si>
  <si>
    <t xml:space="preserve">21061300</t>
  </si>
  <si>
    <t xml:space="preserve">28992678</t>
  </si>
  <si>
    <t xml:space="preserve">21510013</t>
  </si>
  <si>
    <t xml:space="preserve">23094205</t>
  </si>
  <si>
    <t xml:space="preserve">20560032</t>
  </si>
  <si>
    <t xml:space="preserve">22780500</t>
  </si>
  <si>
    <t xml:space="preserve">21341460</t>
  </si>
  <si>
    <t xml:space="preserve">21030040</t>
  </si>
  <si>
    <t xml:space="preserve">23587410</t>
  </si>
  <si>
    <t xml:space="preserve">24856152</t>
  </si>
  <si>
    <t xml:space="preserve">25804000</t>
  </si>
  <si>
    <t xml:space="preserve">20011030</t>
  </si>
  <si>
    <t xml:space="preserve">25922160</t>
  </si>
  <si>
    <t xml:space="preserve">23085260</t>
  </si>
  <si>
    <t xml:space="preserve">21725050</t>
  </si>
  <si>
    <t xml:space="preserve">21046385</t>
  </si>
  <si>
    <t xml:space="preserve">23017000</t>
  </si>
  <si>
    <t xml:space="preserve">21511000</t>
  </si>
  <si>
    <t xml:space="preserve">21540660</t>
  </si>
  <si>
    <t xml:space="preserve">20941150</t>
  </si>
  <si>
    <t xml:space="preserve">22743470</t>
  </si>
  <si>
    <t xml:space="preserve">22793060</t>
  </si>
  <si>
    <t xml:space="preserve">28020889</t>
  </si>
  <si>
    <t xml:space="preserve">25060210</t>
  </si>
  <si>
    <t xml:space="preserve">26313400</t>
  </si>
  <si>
    <t xml:space="preserve">22060030</t>
  </si>
  <si>
    <t xml:space="preserve">21235620</t>
  </si>
  <si>
    <t xml:space="preserve">26383493</t>
  </si>
  <si>
    <t xml:space="preserve">28909010</t>
  </si>
  <si>
    <t xml:space="preserve">27971221</t>
  </si>
  <si>
    <t xml:space="preserve">24457600</t>
  </si>
  <si>
    <t xml:space="preserve">27998000</t>
  </si>
  <si>
    <t xml:space="preserve">28686645</t>
  </si>
  <si>
    <t xml:space="preserve">24467610</t>
  </si>
  <si>
    <t xml:space="preserve">21555490</t>
  </si>
  <si>
    <t xml:space="preserve">24936380</t>
  </si>
  <si>
    <t xml:space="preserve">23955135</t>
  </si>
  <si>
    <t xml:space="preserve">21550160</t>
  </si>
  <si>
    <t xml:space="preserve">23040573</t>
  </si>
  <si>
    <t xml:space="preserve">23071642</t>
  </si>
  <si>
    <t xml:space="preserve">27130360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</si>
</sst>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"/>
    <numFmt numFmtId="166" formatCode="0.00%"/>
    <numFmt numFmtId="167" formatCode="&quot;R$ &quot;#,##0.00;&quot;-R$ &quot;#,##0.00;\-"/>
    <numFmt numFmtId="168" formatCode="0"/>
    <numFmt numFmtId="169" formatCode="\+0.0%;\-0.0%;0.0%"/>
    <numFmt numFmtId="170" formatCode="0.0%;\-0.0%;\-"/>
    <numFmt numFmtId="171" formatCode="\+0.0%;\-0.0%"/>
    <numFmt numFmtId="172" formatCode="0.0"/>
    <numFmt numFmtId="173" formatCode="\+0.0;\-0.0"/>
    <numFmt numFmtId="174" formatCode="00000000"/>
    <numFmt numFmtId="175" formatCode="dd/mm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54823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548235"/>
        <bgColor rgb="FF339966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548235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20"/>
    <col collapsed="false" customWidth="true" hidden="false" outlineLevel="0" max="4" min="4" style="0" width="70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0.12</v>
      </c>
      <c r="C5" s="5" t="n">
        <v>0.12</v>
      </c>
      <c r="D5" s="4" t="s">
        <v>7</v>
      </c>
    </row>
    <row r="6" customFormat="false" ht="15" hidden="false" customHeight="false" outlineLevel="0" collapsed="false">
      <c r="A6" s="4" t="s">
        <v>8</v>
      </c>
      <c r="B6" s="6" t="n">
        <v>0.001</v>
      </c>
      <c r="C6" s="6" t="n">
        <v>0</v>
      </c>
      <c r="D6" s="4" t="s">
        <v>9</v>
      </c>
    </row>
    <row r="7" customFormat="false" ht="15" hidden="false" customHeight="false" outlineLevel="0" collapsed="false">
      <c r="A7" s="4" t="s">
        <v>10</v>
      </c>
      <c r="B7" s="6" t="n">
        <v>0.002</v>
      </c>
      <c r="C7" s="6" t="n">
        <v>0.002</v>
      </c>
      <c r="D7" s="4" t="s">
        <v>9</v>
      </c>
    </row>
    <row r="8" customFormat="false" ht="15" hidden="false" customHeight="false" outlineLevel="0" collapsed="false">
      <c r="A8" s="4" t="s">
        <v>11</v>
      </c>
      <c r="B8" s="6" t="n">
        <v>0</v>
      </c>
      <c r="C8" s="6" t="n">
        <v>0.002</v>
      </c>
      <c r="D8" s="4" t="s">
        <v>12</v>
      </c>
    </row>
    <row r="9" customFormat="false" ht="15" hidden="false" customHeight="false" outlineLevel="0" collapsed="false">
      <c r="A9" s="4" t="s">
        <v>13</v>
      </c>
      <c r="B9" s="7" t="n">
        <v>1</v>
      </c>
      <c r="C9" s="7" t="n">
        <v>11.9</v>
      </c>
      <c r="D9" s="4" t="s">
        <v>14</v>
      </c>
    </row>
    <row r="10" customFormat="false" ht="15" hidden="false" customHeight="false" outlineLevel="0" collapsed="false">
      <c r="A10" s="4" t="s">
        <v>15</v>
      </c>
      <c r="B10" s="7" t="n">
        <v>4.5</v>
      </c>
      <c r="C10" s="7" t="n">
        <v>1</v>
      </c>
      <c r="D10" s="4" t="s">
        <v>9</v>
      </c>
    </row>
    <row r="11" customFormat="false" ht="15" hidden="false" customHeight="false" outlineLevel="0" collapsed="false">
      <c r="A11" s="4" t="s">
        <v>16</v>
      </c>
      <c r="B11" s="8" t="n">
        <v>0</v>
      </c>
      <c r="C11" s="8" t="n">
        <v>0.055</v>
      </c>
      <c r="D11" s="4" t="s">
        <v>17</v>
      </c>
    </row>
    <row r="12" customFormat="false" ht="15" hidden="false" customHeight="false" outlineLevel="0" collapsed="false">
      <c r="A12" s="4" t="s">
        <v>18</v>
      </c>
      <c r="B12" s="7" t="n">
        <v>0.06</v>
      </c>
      <c r="C12" s="7" t="n">
        <v>0</v>
      </c>
      <c r="D12" s="4" t="s">
        <v>19</v>
      </c>
    </row>
    <row r="13" customFormat="false" ht="15" hidden="false" customHeight="false" outlineLevel="0" collapsed="false">
      <c r="A13" s="4" t="s">
        <v>20</v>
      </c>
      <c r="B13" s="7" t="n">
        <v>0.45</v>
      </c>
      <c r="C13" s="7" t="n">
        <v>0</v>
      </c>
      <c r="D13" s="4" t="s">
        <v>21</v>
      </c>
    </row>
    <row r="14" customFormat="false" ht="15" hidden="false" customHeight="false" outlineLevel="0" collapsed="false">
      <c r="A14" s="4" t="s">
        <v>22</v>
      </c>
      <c r="B14" s="9" t="n">
        <v>0</v>
      </c>
      <c r="C14" s="9" t="n">
        <v>300</v>
      </c>
      <c r="D14" s="4" t="s">
        <v>23</v>
      </c>
    </row>
    <row r="17" customFormat="false" ht="15" hidden="false" customHeight="false" outlineLevel="0" collapsed="false">
      <c r="A17" s="2" t="s">
        <v>24</v>
      </c>
    </row>
    <row r="18" customFormat="false" ht="26.85" hidden="false" customHeight="false" outlineLevel="0" collapsed="false">
      <c r="A18" s="3" t="s">
        <v>25</v>
      </c>
      <c r="B18" s="3" t="s">
        <v>26</v>
      </c>
      <c r="C18" s="3" t="s">
        <v>27</v>
      </c>
      <c r="D18" s="3" t="s">
        <v>28</v>
      </c>
    </row>
    <row r="19" customFormat="false" ht="15" hidden="false" customHeight="false" outlineLevel="0" collapsed="false">
      <c r="A19" s="4" t="s">
        <v>29</v>
      </c>
      <c r="B19" s="10" t="n">
        <f aca="false">COUNTA(Pedidos!$A$2:$A$2224)</f>
        <v>2223</v>
      </c>
      <c r="C19" s="10" t="n">
        <f aca="false">COUNTA(Pedidos!$A$2:$A$2224)</f>
        <v>2223</v>
      </c>
      <c r="D19" s="11"/>
    </row>
    <row r="20" customFormat="false" ht="15" hidden="false" customHeight="false" outlineLevel="0" collapsed="false">
      <c r="A20" s="4" t="s">
        <v>30</v>
      </c>
      <c r="B20" s="12" t="n">
        <f aca="false">SUM(Pedidos!$T$2:$T$2224)</f>
        <v>270019.879626136</v>
      </c>
      <c r="C20" s="12" t="n">
        <f aca="false">SUM(Pedidos!$AC$2:$AC$2224)</f>
        <v>386659.641079546</v>
      </c>
      <c r="D20" s="13" t="n">
        <f aca="false">C20/B20-1</f>
        <v>0.431967311499087</v>
      </c>
    </row>
    <row r="21" customFormat="false" ht="15" hidden="false" customHeight="false" outlineLevel="0" collapsed="false">
      <c r="A21" s="4" t="s">
        <v>31</v>
      </c>
      <c r="B21" s="12" t="n">
        <f aca="false">AVERAGE(Pedidos!$T$2:$T$2224)</f>
        <v>121.466432580358</v>
      </c>
      <c r="C21" s="12" t="n">
        <f aca="false">AVERAGE(Pedidos!$AC$2:$AC$2224)</f>
        <v>173.935960899481</v>
      </c>
      <c r="D21" s="13" t="n">
        <f aca="false">C21/B21-1</f>
        <v>0.431967311499086</v>
      </c>
    </row>
    <row r="22" customFormat="false" ht="15" hidden="false" customHeight="false" outlineLevel="0" collapsed="false">
      <c r="A22" s="4" t="s">
        <v>32</v>
      </c>
      <c r="B22" s="14" t="n">
        <f aca="false">SUM(Pedidos!$T$2:$T$2224)/SUM(Pedidos!$J$2:$J$2224)</f>
        <v>0.189248842627824</v>
      </c>
      <c r="C22" s="14" t="n">
        <f aca="false">SUM(Pedidos!$AC$2:$AC$2224)/SUM(Pedidos!$J$2:$J$2224)</f>
        <v>0.270998156382079</v>
      </c>
      <c r="D22" s="15" t="n">
        <f aca="false">C22-B22</f>
        <v>0.0817493137542549</v>
      </c>
    </row>
    <row r="23" customFormat="false" ht="15" hidden="false" customHeight="false" outlineLevel="0" collapsed="false">
      <c r="A23" s="4" t="s">
        <v>33</v>
      </c>
      <c r="B23" s="16"/>
      <c r="C23" s="14" t="n">
        <f aca="false">COUNTIF(Pedidos!$AG$2:$AG$2224,"SIM")/B19</f>
        <v>0.0067476383265857</v>
      </c>
      <c r="D23" s="11"/>
    </row>
    <row r="24" customFormat="false" ht="15" hidden="false" customHeight="false" outlineLevel="0" collapsed="false">
      <c r="A24" s="4" t="s">
        <v>34</v>
      </c>
      <c r="B24" s="12" t="n">
        <f aca="false">B21</f>
        <v>121.466432580358</v>
      </c>
      <c r="C24" s="12" t="n">
        <f aca="false">AVERAGE(Pedidos!$AD$2:$AD$2224)</f>
        <v>148.227688908314</v>
      </c>
      <c r="D24" s="13" t="n">
        <f aca="false">C24/B24-1</f>
        <v>0.220318122130172</v>
      </c>
    </row>
    <row r="25" customFormat="false" ht="15" hidden="false" customHeight="false" outlineLevel="0" collapsed="false">
      <c r="A25" s="4" t="s">
        <v>35</v>
      </c>
      <c r="B25" s="17" t="n">
        <f aca="false">AVERAGE(Pedidos!$AH$2:$AH$2224)</f>
        <v>9.95186684660369</v>
      </c>
      <c r="C25" s="17" t="n">
        <f aca="false">AVERAGE(Pedidos!$AI$2:$AI$2224)</f>
        <v>6.46693657219973</v>
      </c>
      <c r="D25" s="18" t="n">
        <f aca="false">C25-B25</f>
        <v>-3.48493027440396</v>
      </c>
    </row>
    <row r="26" customFormat="false" ht="15" hidden="false" customHeight="false" outlineLevel="0" collapsed="false">
      <c r="A26" s="4" t="s">
        <v>36</v>
      </c>
      <c r="B26" s="12" t="n">
        <f aca="false">SUM(Pedidos!$L$2:$L$2224)</f>
        <v>269909.92</v>
      </c>
      <c r="C26" s="19"/>
      <c r="D26" s="11"/>
    </row>
    <row r="27" customFormat="false" ht="15" hidden="false" customHeight="false" outlineLevel="0" collapsed="false">
      <c r="A27" s="20" t="s">
        <v>37</v>
      </c>
    </row>
    <row r="29" customFormat="false" ht="15" hidden="false" customHeight="false" outlineLevel="0" collapsed="false">
      <c r="A29" s="2" t="s">
        <v>38</v>
      </c>
    </row>
    <row r="30" customFormat="false" ht="15" hidden="false" customHeight="false" outlineLevel="0" collapsed="false">
      <c r="A30" s="3" t="s">
        <v>39</v>
      </c>
      <c r="B30" s="3" t="s">
        <v>4</v>
      </c>
      <c r="C30" s="3" t="s">
        <v>3</v>
      </c>
      <c r="D30" s="3" t="s">
        <v>40</v>
      </c>
      <c r="E30" s="3" t="s">
        <v>41</v>
      </c>
    </row>
    <row r="31" customFormat="false" ht="15" hidden="false" customHeight="false" outlineLevel="0" collapsed="false">
      <c r="A31" s="4" t="s">
        <v>42</v>
      </c>
      <c r="B31" s="12" t="n">
        <f aca="false">AVERAGE(Pedidos!$M$2:$M$2224)</f>
        <v>85.7836077372919</v>
      </c>
      <c r="C31" s="12" t="n">
        <f aca="false">AVERAGE(Pedidos!$U$2:$U$2224)</f>
        <v>119.696806117859</v>
      </c>
      <c r="D31" s="12" t="n">
        <f aca="false">C31-B31</f>
        <v>33.9131983805668</v>
      </c>
      <c r="E31" s="13" t="n">
        <f aca="false">D31/$D$42</f>
        <v>0.646340828038418</v>
      </c>
    </row>
    <row r="32" customFormat="false" ht="15" hidden="false" customHeight="false" outlineLevel="0" collapsed="false">
      <c r="A32" s="4" t="s">
        <v>43</v>
      </c>
      <c r="B32" s="12" t="n">
        <v>0</v>
      </c>
      <c r="C32" s="12" t="n">
        <f aca="false">AVERAGE(Pedidos!$V$2:$V$2224)</f>
        <v>0.641834480431849</v>
      </c>
      <c r="D32" s="12" t="n">
        <f aca="false">C32-B32</f>
        <v>0.641834480431849</v>
      </c>
      <c r="E32" s="13" t="n">
        <f aca="false">D32/$D$42</f>
        <v>0.0122325185873252</v>
      </c>
    </row>
    <row r="33" customFormat="false" ht="15" hidden="false" customHeight="false" outlineLevel="0" collapsed="false">
      <c r="A33" s="4" t="s">
        <v>44</v>
      </c>
      <c r="B33" s="12" t="n">
        <f aca="false">AVERAGE(Pedidos!$N$2:$N$2224)</f>
        <v>1.2836689608637</v>
      </c>
      <c r="C33" s="12" t="n">
        <f aca="false">AVERAGE(Pedidos!$W$2:$W$2224)</f>
        <v>1.2836689608637</v>
      </c>
      <c r="D33" s="12" t="n">
        <f aca="false">C33-B33</f>
        <v>0</v>
      </c>
      <c r="E33" s="13" t="n">
        <f aca="false">D33/$D$42</f>
        <v>0</v>
      </c>
    </row>
    <row r="34" customFormat="false" ht="15" hidden="false" customHeight="false" outlineLevel="0" collapsed="false">
      <c r="A34" s="4" t="s">
        <v>45</v>
      </c>
      <c r="B34" s="12" t="n">
        <f aca="false">AVERAGE(Pedidos!$O$2:$O$2224)</f>
        <v>1.2836689608637</v>
      </c>
      <c r="C34" s="12" t="n">
        <v>0</v>
      </c>
      <c r="D34" s="12" t="n">
        <f aca="false">C34-B34</f>
        <v>-1.2836689608637</v>
      </c>
      <c r="E34" s="13" t="n">
        <f aca="false">D34/$D$42</f>
        <v>-0.0244650371746503</v>
      </c>
    </row>
    <row r="35" customFormat="false" ht="15" hidden="false" customHeight="false" outlineLevel="0" collapsed="false">
      <c r="A35" s="4" t="s">
        <v>46</v>
      </c>
      <c r="B35" s="12" t="n">
        <f aca="false">AVERAGE(Pedidos!$Q$2:$Q$2224)</f>
        <v>11.9</v>
      </c>
      <c r="C35" s="12" t="n">
        <f aca="false">AVERAGE(Pedidos!$X$2:$X$2224)</f>
        <v>1</v>
      </c>
      <c r="D35" s="12" t="n">
        <f aca="false">C35-B35</f>
        <v>-10.9</v>
      </c>
      <c r="E35" s="13" t="n">
        <f aca="false">D35/$D$42</f>
        <v>-0.207739622390078</v>
      </c>
    </row>
    <row r="36" customFormat="false" ht="15" hidden="false" customHeight="false" outlineLevel="0" collapsed="false">
      <c r="A36" s="4" t="s">
        <v>47</v>
      </c>
      <c r="B36" s="12" t="n">
        <f aca="false">AVERAGE(Pedidos!$P$2:$P$2224)</f>
        <v>1.06702654071075</v>
      </c>
      <c r="C36" s="12" t="n">
        <f aca="false">AVERAGE(Pedidos!$Y$2:$Y$2224)</f>
        <v>4.80161943319838</v>
      </c>
      <c r="D36" s="12" t="n">
        <f aca="false">C36-B36</f>
        <v>3.73459289248763</v>
      </c>
      <c r="E36" s="13" t="n">
        <f aca="false">D36/$D$42</f>
        <v>0.071176414428078</v>
      </c>
    </row>
    <row r="37" customFormat="false" ht="15" hidden="false" customHeight="false" outlineLevel="0" collapsed="false">
      <c r="A37" s="4" t="s">
        <v>48</v>
      </c>
      <c r="B37" s="12" t="n">
        <f aca="false">AVERAGE(Pedidos!$R$2:$R$2224)</f>
        <v>5.57248847098516</v>
      </c>
      <c r="C37" s="12" t="n">
        <v>0</v>
      </c>
      <c r="D37" s="12" t="n">
        <f aca="false">C37-B37</f>
        <v>-5.57248847098516</v>
      </c>
      <c r="E37" s="13" t="n">
        <f aca="false">D37/$D$42</f>
        <v>-0.106204279883993</v>
      </c>
    </row>
    <row r="38" customFormat="false" ht="15" hidden="false" customHeight="false" outlineLevel="0" collapsed="false">
      <c r="A38" s="4" t="s">
        <v>49</v>
      </c>
      <c r="B38" s="12" t="n">
        <v>0</v>
      </c>
      <c r="C38" s="12" t="n">
        <f aca="false">AVERAGE(Pedidos!$Z$2:$Z$2224)</f>
        <v>3.01643724696356</v>
      </c>
      <c r="D38" s="12" t="n">
        <f aca="false">C38-B38</f>
        <v>3.01643724696356</v>
      </c>
      <c r="E38" s="13" t="n">
        <f aca="false">D38/$D$42</f>
        <v>0.0574893151052823</v>
      </c>
    </row>
    <row r="39" customFormat="false" ht="15" hidden="false" customHeight="false" outlineLevel="0" collapsed="false">
      <c r="A39" s="4" t="s">
        <v>50</v>
      </c>
      <c r="B39" s="12" t="n">
        <v>0</v>
      </c>
      <c r="C39" s="12" t="n">
        <f aca="false">AVERAGE(Pedidos!$AA$2:$AA$2224)</f>
        <v>22.6232793522267</v>
      </c>
      <c r="D39" s="12" t="n">
        <f aca="false">C39-B39</f>
        <v>22.6232793522267</v>
      </c>
      <c r="E39" s="13" t="n">
        <f aca="false">D39/$D$42</f>
        <v>0.431169863289618</v>
      </c>
    </row>
    <row r="40" customFormat="false" ht="15" hidden="false" customHeight="false" outlineLevel="0" collapsed="false">
      <c r="A40" s="4" t="s">
        <v>51</v>
      </c>
      <c r="B40" s="12" t="n">
        <f aca="false">AVERAGE(Pedidos!$T$2:$T$2224)-AVERAGE(Pedidos!$S$2:$S$2224)</f>
        <v>14.575971909643</v>
      </c>
      <c r="C40" s="12" t="n">
        <f aca="false">AVERAGE(Pedidos!$AC$2:$AC$2224)-AVERAGE(Pedidos!$AB$2:$AB$2224)</f>
        <v>20.8723153079377</v>
      </c>
      <c r="D40" s="12" t="n">
        <f aca="false">C40-B40</f>
        <v>6.29634339829467</v>
      </c>
      <c r="E40" s="13" t="n">
        <f aca="false">D40/$D$42</f>
        <v>0.12</v>
      </c>
    </row>
    <row r="42" customFormat="false" ht="15" hidden="false" customHeight="false" outlineLevel="0" collapsed="false">
      <c r="A42" s="21" t="s">
        <v>52</v>
      </c>
      <c r="B42" s="22" t="n">
        <f aca="false">SUM(B31:B40)</f>
        <v>121.466432580358</v>
      </c>
      <c r="C42" s="22" t="n">
        <f aca="false">SUM(C31:C40)</f>
        <v>173.935960899481</v>
      </c>
      <c r="D42" s="22" t="n">
        <f aca="false">C42-B42</f>
        <v>52.4695283191224</v>
      </c>
      <c r="E42" s="23" t="n">
        <f aca="false">D42/$D$42</f>
        <v>1</v>
      </c>
    </row>
  </sheetData>
  <conditionalFormatting sqref="D31:D40">
    <cfRule type="colorScale" priority="2">
      <colorScale>
        <cfvo type="num" val="-12"/>
        <cfvo type="num" val="0"/>
        <cfvo type="num" val="35"/>
        <color rgb="FF63BE7B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53</v>
      </c>
    </row>
    <row r="3" customFormat="false" ht="30" hidden="false" customHeight="true" outlineLevel="0" collapsed="false">
      <c r="A3" s="3" t="s">
        <v>54</v>
      </c>
      <c r="B3" s="3" t="s">
        <v>27</v>
      </c>
      <c r="C3" s="3" t="s">
        <v>26</v>
      </c>
      <c r="D3" s="3" t="s">
        <v>55</v>
      </c>
      <c r="E3" s="3" t="s">
        <v>56</v>
      </c>
    </row>
    <row r="4" customFormat="false" ht="39.55" hidden="false" customHeight="false" outlineLevel="0" collapsed="false">
      <c r="A4" s="24" t="s">
        <v>57</v>
      </c>
      <c r="B4" s="24" t="s">
        <v>58</v>
      </c>
      <c r="C4" s="24" t="s">
        <v>59</v>
      </c>
      <c r="D4" s="25" t="s">
        <v>60</v>
      </c>
      <c r="E4" s="24" t="s">
        <v>61</v>
      </c>
    </row>
    <row r="5" customFormat="false" ht="26.85" hidden="false" customHeight="false" outlineLevel="0" collapsed="false">
      <c r="A5" s="24" t="s">
        <v>62</v>
      </c>
      <c r="B5" s="24" t="s">
        <v>63</v>
      </c>
      <c r="C5" s="24" t="s">
        <v>64</v>
      </c>
      <c r="D5" s="26" t="s">
        <v>4</v>
      </c>
      <c r="E5" s="24" t="s">
        <v>65</v>
      </c>
    </row>
    <row r="6" customFormat="false" ht="26.85" hidden="false" customHeight="false" outlineLevel="0" collapsed="false">
      <c r="A6" s="24" t="s">
        <v>66</v>
      </c>
      <c r="B6" s="24" t="s">
        <v>67</v>
      </c>
      <c r="C6" s="24" t="s">
        <v>68</v>
      </c>
      <c r="D6" s="26" t="s">
        <v>4</v>
      </c>
      <c r="E6" s="24" t="s">
        <v>69</v>
      </c>
    </row>
    <row r="7" customFormat="false" ht="26.85" hidden="false" customHeight="false" outlineLevel="0" collapsed="false">
      <c r="A7" s="24" t="s">
        <v>70</v>
      </c>
      <c r="B7" s="24" t="s">
        <v>71</v>
      </c>
      <c r="C7" s="24" t="s">
        <v>72</v>
      </c>
      <c r="D7" s="26" t="s">
        <v>4</v>
      </c>
      <c r="E7" s="24" t="s">
        <v>73</v>
      </c>
    </row>
    <row r="8" customFormat="false" ht="15" hidden="false" customHeight="false" outlineLevel="0" collapsed="false">
      <c r="A8" s="24" t="s">
        <v>74</v>
      </c>
      <c r="B8" s="24" t="s">
        <v>75</v>
      </c>
      <c r="C8" s="24" t="s">
        <v>76</v>
      </c>
      <c r="D8" s="27" t="s">
        <v>3</v>
      </c>
      <c r="E8" s="24" t="s">
        <v>77</v>
      </c>
    </row>
    <row r="9" customFormat="false" ht="15" hidden="false" customHeight="false" outlineLevel="0" collapsed="false">
      <c r="A9" s="24" t="s">
        <v>78</v>
      </c>
      <c r="B9" s="24" t="s">
        <v>79</v>
      </c>
      <c r="C9" s="24" t="s">
        <v>80</v>
      </c>
      <c r="D9" s="27" t="s">
        <v>3</v>
      </c>
      <c r="E9" s="24" t="s">
        <v>81</v>
      </c>
    </row>
    <row r="10" customFormat="false" ht="15" hidden="false" customHeight="false" outlineLevel="0" collapsed="false">
      <c r="A10" s="24" t="s">
        <v>82</v>
      </c>
      <c r="B10" s="24" t="s">
        <v>83</v>
      </c>
      <c r="C10" s="24" t="s">
        <v>84</v>
      </c>
      <c r="D10" s="27" t="s">
        <v>3</v>
      </c>
      <c r="E10" s="24" t="s">
        <v>85</v>
      </c>
    </row>
    <row r="11" customFormat="false" ht="15" hidden="false" customHeight="false" outlineLevel="0" collapsed="false">
      <c r="A11" s="24" t="s">
        <v>44</v>
      </c>
      <c r="B11" s="24" t="s">
        <v>84</v>
      </c>
      <c r="C11" s="24" t="s">
        <v>84</v>
      </c>
      <c r="D11" s="25" t="s">
        <v>86</v>
      </c>
      <c r="E11" s="24"/>
    </row>
    <row r="12" customFormat="false" ht="15" hidden="false" customHeight="false" outlineLevel="0" collapsed="false">
      <c r="A12" s="24" t="s">
        <v>47</v>
      </c>
      <c r="B12" s="24" t="s">
        <v>87</v>
      </c>
      <c r="C12" s="24" t="s">
        <v>88</v>
      </c>
      <c r="D12" s="26" t="s">
        <v>4</v>
      </c>
      <c r="E12" s="24" t="s">
        <v>89</v>
      </c>
    </row>
    <row r="13" customFormat="false" ht="15" hidden="false" customHeight="false" outlineLevel="0" collapsed="false">
      <c r="A13" s="24" t="s">
        <v>90</v>
      </c>
      <c r="B13" s="24" t="s">
        <v>91</v>
      </c>
      <c r="C13" s="24" t="s">
        <v>79</v>
      </c>
      <c r="D13" s="26" t="s">
        <v>4</v>
      </c>
      <c r="E13" s="24" t="s">
        <v>92</v>
      </c>
    </row>
    <row r="14" customFormat="false" ht="52.2" hidden="false" customHeight="false" outlineLevel="0" collapsed="false">
      <c r="A14" s="24" t="s">
        <v>93</v>
      </c>
      <c r="B14" s="24" t="s">
        <v>94</v>
      </c>
      <c r="C14" s="24" t="s">
        <v>95</v>
      </c>
      <c r="D14" s="26" t="s">
        <v>4</v>
      </c>
      <c r="E14" s="24" t="s">
        <v>96</v>
      </c>
    </row>
    <row r="15" customFormat="false" ht="15" hidden="false" customHeight="false" outlineLevel="0" collapsed="false">
      <c r="A15" s="24" t="s">
        <v>97</v>
      </c>
      <c r="B15" s="24" t="s">
        <v>98</v>
      </c>
      <c r="C15" s="24" t="s">
        <v>99</v>
      </c>
      <c r="D15" s="27" t="s">
        <v>3</v>
      </c>
      <c r="E15" s="24" t="s">
        <v>100</v>
      </c>
    </row>
    <row r="16" customFormat="false" ht="26.85" hidden="false" customHeight="false" outlineLevel="0" collapsed="false">
      <c r="A16" s="24" t="s">
        <v>101</v>
      </c>
      <c r="B16" s="24" t="s">
        <v>102</v>
      </c>
      <c r="C16" s="24" t="s">
        <v>103</v>
      </c>
      <c r="D16" s="26" t="s">
        <v>4</v>
      </c>
      <c r="E16" s="24" t="s">
        <v>104</v>
      </c>
    </row>
    <row r="17" customFormat="false" ht="15" hidden="false" customHeight="false" outlineLevel="0" collapsed="false">
      <c r="A17" s="24" t="s">
        <v>105</v>
      </c>
      <c r="B17" s="24" t="s">
        <v>106</v>
      </c>
      <c r="C17" s="24" t="s">
        <v>107</v>
      </c>
      <c r="D17" s="27" t="s">
        <v>3</v>
      </c>
      <c r="E17" s="24" t="s">
        <v>108</v>
      </c>
    </row>
    <row r="18" customFormat="false" ht="15" hidden="false" customHeight="false" outlineLevel="0" collapsed="false">
      <c r="A18" s="24" t="s">
        <v>109</v>
      </c>
      <c r="B18" s="24" t="s">
        <v>110</v>
      </c>
      <c r="C18" s="24" t="s">
        <v>111</v>
      </c>
      <c r="D18" s="27" t="s">
        <v>3</v>
      </c>
      <c r="E18" s="24" t="s">
        <v>112</v>
      </c>
    </row>
    <row r="19" customFormat="false" ht="15" hidden="false" customHeight="false" outlineLevel="0" collapsed="false">
      <c r="A19" s="24" t="s">
        <v>113</v>
      </c>
      <c r="B19" s="24" t="s">
        <v>114</v>
      </c>
      <c r="C19" s="24" t="s">
        <v>115</v>
      </c>
      <c r="D19" s="27" t="s">
        <v>3</v>
      </c>
      <c r="E19" s="24" t="s">
        <v>116</v>
      </c>
    </row>
    <row r="20" customFormat="false" ht="39.55" hidden="false" customHeight="false" outlineLevel="0" collapsed="false">
      <c r="A20" s="24" t="s">
        <v>117</v>
      </c>
      <c r="B20" s="24" t="s">
        <v>60</v>
      </c>
      <c r="C20" s="24" t="s">
        <v>118</v>
      </c>
      <c r="D20" s="25" t="s">
        <v>60</v>
      </c>
      <c r="E20" s="24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6" min="4" style="0" width="9"/>
    <col collapsed="false" customWidth="true" hidden="false" outlineLevel="0" max="9" min="7" style="0" width="11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3" min="12" style="0" width="10"/>
    <col collapsed="false" customWidth="true" hidden="false" outlineLevel="0" max="15" min="14" style="0" width="11"/>
    <col collapsed="false" customWidth="true" hidden="false" outlineLevel="0" max="17" min="16" style="0" width="8"/>
    <col collapsed="false" customWidth="true" hidden="false" outlineLevel="0" max="18" min="18" style="0" width="14"/>
    <col collapsed="false" customWidth="true" hidden="false" outlineLevel="0" max="19" min="19" style="0" width="18"/>
  </cols>
  <sheetData>
    <row r="1" customFormat="false" ht="17.35" hidden="false" customHeight="false" outlineLevel="0" collapsed="false">
      <c r="A1" s="1" t="s">
        <v>120</v>
      </c>
    </row>
    <row r="3" customFormat="false" ht="60" hidden="false" customHeight="true" outlineLevel="0" collapsed="false">
      <c r="A3" s="3" t="s">
        <v>121</v>
      </c>
      <c r="B3" s="3" t="s">
        <v>122</v>
      </c>
      <c r="C3" s="3" t="s">
        <v>123</v>
      </c>
      <c r="D3" s="3" t="s">
        <v>29</v>
      </c>
      <c r="E3" s="3" t="s">
        <v>124</v>
      </c>
      <c r="F3" s="3" t="s">
        <v>125</v>
      </c>
      <c r="G3" s="3" t="s">
        <v>126</v>
      </c>
      <c r="H3" s="3" t="s">
        <v>127</v>
      </c>
      <c r="I3" s="3" t="s">
        <v>128</v>
      </c>
      <c r="J3" s="3" t="s">
        <v>129</v>
      </c>
      <c r="K3" s="3" t="s">
        <v>130</v>
      </c>
      <c r="L3" s="3" t="s">
        <v>131</v>
      </c>
      <c r="M3" s="3" t="s">
        <v>132</v>
      </c>
      <c r="N3" s="3" t="s">
        <v>133</v>
      </c>
      <c r="O3" s="3" t="s">
        <v>134</v>
      </c>
      <c r="P3" s="3" t="s">
        <v>135</v>
      </c>
      <c r="Q3" s="3" t="s">
        <v>136</v>
      </c>
      <c r="R3" s="3" t="s">
        <v>137</v>
      </c>
      <c r="S3" s="3" t="s">
        <v>138</v>
      </c>
    </row>
    <row r="4" customFormat="false" ht="15" hidden="false" customHeight="false" outlineLevel="0" collapsed="false">
      <c r="A4" s="4" t="n">
        <v>1</v>
      </c>
      <c r="B4" s="4" t="s">
        <v>139</v>
      </c>
      <c r="C4" s="4" t="str">
        <f aca="false">INDEX(Pedidos!$G$2:$G$2224,MATCH($B4,Pedidos!$F$2:$F$2224,0))</f>
        <v>Capital</v>
      </c>
      <c r="D4" s="10" t="n">
        <f aca="false">COUNTIFS(Pedidos!$F$2:$F$2224,$B4)</f>
        <v>1030</v>
      </c>
      <c r="E4" s="14" t="n">
        <f aca="false">D4/Resumo!$B$19</f>
        <v>0.463337831758884</v>
      </c>
      <c r="F4" s="17" t="n">
        <f aca="false">AVERAGEIFS(Pedidos!$I$2:$I$2224,Pedidos!$F$2:$F$2224,$B4)</f>
        <v>47.5796310679612</v>
      </c>
      <c r="G4" s="12" t="n">
        <f aca="false">AVERAGEIFS(Pedidos!$J$2:$J$2224,Pedidos!$F$2:$F$2224,$B4)</f>
        <v>617.434932038835</v>
      </c>
      <c r="H4" s="12" t="n">
        <f aca="false">AVERAGEIFS(Pedidos!$T$2:$T$2224,Pedidos!$F$2:$F$2224,$B4)</f>
        <v>106.763115650485</v>
      </c>
      <c r="I4" s="12" t="n">
        <f aca="false">AVERAGEIFS(Pedidos!$AC$2:$AC$2224,Pedidos!$F$2:$F$2224,$B4)</f>
        <v>156.292987577229</v>
      </c>
      <c r="J4" s="13" t="n">
        <f aca="false">I4/H4-1</f>
        <v>0.46392306579822</v>
      </c>
      <c r="K4" s="13" t="n">
        <f aca="false">AVERAGEIFS(Pedidos!$AD$2:$AD$2224,Pedidos!$F$2:$F$2224,$B4)/H4-1</f>
        <v>0.234049863718305</v>
      </c>
      <c r="L4" s="14" t="n">
        <f aca="false">SUMIFS(Pedidos!$T$2:$T$2224,Pedidos!$F$2:$F$2224,$B4)/SUMIFS(Pedidos!$J$2:$J$2224,Pedidos!$F$2:$F$2224,$B4)</f>
        <v>0.172913954346481</v>
      </c>
      <c r="M4" s="14" t="n">
        <f aca="false">SUMIFS(Pedidos!$AC$2:$AC$2224,Pedidos!$F$2:$F$2224,$B4)/SUMIFS(Pedidos!$J$2:$J$2224,Pedidos!$F$2:$F$2224,$B4)</f>
        <v>0.253132726166193</v>
      </c>
      <c r="N4" s="14" t="n">
        <f aca="false">COUNTIFS(Pedidos!$F$2:$F$2224,$B4,Pedidos!$AG$2:$AG$2224,"SIM")/D4</f>
        <v>0</v>
      </c>
      <c r="O4" s="13" t="n">
        <f aca="false">SUMIFS(Pedidos!$U$2:$U$2224,Pedidos!$F$2:$F$2224,$B4)/SUMIFS(Pedidos!$M$2:$M$2224,Pedidos!$F$2:$F$2224,$B4)-1</f>
        <v>0.43204180594134</v>
      </c>
      <c r="P4" s="10" t="n">
        <f aca="false">AVERAGEIFS(Pedidos!$AH$2:$AH$2224,Pedidos!$F$2:$F$2224,$B4)</f>
        <v>8</v>
      </c>
      <c r="Q4" s="10" t="n">
        <f aca="false">AVERAGEIFS(Pedidos!$AI$2:$AI$2224,Pedidos!$F$2:$F$2224,$B4)</f>
        <v>5</v>
      </c>
      <c r="R4" s="14" t="n">
        <f aca="false">MAX(0,1-H4/I4)</f>
        <v>0.316903993547817</v>
      </c>
      <c r="S4" s="4" t="str">
        <f aca="false">IF(J4&lt;=0,"Muito bem",IF(J4&lt;=0.32,"Melhor posição",IF(J4&lt;=0.45,"Intermediária","Precisa melhorar")))</f>
        <v>Precisa melhorar</v>
      </c>
    </row>
    <row r="5" customFormat="false" ht="15" hidden="false" customHeight="false" outlineLevel="0" collapsed="false">
      <c r="A5" s="4" t="n">
        <v>2</v>
      </c>
      <c r="B5" s="4" t="s">
        <v>140</v>
      </c>
      <c r="C5" s="4" t="str">
        <f aca="false">INDEX(Pedidos!$G$2:$G$2224,MATCH($B5,Pedidos!$F$2:$F$2224,0))</f>
        <v>Metropolitana</v>
      </c>
      <c r="D5" s="10" t="n">
        <f aca="false">COUNTIFS(Pedidos!$F$2:$F$2224,$B5)</f>
        <v>135</v>
      </c>
      <c r="E5" s="14" t="n">
        <f aca="false">D5/Resumo!$B$19</f>
        <v>0.0607287449392713</v>
      </c>
      <c r="F5" s="17" t="n">
        <f aca="false">AVERAGEIFS(Pedidos!$I$2:$I$2224,Pedidos!$F$2:$F$2224,$B5)</f>
        <v>50.2685925925926</v>
      </c>
      <c r="G5" s="12" t="n">
        <f aca="false">AVERAGEIFS(Pedidos!$J$2:$J$2224,Pedidos!$F$2:$F$2224,$B5)</f>
        <v>636.669111111111</v>
      </c>
      <c r="H5" s="12" t="n">
        <f aca="false">AVERAGEIFS(Pedidos!$T$2:$T$2224,Pedidos!$F$2:$F$2224,$B5)</f>
        <v>124.742217109428</v>
      </c>
      <c r="I5" s="12" t="n">
        <f aca="false">AVERAGEIFS(Pedidos!$AC$2:$AC$2224,Pedidos!$F$2:$F$2224,$B5)</f>
        <v>180.344621127946</v>
      </c>
      <c r="J5" s="13" t="n">
        <f aca="false">I5/H5-1</f>
        <v>0.44573846214183</v>
      </c>
      <c r="K5" s="13" t="n">
        <f aca="false">AVERAGEIFS(Pedidos!$AD$2:$AD$2224,Pedidos!$F$2:$F$2224,$B5)/H5-1</f>
        <v>0.238189228890348</v>
      </c>
      <c r="L5" s="14" t="n">
        <f aca="false">SUMIFS(Pedidos!$T$2:$T$2224,Pedidos!$F$2:$F$2224,$B5)/SUMIFS(Pedidos!$J$2:$J$2224,Pedidos!$F$2:$F$2224,$B5)</f>
        <v>0.195929431681911</v>
      </c>
      <c r="M5" s="14" t="n">
        <f aca="false">SUMIFS(Pedidos!$AC$2:$AC$2224,Pedidos!$F$2:$F$2224,$B5)/SUMIFS(Pedidos!$J$2:$J$2224,Pedidos!$F$2:$F$2224,$B5)</f>
        <v>0.283262715248129</v>
      </c>
      <c r="N5" s="14" t="n">
        <f aca="false">COUNTIFS(Pedidos!$F$2:$F$2224,$B5,Pedidos!$AG$2:$AG$2224,"SIM")/D5</f>
        <v>0</v>
      </c>
      <c r="O5" s="13" t="n">
        <f aca="false">SUMIFS(Pedidos!$U$2:$U$2224,Pedidos!$F$2:$F$2224,$B5)/SUMIFS(Pedidos!$M$2:$M$2224,Pedidos!$F$2:$F$2224,$B5)-1</f>
        <v>0.414041075835529</v>
      </c>
      <c r="P5" s="10" t="n">
        <f aca="false">AVERAGEIFS(Pedidos!$AH$2:$AH$2224,Pedidos!$F$2:$F$2224,$B5)</f>
        <v>10</v>
      </c>
      <c r="Q5" s="10" t="n">
        <f aca="false">AVERAGEIFS(Pedidos!$AI$2:$AI$2224,Pedidos!$F$2:$F$2224,$B5)</f>
        <v>7</v>
      </c>
      <c r="R5" s="14" t="n">
        <f aca="false">MAX(0,1-H5/I5)</f>
        <v>0.308311962235187</v>
      </c>
      <c r="S5" s="4" t="str">
        <f aca="false">IF(J5&lt;=0,"Muito bem",IF(J5&lt;=0.32,"Melhor posição",IF(J5&lt;=0.45,"Intermediária","Precisa melhorar")))</f>
        <v>Intermediária</v>
      </c>
    </row>
    <row r="6" customFormat="false" ht="15" hidden="false" customHeight="false" outlineLevel="0" collapsed="false">
      <c r="A6" s="4" t="n">
        <v>3</v>
      </c>
      <c r="B6" s="4" t="s">
        <v>141</v>
      </c>
      <c r="C6" s="4" t="str">
        <f aca="false">INDEX(Pedidos!$G$2:$G$2224,MATCH($B6,Pedidos!$F$2:$F$2224,0))</f>
        <v>Metropolitana</v>
      </c>
      <c r="D6" s="10" t="n">
        <f aca="false">COUNTIFS(Pedidos!$F$2:$F$2224,$B6)</f>
        <v>106</v>
      </c>
      <c r="E6" s="14" t="n">
        <f aca="false">D6/Resumo!$B$19</f>
        <v>0.0476833108412056</v>
      </c>
      <c r="F6" s="17" t="n">
        <f aca="false">AVERAGEIFS(Pedidos!$I$2:$I$2224,Pedidos!$F$2:$F$2224,$B6)</f>
        <v>52.4224528301887</v>
      </c>
      <c r="G6" s="12" t="n">
        <f aca="false">AVERAGEIFS(Pedidos!$J$2:$J$2224,Pedidos!$F$2:$F$2224,$B6)</f>
        <v>663.553018867925</v>
      </c>
      <c r="H6" s="12" t="n">
        <f aca="false">AVERAGEIFS(Pedidos!$T$2:$T$2224,Pedidos!$F$2:$F$2224,$B6)</f>
        <v>128.037691749571</v>
      </c>
      <c r="I6" s="12" t="n">
        <f aca="false">AVERAGEIFS(Pedidos!$AC$2:$AC$2224,Pedidos!$F$2:$F$2224,$B6)</f>
        <v>166.373819253859</v>
      </c>
      <c r="J6" s="13" t="n">
        <f aca="false">I6/H6-1</f>
        <v>0.299412828991558</v>
      </c>
      <c r="K6" s="13" t="n">
        <f aca="false">AVERAGEIFS(Pedidos!$AD$2:$AD$2224,Pedidos!$F$2:$F$2224,$B6)/H6-1</f>
        <v>0.0884922113728097</v>
      </c>
      <c r="L6" s="14" t="n">
        <f aca="false">SUMIFS(Pedidos!$T$2:$T$2224,Pedidos!$F$2:$F$2224,$B6)/SUMIFS(Pedidos!$J$2:$J$2224,Pedidos!$F$2:$F$2224,$B6)</f>
        <v>0.192957741294002</v>
      </c>
      <c r="M6" s="14" t="n">
        <f aca="false">SUMIFS(Pedidos!$AC$2:$AC$2224,Pedidos!$F$2:$F$2224,$B6)/SUMIFS(Pedidos!$J$2:$J$2224,Pedidos!$F$2:$F$2224,$B6)</f>
        <v>0.250731764490661</v>
      </c>
      <c r="N6" s="14" t="n">
        <f aca="false">COUNTIFS(Pedidos!$F$2:$F$2224,$B6,Pedidos!$AG$2:$AG$2224,"SIM")/D6</f>
        <v>0.0566037735849057</v>
      </c>
      <c r="O6" s="13" t="n">
        <f aca="false">SUMIFS(Pedidos!$U$2:$U$2224,Pedidos!$F$2:$F$2224,$B6)/SUMIFS(Pedidos!$M$2:$M$2224,Pedidos!$F$2:$F$2224,$B6)-1</f>
        <v>0.224246789548141</v>
      </c>
      <c r="P6" s="10" t="n">
        <f aca="false">AVERAGEIFS(Pedidos!$AH$2:$AH$2224,Pedidos!$F$2:$F$2224,$B6)</f>
        <v>10</v>
      </c>
      <c r="Q6" s="10" t="n">
        <f aca="false">AVERAGEIFS(Pedidos!$AI$2:$AI$2224,Pedidos!$F$2:$F$2224,$B6)</f>
        <v>5</v>
      </c>
      <c r="R6" s="14" t="n">
        <f aca="false">MAX(0,1-H6/I6)</f>
        <v>0.230421635304251</v>
      </c>
      <c r="S6" s="4" t="str">
        <f aca="false">IF(J6&lt;=0,"Muito bem",IF(J6&lt;=0.32,"Melhor posição",IF(J6&lt;=0.45,"Intermediária","Precisa melhorar")))</f>
        <v>Melhor posição</v>
      </c>
    </row>
    <row r="7" customFormat="false" ht="15" hidden="false" customHeight="false" outlineLevel="0" collapsed="false">
      <c r="A7" s="4" t="n">
        <v>4</v>
      </c>
      <c r="B7" s="4" t="s">
        <v>142</v>
      </c>
      <c r="C7" s="4" t="str">
        <f aca="false">INDEX(Pedidos!$G$2:$G$2224,MATCH($B7,Pedidos!$F$2:$F$2224,0))</f>
        <v>Metropolitana</v>
      </c>
      <c r="D7" s="10" t="n">
        <f aca="false">COUNTIFS(Pedidos!$F$2:$F$2224,$B7)</f>
        <v>95</v>
      </c>
      <c r="E7" s="14" t="n">
        <f aca="false">D7/Resumo!$B$19</f>
        <v>0.0427350427350427</v>
      </c>
      <c r="F7" s="17" t="n">
        <f aca="false">AVERAGEIFS(Pedidos!$I$2:$I$2224,Pedidos!$F$2:$F$2224,$B7)</f>
        <v>55.0834736842105</v>
      </c>
      <c r="G7" s="12" t="n">
        <f aca="false">AVERAGEIFS(Pedidos!$J$2:$J$2224,Pedidos!$F$2:$F$2224,$B7)</f>
        <v>676.709263157895</v>
      </c>
      <c r="H7" s="12" t="n">
        <f aca="false">AVERAGEIFS(Pedidos!$T$2:$T$2224,Pedidos!$F$2:$F$2224,$B7)</f>
        <v>130.605712842105</v>
      </c>
      <c r="I7" s="12" t="n">
        <f aca="false">AVERAGEIFS(Pedidos!$AC$2:$AC$2224,Pedidos!$F$2:$F$2224,$B7)</f>
        <v>172.309475358852</v>
      </c>
      <c r="J7" s="13" t="n">
        <f aca="false">I7/H7-1</f>
        <v>0.319310400818101</v>
      </c>
      <c r="K7" s="13" t="n">
        <f aca="false">AVERAGEIFS(Pedidos!$AD$2:$AD$2224,Pedidos!$F$2:$F$2224,$B7)/H7-1</f>
        <v>0.101948117323032</v>
      </c>
      <c r="L7" s="14" t="n">
        <f aca="false">SUMIFS(Pedidos!$T$2:$T$2224,Pedidos!$F$2:$F$2224,$B7)/SUMIFS(Pedidos!$J$2:$J$2224,Pedidos!$F$2:$F$2224,$B7)</f>
        <v>0.193001219212853</v>
      </c>
      <c r="M7" s="14" t="n">
        <f aca="false">SUMIFS(Pedidos!$AC$2:$AC$2224,Pedidos!$F$2:$F$2224,$B7)/SUMIFS(Pedidos!$J$2:$J$2224,Pedidos!$F$2:$F$2224,$B7)</f>
        <v>0.254628515878092</v>
      </c>
      <c r="N7" s="14" t="n">
        <f aca="false">COUNTIFS(Pedidos!$F$2:$F$2224,$B7,Pedidos!$AG$2:$AG$2224,"SIM")/D7</f>
        <v>0.0210526315789474</v>
      </c>
      <c r="O7" s="13" t="n">
        <f aca="false">SUMIFS(Pedidos!$U$2:$U$2224,Pedidos!$F$2:$F$2224,$B7)/SUMIFS(Pedidos!$M$2:$M$2224,Pedidos!$F$2:$F$2224,$B7)-1</f>
        <v>0.237271909295455</v>
      </c>
      <c r="P7" s="10" t="n">
        <f aca="false">AVERAGEIFS(Pedidos!$AH$2:$AH$2224,Pedidos!$F$2:$F$2224,$B7)</f>
        <v>10</v>
      </c>
      <c r="Q7" s="10" t="n">
        <f aca="false">AVERAGEIFS(Pedidos!$AI$2:$AI$2224,Pedidos!$F$2:$F$2224,$B7)</f>
        <v>5</v>
      </c>
      <c r="R7" s="14" t="n">
        <f aca="false">MAX(0,1-H7/I7)</f>
        <v>0.242028260082008</v>
      </c>
      <c r="S7" s="4" t="str">
        <f aca="false">IF(J7&lt;=0,"Muito bem",IF(J7&lt;=0.32,"Melhor posição",IF(J7&lt;=0.45,"Intermediária","Precisa melhorar")))</f>
        <v>Melhor posição</v>
      </c>
    </row>
    <row r="8" customFormat="false" ht="15" hidden="false" customHeight="false" outlineLevel="0" collapsed="false">
      <c r="A8" s="4" t="n">
        <v>5</v>
      </c>
      <c r="B8" s="4" t="s">
        <v>143</v>
      </c>
      <c r="C8" s="4" t="str">
        <f aca="false">INDEX(Pedidos!$G$2:$G$2224,MATCH($B8,Pedidos!$F$2:$F$2224,0))</f>
        <v>Metropolitana</v>
      </c>
      <c r="D8" s="10" t="n">
        <f aca="false">COUNTIFS(Pedidos!$F$2:$F$2224,$B8)</f>
        <v>68</v>
      </c>
      <c r="E8" s="14" t="n">
        <f aca="false">D8/Resumo!$B$19</f>
        <v>0.0305892937471885</v>
      </c>
      <c r="F8" s="17" t="n">
        <f aca="false">AVERAGEIFS(Pedidos!$I$2:$I$2224,Pedidos!$F$2:$F$2224,$B8)</f>
        <v>47.9458823529412</v>
      </c>
      <c r="G8" s="12" t="n">
        <f aca="false">AVERAGEIFS(Pedidos!$J$2:$J$2224,Pedidos!$F$2:$F$2224,$B8)</f>
        <v>603.648088235294</v>
      </c>
      <c r="H8" s="12" t="n">
        <f aca="false">AVERAGEIFS(Pedidos!$T$2:$T$2224,Pedidos!$F$2:$F$2224,$B8)</f>
        <v>122.058110050134</v>
      </c>
      <c r="I8" s="12" t="n">
        <f aca="false">AVERAGEIFS(Pedidos!$AC$2:$AC$2224,Pedidos!$F$2:$F$2224,$B8)</f>
        <v>175.731353776738</v>
      </c>
      <c r="J8" s="13" t="n">
        <f aca="false">I8/H8-1</f>
        <v>0.439735169621738</v>
      </c>
      <c r="K8" s="13" t="n">
        <f aca="false">AVERAGEIFS(Pedidos!$AD$2:$AD$2224,Pedidos!$F$2:$F$2224,$B8)/H8-1</f>
        <v>0.23716005340274</v>
      </c>
      <c r="L8" s="14" t="n">
        <f aca="false">SUMIFS(Pedidos!$T$2:$T$2224,Pedidos!$F$2:$F$2224,$B8)/SUMIFS(Pedidos!$J$2:$J$2224,Pedidos!$F$2:$F$2224,$B8)</f>
        <v>0.202200772981753</v>
      </c>
      <c r="M8" s="14" t="n">
        <f aca="false">SUMIFS(Pedidos!$AC$2:$AC$2224,Pedidos!$F$2:$F$2224,$B8)/SUMIFS(Pedidos!$J$2:$J$2224,Pedidos!$F$2:$F$2224,$B8)</f>
        <v>0.29111556418653</v>
      </c>
      <c r="N8" s="14" t="n">
        <f aca="false">COUNTIFS(Pedidos!$F$2:$F$2224,$B8,Pedidos!$AG$2:$AG$2224,"SIM")/D8</f>
        <v>0</v>
      </c>
      <c r="O8" s="13" t="n">
        <f aca="false">SUMIFS(Pedidos!$U$2:$U$2224,Pedidos!$F$2:$F$2224,$B8)/SUMIFS(Pedidos!$M$2:$M$2224,Pedidos!$F$2:$F$2224,$B8)-1</f>
        <v>0.417183266749323</v>
      </c>
      <c r="P8" s="10" t="n">
        <f aca="false">AVERAGEIFS(Pedidos!$AH$2:$AH$2224,Pedidos!$F$2:$F$2224,$B8)</f>
        <v>10</v>
      </c>
      <c r="Q8" s="10" t="n">
        <f aca="false">AVERAGEIFS(Pedidos!$AI$2:$AI$2224,Pedidos!$F$2:$F$2224,$B8)</f>
        <v>7</v>
      </c>
      <c r="R8" s="14" t="n">
        <f aca="false">MAX(0,1-H8/I8)</f>
        <v>0.305427816795828</v>
      </c>
      <c r="S8" s="4" t="str">
        <f aca="false">IF(J8&lt;=0,"Muito bem",IF(J8&lt;=0.32,"Melhor posição",IF(J8&lt;=0.45,"Intermediária","Precisa melhorar")))</f>
        <v>Intermediária</v>
      </c>
    </row>
    <row r="9" customFormat="false" ht="15" hidden="false" customHeight="false" outlineLevel="0" collapsed="false">
      <c r="A9" s="4" t="n">
        <v>6</v>
      </c>
      <c r="B9" s="4" t="s">
        <v>144</v>
      </c>
      <c r="C9" s="4" t="str">
        <f aca="false">INDEX(Pedidos!$G$2:$G$2224,MATCH($B9,Pedidos!$F$2:$F$2224,0))</f>
        <v>Interior</v>
      </c>
      <c r="D9" s="10" t="n">
        <f aca="false">COUNTIFS(Pedidos!$F$2:$F$2224,$B9)</f>
        <v>53</v>
      </c>
      <c r="E9" s="14" t="n">
        <f aca="false">D9/Resumo!$B$19</f>
        <v>0.0238416554206028</v>
      </c>
      <c r="F9" s="17" t="n">
        <f aca="false">AVERAGEIFS(Pedidos!$I$2:$I$2224,Pedidos!$F$2:$F$2224,$B9)</f>
        <v>49.4752830188679</v>
      </c>
      <c r="G9" s="12" t="n">
        <f aca="false">AVERAGEIFS(Pedidos!$J$2:$J$2224,Pedidos!$F$2:$F$2224,$B9)</f>
        <v>649.884339622642</v>
      </c>
      <c r="H9" s="12" t="n">
        <f aca="false">AVERAGEIFS(Pedidos!$T$2:$T$2224,Pedidos!$F$2:$F$2224,$B9)</f>
        <v>136.908767825901</v>
      </c>
      <c r="I9" s="12" t="n">
        <f aca="false">AVERAGEIFS(Pedidos!$AC$2:$AC$2224,Pedidos!$F$2:$F$2224,$B9)</f>
        <v>218.073790951973</v>
      </c>
      <c r="J9" s="13" t="n">
        <f aca="false">I9/H9-1</f>
        <v>0.592840213340355</v>
      </c>
      <c r="K9" s="13" t="n">
        <f aca="false">AVERAGEIFS(Pedidos!$AD$2:$AD$2224,Pedidos!$F$2:$F$2224,$B9)/H9-1</f>
        <v>0.40686198749664</v>
      </c>
      <c r="L9" s="14" t="n">
        <f aca="false">SUMIFS(Pedidos!$T$2:$T$2224,Pedidos!$F$2:$F$2224,$B9)/SUMIFS(Pedidos!$J$2:$J$2224,Pedidos!$F$2:$F$2224,$B9)</f>
        <v>0.210666359348492</v>
      </c>
      <c r="M9" s="14" t="n">
        <f aca="false">SUMIFS(Pedidos!$AC$2:$AC$2224,Pedidos!$F$2:$F$2224,$B9)/SUMIFS(Pedidos!$J$2:$J$2224,Pedidos!$F$2:$F$2224,$B9)</f>
        <v>0.335557848768287</v>
      </c>
      <c r="N9" s="14" t="n">
        <f aca="false">COUNTIFS(Pedidos!$F$2:$F$2224,$B9,Pedidos!$AG$2:$AG$2224,"SIM")/D9</f>
        <v>0</v>
      </c>
      <c r="O9" s="13" t="n">
        <f aca="false">SUMIFS(Pedidos!$U$2:$U$2224,Pedidos!$F$2:$F$2224,$B9)/SUMIFS(Pedidos!$M$2:$M$2224,Pedidos!$F$2:$F$2224,$B9)-1</f>
        <v>0.609363581057038</v>
      </c>
      <c r="P9" s="10" t="n">
        <f aca="false">AVERAGEIFS(Pedidos!$AH$2:$AH$2224,Pedidos!$F$2:$F$2224,$B9)</f>
        <v>13</v>
      </c>
      <c r="Q9" s="10" t="n">
        <f aca="false">AVERAGEIFS(Pedidos!$AI$2:$AI$2224,Pedidos!$F$2:$F$2224,$B9)</f>
        <v>11</v>
      </c>
      <c r="R9" s="14" t="n">
        <f aca="false">MAX(0,1-H9/I9)</f>
        <v>0.372190636810397</v>
      </c>
      <c r="S9" s="4" t="str">
        <f aca="false">IF(J9&lt;=0,"Muito bem",IF(J9&lt;=0.32,"Melhor posição",IF(J9&lt;=0.45,"Intermediária","Precisa melhorar")))</f>
        <v>Precisa melhorar</v>
      </c>
    </row>
    <row r="10" customFormat="false" ht="15" hidden="false" customHeight="false" outlineLevel="0" collapsed="false">
      <c r="A10" s="4" t="n">
        <v>7</v>
      </c>
      <c r="B10" s="4" t="s">
        <v>145</v>
      </c>
      <c r="C10" s="4" t="str">
        <f aca="false">INDEX(Pedidos!$G$2:$G$2224,MATCH($B10,Pedidos!$F$2:$F$2224,0))</f>
        <v>Metropolitana</v>
      </c>
      <c r="D10" s="10" t="n">
        <f aca="false">COUNTIFS(Pedidos!$F$2:$F$2224,$B10)</f>
        <v>49</v>
      </c>
      <c r="E10" s="14" t="n">
        <f aca="false">D10/Resumo!$B$19</f>
        <v>0.0220422852001799</v>
      </c>
      <c r="F10" s="17" t="n">
        <f aca="false">AVERAGEIFS(Pedidos!$I$2:$I$2224,Pedidos!$F$2:$F$2224,$B10)</f>
        <v>54.08</v>
      </c>
      <c r="G10" s="12" t="n">
        <f aca="false">AVERAGEIFS(Pedidos!$J$2:$J$2224,Pedidos!$F$2:$F$2224,$B10)</f>
        <v>687.528163265306</v>
      </c>
      <c r="H10" s="12" t="n">
        <f aca="false">AVERAGEIFS(Pedidos!$T$2:$T$2224,Pedidos!$F$2:$F$2224,$B10)</f>
        <v>128.189975037106</v>
      </c>
      <c r="I10" s="12" t="n">
        <f aca="false">AVERAGEIFS(Pedidos!$AC$2:$AC$2224,Pedidos!$F$2:$F$2224,$B10)</f>
        <v>166.988558441558</v>
      </c>
      <c r="J10" s="13" t="n">
        <f aca="false">I10/H10-1</f>
        <v>0.302664723924176</v>
      </c>
      <c r="K10" s="13" t="n">
        <f aca="false">AVERAGEIFS(Pedidos!$AD$2:$AD$2224,Pedidos!$F$2:$F$2224,$B10)/H10-1</f>
        <v>0.0851362302754732</v>
      </c>
      <c r="L10" s="14" t="n">
        <f aca="false">SUMIFS(Pedidos!$T$2:$T$2224,Pedidos!$F$2:$F$2224,$B10)/SUMIFS(Pedidos!$J$2:$J$2224,Pedidos!$F$2:$F$2224,$B10)</f>
        <v>0.186450507610172</v>
      </c>
      <c r="M10" s="14" t="n">
        <f aca="false">SUMIFS(Pedidos!$AC$2:$AC$2224,Pedidos!$F$2:$F$2224,$B10)/SUMIFS(Pedidos!$J$2:$J$2224,Pedidos!$F$2:$F$2224,$B10)</f>
        <v>0.242882499021528</v>
      </c>
      <c r="N10" s="14" t="n">
        <f aca="false">COUNTIFS(Pedidos!$F$2:$F$2224,$B10,Pedidos!$AG$2:$AG$2224,"SIM")/D10</f>
        <v>0.0816326530612245</v>
      </c>
      <c r="O10" s="13" t="n">
        <f aca="false">SUMIFS(Pedidos!$U$2:$U$2224,Pedidos!$F$2:$F$2224,$B10)/SUMIFS(Pedidos!$M$2:$M$2224,Pedidos!$F$2:$F$2224,$B10)-1</f>
        <v>0.22020883627585</v>
      </c>
      <c r="P10" s="10" t="n">
        <f aca="false">AVERAGEIFS(Pedidos!$AH$2:$AH$2224,Pedidos!$F$2:$F$2224,$B10)</f>
        <v>10</v>
      </c>
      <c r="Q10" s="10" t="n">
        <f aca="false">AVERAGEIFS(Pedidos!$AI$2:$AI$2224,Pedidos!$F$2:$F$2224,$B10)</f>
        <v>5</v>
      </c>
      <c r="R10" s="14" t="n">
        <f aca="false">MAX(0,1-H10/I10)</f>
        <v>0.232342765076514</v>
      </c>
      <c r="S10" s="4" t="str">
        <f aca="false">IF(J10&lt;=0,"Muito bem",IF(J10&lt;=0.32,"Melhor posição",IF(J10&lt;=0.45,"Intermediária","Precisa melhorar")))</f>
        <v>Melhor posição</v>
      </c>
    </row>
    <row r="11" customFormat="false" ht="15" hidden="false" customHeight="false" outlineLevel="0" collapsed="false">
      <c r="A11" s="4" t="n">
        <v>8</v>
      </c>
      <c r="B11" s="4" t="s">
        <v>146</v>
      </c>
      <c r="C11" s="4" t="str">
        <f aca="false">INDEX(Pedidos!$G$2:$G$2224,MATCH($B11,Pedidos!$F$2:$F$2224,0))</f>
        <v>Interior</v>
      </c>
      <c r="D11" s="10" t="n">
        <f aca="false">COUNTIFS(Pedidos!$F$2:$F$2224,$B11)</f>
        <v>45</v>
      </c>
      <c r="E11" s="14" t="n">
        <f aca="false">D11/Resumo!$B$19</f>
        <v>0.0202429149797571</v>
      </c>
      <c r="F11" s="17" t="n">
        <f aca="false">AVERAGEIFS(Pedidos!$I$2:$I$2224,Pedidos!$F$2:$F$2224,$B11)</f>
        <v>60.0602222222222</v>
      </c>
      <c r="G11" s="12" t="n">
        <f aca="false">AVERAGEIFS(Pedidos!$J$2:$J$2224,Pedidos!$F$2:$F$2224,$B11)</f>
        <v>746.164666666667</v>
      </c>
      <c r="H11" s="12" t="n">
        <f aca="false">AVERAGEIFS(Pedidos!$T$2:$T$2224,Pedidos!$F$2:$F$2224,$B11)</f>
        <v>151.238236621212</v>
      </c>
      <c r="I11" s="12" t="n">
        <f aca="false">AVERAGEIFS(Pedidos!$AC$2:$AC$2224,Pedidos!$F$2:$F$2224,$B11)</f>
        <v>241.397783585859</v>
      </c>
      <c r="J11" s="13" t="n">
        <f aca="false">I11/H11-1</f>
        <v>0.596142542910349</v>
      </c>
      <c r="K11" s="13" t="n">
        <f aca="false">AVERAGEIFS(Pedidos!$AD$2:$AD$2224,Pedidos!$F$2:$F$2224,$B11)/H11-1</f>
        <v>0.391844159359944</v>
      </c>
      <c r="L11" s="14" t="n">
        <f aca="false">SUMIFS(Pedidos!$T$2:$T$2224,Pedidos!$F$2:$F$2224,$B11)/SUMIFS(Pedidos!$J$2:$J$2224,Pedidos!$F$2:$F$2224,$B11)</f>
        <v>0.202687480897262</v>
      </c>
      <c r="M11" s="14" t="n">
        <f aca="false">SUMIFS(Pedidos!$AC$2:$AC$2224,Pedidos!$F$2:$F$2224,$B11)/SUMIFS(Pedidos!$J$2:$J$2224,Pedidos!$F$2:$F$2224,$B11)</f>
        <v>0.323518111175449</v>
      </c>
      <c r="N11" s="14" t="n">
        <f aca="false">COUNTIFS(Pedidos!$F$2:$F$2224,$B11,Pedidos!$AG$2:$AG$2224,"SIM")/D11</f>
        <v>0</v>
      </c>
      <c r="O11" s="13" t="n">
        <f aca="false">SUMIFS(Pedidos!$U$2:$U$2224,Pedidos!$F$2:$F$2224,$B11)/SUMIFS(Pedidos!$M$2:$M$2224,Pedidos!$F$2:$F$2224,$B11)-1</f>
        <v>0.573331315577078</v>
      </c>
      <c r="P11" s="10" t="n">
        <f aca="false">AVERAGEIFS(Pedidos!$AH$2:$AH$2224,Pedidos!$F$2:$F$2224,$B11)</f>
        <v>13</v>
      </c>
      <c r="Q11" s="10" t="n">
        <f aca="false">AVERAGEIFS(Pedidos!$AI$2:$AI$2224,Pedidos!$F$2:$F$2224,$B11)</f>
        <v>11</v>
      </c>
      <c r="R11" s="14" t="n">
        <f aca="false">MAX(0,1-H11/I11)</f>
        <v>0.373489539238372</v>
      </c>
      <c r="S11" s="4" t="str">
        <f aca="false">IF(J11&lt;=0,"Muito bem",IF(J11&lt;=0.32,"Melhor posição",IF(J11&lt;=0.45,"Intermediária","Precisa melhorar")))</f>
        <v>Precisa melhorar</v>
      </c>
    </row>
    <row r="12" customFormat="false" ht="15" hidden="false" customHeight="false" outlineLevel="0" collapsed="false">
      <c r="A12" s="4" t="n">
        <v>9</v>
      </c>
      <c r="B12" s="4" t="s">
        <v>147</v>
      </c>
      <c r="C12" s="4" t="str">
        <f aca="false">INDEX(Pedidos!$G$2:$G$2224,MATCH($B12,Pedidos!$F$2:$F$2224,0))</f>
        <v>Metropolitana</v>
      </c>
      <c r="D12" s="10" t="n">
        <f aca="false">COUNTIFS(Pedidos!$F$2:$F$2224,$B12)</f>
        <v>37</v>
      </c>
      <c r="E12" s="14" t="n">
        <f aca="false">D12/Resumo!$B$19</f>
        <v>0.0166441745389114</v>
      </c>
      <c r="F12" s="17" t="n">
        <f aca="false">AVERAGEIFS(Pedidos!$I$2:$I$2224,Pedidos!$F$2:$F$2224,$B12)</f>
        <v>55.9305405405405</v>
      </c>
      <c r="G12" s="12" t="n">
        <f aca="false">AVERAGEIFS(Pedidos!$J$2:$J$2224,Pedidos!$F$2:$F$2224,$B12)</f>
        <v>698.244054054054</v>
      </c>
      <c r="H12" s="12" t="n">
        <f aca="false">AVERAGEIFS(Pedidos!$T$2:$T$2224,Pedidos!$F$2:$F$2224,$B12)</f>
        <v>133.322064699017</v>
      </c>
      <c r="I12" s="12" t="n">
        <f aca="false">AVERAGEIFS(Pedidos!$AC$2:$AC$2224,Pedidos!$F$2:$F$2224,$B12)</f>
        <v>175.043768120393</v>
      </c>
      <c r="J12" s="13" t="n">
        <f aca="false">I12/H12-1</f>
        <v>0.312939223642877</v>
      </c>
      <c r="K12" s="13" t="n">
        <f aca="false">AVERAGEIFS(Pedidos!$AD$2:$AD$2224,Pedidos!$F$2:$F$2224,$B12)/H12-1</f>
        <v>0.0972153714007258</v>
      </c>
      <c r="L12" s="14" t="n">
        <f aca="false">SUMIFS(Pedidos!$T$2:$T$2224,Pedidos!$F$2:$F$2224,$B12)/SUMIFS(Pedidos!$J$2:$J$2224,Pedidos!$F$2:$F$2224,$B12)</f>
        <v>0.190939061958265</v>
      </c>
      <c r="M12" s="14" t="n">
        <f aca="false">SUMIFS(Pedidos!$AC$2:$AC$2224,Pedidos!$F$2:$F$2224,$B12)/SUMIFS(Pedidos!$J$2:$J$2224,Pedidos!$F$2:$F$2224,$B12)</f>
        <v>0.250691383770584</v>
      </c>
      <c r="N12" s="14" t="n">
        <f aca="false">COUNTIFS(Pedidos!$F$2:$F$2224,$B12,Pedidos!$AG$2:$AG$2224,"SIM")/D12</f>
        <v>0.027027027027027</v>
      </c>
      <c r="O12" s="13" t="n">
        <f aca="false">SUMIFS(Pedidos!$U$2:$U$2224,Pedidos!$F$2:$F$2224,$B12)/SUMIFS(Pedidos!$M$2:$M$2224,Pedidos!$F$2:$F$2224,$B12)-1</f>
        <v>0.229202667406983</v>
      </c>
      <c r="P12" s="10" t="n">
        <f aca="false">AVERAGEIFS(Pedidos!$AH$2:$AH$2224,Pedidos!$F$2:$F$2224,$B12)</f>
        <v>10</v>
      </c>
      <c r="Q12" s="10" t="n">
        <f aca="false">AVERAGEIFS(Pedidos!$AI$2:$AI$2224,Pedidos!$F$2:$F$2224,$B12)</f>
        <v>5</v>
      </c>
      <c r="R12" s="14" t="n">
        <f aca="false">MAX(0,1-H12/I12)</f>
        <v>0.238350121626039</v>
      </c>
      <c r="S12" s="4" t="str">
        <f aca="false">IF(J12&lt;=0,"Muito bem",IF(J12&lt;=0.32,"Melhor posição",IF(J12&lt;=0.45,"Intermediária","Precisa melhorar")))</f>
        <v>Melhor posição</v>
      </c>
    </row>
    <row r="13" customFormat="false" ht="15" hidden="false" customHeight="false" outlineLevel="0" collapsed="false">
      <c r="A13" s="4" t="n">
        <v>10</v>
      </c>
      <c r="B13" s="4" t="s">
        <v>148</v>
      </c>
      <c r="C13" s="4" t="str">
        <f aca="false">INDEX(Pedidos!$G$2:$G$2224,MATCH($B13,Pedidos!$F$2:$F$2224,0))</f>
        <v>Interior</v>
      </c>
      <c r="D13" s="10" t="n">
        <f aca="false">COUNTIFS(Pedidos!$F$2:$F$2224,$B13)</f>
        <v>37</v>
      </c>
      <c r="E13" s="14" t="n">
        <f aca="false">D13/Resumo!$B$19</f>
        <v>0.0166441745389114</v>
      </c>
      <c r="F13" s="17" t="n">
        <f aca="false">AVERAGEIFS(Pedidos!$I$2:$I$2224,Pedidos!$F$2:$F$2224,$B13)</f>
        <v>50.8867567567568</v>
      </c>
      <c r="G13" s="12" t="n">
        <f aca="false">AVERAGEIFS(Pedidos!$J$2:$J$2224,Pedidos!$F$2:$F$2224,$B13)</f>
        <v>652.921081081081</v>
      </c>
      <c r="H13" s="12" t="n">
        <f aca="false">AVERAGEIFS(Pedidos!$T$2:$T$2224,Pedidos!$F$2:$F$2224,$B13)</f>
        <v>139.321962457002</v>
      </c>
      <c r="I13" s="12" t="n">
        <f aca="false">AVERAGEIFS(Pedidos!$AC$2:$AC$2224,Pedidos!$F$2:$F$2224,$B13)</f>
        <v>198.538213759214</v>
      </c>
      <c r="J13" s="13" t="n">
        <f aca="false">I13/H13-1</f>
        <v>0.425031705395957</v>
      </c>
      <c r="K13" s="13" t="n">
        <f aca="false">AVERAGEIFS(Pedidos!$AD$2:$AD$2224,Pedidos!$F$2:$F$2224,$B13)/H13-1</f>
        <v>0.236553067167488</v>
      </c>
      <c r="L13" s="14" t="n">
        <f aca="false">SUMIFS(Pedidos!$T$2:$T$2224,Pedidos!$F$2:$F$2224,$B13)/SUMIFS(Pedidos!$J$2:$J$2224,Pedidos!$F$2:$F$2224,$B13)</f>
        <v>0.213382545753184</v>
      </c>
      <c r="M13" s="14" t="n">
        <f aca="false">SUMIFS(Pedidos!$AC$2:$AC$2224,Pedidos!$F$2:$F$2224,$B13)/SUMIFS(Pedidos!$J$2:$J$2224,Pedidos!$F$2:$F$2224,$B13)</f>
        <v>0.304076893076391</v>
      </c>
      <c r="N13" s="14" t="n">
        <f aca="false">COUNTIFS(Pedidos!$F$2:$F$2224,$B13,Pedidos!$AG$2:$AG$2224,"SIM")/D13</f>
        <v>0</v>
      </c>
      <c r="O13" s="13" t="n">
        <f aca="false">SUMIFS(Pedidos!$U$2:$U$2224,Pedidos!$F$2:$F$2224,$B13)/SUMIFS(Pedidos!$M$2:$M$2224,Pedidos!$F$2:$F$2224,$B13)-1</f>
        <v>0.399186336904858</v>
      </c>
      <c r="P13" s="10" t="n">
        <f aca="false">AVERAGEIFS(Pedidos!$AH$2:$AH$2224,Pedidos!$F$2:$F$2224,$B13)</f>
        <v>13</v>
      </c>
      <c r="Q13" s="10" t="n">
        <f aca="false">AVERAGEIFS(Pedidos!$AI$2:$AI$2224,Pedidos!$F$2:$F$2224,$B13)</f>
        <v>10</v>
      </c>
      <c r="R13" s="14" t="n">
        <f aca="false">MAX(0,1-H13/I13)</f>
        <v>0.298261227302209</v>
      </c>
      <c r="S13" s="4" t="str">
        <f aca="false">IF(J13&lt;=0,"Muito bem",IF(J13&lt;=0.32,"Melhor posição",IF(J13&lt;=0.45,"Intermediária","Precisa melhorar")))</f>
        <v>Intermediária</v>
      </c>
    </row>
    <row r="14" customFormat="false" ht="15" hidden="false" customHeight="false" outlineLevel="0" collapsed="false">
      <c r="A14" s="4" t="n">
        <v>11</v>
      </c>
      <c r="B14" s="4" t="s">
        <v>149</v>
      </c>
      <c r="C14" s="4" t="str">
        <f aca="false">INDEX(Pedidos!$G$2:$G$2224,MATCH($B14,Pedidos!$F$2:$F$2224,0))</f>
        <v>Interior</v>
      </c>
      <c r="D14" s="10" t="n">
        <f aca="false">COUNTIFS(Pedidos!$F$2:$F$2224,$B14)</f>
        <v>35</v>
      </c>
      <c r="E14" s="14" t="n">
        <f aca="false">D14/Resumo!$B$19</f>
        <v>0.0157444894287</v>
      </c>
      <c r="F14" s="17" t="n">
        <f aca="false">AVERAGEIFS(Pedidos!$I$2:$I$2224,Pedidos!$F$2:$F$2224,$B14)</f>
        <v>44.3942857142857</v>
      </c>
      <c r="G14" s="12" t="n">
        <f aca="false">AVERAGEIFS(Pedidos!$J$2:$J$2224,Pedidos!$F$2:$F$2224,$B14)</f>
        <v>596.417714285714</v>
      </c>
      <c r="H14" s="12" t="n">
        <f aca="false">AVERAGEIFS(Pedidos!$T$2:$T$2224,Pedidos!$F$2:$F$2224,$B14)</f>
        <v>129.13126287013</v>
      </c>
      <c r="I14" s="12" t="n">
        <f aca="false">AVERAGEIFS(Pedidos!$AC$2:$AC$2224,Pedidos!$F$2:$F$2224,$B14)</f>
        <v>179.382592857143</v>
      </c>
      <c r="J14" s="13" t="n">
        <f aca="false">I14/H14-1</f>
        <v>0.389149218168429</v>
      </c>
      <c r="K14" s="13" t="n">
        <f aca="false">AVERAGEIFS(Pedidos!$AD$2:$AD$2224,Pedidos!$F$2:$F$2224,$B14)/H14-1</f>
        <v>0.211739887539246</v>
      </c>
      <c r="L14" s="14" t="n">
        <f aca="false">SUMIFS(Pedidos!$T$2:$T$2224,Pedidos!$F$2:$F$2224,$B14)/SUMIFS(Pedidos!$J$2:$J$2224,Pedidos!$F$2:$F$2224,$B14)</f>
        <v>0.216511447894838</v>
      </c>
      <c r="M14" s="14" t="n">
        <f aca="false">SUMIFS(Pedidos!$AC$2:$AC$2224,Pedidos!$F$2:$F$2224,$B14)/SUMIFS(Pedidos!$J$2:$J$2224,Pedidos!$F$2:$F$2224,$B14)</f>
        <v>0.300766708567629</v>
      </c>
      <c r="N14" s="14" t="n">
        <f aca="false">COUNTIFS(Pedidos!$F$2:$F$2224,$B14,Pedidos!$AG$2:$AG$2224,"SIM")/D14</f>
        <v>0</v>
      </c>
      <c r="O14" s="13" t="n">
        <f aca="false">SUMIFS(Pedidos!$U$2:$U$2224,Pedidos!$F$2:$F$2224,$B14)/SUMIFS(Pedidos!$M$2:$M$2224,Pedidos!$F$2:$F$2224,$B14)-1</f>
        <v>0.381860335713623</v>
      </c>
      <c r="P14" s="10" t="n">
        <f aca="false">AVERAGEIFS(Pedidos!$AH$2:$AH$2224,Pedidos!$F$2:$F$2224,$B14)</f>
        <v>13</v>
      </c>
      <c r="Q14" s="10" t="n">
        <f aca="false">AVERAGEIFS(Pedidos!$AI$2:$AI$2224,Pedidos!$F$2:$F$2224,$B14)</f>
        <v>10</v>
      </c>
      <c r="R14" s="14" t="n">
        <f aca="false">MAX(0,1-H14/I14)</f>
        <v>0.280134929407739</v>
      </c>
      <c r="S14" s="4" t="str">
        <f aca="false">IF(J14&lt;=0,"Muito bem",IF(J14&lt;=0.32,"Melhor posição",IF(J14&lt;=0.45,"Intermediária","Precisa melhorar")))</f>
        <v>Intermediária</v>
      </c>
    </row>
    <row r="15" customFormat="false" ht="15" hidden="false" customHeight="false" outlineLevel="0" collapsed="false">
      <c r="A15" s="4" t="n">
        <v>12</v>
      </c>
      <c r="B15" s="4" t="s">
        <v>150</v>
      </c>
      <c r="C15" s="4" t="str">
        <f aca="false">INDEX(Pedidos!$G$2:$G$2224,MATCH($B15,Pedidos!$F$2:$F$2224,0))</f>
        <v>Interior</v>
      </c>
      <c r="D15" s="10" t="n">
        <f aca="false">COUNTIFS(Pedidos!$F$2:$F$2224,$B15)</f>
        <v>32</v>
      </c>
      <c r="E15" s="14" t="n">
        <f aca="false">D15/Resumo!$B$19</f>
        <v>0.0143949617633828</v>
      </c>
      <c r="F15" s="17" t="n">
        <f aca="false">AVERAGEIFS(Pedidos!$I$2:$I$2224,Pedidos!$F$2:$F$2224,$B15)</f>
        <v>58.889375</v>
      </c>
      <c r="G15" s="12" t="n">
        <f aca="false">AVERAGEIFS(Pedidos!$J$2:$J$2224,Pedidos!$F$2:$F$2224,$B15)</f>
        <v>743.8225</v>
      </c>
      <c r="H15" s="12" t="n">
        <f aca="false">AVERAGEIFS(Pedidos!$T$2:$T$2224,Pedidos!$F$2:$F$2224,$B15)</f>
        <v>149.929110099432</v>
      </c>
      <c r="I15" s="12" t="n">
        <f aca="false">AVERAGEIFS(Pedidos!$AC$2:$AC$2224,Pedidos!$F$2:$F$2224,$B15)</f>
        <v>216.628088068182</v>
      </c>
      <c r="J15" s="13" t="n">
        <f aca="false">I15/H15-1</f>
        <v>0.444870098438627</v>
      </c>
      <c r="K15" s="13" t="n">
        <f aca="false">AVERAGEIFS(Pedidos!$AD$2:$AD$2224,Pedidos!$F$2:$F$2224,$B15)/H15-1</f>
        <v>0.242572788318508</v>
      </c>
      <c r="L15" s="14" t="n">
        <f aca="false">SUMIFS(Pedidos!$T$2:$T$2224,Pedidos!$F$2:$F$2224,$B15)/SUMIFS(Pedidos!$J$2:$J$2224,Pedidos!$F$2:$F$2224,$B15)</f>
        <v>0.201565709694762</v>
      </c>
      <c r="M15" s="14" t="n">
        <f aca="false">SUMIFS(Pedidos!$AC$2:$AC$2224,Pedidos!$F$2:$F$2224,$B15)/SUMIFS(Pedidos!$J$2:$J$2224,Pedidos!$F$2:$F$2224,$B15)</f>
        <v>0.291236266808522</v>
      </c>
      <c r="N15" s="14" t="n">
        <f aca="false">COUNTIFS(Pedidos!$F$2:$F$2224,$B15,Pedidos!$AG$2:$AG$2224,"SIM")/D15</f>
        <v>0</v>
      </c>
      <c r="O15" s="13" t="n">
        <f aca="false">SUMIFS(Pedidos!$U$2:$U$2224,Pedidos!$F$2:$F$2224,$B15)/SUMIFS(Pedidos!$M$2:$M$2224,Pedidos!$F$2:$F$2224,$B15)-1</f>
        <v>0.394559713916485</v>
      </c>
      <c r="P15" s="10" t="n">
        <f aca="false">AVERAGEIFS(Pedidos!$AH$2:$AH$2224,Pedidos!$F$2:$F$2224,$B15)</f>
        <v>13</v>
      </c>
      <c r="Q15" s="10" t="n">
        <f aca="false">AVERAGEIFS(Pedidos!$AI$2:$AI$2224,Pedidos!$F$2:$F$2224,$B15)</f>
        <v>8</v>
      </c>
      <c r="R15" s="14" t="n">
        <f aca="false">MAX(0,1-H15/I15)</f>
        <v>0.307896259268821</v>
      </c>
      <c r="S15" s="4" t="str">
        <f aca="false">IF(J15&lt;=0,"Muito bem",IF(J15&lt;=0.32,"Melhor posição",IF(J15&lt;=0.45,"Intermediária","Precisa melhorar")))</f>
        <v>Intermediária</v>
      </c>
    </row>
    <row r="16" customFormat="false" ht="15" hidden="false" customHeight="false" outlineLevel="0" collapsed="false">
      <c r="A16" s="4" t="n">
        <v>13</v>
      </c>
      <c r="B16" s="4" t="s">
        <v>151</v>
      </c>
      <c r="C16" s="4" t="str">
        <f aca="false">INDEX(Pedidos!$G$2:$G$2224,MATCH($B16,Pedidos!$F$2:$F$2224,0))</f>
        <v>Interior</v>
      </c>
      <c r="D16" s="10" t="n">
        <f aca="false">COUNTIFS(Pedidos!$F$2:$F$2224,$B16)</f>
        <v>32</v>
      </c>
      <c r="E16" s="14" t="n">
        <f aca="false">D16/Resumo!$B$19</f>
        <v>0.0143949617633828</v>
      </c>
      <c r="F16" s="17" t="n">
        <f aca="false">AVERAGEIFS(Pedidos!$I$2:$I$2224,Pedidos!$F$2:$F$2224,$B16)</f>
        <v>55.0375</v>
      </c>
      <c r="G16" s="12" t="n">
        <f aca="false">AVERAGEIFS(Pedidos!$J$2:$J$2224,Pedidos!$F$2:$F$2224,$B16)</f>
        <v>758.3715625</v>
      </c>
      <c r="H16" s="12" t="n">
        <f aca="false">AVERAGEIFS(Pedidos!$T$2:$T$2224,Pedidos!$F$2:$F$2224,$B16)</f>
        <v>146.682897578125</v>
      </c>
      <c r="I16" s="12" t="n">
        <f aca="false">AVERAGEIFS(Pedidos!$AC$2:$AC$2224,Pedidos!$F$2:$F$2224,$B16)</f>
        <v>195.386493963068</v>
      </c>
      <c r="J16" s="13" t="n">
        <f aca="false">I16/H16-1</f>
        <v>0.332033230792997</v>
      </c>
      <c r="K16" s="13" t="n">
        <f aca="false">AVERAGEIFS(Pedidos!$AD$2:$AD$2224,Pedidos!$F$2:$F$2224,$B16)/H16-1</f>
        <v>0.138767880442182</v>
      </c>
      <c r="L16" s="14" t="n">
        <f aca="false">SUMIFS(Pedidos!$T$2:$T$2224,Pedidos!$F$2:$F$2224,$B16)/SUMIFS(Pedidos!$J$2:$J$2224,Pedidos!$F$2:$F$2224,$B16)</f>
        <v>0.193418246188688</v>
      </c>
      <c r="M16" s="14" t="n">
        <f aca="false">SUMIFS(Pedidos!$AC$2:$AC$2224,Pedidos!$F$2:$F$2224,$B16)/SUMIFS(Pedidos!$J$2:$J$2224,Pedidos!$F$2:$F$2224,$B16)</f>
        <v>0.257639531365034</v>
      </c>
      <c r="N16" s="14" t="n">
        <f aca="false">COUNTIFS(Pedidos!$F$2:$F$2224,$B16,Pedidos!$AG$2:$AG$2224,"SIM")/D16</f>
        <v>0</v>
      </c>
      <c r="O16" s="13" t="n">
        <f aca="false">SUMIFS(Pedidos!$U$2:$U$2224,Pedidos!$F$2:$F$2224,$B16)/SUMIFS(Pedidos!$M$2:$M$2224,Pedidos!$F$2:$F$2224,$B16)-1</f>
        <v>0.273171477459149</v>
      </c>
      <c r="P16" s="10" t="n">
        <f aca="false">AVERAGEIFS(Pedidos!$AH$2:$AH$2224,Pedidos!$F$2:$F$2224,$B16)</f>
        <v>13</v>
      </c>
      <c r="Q16" s="10" t="n">
        <f aca="false">AVERAGEIFS(Pedidos!$AI$2:$AI$2224,Pedidos!$F$2:$F$2224,$B16)</f>
        <v>7</v>
      </c>
      <c r="R16" s="14" t="n">
        <f aca="false">MAX(0,1-H16/I16)</f>
        <v>0.249267978543845</v>
      </c>
      <c r="S16" s="4" t="str">
        <f aca="false">IF(J16&lt;=0,"Muito bem",IF(J16&lt;=0.32,"Melhor posição",IF(J16&lt;=0.45,"Intermediária","Precisa melhorar")))</f>
        <v>Intermediária</v>
      </c>
    </row>
    <row r="17" customFormat="false" ht="15" hidden="false" customHeight="false" outlineLevel="0" collapsed="false">
      <c r="A17" s="4" t="n">
        <v>14</v>
      </c>
      <c r="B17" s="4" t="s">
        <v>152</v>
      </c>
      <c r="C17" s="4" t="str">
        <f aca="false">INDEX(Pedidos!$G$2:$G$2224,MATCH($B17,Pedidos!$F$2:$F$2224,0))</f>
        <v>Interior</v>
      </c>
      <c r="D17" s="10" t="n">
        <f aca="false">COUNTIFS(Pedidos!$F$2:$F$2224,$B17)</f>
        <v>28</v>
      </c>
      <c r="E17" s="14" t="n">
        <f aca="false">D17/Resumo!$B$19</f>
        <v>0.01259559154296</v>
      </c>
      <c r="F17" s="17" t="n">
        <f aca="false">AVERAGEIFS(Pedidos!$I$2:$I$2224,Pedidos!$F$2:$F$2224,$B17)</f>
        <v>43.4321428571429</v>
      </c>
      <c r="G17" s="12" t="n">
        <f aca="false">AVERAGEIFS(Pedidos!$J$2:$J$2224,Pedidos!$F$2:$F$2224,$B17)</f>
        <v>539.813928571429</v>
      </c>
      <c r="H17" s="12" t="n">
        <f aca="false">AVERAGEIFS(Pedidos!$T$2:$T$2224,Pedidos!$F$2:$F$2224,$B17)</f>
        <v>127.330842686688</v>
      </c>
      <c r="I17" s="12" t="n">
        <f aca="false">AVERAGEIFS(Pedidos!$AC$2:$AC$2224,Pedidos!$F$2:$F$2224,$B17)</f>
        <v>182.076881899351</v>
      </c>
      <c r="J17" s="13" t="n">
        <f aca="false">I17/H17-1</f>
        <v>0.429951126196275</v>
      </c>
      <c r="K17" s="13" t="n">
        <f aca="false">AVERAGEIFS(Pedidos!$AD$2:$AD$2224,Pedidos!$F$2:$F$2224,$B17)/H17-1</f>
        <v>0.254106675586487</v>
      </c>
      <c r="L17" s="14" t="n">
        <f aca="false">SUMIFS(Pedidos!$T$2:$T$2224,Pedidos!$F$2:$F$2224,$B17)/SUMIFS(Pedidos!$J$2:$J$2224,Pedidos!$F$2:$F$2224,$B17)</f>
        <v>0.235879135285854</v>
      </c>
      <c r="M17" s="14" t="n">
        <f aca="false">SUMIFS(Pedidos!$AC$2:$AC$2224,Pedidos!$F$2:$F$2224,$B17)/SUMIFS(Pedidos!$J$2:$J$2224,Pedidos!$F$2:$F$2224,$B17)</f>
        <v>0.33729563514821</v>
      </c>
      <c r="N17" s="14" t="n">
        <f aca="false">COUNTIFS(Pedidos!$F$2:$F$2224,$B17,Pedidos!$AG$2:$AG$2224,"SIM")/D17</f>
        <v>0</v>
      </c>
      <c r="O17" s="13" t="n">
        <f aca="false">SUMIFS(Pedidos!$U$2:$U$2224,Pedidos!$F$2:$F$2224,$B17)/SUMIFS(Pedidos!$M$2:$M$2224,Pedidos!$F$2:$F$2224,$B17)-1</f>
        <v>0.434744789809616</v>
      </c>
      <c r="P17" s="10" t="n">
        <f aca="false">AVERAGEIFS(Pedidos!$AH$2:$AH$2224,Pedidos!$F$2:$F$2224,$B17)</f>
        <v>13</v>
      </c>
      <c r="Q17" s="10" t="n">
        <f aca="false">AVERAGEIFS(Pedidos!$AI$2:$AI$2224,Pedidos!$F$2:$F$2224,$B17)</f>
        <v>10</v>
      </c>
      <c r="R17" s="14" t="n">
        <f aca="false">MAX(0,1-H17/I17)</f>
        <v>0.300675399543173</v>
      </c>
      <c r="S17" s="4" t="str">
        <f aca="false">IF(J17&lt;=0,"Muito bem",IF(J17&lt;=0.32,"Melhor posição",IF(J17&lt;=0.45,"Intermediária","Precisa melhorar")))</f>
        <v>Intermediária</v>
      </c>
    </row>
    <row r="18" customFormat="false" ht="15" hidden="false" customHeight="false" outlineLevel="0" collapsed="false">
      <c r="A18" s="4" t="n">
        <v>15</v>
      </c>
      <c r="B18" s="4" t="s">
        <v>153</v>
      </c>
      <c r="C18" s="4" t="str">
        <f aca="false">INDEX(Pedidos!$G$2:$G$2224,MATCH($B18,Pedidos!$F$2:$F$2224,0))</f>
        <v>Interior</v>
      </c>
      <c r="D18" s="10" t="n">
        <f aca="false">COUNTIFS(Pedidos!$F$2:$F$2224,$B18)</f>
        <v>28</v>
      </c>
      <c r="E18" s="14" t="n">
        <f aca="false">D18/Resumo!$B$19</f>
        <v>0.01259559154296</v>
      </c>
      <c r="F18" s="17" t="n">
        <f aca="false">AVERAGEIFS(Pedidos!$I$2:$I$2224,Pedidos!$F$2:$F$2224,$B18)</f>
        <v>47.2625</v>
      </c>
      <c r="G18" s="12" t="n">
        <f aca="false">AVERAGEIFS(Pedidos!$J$2:$J$2224,Pedidos!$F$2:$F$2224,$B18)</f>
        <v>582.559285714286</v>
      </c>
      <c r="H18" s="12" t="n">
        <f aca="false">AVERAGEIFS(Pedidos!$T$2:$T$2224,Pedidos!$F$2:$F$2224,$B18)</f>
        <v>134.556029025974</v>
      </c>
      <c r="I18" s="12" t="n">
        <f aca="false">AVERAGEIFS(Pedidos!$AC$2:$AC$2224,Pedidos!$F$2:$F$2224,$B18)</f>
        <v>192.934049512987</v>
      </c>
      <c r="J18" s="13" t="n">
        <f aca="false">I18/H18-1</f>
        <v>0.433856594235134</v>
      </c>
      <c r="K18" s="13" t="n">
        <f aca="false">AVERAGEIFS(Pedidos!$AD$2:$AD$2224,Pedidos!$F$2:$F$2224,$B18)/H18-1</f>
        <v>0.252388593038026</v>
      </c>
      <c r="L18" s="14" t="n">
        <f aca="false">SUMIFS(Pedidos!$T$2:$T$2224,Pedidos!$F$2:$F$2224,$B18)/SUMIFS(Pedidos!$J$2:$J$2224,Pedidos!$F$2:$F$2224,$B18)</f>
        <v>0.230973966642713</v>
      </c>
      <c r="M18" s="14" t="n">
        <f aca="false">SUMIFS(Pedidos!$AC$2:$AC$2224,Pedidos!$F$2:$F$2224,$B18)/SUMIFS(Pedidos!$J$2:$J$2224,Pedidos!$F$2:$F$2224,$B18)</f>
        <v>0.3311835451673</v>
      </c>
      <c r="N18" s="14" t="n">
        <f aca="false">COUNTIFS(Pedidos!$F$2:$F$2224,$B18,Pedidos!$AG$2:$AG$2224,"SIM")/D18</f>
        <v>0</v>
      </c>
      <c r="O18" s="13" t="n">
        <f aca="false">SUMIFS(Pedidos!$U$2:$U$2224,Pedidos!$F$2:$F$2224,$B18)/SUMIFS(Pedidos!$M$2:$M$2224,Pedidos!$F$2:$F$2224,$B18)-1</f>
        <v>0.424465331698679</v>
      </c>
      <c r="P18" s="10" t="n">
        <f aca="false">AVERAGEIFS(Pedidos!$AH$2:$AH$2224,Pedidos!$F$2:$F$2224,$B18)</f>
        <v>13</v>
      </c>
      <c r="Q18" s="10" t="n">
        <f aca="false">AVERAGEIFS(Pedidos!$AI$2:$AI$2224,Pedidos!$F$2:$F$2224,$B18)</f>
        <v>10</v>
      </c>
      <c r="R18" s="14" t="n">
        <f aca="false">MAX(0,1-H18/I18)</f>
        <v>0.302580185479823</v>
      </c>
      <c r="S18" s="4" t="str">
        <f aca="false">IF(J18&lt;=0,"Muito bem",IF(J18&lt;=0.32,"Melhor posição",IF(J18&lt;=0.45,"Intermediária","Precisa melhorar")))</f>
        <v>Intermediária</v>
      </c>
    </row>
    <row r="19" customFormat="false" ht="15" hidden="false" customHeight="false" outlineLevel="0" collapsed="false">
      <c r="A19" s="4" t="n">
        <v>16</v>
      </c>
      <c r="B19" s="4" t="s">
        <v>154</v>
      </c>
      <c r="C19" s="4" t="str">
        <f aca="false">INDEX(Pedidos!$G$2:$G$2224,MATCH($B19,Pedidos!$F$2:$F$2224,0))</f>
        <v>Interior</v>
      </c>
      <c r="D19" s="10" t="n">
        <f aca="false">COUNTIFS(Pedidos!$F$2:$F$2224,$B19)</f>
        <v>25</v>
      </c>
      <c r="E19" s="14" t="n">
        <f aca="false">D19/Resumo!$B$19</f>
        <v>0.0112460638776428</v>
      </c>
      <c r="F19" s="17" t="n">
        <f aca="false">AVERAGEIFS(Pedidos!$I$2:$I$2224,Pedidos!$F$2:$F$2224,$B19)</f>
        <v>49.9124</v>
      </c>
      <c r="G19" s="12" t="n">
        <f aca="false">AVERAGEIFS(Pedidos!$J$2:$J$2224,Pedidos!$F$2:$F$2224,$B19)</f>
        <v>689.1388</v>
      </c>
      <c r="H19" s="12" t="n">
        <f aca="false">AVERAGEIFS(Pedidos!$T$2:$T$2224,Pedidos!$F$2:$F$2224,$B19)</f>
        <v>137.752495154545</v>
      </c>
      <c r="I19" s="12" t="n">
        <f aca="false">AVERAGEIFS(Pedidos!$AC$2:$AC$2224,Pedidos!$F$2:$F$2224,$B19)</f>
        <v>181.009791363636</v>
      </c>
      <c r="J19" s="13" t="n">
        <f aca="false">I19/H19-1</f>
        <v>0.31402187060612</v>
      </c>
      <c r="K19" s="13" t="n">
        <f aca="false">AVERAGEIFS(Pedidos!$AD$2:$AD$2224,Pedidos!$F$2:$F$2224,$B19)/H19-1</f>
        <v>0.126927420928002</v>
      </c>
      <c r="L19" s="14" t="n">
        <f aca="false">SUMIFS(Pedidos!$T$2:$T$2224,Pedidos!$F$2:$F$2224,$B19)/SUMIFS(Pedidos!$J$2:$J$2224,Pedidos!$F$2:$F$2224,$B19)</f>
        <v>0.199890784199853</v>
      </c>
      <c r="M19" s="14" t="n">
        <f aca="false">SUMIFS(Pedidos!$AC$2:$AC$2224,Pedidos!$F$2:$F$2224,$B19)/SUMIFS(Pedidos!$J$2:$J$2224,Pedidos!$F$2:$F$2224,$B19)</f>
        <v>0.262660862171215</v>
      </c>
      <c r="N19" s="14" t="n">
        <f aca="false">COUNTIFS(Pedidos!$F$2:$F$2224,$B19,Pedidos!$AG$2:$AG$2224,"SIM")/D19</f>
        <v>0</v>
      </c>
      <c r="O19" s="13" t="n">
        <f aca="false">SUMIFS(Pedidos!$U$2:$U$2224,Pedidos!$F$2:$F$2224,$B19)/SUMIFS(Pedidos!$M$2:$M$2224,Pedidos!$F$2:$F$2224,$B19)-1</f>
        <v>0.267139947159309</v>
      </c>
      <c r="P19" s="10" t="n">
        <f aca="false">AVERAGEIFS(Pedidos!$AH$2:$AH$2224,Pedidos!$F$2:$F$2224,$B19)</f>
        <v>13</v>
      </c>
      <c r="Q19" s="10" t="n">
        <f aca="false">AVERAGEIFS(Pedidos!$AI$2:$AI$2224,Pedidos!$F$2:$F$2224,$B19)</f>
        <v>7</v>
      </c>
      <c r="R19" s="14" t="n">
        <f aca="false">MAX(0,1-H19/I19)</f>
        <v>0.238977659071436</v>
      </c>
      <c r="S19" s="4" t="str">
        <f aca="false">IF(J19&lt;=0,"Muito bem",IF(J19&lt;=0.32,"Melhor posição",IF(J19&lt;=0.45,"Intermediária","Precisa melhorar")))</f>
        <v>Melhor posição</v>
      </c>
    </row>
    <row r="20" customFormat="false" ht="15" hidden="false" customHeight="false" outlineLevel="0" collapsed="false">
      <c r="A20" s="4" t="n">
        <v>17</v>
      </c>
      <c r="B20" s="4" t="s">
        <v>155</v>
      </c>
      <c r="C20" s="4" t="str">
        <f aca="false">INDEX(Pedidos!$G$2:$G$2224,MATCH($B20,Pedidos!$F$2:$F$2224,0))</f>
        <v>Metropolitana</v>
      </c>
      <c r="D20" s="10" t="n">
        <f aca="false">COUNTIFS(Pedidos!$F$2:$F$2224,$B20)</f>
        <v>21</v>
      </c>
      <c r="E20" s="14" t="n">
        <f aca="false">D20/Resumo!$B$19</f>
        <v>0.00944669365721997</v>
      </c>
      <c r="F20" s="17" t="n">
        <f aca="false">AVERAGEIFS(Pedidos!$I$2:$I$2224,Pedidos!$F$2:$F$2224,$B20)</f>
        <v>51.26</v>
      </c>
      <c r="G20" s="12" t="n">
        <f aca="false">AVERAGEIFS(Pedidos!$J$2:$J$2224,Pedidos!$F$2:$F$2224,$B20)</f>
        <v>664.68</v>
      </c>
      <c r="H20" s="12" t="n">
        <f aca="false">AVERAGEIFS(Pedidos!$T$2:$T$2224,Pedidos!$F$2:$F$2224,$B20)</f>
        <v>123.97980474026</v>
      </c>
      <c r="I20" s="12" t="n">
        <f aca="false">AVERAGEIFS(Pedidos!$AC$2:$AC$2224,Pedidos!$F$2:$F$2224,$B20)</f>
        <v>160.896365800866</v>
      </c>
      <c r="J20" s="13" t="n">
        <f aca="false">I20/H20-1</f>
        <v>0.297762697222721</v>
      </c>
      <c r="K20" s="13" t="n">
        <f aca="false">AVERAGEIFS(Pedidos!$AD$2:$AD$2224,Pedidos!$F$2:$F$2224,$B20)/H20-1</f>
        <v>0.0848562165954587</v>
      </c>
      <c r="L20" s="14" t="n">
        <f aca="false">SUMIFS(Pedidos!$T$2:$T$2224,Pedidos!$F$2:$F$2224,$B20)/SUMIFS(Pedidos!$J$2:$J$2224,Pedidos!$F$2:$F$2224,$B20)</f>
        <v>0.186525553259102</v>
      </c>
      <c r="M20" s="14" t="n">
        <f aca="false">SUMIFS(Pedidos!$AC$2:$AC$2224,Pedidos!$F$2:$F$2224,$B20)/SUMIFS(Pedidos!$J$2:$J$2224,Pedidos!$F$2:$F$2224,$B20)</f>
        <v>0.242065905098492</v>
      </c>
      <c r="N20" s="14" t="n">
        <f aca="false">COUNTIFS(Pedidos!$F$2:$F$2224,$B20,Pedidos!$AG$2:$AG$2224,"SIM")/D20</f>
        <v>0.0476190476190476</v>
      </c>
      <c r="O20" s="13" t="n">
        <f aca="false">SUMIFS(Pedidos!$U$2:$U$2224,Pedidos!$F$2:$F$2224,$B20)/SUMIFS(Pedidos!$M$2:$M$2224,Pedidos!$F$2:$F$2224,$B20)-1</f>
        <v>0.223107267074342</v>
      </c>
      <c r="P20" s="10" t="n">
        <f aca="false">AVERAGEIFS(Pedidos!$AH$2:$AH$2224,Pedidos!$F$2:$F$2224,$B20)</f>
        <v>10</v>
      </c>
      <c r="Q20" s="10" t="n">
        <f aca="false">AVERAGEIFS(Pedidos!$AI$2:$AI$2224,Pedidos!$F$2:$F$2224,$B20)</f>
        <v>5</v>
      </c>
      <c r="R20" s="14" t="n">
        <f aca="false">MAX(0,1-H20/I20)</f>
        <v>0.229443100699341</v>
      </c>
      <c r="S20" s="4" t="str">
        <f aca="false">IF(J20&lt;=0,"Muito bem",IF(J20&lt;=0.32,"Melhor posição",IF(J20&lt;=0.45,"Intermediária","Precisa melhorar")))</f>
        <v>Melhor posição</v>
      </c>
    </row>
    <row r="21" customFormat="false" ht="15" hidden="false" customHeight="false" outlineLevel="0" collapsed="false">
      <c r="A21" s="4" t="n">
        <v>18</v>
      </c>
      <c r="B21" s="4" t="s">
        <v>156</v>
      </c>
      <c r="C21" s="4" t="str">
        <f aca="false">INDEX(Pedidos!$G$2:$G$2224,MATCH($B21,Pedidos!$F$2:$F$2224,0))</f>
        <v>Interior</v>
      </c>
      <c r="D21" s="10" t="n">
        <f aca="false">COUNTIFS(Pedidos!$F$2:$F$2224,$B21)</f>
        <v>20</v>
      </c>
      <c r="E21" s="14" t="n">
        <f aca="false">D21/Resumo!$B$19</f>
        <v>0.00899685110211426</v>
      </c>
      <c r="F21" s="17" t="n">
        <f aca="false">AVERAGEIFS(Pedidos!$I$2:$I$2224,Pedidos!$F$2:$F$2224,$B21)</f>
        <v>41.5975</v>
      </c>
      <c r="G21" s="12" t="n">
        <f aca="false">AVERAGEIFS(Pedidos!$J$2:$J$2224,Pedidos!$F$2:$F$2224,$B21)</f>
        <v>542.359</v>
      </c>
      <c r="H21" s="12" t="n">
        <f aca="false">AVERAGEIFS(Pedidos!$T$2:$T$2224,Pedidos!$F$2:$F$2224,$B21)</f>
        <v>124.377230090909</v>
      </c>
      <c r="I21" s="12" t="n">
        <f aca="false">AVERAGEIFS(Pedidos!$AC$2:$AC$2224,Pedidos!$F$2:$F$2224,$B21)</f>
        <v>162.323382954545</v>
      </c>
      <c r="J21" s="13" t="n">
        <f aca="false">I21/H21-1</f>
        <v>0.305089226025543</v>
      </c>
      <c r="K21" s="13" t="n">
        <f aca="false">AVERAGEIFS(Pedidos!$AD$2:$AD$2224,Pedidos!$F$2:$F$2224,$B21)/H21-1</f>
        <v>0.1326163020846</v>
      </c>
      <c r="L21" s="14" t="n">
        <f aca="false">SUMIFS(Pedidos!$T$2:$T$2224,Pedidos!$F$2:$F$2224,$B21)/SUMIFS(Pedidos!$J$2:$J$2224,Pedidos!$F$2:$F$2224,$B21)</f>
        <v>0.229326387302339</v>
      </c>
      <c r="M21" s="14" t="n">
        <f aca="false">SUMIFS(Pedidos!$AC$2:$AC$2224,Pedidos!$F$2:$F$2224,$B21)/SUMIFS(Pedidos!$J$2:$J$2224,Pedidos!$F$2:$F$2224,$B21)</f>
        <v>0.299291397311643</v>
      </c>
      <c r="N21" s="14" t="n">
        <f aca="false">COUNTIFS(Pedidos!$F$2:$F$2224,$B21,Pedidos!$AG$2:$AG$2224,"SIM")/D21</f>
        <v>0</v>
      </c>
      <c r="O21" s="13" t="n">
        <f aca="false">SUMIFS(Pedidos!$U$2:$U$2224,Pedidos!$F$2:$F$2224,$B21)/SUMIFS(Pedidos!$M$2:$M$2224,Pedidos!$F$2:$F$2224,$B21)-1</f>
        <v>0.289214166098121</v>
      </c>
      <c r="P21" s="10" t="n">
        <f aca="false">AVERAGEIFS(Pedidos!$AH$2:$AH$2224,Pedidos!$F$2:$F$2224,$B21)</f>
        <v>13</v>
      </c>
      <c r="Q21" s="10" t="n">
        <f aca="false">AVERAGEIFS(Pedidos!$AI$2:$AI$2224,Pedidos!$F$2:$F$2224,$B21)</f>
        <v>6</v>
      </c>
      <c r="R21" s="14" t="n">
        <f aca="false">MAX(0,1-H21/I21)</f>
        <v>0.233768864183063</v>
      </c>
      <c r="S21" s="4" t="str">
        <f aca="false">IF(J21&lt;=0,"Muito bem",IF(J21&lt;=0.32,"Melhor posição",IF(J21&lt;=0.45,"Intermediária","Precisa melhorar")))</f>
        <v>Melhor posição</v>
      </c>
    </row>
    <row r="22" customFormat="false" ht="15" hidden="false" customHeight="false" outlineLevel="0" collapsed="false">
      <c r="A22" s="4" t="n">
        <v>19</v>
      </c>
      <c r="B22" s="4" t="s">
        <v>157</v>
      </c>
      <c r="C22" s="4" t="str">
        <f aca="false">INDEX(Pedidos!$G$2:$G$2224,MATCH($B22,Pedidos!$F$2:$F$2224,0))</f>
        <v>Interior</v>
      </c>
      <c r="D22" s="10" t="n">
        <f aca="false">COUNTIFS(Pedidos!$F$2:$F$2224,$B22)</f>
        <v>18</v>
      </c>
      <c r="E22" s="14" t="n">
        <f aca="false">D22/Resumo!$B$19</f>
        <v>0.00809716599190283</v>
      </c>
      <c r="F22" s="17" t="n">
        <f aca="false">AVERAGEIFS(Pedidos!$I$2:$I$2224,Pedidos!$F$2:$F$2224,$B22)</f>
        <v>57.6383333333333</v>
      </c>
      <c r="G22" s="12" t="n">
        <f aca="false">AVERAGEIFS(Pedidos!$J$2:$J$2224,Pedidos!$F$2:$F$2224,$B22)</f>
        <v>753.064444444445</v>
      </c>
      <c r="H22" s="12" t="n">
        <f aca="false">AVERAGEIFS(Pedidos!$T$2:$T$2224,Pedidos!$F$2:$F$2224,$B22)</f>
        <v>149.550288838384</v>
      </c>
      <c r="I22" s="12" t="n">
        <f aca="false">AVERAGEIFS(Pedidos!$AC$2:$AC$2224,Pedidos!$F$2:$F$2224,$B22)</f>
        <v>219.929638888889</v>
      </c>
      <c r="J22" s="13" t="n">
        <f aca="false">I22/H22-1</f>
        <v>0.470606580550056</v>
      </c>
      <c r="K22" s="13" t="n">
        <f aca="false">AVERAGEIFS(Pedidos!$AD$2:$AD$2224,Pedidos!$F$2:$F$2224,$B22)/H22-1</f>
        <v>0.272094760675989</v>
      </c>
      <c r="L22" s="14" t="n">
        <f aca="false">SUMIFS(Pedidos!$T$2:$T$2224,Pedidos!$F$2:$F$2224,$B22)/SUMIFS(Pedidos!$J$2:$J$2224,Pedidos!$F$2:$F$2224,$B22)</f>
        <v>0.198588965315858</v>
      </c>
      <c r="M22" s="14" t="n">
        <f aca="false">SUMIFS(Pedidos!$AC$2:$AC$2224,Pedidos!$F$2:$F$2224,$B22)/SUMIFS(Pedidos!$J$2:$J$2224,Pedidos!$F$2:$F$2224,$B22)</f>
        <v>0.292046239218128</v>
      </c>
      <c r="N22" s="14" t="n">
        <f aca="false">COUNTIFS(Pedidos!$F$2:$F$2224,$B22,Pedidos!$AG$2:$AG$2224,"SIM")/D22</f>
        <v>0</v>
      </c>
      <c r="O22" s="13" t="n">
        <f aca="false">SUMIFS(Pedidos!$U$2:$U$2224,Pedidos!$F$2:$F$2224,$B22)/SUMIFS(Pedidos!$M$2:$M$2224,Pedidos!$F$2:$F$2224,$B22)-1</f>
        <v>0.430279760322297</v>
      </c>
      <c r="P22" s="10" t="n">
        <f aca="false">AVERAGEIFS(Pedidos!$AH$2:$AH$2224,Pedidos!$F$2:$F$2224,$B22)</f>
        <v>13</v>
      </c>
      <c r="Q22" s="10" t="n">
        <f aca="false">AVERAGEIFS(Pedidos!$AI$2:$AI$2224,Pedidos!$F$2:$F$2224,$B22)</f>
        <v>10</v>
      </c>
      <c r="R22" s="14" t="n">
        <f aca="false">MAX(0,1-H22/I22)</f>
        <v>0.320008482740526</v>
      </c>
      <c r="S22" s="4" t="str">
        <f aca="false">IF(J22&lt;=0,"Muito bem",IF(J22&lt;=0.32,"Melhor posição",IF(J22&lt;=0.45,"Intermediária","Precisa melhorar")))</f>
        <v>Precisa melhorar</v>
      </c>
    </row>
    <row r="23" customFormat="false" ht="15" hidden="false" customHeight="false" outlineLevel="0" collapsed="false">
      <c r="A23" s="4" t="n">
        <v>20</v>
      </c>
      <c r="B23" s="4" t="s">
        <v>158</v>
      </c>
      <c r="C23" s="4" t="str">
        <f aca="false">INDEX(Pedidos!$G$2:$G$2224,MATCH($B23,Pedidos!$F$2:$F$2224,0))</f>
        <v>Interior</v>
      </c>
      <c r="D23" s="10" t="n">
        <f aca="false">COUNTIFS(Pedidos!$F$2:$F$2224,$B23)</f>
        <v>18</v>
      </c>
      <c r="E23" s="14" t="n">
        <f aca="false">D23/Resumo!$B$19</f>
        <v>0.00809716599190283</v>
      </c>
      <c r="F23" s="17" t="n">
        <f aca="false">AVERAGEIFS(Pedidos!$I$2:$I$2224,Pedidos!$F$2:$F$2224,$B23)</f>
        <v>47.4388888888889</v>
      </c>
      <c r="G23" s="12" t="n">
        <f aca="false">AVERAGEIFS(Pedidos!$J$2:$J$2224,Pedidos!$F$2:$F$2224,$B23)</f>
        <v>604.150555555556</v>
      </c>
      <c r="H23" s="12" t="n">
        <f aca="false">AVERAGEIFS(Pedidos!$T$2:$T$2224,Pedidos!$F$2:$F$2224,$B23)</f>
        <v>132.435058472222</v>
      </c>
      <c r="I23" s="12" t="n">
        <f aca="false">AVERAGEIFS(Pedidos!$AC$2:$AC$2224,Pedidos!$F$2:$F$2224,$B23)</f>
        <v>190.529932449495</v>
      </c>
      <c r="J23" s="13" t="n">
        <f aca="false">I23/H23-1</f>
        <v>0.438666880563638</v>
      </c>
      <c r="K23" s="13" t="n">
        <f aca="false">AVERAGEIFS(Pedidos!$AD$2:$AD$2224,Pedidos!$F$2:$F$2224,$B23)/H23-1</f>
        <v>0.254614407742685</v>
      </c>
      <c r="L23" s="14" t="n">
        <f aca="false">SUMIFS(Pedidos!$T$2:$T$2224,Pedidos!$F$2:$F$2224,$B23)/SUMIFS(Pedidos!$J$2:$J$2224,Pedidos!$F$2:$F$2224,$B23)</f>
        <v>0.219208700967658</v>
      </c>
      <c r="M23" s="14" t="n">
        <f aca="false">SUMIFS(Pedidos!$AC$2:$AC$2224,Pedidos!$F$2:$F$2224,$B23)/SUMIFS(Pedidos!$J$2:$J$2224,Pedidos!$F$2:$F$2224,$B23)</f>
        <v>0.315368298013548</v>
      </c>
      <c r="N23" s="14" t="n">
        <f aca="false">COUNTIFS(Pedidos!$F$2:$F$2224,$B23,Pedidos!$AG$2:$AG$2224,"SIM")/D23</f>
        <v>0</v>
      </c>
      <c r="O23" s="13" t="n">
        <f aca="false">SUMIFS(Pedidos!$U$2:$U$2224,Pedidos!$F$2:$F$2224,$B23)/SUMIFS(Pedidos!$M$2:$M$2224,Pedidos!$F$2:$F$2224,$B23)-1</f>
        <v>0.429775034886233</v>
      </c>
      <c r="P23" s="10" t="n">
        <f aca="false">AVERAGEIFS(Pedidos!$AH$2:$AH$2224,Pedidos!$F$2:$F$2224,$B23)</f>
        <v>13</v>
      </c>
      <c r="Q23" s="10" t="n">
        <f aca="false">AVERAGEIFS(Pedidos!$AI$2:$AI$2224,Pedidos!$F$2:$F$2224,$B23)</f>
        <v>10</v>
      </c>
      <c r="R23" s="14" t="n">
        <f aca="false">MAX(0,1-H23/I23)</f>
        <v>0.304912058858113</v>
      </c>
      <c r="S23" s="4" t="str">
        <f aca="false">IF(J23&lt;=0,"Muito bem",IF(J23&lt;=0.32,"Melhor posição",IF(J23&lt;=0.45,"Intermediária","Precisa melhorar")))</f>
        <v>Intermediária</v>
      </c>
    </row>
    <row r="24" customFormat="false" ht="15" hidden="false" customHeight="false" outlineLevel="0" collapsed="false">
      <c r="B24" s="21" t="s">
        <v>159</v>
      </c>
      <c r="D24" s="28" t="n">
        <f aca="false">SUM(D4:D23)</f>
        <v>1912</v>
      </c>
      <c r="E24" s="29" t="n">
        <f aca="false">D24/Resumo!$B$19</f>
        <v>0.860098965362123</v>
      </c>
      <c r="F24" s="30" t="n">
        <f aca="false">AVERAGEIFS(Pedidos!$I$2:$I$2224,Pedidos!$AJ$2:$AJ$2224,"SIM")</f>
        <v>49.454440376569</v>
      </c>
      <c r="G24" s="22" t="n">
        <f aca="false">AVERAGEIFS(Pedidos!$J$2:$J$2224,Pedidos!$AJ$2:$AJ$2224,"SIM")</f>
        <v>636.045360878661</v>
      </c>
      <c r="H24" s="22" t="n">
        <f aca="false">AVERAGEIFS(Pedidos!$T$2:$T$2224,Pedidos!$AJ$2:$AJ$2224,"SIM")</f>
        <v>118.447385496268</v>
      </c>
      <c r="I24" s="22" t="n">
        <f aca="false">AVERAGEIFS(Pedidos!$AC$2:$AC$2224,Pedidos!$AJ$2:$AJ$2224,"SIM")</f>
        <v>169.566325236544</v>
      </c>
      <c r="J24" s="23" t="n">
        <f aca="false">I24/H24-1</f>
        <v>0.431575078893468</v>
      </c>
      <c r="K24" s="23" t="n">
        <f aca="false">AVERAGEIFS(Pedidos!$AD$2:$AD$2224,Pedidos!$AJ$2:$AJ$2224,"SIM")/H24-1</f>
        <v>0.216328153687005</v>
      </c>
      <c r="L24" s="29" t="n">
        <f aca="false">SUMIFS(Pedidos!$T$2:$T$2224,Pedidos!$AJ$2:$AJ$2224,"SIM")/SUMIFS(Pedidos!$J$2:$J$2224,Pedidos!$AJ$2:$AJ$2224,"SIM")</f>
        <v>0.186224745563177</v>
      </c>
      <c r="M24" s="29" t="n">
        <f aca="false">SUMIFS(Pedidos!$AC$2:$AC$2224,Pedidos!$AJ$2:$AJ$2224,"SIM")/SUMIFS(Pedidos!$J$2:$J$2224,Pedidos!$AJ$2:$AJ$2224,"SIM")</f>
        <v>0.266594704821521</v>
      </c>
      <c r="N24" s="29" t="n">
        <f aca="false">COUNTIFS(Pedidos!$AJ$2:$AJ$2224,"SIM",Pedidos!$AG$2:$AG$2224,"SIM")/D24</f>
        <v>0.00732217573221757</v>
      </c>
      <c r="O24" s="23" t="n">
        <f aca="false">SUMIFS(Pedidos!$U$2:$U$2224,Pedidos!$AJ$2:$AJ$2224,"SIM")/SUMIFS(Pedidos!$M$2:$M$2224,Pedidos!$AJ$2:$AJ$2224,"SIM")-1</f>
        <v>0.393765693114301</v>
      </c>
      <c r="P24" s="30" t="n">
        <f aca="false">AVERAGEIFS(Pedidos!$AH$2:$AH$2224,Pedidos!$AJ$2:$AJ$2224,"SIM")</f>
        <v>9.50470711297071</v>
      </c>
      <c r="Q24" s="30" t="n">
        <f aca="false">AVERAGEIFS(Pedidos!$AI$2:$AI$2224,Pedidos!$AJ$2:$AJ$2224,"SIM")</f>
        <v>6.06903765690377</v>
      </c>
      <c r="R24" s="29" t="n">
        <f aca="false">MAX(0,1-H24/I24)</f>
        <v>0.301468700633608</v>
      </c>
    </row>
    <row r="26" customFormat="false" ht="15" hidden="false" customHeight="false" outlineLevel="0" collapsed="false">
      <c r="A26" s="20" t="s">
        <v>160</v>
      </c>
    </row>
  </sheetData>
  <conditionalFormatting sqref="J4:J23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O4:O23">
    <cfRule type="colorScale" priority="3">
      <colorScale>
        <cfvo type="num" val="-0.3"/>
        <cfvo type="num" val="0"/>
        <cfvo type="num" val="0.6"/>
        <color rgb="FF63BE7B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11" min="7" style="0" width="12"/>
  </cols>
  <sheetData>
    <row r="1" customFormat="false" ht="17.35" hidden="false" customHeight="false" outlineLevel="0" collapsed="false">
      <c r="A1" s="1" t="s">
        <v>161</v>
      </c>
    </row>
    <row r="3" customFormat="false" ht="15" hidden="false" customHeight="false" outlineLevel="0" collapsed="false">
      <c r="A3" s="2" t="s">
        <v>162</v>
      </c>
    </row>
    <row r="4" customFormat="false" ht="45" hidden="false" customHeight="true" outlineLevel="0" collapsed="false">
      <c r="A4" s="3" t="s">
        <v>163</v>
      </c>
      <c r="B4" s="3" t="s">
        <v>29</v>
      </c>
      <c r="C4" s="3" t="s">
        <v>127</v>
      </c>
      <c r="D4" s="3" t="s">
        <v>128</v>
      </c>
      <c r="E4" s="3" t="s">
        <v>129</v>
      </c>
      <c r="F4" s="3" t="s">
        <v>130</v>
      </c>
      <c r="G4" s="3" t="s">
        <v>164</v>
      </c>
      <c r="H4" s="3" t="s">
        <v>165</v>
      </c>
      <c r="I4" s="3" t="s">
        <v>134</v>
      </c>
      <c r="J4" s="3" t="s">
        <v>133</v>
      </c>
      <c r="K4" s="3" t="s">
        <v>166</v>
      </c>
    </row>
    <row r="5" customFormat="false" ht="15" hidden="false" customHeight="false" outlineLevel="0" collapsed="false">
      <c r="A5" s="4" t="s">
        <v>167</v>
      </c>
      <c r="B5" s="10" t="n">
        <f aca="false">COUNTIFS(Pedidos!$AJ$2:$AJ$2224,"SIM",Pedidos!$H$2:$H$2224,$A5)</f>
        <v>96</v>
      </c>
      <c r="C5" s="12" t="n">
        <f aca="false">IFERROR(AVERAGEIFS(Pedidos!$T$2:$T$2224,Pedidos!$AJ$2:$AJ$2224,"SIM",Pedidos!$H$2:$H$2224,$A5),"")</f>
        <v>68.6428481889205</v>
      </c>
      <c r="D5" s="12" t="n">
        <f aca="false">IFERROR(AVERAGEIFS(Pedidos!$AC$2:$AC$2224,Pedidos!$AJ$2:$AJ$2224,"SIM",Pedidos!$H$2:$H$2224,$A5),"")</f>
        <v>76.0752219460227</v>
      </c>
      <c r="E5" s="13" t="n">
        <f aca="false">IFERROR(D5/C5-1,"")</f>
        <v>0.108276010585207</v>
      </c>
      <c r="F5" s="13" t="n">
        <f aca="false">IFERROR(AVERAGEIFS(Pedidos!$AD$2:$AD$2224,Pedidos!$AJ$2:$AJ$2224,"SIM",Pedidos!$H$2:$H$2224,$A5)/C5-1,"")</f>
        <v>-0.0253516792511436</v>
      </c>
      <c r="G5" s="12" t="n">
        <f aca="false">IFERROR(AVERAGEIFS(Pedidos!$M$2:$M$2224,Pedidos!$AJ$2:$AJ$2224,"SIM",Pedidos!$H$2:$H$2224,$A5),"")</f>
        <v>43.1183333333333</v>
      </c>
      <c r="H5" s="12" t="n">
        <f aca="false">IFERROR(AVERAGEIFS(Pedidos!$U$2:$U$2224,Pedidos!$AJ$2:$AJ$2224,"SIM",Pedidos!$H$2:$H$2224,$A5),"")</f>
        <v>51.369375</v>
      </c>
      <c r="I5" s="13" t="n">
        <f aca="false">IFERROR(H5/G5-1,"")</f>
        <v>0.191358084341541</v>
      </c>
      <c r="J5" s="14" t="n">
        <f aca="false">IFERROR(COUNTIFS(Pedidos!$AJ$2:$AJ$2224,"SIM",Pedidos!$H$2:$H$2224,$A5,Pedidos!$AG$2:$AG$2224,"SIM")/B5,"")</f>
        <v>0.145833333333333</v>
      </c>
      <c r="K5" s="14" t="n">
        <f aca="false">IFERROR(MAX(0,1-C5/D5),"")</f>
        <v>0.0976976940320428</v>
      </c>
    </row>
    <row r="6" customFormat="false" ht="15" hidden="false" customHeight="false" outlineLevel="0" collapsed="false">
      <c r="A6" s="4" t="s">
        <v>168</v>
      </c>
      <c r="B6" s="10" t="n">
        <f aca="false">COUNTIFS(Pedidos!$AJ$2:$AJ$2224,"SIM",Pedidos!$H$2:$H$2224,$A6)</f>
        <v>431</v>
      </c>
      <c r="C6" s="12" t="n">
        <f aca="false">IFERROR(AVERAGEIFS(Pedidos!$T$2:$T$2224,Pedidos!$AJ$2:$AJ$2224,"SIM",Pedidos!$H$2:$H$2224,$A6),"")</f>
        <v>91.3440541715883</v>
      </c>
      <c r="D6" s="12" t="n">
        <f aca="false">IFERROR(AVERAGEIFS(Pedidos!$AC$2:$AC$2224,Pedidos!$AJ$2:$AJ$2224,"SIM",Pedidos!$H$2:$H$2224,$A6),"")</f>
        <v>127.444546588273</v>
      </c>
      <c r="E6" s="13" t="n">
        <f aca="false">IFERROR(D6/C6-1,"")</f>
        <v>0.395214475031621</v>
      </c>
      <c r="F6" s="13" t="n">
        <f aca="false">IFERROR(AVERAGEIFS(Pedidos!$AD$2:$AD$2224,Pedidos!$AJ$2:$AJ$2224,"SIM",Pedidos!$H$2:$H$2224,$A6)/C6-1,"")</f>
        <v>0.235035391577524</v>
      </c>
      <c r="G6" s="12" t="n">
        <f aca="false">IFERROR(AVERAGEIFS(Pedidos!$M$2:$M$2224,Pedidos!$AJ$2:$AJ$2224,"SIM",Pedidos!$H$2:$H$2224,$A6),"")</f>
        <v>61.5645011600928</v>
      </c>
      <c r="H6" s="12" t="n">
        <f aca="false">IFERROR(AVERAGEIFS(Pedidos!$U$2:$U$2224,Pedidos!$AJ$2:$AJ$2224,"SIM",Pedidos!$H$2:$H$2224,$A6),"")</f>
        <v>90.7630394431554</v>
      </c>
      <c r="I6" s="13" t="n">
        <f aca="false">IFERROR(H6/G6-1,"")</f>
        <v>0.474275560312501</v>
      </c>
      <c r="J6" s="14" t="n">
        <f aca="false">IFERROR(COUNTIFS(Pedidos!$AJ$2:$AJ$2224,"SIM",Pedidos!$H$2:$H$2224,$A6,Pedidos!$AG$2:$AG$2224,"SIM")/B6,"")</f>
        <v>0</v>
      </c>
      <c r="K6" s="14" t="n">
        <f aca="false">IFERROR(MAX(0,1-C6/D6),"")</f>
        <v>0.28326431678016</v>
      </c>
    </row>
    <row r="7" customFormat="false" ht="15" hidden="false" customHeight="false" outlineLevel="0" collapsed="false">
      <c r="A7" s="4" t="s">
        <v>169</v>
      </c>
      <c r="B7" s="10" t="n">
        <f aca="false">COUNTIFS(Pedidos!$AJ$2:$AJ$2224,"SIM",Pedidos!$H$2:$H$2224,$A7)</f>
        <v>299</v>
      </c>
      <c r="C7" s="12" t="n">
        <f aca="false">IFERROR(AVERAGEIFS(Pedidos!$T$2:$T$2224,Pedidos!$AJ$2:$AJ$2224,"SIM",Pedidos!$H$2:$H$2224,$A7),"")</f>
        <v>103.675125057008</v>
      </c>
      <c r="D7" s="12" t="n">
        <f aca="false">IFERROR(AVERAGEIFS(Pedidos!$AC$2:$AC$2224,Pedidos!$AJ$2:$AJ$2224,"SIM",Pedidos!$H$2:$H$2224,$A7),"")</f>
        <v>146.773661257221</v>
      </c>
      <c r="E7" s="13" t="n">
        <f aca="false">IFERROR(D7/C7-1,"")</f>
        <v>0.415707588262026</v>
      </c>
      <c r="F7" s="13" t="n">
        <f aca="false">IFERROR(AVERAGEIFS(Pedidos!$AD$2:$AD$2224,Pedidos!$AJ$2:$AJ$2224,"SIM",Pedidos!$H$2:$H$2224,$A7)/C7-1,"")</f>
        <v>0.227964261689243</v>
      </c>
      <c r="G7" s="12" t="n">
        <f aca="false">IFERROR(AVERAGEIFS(Pedidos!$M$2:$M$2224,Pedidos!$AJ$2:$AJ$2224,"SIM",Pedidos!$H$2:$H$2224,$A7),"")</f>
        <v>71.7142140468228</v>
      </c>
      <c r="H7" s="12" t="n">
        <f aca="false">IFERROR(AVERAGEIFS(Pedidos!$U$2:$U$2224,Pedidos!$AJ$2:$AJ$2224,"SIM",Pedidos!$H$2:$H$2224,$A7),"")</f>
        <v>102.850702341137</v>
      </c>
      <c r="I7" s="13" t="n">
        <f aca="false">IFERROR(H7/G7-1,"")</f>
        <v>0.434174573453251</v>
      </c>
      <c r="J7" s="14" t="n">
        <f aca="false">IFERROR(COUNTIFS(Pedidos!$AJ$2:$AJ$2224,"SIM",Pedidos!$H$2:$H$2224,$A7,Pedidos!$AG$2:$AG$2224,"SIM")/B7,"")</f>
        <v>0</v>
      </c>
      <c r="K7" s="14" t="n">
        <f aca="false">IFERROR(MAX(0,1-C7/D7),"")</f>
        <v>0.293639443419501</v>
      </c>
    </row>
    <row r="8" customFormat="false" ht="15" hidden="false" customHeight="false" outlineLevel="0" collapsed="false">
      <c r="A8" s="4" t="s">
        <v>170</v>
      </c>
      <c r="B8" s="10" t="n">
        <f aca="false">COUNTIFS(Pedidos!$AJ$2:$AJ$2224,"SIM",Pedidos!$H$2:$H$2224,$A8)</f>
        <v>305</v>
      </c>
      <c r="C8" s="12" t="n">
        <f aca="false">IFERROR(AVERAGEIFS(Pedidos!$T$2:$T$2224,Pedidos!$AJ$2:$AJ$2224,"SIM",Pedidos!$H$2:$H$2224,$A8),"")</f>
        <v>113.02111638301</v>
      </c>
      <c r="D8" s="12" t="n">
        <f aca="false">IFERROR(AVERAGEIFS(Pedidos!$AC$2:$AC$2224,Pedidos!$AJ$2:$AJ$2224,"SIM",Pedidos!$H$2:$H$2224,$A8),"")</f>
        <v>153.471457824143</v>
      </c>
      <c r="E8" s="13" t="n">
        <f aca="false">IFERROR(D8/C8-1,"")</f>
        <v>0.357900742229911</v>
      </c>
      <c r="F8" s="13" t="n">
        <f aca="false">IFERROR(AVERAGEIFS(Pedidos!$AD$2:$AD$2224,Pedidos!$AJ$2:$AJ$2224,"SIM",Pedidos!$H$2:$H$2224,$A8)/C8-1,"")</f>
        <v>0.148883842079519</v>
      </c>
      <c r="G8" s="12" t="n">
        <f aca="false">IFERROR(AVERAGEIFS(Pedidos!$M$2:$M$2224,Pedidos!$AJ$2:$AJ$2224,"SIM",Pedidos!$H$2:$H$2224,$A8),"")</f>
        <v>78.9581967213115</v>
      </c>
      <c r="H8" s="12" t="n">
        <f aca="false">IFERROR(AVERAGEIFS(Pedidos!$U$2:$U$2224,Pedidos!$AJ$2:$AJ$2224,"SIM",Pedidos!$H$2:$H$2224,$A8),"")</f>
        <v>104.183049180328</v>
      </c>
      <c r="I8" s="13" t="n">
        <f aca="false">IFERROR(H8/G8-1,"")</f>
        <v>0.319470979663445</v>
      </c>
      <c r="J8" s="14" t="n">
        <f aca="false">IFERROR(COUNTIFS(Pedidos!$AJ$2:$AJ$2224,"SIM",Pedidos!$H$2:$H$2224,$A8,Pedidos!$AG$2:$AG$2224,"SIM")/B8,"")</f>
        <v>0</v>
      </c>
      <c r="K8" s="14" t="n">
        <f aca="false">IFERROR(MAX(0,1-C8/D8),"")</f>
        <v>0.263569148391638</v>
      </c>
    </row>
    <row r="9" customFormat="false" ht="15" hidden="false" customHeight="false" outlineLevel="0" collapsed="false">
      <c r="A9" s="4" t="s">
        <v>171</v>
      </c>
      <c r="B9" s="10" t="n">
        <f aca="false">COUNTIFS(Pedidos!$AJ$2:$AJ$2224,"SIM",Pedidos!$H$2:$H$2224,$A9)</f>
        <v>361</v>
      </c>
      <c r="C9" s="12" t="n">
        <f aca="false">IFERROR(AVERAGEIFS(Pedidos!$T$2:$T$2224,Pedidos!$AJ$2:$AJ$2224,"SIM",Pedidos!$H$2:$H$2224,$A9),"")</f>
        <v>124.086324215563</v>
      </c>
      <c r="D9" s="12" t="n">
        <f aca="false">IFERROR(AVERAGEIFS(Pedidos!$AC$2:$AC$2224,Pedidos!$AJ$2:$AJ$2224,"SIM",Pedidos!$H$2:$H$2224,$A9),"")</f>
        <v>176.449797972803</v>
      </c>
      <c r="E9" s="13" t="n">
        <f aca="false">IFERROR(D9/C9-1,"")</f>
        <v>0.421992303247489</v>
      </c>
      <c r="F9" s="13" t="n">
        <f aca="false">IFERROR(AVERAGEIFS(Pedidos!$AD$2:$AD$2224,Pedidos!$AJ$2:$AJ$2224,"SIM",Pedidos!$H$2:$H$2224,$A9)/C9-1,"")</f>
        <v>0.198143814603891</v>
      </c>
      <c r="G9" s="12" t="n">
        <f aca="false">IFERROR(AVERAGEIFS(Pedidos!$M$2:$M$2224,Pedidos!$AJ$2:$AJ$2224,"SIM",Pedidos!$H$2:$H$2224,$A9),"")</f>
        <v>87.8160941828255</v>
      </c>
      <c r="H9" s="12" t="n">
        <f aca="false">IFERROR(AVERAGEIFS(Pedidos!$U$2:$U$2224,Pedidos!$AJ$2:$AJ$2224,"SIM",Pedidos!$H$2:$H$2224,$A9),"")</f>
        <v>119.98296398892</v>
      </c>
      <c r="I9" s="13" t="n">
        <f aca="false">IFERROR(H9/G9-1,"")</f>
        <v>0.366298115458489</v>
      </c>
      <c r="J9" s="14" t="n">
        <f aca="false">IFERROR(COUNTIFS(Pedidos!$AJ$2:$AJ$2224,"SIM",Pedidos!$H$2:$H$2224,$A9,Pedidos!$AG$2:$AG$2224,"SIM")/B9,"")</f>
        <v>0</v>
      </c>
      <c r="K9" s="14" t="n">
        <f aca="false">IFERROR(MAX(0,1-C9/D9),"")</f>
        <v>0.29676131318275</v>
      </c>
    </row>
    <row r="10" customFormat="false" ht="15" hidden="false" customHeight="false" outlineLevel="0" collapsed="false">
      <c r="A10" s="4" t="s">
        <v>172</v>
      </c>
      <c r="B10" s="10" t="n">
        <f aca="false">COUNTIFS(Pedidos!$AJ$2:$AJ$2224,"SIM",Pedidos!$H$2:$H$2224,$A10)</f>
        <v>228</v>
      </c>
      <c r="C10" s="12" t="n">
        <f aca="false">IFERROR(AVERAGEIFS(Pedidos!$T$2:$T$2224,Pedidos!$AJ$2:$AJ$2224,"SIM",Pedidos!$H$2:$H$2224,$A10),"")</f>
        <v>135.811462860845</v>
      </c>
      <c r="D10" s="12" t="n">
        <f aca="false">IFERROR(AVERAGEIFS(Pedidos!$AC$2:$AC$2224,Pedidos!$AJ$2:$AJ$2224,"SIM",Pedidos!$H$2:$H$2224,$A10),"")</f>
        <v>206.197406598884</v>
      </c>
      <c r="E10" s="13" t="n">
        <f aca="false">IFERROR(D10/C10-1,"")</f>
        <v>0.518262172097777</v>
      </c>
      <c r="F10" s="13" t="n">
        <f aca="false">IFERROR(AVERAGEIFS(Pedidos!$AD$2:$AD$2224,Pedidos!$AJ$2:$AJ$2224,"SIM",Pedidos!$H$2:$H$2224,$A10)/C10-1,"")</f>
        <v>0.268467791882997</v>
      </c>
      <c r="G10" s="12" t="n">
        <f aca="false">IFERROR(AVERAGEIFS(Pedidos!$M$2:$M$2224,Pedidos!$AJ$2:$AJ$2224,"SIM",Pedidos!$H$2:$H$2224,$A10),"")</f>
        <v>97.3412280701754</v>
      </c>
      <c r="H10" s="12" t="n">
        <f aca="false">IFERROR(AVERAGEIFS(Pedidos!$U$2:$U$2224,Pedidos!$AJ$2:$AJ$2224,"SIM",Pedidos!$H$2:$H$2224,$A10),"")</f>
        <v>139.837543859649</v>
      </c>
      <c r="I10" s="13" t="n">
        <f aca="false">IFERROR(H10/G10-1,"")</f>
        <v>0.436570573763844</v>
      </c>
      <c r="J10" s="14" t="n">
        <f aca="false">IFERROR(COUNTIFS(Pedidos!$AJ$2:$AJ$2224,"SIM",Pedidos!$H$2:$H$2224,$A10,Pedidos!$AG$2:$AG$2224,"SIM")/B10,"")</f>
        <v>0</v>
      </c>
      <c r="K10" s="14" t="n">
        <f aca="false">IFERROR(MAX(0,1-C10/D10),"")</f>
        <v>0.341352226000399</v>
      </c>
    </row>
    <row r="11" customFormat="false" ht="15" hidden="false" customHeight="false" outlineLevel="0" collapsed="false">
      <c r="A11" s="4" t="s">
        <v>173</v>
      </c>
      <c r="B11" s="10" t="n">
        <f aca="false">COUNTIFS(Pedidos!$AJ$2:$AJ$2224,"SIM",Pedidos!$H$2:$H$2224,$A11)</f>
        <v>24</v>
      </c>
      <c r="C11" s="12" t="n">
        <f aca="false">IFERROR(AVERAGEIFS(Pedidos!$T$2:$T$2224,Pedidos!$AJ$2:$AJ$2224,"SIM",Pedidos!$H$2:$H$2224,$A11),"")</f>
        <v>148.215515359848</v>
      </c>
      <c r="D11" s="12" t="n">
        <f aca="false">IFERROR(AVERAGEIFS(Pedidos!$AC$2:$AC$2224,Pedidos!$AJ$2:$AJ$2224,"SIM",Pedidos!$H$2:$H$2224,$A11),"")</f>
        <v>211.160869318182</v>
      </c>
      <c r="E11" s="13" t="n">
        <f aca="false">IFERROR(D11/C11-1,"")</f>
        <v>0.424688021395803</v>
      </c>
      <c r="F11" s="13" t="n">
        <f aca="false">IFERROR(AVERAGEIFS(Pedidos!$AD$2:$AD$2224,Pedidos!$AJ$2:$AJ$2224,"SIM",Pedidos!$H$2:$H$2224,$A11)/C11-1,"")</f>
        <v>0.167365402688461</v>
      </c>
      <c r="G11" s="12" t="n">
        <f aca="false">IFERROR(AVERAGEIFS(Pedidos!$M$2:$M$2224,Pedidos!$AJ$2:$AJ$2224,"SIM",Pedidos!$H$2:$H$2224,$A11),"")</f>
        <v>106.882916666667</v>
      </c>
      <c r="H11" s="12" t="n">
        <f aca="false">IFERROR(AVERAGEIFS(Pedidos!$U$2:$U$2224,Pedidos!$AJ$2:$AJ$2224,"SIM",Pedidos!$H$2:$H$2224,$A11),"")</f>
        <v>139.39875</v>
      </c>
      <c r="I11" s="13" t="n">
        <f aca="false">IFERROR(H11/G11-1,"")</f>
        <v>0.304219180645488</v>
      </c>
      <c r="J11" s="14" t="n">
        <f aca="false">IFERROR(COUNTIFS(Pedidos!$AJ$2:$AJ$2224,"SIM",Pedidos!$H$2:$H$2224,$A11,Pedidos!$AG$2:$AG$2224,"SIM")/B11,"")</f>
        <v>0</v>
      </c>
      <c r="K11" s="14" t="n">
        <f aca="false">IFERROR(MAX(0,1-C11/D11),"")</f>
        <v>0.298091943652145</v>
      </c>
    </row>
    <row r="12" customFormat="false" ht="15" hidden="false" customHeight="false" outlineLevel="0" collapsed="false">
      <c r="A12" s="4" t="s">
        <v>174</v>
      </c>
      <c r="B12" s="10" t="n">
        <f aca="false">COUNTIFS(Pedidos!$AJ$2:$AJ$2224,"SIM",Pedidos!$H$2:$H$2224,$A12)</f>
        <v>43</v>
      </c>
      <c r="C12" s="12" t="n">
        <f aca="false">IFERROR(AVERAGEIFS(Pedidos!$T$2:$T$2224,Pedidos!$AJ$2:$AJ$2224,"SIM",Pedidos!$H$2:$H$2224,$A12),"")</f>
        <v>175.113746754757</v>
      </c>
      <c r="D12" s="12" t="n">
        <f aca="false">IFERROR(AVERAGEIFS(Pedidos!$AC$2:$AC$2224,Pedidos!$AJ$2:$AJ$2224,"SIM",Pedidos!$H$2:$H$2224,$A12),"")</f>
        <v>262.075588794926</v>
      </c>
      <c r="E12" s="13" t="n">
        <f aca="false">IFERROR(D12/C12-1,"")</f>
        <v>0.496602029548014</v>
      </c>
      <c r="F12" s="13" t="n">
        <f aca="false">IFERROR(AVERAGEIFS(Pedidos!$AD$2:$AD$2224,Pedidos!$AJ$2:$AJ$2224,"SIM",Pedidos!$H$2:$H$2224,$A12)/C12-1,"")</f>
        <v>0.240237402363359</v>
      </c>
      <c r="G12" s="12" t="n">
        <f aca="false">IFERROR(AVERAGEIFS(Pedidos!$M$2:$M$2224,Pedidos!$AJ$2:$AJ$2224,"SIM",Pedidos!$H$2:$H$2224,$A12),"")</f>
        <v>129.317441860465</v>
      </c>
      <c r="H12" s="12" t="n">
        <f aca="false">IFERROR(AVERAGEIFS(Pedidos!$U$2:$U$2224,Pedidos!$AJ$2:$AJ$2224,"SIM",Pedidos!$H$2:$H$2224,$A12),"")</f>
        <v>177.466511627907</v>
      </c>
      <c r="I12" s="13" t="n">
        <f aca="false">IFERROR(H12/G12-1,"")</f>
        <v>0.372332371215596</v>
      </c>
      <c r="J12" s="14" t="n">
        <f aca="false">IFERROR(COUNTIFS(Pedidos!$AJ$2:$AJ$2224,"SIM",Pedidos!$H$2:$H$2224,$A12,Pedidos!$AG$2:$AG$2224,"SIM")/B12,"")</f>
        <v>0</v>
      </c>
      <c r="K12" s="14" t="n">
        <f aca="false">IFERROR(MAX(0,1-C12/D12),"")</f>
        <v>0.331819695378865</v>
      </c>
    </row>
    <row r="13" customFormat="false" ht="15" hidden="false" customHeight="false" outlineLevel="0" collapsed="false">
      <c r="A13" s="4" t="s">
        <v>175</v>
      </c>
      <c r="B13" s="10" t="n">
        <f aca="false">COUNTIFS(Pedidos!$AJ$2:$AJ$2224,"SIM",Pedidos!$H$2:$H$2224,$A13)</f>
        <v>47</v>
      </c>
      <c r="C13" s="12" t="n">
        <f aca="false">IFERROR(AVERAGEIFS(Pedidos!$T$2:$T$2224,Pedidos!$AJ$2:$AJ$2224,"SIM",Pedidos!$H$2:$H$2224,$A13),"")</f>
        <v>194.679901968085</v>
      </c>
      <c r="D13" s="12" t="n">
        <f aca="false">IFERROR(AVERAGEIFS(Pedidos!$AC$2:$AC$2224,Pedidos!$AJ$2:$AJ$2224,"SIM",Pedidos!$H$2:$H$2224,$A13),"")</f>
        <v>316.242328578337</v>
      </c>
      <c r="E13" s="13" t="n">
        <f aca="false">IFERROR(D13/C13-1,"")</f>
        <v>0.624422066075315</v>
      </c>
      <c r="F13" s="13" t="n">
        <f aca="false">IFERROR(AVERAGEIFS(Pedidos!$AD$2:$AD$2224,Pedidos!$AJ$2:$AJ$2224,"SIM",Pedidos!$H$2:$H$2224,$A13)/C13-1,"")</f>
        <v>0.333641959957983</v>
      </c>
      <c r="G13" s="12" t="n">
        <f aca="false">IFERROR(AVERAGEIFS(Pedidos!$M$2:$M$2224,Pedidos!$AJ$2:$AJ$2224,"SIM",Pedidos!$H$2:$H$2224,$A13),"")</f>
        <v>143.598723404255</v>
      </c>
      <c r="H13" s="12" t="n">
        <f aca="false">IFERROR(AVERAGEIFS(Pedidos!$U$2:$U$2224,Pedidos!$AJ$2:$AJ$2224,"SIM",Pedidos!$H$2:$H$2224,$A13),"")</f>
        <v>208.168936170213</v>
      </c>
      <c r="I13" s="13" t="n">
        <f aca="false">IFERROR(H13/G13-1,"")</f>
        <v>0.449657289669499</v>
      </c>
      <c r="J13" s="14" t="n">
        <f aca="false">IFERROR(COUNTIFS(Pedidos!$AJ$2:$AJ$2224,"SIM",Pedidos!$H$2:$H$2224,$A13,Pedidos!$AG$2:$AG$2224,"SIM")/B13,"")</f>
        <v>0</v>
      </c>
      <c r="K13" s="14" t="n">
        <f aca="false">IFERROR(MAX(0,1-C13/D13),"")</f>
        <v>0.384396444197505</v>
      </c>
    </row>
    <row r="14" customFormat="false" ht="15" hidden="false" customHeight="false" outlineLevel="0" collapsed="false">
      <c r="A14" s="4" t="s">
        <v>176</v>
      </c>
      <c r="B14" s="10" t="n">
        <f aca="false">COUNTIFS(Pedidos!$AJ$2:$AJ$2224,"SIM",Pedidos!$H$2:$H$2224,$A14)</f>
        <v>73</v>
      </c>
      <c r="C14" s="12" t="n">
        <f aca="false">IFERROR(AVERAGEIFS(Pedidos!$T$2:$T$2224,Pedidos!$AJ$2:$AJ$2224,"SIM",Pedidos!$H$2:$H$2224,$A14),"")</f>
        <v>242.632676584682</v>
      </c>
      <c r="D14" s="12" t="n">
        <f aca="false">IFERROR(AVERAGEIFS(Pedidos!$AC$2:$AC$2224,Pedidos!$AJ$2:$AJ$2224,"SIM",Pedidos!$H$2:$H$2224,$A14),"")</f>
        <v>369.59085258406</v>
      </c>
      <c r="E14" s="13" t="n">
        <f aca="false">IFERROR(D14/C14-1,"")</f>
        <v>0.523252588177533</v>
      </c>
      <c r="F14" s="13" t="n">
        <f aca="false">IFERROR(AVERAGEIFS(Pedidos!$AD$2:$AD$2224,Pedidos!$AJ$2:$AJ$2224,"SIM",Pedidos!$H$2:$H$2224,$A14)/C14-1,"")</f>
        <v>0.251088262112152</v>
      </c>
      <c r="G14" s="12" t="n">
        <f aca="false">IFERROR(AVERAGEIFS(Pedidos!$M$2:$M$2224,Pedidos!$AJ$2:$AJ$2224,"SIM",Pedidos!$H$2:$H$2224,$A14),"")</f>
        <v>181.906438356164</v>
      </c>
      <c r="H14" s="12" t="n">
        <f aca="false">IFERROR(AVERAGEIFS(Pedidos!$U$2:$U$2224,Pedidos!$AJ$2:$AJ$2224,"SIM",Pedidos!$H$2:$H$2224,$A14),"")</f>
        <v>244.445753424658</v>
      </c>
      <c r="I14" s="13" t="n">
        <f aca="false">IFERROR(H14/G14-1,"")</f>
        <v>0.34379934890509</v>
      </c>
      <c r="J14" s="14" t="n">
        <f aca="false">IFERROR(COUNTIFS(Pedidos!$AJ$2:$AJ$2224,"SIM",Pedidos!$H$2:$H$2224,$A14,Pedidos!$AG$2:$AG$2224,"SIM")/B14,"")</f>
        <v>0</v>
      </c>
      <c r="K14" s="14" t="n">
        <f aca="false">IFERROR(MAX(0,1-C14/D14),"")</f>
        <v>0.343510060142795</v>
      </c>
    </row>
    <row r="15" customFormat="false" ht="15" hidden="false" customHeight="false" outlineLevel="0" collapsed="false">
      <c r="A15" s="4" t="s">
        <v>177</v>
      </c>
      <c r="B15" s="10" t="n">
        <f aca="false">COUNTIFS(Pedidos!$AJ$2:$AJ$2224,"SIM",Pedidos!$H$2:$H$2224,$A15)</f>
        <v>3</v>
      </c>
      <c r="C15" s="12" t="n">
        <f aca="false">IFERROR(AVERAGEIFS(Pedidos!$T$2:$T$2224,Pedidos!$AJ$2:$AJ$2224,"SIM",Pedidos!$H$2:$H$2224,$A15),"")</f>
        <v>259.737835</v>
      </c>
      <c r="D15" s="12" t="n">
        <f aca="false">IFERROR(AVERAGEIFS(Pedidos!$AC$2:$AC$2224,Pedidos!$AJ$2:$AJ$2224,"SIM",Pedidos!$H$2:$H$2224,$A15),"")</f>
        <v>423.50096969697</v>
      </c>
      <c r="E15" s="13" t="n">
        <f aca="false">IFERROR(D15/C15-1,"")</f>
        <v>0.630493954402021</v>
      </c>
      <c r="F15" s="13" t="n">
        <f aca="false">IFERROR(AVERAGEIFS(Pedidos!$AD$2:$AD$2224,Pedidos!$AJ$2:$AJ$2224,"SIM",Pedidos!$H$2:$H$2224,$A15)/C15-1,"")</f>
        <v>0.313522245391875</v>
      </c>
      <c r="G15" s="12" t="n">
        <f aca="false">IFERROR(AVERAGEIFS(Pedidos!$M$2:$M$2224,Pedidos!$AJ$2:$AJ$2224,"SIM",Pedidos!$H$2:$H$2224,$A15),"")</f>
        <v>195.116666666667</v>
      </c>
      <c r="H15" s="12" t="n">
        <f aca="false">IFERROR(AVERAGEIFS(Pedidos!$U$2:$U$2224,Pedidos!$AJ$2:$AJ$2224,"SIM",Pedidos!$H$2:$H$2224,$A15),"")</f>
        <v>274.843333333333</v>
      </c>
      <c r="I15" s="13" t="n">
        <f aca="false">IFERROR(H15/G15-1,"")</f>
        <v>0.408610233193816</v>
      </c>
      <c r="J15" s="14" t="n">
        <f aca="false">IFERROR(COUNTIFS(Pedidos!$AJ$2:$AJ$2224,"SIM",Pedidos!$H$2:$H$2224,$A15,Pedidos!$AG$2:$AG$2224,"SIM")/B15,"")</f>
        <v>0</v>
      </c>
      <c r="K15" s="14" t="n">
        <f aca="false">IFERROR(MAX(0,1-C15/D15),"")</f>
        <v>0.386688924972588</v>
      </c>
    </row>
    <row r="16" customFormat="false" ht="15" hidden="false" customHeight="false" outlineLevel="0" collapsed="false">
      <c r="A16" s="4" t="s">
        <v>178</v>
      </c>
      <c r="B16" s="10" t="n">
        <f aca="false">COUNTIFS(Pedidos!$AJ$2:$AJ$2224,"SIM",Pedidos!$H$2:$H$2224,$A16)</f>
        <v>1</v>
      </c>
      <c r="C16" s="12" t="n">
        <f aca="false">IFERROR(AVERAGEIFS(Pedidos!$T$2:$T$2224,Pedidos!$AJ$2:$AJ$2224,"SIM",Pedidos!$H$2:$H$2224,$A16),"")</f>
        <v>198.275261363636</v>
      </c>
      <c r="D16" s="12" t="n">
        <f aca="false">IFERROR(AVERAGEIFS(Pedidos!$AC$2:$AC$2224,Pedidos!$AJ$2:$AJ$2224,"SIM",Pedidos!$H$2:$H$2224,$A16),"")</f>
        <v>529.025</v>
      </c>
      <c r="E16" s="13" t="n">
        <f aca="false">IFERROR(D16/C16-1,"")</f>
        <v>1.66813417045392</v>
      </c>
      <c r="F16" s="13" t="n">
        <f aca="false">IFERROR(AVERAGEIFS(Pedidos!$AD$2:$AD$2224,Pedidos!$AJ$2:$AJ$2224,"SIM",Pedidos!$H$2:$H$2224,$A16)/C16-1,"")</f>
        <v>1.18069198221504</v>
      </c>
      <c r="G16" s="12" t="n">
        <f aca="false">IFERROR(AVERAGEIFS(Pedidos!$M$2:$M$2224,Pedidos!$AJ$2:$AJ$2224,"SIM",Pedidos!$H$2:$H$2224,$A16),"")</f>
        <v>143.51</v>
      </c>
      <c r="H16" s="12" t="n">
        <f aca="false">IFERROR(AVERAGEIFS(Pedidos!$U$2:$U$2224,Pedidos!$AJ$2:$AJ$2224,"SIM",Pedidos!$H$2:$H$2224,$A16),"")</f>
        <v>353.17</v>
      </c>
      <c r="I16" s="13" t="n">
        <f aca="false">IFERROR(H16/G16-1,"")</f>
        <v>1.46094348825866</v>
      </c>
      <c r="J16" s="14" t="n">
        <f aca="false">IFERROR(COUNTIFS(Pedidos!$AJ$2:$AJ$2224,"SIM",Pedidos!$H$2:$H$2224,$A16,Pedidos!$AG$2:$AG$2224,"SIM")/B16,"")</f>
        <v>0</v>
      </c>
      <c r="K16" s="14" t="n">
        <f aca="false">IFERROR(MAX(0,1-C16/D16),"")</f>
        <v>0.625206254215517</v>
      </c>
    </row>
    <row r="17" customFormat="false" ht="15" hidden="false" customHeight="false" outlineLevel="0" collapsed="false">
      <c r="A17" s="4" t="s">
        <v>179</v>
      </c>
      <c r="B17" s="10" t="n">
        <f aca="false">COUNTIFS(Pedidos!$AJ$2:$AJ$2224,"SIM",Pedidos!$H$2:$H$2224,$A17)</f>
        <v>1</v>
      </c>
      <c r="C17" s="12" t="n">
        <f aca="false">IFERROR(AVERAGEIFS(Pedidos!$T$2:$T$2224,Pedidos!$AJ$2:$AJ$2224,"SIM",Pedidos!$H$2:$H$2224,$A17),"")</f>
        <v>355.227803181818</v>
      </c>
      <c r="D17" s="12" t="n">
        <f aca="false">IFERROR(AVERAGEIFS(Pedidos!$AC$2:$AC$2224,Pedidos!$AJ$2:$AJ$2224,"SIM",Pedidos!$H$2:$H$2224,$A17),"")</f>
        <v>593.327068181818</v>
      </c>
      <c r="E17" s="13" t="n">
        <f aca="false">IFERROR(D17/C17-1,"")</f>
        <v>0.670272041961008</v>
      </c>
      <c r="F17" s="13" t="n">
        <f aca="false">IFERROR(AVERAGEIFS(Pedidos!$AD$2:$AD$2224,Pedidos!$AJ$2:$AJ$2224,"SIM",Pedidos!$H$2:$H$2224,$A17)/C17-1,"")</f>
        <v>0.380925065208508</v>
      </c>
      <c r="G17" s="12" t="n">
        <f aca="false">IFERROR(AVERAGEIFS(Pedidos!$M$2:$M$2224,Pedidos!$AJ$2:$AJ$2224,"SIM",Pedidos!$H$2:$H$2224,$A17),"")</f>
        <v>272.9</v>
      </c>
      <c r="H17" s="12" t="n">
        <f aca="false">IFERROR(AVERAGEIFS(Pedidos!$U$2:$U$2224,Pedidos!$AJ$2:$AJ$2224,"SIM",Pedidos!$H$2:$H$2224,$A17),"")</f>
        <v>398.74</v>
      </c>
      <c r="I17" s="13" t="n">
        <f aca="false">IFERROR(H17/G17-1,"")</f>
        <v>0.461121289849762</v>
      </c>
      <c r="J17" s="14" t="n">
        <f aca="false">IFERROR(COUNTIFS(Pedidos!$AJ$2:$AJ$2224,"SIM",Pedidos!$H$2:$H$2224,$A17,Pedidos!$AG$2:$AG$2224,"SIM")/B17,"")</f>
        <v>0</v>
      </c>
      <c r="K17" s="14" t="n">
        <f aca="false">IFERROR(MAX(0,1-C17/D17),"")</f>
        <v>0.401295133440697</v>
      </c>
    </row>
    <row r="18" customFormat="false" ht="15" hidden="false" customHeight="false" outlineLevel="0" collapsed="false">
      <c r="A18" s="21" t="s">
        <v>52</v>
      </c>
      <c r="B18" s="28" t="n">
        <f aca="false">COUNTIFS(Pedidos!$AJ$2:$AJ$2224,"SIM")</f>
        <v>1912</v>
      </c>
      <c r="C18" s="22" t="n">
        <f aca="false">IFERROR(AVERAGEIFS(Pedidos!$T$2:$T$2224,Pedidos!$AJ$2:$AJ$2224,"SIM"),"")</f>
        <v>118.447385496268</v>
      </c>
      <c r="D18" s="22" t="n">
        <f aca="false">IFERROR(AVERAGEIFS(Pedidos!$AC$2:$AC$2224,Pedidos!$AJ$2:$AJ$2224,"SIM"),"")</f>
        <v>169.566325236544</v>
      </c>
      <c r="E18" s="23" t="n">
        <f aca="false">IFERROR(D18/C18-1,"")</f>
        <v>0.431575078893468</v>
      </c>
      <c r="F18" s="23" t="n">
        <f aca="false">IFERROR(AVERAGEIFS(Pedidos!$AD$2:$AD$2224,Pedidos!$AJ$2:$AJ$2224,"SIM")/C18-1,"")</f>
        <v>0.216328153687005</v>
      </c>
      <c r="G18" s="22" t="n">
        <f aca="false">IFERROR(AVERAGEIFS(Pedidos!$M$2:$M$2224,Pedidos!$AJ$2:$AJ$2224,"SIM"),"")</f>
        <v>83.2896338912134</v>
      </c>
      <c r="H18" s="22" t="n">
        <f aca="false">IFERROR(AVERAGEIFS(Pedidos!$U$2:$U$2224,Pedidos!$AJ$2:$AJ$2224,"SIM"),"")</f>
        <v>116.086234309623</v>
      </c>
      <c r="I18" s="23" t="n">
        <f aca="false">IFERROR(H18/G18-1,"")</f>
        <v>0.393765693114301</v>
      </c>
      <c r="J18" s="29" t="n">
        <f aca="false">IFERROR(COUNTIFS(Pedidos!$AJ$2:$AJ$2224,"SIM",Pedidos!$AG$2:$AG$2224,"SIM")/B18,"")</f>
        <v>0.00732217573221757</v>
      </c>
      <c r="K18" s="29" t="n">
        <f aca="false">IFERROR(MAX(0,1-C18/D18),"")</f>
        <v>0.301468700633608</v>
      </c>
    </row>
    <row r="20" customFormat="false" ht="15" hidden="false" customHeight="false" outlineLevel="0" collapsed="false">
      <c r="A20" s="2" t="s">
        <v>180</v>
      </c>
    </row>
    <row r="21" customFormat="false" ht="45" hidden="false" customHeight="true" outlineLevel="0" collapsed="false">
      <c r="A21" s="3" t="s">
        <v>163</v>
      </c>
      <c r="B21" s="3" t="s">
        <v>29</v>
      </c>
      <c r="C21" s="3" t="s">
        <v>127</v>
      </c>
      <c r="D21" s="3" t="s">
        <v>128</v>
      </c>
      <c r="E21" s="3" t="s">
        <v>129</v>
      </c>
      <c r="F21" s="3" t="s">
        <v>130</v>
      </c>
      <c r="G21" s="3" t="s">
        <v>164</v>
      </c>
      <c r="H21" s="3" t="s">
        <v>165</v>
      </c>
      <c r="I21" s="3" t="s">
        <v>134</v>
      </c>
      <c r="J21" s="3" t="s">
        <v>133</v>
      </c>
      <c r="K21" s="3" t="s">
        <v>166</v>
      </c>
    </row>
    <row r="22" customFormat="false" ht="15" hidden="false" customHeight="false" outlineLevel="0" collapsed="false">
      <c r="A22" s="4" t="s">
        <v>167</v>
      </c>
      <c r="B22" s="10" t="n">
        <f aca="false">COUNTIFS(Pedidos!$AJ$2:$AJ$2224,"SIM",Pedidos!$G$2:$G$2224,"Capital",Pedidos!$H$2:$H$2224,$A22)</f>
        <v>64</v>
      </c>
      <c r="C22" s="12" t="n">
        <f aca="false">IFERROR(AVERAGEIFS(Pedidos!$T$2:$T$2224,Pedidos!$AJ$2:$AJ$2224,"SIM",Pedidos!$G$2:$G$2224,"Capital",Pedidos!$H$2:$H$2224,$A22),"")</f>
        <v>64.6490992329545</v>
      </c>
      <c r="D22" s="12" t="n">
        <f aca="false">IFERROR(AVERAGEIFS(Pedidos!$AC$2:$AC$2224,Pedidos!$AJ$2:$AJ$2224,"SIM",Pedidos!$G$2:$G$2224,"Capital",Pedidos!$H$2:$H$2224,$A22),"")</f>
        <v>70.9239190340909</v>
      </c>
      <c r="E22" s="13" t="n">
        <f aca="false">IFERROR(D22/C22-1,"")</f>
        <v>0.0970596632526291</v>
      </c>
      <c r="F22" s="13" t="n">
        <f aca="false">IFERROR(AVERAGEIFS(Pedidos!$AD$2:$AD$2224,Pedidos!$AJ$2:$AJ$2224,"SIM",Pedidos!$G$2:$G$2224,"Capital",Pedidos!$H$2:$H$2224,$A22)/C22-1,"")</f>
        <v>-0.0430927060660687</v>
      </c>
      <c r="G22" s="12" t="n">
        <f aca="false">IFERROR(AVERAGEIFS(Pedidos!$M$2:$M$2224,Pedidos!$AJ$2:$AJ$2224,"SIM",Pedidos!$G$2:$G$2224,"Capital",Pedidos!$H$2:$H$2224,$A22),"")</f>
        <v>39.83</v>
      </c>
      <c r="H22" s="12" t="n">
        <f aca="false">IFERROR(AVERAGEIFS(Pedidos!$U$2:$U$2224,Pedidos!$AJ$2:$AJ$2224,"SIM",Pedidos!$G$2:$G$2224,"Capital",Pedidos!$H$2:$H$2224,$A22),"")</f>
        <v>46.98</v>
      </c>
      <c r="I22" s="13" t="n">
        <f aca="false">IFERROR(H22/G22-1,"")</f>
        <v>0.179512929952297</v>
      </c>
      <c r="J22" s="14" t="n">
        <f aca="false">IFERROR(COUNTIFS(Pedidos!$AJ$2:$AJ$2224,"SIM",Pedidos!$G$2:$G$2224,"Capital",Pedidos!$H$2:$H$2224,$A22,Pedidos!$AG$2:$AG$2224,"SIM")/B22,"")</f>
        <v>0</v>
      </c>
      <c r="K22" s="14" t="n">
        <f aca="false">IFERROR(MAX(0,1-C22/D22),"")</f>
        <v>0.0884725475776409</v>
      </c>
    </row>
    <row r="23" customFormat="false" ht="15" hidden="false" customHeight="false" outlineLevel="0" collapsed="false">
      <c r="A23" s="4" t="s">
        <v>168</v>
      </c>
      <c r="B23" s="10" t="n">
        <f aca="false">COUNTIFS(Pedidos!$AJ$2:$AJ$2224,"SIM",Pedidos!$G$2:$G$2224,"Capital",Pedidos!$H$2:$H$2224,$A23)</f>
        <v>263</v>
      </c>
      <c r="C23" s="12" t="n">
        <f aca="false">IFERROR(AVERAGEIFS(Pedidos!$T$2:$T$2224,Pedidos!$AJ$2:$AJ$2224,"SIM",Pedidos!$G$2:$G$2224,"Capital",Pedidos!$H$2:$H$2224,$A23),"")</f>
        <v>82.379885781196</v>
      </c>
      <c r="D23" s="12" t="n">
        <f aca="false">IFERROR(AVERAGEIFS(Pedidos!$AC$2:$AC$2224,Pedidos!$AJ$2:$AJ$2224,"SIM",Pedidos!$G$2:$G$2224,"Capital",Pedidos!$H$2:$H$2224,$A23),"")</f>
        <v>117.403426287591</v>
      </c>
      <c r="E23" s="13" t="n">
        <f aca="false">IFERROR(D23/C23-1,"")</f>
        <v>0.425146747586159</v>
      </c>
      <c r="F23" s="13" t="n">
        <f aca="false">IFERROR(AVERAGEIFS(Pedidos!$AD$2:$AD$2224,Pedidos!$AJ$2:$AJ$2224,"SIM",Pedidos!$G$2:$G$2224,"Capital",Pedidos!$H$2:$H$2224,$A23)/C23-1,"")</f>
        <v>0.250867933642917</v>
      </c>
      <c r="G23" s="12" t="n">
        <f aca="false">IFERROR(AVERAGEIFS(Pedidos!$M$2:$M$2224,Pedidos!$AJ$2:$AJ$2224,"SIM",Pedidos!$G$2:$G$2224,"Capital",Pedidos!$H$2:$H$2224,$A23),"")</f>
        <v>54.1</v>
      </c>
      <c r="H23" s="12" t="n">
        <f aca="false">IFERROR(AVERAGEIFS(Pedidos!$U$2:$U$2224,Pedidos!$AJ$2:$AJ$2224,"SIM",Pedidos!$G$2:$G$2224,"Capital",Pedidos!$H$2:$H$2224,$A23),"")</f>
        <v>82.21</v>
      </c>
      <c r="I23" s="13" t="n">
        <f aca="false">IFERROR(H23/G23-1,"")</f>
        <v>0.519593345656192</v>
      </c>
      <c r="J23" s="14" t="n">
        <f aca="false">IFERROR(COUNTIFS(Pedidos!$AJ$2:$AJ$2224,"SIM",Pedidos!$G$2:$G$2224,"Capital",Pedidos!$H$2:$H$2224,$A23,Pedidos!$AG$2:$AG$2224,"SIM")/B23,"")</f>
        <v>0</v>
      </c>
      <c r="K23" s="14" t="n">
        <f aca="false">IFERROR(MAX(0,1-C23/D23),"")</f>
        <v>0.298317873795278</v>
      </c>
    </row>
    <row r="24" customFormat="false" ht="15" hidden="false" customHeight="false" outlineLevel="0" collapsed="false">
      <c r="A24" s="4" t="s">
        <v>169</v>
      </c>
      <c r="B24" s="10" t="n">
        <f aca="false">COUNTIFS(Pedidos!$AJ$2:$AJ$2224,"SIM",Pedidos!$G$2:$G$2224,"Capital",Pedidos!$H$2:$H$2224,$A24)</f>
        <v>163</v>
      </c>
      <c r="C24" s="12" t="n">
        <f aca="false">IFERROR(AVERAGEIFS(Pedidos!$T$2:$T$2224,Pedidos!$AJ$2:$AJ$2224,"SIM",Pedidos!$G$2:$G$2224,"Capital",Pedidos!$H$2:$H$2224,$A24),"")</f>
        <v>92.0680141940881</v>
      </c>
      <c r="D24" s="12" t="n">
        <f aca="false">IFERROR(AVERAGEIFS(Pedidos!$AC$2:$AC$2224,Pedidos!$AJ$2:$AJ$2224,"SIM",Pedidos!$G$2:$G$2224,"Capital",Pedidos!$H$2:$H$2224,$A24),"")</f>
        <v>136.608839235917</v>
      </c>
      <c r="E24" s="13" t="n">
        <f aca="false">IFERROR(D24/C24-1,"")</f>
        <v>0.48378175017366</v>
      </c>
      <c r="F24" s="13" t="n">
        <f aca="false">IFERROR(AVERAGEIFS(Pedidos!$AD$2:$AD$2224,Pedidos!$AJ$2:$AJ$2224,"SIM",Pedidos!$G$2:$G$2224,"Capital",Pedidos!$H$2:$H$2224,$A24)/C24-1,"")</f>
        <v>0.272926816998332</v>
      </c>
      <c r="G24" s="12" t="n">
        <f aca="false">IFERROR(AVERAGEIFS(Pedidos!$M$2:$M$2224,Pedidos!$AJ$2:$AJ$2224,"SIM",Pedidos!$G$2:$G$2224,"Capital",Pedidos!$H$2:$H$2224,$A24),"")</f>
        <v>62.05</v>
      </c>
      <c r="H24" s="12" t="n">
        <f aca="false">IFERROR(AVERAGEIFS(Pedidos!$U$2:$U$2224,Pedidos!$AJ$2:$AJ$2224,"SIM",Pedidos!$G$2:$G$2224,"Capital",Pedidos!$H$2:$H$2224,$A24),"")</f>
        <v>93.97</v>
      </c>
      <c r="I24" s="13" t="n">
        <f aca="false">IFERROR(H24/G24-1,"")</f>
        <v>0.514423851732474</v>
      </c>
      <c r="J24" s="14" t="n">
        <f aca="false">IFERROR(COUNTIFS(Pedidos!$AJ$2:$AJ$2224,"SIM",Pedidos!$G$2:$G$2224,"Capital",Pedidos!$H$2:$H$2224,$A24,Pedidos!$AG$2:$AG$2224,"SIM")/B24,"")</f>
        <v>0</v>
      </c>
      <c r="K24" s="14" t="n">
        <f aca="false">IFERROR(MAX(0,1-C24/D24),"")</f>
        <v>0.326046435142526</v>
      </c>
    </row>
    <row r="25" customFormat="false" ht="15" hidden="false" customHeight="false" outlineLevel="0" collapsed="false">
      <c r="A25" s="4" t="s">
        <v>170</v>
      </c>
      <c r="B25" s="10" t="n">
        <f aca="false">COUNTIFS(Pedidos!$AJ$2:$AJ$2224,"SIM",Pedidos!$G$2:$G$2224,"Capital",Pedidos!$H$2:$H$2224,$A25)</f>
        <v>154</v>
      </c>
      <c r="C25" s="12" t="n">
        <f aca="false">IFERROR(AVERAGEIFS(Pedidos!$T$2:$T$2224,Pedidos!$AJ$2:$AJ$2224,"SIM",Pedidos!$G$2:$G$2224,"Capital",Pedidos!$H$2:$H$2224,$A25),"")</f>
        <v>103.461307163518</v>
      </c>
      <c r="D25" s="12" t="n">
        <f aca="false">IFERROR(AVERAGEIFS(Pedidos!$AC$2:$AC$2224,Pedidos!$AJ$2:$AJ$2224,"SIM",Pedidos!$G$2:$G$2224,"Capital",Pedidos!$H$2:$H$2224,$A25),"")</f>
        <v>141.783351682409</v>
      </c>
      <c r="E25" s="13" t="n">
        <f aca="false">IFERROR(D25/C25-1,"")</f>
        <v>0.370399771368856</v>
      </c>
      <c r="F25" s="13" t="n">
        <f aca="false">IFERROR(AVERAGEIFS(Pedidos!$AD$2:$AD$2224,Pedidos!$AJ$2:$AJ$2224,"SIM",Pedidos!$G$2:$G$2224,"Capital",Pedidos!$H$2:$H$2224,$A25)/C25-1,"")</f>
        <v>0.142656913330089</v>
      </c>
      <c r="G25" s="12" t="n">
        <f aca="false">IFERROR(AVERAGEIFS(Pedidos!$M$2:$M$2224,Pedidos!$AJ$2:$AJ$2224,"SIM",Pedidos!$G$2:$G$2224,"Capital",Pedidos!$H$2:$H$2224,$A25),"")</f>
        <v>71</v>
      </c>
      <c r="H25" s="12" t="n">
        <f aca="false">IFERROR(AVERAGEIFS(Pedidos!$U$2:$U$2224,Pedidos!$AJ$2:$AJ$2224,"SIM",Pedidos!$G$2:$G$2224,"Capital",Pedidos!$H$2:$H$2224,$A25),"")</f>
        <v>93.97</v>
      </c>
      <c r="I25" s="13" t="n">
        <f aca="false">IFERROR(H25/G25-1,"")</f>
        <v>0.323521126760563</v>
      </c>
      <c r="J25" s="14" t="n">
        <f aca="false">IFERROR(COUNTIFS(Pedidos!$AJ$2:$AJ$2224,"SIM",Pedidos!$G$2:$G$2224,"Capital",Pedidos!$H$2:$H$2224,$A25,Pedidos!$AG$2:$AG$2224,"SIM")/B25,"")</f>
        <v>0</v>
      </c>
      <c r="K25" s="14" t="n">
        <f aca="false">IFERROR(MAX(0,1-C25/D25),"")</f>
        <v>0.270285926127143</v>
      </c>
    </row>
    <row r="26" customFormat="false" ht="15" hidden="false" customHeight="false" outlineLevel="0" collapsed="false">
      <c r="A26" s="4" t="s">
        <v>171</v>
      </c>
      <c r="B26" s="10" t="n">
        <f aca="false">COUNTIFS(Pedidos!$AJ$2:$AJ$2224,"SIM",Pedidos!$G$2:$G$2224,"Capital",Pedidos!$H$2:$H$2224,$A26)</f>
        <v>181</v>
      </c>
      <c r="C26" s="12" t="n">
        <f aca="false">IFERROR(AVERAGEIFS(Pedidos!$T$2:$T$2224,Pedidos!$AJ$2:$AJ$2224,"SIM",Pedidos!$G$2:$G$2224,"Capital",Pedidos!$H$2:$H$2224,$A26),"")</f>
        <v>114.453026735309</v>
      </c>
      <c r="D26" s="12" t="n">
        <f aca="false">IFERROR(AVERAGEIFS(Pedidos!$AC$2:$AC$2224,Pedidos!$AJ$2:$AJ$2224,"SIM",Pedidos!$G$2:$G$2224,"Capital",Pedidos!$H$2:$H$2224,$A26),"")</f>
        <v>167.535212581617</v>
      </c>
      <c r="E26" s="13" t="n">
        <f aca="false">IFERROR(D26/C26-1,"")</f>
        <v>0.463790144834435</v>
      </c>
      <c r="F26" s="13" t="n">
        <f aca="false">IFERROR(AVERAGEIFS(Pedidos!$AD$2:$AD$2224,Pedidos!$AJ$2:$AJ$2224,"SIM",Pedidos!$G$2:$G$2224,"Capital",Pedidos!$H$2:$H$2224,$A26)/C26-1,"")</f>
        <v>0.22232656051845</v>
      </c>
      <c r="G26" s="12" t="n">
        <f aca="false">IFERROR(AVERAGEIFS(Pedidos!$M$2:$M$2224,Pedidos!$AJ$2:$AJ$2224,"SIM",Pedidos!$G$2:$G$2224,"Capital",Pedidos!$H$2:$H$2224,$A26),"")</f>
        <v>79.81</v>
      </c>
      <c r="H26" s="12" t="n">
        <f aca="false">IFERROR(AVERAGEIFS(Pedidos!$U$2:$U$2224,Pedidos!$AJ$2:$AJ$2224,"SIM",Pedidos!$G$2:$G$2224,"Capital",Pedidos!$H$2:$H$2224,$A26),"")</f>
        <v>112.3</v>
      </c>
      <c r="I26" s="13" t="n">
        <f aca="false">IFERROR(H26/G26-1,"")</f>
        <v>0.407091843127428</v>
      </c>
      <c r="J26" s="14" t="n">
        <f aca="false">IFERROR(COUNTIFS(Pedidos!$AJ$2:$AJ$2224,"SIM",Pedidos!$G$2:$G$2224,"Capital",Pedidos!$H$2:$H$2224,$A26,Pedidos!$AG$2:$AG$2224,"SIM")/B26,"")</f>
        <v>0</v>
      </c>
      <c r="K26" s="14" t="n">
        <f aca="false">IFERROR(MAX(0,1-C26/D26),"")</f>
        <v>0.316841964315105</v>
      </c>
    </row>
    <row r="27" customFormat="false" ht="15" hidden="false" customHeight="false" outlineLevel="0" collapsed="false">
      <c r="A27" s="4" t="s">
        <v>172</v>
      </c>
      <c r="B27" s="10" t="n">
        <f aca="false">COUNTIFS(Pedidos!$AJ$2:$AJ$2224,"SIM",Pedidos!$G$2:$G$2224,"Capital",Pedidos!$H$2:$H$2224,$A27)</f>
        <v>112</v>
      </c>
      <c r="C27" s="12" t="n">
        <f aca="false">IFERROR(AVERAGEIFS(Pedidos!$T$2:$T$2224,Pedidos!$AJ$2:$AJ$2224,"SIM",Pedidos!$G$2:$G$2224,"Capital",Pedidos!$H$2:$H$2224,$A27),"")</f>
        <v>124.877119918831</v>
      </c>
      <c r="D27" s="12" t="n">
        <f aca="false">IFERROR(AVERAGEIFS(Pedidos!$AC$2:$AC$2224,Pedidos!$AJ$2:$AJ$2224,"SIM",Pedidos!$G$2:$G$2224,"Capital",Pedidos!$H$2:$H$2224,$A27),"")</f>
        <v>196.260694805195</v>
      </c>
      <c r="E27" s="13" t="n">
        <f aca="false">IFERROR(D27/C27-1,"")</f>
        <v>0.571630535143365</v>
      </c>
      <c r="F27" s="13" t="n">
        <f aca="false">IFERROR(AVERAGEIFS(Pedidos!$AD$2:$AD$2224,Pedidos!$AJ$2:$AJ$2224,"SIM",Pedidos!$G$2:$G$2224,"Capital",Pedidos!$H$2:$H$2224,$A27)/C27-1,"")</f>
        <v>0.299500195282035</v>
      </c>
      <c r="G27" s="12" t="n">
        <f aca="false">IFERROR(AVERAGEIFS(Pedidos!$M$2:$M$2224,Pedidos!$AJ$2:$AJ$2224,"SIM",Pedidos!$G$2:$G$2224,"Capital",Pedidos!$H$2:$H$2224,$A27),"")</f>
        <v>88.2</v>
      </c>
      <c r="H27" s="12" t="n">
        <f aca="false">IFERROR(AVERAGEIFS(Pedidos!$U$2:$U$2224,Pedidos!$AJ$2:$AJ$2224,"SIM",Pedidos!$G$2:$G$2224,"Capital",Pedidos!$H$2:$H$2224,$A27),"")</f>
        <v>131.02</v>
      </c>
      <c r="I27" s="13" t="n">
        <f aca="false">IFERROR(H27/G27-1,"")</f>
        <v>0.485487528344671</v>
      </c>
      <c r="J27" s="14" t="n">
        <f aca="false">IFERROR(COUNTIFS(Pedidos!$AJ$2:$AJ$2224,"SIM",Pedidos!$G$2:$G$2224,"Capital",Pedidos!$H$2:$H$2224,$A27,Pedidos!$AG$2:$AG$2224,"SIM")/B27,"")</f>
        <v>0</v>
      </c>
      <c r="K27" s="14" t="n">
        <f aca="false">IFERROR(MAX(0,1-C27/D27),"")</f>
        <v>0.363718140085144</v>
      </c>
    </row>
    <row r="28" customFormat="false" ht="15" hidden="false" customHeight="false" outlineLevel="0" collapsed="false">
      <c r="A28" s="4" t="s">
        <v>173</v>
      </c>
      <c r="B28" s="10" t="n">
        <f aca="false">COUNTIFS(Pedidos!$AJ$2:$AJ$2224,"SIM",Pedidos!$G$2:$G$2224,"Capital",Pedidos!$H$2:$H$2224,$A28)</f>
        <v>11</v>
      </c>
      <c r="C28" s="12" t="n">
        <f aca="false">IFERROR(AVERAGEIFS(Pedidos!$T$2:$T$2224,Pedidos!$AJ$2:$AJ$2224,"SIM",Pedidos!$G$2:$G$2224,"Capital",Pedidos!$H$2:$H$2224,$A28),"")</f>
        <v>137.681270971074</v>
      </c>
      <c r="D28" s="12" t="n">
        <f aca="false">IFERROR(AVERAGEIFS(Pedidos!$AC$2:$AC$2224,Pedidos!$AJ$2:$AJ$2224,"SIM",Pedidos!$G$2:$G$2224,"Capital",Pedidos!$H$2:$H$2224,$A28),"")</f>
        <v>207.029023760331</v>
      </c>
      <c r="E28" s="13" t="n">
        <f aca="false">IFERROR(D28/C28-1,"")</f>
        <v>0.503683270063839</v>
      </c>
      <c r="F28" s="13" t="n">
        <f aca="false">IFERROR(AVERAGEIFS(Pedidos!$AD$2:$AD$2224,Pedidos!$AJ$2:$AJ$2224,"SIM",Pedidos!$G$2:$G$2224,"Capital",Pedidos!$H$2:$H$2224,$A28)/C28-1,"")</f>
        <v>0.219384892315026</v>
      </c>
      <c r="G28" s="12" t="n">
        <f aca="false">IFERROR(AVERAGEIFS(Pedidos!$M$2:$M$2224,Pedidos!$AJ$2:$AJ$2224,"SIM",Pedidos!$G$2:$G$2224,"Capital",Pedidos!$H$2:$H$2224,$A28),"")</f>
        <v>97.6</v>
      </c>
      <c r="H28" s="12" t="n">
        <f aca="false">IFERROR(AVERAGEIFS(Pedidos!$U$2:$U$2224,Pedidos!$AJ$2:$AJ$2224,"SIM",Pedidos!$G$2:$G$2224,"Capital",Pedidos!$H$2:$H$2224,$A28),"")</f>
        <v>134.39</v>
      </c>
      <c r="I28" s="13" t="n">
        <f aca="false">IFERROR(H28/G28-1,"")</f>
        <v>0.376946721311475</v>
      </c>
      <c r="J28" s="14" t="n">
        <f aca="false">IFERROR(COUNTIFS(Pedidos!$AJ$2:$AJ$2224,"SIM",Pedidos!$G$2:$G$2224,"Capital",Pedidos!$H$2:$H$2224,$A28,Pedidos!$AG$2:$AG$2224,"SIM")/B28,"")</f>
        <v>0</v>
      </c>
      <c r="K28" s="14" t="n">
        <f aca="false">IFERROR(MAX(0,1-C28/D28),"")</f>
        <v>0.334966332399545</v>
      </c>
    </row>
    <row r="29" customFormat="false" ht="15" hidden="false" customHeight="false" outlineLevel="0" collapsed="false">
      <c r="A29" s="4" t="s">
        <v>174</v>
      </c>
      <c r="B29" s="10" t="n">
        <f aca="false">COUNTIFS(Pedidos!$AJ$2:$AJ$2224,"SIM",Pedidos!$G$2:$G$2224,"Capital",Pedidos!$H$2:$H$2224,$A29)</f>
        <v>19</v>
      </c>
      <c r="C29" s="12" t="n">
        <f aca="false">IFERROR(AVERAGEIFS(Pedidos!$T$2:$T$2224,Pedidos!$AJ$2:$AJ$2224,"SIM",Pedidos!$G$2:$G$2224,"Capital",Pedidos!$H$2:$H$2224,$A29),"")</f>
        <v>163.758813744019</v>
      </c>
      <c r="D29" s="12" t="n">
        <f aca="false">IFERROR(AVERAGEIFS(Pedidos!$AC$2:$AC$2224,Pedidos!$AJ$2:$AJ$2224,"SIM",Pedidos!$G$2:$G$2224,"Capital",Pedidos!$H$2:$H$2224,$A29),"")</f>
        <v>251.894388157895</v>
      </c>
      <c r="E29" s="13" t="n">
        <f aca="false">IFERROR(D29/C29-1,"")</f>
        <v>0.538203547026454</v>
      </c>
      <c r="F29" s="13" t="n">
        <f aca="false">IFERROR(AVERAGEIFS(Pedidos!$AD$2:$AD$2224,Pedidos!$AJ$2:$AJ$2224,"SIM",Pedidos!$G$2:$G$2224,"Capital",Pedidos!$H$2:$H$2224,$A29)/C29-1,"")</f>
        <v>0.261108267566845</v>
      </c>
      <c r="G29" s="12" t="n">
        <f aca="false">IFERROR(AVERAGEIFS(Pedidos!$M$2:$M$2224,Pedidos!$AJ$2:$AJ$2224,"SIM",Pedidos!$G$2:$G$2224,"Capital",Pedidos!$H$2:$H$2224,$A29),"")</f>
        <v>119.8</v>
      </c>
      <c r="H29" s="12" t="n">
        <f aca="false">IFERROR(AVERAGEIFS(Pedidos!$U$2:$U$2224,Pedidos!$AJ$2:$AJ$2224,"SIM",Pedidos!$G$2:$G$2224,"Capital",Pedidos!$H$2:$H$2224,$A29),"")</f>
        <v>167.99</v>
      </c>
      <c r="I29" s="13" t="n">
        <f aca="false">IFERROR(H29/G29-1,"")</f>
        <v>0.402253756260434</v>
      </c>
      <c r="J29" s="14" t="n">
        <f aca="false">IFERROR(COUNTIFS(Pedidos!$AJ$2:$AJ$2224,"SIM",Pedidos!$G$2:$G$2224,"Capital",Pedidos!$H$2:$H$2224,$A29,Pedidos!$AG$2:$AG$2224,"SIM")/B29,"")</f>
        <v>0</v>
      </c>
      <c r="K29" s="14" t="n">
        <f aca="false">IFERROR(MAX(0,1-C29/D29),"")</f>
        <v>0.349890980336686</v>
      </c>
    </row>
    <row r="30" customFormat="false" ht="15" hidden="false" customHeight="false" outlineLevel="0" collapsed="false">
      <c r="A30" s="4" t="s">
        <v>175</v>
      </c>
      <c r="B30" s="10" t="n">
        <f aca="false">COUNTIFS(Pedidos!$AJ$2:$AJ$2224,"SIM",Pedidos!$G$2:$G$2224,"Capital",Pedidos!$H$2:$H$2224,$A30)</f>
        <v>21</v>
      </c>
      <c r="C30" s="12" t="n">
        <f aca="false">IFERROR(AVERAGEIFS(Pedidos!$T$2:$T$2224,Pedidos!$AJ$2:$AJ$2224,"SIM",Pedidos!$G$2:$G$2224,"Capital",Pedidos!$H$2:$H$2224,$A30),"")</f>
        <v>185.62397538961</v>
      </c>
      <c r="D30" s="12" t="n">
        <f aca="false">IFERROR(AVERAGEIFS(Pedidos!$AC$2:$AC$2224,Pedidos!$AJ$2:$AJ$2224,"SIM",Pedidos!$G$2:$G$2224,"Capital",Pedidos!$H$2:$H$2224,$A30),"")</f>
        <v>309.111146103896</v>
      </c>
      <c r="E30" s="13" t="n">
        <f aca="false">IFERROR(D30/C30-1,"")</f>
        <v>0.66525442338521</v>
      </c>
      <c r="F30" s="13" t="n">
        <f aca="false">IFERROR(AVERAGEIFS(Pedidos!$AD$2:$AD$2224,Pedidos!$AJ$2:$AJ$2224,"SIM",Pedidos!$G$2:$G$2224,"Capital",Pedidos!$H$2:$H$2224,$A30)/C30-1,"")</f>
        <v>0.359074063519926</v>
      </c>
      <c r="G30" s="12" t="n">
        <f aca="false">IFERROR(AVERAGEIFS(Pedidos!$M$2:$M$2224,Pedidos!$AJ$2:$AJ$2224,"SIM",Pedidos!$G$2:$G$2224,"Capital",Pedidos!$H$2:$H$2224,$A30),"")</f>
        <v>135.94</v>
      </c>
      <c r="H30" s="12" t="n">
        <f aca="false">IFERROR(AVERAGEIFS(Pedidos!$U$2:$U$2224,Pedidos!$AJ$2:$AJ$2224,"SIM",Pedidos!$G$2:$G$2224,"Capital",Pedidos!$H$2:$H$2224,$A30),"")</f>
        <v>201.59</v>
      </c>
      <c r="I30" s="13" t="n">
        <f aca="false">IFERROR(H30/G30-1,"")</f>
        <v>0.482933647197293</v>
      </c>
      <c r="J30" s="14" t="n">
        <f aca="false">IFERROR(COUNTIFS(Pedidos!$AJ$2:$AJ$2224,"SIM",Pedidos!$G$2:$G$2224,"Capital",Pedidos!$H$2:$H$2224,$A30,Pedidos!$AG$2:$AG$2224,"SIM")/B30,"")</f>
        <v>0</v>
      </c>
      <c r="K30" s="14" t="n">
        <f aca="false">IFERROR(MAX(0,1-C30/D30),"")</f>
        <v>0.399491161256217</v>
      </c>
    </row>
    <row r="31" customFormat="false" ht="15" hidden="false" customHeight="false" outlineLevel="0" collapsed="false">
      <c r="A31" s="4" t="s">
        <v>176</v>
      </c>
      <c r="B31" s="10" t="n">
        <f aca="false">COUNTIFS(Pedidos!$AJ$2:$AJ$2224,"SIM",Pedidos!$G$2:$G$2224,"Capital",Pedidos!$H$2:$H$2224,$A31)</f>
        <v>39</v>
      </c>
      <c r="C31" s="12" t="n">
        <f aca="false">IFERROR(AVERAGEIFS(Pedidos!$T$2:$T$2224,Pedidos!$AJ$2:$AJ$2224,"SIM",Pedidos!$G$2:$G$2224,"Capital",Pedidos!$H$2:$H$2224,$A31),"")</f>
        <v>234.087997488345</v>
      </c>
      <c r="D31" s="12" t="n">
        <f aca="false">IFERROR(AVERAGEIFS(Pedidos!$AC$2:$AC$2224,Pedidos!$AJ$2:$AJ$2224,"SIM",Pedidos!$G$2:$G$2224,"Capital",Pedidos!$H$2:$H$2224,$A31),"")</f>
        <v>363.472490384615</v>
      </c>
      <c r="E31" s="13" t="n">
        <f aca="false">IFERROR(D31/C31-1,"")</f>
        <v>0.552717329741403</v>
      </c>
      <c r="F31" s="13" t="n">
        <f aca="false">IFERROR(AVERAGEIFS(Pedidos!$AD$2:$AD$2224,Pedidos!$AJ$2:$AJ$2224,"SIM",Pedidos!$G$2:$G$2224,"Capital",Pedidos!$H$2:$H$2224,$A31)/C31-1,"")</f>
        <v>0.271197771466611</v>
      </c>
      <c r="G31" s="12" t="n">
        <f aca="false">IFERROR(AVERAGEIFS(Pedidos!$M$2:$M$2224,Pedidos!$AJ$2:$AJ$2224,"SIM",Pedidos!$G$2:$G$2224,"Capital",Pedidos!$H$2:$H$2224,$A31),"")</f>
        <v>174.85</v>
      </c>
      <c r="H31" s="12" t="n">
        <f aca="false">IFERROR(AVERAGEIFS(Pedidos!$U$2:$U$2224,Pedidos!$AJ$2:$AJ$2224,"SIM",Pedidos!$G$2:$G$2224,"Capital",Pedidos!$H$2:$H$2224,$A31),"")</f>
        <v>239.25</v>
      </c>
      <c r="I31" s="13" t="n">
        <f aca="false">IFERROR(H31/G31-1,"")</f>
        <v>0.368315699170718</v>
      </c>
      <c r="J31" s="14" t="n">
        <f aca="false">IFERROR(COUNTIFS(Pedidos!$AJ$2:$AJ$2224,"SIM",Pedidos!$G$2:$G$2224,"Capital",Pedidos!$H$2:$H$2224,$A31,Pedidos!$AG$2:$AG$2224,"SIM")/B31,"")</f>
        <v>0</v>
      </c>
      <c r="K31" s="14" t="n">
        <f aca="false">IFERROR(MAX(0,1-C31/D31),"")</f>
        <v>0.355967772854996</v>
      </c>
    </row>
    <row r="32" customFormat="false" ht="15" hidden="false" customHeight="false" outlineLevel="0" collapsed="false">
      <c r="A32" s="4" t="s">
        <v>177</v>
      </c>
      <c r="B32" s="10" t="n">
        <f aca="false">COUNTIFS(Pedidos!$AJ$2:$AJ$2224,"SIM",Pedidos!$G$2:$G$2224,"Capital",Pedidos!$H$2:$H$2224,$A32)</f>
        <v>2</v>
      </c>
      <c r="C32" s="12" t="n">
        <f aca="false">IFERROR(AVERAGEIFS(Pedidos!$T$2:$T$2224,Pedidos!$AJ$2:$AJ$2224,"SIM",Pedidos!$G$2:$G$2224,"Capital",Pedidos!$H$2:$H$2224,$A32),"")</f>
        <v>255.759645795455</v>
      </c>
      <c r="D32" s="12" t="n">
        <f aca="false">IFERROR(AVERAGEIFS(Pedidos!$AC$2:$AC$2224,Pedidos!$AJ$2:$AJ$2224,"SIM",Pedidos!$G$2:$G$2224,"Capital",Pedidos!$H$2:$H$2224,$A32),"")</f>
        <v>417.5980625</v>
      </c>
      <c r="E32" s="13" t="n">
        <f aca="false">IFERROR(D32/C32-1,"")</f>
        <v>0.632775417721593</v>
      </c>
      <c r="F32" s="13" t="n">
        <f aca="false">IFERROR(AVERAGEIFS(Pedidos!$AD$2:$AD$2224,Pedidos!$AJ$2:$AJ$2224,"SIM",Pedidos!$G$2:$G$2224,"Capital",Pedidos!$H$2:$H$2224,$A32)/C32-1,"")</f>
        <v>0.315871880763861</v>
      </c>
      <c r="G32" s="12" t="n">
        <f aca="false">IFERROR(AVERAGEIFS(Pedidos!$M$2:$M$2224,Pedidos!$AJ$2:$AJ$2224,"SIM",Pedidos!$G$2:$G$2224,"Capital",Pedidos!$H$2:$H$2224,$A32),"")</f>
        <v>192.1</v>
      </c>
      <c r="H32" s="12" t="n">
        <f aca="false">IFERROR(AVERAGEIFS(Pedidos!$U$2:$U$2224,Pedidos!$AJ$2:$AJ$2224,"SIM",Pedidos!$G$2:$G$2224,"Capital",Pedidos!$H$2:$H$2224,$A32),"")</f>
        <v>271.15</v>
      </c>
      <c r="I32" s="13" t="n">
        <f aca="false">IFERROR(H32/G32-1,"")</f>
        <v>0.411504424778761</v>
      </c>
      <c r="J32" s="14" t="n">
        <f aca="false">IFERROR(COUNTIFS(Pedidos!$AJ$2:$AJ$2224,"SIM",Pedidos!$G$2:$G$2224,"Capital",Pedidos!$H$2:$H$2224,$A32,Pedidos!$AG$2:$AG$2224,"SIM")/B32,"")</f>
        <v>0</v>
      </c>
      <c r="K32" s="14" t="n">
        <f aca="false">IFERROR(MAX(0,1-C32/D32),"")</f>
        <v>0.387545899364764</v>
      </c>
    </row>
    <row r="33" customFormat="false" ht="15" hidden="false" customHeight="false" outlineLevel="0" collapsed="false">
      <c r="A33" s="4" t="s">
        <v>178</v>
      </c>
      <c r="B33" s="10" t="n">
        <f aca="false">COUNTIFS(Pedidos!$AJ$2:$AJ$2224,"SIM",Pedidos!$G$2:$G$2224,"Capital",Pedidos!$H$2:$H$2224,$A33)</f>
        <v>0</v>
      </c>
      <c r="C33" s="12" t="str">
        <f aca="false">IFERROR(AVERAGEIFS(Pedidos!$T$2:$T$2224,Pedidos!$AJ$2:$AJ$2224,"SIM",Pedidos!$G$2:$G$2224,"Capital",Pedidos!$H$2:$H$2224,$A33),"")</f>
        <v/>
      </c>
      <c r="D33" s="12" t="str">
        <f aca="false">IFERROR(AVERAGEIFS(Pedidos!$AC$2:$AC$2224,Pedidos!$AJ$2:$AJ$2224,"SIM",Pedidos!$G$2:$G$2224,"Capital",Pedidos!$H$2:$H$2224,$A33),"")</f>
        <v/>
      </c>
      <c r="E33" s="13" t="str">
        <f aca="false">IFERROR(D33/C33-1,"")</f>
        <v/>
      </c>
      <c r="F33" s="13" t="str">
        <f aca="false">IFERROR(AVERAGEIFS(Pedidos!$AD$2:$AD$2224,Pedidos!$AJ$2:$AJ$2224,"SIM",Pedidos!$G$2:$G$2224,"Capital",Pedidos!$H$2:$H$2224,$A33)/C33-1,"")</f>
        <v/>
      </c>
      <c r="G33" s="12" t="str">
        <f aca="false">IFERROR(AVERAGEIFS(Pedidos!$M$2:$M$2224,Pedidos!$AJ$2:$AJ$2224,"SIM",Pedidos!$G$2:$G$2224,"Capital",Pedidos!$H$2:$H$2224,$A33),"")</f>
        <v/>
      </c>
      <c r="H33" s="12" t="str">
        <f aca="false">IFERROR(AVERAGEIFS(Pedidos!$U$2:$U$2224,Pedidos!$AJ$2:$AJ$2224,"SIM",Pedidos!$G$2:$G$2224,"Capital",Pedidos!$H$2:$H$2224,$A33),"")</f>
        <v/>
      </c>
      <c r="I33" s="13" t="str">
        <f aca="false">IFERROR(H33/G33-1,"")</f>
        <v/>
      </c>
      <c r="J33" s="14" t="str">
        <f aca="false">IFERROR(COUNTIFS(Pedidos!$AJ$2:$AJ$2224,"SIM",Pedidos!$G$2:$G$2224,"Capital",Pedidos!$H$2:$H$2224,$A33,Pedidos!$AG$2:$AG$2224,"SIM")/B33,"")</f>
        <v/>
      </c>
      <c r="K33" s="14" t="str">
        <f aca="false">IFERROR(MAX(0,1-C33/D33),"")</f>
        <v/>
      </c>
    </row>
    <row r="34" customFormat="false" ht="15" hidden="false" customHeight="false" outlineLevel="0" collapsed="false">
      <c r="A34" s="4" t="s">
        <v>179</v>
      </c>
      <c r="B34" s="10" t="n">
        <f aca="false">COUNTIFS(Pedidos!$AJ$2:$AJ$2224,"SIM",Pedidos!$G$2:$G$2224,"Capital",Pedidos!$H$2:$H$2224,$A34)</f>
        <v>1</v>
      </c>
      <c r="C34" s="12" t="n">
        <f aca="false">IFERROR(AVERAGEIFS(Pedidos!$T$2:$T$2224,Pedidos!$AJ$2:$AJ$2224,"SIM",Pedidos!$G$2:$G$2224,"Capital",Pedidos!$H$2:$H$2224,$A34),"")</f>
        <v>355.227803181818</v>
      </c>
      <c r="D34" s="12" t="n">
        <f aca="false">IFERROR(AVERAGEIFS(Pedidos!$AC$2:$AC$2224,Pedidos!$AJ$2:$AJ$2224,"SIM",Pedidos!$G$2:$G$2224,"Capital",Pedidos!$H$2:$H$2224,$A34),"")</f>
        <v>593.327068181818</v>
      </c>
      <c r="E34" s="13" t="n">
        <f aca="false">IFERROR(D34/C34-1,"")</f>
        <v>0.670272041961008</v>
      </c>
      <c r="F34" s="13" t="n">
        <f aca="false">IFERROR(AVERAGEIFS(Pedidos!$AD$2:$AD$2224,Pedidos!$AJ$2:$AJ$2224,"SIM",Pedidos!$G$2:$G$2224,"Capital",Pedidos!$H$2:$H$2224,$A34)/C34-1,"")</f>
        <v>0.380925065208508</v>
      </c>
      <c r="G34" s="12" t="n">
        <f aca="false">IFERROR(AVERAGEIFS(Pedidos!$M$2:$M$2224,Pedidos!$AJ$2:$AJ$2224,"SIM",Pedidos!$G$2:$G$2224,"Capital",Pedidos!$H$2:$H$2224,$A34),"")</f>
        <v>272.9</v>
      </c>
      <c r="H34" s="12" t="n">
        <f aca="false">IFERROR(AVERAGEIFS(Pedidos!$U$2:$U$2224,Pedidos!$AJ$2:$AJ$2224,"SIM",Pedidos!$G$2:$G$2224,"Capital",Pedidos!$H$2:$H$2224,$A34),"")</f>
        <v>398.74</v>
      </c>
      <c r="I34" s="13" t="n">
        <f aca="false">IFERROR(H34/G34-1,"")</f>
        <v>0.461121289849762</v>
      </c>
      <c r="J34" s="14" t="n">
        <f aca="false">IFERROR(COUNTIFS(Pedidos!$AJ$2:$AJ$2224,"SIM",Pedidos!$G$2:$G$2224,"Capital",Pedidos!$H$2:$H$2224,$A34,Pedidos!$AG$2:$AG$2224,"SIM")/B34,"")</f>
        <v>0</v>
      </c>
      <c r="K34" s="14" t="n">
        <f aca="false">IFERROR(MAX(0,1-C34/D34),"")</f>
        <v>0.401295133440697</v>
      </c>
    </row>
    <row r="35" customFormat="false" ht="15" hidden="false" customHeight="false" outlineLevel="0" collapsed="false">
      <c r="A35" s="21" t="s">
        <v>52</v>
      </c>
      <c r="B35" s="28" t="n">
        <f aca="false">COUNTIFS(Pedidos!$AJ$2:$AJ$2224,"SIM",Pedidos!$G$2:$G$2224,"Capital")</f>
        <v>1030</v>
      </c>
      <c r="C35" s="22" t="n">
        <f aca="false">IFERROR(AVERAGEIFS(Pedidos!$T$2:$T$2224,Pedidos!$AJ$2:$AJ$2224,"SIM",Pedidos!$G$2:$G$2224,"Capital"),"")</f>
        <v>106.763115650485</v>
      </c>
      <c r="D35" s="22" t="n">
        <f aca="false">IFERROR(AVERAGEIFS(Pedidos!$AC$2:$AC$2224,Pedidos!$AJ$2:$AJ$2224,"SIM",Pedidos!$G$2:$G$2224,"Capital"),"")</f>
        <v>156.292987577229</v>
      </c>
      <c r="E35" s="23" t="n">
        <f aca="false">IFERROR(D35/C35-1,"")</f>
        <v>0.46392306579822</v>
      </c>
      <c r="F35" s="23" t="n">
        <f aca="false">IFERROR(AVERAGEIFS(Pedidos!$AD$2:$AD$2224,Pedidos!$AJ$2:$AJ$2224,"SIM",Pedidos!$G$2:$G$2224,"Capital")/C35-1,"")</f>
        <v>0.234049863718305</v>
      </c>
      <c r="G35" s="22" t="n">
        <f aca="false">IFERROR(AVERAGEIFS(Pedidos!$M$2:$M$2224,Pedidos!$AJ$2:$AJ$2224,"SIM",Pedidos!$G$2:$G$2224,"Capital"),"")</f>
        <v>73.6217184466019</v>
      </c>
      <c r="H35" s="22" t="n">
        <f aca="false">IFERROR(AVERAGEIFS(Pedidos!$U$2:$U$2224,Pedidos!$AJ$2:$AJ$2224,"SIM",Pedidos!$G$2:$G$2224,"Capital"),"")</f>
        <v>105.429378640777</v>
      </c>
      <c r="I35" s="23" t="n">
        <f aca="false">IFERROR(H35/G35-1,"")</f>
        <v>0.43204180594134</v>
      </c>
      <c r="J35" s="29" t="n">
        <f aca="false">IFERROR(COUNTIFS(Pedidos!$AJ$2:$AJ$2224,"SIM",Pedidos!$G$2:$G$2224,"Capital",Pedidos!$AG$2:$AG$2224,"SIM")/B35,"")</f>
        <v>0</v>
      </c>
      <c r="K35" s="29" t="n">
        <f aca="false">IFERROR(MAX(0,1-C35/D35),"")</f>
        <v>0.316903993547817</v>
      </c>
    </row>
    <row r="37" customFormat="false" ht="15" hidden="false" customHeight="false" outlineLevel="0" collapsed="false">
      <c r="A37" s="2" t="s">
        <v>181</v>
      </c>
    </row>
    <row r="38" customFormat="false" ht="45" hidden="false" customHeight="true" outlineLevel="0" collapsed="false">
      <c r="A38" s="3" t="s">
        <v>163</v>
      </c>
      <c r="B38" s="3" t="s">
        <v>29</v>
      </c>
      <c r="C38" s="3" t="s">
        <v>127</v>
      </c>
      <c r="D38" s="3" t="s">
        <v>128</v>
      </c>
      <c r="E38" s="3" t="s">
        <v>129</v>
      </c>
      <c r="F38" s="3" t="s">
        <v>130</v>
      </c>
      <c r="G38" s="3" t="s">
        <v>164</v>
      </c>
      <c r="H38" s="3" t="s">
        <v>165</v>
      </c>
      <c r="I38" s="3" t="s">
        <v>134</v>
      </c>
      <c r="J38" s="3" t="s">
        <v>133</v>
      </c>
      <c r="K38" s="3" t="s">
        <v>166</v>
      </c>
    </row>
    <row r="39" customFormat="false" ht="15" hidden="false" customHeight="false" outlineLevel="0" collapsed="false">
      <c r="A39" s="4" t="s">
        <v>167</v>
      </c>
      <c r="B39" s="10" t="n">
        <f aca="false">COUNTIFS(Pedidos!$AJ$2:$AJ$2224,"SIM",Pedidos!$G$2:$G$2224,"Metropolitana",Pedidos!$H$2:$H$2224,$A39)</f>
        <v>24</v>
      </c>
      <c r="C39" s="12" t="n">
        <f aca="false">IFERROR(AVERAGEIFS(Pedidos!$T$2:$T$2224,Pedidos!$AJ$2:$AJ$2224,"SIM",Pedidos!$G$2:$G$2224,"Metropolitana",Pedidos!$H$2:$H$2224,$A39),"")</f>
        <v>75.4756870643939</v>
      </c>
      <c r="D39" s="12" t="n">
        <f aca="false">IFERROR(AVERAGEIFS(Pedidos!$AC$2:$AC$2224,Pedidos!$AJ$2:$AJ$2224,"SIM",Pedidos!$G$2:$G$2224,"Metropolitana",Pedidos!$H$2:$H$2224,$A39),"")</f>
        <v>76.6580691287879</v>
      </c>
      <c r="E39" s="13" t="n">
        <f aca="false">IFERROR(D39/C39-1,"")</f>
        <v>0.0156657343627116</v>
      </c>
      <c r="F39" s="13" t="n">
        <f aca="false">IFERROR(AVERAGEIFS(Pedidos!$AD$2:$AD$2224,Pedidos!$AJ$2:$AJ$2224,"SIM",Pedidos!$G$2:$G$2224,"Metropolitana",Pedidos!$H$2:$H$2224,$A39)/C39-1,"")</f>
        <v>-0.111651755199212</v>
      </c>
      <c r="G39" s="12" t="n">
        <f aca="false">IFERROR(AVERAGEIFS(Pedidos!$M$2:$M$2224,Pedidos!$AJ$2:$AJ$2224,"SIM",Pedidos!$G$2:$G$2224,"Metropolitana",Pedidos!$H$2:$H$2224,$A39),"")</f>
        <v>48.69</v>
      </c>
      <c r="H39" s="12" t="n">
        <f aca="false">IFERROR(AVERAGEIFS(Pedidos!$U$2:$U$2224,Pedidos!$AJ$2:$AJ$2224,"SIM",Pedidos!$G$2:$G$2224,"Metropolitana",Pedidos!$H$2:$H$2224,$A39),"")</f>
        <v>51.3508333333333</v>
      </c>
      <c r="I39" s="13" t="n">
        <f aca="false">IFERROR(H39/G39-1,"")</f>
        <v>0.0546484562196206</v>
      </c>
      <c r="J39" s="14" t="n">
        <f aca="false">IFERROR(COUNTIFS(Pedidos!$AJ$2:$AJ$2224,"SIM",Pedidos!$G$2:$G$2224,"Metropolitana",Pedidos!$H$2:$H$2224,$A39,Pedidos!$AG$2:$AG$2224,"SIM")/B39,"")</f>
        <v>0.583333333333333</v>
      </c>
      <c r="K39" s="14" t="n">
        <f aca="false">IFERROR(MAX(0,1-C39/D39),"")</f>
        <v>0.0154241044397754</v>
      </c>
    </row>
    <row r="40" customFormat="false" ht="15" hidden="false" customHeight="false" outlineLevel="0" collapsed="false">
      <c r="A40" s="4" t="s">
        <v>168</v>
      </c>
      <c r="B40" s="10" t="n">
        <f aca="false">COUNTIFS(Pedidos!$AJ$2:$AJ$2224,"SIM",Pedidos!$G$2:$G$2224,"Metropolitana",Pedidos!$H$2:$H$2224,$A40)</f>
        <v>84</v>
      </c>
      <c r="C40" s="12" t="n">
        <f aca="false">IFERROR(AVERAGEIFS(Pedidos!$T$2:$T$2224,Pedidos!$AJ$2:$AJ$2224,"SIM",Pedidos!$G$2:$G$2224,"Metropolitana",Pedidos!$H$2:$H$2224,$A40),"")</f>
        <v>101.474199924242</v>
      </c>
      <c r="D40" s="12" t="n">
        <f aca="false">IFERROR(AVERAGEIFS(Pedidos!$AC$2:$AC$2224,Pedidos!$AJ$2:$AJ$2224,"SIM",Pedidos!$G$2:$G$2224,"Metropolitana",Pedidos!$H$2:$H$2224,$A40),"")</f>
        <v>128.005886904762</v>
      </c>
      <c r="E40" s="13" t="n">
        <f aca="false">IFERROR(D40/C40-1,"")</f>
        <v>0.261462391428829</v>
      </c>
      <c r="F40" s="13" t="n">
        <f aca="false">IFERROR(AVERAGEIFS(Pedidos!$AD$2:$AD$2224,Pedidos!$AJ$2:$AJ$2224,"SIM",Pedidos!$G$2:$G$2224,"Metropolitana",Pedidos!$H$2:$H$2224,$A40)/C40-1,"")</f>
        <v>0.114421464762249</v>
      </c>
      <c r="G40" s="12" t="n">
        <f aca="false">IFERROR(AVERAGEIFS(Pedidos!$M$2:$M$2224,Pedidos!$AJ$2:$AJ$2224,"SIM",Pedidos!$G$2:$G$2224,"Metropolitana",Pedidos!$H$2:$H$2224,$A40),"")</f>
        <v>70</v>
      </c>
      <c r="H40" s="12" t="n">
        <f aca="false">IFERROR(AVERAGEIFS(Pedidos!$U$2:$U$2224,Pedidos!$AJ$2:$AJ$2224,"SIM",Pedidos!$G$2:$G$2224,"Metropolitana",Pedidos!$H$2:$H$2224,$A40),"")</f>
        <v>90.9576190476191</v>
      </c>
      <c r="I40" s="13" t="n">
        <f aca="false">IFERROR(H40/G40-1,"")</f>
        <v>0.299394557823129</v>
      </c>
      <c r="J40" s="14" t="n">
        <f aca="false">IFERROR(COUNTIFS(Pedidos!$AJ$2:$AJ$2224,"SIM",Pedidos!$G$2:$G$2224,"Metropolitana",Pedidos!$H$2:$H$2224,$A40,Pedidos!$AG$2:$AG$2224,"SIM")/B40,"")</f>
        <v>0</v>
      </c>
      <c r="K40" s="14" t="n">
        <f aca="false">IFERROR(MAX(0,1-C40/D40),"")</f>
        <v>0.207269271922309</v>
      </c>
    </row>
    <row r="41" customFormat="false" ht="15" hidden="false" customHeight="false" outlineLevel="0" collapsed="false">
      <c r="A41" s="4" t="s">
        <v>169</v>
      </c>
      <c r="B41" s="10" t="n">
        <f aca="false">COUNTIFS(Pedidos!$AJ$2:$AJ$2224,"SIM",Pedidos!$G$2:$G$2224,"Metropolitana",Pedidos!$H$2:$H$2224,$A41)</f>
        <v>72</v>
      </c>
      <c r="C41" s="12" t="n">
        <f aca="false">IFERROR(AVERAGEIFS(Pedidos!$T$2:$T$2224,Pedidos!$AJ$2:$AJ$2224,"SIM",Pedidos!$G$2:$G$2224,"Metropolitana",Pedidos!$H$2:$H$2224,$A41),"")</f>
        <v>113.233463702652</v>
      </c>
      <c r="D41" s="12" t="n">
        <f aca="false">IFERROR(AVERAGEIFS(Pedidos!$AC$2:$AC$2224,Pedidos!$AJ$2:$AJ$2224,"SIM",Pedidos!$G$2:$G$2224,"Metropolitana",Pedidos!$H$2:$H$2224,$A41),"")</f>
        <v>146.408076546717</v>
      </c>
      <c r="E41" s="13" t="n">
        <f aca="false">IFERROR(D41/C41-1,"")</f>
        <v>0.292975342794259</v>
      </c>
      <c r="F41" s="13" t="n">
        <f aca="false">IFERROR(AVERAGEIFS(Pedidos!$AD$2:$AD$2224,Pedidos!$AJ$2:$AJ$2224,"SIM",Pedidos!$G$2:$G$2224,"Metropolitana",Pedidos!$H$2:$H$2224,$A41)/C41-1,"")</f>
        <v>0.120363343599565</v>
      </c>
      <c r="G41" s="12" t="n">
        <f aca="false">IFERROR(AVERAGEIFS(Pedidos!$M$2:$M$2224,Pedidos!$AJ$2:$AJ$2224,"SIM",Pedidos!$G$2:$G$2224,"Metropolitana",Pedidos!$H$2:$H$2224,$A41),"")</f>
        <v>79.65</v>
      </c>
      <c r="H41" s="12" t="n">
        <f aca="false">IFERROR(AVERAGEIFS(Pedidos!$U$2:$U$2224,Pedidos!$AJ$2:$AJ$2224,"SIM",Pedidos!$G$2:$G$2224,"Metropolitana",Pedidos!$H$2:$H$2224,$A41),"")</f>
        <v>102.420277777778</v>
      </c>
      <c r="I41" s="13" t="n">
        <f aca="false">IFERROR(H41/G41-1,"")</f>
        <v>0.285879193694636</v>
      </c>
      <c r="J41" s="14" t="n">
        <f aca="false">IFERROR(COUNTIFS(Pedidos!$AJ$2:$AJ$2224,"SIM",Pedidos!$G$2:$G$2224,"Metropolitana",Pedidos!$H$2:$H$2224,$A41,Pedidos!$AG$2:$AG$2224,"SIM")/B41,"")</f>
        <v>0</v>
      </c>
      <c r="K41" s="14" t="n">
        <f aca="false">IFERROR(MAX(0,1-C41/D41),"")</f>
        <v>0.226590046304447</v>
      </c>
    </row>
    <row r="42" customFormat="false" ht="15" hidden="false" customHeight="false" outlineLevel="0" collapsed="false">
      <c r="A42" s="4" t="s">
        <v>170</v>
      </c>
      <c r="B42" s="10" t="n">
        <f aca="false">COUNTIFS(Pedidos!$AJ$2:$AJ$2224,"SIM",Pedidos!$G$2:$G$2224,"Metropolitana",Pedidos!$H$2:$H$2224,$A42)</f>
        <v>89</v>
      </c>
      <c r="C42" s="12" t="n">
        <f aca="false">IFERROR(AVERAGEIFS(Pedidos!$T$2:$T$2224,Pedidos!$AJ$2:$AJ$2224,"SIM",Pedidos!$G$2:$G$2224,"Metropolitana",Pedidos!$H$2:$H$2224,$A42),"")</f>
        <v>117.028356782431</v>
      </c>
      <c r="D42" s="12" t="n">
        <f aca="false">IFERROR(AVERAGEIFS(Pedidos!$AC$2:$AC$2224,Pedidos!$AJ$2:$AJ$2224,"SIM",Pedidos!$G$2:$G$2224,"Metropolitana",Pedidos!$H$2:$H$2224,$A42),"")</f>
        <v>152.123087078652</v>
      </c>
      <c r="E42" s="13" t="n">
        <f aca="false">IFERROR(D42/C42-1,"")</f>
        <v>0.299882278629834</v>
      </c>
      <c r="F42" s="13" t="n">
        <f aca="false">IFERROR(AVERAGEIFS(Pedidos!$AD$2:$AD$2224,Pedidos!$AJ$2:$AJ$2224,"SIM",Pedidos!$G$2:$G$2224,"Metropolitana",Pedidos!$H$2:$H$2224,$A42)/C42-1,"")</f>
        <v>0.0957398801971423</v>
      </c>
      <c r="G42" s="12" t="n">
        <f aca="false">IFERROR(AVERAGEIFS(Pedidos!$M$2:$M$2224,Pedidos!$AJ$2:$AJ$2224,"SIM",Pedidos!$G$2:$G$2224,"Metropolitana",Pedidos!$H$2:$H$2224,$A42),"")</f>
        <v>82.25</v>
      </c>
      <c r="H42" s="12" t="n">
        <f aca="false">IFERROR(AVERAGEIFS(Pedidos!$U$2:$U$2224,Pedidos!$AJ$2:$AJ$2224,"SIM",Pedidos!$G$2:$G$2224,"Metropolitana",Pedidos!$H$2:$H$2224,$A42),"")</f>
        <v>102.69202247191</v>
      </c>
      <c r="I42" s="13" t="n">
        <f aca="false">IFERROR(H42/G42-1,"")</f>
        <v>0.248535227622007</v>
      </c>
      <c r="J42" s="14" t="n">
        <f aca="false">IFERROR(COUNTIFS(Pedidos!$AJ$2:$AJ$2224,"SIM",Pedidos!$G$2:$G$2224,"Metropolitana",Pedidos!$H$2:$H$2224,$A42,Pedidos!$AG$2:$AG$2224,"SIM")/B42,"")</f>
        <v>0</v>
      </c>
      <c r="K42" s="14" t="n">
        <f aca="false">IFERROR(MAX(0,1-C42/D42),"")</f>
        <v>0.230699566845338</v>
      </c>
    </row>
    <row r="43" customFormat="false" ht="15" hidden="false" customHeight="false" outlineLevel="0" collapsed="false">
      <c r="A43" s="4" t="s">
        <v>171</v>
      </c>
      <c r="B43" s="10" t="n">
        <f aca="false">COUNTIFS(Pedidos!$AJ$2:$AJ$2224,"SIM",Pedidos!$G$2:$G$2224,"Metropolitana",Pedidos!$H$2:$H$2224,$A43)</f>
        <v>116</v>
      </c>
      <c r="C43" s="12" t="n">
        <f aca="false">IFERROR(AVERAGEIFS(Pedidos!$T$2:$T$2224,Pedidos!$AJ$2:$AJ$2224,"SIM",Pedidos!$G$2:$G$2224,"Metropolitana",Pedidos!$H$2:$H$2224,$A43),"")</f>
        <v>128.586165654389</v>
      </c>
      <c r="D43" s="12" t="n">
        <f aca="false">IFERROR(AVERAGEIFS(Pedidos!$AC$2:$AC$2224,Pedidos!$AJ$2:$AJ$2224,"SIM",Pedidos!$G$2:$G$2224,"Metropolitana",Pedidos!$H$2:$H$2224,$A43),"")</f>
        <v>174.565962970219</v>
      </c>
      <c r="E43" s="13" t="n">
        <f aca="false">IFERROR(D43/C43-1,"")</f>
        <v>0.357579659381199</v>
      </c>
      <c r="F43" s="13" t="n">
        <f aca="false">IFERROR(AVERAGEIFS(Pedidos!$AD$2:$AD$2224,Pedidos!$AJ$2:$AJ$2224,"SIM",Pedidos!$G$2:$G$2224,"Metropolitana",Pedidos!$H$2:$H$2224,$A43)/C43-1,"")</f>
        <v>0.141254533316998</v>
      </c>
      <c r="G43" s="12" t="n">
        <f aca="false">IFERROR(AVERAGEIFS(Pedidos!$M$2:$M$2224,Pedidos!$AJ$2:$AJ$2224,"SIM",Pedidos!$G$2:$G$2224,"Metropolitana",Pedidos!$H$2:$H$2224,$A43),"")</f>
        <v>91.6</v>
      </c>
      <c r="H43" s="12" t="n">
        <f aca="false">IFERROR(AVERAGEIFS(Pedidos!$U$2:$U$2224,Pedidos!$AJ$2:$AJ$2224,"SIM",Pedidos!$G$2:$G$2224,"Metropolitana",Pedidos!$H$2:$H$2224,$A43),"")</f>
        <v>118.308275862069</v>
      </c>
      <c r="I43" s="13" t="n">
        <f aca="false">IFERROR(H43/G43-1,"")</f>
        <v>0.291575063996386</v>
      </c>
      <c r="J43" s="14" t="n">
        <f aca="false">IFERROR(COUNTIFS(Pedidos!$AJ$2:$AJ$2224,"SIM",Pedidos!$G$2:$G$2224,"Metropolitana",Pedidos!$H$2:$H$2224,$A43,Pedidos!$AG$2:$AG$2224,"SIM")/B43,"")</f>
        <v>0</v>
      </c>
      <c r="K43" s="14" t="n">
        <f aca="false">IFERROR(MAX(0,1-C43/D43),"")</f>
        <v>0.26339497421771</v>
      </c>
    </row>
    <row r="44" customFormat="false" ht="15" hidden="false" customHeight="false" outlineLevel="0" collapsed="false">
      <c r="A44" s="4" t="s">
        <v>172</v>
      </c>
      <c r="B44" s="10" t="n">
        <f aca="false">COUNTIFS(Pedidos!$AJ$2:$AJ$2224,"SIM",Pedidos!$G$2:$G$2224,"Metropolitana",Pedidos!$H$2:$H$2224,$A44)</f>
        <v>69</v>
      </c>
      <c r="C44" s="12" t="n">
        <f aca="false">IFERROR(AVERAGEIFS(Pedidos!$T$2:$T$2224,Pedidos!$AJ$2:$AJ$2224,"SIM",Pedidos!$G$2:$G$2224,"Metropolitana",Pedidos!$H$2:$H$2224,$A44),"")</f>
        <v>139.920206212121</v>
      </c>
      <c r="D44" s="12" t="n">
        <f aca="false">IFERROR(AVERAGEIFS(Pedidos!$AC$2:$AC$2224,Pedidos!$AJ$2:$AJ$2224,"SIM",Pedidos!$G$2:$G$2224,"Metropolitana",Pedidos!$H$2:$H$2224,$A44),"")</f>
        <v>204.090882411067</v>
      </c>
      <c r="E44" s="13" t="n">
        <f aca="false">IFERROR(D44/C44-1,"")</f>
        <v>0.4586233678191</v>
      </c>
      <c r="F44" s="13" t="n">
        <f aca="false">IFERROR(AVERAGEIFS(Pedidos!$AD$2:$AD$2224,Pedidos!$AJ$2:$AJ$2224,"SIM",Pedidos!$G$2:$G$2224,"Metropolitana",Pedidos!$H$2:$H$2224,$A44)/C44-1,"")</f>
        <v>0.215454704712752</v>
      </c>
      <c r="G44" s="12" t="n">
        <f aca="false">IFERROR(AVERAGEIFS(Pedidos!$M$2:$M$2224,Pedidos!$AJ$2:$AJ$2224,"SIM",Pedidos!$G$2:$G$2224,"Metropolitana",Pedidos!$H$2:$H$2224,$A44),"")</f>
        <v>100.9</v>
      </c>
      <c r="H44" s="12" t="n">
        <f aca="false">IFERROR(AVERAGEIFS(Pedidos!$U$2:$U$2224,Pedidos!$AJ$2:$AJ$2224,"SIM",Pedidos!$G$2:$G$2224,"Metropolitana",Pedidos!$H$2:$H$2224,$A44),"")</f>
        <v>137.98347826087</v>
      </c>
      <c r="I44" s="13" t="n">
        <f aca="false">IFERROR(H44/G44-1,"")</f>
        <v>0.367527039255397</v>
      </c>
      <c r="J44" s="14" t="n">
        <f aca="false">IFERROR(COUNTIFS(Pedidos!$AJ$2:$AJ$2224,"SIM",Pedidos!$G$2:$G$2224,"Metropolitana",Pedidos!$H$2:$H$2224,$A44,Pedidos!$AG$2:$AG$2224,"SIM")/B44,"")</f>
        <v>0</v>
      </c>
      <c r="K44" s="14" t="n">
        <f aca="false">IFERROR(MAX(0,1-C44/D44),"")</f>
        <v>0.314422062567682</v>
      </c>
    </row>
    <row r="45" customFormat="false" ht="15" hidden="false" customHeight="false" outlineLevel="0" collapsed="false">
      <c r="A45" s="4" t="s">
        <v>173</v>
      </c>
      <c r="B45" s="10" t="n">
        <f aca="false">COUNTIFS(Pedidos!$AJ$2:$AJ$2224,"SIM",Pedidos!$G$2:$G$2224,"Metropolitana",Pedidos!$H$2:$H$2224,$A45)</f>
        <v>9</v>
      </c>
      <c r="C45" s="12" t="n">
        <f aca="false">IFERROR(AVERAGEIFS(Pedidos!$T$2:$T$2224,Pedidos!$AJ$2:$AJ$2224,"SIM",Pedidos!$G$2:$G$2224,"Metropolitana",Pedidos!$H$2:$H$2224,$A45),"")</f>
        <v>152.15189219697</v>
      </c>
      <c r="D45" s="12" t="n">
        <f aca="false">IFERROR(AVERAGEIFS(Pedidos!$AC$2:$AC$2224,Pedidos!$AJ$2:$AJ$2224,"SIM",Pedidos!$G$2:$G$2224,"Metropolitana",Pedidos!$H$2:$H$2224,$A45),"")</f>
        <v>207.516178030303</v>
      </c>
      <c r="E45" s="13" t="n">
        <f aca="false">IFERROR(D45/C45-1,"")</f>
        <v>0.363875105553475</v>
      </c>
      <c r="F45" s="13" t="n">
        <f aca="false">IFERROR(AVERAGEIFS(Pedidos!$AD$2:$AD$2224,Pedidos!$AJ$2:$AJ$2224,"SIM",Pedidos!$G$2:$G$2224,"Metropolitana",Pedidos!$H$2:$H$2224,$A45)/C45-1,"")</f>
        <v>0.117784299336558</v>
      </c>
      <c r="G45" s="12" t="n">
        <f aca="false">IFERROR(AVERAGEIFS(Pedidos!$M$2:$M$2224,Pedidos!$AJ$2:$AJ$2224,"SIM",Pedidos!$G$2:$G$2224,"Metropolitana",Pedidos!$H$2:$H$2224,$A45),"")</f>
        <v>110.55</v>
      </c>
      <c r="H45" s="12" t="n">
        <f aca="false">IFERROR(AVERAGEIFS(Pedidos!$U$2:$U$2224,Pedidos!$AJ$2:$AJ$2224,"SIM",Pedidos!$G$2:$G$2224,"Metropolitana",Pedidos!$H$2:$H$2224,$A45),"")</f>
        <v>137.173333333333</v>
      </c>
      <c r="I45" s="13" t="n">
        <f aca="false">IFERROR(H45/G45-1,"")</f>
        <v>0.240826172169456</v>
      </c>
      <c r="J45" s="14" t="n">
        <f aca="false">IFERROR(COUNTIFS(Pedidos!$AJ$2:$AJ$2224,"SIM",Pedidos!$G$2:$G$2224,"Metropolitana",Pedidos!$H$2:$H$2224,$A45,Pedidos!$AG$2:$AG$2224,"SIM")/B45,"")</f>
        <v>0</v>
      </c>
      <c r="K45" s="14" t="n">
        <f aca="false">IFERROR(MAX(0,1-C45/D45),"")</f>
        <v>0.266795034290043</v>
      </c>
    </row>
    <row r="46" customFormat="false" ht="15" hidden="false" customHeight="false" outlineLevel="0" collapsed="false">
      <c r="A46" s="4" t="s">
        <v>174</v>
      </c>
      <c r="B46" s="10" t="n">
        <f aca="false">COUNTIFS(Pedidos!$AJ$2:$AJ$2224,"SIM",Pedidos!$G$2:$G$2224,"Metropolitana",Pedidos!$H$2:$H$2224,$A46)</f>
        <v>11</v>
      </c>
      <c r="C46" s="12" t="n">
        <f aca="false">IFERROR(AVERAGEIFS(Pedidos!$T$2:$T$2224,Pedidos!$AJ$2:$AJ$2224,"SIM",Pedidos!$G$2:$G$2224,"Metropolitana",Pedidos!$H$2:$H$2224,$A46),"")</f>
        <v>173.455283409091</v>
      </c>
      <c r="D46" s="12" t="n">
        <f aca="false">IFERROR(AVERAGEIFS(Pedidos!$AC$2:$AC$2224,Pedidos!$AJ$2:$AJ$2224,"SIM",Pedidos!$G$2:$G$2224,"Metropolitana",Pedidos!$H$2:$H$2224,$A46),"")</f>
        <v>255.117810950413</v>
      </c>
      <c r="E46" s="13" t="n">
        <f aca="false">IFERROR(D46/C46-1,"")</f>
        <v>0.470798732309138</v>
      </c>
      <c r="F46" s="13" t="n">
        <f aca="false">IFERROR(AVERAGEIFS(Pedidos!$AD$2:$AD$2224,Pedidos!$AJ$2:$AJ$2224,"SIM",Pedidos!$G$2:$G$2224,"Metropolitana",Pedidos!$H$2:$H$2224,$A46)/C46-1,"")</f>
        <v>0.214581983606738</v>
      </c>
      <c r="G46" s="12" t="n">
        <f aca="false">IFERROR(AVERAGEIFS(Pedidos!$M$2:$M$2224,Pedidos!$AJ$2:$AJ$2224,"SIM",Pedidos!$G$2:$G$2224,"Metropolitana",Pedidos!$H$2:$H$2224,$A46),"")</f>
        <v>127.92</v>
      </c>
      <c r="H46" s="12" t="n">
        <f aca="false">IFERROR(AVERAGEIFS(Pedidos!$U$2:$U$2224,Pedidos!$AJ$2:$AJ$2224,"SIM",Pedidos!$G$2:$G$2224,"Metropolitana",Pedidos!$H$2:$H$2224,$A46),"")</f>
        <v>171.782727272727</v>
      </c>
      <c r="I46" s="13" t="n">
        <f aca="false">IFERROR(H46/G46-1,"")</f>
        <v>0.342891864233327</v>
      </c>
      <c r="J46" s="14" t="n">
        <f aca="false">IFERROR(COUNTIFS(Pedidos!$AJ$2:$AJ$2224,"SIM",Pedidos!$G$2:$G$2224,"Metropolitana",Pedidos!$H$2:$H$2224,$A46,Pedidos!$AG$2:$AG$2224,"SIM")/B46,"")</f>
        <v>0</v>
      </c>
      <c r="K46" s="14" t="n">
        <f aca="false">IFERROR(MAX(0,1-C46/D46),"")</f>
        <v>0.320097319889574</v>
      </c>
    </row>
    <row r="47" customFormat="false" ht="15" hidden="false" customHeight="false" outlineLevel="0" collapsed="false">
      <c r="A47" s="4" t="s">
        <v>175</v>
      </c>
      <c r="B47" s="10" t="n">
        <f aca="false">COUNTIFS(Pedidos!$AJ$2:$AJ$2224,"SIM",Pedidos!$G$2:$G$2224,"Metropolitana",Pedidos!$H$2:$H$2224,$A47)</f>
        <v>18</v>
      </c>
      <c r="C47" s="12" t="n">
        <f aca="false">IFERROR(AVERAGEIFS(Pedidos!$T$2:$T$2224,Pedidos!$AJ$2:$AJ$2224,"SIM",Pedidos!$G$2:$G$2224,"Metropolitana",Pedidos!$H$2:$H$2224,$A47),"")</f>
        <v>195.584835530303</v>
      </c>
      <c r="D47" s="12" t="n">
        <f aca="false">IFERROR(AVERAGEIFS(Pedidos!$AC$2:$AC$2224,Pedidos!$AJ$2:$AJ$2224,"SIM",Pedidos!$G$2:$G$2224,"Metropolitana",Pedidos!$H$2:$H$2224,$A47),"")</f>
        <v>311.737059343434</v>
      </c>
      <c r="E47" s="13" t="n">
        <f aca="false">IFERROR(D47/C47-1,"")</f>
        <v>0.593871316752137</v>
      </c>
      <c r="F47" s="13" t="n">
        <f aca="false">IFERROR(AVERAGEIFS(Pedidos!$AD$2:$AD$2224,Pedidos!$AJ$2:$AJ$2224,"SIM",Pedidos!$G$2:$G$2224,"Metropolitana",Pedidos!$H$2:$H$2224,$A47)/C47-1,"")</f>
        <v>0.304965064562524</v>
      </c>
      <c r="G47" s="12" t="n">
        <f aca="false">IFERROR(AVERAGEIFS(Pedidos!$M$2:$M$2224,Pedidos!$AJ$2:$AJ$2224,"SIM",Pedidos!$G$2:$G$2224,"Metropolitana",Pedidos!$H$2:$H$2224,$A47),"")</f>
        <v>144.44</v>
      </c>
      <c r="H47" s="12" t="n">
        <f aca="false">IFERROR(AVERAGEIFS(Pedidos!$U$2:$U$2224,Pedidos!$AJ$2:$AJ$2224,"SIM",Pedidos!$G$2:$G$2224,"Metropolitana",Pedidos!$H$2:$H$2224,$A47),"")</f>
        <v>204.372222222222</v>
      </c>
      <c r="I47" s="13" t="n">
        <f aca="false">IFERROR(H47/G47-1,"")</f>
        <v>0.414928151635435</v>
      </c>
      <c r="J47" s="14" t="n">
        <f aca="false">IFERROR(COUNTIFS(Pedidos!$AJ$2:$AJ$2224,"SIM",Pedidos!$G$2:$G$2224,"Metropolitana",Pedidos!$H$2:$H$2224,$A47,Pedidos!$AG$2:$AG$2224,"SIM")/B47,"")</f>
        <v>0</v>
      </c>
      <c r="K47" s="14" t="n">
        <f aca="false">IFERROR(MAX(0,1-C47/D47),"")</f>
        <v>0.372596777738796</v>
      </c>
    </row>
    <row r="48" customFormat="false" ht="15" hidden="false" customHeight="false" outlineLevel="0" collapsed="false">
      <c r="A48" s="4" t="s">
        <v>176</v>
      </c>
      <c r="B48" s="10" t="n">
        <f aca="false">COUNTIFS(Pedidos!$AJ$2:$AJ$2224,"SIM",Pedidos!$G$2:$G$2224,"Metropolitana",Pedidos!$H$2:$H$2224,$A48)</f>
        <v>18</v>
      </c>
      <c r="C48" s="12" t="n">
        <f aca="false">IFERROR(AVERAGEIFS(Pedidos!$T$2:$T$2224,Pedidos!$AJ$2:$AJ$2224,"SIM",Pedidos!$G$2:$G$2224,"Metropolitana",Pedidos!$H$2:$H$2224,$A48),"")</f>
        <v>244.323424482323</v>
      </c>
      <c r="D48" s="12" t="n">
        <f aca="false">IFERROR(AVERAGEIFS(Pedidos!$AC$2:$AC$2224,Pedidos!$AJ$2:$AJ$2224,"SIM",Pedidos!$G$2:$G$2224,"Metropolitana",Pedidos!$H$2:$H$2224,$A48),"")</f>
        <v>367.450054924242</v>
      </c>
      <c r="E48" s="13" t="n">
        <f aca="false">IFERROR(D48/C48-1,"")</f>
        <v>0.503949347889184</v>
      </c>
      <c r="F48" s="13" t="n">
        <f aca="false">IFERROR(AVERAGEIFS(Pedidos!$AD$2:$AD$2224,Pedidos!$AJ$2:$AJ$2224,"SIM",Pedidos!$G$2:$G$2224,"Metropolitana",Pedidos!$H$2:$H$2224,$A48)/C48-1,"")</f>
        <v>0.230815674002411</v>
      </c>
      <c r="G48" s="12" t="n">
        <f aca="false">IFERROR(AVERAGEIFS(Pedidos!$M$2:$M$2224,Pedidos!$AJ$2:$AJ$2224,"SIM",Pedidos!$G$2:$G$2224,"Metropolitana",Pedidos!$H$2:$H$2224,$A48),"")</f>
        <v>183.45</v>
      </c>
      <c r="H48" s="12" t="n">
        <f aca="false">IFERROR(AVERAGEIFS(Pedidos!$U$2:$U$2224,Pedidos!$AJ$2:$AJ$2224,"SIM",Pedidos!$G$2:$G$2224,"Metropolitana",Pedidos!$H$2:$H$2224,$A48),"")</f>
        <v>241.966666666667</v>
      </c>
      <c r="I48" s="13" t="n">
        <f aca="false">IFERROR(H48/G48-1,"")</f>
        <v>0.318978831652585</v>
      </c>
      <c r="J48" s="14" t="n">
        <f aca="false">IFERROR(COUNTIFS(Pedidos!$AJ$2:$AJ$2224,"SIM",Pedidos!$G$2:$G$2224,"Metropolitana",Pedidos!$H$2:$H$2224,$A48,Pedidos!$AG$2:$AG$2224,"SIM")/B48,"")</f>
        <v>0</v>
      </c>
      <c r="K48" s="14" t="n">
        <f aca="false">IFERROR(MAX(0,1-C48/D48),"")</f>
        <v>0.335083989761015</v>
      </c>
    </row>
    <row r="49" customFormat="false" ht="15" hidden="false" customHeight="false" outlineLevel="0" collapsed="false">
      <c r="A49" s="4" t="s">
        <v>177</v>
      </c>
      <c r="B49" s="10" t="n">
        <f aca="false">COUNTIFS(Pedidos!$AJ$2:$AJ$2224,"SIM",Pedidos!$G$2:$G$2224,"Metropolitana",Pedidos!$H$2:$H$2224,$A49)</f>
        <v>1</v>
      </c>
      <c r="C49" s="12" t="n">
        <f aca="false">IFERROR(AVERAGEIFS(Pedidos!$T$2:$T$2224,Pedidos!$AJ$2:$AJ$2224,"SIM",Pedidos!$G$2:$G$2224,"Metropolitana",Pedidos!$H$2:$H$2224,$A49),"")</f>
        <v>267.694213409091</v>
      </c>
      <c r="D49" s="12" t="n">
        <f aca="false">IFERROR(AVERAGEIFS(Pedidos!$AC$2:$AC$2224,Pedidos!$AJ$2:$AJ$2224,"SIM",Pedidos!$G$2:$G$2224,"Metropolitana",Pedidos!$H$2:$H$2224,$A49),"")</f>
        <v>435.306784090909</v>
      </c>
      <c r="E49" s="13" t="n">
        <f aca="false">IFERROR(D49/C49-1,"")</f>
        <v>0.626134455979712</v>
      </c>
      <c r="F49" s="13" t="n">
        <f aca="false">IFERROR(AVERAGEIFS(Pedidos!$AD$2:$AD$2224,Pedidos!$AJ$2:$AJ$2224,"SIM",Pedidos!$G$2:$G$2224,"Metropolitana",Pedidos!$H$2:$H$2224,$A49)/C49-1,"")</f>
        <v>0.309032481471806</v>
      </c>
      <c r="G49" s="12" t="n">
        <f aca="false">IFERROR(AVERAGEIFS(Pedidos!$M$2:$M$2224,Pedidos!$AJ$2:$AJ$2224,"SIM",Pedidos!$G$2:$G$2224,"Metropolitana",Pedidos!$H$2:$H$2224,$A49),"")</f>
        <v>201.15</v>
      </c>
      <c r="H49" s="12" t="n">
        <f aca="false">IFERROR(AVERAGEIFS(Pedidos!$U$2:$U$2224,Pedidos!$AJ$2:$AJ$2224,"SIM",Pedidos!$G$2:$G$2224,"Metropolitana",Pedidos!$H$2:$H$2224,$A49),"")</f>
        <v>282.23</v>
      </c>
      <c r="I49" s="13" t="n">
        <f aca="false">IFERROR(H49/G49-1,"")</f>
        <v>0.40308227690778</v>
      </c>
      <c r="J49" s="14" t="n">
        <f aca="false">IFERROR(COUNTIFS(Pedidos!$AJ$2:$AJ$2224,"SIM",Pedidos!$G$2:$G$2224,"Metropolitana",Pedidos!$H$2:$H$2224,$A49,Pedidos!$AG$2:$AG$2224,"SIM")/B49,"")</f>
        <v>0</v>
      </c>
      <c r="K49" s="14" t="n">
        <f aca="false">IFERROR(MAX(0,1-C49/D49),"")</f>
        <v>0.385044701363566</v>
      </c>
    </row>
    <row r="50" customFormat="false" ht="15" hidden="false" customHeight="false" outlineLevel="0" collapsed="false">
      <c r="A50" s="4" t="s">
        <v>178</v>
      </c>
      <c r="B50" s="10" t="n">
        <f aca="false">COUNTIFS(Pedidos!$AJ$2:$AJ$2224,"SIM",Pedidos!$G$2:$G$2224,"Metropolitana",Pedidos!$H$2:$H$2224,$A50)</f>
        <v>0</v>
      </c>
      <c r="C50" s="12" t="str">
        <f aca="false">IFERROR(AVERAGEIFS(Pedidos!$T$2:$T$2224,Pedidos!$AJ$2:$AJ$2224,"SIM",Pedidos!$G$2:$G$2224,"Metropolitana",Pedidos!$H$2:$H$2224,$A50),"")</f>
        <v/>
      </c>
      <c r="D50" s="12" t="str">
        <f aca="false">IFERROR(AVERAGEIFS(Pedidos!$AC$2:$AC$2224,Pedidos!$AJ$2:$AJ$2224,"SIM",Pedidos!$G$2:$G$2224,"Metropolitana",Pedidos!$H$2:$H$2224,$A50),"")</f>
        <v/>
      </c>
      <c r="E50" s="13" t="str">
        <f aca="false">IFERROR(D50/C50-1,"")</f>
        <v/>
      </c>
      <c r="F50" s="13" t="str">
        <f aca="false">IFERROR(AVERAGEIFS(Pedidos!$AD$2:$AD$2224,Pedidos!$AJ$2:$AJ$2224,"SIM",Pedidos!$G$2:$G$2224,"Metropolitana",Pedidos!$H$2:$H$2224,$A50)/C50-1,"")</f>
        <v/>
      </c>
      <c r="G50" s="12" t="str">
        <f aca="false">IFERROR(AVERAGEIFS(Pedidos!$M$2:$M$2224,Pedidos!$AJ$2:$AJ$2224,"SIM",Pedidos!$G$2:$G$2224,"Metropolitana",Pedidos!$H$2:$H$2224,$A50),"")</f>
        <v/>
      </c>
      <c r="H50" s="12" t="str">
        <f aca="false">IFERROR(AVERAGEIFS(Pedidos!$U$2:$U$2224,Pedidos!$AJ$2:$AJ$2224,"SIM",Pedidos!$G$2:$G$2224,"Metropolitana",Pedidos!$H$2:$H$2224,$A50),"")</f>
        <v/>
      </c>
      <c r="I50" s="13" t="str">
        <f aca="false">IFERROR(H50/G50-1,"")</f>
        <v/>
      </c>
      <c r="J50" s="14" t="str">
        <f aca="false">IFERROR(COUNTIFS(Pedidos!$AJ$2:$AJ$2224,"SIM",Pedidos!$G$2:$G$2224,"Metropolitana",Pedidos!$H$2:$H$2224,$A50,Pedidos!$AG$2:$AG$2224,"SIM")/B50,"")</f>
        <v/>
      </c>
      <c r="K50" s="14" t="str">
        <f aca="false">IFERROR(MAX(0,1-C50/D50),"")</f>
        <v/>
      </c>
    </row>
    <row r="51" customFormat="false" ht="15" hidden="false" customHeight="false" outlineLevel="0" collapsed="false">
      <c r="A51" s="4" t="s">
        <v>179</v>
      </c>
      <c r="B51" s="10" t="n">
        <f aca="false">COUNTIFS(Pedidos!$AJ$2:$AJ$2224,"SIM",Pedidos!$G$2:$G$2224,"Metropolitana",Pedidos!$H$2:$H$2224,$A51)</f>
        <v>0</v>
      </c>
      <c r="C51" s="12" t="str">
        <f aca="false">IFERROR(AVERAGEIFS(Pedidos!$T$2:$T$2224,Pedidos!$AJ$2:$AJ$2224,"SIM",Pedidos!$G$2:$G$2224,"Metropolitana",Pedidos!$H$2:$H$2224,$A51),"")</f>
        <v/>
      </c>
      <c r="D51" s="12" t="str">
        <f aca="false">IFERROR(AVERAGEIFS(Pedidos!$AC$2:$AC$2224,Pedidos!$AJ$2:$AJ$2224,"SIM",Pedidos!$G$2:$G$2224,"Metropolitana",Pedidos!$H$2:$H$2224,$A51),"")</f>
        <v/>
      </c>
      <c r="E51" s="13" t="str">
        <f aca="false">IFERROR(D51/C51-1,"")</f>
        <v/>
      </c>
      <c r="F51" s="13" t="str">
        <f aca="false">IFERROR(AVERAGEIFS(Pedidos!$AD$2:$AD$2224,Pedidos!$AJ$2:$AJ$2224,"SIM",Pedidos!$G$2:$G$2224,"Metropolitana",Pedidos!$H$2:$H$2224,$A51)/C51-1,"")</f>
        <v/>
      </c>
      <c r="G51" s="12" t="str">
        <f aca="false">IFERROR(AVERAGEIFS(Pedidos!$M$2:$M$2224,Pedidos!$AJ$2:$AJ$2224,"SIM",Pedidos!$G$2:$G$2224,"Metropolitana",Pedidos!$H$2:$H$2224,$A51),"")</f>
        <v/>
      </c>
      <c r="H51" s="12" t="str">
        <f aca="false">IFERROR(AVERAGEIFS(Pedidos!$U$2:$U$2224,Pedidos!$AJ$2:$AJ$2224,"SIM",Pedidos!$G$2:$G$2224,"Metropolitana",Pedidos!$H$2:$H$2224,$A51),"")</f>
        <v/>
      </c>
      <c r="I51" s="13" t="str">
        <f aca="false">IFERROR(H51/G51-1,"")</f>
        <v/>
      </c>
      <c r="J51" s="14" t="str">
        <f aca="false">IFERROR(COUNTIFS(Pedidos!$AJ$2:$AJ$2224,"SIM",Pedidos!$G$2:$G$2224,"Metropolitana",Pedidos!$H$2:$H$2224,$A51,Pedidos!$AG$2:$AG$2224,"SIM")/B51,"")</f>
        <v/>
      </c>
      <c r="K51" s="14" t="str">
        <f aca="false">IFERROR(MAX(0,1-C51/D51),"")</f>
        <v/>
      </c>
    </row>
    <row r="52" customFormat="false" ht="15" hidden="false" customHeight="false" outlineLevel="0" collapsed="false">
      <c r="A52" s="21" t="s">
        <v>52</v>
      </c>
      <c r="B52" s="28" t="n">
        <f aca="false">COUNTIFS(Pedidos!$AJ$2:$AJ$2224,"SIM",Pedidos!$G$2:$G$2224,"Metropolitana")</f>
        <v>511</v>
      </c>
      <c r="C52" s="22" t="n">
        <f aca="false">IFERROR(AVERAGEIFS(Pedidos!$T$2:$T$2224,Pedidos!$AJ$2:$AJ$2224,"SIM",Pedidos!$G$2:$G$2224,"Metropolitana"),"")</f>
        <v>127.079236612258</v>
      </c>
      <c r="D52" s="22" t="n">
        <f aca="false">IFERROR(AVERAGEIFS(Pedidos!$AC$2:$AC$2224,Pedidos!$AJ$2:$AJ$2224,"SIM",Pedidos!$G$2:$G$2224,"Metropolitana"),"")</f>
        <v>172.875075097847</v>
      </c>
      <c r="E52" s="23" t="n">
        <f aca="false">IFERROR(D52/C52-1,"")</f>
        <v>0.360372313419866</v>
      </c>
      <c r="F52" s="23" t="n">
        <f aca="false">IFERROR(AVERAGEIFS(Pedidos!$AD$2:$AD$2224,Pedidos!$AJ$2:$AJ$2224,"SIM",Pedidos!$G$2:$G$2224,"Metropolitana")/C52-1,"")</f>
        <v>0.14907820411312</v>
      </c>
      <c r="G52" s="22" t="n">
        <f aca="false">IFERROR(AVERAGEIFS(Pedidos!$M$2:$M$2224,Pedidos!$AJ$2:$AJ$2224,"SIM",Pedidos!$G$2:$G$2224,"Metropolitana"),"")</f>
        <v>90.4042074363992</v>
      </c>
      <c r="H52" s="22" t="n">
        <f aca="false">IFERROR(AVERAGEIFS(Pedidos!$U$2:$U$2224,Pedidos!$AJ$2:$AJ$2224,"SIM",Pedidos!$G$2:$G$2224,"Metropolitana"),"")</f>
        <v>117.557397260274</v>
      </c>
      <c r="I52" s="23" t="n">
        <f aca="false">IFERROR(H52/G52-1,"")</f>
        <v>0.300353164900842</v>
      </c>
      <c r="J52" s="29" t="n">
        <f aca="false">IFERROR(COUNTIFS(Pedidos!$AJ$2:$AJ$2224,"SIM",Pedidos!$G$2:$G$2224,"Metropolitana",Pedidos!$AG$2:$AG$2224,"SIM")/B52,"")</f>
        <v>0.0273972602739726</v>
      </c>
      <c r="K52" s="29" t="n">
        <f aca="false">IFERROR(MAX(0,1-C52/D52),"")</f>
        <v>0.264907121282055</v>
      </c>
    </row>
    <row r="54" customFormat="false" ht="15" hidden="false" customHeight="false" outlineLevel="0" collapsed="false">
      <c r="A54" s="2" t="s">
        <v>182</v>
      </c>
    </row>
    <row r="55" customFormat="false" ht="45" hidden="false" customHeight="true" outlineLevel="0" collapsed="false">
      <c r="A55" s="3" t="s">
        <v>163</v>
      </c>
      <c r="B55" s="3" t="s">
        <v>29</v>
      </c>
      <c r="C55" s="3" t="s">
        <v>127</v>
      </c>
      <c r="D55" s="3" t="s">
        <v>128</v>
      </c>
      <c r="E55" s="3" t="s">
        <v>129</v>
      </c>
      <c r="F55" s="3" t="s">
        <v>130</v>
      </c>
      <c r="G55" s="3" t="s">
        <v>164</v>
      </c>
      <c r="H55" s="3" t="s">
        <v>165</v>
      </c>
      <c r="I55" s="3" t="s">
        <v>134</v>
      </c>
      <c r="J55" s="3" t="s">
        <v>133</v>
      </c>
      <c r="K55" s="3" t="s">
        <v>166</v>
      </c>
    </row>
    <row r="56" customFormat="false" ht="15" hidden="false" customHeight="false" outlineLevel="0" collapsed="false">
      <c r="A56" s="4" t="s">
        <v>167</v>
      </c>
      <c r="B56" s="10" t="n">
        <f aca="false">COUNTIFS(Pedidos!$AJ$2:$AJ$2224,"SIM",Pedidos!$G$2:$G$2224,"Interior",Pedidos!$H$2:$H$2224,$A56)</f>
        <v>8</v>
      </c>
      <c r="C56" s="12" t="n">
        <f aca="false">IFERROR(AVERAGEIFS(Pedidos!$T$2:$T$2224,Pedidos!$AJ$2:$AJ$2224,"SIM",Pedidos!$G$2:$G$2224,"Interior",Pedidos!$H$2:$H$2224,$A56),"")</f>
        <v>80.0943232102273</v>
      </c>
      <c r="D56" s="12" t="n">
        <f aca="false">IFERROR(AVERAGEIFS(Pedidos!$AC$2:$AC$2224,Pedidos!$AJ$2:$AJ$2224,"SIM",Pedidos!$G$2:$G$2224,"Interior",Pedidos!$H$2:$H$2224,$A56),"")</f>
        <v>115.537103693182</v>
      </c>
      <c r="E56" s="13" t="n">
        <f aca="false">IFERROR(D56/C56-1,"")</f>
        <v>0.442513015434643</v>
      </c>
      <c r="F56" s="13" t="n">
        <f aca="false">IFERROR(AVERAGEIFS(Pedidos!$AD$2:$AD$2224,Pedidos!$AJ$2:$AJ$2224,"SIM",Pedidos!$G$2:$G$2224,"Interior",Pedidos!$H$2:$H$2224,$A56)/C56-1,"")</f>
        <v>0.333178147222546</v>
      </c>
      <c r="G56" s="12" t="n">
        <f aca="false">IFERROR(AVERAGEIFS(Pedidos!$M$2:$M$2224,Pedidos!$AJ$2:$AJ$2224,"SIM",Pedidos!$G$2:$G$2224,"Interior",Pedidos!$H$2:$H$2224,$A56),"")</f>
        <v>52.71</v>
      </c>
      <c r="H56" s="12" t="n">
        <f aca="false">IFERROR(AVERAGEIFS(Pedidos!$U$2:$U$2224,Pedidos!$AJ$2:$AJ$2224,"SIM",Pedidos!$G$2:$G$2224,"Interior",Pedidos!$H$2:$H$2224,$A56),"")</f>
        <v>86.54</v>
      </c>
      <c r="I56" s="13" t="n">
        <f aca="false">IFERROR(H56/G56-1,"")</f>
        <v>0.64181369759059</v>
      </c>
      <c r="J56" s="14" t="n">
        <f aca="false">IFERROR(COUNTIFS(Pedidos!$AJ$2:$AJ$2224,"SIM",Pedidos!$G$2:$G$2224,"Interior",Pedidos!$H$2:$H$2224,$A56,Pedidos!$AG$2:$AG$2224,"SIM")/B56,"")</f>
        <v>0</v>
      </c>
      <c r="K56" s="14" t="n">
        <f aca="false">IFERROR(MAX(0,1-C56/D56),"")</f>
        <v>0.30676535372633</v>
      </c>
    </row>
    <row r="57" customFormat="false" ht="15" hidden="false" customHeight="false" outlineLevel="0" collapsed="false">
      <c r="A57" s="4" t="s">
        <v>168</v>
      </c>
      <c r="B57" s="10" t="n">
        <f aca="false">COUNTIFS(Pedidos!$AJ$2:$AJ$2224,"SIM",Pedidos!$G$2:$G$2224,"Interior",Pedidos!$H$2:$H$2224,$A57)</f>
        <v>84</v>
      </c>
      <c r="C57" s="12" t="n">
        <f aca="false">IFERROR(AVERAGEIFS(Pedidos!$T$2:$T$2224,Pedidos!$AJ$2:$AJ$2224,"SIM",Pedidos!$G$2:$G$2224,"Interior",Pedidos!$H$2:$H$2224,$A57),"")</f>
        <v>109.280292784091</v>
      </c>
      <c r="D57" s="12" t="n">
        <f aca="false">IFERROR(AVERAGEIFS(Pedidos!$AC$2:$AC$2224,Pedidos!$AJ$2:$AJ$2224,"SIM",Pedidos!$G$2:$G$2224,"Interior",Pedidos!$H$2:$H$2224,$A57),"")</f>
        <v>158.321475784632</v>
      </c>
      <c r="E57" s="13" t="n">
        <f aca="false">IFERROR(D57/C57-1,"")</f>
        <v>0.448765113554679</v>
      </c>
      <c r="F57" s="13" t="n">
        <f aca="false">IFERROR(AVERAGEIFS(Pedidos!$AD$2:$AD$2224,Pedidos!$AJ$2:$AJ$2224,"SIM",Pedidos!$G$2:$G$2224,"Interior",Pedidos!$H$2:$H$2224,$A57)/C57-1,"")</f>
        <v>0.30966507575394</v>
      </c>
      <c r="G57" s="12" t="n">
        <f aca="false">IFERROR(AVERAGEIFS(Pedidos!$M$2:$M$2224,Pedidos!$AJ$2:$AJ$2224,"SIM",Pedidos!$G$2:$G$2224,"Interior",Pedidos!$H$2:$H$2224,$A57),"")</f>
        <v>76.5</v>
      </c>
      <c r="H57" s="12" t="n">
        <f aca="false">IFERROR(AVERAGEIFS(Pedidos!$U$2:$U$2224,Pedidos!$AJ$2:$AJ$2224,"SIM",Pedidos!$G$2:$G$2224,"Interior",Pedidos!$H$2:$H$2224,$A57),"")</f>
        <v>117.347619047619</v>
      </c>
      <c r="I57" s="13" t="n">
        <f aca="false">IFERROR(H57/G57-1,"")</f>
        <v>0.53395580454404</v>
      </c>
      <c r="J57" s="14" t="n">
        <f aca="false">IFERROR(COUNTIFS(Pedidos!$AJ$2:$AJ$2224,"SIM",Pedidos!$G$2:$G$2224,"Interior",Pedidos!$H$2:$H$2224,$A57,Pedidos!$AG$2:$AG$2224,"SIM")/B57,"")</f>
        <v>0</v>
      </c>
      <c r="K57" s="14" t="n">
        <f aca="false">IFERROR(MAX(0,1-C57/D57),"")</f>
        <v>0.309756985004693</v>
      </c>
    </row>
    <row r="58" customFormat="false" ht="15" hidden="false" customHeight="false" outlineLevel="0" collapsed="false">
      <c r="A58" s="4" t="s">
        <v>169</v>
      </c>
      <c r="B58" s="10" t="n">
        <f aca="false">COUNTIFS(Pedidos!$AJ$2:$AJ$2224,"SIM",Pedidos!$G$2:$G$2224,"Interior",Pedidos!$H$2:$H$2224,$A58)</f>
        <v>64</v>
      </c>
      <c r="C58" s="12" t="n">
        <f aca="false">IFERROR(AVERAGEIFS(Pedidos!$T$2:$T$2224,Pedidos!$AJ$2:$AJ$2224,"SIM",Pedidos!$G$2:$G$2224,"Interior",Pedidos!$H$2:$H$2224,$A58),"")</f>
        <v>122.483854559659</v>
      </c>
      <c r="D58" s="12" t="n">
        <f aca="false">IFERROR(AVERAGEIFS(Pedidos!$AC$2:$AC$2224,Pedidos!$AJ$2:$AJ$2224,"SIM",Pedidos!$G$2:$G$2224,"Interior",Pedidos!$H$2:$H$2224,$A58),"")</f>
        <v>173.073475142045</v>
      </c>
      <c r="E58" s="13" t="n">
        <f aca="false">IFERROR(D58/C58-1,"")</f>
        <v>0.413030931825756</v>
      </c>
      <c r="F58" s="13" t="n">
        <f aca="false">IFERROR(AVERAGEIFS(Pedidos!$AD$2:$AD$2224,Pedidos!$AJ$2:$AJ$2224,"SIM",Pedidos!$G$2:$G$2224,"Interior",Pedidos!$H$2:$H$2224,$A58)/C58-1,"")</f>
        <v>0.253795832936196</v>
      </c>
      <c r="G58" s="12" t="n">
        <f aca="false">IFERROR(AVERAGEIFS(Pedidos!$M$2:$M$2224,Pedidos!$AJ$2:$AJ$2224,"SIM",Pedidos!$G$2:$G$2224,"Interior",Pedidos!$H$2:$H$2224,$A58),"")</f>
        <v>87.4</v>
      </c>
      <c r="H58" s="12" t="n">
        <f aca="false">IFERROR(AVERAGEIFS(Pedidos!$U$2:$U$2224,Pedidos!$AJ$2:$AJ$2224,"SIM",Pedidos!$G$2:$G$2224,"Interior",Pedidos!$H$2:$H$2224,$A58),"")</f>
        <v>125.95296875</v>
      </c>
      <c r="I58" s="13" t="n">
        <f aca="false">IFERROR(H58/G58-1,"")</f>
        <v>0.441109482265446</v>
      </c>
      <c r="J58" s="14" t="n">
        <f aca="false">IFERROR(COUNTIFS(Pedidos!$AJ$2:$AJ$2224,"SIM",Pedidos!$G$2:$G$2224,"Interior",Pedidos!$H$2:$H$2224,$A58,Pedidos!$AG$2:$AG$2224,"SIM")/B58,"")</f>
        <v>0</v>
      </c>
      <c r="K58" s="14" t="n">
        <f aca="false">IFERROR(MAX(0,1-C58/D58),"")</f>
        <v>0.292301408640846</v>
      </c>
    </row>
    <row r="59" customFormat="false" ht="15" hidden="false" customHeight="false" outlineLevel="0" collapsed="false">
      <c r="A59" s="4" t="s">
        <v>170</v>
      </c>
      <c r="B59" s="10" t="n">
        <f aca="false">COUNTIFS(Pedidos!$AJ$2:$AJ$2224,"SIM",Pedidos!$G$2:$G$2224,"Interior",Pedidos!$H$2:$H$2224,$A59)</f>
        <v>62</v>
      </c>
      <c r="C59" s="12" t="n">
        <f aca="false">IFERROR(AVERAGEIFS(Pedidos!$T$2:$T$2224,Pedidos!$AJ$2:$AJ$2224,"SIM",Pedidos!$G$2:$G$2224,"Interior",Pedidos!$H$2:$H$2224,$A59),"")</f>
        <v>131.01412</v>
      </c>
      <c r="D59" s="12" t="n">
        <f aca="false">IFERROR(AVERAGEIFS(Pedidos!$AC$2:$AC$2224,Pedidos!$AJ$2:$AJ$2224,"SIM",Pedidos!$G$2:$G$2224,"Interior",Pedidos!$H$2:$H$2224,$A59),"")</f>
        <v>184.438769794721</v>
      </c>
      <c r="E59" s="13" t="n">
        <f aca="false">IFERROR(D59/C59-1,"")</f>
        <v>0.407777801314251</v>
      </c>
      <c r="F59" s="13" t="n">
        <f aca="false">IFERROR(AVERAGEIFS(Pedidos!$AD$2:$AD$2224,Pedidos!$AJ$2:$AJ$2224,"SIM",Pedidos!$G$2:$G$2224,"Interior",Pedidos!$H$2:$H$2224,$A59)/C59-1,"")</f>
        <v>0.229241606411418</v>
      </c>
      <c r="G59" s="12" t="n">
        <f aca="false">IFERROR(AVERAGEIFS(Pedidos!$M$2:$M$2224,Pedidos!$AJ$2:$AJ$2224,"SIM",Pedidos!$G$2:$G$2224,"Interior",Pedidos!$H$2:$H$2224,$A59),"")</f>
        <v>94</v>
      </c>
      <c r="H59" s="12" t="n">
        <f aca="false">IFERROR(AVERAGEIFS(Pedidos!$U$2:$U$2224,Pedidos!$AJ$2:$AJ$2224,"SIM",Pedidos!$G$2:$G$2224,"Interior",Pedidos!$H$2:$H$2224,$A59),"")</f>
        <v>131.691290322581</v>
      </c>
      <c r="I59" s="13" t="n">
        <f aca="false">IFERROR(H59/G59-1,"")</f>
        <v>0.400971173644475</v>
      </c>
      <c r="J59" s="14" t="n">
        <f aca="false">IFERROR(COUNTIFS(Pedidos!$AJ$2:$AJ$2224,"SIM",Pedidos!$G$2:$G$2224,"Interior",Pedidos!$H$2:$H$2224,$A59,Pedidos!$AG$2:$AG$2224,"SIM")/B59,"")</f>
        <v>0</v>
      </c>
      <c r="K59" s="14" t="n">
        <f aca="false">IFERROR(MAX(0,1-C59/D59),"")</f>
        <v>0.289660627503548</v>
      </c>
    </row>
    <row r="60" customFormat="false" ht="15" hidden="false" customHeight="false" outlineLevel="0" collapsed="false">
      <c r="A60" s="4" t="s">
        <v>171</v>
      </c>
      <c r="B60" s="10" t="n">
        <f aca="false">COUNTIFS(Pedidos!$AJ$2:$AJ$2224,"SIM",Pedidos!$G$2:$G$2224,"Interior",Pedidos!$H$2:$H$2224,$A60)</f>
        <v>64</v>
      </c>
      <c r="C60" s="12" t="n">
        <f aca="false">IFERROR(AVERAGEIFS(Pedidos!$T$2:$T$2224,Pedidos!$AJ$2:$AJ$2224,"SIM",Pedidos!$G$2:$G$2224,"Interior",Pedidos!$H$2:$H$2224,$A60),"")</f>
        <v>143.174531044034</v>
      </c>
      <c r="D60" s="12" t="n">
        <f aca="false">IFERROR(AVERAGEIFS(Pedidos!$AC$2:$AC$2224,Pedidos!$AJ$2:$AJ$2224,"SIM",Pedidos!$G$2:$G$2224,"Interior",Pedidos!$H$2:$H$2224,$A60),"")</f>
        <v>205.075810724432</v>
      </c>
      <c r="E60" s="13" t="n">
        <f aca="false">IFERROR(D60/C60-1,"")</f>
        <v>0.432348401835237</v>
      </c>
      <c r="F60" s="13" t="n">
        <f aca="false">IFERROR(AVERAGEIFS(Pedidos!$AD$2:$AD$2224,Pedidos!$AJ$2:$AJ$2224,"SIM",Pedidos!$G$2:$G$2224,"Interior",Pedidos!$H$2:$H$2224,$A60)/C60-1,"")</f>
        <v>0.236077252039029</v>
      </c>
      <c r="G60" s="12" t="n">
        <f aca="false">IFERROR(AVERAGEIFS(Pedidos!$M$2:$M$2224,Pedidos!$AJ$2:$AJ$2224,"SIM",Pedidos!$G$2:$G$2224,"Interior",Pedidos!$H$2:$H$2224,$A60),"")</f>
        <v>103.6</v>
      </c>
      <c r="H60" s="12" t="n">
        <f aca="false">IFERROR(AVERAGEIFS(Pedidos!$U$2:$U$2224,Pedidos!$AJ$2:$AJ$2224,"SIM",Pedidos!$G$2:$G$2224,"Interior",Pedidos!$H$2:$H$2224,$A60),"")</f>
        <v>144.74671875</v>
      </c>
      <c r="I60" s="13" t="n">
        <f aca="false">IFERROR(H60/G60-1,"")</f>
        <v>0.397169099903475</v>
      </c>
      <c r="J60" s="14" t="n">
        <f aca="false">IFERROR(COUNTIFS(Pedidos!$AJ$2:$AJ$2224,"SIM",Pedidos!$G$2:$G$2224,"Interior",Pedidos!$H$2:$H$2224,$A60,Pedidos!$AG$2:$AG$2224,"SIM")/B60,"")</f>
        <v>0</v>
      </c>
      <c r="K60" s="14" t="n">
        <f aca="false">IFERROR(MAX(0,1-C60/D60),"")</f>
        <v>0.301845836726092</v>
      </c>
    </row>
    <row r="61" customFormat="false" ht="15" hidden="false" customHeight="false" outlineLevel="0" collapsed="false">
      <c r="A61" s="4" t="s">
        <v>172</v>
      </c>
      <c r="B61" s="10" t="n">
        <f aca="false">COUNTIFS(Pedidos!$AJ$2:$AJ$2224,"SIM",Pedidos!$G$2:$G$2224,"Interior",Pedidos!$H$2:$H$2224,$A61)</f>
        <v>47</v>
      </c>
      <c r="C61" s="12" t="n">
        <f aca="false">IFERROR(AVERAGEIFS(Pedidos!$T$2:$T$2224,Pedidos!$AJ$2:$AJ$2224,"SIM",Pedidos!$G$2:$G$2224,"Interior",Pedidos!$H$2:$H$2224,$A61),"")</f>
        <v>155.835784526112</v>
      </c>
      <c r="D61" s="12" t="n">
        <f aca="false">IFERROR(AVERAGEIFS(Pedidos!$AC$2:$AC$2224,Pedidos!$AJ$2:$AJ$2224,"SIM",Pedidos!$G$2:$G$2224,"Interior",Pedidos!$H$2:$H$2224,$A61),"")</f>
        <v>232.968936170213</v>
      </c>
      <c r="E61" s="13" t="n">
        <f aca="false">IFERROR(D61/C61-1,"")</f>
        <v>0.494964310531487</v>
      </c>
      <c r="F61" s="13" t="n">
        <f aca="false">IFERROR(AVERAGEIFS(Pedidos!$AD$2:$AD$2224,Pedidos!$AJ$2:$AJ$2224,"SIM",Pedidos!$G$2:$G$2224,"Interior",Pedidos!$H$2:$H$2224,$A61)/C61-1,"")</f>
        <v>0.279088352845603</v>
      </c>
      <c r="G61" s="12" t="n">
        <f aca="false">IFERROR(AVERAGEIFS(Pedidos!$M$2:$M$2224,Pedidos!$AJ$2:$AJ$2224,"SIM",Pedidos!$G$2:$G$2224,"Interior",Pedidos!$H$2:$H$2224,$A61),"")</f>
        <v>113.9</v>
      </c>
      <c r="H61" s="12" t="n">
        <f aca="false">IFERROR(AVERAGEIFS(Pedidos!$U$2:$U$2224,Pedidos!$AJ$2:$AJ$2224,"SIM",Pedidos!$G$2:$G$2224,"Interior",Pedidos!$H$2:$H$2224,$A61),"")</f>
        <v>163.571489361702</v>
      </c>
      <c r="I61" s="13" t="n">
        <f aca="false">IFERROR(H61/G61-1,"")</f>
        <v>0.436097360506603</v>
      </c>
      <c r="J61" s="14" t="n">
        <f aca="false">IFERROR(COUNTIFS(Pedidos!$AJ$2:$AJ$2224,"SIM",Pedidos!$G$2:$G$2224,"Interior",Pedidos!$H$2:$H$2224,$A61,Pedidos!$AG$2:$AG$2224,"SIM")/B61,"")</f>
        <v>0</v>
      </c>
      <c r="K61" s="14" t="n">
        <f aca="false">IFERROR(MAX(0,1-C61/D61),"")</f>
        <v>0.331087710284882</v>
      </c>
    </row>
    <row r="62" customFormat="false" ht="15" hidden="false" customHeight="false" outlineLevel="0" collapsed="false">
      <c r="A62" s="4" t="s">
        <v>173</v>
      </c>
      <c r="B62" s="10" t="n">
        <f aca="false">COUNTIFS(Pedidos!$AJ$2:$AJ$2224,"SIM",Pedidos!$G$2:$G$2224,"Interior",Pedidos!$H$2:$H$2224,$A62)</f>
        <v>4</v>
      </c>
      <c r="C62" s="12" t="n">
        <f aca="false">IFERROR(AVERAGEIFS(Pedidos!$T$2:$T$2224,Pedidos!$AJ$2:$AJ$2224,"SIM",Pedidos!$G$2:$G$2224,"Interior",Pedidos!$H$2:$H$2224,$A62),"")</f>
        <v>168.327839545455</v>
      </c>
      <c r="D62" s="12" t="n">
        <f aca="false">IFERROR(AVERAGEIFS(Pedidos!$AC$2:$AC$2224,Pedidos!$AJ$2:$AJ$2224,"SIM",Pedidos!$G$2:$G$2224,"Interior",Pedidos!$H$2:$H$2224,$A62),"")</f>
        <v>230.724</v>
      </c>
      <c r="E62" s="13" t="n">
        <f aca="false">IFERROR(D62/C62-1,"")</f>
        <v>0.370682357850237</v>
      </c>
      <c r="F62" s="13" t="n">
        <f aca="false">IFERROR(AVERAGEIFS(Pedidos!$AD$2:$AD$2224,Pedidos!$AJ$2:$AJ$2224,"SIM",Pedidos!$G$2:$G$2224,"Interior",Pedidos!$H$2:$H$2224,$A62)/C62-1,"")</f>
        <v>0.151193871411867</v>
      </c>
      <c r="G62" s="12" t="n">
        <f aca="false">IFERROR(AVERAGEIFS(Pedidos!$M$2:$M$2224,Pedidos!$AJ$2:$AJ$2224,"SIM",Pedidos!$G$2:$G$2224,"Interior",Pedidos!$H$2:$H$2224,$A62),"")</f>
        <v>124.16</v>
      </c>
      <c r="H62" s="12" t="n">
        <f aca="false">IFERROR(AVERAGEIFS(Pedidos!$U$2:$U$2224,Pedidos!$AJ$2:$AJ$2224,"SIM",Pedidos!$G$2:$G$2224,"Interior",Pedidos!$H$2:$H$2224,$A62),"")</f>
        <v>158.18</v>
      </c>
      <c r="I62" s="13" t="n">
        <f aca="false">IFERROR(H62/G62-1,"")</f>
        <v>0.274001288659794</v>
      </c>
      <c r="J62" s="14" t="n">
        <f aca="false">IFERROR(COUNTIFS(Pedidos!$AJ$2:$AJ$2224,"SIM",Pedidos!$G$2:$G$2224,"Interior",Pedidos!$H$2:$H$2224,$A62,Pedidos!$AG$2:$AG$2224,"SIM")/B62,"")</f>
        <v>0</v>
      </c>
      <c r="K62" s="14" t="n">
        <f aca="false">IFERROR(MAX(0,1-C62/D62),"")</f>
        <v>0.270436367497727</v>
      </c>
    </row>
    <row r="63" customFormat="false" ht="15" hidden="false" customHeight="false" outlineLevel="0" collapsed="false">
      <c r="A63" s="4" t="s">
        <v>174</v>
      </c>
      <c r="B63" s="10" t="n">
        <f aca="false">COUNTIFS(Pedidos!$AJ$2:$AJ$2224,"SIM",Pedidos!$G$2:$G$2224,"Interior",Pedidos!$H$2:$H$2224,$A63)</f>
        <v>13</v>
      </c>
      <c r="C63" s="12" t="n">
        <f aca="false">IFERROR(AVERAGEIFS(Pedidos!$T$2:$T$2224,Pedidos!$AJ$2:$AJ$2224,"SIM",Pedidos!$G$2:$G$2224,"Interior",Pedidos!$H$2:$H$2224,$A63),"")</f>
        <v>193.112733216783</v>
      </c>
      <c r="D63" s="12" t="n">
        <f aca="false">IFERROR(AVERAGEIFS(Pedidos!$AC$2:$AC$2224,Pedidos!$AJ$2:$AJ$2224,"SIM",Pedidos!$G$2:$G$2224,"Interior",Pedidos!$H$2:$H$2224,$A63),"")</f>
        <v>282.843155594406</v>
      </c>
      <c r="E63" s="13" t="n">
        <f aca="false">IFERROR(D63/C63-1,"")</f>
        <v>0.46465305981089</v>
      </c>
      <c r="F63" s="13" t="n">
        <f aca="false">IFERROR(AVERAGEIFS(Pedidos!$AD$2:$AD$2224,Pedidos!$AJ$2:$AJ$2224,"SIM",Pedidos!$G$2:$G$2224,"Interior",Pedidos!$H$2:$H$2224,$A63)/C63-1,"")</f>
        <v>0.23386917026655</v>
      </c>
      <c r="G63" s="12" t="n">
        <f aca="false">IFERROR(AVERAGEIFS(Pedidos!$M$2:$M$2224,Pedidos!$AJ$2:$AJ$2224,"SIM",Pedidos!$G$2:$G$2224,"Interior",Pedidos!$H$2:$H$2224,$A63),"")</f>
        <v>144.41</v>
      </c>
      <c r="H63" s="12" t="n">
        <f aca="false">IFERROR(AVERAGEIFS(Pedidos!$U$2:$U$2224,Pedidos!$AJ$2:$AJ$2224,"SIM",Pedidos!$G$2:$G$2224,"Interior",Pedidos!$H$2:$H$2224,$A63),"")</f>
        <v>196.126153846154</v>
      </c>
      <c r="I63" s="13" t="n">
        <f aca="false">IFERROR(H63/G63-1,"")</f>
        <v>0.358120309162481</v>
      </c>
      <c r="J63" s="14" t="n">
        <f aca="false">IFERROR(COUNTIFS(Pedidos!$AJ$2:$AJ$2224,"SIM",Pedidos!$G$2:$G$2224,"Interior",Pedidos!$H$2:$H$2224,$A63,Pedidos!$AG$2:$AG$2224,"SIM")/B63,"")</f>
        <v>0</v>
      </c>
      <c r="K63" s="14" t="n">
        <f aca="false">IFERROR(MAX(0,1-C63/D63),"")</f>
        <v>0.317244453693958</v>
      </c>
    </row>
    <row r="64" customFormat="false" ht="15" hidden="false" customHeight="false" outlineLevel="0" collapsed="false">
      <c r="A64" s="4" t="s">
        <v>175</v>
      </c>
      <c r="B64" s="10" t="n">
        <f aca="false">COUNTIFS(Pedidos!$AJ$2:$AJ$2224,"SIM",Pedidos!$G$2:$G$2224,"Interior",Pedidos!$H$2:$H$2224,$A64)</f>
        <v>8</v>
      </c>
      <c r="C64" s="12" t="n">
        <f aca="false">IFERROR(AVERAGEIFS(Pedidos!$T$2:$T$2224,Pedidos!$AJ$2:$AJ$2224,"SIM",Pedidos!$G$2:$G$2224,"Interior",Pedidos!$H$2:$H$2224,$A64),"")</f>
        <v>216.415608721591</v>
      </c>
      <c r="D64" s="12" t="n">
        <f aca="false">IFERROR(AVERAGEIFS(Pedidos!$AC$2:$AC$2224,Pedidos!$AJ$2:$AJ$2224,"SIM",Pedidos!$G$2:$G$2224,"Interior",Pedidos!$H$2:$H$2224,$A64),"")</f>
        <v>345.098538352273</v>
      </c>
      <c r="E64" s="13" t="n">
        <f aca="false">IFERROR(D64/C64-1,"")</f>
        <v>0.594610205755661</v>
      </c>
      <c r="F64" s="13" t="n">
        <f aca="false">IFERROR(AVERAGEIFS(Pedidos!$AD$2:$AD$2224,Pedidos!$AJ$2:$AJ$2224,"SIM",Pedidos!$G$2:$G$2224,"Interior",Pedidos!$H$2:$H$2224,$A64)/C64-1,"")</f>
        <v>0.334693648293472</v>
      </c>
      <c r="G64" s="12" t="n">
        <f aca="false">IFERROR(AVERAGEIFS(Pedidos!$M$2:$M$2224,Pedidos!$AJ$2:$AJ$2224,"SIM",Pedidos!$G$2:$G$2224,"Interior",Pedidos!$H$2:$H$2224,$A64),"")</f>
        <v>161.81</v>
      </c>
      <c r="H64" s="12" t="n">
        <f aca="false">IFERROR(AVERAGEIFS(Pedidos!$U$2:$U$2224,Pedidos!$AJ$2:$AJ$2224,"SIM",Pedidos!$G$2:$G$2224,"Interior",Pedidos!$H$2:$H$2224,$A64),"")</f>
        <v>233.98125</v>
      </c>
      <c r="I64" s="13" t="n">
        <f aca="false">IFERROR(H64/G64-1,"")</f>
        <v>0.446024658550151</v>
      </c>
      <c r="J64" s="14" t="n">
        <f aca="false">IFERROR(COUNTIFS(Pedidos!$AJ$2:$AJ$2224,"SIM",Pedidos!$G$2:$G$2224,"Interior",Pedidos!$H$2:$H$2224,$A64,Pedidos!$AG$2:$AG$2224,"SIM")/B64,"")</f>
        <v>0</v>
      </c>
      <c r="K64" s="14" t="n">
        <f aca="false">IFERROR(MAX(0,1-C64/D64),"")</f>
        <v>0.37288749539508</v>
      </c>
    </row>
    <row r="65" customFormat="false" ht="15" hidden="false" customHeight="false" outlineLevel="0" collapsed="false">
      <c r="A65" s="4" t="s">
        <v>176</v>
      </c>
      <c r="B65" s="10" t="n">
        <f aca="false">COUNTIFS(Pedidos!$AJ$2:$AJ$2224,"SIM",Pedidos!$G$2:$G$2224,"Interior",Pedidos!$H$2:$H$2224,$A65)</f>
        <v>16</v>
      </c>
      <c r="C65" s="12" t="n">
        <f aca="false">IFERROR(AVERAGEIFS(Pedidos!$T$2:$T$2224,Pedidos!$AJ$2:$AJ$2224,"SIM",Pedidos!$G$2:$G$2224,"Interior",Pedidos!$H$2:$H$2224,$A65),"")</f>
        <v>261.558240497159</v>
      </c>
      <c r="D65" s="12" t="n">
        <f aca="false">IFERROR(AVERAGEIFS(Pedidos!$AC$2:$AC$2224,Pedidos!$AJ$2:$AJ$2224,"SIM",Pedidos!$G$2:$G$2224,"Interior",Pedidos!$H$2:$H$2224,$A65),"")</f>
        <v>386.9127578125</v>
      </c>
      <c r="E65" s="13" t="n">
        <f aca="false">IFERROR(D65/C65-1,"")</f>
        <v>0.479260439575798</v>
      </c>
      <c r="F65" s="13" t="n">
        <f aca="false">IFERROR(AVERAGEIFS(Pedidos!$AD$2:$AD$2224,Pedidos!$AJ$2:$AJ$2224,"SIM",Pedidos!$G$2:$G$2224,"Interior",Pedidos!$H$2:$H$2224,$A65)/C65-1,"")</f>
        <v>0.228523218530956</v>
      </c>
      <c r="G65" s="12" t="n">
        <f aca="false">IFERROR(AVERAGEIFS(Pedidos!$M$2:$M$2224,Pedidos!$AJ$2:$AJ$2224,"SIM",Pedidos!$G$2:$G$2224,"Interior",Pedidos!$H$2:$H$2224,$A65),"")</f>
        <v>197.37</v>
      </c>
      <c r="H65" s="12" t="n">
        <f aca="false">IFERROR(AVERAGEIFS(Pedidos!$U$2:$U$2224,Pedidos!$AJ$2:$AJ$2224,"SIM",Pedidos!$G$2:$G$2224,"Interior",Pedidos!$H$2:$H$2224,$A65),"")</f>
        <v>259.899375</v>
      </c>
      <c r="I65" s="13" t="n">
        <f aca="false">IFERROR(H65/G65-1,"")</f>
        <v>0.316812965496276</v>
      </c>
      <c r="J65" s="14" t="n">
        <f aca="false">IFERROR(COUNTIFS(Pedidos!$AJ$2:$AJ$2224,"SIM",Pedidos!$G$2:$G$2224,"Interior",Pedidos!$H$2:$H$2224,$A65,Pedidos!$AG$2:$AG$2224,"SIM")/B65,"")</f>
        <v>0</v>
      </c>
      <c r="K65" s="14" t="n">
        <f aca="false">IFERROR(MAX(0,1-C65/D65),"")</f>
        <v>0.323986518366728</v>
      </c>
    </row>
    <row r="66" customFormat="false" ht="15" hidden="false" customHeight="false" outlineLevel="0" collapsed="false">
      <c r="A66" s="4" t="s">
        <v>177</v>
      </c>
      <c r="B66" s="10" t="n">
        <f aca="false">COUNTIFS(Pedidos!$AJ$2:$AJ$2224,"SIM",Pedidos!$G$2:$G$2224,"Interior",Pedidos!$H$2:$H$2224,$A66)</f>
        <v>0</v>
      </c>
      <c r="C66" s="12" t="str">
        <f aca="false">IFERROR(AVERAGEIFS(Pedidos!$T$2:$T$2224,Pedidos!$AJ$2:$AJ$2224,"SIM",Pedidos!$G$2:$G$2224,"Interior",Pedidos!$H$2:$H$2224,$A66),"")</f>
        <v/>
      </c>
      <c r="D66" s="12" t="str">
        <f aca="false">IFERROR(AVERAGEIFS(Pedidos!$AC$2:$AC$2224,Pedidos!$AJ$2:$AJ$2224,"SIM",Pedidos!$G$2:$G$2224,"Interior",Pedidos!$H$2:$H$2224,$A66),"")</f>
        <v/>
      </c>
      <c r="E66" s="13" t="str">
        <f aca="false">IFERROR(D66/C66-1,"")</f>
        <v/>
      </c>
      <c r="F66" s="13" t="str">
        <f aca="false">IFERROR(AVERAGEIFS(Pedidos!$AD$2:$AD$2224,Pedidos!$AJ$2:$AJ$2224,"SIM",Pedidos!$G$2:$G$2224,"Interior",Pedidos!$H$2:$H$2224,$A66)/C66-1,"")</f>
        <v/>
      </c>
      <c r="G66" s="12" t="str">
        <f aca="false">IFERROR(AVERAGEIFS(Pedidos!$M$2:$M$2224,Pedidos!$AJ$2:$AJ$2224,"SIM",Pedidos!$G$2:$G$2224,"Interior",Pedidos!$H$2:$H$2224,$A66),"")</f>
        <v/>
      </c>
      <c r="H66" s="12" t="str">
        <f aca="false">IFERROR(AVERAGEIFS(Pedidos!$U$2:$U$2224,Pedidos!$AJ$2:$AJ$2224,"SIM",Pedidos!$G$2:$G$2224,"Interior",Pedidos!$H$2:$H$2224,$A66),"")</f>
        <v/>
      </c>
      <c r="I66" s="13" t="str">
        <f aca="false">IFERROR(H66/G66-1,"")</f>
        <v/>
      </c>
      <c r="J66" s="14" t="str">
        <f aca="false">IFERROR(COUNTIFS(Pedidos!$AJ$2:$AJ$2224,"SIM",Pedidos!$G$2:$G$2224,"Interior",Pedidos!$H$2:$H$2224,$A66,Pedidos!$AG$2:$AG$2224,"SIM")/B66,"")</f>
        <v/>
      </c>
      <c r="K66" s="14" t="str">
        <f aca="false">IFERROR(MAX(0,1-C66/D66),"")</f>
        <v/>
      </c>
    </row>
    <row r="67" customFormat="false" ht="15" hidden="false" customHeight="false" outlineLevel="0" collapsed="false">
      <c r="A67" s="4" t="s">
        <v>178</v>
      </c>
      <c r="B67" s="10" t="n">
        <f aca="false">COUNTIFS(Pedidos!$AJ$2:$AJ$2224,"SIM",Pedidos!$G$2:$G$2224,"Interior",Pedidos!$H$2:$H$2224,$A67)</f>
        <v>1</v>
      </c>
      <c r="C67" s="12" t="n">
        <f aca="false">IFERROR(AVERAGEIFS(Pedidos!$T$2:$T$2224,Pedidos!$AJ$2:$AJ$2224,"SIM",Pedidos!$G$2:$G$2224,"Interior",Pedidos!$H$2:$H$2224,$A67),"")</f>
        <v>198.275261363636</v>
      </c>
      <c r="D67" s="12" t="n">
        <f aca="false">IFERROR(AVERAGEIFS(Pedidos!$AC$2:$AC$2224,Pedidos!$AJ$2:$AJ$2224,"SIM",Pedidos!$G$2:$G$2224,"Interior",Pedidos!$H$2:$H$2224,$A67),"")</f>
        <v>529.025</v>
      </c>
      <c r="E67" s="13" t="n">
        <f aca="false">IFERROR(D67/C67-1,"")</f>
        <v>1.66813417045392</v>
      </c>
      <c r="F67" s="13" t="n">
        <f aca="false">IFERROR(AVERAGEIFS(Pedidos!$AD$2:$AD$2224,Pedidos!$AJ$2:$AJ$2224,"SIM",Pedidos!$G$2:$G$2224,"Interior",Pedidos!$H$2:$H$2224,$A67)/C67-1,"")</f>
        <v>1.18069198221504</v>
      </c>
      <c r="G67" s="12" t="n">
        <f aca="false">IFERROR(AVERAGEIFS(Pedidos!$M$2:$M$2224,Pedidos!$AJ$2:$AJ$2224,"SIM",Pedidos!$G$2:$G$2224,"Interior",Pedidos!$H$2:$H$2224,$A67),"")</f>
        <v>143.51</v>
      </c>
      <c r="H67" s="12" t="n">
        <f aca="false">IFERROR(AVERAGEIFS(Pedidos!$U$2:$U$2224,Pedidos!$AJ$2:$AJ$2224,"SIM",Pedidos!$G$2:$G$2224,"Interior",Pedidos!$H$2:$H$2224,$A67),"")</f>
        <v>353.17</v>
      </c>
      <c r="I67" s="13" t="n">
        <f aca="false">IFERROR(H67/G67-1,"")</f>
        <v>1.46094348825866</v>
      </c>
      <c r="J67" s="14" t="n">
        <f aca="false">IFERROR(COUNTIFS(Pedidos!$AJ$2:$AJ$2224,"SIM",Pedidos!$G$2:$G$2224,"Interior",Pedidos!$H$2:$H$2224,$A67,Pedidos!$AG$2:$AG$2224,"SIM")/B67,"")</f>
        <v>0</v>
      </c>
      <c r="K67" s="14" t="n">
        <f aca="false">IFERROR(MAX(0,1-C67/D67),"")</f>
        <v>0.625206254215517</v>
      </c>
    </row>
    <row r="68" customFormat="false" ht="15" hidden="false" customHeight="false" outlineLevel="0" collapsed="false">
      <c r="A68" s="4" t="s">
        <v>179</v>
      </c>
      <c r="B68" s="10" t="n">
        <f aca="false">COUNTIFS(Pedidos!$AJ$2:$AJ$2224,"SIM",Pedidos!$G$2:$G$2224,"Interior",Pedidos!$H$2:$H$2224,$A68)</f>
        <v>0</v>
      </c>
      <c r="C68" s="12" t="str">
        <f aca="false">IFERROR(AVERAGEIFS(Pedidos!$T$2:$T$2224,Pedidos!$AJ$2:$AJ$2224,"SIM",Pedidos!$G$2:$G$2224,"Interior",Pedidos!$H$2:$H$2224,$A68),"")</f>
        <v/>
      </c>
      <c r="D68" s="12" t="str">
        <f aca="false">IFERROR(AVERAGEIFS(Pedidos!$AC$2:$AC$2224,Pedidos!$AJ$2:$AJ$2224,"SIM",Pedidos!$G$2:$G$2224,"Interior",Pedidos!$H$2:$H$2224,$A68),"")</f>
        <v/>
      </c>
      <c r="E68" s="13" t="str">
        <f aca="false">IFERROR(D68/C68-1,"")</f>
        <v/>
      </c>
      <c r="F68" s="13" t="str">
        <f aca="false">IFERROR(AVERAGEIFS(Pedidos!$AD$2:$AD$2224,Pedidos!$AJ$2:$AJ$2224,"SIM",Pedidos!$G$2:$G$2224,"Interior",Pedidos!$H$2:$H$2224,$A68)/C68-1,"")</f>
        <v/>
      </c>
      <c r="G68" s="12" t="str">
        <f aca="false">IFERROR(AVERAGEIFS(Pedidos!$M$2:$M$2224,Pedidos!$AJ$2:$AJ$2224,"SIM",Pedidos!$G$2:$G$2224,"Interior",Pedidos!$H$2:$H$2224,$A68),"")</f>
        <v/>
      </c>
      <c r="H68" s="12" t="str">
        <f aca="false">IFERROR(AVERAGEIFS(Pedidos!$U$2:$U$2224,Pedidos!$AJ$2:$AJ$2224,"SIM",Pedidos!$G$2:$G$2224,"Interior",Pedidos!$H$2:$H$2224,$A68),"")</f>
        <v/>
      </c>
      <c r="I68" s="13" t="str">
        <f aca="false">IFERROR(H68/G68-1,"")</f>
        <v/>
      </c>
      <c r="J68" s="14" t="str">
        <f aca="false">IFERROR(COUNTIFS(Pedidos!$AJ$2:$AJ$2224,"SIM",Pedidos!$G$2:$G$2224,"Interior",Pedidos!$H$2:$H$2224,$A68,Pedidos!$AG$2:$AG$2224,"SIM")/B68,"")</f>
        <v/>
      </c>
      <c r="K68" s="14" t="str">
        <f aca="false">IFERROR(MAX(0,1-C68/D68),"")</f>
        <v/>
      </c>
    </row>
    <row r="69" customFormat="false" ht="15" hidden="false" customHeight="false" outlineLevel="0" collapsed="false">
      <c r="A69" s="21" t="s">
        <v>52</v>
      </c>
      <c r="B69" s="28" t="n">
        <f aca="false">COUNTIFS(Pedidos!$AJ$2:$AJ$2224,"SIM",Pedidos!$G$2:$G$2224,"Interior")</f>
        <v>371</v>
      </c>
      <c r="C69" s="22" t="n">
        <f aca="false">IFERROR(AVERAGEIFS(Pedidos!$T$2:$T$2224,Pedidos!$AJ$2:$AJ$2224,"SIM",Pedidos!$G$2:$G$2224,"Interior"),"")</f>
        <v>138.997040539084</v>
      </c>
      <c r="D69" s="22" t="n">
        <f aca="false">IFERROR(AVERAGEIFS(Pedidos!$AC$2:$AC$2224,Pedidos!$AJ$2:$AJ$2224,"SIM",Pedidos!$G$2:$G$2224,"Interior"),"")</f>
        <v>201.859496691987</v>
      </c>
      <c r="E69" s="23" t="n">
        <f aca="false">IFERROR(D69/C69-1,"")</f>
        <v>0.452257515045638</v>
      </c>
      <c r="F69" s="23" t="n">
        <f aca="false">IFERROR(AVERAGEIFS(Pedidos!$AD$2:$AD$2224,Pedidos!$AJ$2:$AJ$2224,"SIM",Pedidos!$G$2:$G$2224,"Interior")/C69-1,"")</f>
        <v>0.263222774162857</v>
      </c>
      <c r="G69" s="22" t="n">
        <f aca="false">IFERROR(AVERAGEIFS(Pedidos!$M$2:$M$2224,Pedidos!$AJ$2:$AJ$2224,"SIM",Pedidos!$G$2:$G$2224,"Interior"),"")</f>
        <v>100.33115902965</v>
      </c>
      <c r="H69" s="22" t="n">
        <f aca="false">IFERROR(AVERAGEIFS(Pedidos!$U$2:$U$2224,Pedidos!$AJ$2:$AJ$2224,"SIM",Pedidos!$G$2:$G$2224,"Interior"),"")</f>
        <v>143.646334231806</v>
      </c>
      <c r="I69" s="23" t="n">
        <f aca="false">IFERROR(H69/G69-1,"")</f>
        <v>0.431722065418939</v>
      </c>
      <c r="J69" s="29" t="n">
        <f aca="false">IFERROR(COUNTIFS(Pedidos!$AJ$2:$AJ$2224,"SIM",Pedidos!$G$2:$G$2224,"Interior",Pedidos!$AG$2:$AG$2224,"SIM")/B69,"")</f>
        <v>0</v>
      </c>
      <c r="K69" s="29" t="n">
        <f aca="false">IFERROR(MAX(0,1-C69/D69),"")</f>
        <v>0.311416887404728</v>
      </c>
    </row>
  </sheetData>
  <conditionalFormatting sqref="E5:E17">
    <cfRule type="colorScale" priority="2">
      <colorScale>
        <cfvo type="num" val="-0.3"/>
        <cfvo type="num" val="0"/>
        <cfvo type="num" val="0.7"/>
        <color rgb="FF63BE7B"/>
        <color rgb="FFFFFFFF"/>
        <color rgb="FFF8696B"/>
      </colorScale>
    </cfRule>
  </conditionalFormatting>
  <conditionalFormatting sqref="I5:I17">
    <cfRule type="colorScale" priority="3">
      <colorScale>
        <cfvo type="num" val="-0.3"/>
        <cfvo type="num" val="0"/>
        <cfvo type="num" val="0.7"/>
        <color rgb="FF63BE7B"/>
        <color rgb="FFFFFFFF"/>
        <color rgb="FFF8696B"/>
      </colorScale>
    </cfRule>
  </conditionalFormatting>
  <conditionalFormatting sqref="E22:E34">
    <cfRule type="colorScale" priority="4">
      <colorScale>
        <cfvo type="num" val="-0.3"/>
        <cfvo type="num" val="0"/>
        <cfvo type="num" val="0.7"/>
        <color rgb="FF63BE7B"/>
        <color rgb="FFFFFFFF"/>
        <color rgb="FFF8696B"/>
      </colorScale>
    </cfRule>
  </conditionalFormatting>
  <conditionalFormatting sqref="I22:I34">
    <cfRule type="colorScale" priority="5">
      <colorScale>
        <cfvo type="num" val="-0.3"/>
        <cfvo type="num" val="0"/>
        <cfvo type="num" val="0.7"/>
        <color rgb="FF63BE7B"/>
        <color rgb="FFFFFFFF"/>
        <color rgb="FFF8696B"/>
      </colorScale>
    </cfRule>
  </conditionalFormatting>
  <conditionalFormatting sqref="E39:E51">
    <cfRule type="colorScale" priority="6">
      <colorScale>
        <cfvo type="num" val="-0.3"/>
        <cfvo type="num" val="0"/>
        <cfvo type="num" val="0.7"/>
        <color rgb="FF63BE7B"/>
        <color rgb="FFFFFFFF"/>
        <color rgb="FFF8696B"/>
      </colorScale>
    </cfRule>
  </conditionalFormatting>
  <conditionalFormatting sqref="I39:I51">
    <cfRule type="colorScale" priority="7">
      <colorScale>
        <cfvo type="num" val="-0.3"/>
        <cfvo type="num" val="0"/>
        <cfvo type="num" val="0.7"/>
        <color rgb="FF63BE7B"/>
        <color rgb="FFFFFFFF"/>
        <color rgb="FFF8696B"/>
      </colorScale>
    </cfRule>
  </conditionalFormatting>
  <conditionalFormatting sqref="E56:E68">
    <cfRule type="colorScale" priority="8">
      <colorScale>
        <cfvo type="num" val="-0.3"/>
        <cfvo type="num" val="0"/>
        <cfvo type="num" val="0.7"/>
        <color rgb="FF63BE7B"/>
        <color rgb="FFFFFFFF"/>
        <color rgb="FFF8696B"/>
      </colorScale>
    </cfRule>
  </conditionalFormatting>
  <conditionalFormatting sqref="I56:I68">
    <cfRule type="colorScale" priority="9">
      <colorScale>
        <cfvo type="num" val="-0.3"/>
        <cfvo type="num" val="0"/>
        <cfvo type="num" val="0.7"/>
        <color rgb="FF63BE7B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7" min="3" style="0" width="11"/>
    <col collapsed="false" customWidth="true" hidden="false" outlineLevel="0" max="59" min="8" style="0" width="9.51"/>
  </cols>
  <sheetData>
    <row r="1" customFormat="false" ht="17.35" hidden="false" customHeight="false" outlineLevel="0" collapsed="false">
      <c r="A1" s="1" t="s">
        <v>183</v>
      </c>
    </row>
    <row r="2" customFormat="false" ht="15" hidden="false" customHeight="false" outlineLevel="0" collapsed="false">
      <c r="A2" s="20" t="s">
        <v>184</v>
      </c>
    </row>
    <row r="3" customFormat="false" ht="15" hidden="false" customHeight="false" outlineLevel="0" collapsed="false">
      <c r="AG3" s="2" t="s">
        <v>185</v>
      </c>
      <c r="AH3" s="17" t="n">
        <f aca="false">IFERROR(AVERAGEIFS(Pedidos!$I$2:$I$2224,Pedidos!$H$2:$H$2224,"0-20"),10)</f>
        <v>17.6675700934579</v>
      </c>
      <c r="AI3" s="17" t="n">
        <f aca="false">IFERROR(AVERAGEIFS(Pedidos!$I$2:$I$2224,Pedidos!$H$2:$H$2224,"20-35"),27.5)</f>
        <v>28.3101616161616</v>
      </c>
      <c r="AJ3" s="17" t="n">
        <f aca="false">IFERROR(AVERAGEIFS(Pedidos!$I$2:$I$2224,Pedidos!$H$2:$H$2224,"35-40"),37.5)</f>
        <v>37.7385633802817</v>
      </c>
      <c r="AK3" s="17" t="n">
        <f aca="false">IFERROR(AVERAGEIFS(Pedidos!$I$2:$I$2224,Pedidos!$H$2:$H$2224,"40-50"),45)</f>
        <v>45.8947674418605</v>
      </c>
      <c r="AL3" s="17" t="n">
        <f aca="false">IFERROR(AVERAGEIFS(Pedidos!$I$2:$I$2224,Pedidos!$H$2:$H$2224,"50-60"),55)</f>
        <v>53.7578365384615</v>
      </c>
      <c r="AM3" s="17" t="n">
        <f aca="false">IFERROR(AVERAGEIFS(Pedidos!$I$2:$I$2224,Pedidos!$H$2:$H$2224,"60-70"),65)</f>
        <v>66.0062271062271</v>
      </c>
      <c r="AN3" s="17" t="n">
        <f aca="false">IFERROR(AVERAGEIFS(Pedidos!$I$2:$I$2224,Pedidos!$H$2:$H$2224,"70-80"),75)</f>
        <v>74.5873333333333</v>
      </c>
      <c r="AO3" s="17" t="n">
        <f aca="false">IFERROR(AVERAGEIFS(Pedidos!$I$2:$I$2224,Pedidos!$H$2:$H$2224,"80-100"),90)</f>
        <v>87.6333333333333</v>
      </c>
      <c r="AP3" s="17" t="n">
        <f aca="false">IFERROR(AVERAGEIFS(Pedidos!$I$2:$I$2224,Pedidos!$H$2:$H$2224,"100-120"),110)</f>
        <v>110.322452830189</v>
      </c>
      <c r="AQ3" s="17" t="n">
        <f aca="false">IFERROR(AVERAGEIFS(Pedidos!$I$2:$I$2224,Pedidos!$H$2:$H$2224,"120-150"),135)</f>
        <v>128.146976744186</v>
      </c>
      <c r="AR3" s="17" t="n">
        <f aca="false">IFERROR(AVERAGEIFS(Pedidos!$I$2:$I$2224,Pedidos!$H$2:$H$2224,"150-170"),160)</f>
        <v>160.633333333333</v>
      </c>
      <c r="AS3" s="17" t="n">
        <f aca="false">IFERROR(AVERAGEIFS(Pedidos!$I$2:$I$2224,Pedidos!$H$2:$H$2224,"170-200"),185)</f>
        <v>188.4</v>
      </c>
      <c r="AT3" s="17" t="n">
        <f aca="false">IFERROR(AVERAGEIFS(Pedidos!$I$2:$I$2224,Pedidos!$H$2:$H$2224,"200-250"),225)</f>
        <v>208.2</v>
      </c>
    </row>
    <row r="4" customFormat="false" ht="15" hidden="false" customHeight="false" outlineLevel="0" collapsed="false">
      <c r="AG4" s="2" t="s">
        <v>186</v>
      </c>
      <c r="AH4" s="12" t="n">
        <f aca="false">IFERROR(AVERAGEIFS(Pedidos!$J$2:$J$2224,Pedidos!$H$2:$H$2224,"0-20"),AH3*SUM(Pedidos!$J$2:$J$2224)/SUM(Pedidos!$I$2:$I$2224))</f>
        <v>314.905981308411</v>
      </c>
      <c r="AI4" s="12" t="n">
        <f aca="false">IFERROR(AVERAGEIFS(Pedidos!$J$2:$J$2224,Pedidos!$H$2:$H$2224,"20-35"),AI3*SUM(Pedidos!$J$2:$J$2224)/SUM(Pedidos!$I$2:$I$2224))</f>
        <v>434.464161616162</v>
      </c>
      <c r="AJ4" s="12" t="n">
        <f aca="false">IFERROR(AVERAGEIFS(Pedidos!$J$2:$J$2224,Pedidos!$H$2:$H$2224,"35-40"),AJ3*SUM(Pedidos!$J$2:$J$2224)/SUM(Pedidos!$I$2:$I$2224))</f>
        <v>465.110253521127</v>
      </c>
      <c r="AK4" s="12" t="n">
        <f aca="false">IFERROR(AVERAGEIFS(Pedidos!$J$2:$J$2224,Pedidos!$H$2:$H$2224,"40-50"),AK3*SUM(Pedidos!$J$2:$J$2224)/SUM(Pedidos!$I$2:$I$2224))</f>
        <v>603.080348837209</v>
      </c>
      <c r="AL4" s="12" t="n">
        <f aca="false">IFERROR(AVERAGEIFS(Pedidos!$J$2:$J$2224,Pedidos!$H$2:$H$2224,"50-60"),AL3*SUM(Pedidos!$J$2:$J$2224)/SUM(Pedidos!$I$2:$I$2224))</f>
        <v>694.483509615385</v>
      </c>
      <c r="AM4" s="12" t="n">
        <f aca="false">IFERROR(AVERAGEIFS(Pedidos!$J$2:$J$2224,Pedidos!$H$2:$H$2224,"60-70"),AM3*SUM(Pedidos!$J$2:$J$2224)/SUM(Pedidos!$I$2:$I$2224))</f>
        <v>759.360366300366</v>
      </c>
      <c r="AN4" s="12" t="n">
        <f aca="false">IFERROR(AVERAGEIFS(Pedidos!$J$2:$J$2224,Pedidos!$H$2:$H$2224,"70-80"),AN3*SUM(Pedidos!$J$2:$J$2224)/SUM(Pedidos!$I$2:$I$2224))</f>
        <v>951.882</v>
      </c>
      <c r="AO4" s="12" t="n">
        <f aca="false">IFERROR(AVERAGEIFS(Pedidos!$J$2:$J$2224,Pedidos!$H$2:$H$2224,"80-100"),AO3*SUM(Pedidos!$J$2:$J$2224)/SUM(Pedidos!$I$2:$I$2224))</f>
        <v>970.36649122807</v>
      </c>
      <c r="AP4" s="12" t="n">
        <f aca="false">IFERROR(AVERAGEIFS(Pedidos!$J$2:$J$2224,Pedidos!$H$2:$H$2224,"100-120"),AP3*SUM(Pedidos!$J$2:$J$2224)/SUM(Pedidos!$I$2:$I$2224))</f>
        <v>1259.43773584906</v>
      </c>
      <c r="AQ4" s="12" t="n">
        <f aca="false">IFERROR(AVERAGEIFS(Pedidos!$J$2:$J$2224,Pedidos!$H$2:$H$2224,"120-150"),AQ3*SUM(Pedidos!$J$2:$J$2224)/SUM(Pedidos!$I$2:$I$2224))</f>
        <v>1647.78081395349</v>
      </c>
      <c r="AR4" s="12" t="n">
        <f aca="false">IFERROR(AVERAGEIFS(Pedidos!$J$2:$J$2224,Pedidos!$H$2:$H$2224,"150-170"),AR3*SUM(Pedidos!$J$2:$J$2224)/SUM(Pedidos!$I$2:$I$2224))</f>
        <v>1909.17333333333</v>
      </c>
      <c r="AS4" s="12" t="n">
        <f aca="false">IFERROR(AVERAGEIFS(Pedidos!$J$2:$J$2224,Pedidos!$H$2:$H$2224,"170-200"),AS3*SUM(Pedidos!$J$2:$J$2224)/SUM(Pedidos!$I$2:$I$2224))</f>
        <v>1994</v>
      </c>
      <c r="AT4" s="12" t="n">
        <f aca="false">IFERROR(AVERAGEIFS(Pedidos!$J$2:$J$2224,Pedidos!$H$2:$H$2224,"200-250"),AT3*SUM(Pedidos!$J$2:$J$2224)/SUM(Pedidos!$I$2:$I$2224))</f>
        <v>3070.27666666667</v>
      </c>
    </row>
    <row r="5" customFormat="false" ht="15" hidden="false" customHeight="false" outlineLevel="0" collapsed="false">
      <c r="H5" s="31" t="s">
        <v>187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2" t="s">
        <v>188</v>
      </c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3" t="s">
        <v>189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 t="s">
        <v>190</v>
      </c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</row>
    <row r="6" customFormat="false" ht="30" hidden="false" customHeight="true" outlineLevel="0" collapsed="false">
      <c r="A6" s="3" t="s">
        <v>191</v>
      </c>
      <c r="B6" s="3" t="s">
        <v>192</v>
      </c>
      <c r="C6" s="3" t="s">
        <v>193</v>
      </c>
      <c r="D6" s="3" t="s">
        <v>194</v>
      </c>
      <c r="E6" s="3" t="s">
        <v>123</v>
      </c>
      <c r="F6" s="3" t="s">
        <v>195</v>
      </c>
      <c r="G6" s="3" t="s">
        <v>196</v>
      </c>
      <c r="H6" s="3" t="s">
        <v>167</v>
      </c>
      <c r="I6" s="3" t="s">
        <v>168</v>
      </c>
      <c r="J6" s="3" t="s">
        <v>169</v>
      </c>
      <c r="K6" s="3" t="s">
        <v>170</v>
      </c>
      <c r="L6" s="3" t="s">
        <v>171</v>
      </c>
      <c r="M6" s="3" t="s">
        <v>172</v>
      </c>
      <c r="N6" s="3" t="s">
        <v>173</v>
      </c>
      <c r="O6" s="3" t="s">
        <v>174</v>
      </c>
      <c r="P6" s="3" t="s">
        <v>175</v>
      </c>
      <c r="Q6" s="3" t="s">
        <v>176</v>
      </c>
      <c r="R6" s="3" t="s">
        <v>177</v>
      </c>
      <c r="S6" s="3" t="s">
        <v>178</v>
      </c>
      <c r="T6" s="3" t="s">
        <v>179</v>
      </c>
      <c r="U6" s="3" t="s">
        <v>167</v>
      </c>
      <c r="V6" s="3" t="s">
        <v>168</v>
      </c>
      <c r="W6" s="3" t="s">
        <v>169</v>
      </c>
      <c r="X6" s="3" t="s">
        <v>170</v>
      </c>
      <c r="Y6" s="3" t="s">
        <v>171</v>
      </c>
      <c r="Z6" s="3" t="s">
        <v>172</v>
      </c>
      <c r="AA6" s="3" t="s">
        <v>173</v>
      </c>
      <c r="AB6" s="3" t="s">
        <v>174</v>
      </c>
      <c r="AC6" s="3" t="s">
        <v>175</v>
      </c>
      <c r="AD6" s="3" t="s">
        <v>176</v>
      </c>
      <c r="AE6" s="3" t="s">
        <v>177</v>
      </c>
      <c r="AF6" s="3" t="s">
        <v>178</v>
      </c>
      <c r="AG6" s="3" t="s">
        <v>179</v>
      </c>
      <c r="AH6" s="3" t="s">
        <v>167</v>
      </c>
      <c r="AI6" s="3" t="s">
        <v>168</v>
      </c>
      <c r="AJ6" s="3" t="s">
        <v>169</v>
      </c>
      <c r="AK6" s="3" t="s">
        <v>170</v>
      </c>
      <c r="AL6" s="3" t="s">
        <v>171</v>
      </c>
      <c r="AM6" s="3" t="s">
        <v>172</v>
      </c>
      <c r="AN6" s="3" t="s">
        <v>173</v>
      </c>
      <c r="AO6" s="3" t="s">
        <v>174</v>
      </c>
      <c r="AP6" s="3" t="s">
        <v>175</v>
      </c>
      <c r="AQ6" s="3" t="s">
        <v>176</v>
      </c>
      <c r="AR6" s="3" t="s">
        <v>177</v>
      </c>
      <c r="AS6" s="3" t="s">
        <v>178</v>
      </c>
      <c r="AT6" s="3" t="s">
        <v>179</v>
      </c>
      <c r="AU6" s="3" t="s">
        <v>167</v>
      </c>
      <c r="AV6" s="3" t="s">
        <v>168</v>
      </c>
      <c r="AW6" s="3" t="s">
        <v>169</v>
      </c>
      <c r="AX6" s="3" t="s">
        <v>170</v>
      </c>
      <c r="AY6" s="3" t="s">
        <v>171</v>
      </c>
      <c r="AZ6" s="3" t="s">
        <v>172</v>
      </c>
      <c r="BA6" s="3" t="s">
        <v>173</v>
      </c>
      <c r="BB6" s="3" t="s">
        <v>174</v>
      </c>
      <c r="BC6" s="3" t="s">
        <v>175</v>
      </c>
      <c r="BD6" s="3" t="s">
        <v>176</v>
      </c>
      <c r="BE6" s="3" t="s">
        <v>177</v>
      </c>
      <c r="BF6" s="3" t="s">
        <v>178</v>
      </c>
      <c r="BG6" s="3" t="s">
        <v>179</v>
      </c>
    </row>
    <row r="7" customFormat="false" ht="15" hidden="false" customHeight="false" outlineLevel="0" collapsed="false">
      <c r="A7" s="4" t="s">
        <v>197</v>
      </c>
      <c r="B7" s="4" t="s">
        <v>139</v>
      </c>
      <c r="C7" s="34" t="n">
        <v>20000000</v>
      </c>
      <c r="D7" s="34" t="n">
        <v>23799999</v>
      </c>
      <c r="E7" s="4" t="s">
        <v>198</v>
      </c>
      <c r="F7" s="4" t="s">
        <v>199</v>
      </c>
      <c r="G7" s="4" t="n">
        <f aca="false">COUNTIFS(Pedidos!$E$2:$E$2224,"&gt;="&amp;C7,Pedidos!$E$2:$E$2224,"&lt;="&amp;D7)</f>
        <v>1030</v>
      </c>
      <c r="H7" s="7" t="n">
        <v>46.98</v>
      </c>
      <c r="I7" s="7" t="n">
        <v>82.21</v>
      </c>
      <c r="J7" s="7" t="n">
        <v>93.97</v>
      </c>
      <c r="K7" s="7" t="n">
        <v>93.97</v>
      </c>
      <c r="L7" s="7" t="n">
        <v>112.3</v>
      </c>
      <c r="M7" s="7" t="n">
        <v>131.02</v>
      </c>
      <c r="N7" s="7" t="n">
        <v>134.39</v>
      </c>
      <c r="O7" s="7" t="n">
        <v>167.99</v>
      </c>
      <c r="P7" s="7" t="n">
        <v>201.59</v>
      </c>
      <c r="Q7" s="7" t="n">
        <v>239.25</v>
      </c>
      <c r="R7" s="7" t="n">
        <v>271.15</v>
      </c>
      <c r="S7" s="7" t="n">
        <v>319</v>
      </c>
      <c r="T7" s="7" t="n">
        <v>398.74</v>
      </c>
      <c r="U7" s="7" t="n">
        <v>39.83</v>
      </c>
      <c r="V7" s="7" t="n">
        <v>54.1</v>
      </c>
      <c r="W7" s="7" t="n">
        <v>62.05</v>
      </c>
      <c r="X7" s="7" t="n">
        <v>71</v>
      </c>
      <c r="Y7" s="7" t="n">
        <v>79.81</v>
      </c>
      <c r="Z7" s="7" t="n">
        <v>88.2</v>
      </c>
      <c r="AA7" s="7" t="n">
        <v>97.6</v>
      </c>
      <c r="AB7" s="7" t="n">
        <v>119.8</v>
      </c>
      <c r="AC7" s="7" t="n">
        <v>135.94</v>
      </c>
      <c r="AD7" s="7" t="n">
        <v>174.85</v>
      </c>
      <c r="AE7" s="7" t="n">
        <v>192.1</v>
      </c>
      <c r="AF7" s="7" t="n">
        <v>218</v>
      </c>
      <c r="AG7" s="7" t="n">
        <v>272.9</v>
      </c>
      <c r="AH7" s="12" t="n">
        <f aca="false">(U7+AH$4*(Resumo!$C$7+Resumo!$C$8)+Resumo!$C$10*CEILING(AH$3/100,1)+Resumo!$C$9)*(1+Resumo!$C$11)-(AH$4*(Resumo!$B$6+Resumo!$B$7)+Resumo!$B$9+Resumo!$B$10*CEILING(AH$3/100,1)+(Resumo!$B$12+Resumo!$B$13)*CEILING(AH$3,1))</f>
        <v>41.3343352971963</v>
      </c>
      <c r="AI7" s="12" t="n">
        <f aca="false">(V7+AI$4*(Resumo!$C$7+Resumo!$C$8)+Resumo!$C$10*CEILING(AI$3/100,1)+Resumo!$C$9)*(1+Resumo!$C$11)-(AI$4*(Resumo!$B$6+Resumo!$B$7)+Resumo!$B$9+Resumo!$B$10*CEILING(AI$3/100,1)+(Resumo!$B$12+Resumo!$B$13)*CEILING(AI$3,1))</f>
        <v>50.9250462771717</v>
      </c>
      <c r="AJ7" s="12" t="n">
        <f aca="false">(W7+AJ$4*(Resumo!$C$7+Resumo!$C$8)+Resumo!$C$10*CEILING(AJ$3/100,1)+Resumo!$C$9)*(1+Resumo!$C$11)-(AJ$4*(Resumo!$B$6+Resumo!$B$7)+Resumo!$B$9+Resumo!$B$10*CEILING(AJ$3/100,1)+(Resumo!$B$12+Resumo!$B$13)*CEILING(AJ$3,1))</f>
        <v>54.7596845092958</v>
      </c>
      <c r="AK7" s="12" t="n">
        <f aca="false">(X7+AK$4*(Resumo!$C$7+Resumo!$C$8)+Resumo!$C$10*CEILING(AK$3/100,1)+Resumo!$C$9)*(1+Resumo!$C$11)-(AK$4*(Resumo!$B$6+Resumo!$B$7)+Resumo!$B$9+Resumo!$B$10*CEILING(AK$3/100,1)+(Resumo!$B$12+Resumo!$B$13)*CEILING(AK$3,1))</f>
        <v>60.2902580255814</v>
      </c>
      <c r="AL7" s="12" t="n">
        <f aca="false">(Y7+AL$4*(Resumo!$C$7+Resumo!$C$8)+Resumo!$C$10*CEILING(AL$3/100,1)+Resumo!$C$9)*(1+Resumo!$C$11)-(AL$4*(Resumo!$B$6+Resumo!$B$7)+Resumo!$B$9+Resumo!$B$10*CEILING(AL$3/100,1)+(Resumo!$B$12+Resumo!$B$13)*CEILING(AL$3,1))</f>
        <v>65.6163198817308</v>
      </c>
      <c r="AM7" s="12" t="n">
        <f aca="false">(Z7+AM$4*(Resumo!$C$7+Resumo!$C$8)+Resumo!$C$10*CEILING(AM$3/100,1)+Resumo!$C$9)*(1+Resumo!$C$11)-(AM$4*(Resumo!$B$6+Resumo!$B$7)+Resumo!$B$9+Resumo!$B$10*CEILING(AM$3/100,1)+(Resumo!$B$12+Resumo!$B$13)*CEILING(AM$3,1))</f>
        <v>67.9169196468865</v>
      </c>
      <c r="AN7" s="12" t="n">
        <f aca="false">(AA7+AN$4*(Resumo!$C$7+Resumo!$C$8)+Resumo!$C$10*CEILING(AN$3/100,1)+Resumo!$C$9)*(1+Resumo!$C$11)-(AN$4*(Resumo!$B$6+Resumo!$B$7)+Resumo!$B$9+Resumo!$B$10*CEILING(AN$3/100,1)+(Resumo!$B$12+Resumo!$B$13)*CEILING(AN$3,1))</f>
        <v>73.98879604</v>
      </c>
      <c r="AO7" s="12" t="n">
        <f aca="false">(AB7+AO$4*(Resumo!$C$7+Resumo!$C$8)+Resumo!$C$10*CEILING(AO$3/100,1)+Resumo!$C$9)*(1+Resumo!$C$11)-(AO$4*(Resumo!$B$6+Resumo!$B$7)+Resumo!$B$9+Resumo!$B$10*CEILING(AO$3/100,1)+(Resumo!$B$12+Resumo!$B$13)*CEILING(AO$3,1))</f>
        <v>90.8023471192982</v>
      </c>
      <c r="AP7" s="12" t="n">
        <f aca="false">(AC7+AP$4*(Resumo!$C$7+Resumo!$C$8)+Resumo!$C$10*CEILING(AP$3/100,1)+Resumo!$C$9)*(1+Resumo!$C$11)-(AP$4*(Resumo!$B$6+Resumo!$B$7)+Resumo!$B$9+Resumo!$B$10*CEILING(AP$3/100,1)+(Resumo!$B$12+Resumo!$B$13)*CEILING(AP$3,1))</f>
        <v>93.0077140377358</v>
      </c>
      <c r="AQ7" s="12" t="n">
        <f aca="false">(AD7+AQ$4*(Resumo!$C$7+Resumo!$C$8)+Resumo!$C$10*CEILING(AQ$3/100,1)+Resumo!$C$9)*(1+Resumo!$C$11)-(AQ$4*(Resumo!$B$6+Resumo!$B$7)+Resumo!$B$9+Resumo!$B$10*CEILING(AQ$3/100,1)+(Resumo!$B$12+Resumo!$B$13)*CEILING(AQ$3,1))</f>
        <v>125.351542593023</v>
      </c>
      <c r="AR7" s="12" t="n">
        <f aca="false">(AE7+AR$4*(Resumo!$C$7+Resumo!$C$8)+Resumo!$C$10*CEILING(AR$3/100,1)+Resumo!$C$9)*(1+Resumo!$C$11)-(AR$4*(Resumo!$B$6+Resumo!$B$7)+Resumo!$B$9+Resumo!$B$10*CEILING(AR$3/100,1)+(Resumo!$B$12+Resumo!$B$13)*CEILING(AR$3,1))</f>
        <v>127.549191466667</v>
      </c>
      <c r="AS7" s="12" t="n">
        <f aca="false">(AF7+AS$4*(Resumo!$C$7+Resumo!$C$8)+Resumo!$C$10*CEILING(AS$3/100,1)+Resumo!$C$9)*(1+Resumo!$C$11)-(AS$4*(Resumo!$B$6+Resumo!$B$7)+Resumo!$B$9+Resumo!$B$10*CEILING(AS$3/100,1)+(Resumo!$B$12+Resumo!$B$13)*CEILING(AS$3,1))</f>
        <v>140.69718</v>
      </c>
      <c r="AT7" s="12" t="n">
        <f aca="false">(AG7+AT$4*(Resumo!$C$7+Resumo!$C$8)+Resumo!$C$10*CEILING(AT$3/100,1)+Resumo!$C$9)*(1+Resumo!$C$11)-(AT$4*(Resumo!$B$6+Resumo!$B$7)+Resumo!$B$9+Resumo!$B$10*CEILING(AT$3/100,1)+(Resumo!$B$12+Resumo!$B$13)*CEILING(AT$3,1))</f>
        <v>186.284737533333</v>
      </c>
      <c r="AU7" s="13" t="n">
        <f aca="false">1-AH7/H7</f>
        <v>0.120171662469216</v>
      </c>
      <c r="AV7" s="13" t="n">
        <f aca="false">1-AI7/I7</f>
        <v>0.380549248544317</v>
      </c>
      <c r="AW7" s="13" t="n">
        <f aca="false">1-AJ7/J7</f>
        <v>0.417264185279389</v>
      </c>
      <c r="AX7" s="13" t="n">
        <f aca="false">1-AK7/K7</f>
        <v>0.358409513402348</v>
      </c>
      <c r="AY7" s="13" t="n">
        <f aca="false">1-AL7/L7</f>
        <v>0.41570507674327</v>
      </c>
      <c r="AZ7" s="13" t="n">
        <f aca="false">1-AM7/M7</f>
        <v>0.481629372257011</v>
      </c>
      <c r="BA7" s="13" t="n">
        <f aca="false">1-AN7/N7</f>
        <v>0.449447160949475</v>
      </c>
      <c r="BB7" s="13" t="n">
        <f aca="false">1-AO7/O7</f>
        <v>0.459477664627072</v>
      </c>
      <c r="BC7" s="13" t="n">
        <f aca="false">1-AP7/P7</f>
        <v>0.538629326664339</v>
      </c>
      <c r="BD7" s="13" t="n">
        <f aca="false">1-AQ7/Q7</f>
        <v>0.476064607761658</v>
      </c>
      <c r="BE7" s="13" t="n">
        <f aca="false">1-AR7/R7</f>
        <v>0.529599146351958</v>
      </c>
      <c r="BF7" s="13" t="n">
        <f aca="false">1-AS7/S7</f>
        <v>0.558943009404389</v>
      </c>
      <c r="BG7" s="13" t="n">
        <f aca="false">1-AT7/T7</f>
        <v>0.532816528230593</v>
      </c>
    </row>
    <row r="8" customFormat="false" ht="15" hidden="false" customHeight="false" outlineLevel="0" collapsed="false">
      <c r="A8" s="4" t="s">
        <v>197</v>
      </c>
      <c r="B8" s="4" t="s">
        <v>200</v>
      </c>
      <c r="C8" s="34" t="n">
        <v>23800000</v>
      </c>
      <c r="D8" s="34" t="n">
        <v>23859999</v>
      </c>
      <c r="E8" s="4" t="s">
        <v>201</v>
      </c>
      <c r="F8" s="4" t="s">
        <v>202</v>
      </c>
      <c r="G8" s="4" t="n">
        <f aca="false">COUNTIFS(Pedidos!$E$2:$E$2224,"&gt;="&amp;C8,Pedidos!$E$2:$E$2224,"&lt;="&amp;D8)</f>
        <v>7</v>
      </c>
      <c r="H8" s="7" t="n">
        <v>56.98</v>
      </c>
      <c r="I8" s="7" t="n">
        <v>92.21</v>
      </c>
      <c r="J8" s="7" t="n">
        <v>103.97</v>
      </c>
      <c r="K8" s="7" t="n">
        <v>103.97</v>
      </c>
      <c r="L8" s="7" t="n">
        <v>122.3</v>
      </c>
      <c r="M8" s="7" t="n">
        <v>141.02</v>
      </c>
      <c r="N8" s="7" t="n">
        <v>144.39</v>
      </c>
      <c r="O8" s="7" t="n">
        <v>177.99</v>
      </c>
      <c r="P8" s="7" t="n">
        <v>211.59</v>
      </c>
      <c r="Q8" s="7" t="n">
        <v>249.25</v>
      </c>
      <c r="R8" s="7" t="n">
        <v>281.15</v>
      </c>
      <c r="S8" s="7" t="n">
        <v>329</v>
      </c>
      <c r="T8" s="7" t="n">
        <v>408.74</v>
      </c>
      <c r="U8" s="7" t="n">
        <v>52.71</v>
      </c>
      <c r="V8" s="7" t="n">
        <v>76.5</v>
      </c>
      <c r="W8" s="7" t="n">
        <v>87.4</v>
      </c>
      <c r="X8" s="7" t="n">
        <v>94</v>
      </c>
      <c r="Y8" s="7" t="n">
        <v>103.6</v>
      </c>
      <c r="Z8" s="7" t="n">
        <v>113.9</v>
      </c>
      <c r="AA8" s="7" t="n">
        <v>124.16</v>
      </c>
      <c r="AB8" s="7" t="n">
        <v>144.41</v>
      </c>
      <c r="AC8" s="7" t="n">
        <v>161.81</v>
      </c>
      <c r="AD8" s="7" t="n">
        <v>197.37</v>
      </c>
      <c r="AE8" s="7" t="n">
        <v>215.7</v>
      </c>
      <c r="AF8" s="7" t="n">
        <v>143.51</v>
      </c>
      <c r="AG8" s="7" t="n">
        <v>304.65</v>
      </c>
      <c r="AH8" s="12" t="n">
        <f aca="false">(U8+AH$4*(Resumo!$C$7+Resumo!$C$8)+Resumo!$C$10*CEILING(AH$3/100,1)+Resumo!$C$9)*(1+Resumo!$C$11)-(AH$4*(Resumo!$B$6+Resumo!$B$7)+Resumo!$B$9+Resumo!$B$10*CEILING(AH$3/100,1)+(Resumo!$B$12+Resumo!$B$13)*CEILING(AH$3,1))</f>
        <v>54.9227352971963</v>
      </c>
      <c r="AI8" s="12" t="n">
        <f aca="false">(V8+AI$4*(Resumo!$C$7+Resumo!$C$8)+Resumo!$C$10*CEILING(AI$3/100,1)+Resumo!$C$9)*(1+Resumo!$C$11)-(AI$4*(Resumo!$B$6+Resumo!$B$7)+Resumo!$B$9+Resumo!$B$10*CEILING(AI$3/100,1)+(Resumo!$B$12+Resumo!$B$13)*CEILING(AI$3,1))</f>
        <v>74.5570462771717</v>
      </c>
      <c r="AJ8" s="12" t="n">
        <f aca="false">(W8+AJ$4*(Resumo!$C$7+Resumo!$C$8)+Resumo!$C$10*CEILING(AJ$3/100,1)+Resumo!$C$9)*(1+Resumo!$C$11)-(AJ$4*(Resumo!$B$6+Resumo!$B$7)+Resumo!$B$9+Resumo!$B$10*CEILING(AJ$3/100,1)+(Resumo!$B$12+Resumo!$B$13)*CEILING(AJ$3,1))</f>
        <v>81.5039345092958</v>
      </c>
      <c r="AK8" s="12" t="n">
        <f aca="false">(X8+AK$4*(Resumo!$C$7+Resumo!$C$8)+Resumo!$C$10*CEILING(AK$3/100,1)+Resumo!$C$9)*(1+Resumo!$C$11)-(AK$4*(Resumo!$B$6+Resumo!$B$7)+Resumo!$B$9+Resumo!$B$10*CEILING(AK$3/100,1)+(Resumo!$B$12+Resumo!$B$13)*CEILING(AK$3,1))</f>
        <v>84.5552580255814</v>
      </c>
      <c r="AL8" s="12" t="n">
        <f aca="false">(Y8+AL$4*(Resumo!$C$7+Resumo!$C$8)+Resumo!$C$10*CEILING(AL$3/100,1)+Resumo!$C$9)*(1+Resumo!$C$11)-(AL$4*(Resumo!$B$6+Resumo!$B$7)+Resumo!$B$9+Resumo!$B$10*CEILING(AL$3/100,1)+(Resumo!$B$12+Resumo!$B$13)*CEILING(AL$3,1))</f>
        <v>90.7147698817308</v>
      </c>
      <c r="AM8" s="12" t="n">
        <f aca="false">(Z8+AM$4*(Resumo!$C$7+Resumo!$C$8)+Resumo!$C$10*CEILING(AM$3/100,1)+Resumo!$C$9)*(1+Resumo!$C$11)-(AM$4*(Resumo!$B$6+Resumo!$B$7)+Resumo!$B$9+Resumo!$B$10*CEILING(AM$3/100,1)+(Resumo!$B$12+Resumo!$B$13)*CEILING(AM$3,1))</f>
        <v>95.0304196468864</v>
      </c>
      <c r="AN8" s="12" t="n">
        <f aca="false">(AA8+AN$4*(Resumo!$C$7+Resumo!$C$8)+Resumo!$C$10*CEILING(AN$3/100,1)+Resumo!$C$9)*(1+Resumo!$C$11)-(AN$4*(Resumo!$B$6+Resumo!$B$7)+Resumo!$B$9+Resumo!$B$10*CEILING(AN$3/100,1)+(Resumo!$B$12+Resumo!$B$13)*CEILING(AN$3,1))</f>
        <v>102.00959604</v>
      </c>
      <c r="AO8" s="12" t="n">
        <f aca="false">(AB8+AO$4*(Resumo!$C$7+Resumo!$C$8)+Resumo!$C$10*CEILING(AO$3/100,1)+Resumo!$C$9)*(1+Resumo!$C$11)-(AO$4*(Resumo!$B$6+Resumo!$B$7)+Resumo!$B$9+Resumo!$B$10*CEILING(AO$3/100,1)+(Resumo!$B$12+Resumo!$B$13)*CEILING(AO$3,1))</f>
        <v>116.765897119298</v>
      </c>
      <c r="AP8" s="12" t="n">
        <f aca="false">(AC8+AP$4*(Resumo!$C$7+Resumo!$C$8)+Resumo!$C$10*CEILING(AP$3/100,1)+Resumo!$C$9)*(1+Resumo!$C$11)-(AP$4*(Resumo!$B$6+Resumo!$B$7)+Resumo!$B$9+Resumo!$B$10*CEILING(AP$3/100,1)+(Resumo!$B$12+Resumo!$B$13)*CEILING(AP$3,1))</f>
        <v>120.300564037736</v>
      </c>
      <c r="AQ8" s="12" t="n">
        <f aca="false">(AD8+AQ$4*(Resumo!$C$7+Resumo!$C$8)+Resumo!$C$10*CEILING(AQ$3/100,1)+Resumo!$C$9)*(1+Resumo!$C$11)-(AQ$4*(Resumo!$B$6+Resumo!$B$7)+Resumo!$B$9+Resumo!$B$10*CEILING(AQ$3/100,1)+(Resumo!$B$12+Resumo!$B$13)*CEILING(AQ$3,1))</f>
        <v>149.110142593023</v>
      </c>
      <c r="AR8" s="12" t="n">
        <f aca="false">(AE8+AR$4*(Resumo!$C$7+Resumo!$C$8)+Resumo!$C$10*CEILING(AR$3/100,1)+Resumo!$C$9)*(1+Resumo!$C$11)-(AR$4*(Resumo!$B$6+Resumo!$B$7)+Resumo!$B$9+Resumo!$B$10*CEILING(AR$3/100,1)+(Resumo!$B$12+Resumo!$B$13)*CEILING(AR$3,1))</f>
        <v>152.447191466667</v>
      </c>
      <c r="AS8" s="12" t="n">
        <f aca="false">(AF8+AS$4*(Resumo!$C$7+Resumo!$C$8)+Resumo!$C$10*CEILING(AS$3/100,1)+Resumo!$C$9)*(1+Resumo!$C$11)-(AS$4*(Resumo!$B$6+Resumo!$B$7)+Resumo!$B$9+Resumo!$B$10*CEILING(AS$3/100,1)+(Resumo!$B$12+Resumo!$B$13)*CEILING(AS$3,1))</f>
        <v>62.11023</v>
      </c>
      <c r="AT8" s="12" t="n">
        <f aca="false">(AG8+AT$4*(Resumo!$C$7+Resumo!$C$8)+Resumo!$C$10*CEILING(AT$3/100,1)+Resumo!$C$9)*(1+Resumo!$C$11)-(AT$4*(Resumo!$B$6+Resumo!$B$7)+Resumo!$B$9+Resumo!$B$10*CEILING(AT$3/100,1)+(Resumo!$B$12+Resumo!$B$13)*CEILING(AT$3,1))</f>
        <v>219.780987533333</v>
      </c>
      <c r="AU8" s="13" t="n">
        <f aca="false">1-AH8/H8</f>
        <v>0.0361050316392371</v>
      </c>
      <c r="AV8" s="13" t="n">
        <f aca="false">1-AI8/I8</f>
        <v>0.191442942444727</v>
      </c>
      <c r="AW8" s="13" t="n">
        <f aca="false">1-AJ8/J8</f>
        <v>0.216082191889047</v>
      </c>
      <c r="AX8" s="13" t="n">
        <f aca="false">1-AK8/K8</f>
        <v>0.18673407689159</v>
      </c>
      <c r="AY8" s="13" t="n">
        <f aca="false">1-AL8/L8</f>
        <v>0.258260262618718</v>
      </c>
      <c r="AZ8" s="13" t="n">
        <f aca="false">1-AM8/M8</f>
        <v>0.326120978252117</v>
      </c>
      <c r="BA8" s="13" t="n">
        <f aca="false">1-AN8/N8</f>
        <v>0.293513428630791</v>
      </c>
      <c r="BB8" s="13" t="n">
        <f aca="false">1-AO8/O8</f>
        <v>0.343974958597122</v>
      </c>
      <c r="BC8" s="13" t="n">
        <f aca="false">1-AP8/P8</f>
        <v>0.431444945234955</v>
      </c>
      <c r="BD8" s="13" t="n">
        <f aca="false">1-AQ8/Q8</f>
        <v>0.401764723799305</v>
      </c>
      <c r="BE8" s="13" t="n">
        <f aca="false">1-AR8/R8</f>
        <v>0.457772749540577</v>
      </c>
      <c r="BF8" s="13" t="n">
        <f aca="false">1-AS8/S8</f>
        <v>0.811215106382979</v>
      </c>
      <c r="BG8" s="13" t="n">
        <f aca="false">1-AT8/T8</f>
        <v>0.462296355792599</v>
      </c>
    </row>
    <row r="9" customFormat="false" ht="15" hidden="false" customHeight="false" outlineLevel="0" collapsed="false">
      <c r="A9" s="4" t="s">
        <v>197</v>
      </c>
      <c r="B9" s="4" t="s">
        <v>203</v>
      </c>
      <c r="C9" s="34" t="n">
        <v>23860000</v>
      </c>
      <c r="D9" s="34" t="n">
        <v>23889999</v>
      </c>
      <c r="E9" s="4" t="s">
        <v>201</v>
      </c>
      <c r="F9" s="4" t="s">
        <v>204</v>
      </c>
      <c r="G9" s="4" t="n">
        <f aca="false">COUNTIFS(Pedidos!$E$2:$E$2224,"&gt;="&amp;C9,Pedidos!$E$2:$E$2224,"&lt;="&amp;D9)</f>
        <v>6</v>
      </c>
      <c r="H9" s="7" t="n">
        <v>77.35</v>
      </c>
      <c r="I9" s="7" t="n">
        <v>108.83</v>
      </c>
      <c r="J9" s="7" t="n">
        <v>124.38</v>
      </c>
      <c r="K9" s="7" t="n">
        <v>124.38</v>
      </c>
      <c r="L9" s="7" t="n">
        <v>142.32</v>
      </c>
      <c r="M9" s="7" t="n">
        <v>166.05</v>
      </c>
      <c r="N9" s="7" t="n">
        <v>157.88</v>
      </c>
      <c r="O9" s="7" t="n">
        <v>197.35</v>
      </c>
      <c r="P9" s="7" t="n">
        <v>236.82</v>
      </c>
      <c r="Q9" s="7" t="n">
        <v>264.84</v>
      </c>
      <c r="R9" s="7" t="n">
        <v>300.15</v>
      </c>
      <c r="S9" s="7" t="n">
        <v>353.12</v>
      </c>
      <c r="T9" s="7" t="n">
        <v>441.4</v>
      </c>
      <c r="U9" s="7" t="n">
        <v>52.71</v>
      </c>
      <c r="V9" s="7" t="n">
        <v>76.5</v>
      </c>
      <c r="W9" s="7" t="n">
        <v>87.4</v>
      </c>
      <c r="X9" s="7" t="n">
        <v>94</v>
      </c>
      <c r="Y9" s="7" t="n">
        <v>103.6</v>
      </c>
      <c r="Z9" s="7" t="n">
        <v>113.9</v>
      </c>
      <c r="AA9" s="7" t="n">
        <v>124.16</v>
      </c>
      <c r="AB9" s="7" t="n">
        <v>144.41</v>
      </c>
      <c r="AC9" s="7" t="n">
        <v>161.81</v>
      </c>
      <c r="AD9" s="7" t="n">
        <v>197.37</v>
      </c>
      <c r="AE9" s="7" t="n">
        <v>215.7</v>
      </c>
      <c r="AF9" s="7" t="n">
        <v>143.51</v>
      </c>
      <c r="AG9" s="7" t="n">
        <v>304.65</v>
      </c>
      <c r="AH9" s="12" t="n">
        <f aca="false">(U9+AH$4*(Resumo!$C$7+Resumo!$C$8)+Resumo!$C$10*CEILING(AH$3/100,1)+Resumo!$C$9)*(1+Resumo!$C$11)-(AH$4*(Resumo!$B$6+Resumo!$B$7)+Resumo!$B$9+Resumo!$B$10*CEILING(AH$3/100,1)+(Resumo!$B$12+Resumo!$B$13)*CEILING(AH$3,1))</f>
        <v>54.9227352971963</v>
      </c>
      <c r="AI9" s="12" t="n">
        <f aca="false">(V9+AI$4*(Resumo!$C$7+Resumo!$C$8)+Resumo!$C$10*CEILING(AI$3/100,1)+Resumo!$C$9)*(1+Resumo!$C$11)-(AI$4*(Resumo!$B$6+Resumo!$B$7)+Resumo!$B$9+Resumo!$B$10*CEILING(AI$3/100,1)+(Resumo!$B$12+Resumo!$B$13)*CEILING(AI$3,1))</f>
        <v>74.5570462771717</v>
      </c>
      <c r="AJ9" s="12" t="n">
        <f aca="false">(W9+AJ$4*(Resumo!$C$7+Resumo!$C$8)+Resumo!$C$10*CEILING(AJ$3/100,1)+Resumo!$C$9)*(1+Resumo!$C$11)-(AJ$4*(Resumo!$B$6+Resumo!$B$7)+Resumo!$B$9+Resumo!$B$10*CEILING(AJ$3/100,1)+(Resumo!$B$12+Resumo!$B$13)*CEILING(AJ$3,1))</f>
        <v>81.5039345092958</v>
      </c>
      <c r="AK9" s="12" t="n">
        <f aca="false">(X9+AK$4*(Resumo!$C$7+Resumo!$C$8)+Resumo!$C$10*CEILING(AK$3/100,1)+Resumo!$C$9)*(1+Resumo!$C$11)-(AK$4*(Resumo!$B$6+Resumo!$B$7)+Resumo!$B$9+Resumo!$B$10*CEILING(AK$3/100,1)+(Resumo!$B$12+Resumo!$B$13)*CEILING(AK$3,1))</f>
        <v>84.5552580255814</v>
      </c>
      <c r="AL9" s="12" t="n">
        <f aca="false">(Y9+AL$4*(Resumo!$C$7+Resumo!$C$8)+Resumo!$C$10*CEILING(AL$3/100,1)+Resumo!$C$9)*(1+Resumo!$C$11)-(AL$4*(Resumo!$B$6+Resumo!$B$7)+Resumo!$B$9+Resumo!$B$10*CEILING(AL$3/100,1)+(Resumo!$B$12+Resumo!$B$13)*CEILING(AL$3,1))</f>
        <v>90.7147698817308</v>
      </c>
      <c r="AM9" s="12" t="n">
        <f aca="false">(Z9+AM$4*(Resumo!$C$7+Resumo!$C$8)+Resumo!$C$10*CEILING(AM$3/100,1)+Resumo!$C$9)*(1+Resumo!$C$11)-(AM$4*(Resumo!$B$6+Resumo!$B$7)+Resumo!$B$9+Resumo!$B$10*CEILING(AM$3/100,1)+(Resumo!$B$12+Resumo!$B$13)*CEILING(AM$3,1))</f>
        <v>95.0304196468864</v>
      </c>
      <c r="AN9" s="12" t="n">
        <f aca="false">(AA9+AN$4*(Resumo!$C$7+Resumo!$C$8)+Resumo!$C$10*CEILING(AN$3/100,1)+Resumo!$C$9)*(1+Resumo!$C$11)-(AN$4*(Resumo!$B$6+Resumo!$B$7)+Resumo!$B$9+Resumo!$B$10*CEILING(AN$3/100,1)+(Resumo!$B$12+Resumo!$B$13)*CEILING(AN$3,1))</f>
        <v>102.00959604</v>
      </c>
      <c r="AO9" s="12" t="n">
        <f aca="false">(AB9+AO$4*(Resumo!$C$7+Resumo!$C$8)+Resumo!$C$10*CEILING(AO$3/100,1)+Resumo!$C$9)*(1+Resumo!$C$11)-(AO$4*(Resumo!$B$6+Resumo!$B$7)+Resumo!$B$9+Resumo!$B$10*CEILING(AO$3/100,1)+(Resumo!$B$12+Resumo!$B$13)*CEILING(AO$3,1))</f>
        <v>116.765897119298</v>
      </c>
      <c r="AP9" s="12" t="n">
        <f aca="false">(AC9+AP$4*(Resumo!$C$7+Resumo!$C$8)+Resumo!$C$10*CEILING(AP$3/100,1)+Resumo!$C$9)*(1+Resumo!$C$11)-(AP$4*(Resumo!$B$6+Resumo!$B$7)+Resumo!$B$9+Resumo!$B$10*CEILING(AP$3/100,1)+(Resumo!$B$12+Resumo!$B$13)*CEILING(AP$3,1))</f>
        <v>120.300564037736</v>
      </c>
      <c r="AQ9" s="12" t="n">
        <f aca="false">(AD9+AQ$4*(Resumo!$C$7+Resumo!$C$8)+Resumo!$C$10*CEILING(AQ$3/100,1)+Resumo!$C$9)*(1+Resumo!$C$11)-(AQ$4*(Resumo!$B$6+Resumo!$B$7)+Resumo!$B$9+Resumo!$B$10*CEILING(AQ$3/100,1)+(Resumo!$B$12+Resumo!$B$13)*CEILING(AQ$3,1))</f>
        <v>149.110142593023</v>
      </c>
      <c r="AR9" s="12" t="n">
        <f aca="false">(AE9+AR$4*(Resumo!$C$7+Resumo!$C$8)+Resumo!$C$10*CEILING(AR$3/100,1)+Resumo!$C$9)*(1+Resumo!$C$11)-(AR$4*(Resumo!$B$6+Resumo!$B$7)+Resumo!$B$9+Resumo!$B$10*CEILING(AR$3/100,1)+(Resumo!$B$12+Resumo!$B$13)*CEILING(AR$3,1))</f>
        <v>152.447191466667</v>
      </c>
      <c r="AS9" s="12" t="n">
        <f aca="false">(AF9+AS$4*(Resumo!$C$7+Resumo!$C$8)+Resumo!$C$10*CEILING(AS$3/100,1)+Resumo!$C$9)*(1+Resumo!$C$11)-(AS$4*(Resumo!$B$6+Resumo!$B$7)+Resumo!$B$9+Resumo!$B$10*CEILING(AS$3/100,1)+(Resumo!$B$12+Resumo!$B$13)*CEILING(AS$3,1))</f>
        <v>62.11023</v>
      </c>
      <c r="AT9" s="12" t="n">
        <f aca="false">(AG9+AT$4*(Resumo!$C$7+Resumo!$C$8)+Resumo!$C$10*CEILING(AT$3/100,1)+Resumo!$C$9)*(1+Resumo!$C$11)-(AT$4*(Resumo!$B$6+Resumo!$B$7)+Resumo!$B$9+Resumo!$B$10*CEILING(AT$3/100,1)+(Resumo!$B$12+Resumo!$B$13)*CEILING(AT$3,1))</f>
        <v>219.780987533333</v>
      </c>
      <c r="AU9" s="13" t="n">
        <f aca="false">1-AH9/H9</f>
        <v>0.289945245026551</v>
      </c>
      <c r="AV9" s="13" t="n">
        <f aca="false">1-AI9/I9</f>
        <v>0.314921930743621</v>
      </c>
      <c r="AW9" s="13" t="n">
        <f aca="false">1-AJ9/J9</f>
        <v>0.344718326826694</v>
      </c>
      <c r="AX9" s="13" t="n">
        <f aca="false">1-AK9/K9</f>
        <v>0.320186058646234</v>
      </c>
      <c r="AY9" s="13" t="n">
        <f aca="false">1-AL9/L9</f>
        <v>0.362599986778171</v>
      </c>
      <c r="AZ9" s="13" t="n">
        <f aca="false">1-AM9/M9</f>
        <v>0.427699972015137</v>
      </c>
      <c r="BA9" s="13" t="n">
        <f aca="false">1-AN9/N9</f>
        <v>0.353878920445908</v>
      </c>
      <c r="BB9" s="13" t="n">
        <f aca="false">1-AO9/O9</f>
        <v>0.408330898812778</v>
      </c>
      <c r="BC9" s="13" t="n">
        <f aca="false">1-AP9/P9</f>
        <v>0.492016873415523</v>
      </c>
      <c r="BD9" s="13" t="n">
        <f aca="false">1-AQ9/Q9</f>
        <v>0.436980280195502</v>
      </c>
      <c r="BE9" s="13" t="n">
        <f aca="false">1-AR9/R9</f>
        <v>0.492096646787717</v>
      </c>
      <c r="BF9" s="13" t="n">
        <f aca="false">1-AS9/S9</f>
        <v>0.82411013253285</v>
      </c>
      <c r="BG9" s="13" t="n">
        <f aca="false">1-AT9/T9</f>
        <v>0.502082040024166</v>
      </c>
    </row>
    <row r="10" customFormat="false" ht="15" hidden="false" customHeight="false" outlineLevel="0" collapsed="false">
      <c r="A10" s="4" t="s">
        <v>197</v>
      </c>
      <c r="B10" s="4" t="s">
        <v>205</v>
      </c>
      <c r="C10" s="34" t="n">
        <v>23890000</v>
      </c>
      <c r="D10" s="34" t="n">
        <v>23899999</v>
      </c>
      <c r="E10" s="4" t="s">
        <v>201</v>
      </c>
      <c r="F10" s="4" t="s">
        <v>202</v>
      </c>
      <c r="G10" s="4" t="n">
        <f aca="false">COUNTIFS(Pedidos!$E$2:$E$2224,"&gt;="&amp;C10,Pedidos!$E$2:$E$2224,"&lt;="&amp;D10)</f>
        <v>13</v>
      </c>
      <c r="H10" s="7" t="n">
        <v>56.98</v>
      </c>
      <c r="I10" s="7" t="n">
        <v>92.21</v>
      </c>
      <c r="J10" s="7" t="n">
        <v>103.97</v>
      </c>
      <c r="K10" s="7" t="n">
        <v>103.97</v>
      </c>
      <c r="L10" s="7" t="n">
        <v>122.3</v>
      </c>
      <c r="M10" s="7" t="n">
        <v>141.02</v>
      </c>
      <c r="N10" s="7" t="n">
        <v>144.39</v>
      </c>
      <c r="O10" s="7" t="n">
        <v>177.99</v>
      </c>
      <c r="P10" s="7" t="n">
        <v>211.59</v>
      </c>
      <c r="Q10" s="7" t="n">
        <v>249.25</v>
      </c>
      <c r="R10" s="7" t="n">
        <v>281.15</v>
      </c>
      <c r="S10" s="7" t="n">
        <v>329</v>
      </c>
      <c r="T10" s="7" t="n">
        <v>408.74</v>
      </c>
      <c r="U10" s="7" t="n">
        <v>52.71</v>
      </c>
      <c r="V10" s="7" t="n">
        <v>76.5</v>
      </c>
      <c r="W10" s="7" t="n">
        <v>87.4</v>
      </c>
      <c r="X10" s="7" t="n">
        <v>94</v>
      </c>
      <c r="Y10" s="7" t="n">
        <v>103.6</v>
      </c>
      <c r="Z10" s="7" t="n">
        <v>113.9</v>
      </c>
      <c r="AA10" s="7" t="n">
        <v>124.16</v>
      </c>
      <c r="AB10" s="7" t="n">
        <v>144.41</v>
      </c>
      <c r="AC10" s="7" t="n">
        <v>161.81</v>
      </c>
      <c r="AD10" s="7" t="n">
        <v>197.37</v>
      </c>
      <c r="AE10" s="7" t="n">
        <v>215.7</v>
      </c>
      <c r="AF10" s="7" t="n">
        <v>143.51</v>
      </c>
      <c r="AG10" s="7" t="n">
        <v>304.65</v>
      </c>
      <c r="AH10" s="12" t="n">
        <f aca="false">(U10+AH$4*(Resumo!$C$7+Resumo!$C$8)+Resumo!$C$10*CEILING(AH$3/100,1)+Resumo!$C$9)*(1+Resumo!$C$11)-(AH$4*(Resumo!$B$6+Resumo!$B$7)+Resumo!$B$9+Resumo!$B$10*CEILING(AH$3/100,1)+(Resumo!$B$12+Resumo!$B$13)*CEILING(AH$3,1))</f>
        <v>54.9227352971963</v>
      </c>
      <c r="AI10" s="12" t="n">
        <f aca="false">(V10+AI$4*(Resumo!$C$7+Resumo!$C$8)+Resumo!$C$10*CEILING(AI$3/100,1)+Resumo!$C$9)*(1+Resumo!$C$11)-(AI$4*(Resumo!$B$6+Resumo!$B$7)+Resumo!$B$9+Resumo!$B$10*CEILING(AI$3/100,1)+(Resumo!$B$12+Resumo!$B$13)*CEILING(AI$3,1))</f>
        <v>74.5570462771717</v>
      </c>
      <c r="AJ10" s="12" t="n">
        <f aca="false">(W10+AJ$4*(Resumo!$C$7+Resumo!$C$8)+Resumo!$C$10*CEILING(AJ$3/100,1)+Resumo!$C$9)*(1+Resumo!$C$11)-(AJ$4*(Resumo!$B$6+Resumo!$B$7)+Resumo!$B$9+Resumo!$B$10*CEILING(AJ$3/100,1)+(Resumo!$B$12+Resumo!$B$13)*CEILING(AJ$3,1))</f>
        <v>81.5039345092958</v>
      </c>
      <c r="AK10" s="12" t="n">
        <f aca="false">(X10+AK$4*(Resumo!$C$7+Resumo!$C$8)+Resumo!$C$10*CEILING(AK$3/100,1)+Resumo!$C$9)*(1+Resumo!$C$11)-(AK$4*(Resumo!$B$6+Resumo!$B$7)+Resumo!$B$9+Resumo!$B$10*CEILING(AK$3/100,1)+(Resumo!$B$12+Resumo!$B$13)*CEILING(AK$3,1))</f>
        <v>84.5552580255814</v>
      </c>
      <c r="AL10" s="12" t="n">
        <f aca="false">(Y10+AL$4*(Resumo!$C$7+Resumo!$C$8)+Resumo!$C$10*CEILING(AL$3/100,1)+Resumo!$C$9)*(1+Resumo!$C$11)-(AL$4*(Resumo!$B$6+Resumo!$B$7)+Resumo!$B$9+Resumo!$B$10*CEILING(AL$3/100,1)+(Resumo!$B$12+Resumo!$B$13)*CEILING(AL$3,1))</f>
        <v>90.7147698817308</v>
      </c>
      <c r="AM10" s="12" t="n">
        <f aca="false">(Z10+AM$4*(Resumo!$C$7+Resumo!$C$8)+Resumo!$C$10*CEILING(AM$3/100,1)+Resumo!$C$9)*(1+Resumo!$C$11)-(AM$4*(Resumo!$B$6+Resumo!$B$7)+Resumo!$B$9+Resumo!$B$10*CEILING(AM$3/100,1)+(Resumo!$B$12+Resumo!$B$13)*CEILING(AM$3,1))</f>
        <v>95.0304196468864</v>
      </c>
      <c r="AN10" s="12" t="n">
        <f aca="false">(AA10+AN$4*(Resumo!$C$7+Resumo!$C$8)+Resumo!$C$10*CEILING(AN$3/100,1)+Resumo!$C$9)*(1+Resumo!$C$11)-(AN$4*(Resumo!$B$6+Resumo!$B$7)+Resumo!$B$9+Resumo!$B$10*CEILING(AN$3/100,1)+(Resumo!$B$12+Resumo!$B$13)*CEILING(AN$3,1))</f>
        <v>102.00959604</v>
      </c>
      <c r="AO10" s="12" t="n">
        <f aca="false">(AB10+AO$4*(Resumo!$C$7+Resumo!$C$8)+Resumo!$C$10*CEILING(AO$3/100,1)+Resumo!$C$9)*(1+Resumo!$C$11)-(AO$4*(Resumo!$B$6+Resumo!$B$7)+Resumo!$B$9+Resumo!$B$10*CEILING(AO$3/100,1)+(Resumo!$B$12+Resumo!$B$13)*CEILING(AO$3,1))</f>
        <v>116.765897119298</v>
      </c>
      <c r="AP10" s="12" t="n">
        <f aca="false">(AC10+AP$4*(Resumo!$C$7+Resumo!$C$8)+Resumo!$C$10*CEILING(AP$3/100,1)+Resumo!$C$9)*(1+Resumo!$C$11)-(AP$4*(Resumo!$B$6+Resumo!$B$7)+Resumo!$B$9+Resumo!$B$10*CEILING(AP$3/100,1)+(Resumo!$B$12+Resumo!$B$13)*CEILING(AP$3,1))</f>
        <v>120.300564037736</v>
      </c>
      <c r="AQ10" s="12" t="n">
        <f aca="false">(AD10+AQ$4*(Resumo!$C$7+Resumo!$C$8)+Resumo!$C$10*CEILING(AQ$3/100,1)+Resumo!$C$9)*(1+Resumo!$C$11)-(AQ$4*(Resumo!$B$6+Resumo!$B$7)+Resumo!$B$9+Resumo!$B$10*CEILING(AQ$3/100,1)+(Resumo!$B$12+Resumo!$B$13)*CEILING(AQ$3,1))</f>
        <v>149.110142593023</v>
      </c>
      <c r="AR10" s="12" t="n">
        <f aca="false">(AE10+AR$4*(Resumo!$C$7+Resumo!$C$8)+Resumo!$C$10*CEILING(AR$3/100,1)+Resumo!$C$9)*(1+Resumo!$C$11)-(AR$4*(Resumo!$B$6+Resumo!$B$7)+Resumo!$B$9+Resumo!$B$10*CEILING(AR$3/100,1)+(Resumo!$B$12+Resumo!$B$13)*CEILING(AR$3,1))</f>
        <v>152.447191466667</v>
      </c>
      <c r="AS10" s="12" t="n">
        <f aca="false">(AF10+AS$4*(Resumo!$C$7+Resumo!$C$8)+Resumo!$C$10*CEILING(AS$3/100,1)+Resumo!$C$9)*(1+Resumo!$C$11)-(AS$4*(Resumo!$B$6+Resumo!$B$7)+Resumo!$B$9+Resumo!$B$10*CEILING(AS$3/100,1)+(Resumo!$B$12+Resumo!$B$13)*CEILING(AS$3,1))</f>
        <v>62.11023</v>
      </c>
      <c r="AT10" s="12" t="n">
        <f aca="false">(AG10+AT$4*(Resumo!$C$7+Resumo!$C$8)+Resumo!$C$10*CEILING(AT$3/100,1)+Resumo!$C$9)*(1+Resumo!$C$11)-(AT$4*(Resumo!$B$6+Resumo!$B$7)+Resumo!$B$9+Resumo!$B$10*CEILING(AT$3/100,1)+(Resumo!$B$12+Resumo!$B$13)*CEILING(AT$3,1))</f>
        <v>219.780987533333</v>
      </c>
      <c r="AU10" s="13" t="n">
        <f aca="false">1-AH10/H10</f>
        <v>0.0361050316392371</v>
      </c>
      <c r="AV10" s="13" t="n">
        <f aca="false">1-AI10/I10</f>
        <v>0.191442942444727</v>
      </c>
      <c r="AW10" s="13" t="n">
        <f aca="false">1-AJ10/J10</f>
        <v>0.216082191889047</v>
      </c>
      <c r="AX10" s="13" t="n">
        <f aca="false">1-AK10/K10</f>
        <v>0.18673407689159</v>
      </c>
      <c r="AY10" s="13" t="n">
        <f aca="false">1-AL10/L10</f>
        <v>0.258260262618718</v>
      </c>
      <c r="AZ10" s="13" t="n">
        <f aca="false">1-AM10/M10</f>
        <v>0.326120978252117</v>
      </c>
      <c r="BA10" s="13" t="n">
        <f aca="false">1-AN10/N10</f>
        <v>0.293513428630791</v>
      </c>
      <c r="BB10" s="13" t="n">
        <f aca="false">1-AO10/O10</f>
        <v>0.343974958597122</v>
      </c>
      <c r="BC10" s="13" t="n">
        <f aca="false">1-AP10/P10</f>
        <v>0.431444945234955</v>
      </c>
      <c r="BD10" s="13" t="n">
        <f aca="false">1-AQ10/Q10</f>
        <v>0.401764723799305</v>
      </c>
      <c r="BE10" s="13" t="n">
        <f aca="false">1-AR10/R10</f>
        <v>0.457772749540577</v>
      </c>
      <c r="BF10" s="13" t="n">
        <f aca="false">1-AS10/S10</f>
        <v>0.811215106382979</v>
      </c>
      <c r="BG10" s="13" t="n">
        <f aca="false">1-AT10/T10</f>
        <v>0.462296355792599</v>
      </c>
    </row>
    <row r="11" customFormat="false" ht="15" hidden="false" customHeight="false" outlineLevel="0" collapsed="false">
      <c r="A11" s="4" t="s">
        <v>197</v>
      </c>
      <c r="B11" s="4" t="s">
        <v>149</v>
      </c>
      <c r="C11" s="34" t="n">
        <v>23900000</v>
      </c>
      <c r="D11" s="34" t="n">
        <v>23969999</v>
      </c>
      <c r="E11" s="4" t="s">
        <v>201</v>
      </c>
      <c r="F11" s="4" t="s">
        <v>204</v>
      </c>
      <c r="G11" s="4" t="n">
        <f aca="false">COUNTIFS(Pedidos!$E$2:$E$2224,"&gt;="&amp;C11,Pedidos!$E$2:$E$2224,"&lt;="&amp;D11)</f>
        <v>35</v>
      </c>
      <c r="H11" s="7" t="n">
        <v>77.35</v>
      </c>
      <c r="I11" s="7" t="n">
        <v>108.83</v>
      </c>
      <c r="J11" s="7" t="n">
        <v>124.38</v>
      </c>
      <c r="K11" s="7" t="n">
        <v>124.38</v>
      </c>
      <c r="L11" s="7" t="n">
        <v>142.32</v>
      </c>
      <c r="M11" s="7" t="n">
        <v>166.05</v>
      </c>
      <c r="N11" s="7" t="n">
        <v>157.88</v>
      </c>
      <c r="O11" s="7" t="n">
        <v>197.35</v>
      </c>
      <c r="P11" s="7" t="n">
        <v>236.82</v>
      </c>
      <c r="Q11" s="7" t="n">
        <v>264.84</v>
      </c>
      <c r="R11" s="7" t="n">
        <v>300.15</v>
      </c>
      <c r="S11" s="7" t="n">
        <v>353.12</v>
      </c>
      <c r="T11" s="7" t="n">
        <v>441.4</v>
      </c>
      <c r="U11" s="7" t="n">
        <v>52.71</v>
      </c>
      <c r="V11" s="7" t="n">
        <v>76.5</v>
      </c>
      <c r="W11" s="7" t="n">
        <v>87.4</v>
      </c>
      <c r="X11" s="7" t="n">
        <v>94</v>
      </c>
      <c r="Y11" s="7" t="n">
        <v>103.6</v>
      </c>
      <c r="Z11" s="7" t="n">
        <v>113.9</v>
      </c>
      <c r="AA11" s="7" t="n">
        <v>124.16</v>
      </c>
      <c r="AB11" s="7" t="n">
        <v>144.41</v>
      </c>
      <c r="AC11" s="7" t="n">
        <v>161.81</v>
      </c>
      <c r="AD11" s="7" t="n">
        <v>197.37</v>
      </c>
      <c r="AE11" s="7" t="n">
        <v>215.7</v>
      </c>
      <c r="AF11" s="7" t="n">
        <v>143.51</v>
      </c>
      <c r="AG11" s="7" t="n">
        <v>304.65</v>
      </c>
      <c r="AH11" s="12" t="n">
        <f aca="false">(U11+AH$4*(Resumo!$C$7+Resumo!$C$8)+Resumo!$C$10*CEILING(AH$3/100,1)+Resumo!$C$9)*(1+Resumo!$C$11)-(AH$4*(Resumo!$B$6+Resumo!$B$7)+Resumo!$B$9+Resumo!$B$10*CEILING(AH$3/100,1)+(Resumo!$B$12+Resumo!$B$13)*CEILING(AH$3,1))</f>
        <v>54.9227352971963</v>
      </c>
      <c r="AI11" s="12" t="n">
        <f aca="false">(V11+AI$4*(Resumo!$C$7+Resumo!$C$8)+Resumo!$C$10*CEILING(AI$3/100,1)+Resumo!$C$9)*(1+Resumo!$C$11)-(AI$4*(Resumo!$B$6+Resumo!$B$7)+Resumo!$B$9+Resumo!$B$10*CEILING(AI$3/100,1)+(Resumo!$B$12+Resumo!$B$13)*CEILING(AI$3,1))</f>
        <v>74.5570462771717</v>
      </c>
      <c r="AJ11" s="12" t="n">
        <f aca="false">(W11+AJ$4*(Resumo!$C$7+Resumo!$C$8)+Resumo!$C$10*CEILING(AJ$3/100,1)+Resumo!$C$9)*(1+Resumo!$C$11)-(AJ$4*(Resumo!$B$6+Resumo!$B$7)+Resumo!$B$9+Resumo!$B$10*CEILING(AJ$3/100,1)+(Resumo!$B$12+Resumo!$B$13)*CEILING(AJ$3,1))</f>
        <v>81.5039345092958</v>
      </c>
      <c r="AK11" s="12" t="n">
        <f aca="false">(X11+AK$4*(Resumo!$C$7+Resumo!$C$8)+Resumo!$C$10*CEILING(AK$3/100,1)+Resumo!$C$9)*(1+Resumo!$C$11)-(AK$4*(Resumo!$B$6+Resumo!$B$7)+Resumo!$B$9+Resumo!$B$10*CEILING(AK$3/100,1)+(Resumo!$B$12+Resumo!$B$13)*CEILING(AK$3,1))</f>
        <v>84.5552580255814</v>
      </c>
      <c r="AL11" s="12" t="n">
        <f aca="false">(Y11+AL$4*(Resumo!$C$7+Resumo!$C$8)+Resumo!$C$10*CEILING(AL$3/100,1)+Resumo!$C$9)*(1+Resumo!$C$11)-(AL$4*(Resumo!$B$6+Resumo!$B$7)+Resumo!$B$9+Resumo!$B$10*CEILING(AL$3/100,1)+(Resumo!$B$12+Resumo!$B$13)*CEILING(AL$3,1))</f>
        <v>90.7147698817308</v>
      </c>
      <c r="AM11" s="12" t="n">
        <f aca="false">(Z11+AM$4*(Resumo!$C$7+Resumo!$C$8)+Resumo!$C$10*CEILING(AM$3/100,1)+Resumo!$C$9)*(1+Resumo!$C$11)-(AM$4*(Resumo!$B$6+Resumo!$B$7)+Resumo!$B$9+Resumo!$B$10*CEILING(AM$3/100,1)+(Resumo!$B$12+Resumo!$B$13)*CEILING(AM$3,1))</f>
        <v>95.0304196468864</v>
      </c>
      <c r="AN11" s="12" t="n">
        <f aca="false">(AA11+AN$4*(Resumo!$C$7+Resumo!$C$8)+Resumo!$C$10*CEILING(AN$3/100,1)+Resumo!$C$9)*(1+Resumo!$C$11)-(AN$4*(Resumo!$B$6+Resumo!$B$7)+Resumo!$B$9+Resumo!$B$10*CEILING(AN$3/100,1)+(Resumo!$B$12+Resumo!$B$13)*CEILING(AN$3,1))</f>
        <v>102.00959604</v>
      </c>
      <c r="AO11" s="12" t="n">
        <f aca="false">(AB11+AO$4*(Resumo!$C$7+Resumo!$C$8)+Resumo!$C$10*CEILING(AO$3/100,1)+Resumo!$C$9)*(1+Resumo!$C$11)-(AO$4*(Resumo!$B$6+Resumo!$B$7)+Resumo!$B$9+Resumo!$B$10*CEILING(AO$3/100,1)+(Resumo!$B$12+Resumo!$B$13)*CEILING(AO$3,1))</f>
        <v>116.765897119298</v>
      </c>
      <c r="AP11" s="12" t="n">
        <f aca="false">(AC11+AP$4*(Resumo!$C$7+Resumo!$C$8)+Resumo!$C$10*CEILING(AP$3/100,1)+Resumo!$C$9)*(1+Resumo!$C$11)-(AP$4*(Resumo!$B$6+Resumo!$B$7)+Resumo!$B$9+Resumo!$B$10*CEILING(AP$3/100,1)+(Resumo!$B$12+Resumo!$B$13)*CEILING(AP$3,1))</f>
        <v>120.300564037736</v>
      </c>
      <c r="AQ11" s="12" t="n">
        <f aca="false">(AD11+AQ$4*(Resumo!$C$7+Resumo!$C$8)+Resumo!$C$10*CEILING(AQ$3/100,1)+Resumo!$C$9)*(1+Resumo!$C$11)-(AQ$4*(Resumo!$B$6+Resumo!$B$7)+Resumo!$B$9+Resumo!$B$10*CEILING(AQ$3/100,1)+(Resumo!$B$12+Resumo!$B$13)*CEILING(AQ$3,1))</f>
        <v>149.110142593023</v>
      </c>
      <c r="AR11" s="12" t="n">
        <f aca="false">(AE11+AR$4*(Resumo!$C$7+Resumo!$C$8)+Resumo!$C$10*CEILING(AR$3/100,1)+Resumo!$C$9)*(1+Resumo!$C$11)-(AR$4*(Resumo!$B$6+Resumo!$B$7)+Resumo!$B$9+Resumo!$B$10*CEILING(AR$3/100,1)+(Resumo!$B$12+Resumo!$B$13)*CEILING(AR$3,1))</f>
        <v>152.447191466667</v>
      </c>
      <c r="AS11" s="12" t="n">
        <f aca="false">(AF11+AS$4*(Resumo!$C$7+Resumo!$C$8)+Resumo!$C$10*CEILING(AS$3/100,1)+Resumo!$C$9)*(1+Resumo!$C$11)-(AS$4*(Resumo!$B$6+Resumo!$B$7)+Resumo!$B$9+Resumo!$B$10*CEILING(AS$3/100,1)+(Resumo!$B$12+Resumo!$B$13)*CEILING(AS$3,1))</f>
        <v>62.11023</v>
      </c>
      <c r="AT11" s="12" t="n">
        <f aca="false">(AG11+AT$4*(Resumo!$C$7+Resumo!$C$8)+Resumo!$C$10*CEILING(AT$3/100,1)+Resumo!$C$9)*(1+Resumo!$C$11)-(AT$4*(Resumo!$B$6+Resumo!$B$7)+Resumo!$B$9+Resumo!$B$10*CEILING(AT$3/100,1)+(Resumo!$B$12+Resumo!$B$13)*CEILING(AT$3,1))</f>
        <v>219.780987533333</v>
      </c>
      <c r="AU11" s="13" t="n">
        <f aca="false">1-AH11/H11</f>
        <v>0.289945245026551</v>
      </c>
      <c r="AV11" s="13" t="n">
        <f aca="false">1-AI11/I11</f>
        <v>0.314921930743621</v>
      </c>
      <c r="AW11" s="13" t="n">
        <f aca="false">1-AJ11/J11</f>
        <v>0.344718326826694</v>
      </c>
      <c r="AX11" s="13" t="n">
        <f aca="false">1-AK11/K11</f>
        <v>0.320186058646234</v>
      </c>
      <c r="AY11" s="13" t="n">
        <f aca="false">1-AL11/L11</f>
        <v>0.362599986778171</v>
      </c>
      <c r="AZ11" s="13" t="n">
        <f aca="false">1-AM11/M11</f>
        <v>0.427699972015137</v>
      </c>
      <c r="BA11" s="13" t="n">
        <f aca="false">1-AN11/N11</f>
        <v>0.353878920445908</v>
      </c>
      <c r="BB11" s="13" t="n">
        <f aca="false">1-AO11/O11</f>
        <v>0.408330898812778</v>
      </c>
      <c r="BC11" s="13" t="n">
        <f aca="false">1-AP11/P11</f>
        <v>0.492016873415523</v>
      </c>
      <c r="BD11" s="13" t="n">
        <f aca="false">1-AQ11/Q11</f>
        <v>0.436980280195502</v>
      </c>
      <c r="BE11" s="13" t="n">
        <f aca="false">1-AR11/R11</f>
        <v>0.492096646787717</v>
      </c>
      <c r="BF11" s="13" t="n">
        <f aca="false">1-AS11/S11</f>
        <v>0.82411013253285</v>
      </c>
      <c r="BG11" s="13" t="n">
        <f aca="false">1-AT11/T11</f>
        <v>0.502082040024166</v>
      </c>
    </row>
    <row r="12" customFormat="false" ht="15" hidden="false" customHeight="false" outlineLevel="0" collapsed="false">
      <c r="A12" s="4" t="s">
        <v>197</v>
      </c>
      <c r="B12" s="4" t="s">
        <v>206</v>
      </c>
      <c r="C12" s="34" t="n">
        <v>23970000</v>
      </c>
      <c r="D12" s="34" t="n">
        <v>23999999</v>
      </c>
      <c r="E12" s="4" t="s">
        <v>201</v>
      </c>
      <c r="F12" s="4" t="s">
        <v>204</v>
      </c>
      <c r="G12" s="4" t="n">
        <f aca="false">COUNTIFS(Pedidos!$E$2:$E$2224,"&gt;="&amp;C12,Pedidos!$E$2:$E$2224,"&lt;="&amp;D12)</f>
        <v>5</v>
      </c>
      <c r="H12" s="7" t="n">
        <v>77.35</v>
      </c>
      <c r="I12" s="7" t="n">
        <v>108.83</v>
      </c>
      <c r="J12" s="7" t="n">
        <v>124.38</v>
      </c>
      <c r="K12" s="7" t="n">
        <v>124.38</v>
      </c>
      <c r="L12" s="7" t="n">
        <v>142.32</v>
      </c>
      <c r="M12" s="7" t="n">
        <v>166.05</v>
      </c>
      <c r="N12" s="7" t="n">
        <v>157.88</v>
      </c>
      <c r="O12" s="7" t="n">
        <v>197.35</v>
      </c>
      <c r="P12" s="7" t="n">
        <v>236.82</v>
      </c>
      <c r="Q12" s="7" t="n">
        <v>264.84</v>
      </c>
      <c r="R12" s="7" t="n">
        <v>300.15</v>
      </c>
      <c r="S12" s="7" t="n">
        <v>353.12</v>
      </c>
      <c r="T12" s="7" t="n">
        <v>441.4</v>
      </c>
      <c r="U12" s="7" t="n">
        <v>52.71</v>
      </c>
      <c r="V12" s="7" t="n">
        <v>76.5</v>
      </c>
      <c r="W12" s="7" t="n">
        <v>87.4</v>
      </c>
      <c r="X12" s="7" t="n">
        <v>94</v>
      </c>
      <c r="Y12" s="7" t="n">
        <v>103.6</v>
      </c>
      <c r="Z12" s="7" t="n">
        <v>113.9</v>
      </c>
      <c r="AA12" s="7" t="n">
        <v>124.16</v>
      </c>
      <c r="AB12" s="7" t="n">
        <v>144.41</v>
      </c>
      <c r="AC12" s="7" t="n">
        <v>161.81</v>
      </c>
      <c r="AD12" s="7" t="n">
        <v>197.37</v>
      </c>
      <c r="AE12" s="7" t="n">
        <v>215.7</v>
      </c>
      <c r="AF12" s="7" t="n">
        <v>143.51</v>
      </c>
      <c r="AG12" s="7" t="n">
        <v>304.65</v>
      </c>
      <c r="AH12" s="12" t="n">
        <f aca="false">(U12+AH$4*(Resumo!$C$7+Resumo!$C$8)+Resumo!$C$10*CEILING(AH$3/100,1)+Resumo!$C$9)*(1+Resumo!$C$11)-(AH$4*(Resumo!$B$6+Resumo!$B$7)+Resumo!$B$9+Resumo!$B$10*CEILING(AH$3/100,1)+(Resumo!$B$12+Resumo!$B$13)*CEILING(AH$3,1))</f>
        <v>54.9227352971963</v>
      </c>
      <c r="AI12" s="12" t="n">
        <f aca="false">(V12+AI$4*(Resumo!$C$7+Resumo!$C$8)+Resumo!$C$10*CEILING(AI$3/100,1)+Resumo!$C$9)*(1+Resumo!$C$11)-(AI$4*(Resumo!$B$6+Resumo!$B$7)+Resumo!$B$9+Resumo!$B$10*CEILING(AI$3/100,1)+(Resumo!$B$12+Resumo!$B$13)*CEILING(AI$3,1))</f>
        <v>74.5570462771717</v>
      </c>
      <c r="AJ12" s="12" t="n">
        <f aca="false">(W12+AJ$4*(Resumo!$C$7+Resumo!$C$8)+Resumo!$C$10*CEILING(AJ$3/100,1)+Resumo!$C$9)*(1+Resumo!$C$11)-(AJ$4*(Resumo!$B$6+Resumo!$B$7)+Resumo!$B$9+Resumo!$B$10*CEILING(AJ$3/100,1)+(Resumo!$B$12+Resumo!$B$13)*CEILING(AJ$3,1))</f>
        <v>81.5039345092958</v>
      </c>
      <c r="AK12" s="12" t="n">
        <f aca="false">(X12+AK$4*(Resumo!$C$7+Resumo!$C$8)+Resumo!$C$10*CEILING(AK$3/100,1)+Resumo!$C$9)*(1+Resumo!$C$11)-(AK$4*(Resumo!$B$6+Resumo!$B$7)+Resumo!$B$9+Resumo!$B$10*CEILING(AK$3/100,1)+(Resumo!$B$12+Resumo!$B$13)*CEILING(AK$3,1))</f>
        <v>84.5552580255814</v>
      </c>
      <c r="AL12" s="12" t="n">
        <f aca="false">(Y12+AL$4*(Resumo!$C$7+Resumo!$C$8)+Resumo!$C$10*CEILING(AL$3/100,1)+Resumo!$C$9)*(1+Resumo!$C$11)-(AL$4*(Resumo!$B$6+Resumo!$B$7)+Resumo!$B$9+Resumo!$B$10*CEILING(AL$3/100,1)+(Resumo!$B$12+Resumo!$B$13)*CEILING(AL$3,1))</f>
        <v>90.7147698817308</v>
      </c>
      <c r="AM12" s="12" t="n">
        <f aca="false">(Z12+AM$4*(Resumo!$C$7+Resumo!$C$8)+Resumo!$C$10*CEILING(AM$3/100,1)+Resumo!$C$9)*(1+Resumo!$C$11)-(AM$4*(Resumo!$B$6+Resumo!$B$7)+Resumo!$B$9+Resumo!$B$10*CEILING(AM$3/100,1)+(Resumo!$B$12+Resumo!$B$13)*CEILING(AM$3,1))</f>
        <v>95.0304196468864</v>
      </c>
      <c r="AN12" s="12" t="n">
        <f aca="false">(AA12+AN$4*(Resumo!$C$7+Resumo!$C$8)+Resumo!$C$10*CEILING(AN$3/100,1)+Resumo!$C$9)*(1+Resumo!$C$11)-(AN$4*(Resumo!$B$6+Resumo!$B$7)+Resumo!$B$9+Resumo!$B$10*CEILING(AN$3/100,1)+(Resumo!$B$12+Resumo!$B$13)*CEILING(AN$3,1))</f>
        <v>102.00959604</v>
      </c>
      <c r="AO12" s="12" t="n">
        <f aca="false">(AB12+AO$4*(Resumo!$C$7+Resumo!$C$8)+Resumo!$C$10*CEILING(AO$3/100,1)+Resumo!$C$9)*(1+Resumo!$C$11)-(AO$4*(Resumo!$B$6+Resumo!$B$7)+Resumo!$B$9+Resumo!$B$10*CEILING(AO$3/100,1)+(Resumo!$B$12+Resumo!$B$13)*CEILING(AO$3,1))</f>
        <v>116.765897119298</v>
      </c>
      <c r="AP12" s="12" t="n">
        <f aca="false">(AC12+AP$4*(Resumo!$C$7+Resumo!$C$8)+Resumo!$C$10*CEILING(AP$3/100,1)+Resumo!$C$9)*(1+Resumo!$C$11)-(AP$4*(Resumo!$B$6+Resumo!$B$7)+Resumo!$B$9+Resumo!$B$10*CEILING(AP$3/100,1)+(Resumo!$B$12+Resumo!$B$13)*CEILING(AP$3,1))</f>
        <v>120.300564037736</v>
      </c>
      <c r="AQ12" s="12" t="n">
        <f aca="false">(AD12+AQ$4*(Resumo!$C$7+Resumo!$C$8)+Resumo!$C$10*CEILING(AQ$3/100,1)+Resumo!$C$9)*(1+Resumo!$C$11)-(AQ$4*(Resumo!$B$6+Resumo!$B$7)+Resumo!$B$9+Resumo!$B$10*CEILING(AQ$3/100,1)+(Resumo!$B$12+Resumo!$B$13)*CEILING(AQ$3,1))</f>
        <v>149.110142593023</v>
      </c>
      <c r="AR12" s="12" t="n">
        <f aca="false">(AE12+AR$4*(Resumo!$C$7+Resumo!$C$8)+Resumo!$C$10*CEILING(AR$3/100,1)+Resumo!$C$9)*(1+Resumo!$C$11)-(AR$4*(Resumo!$B$6+Resumo!$B$7)+Resumo!$B$9+Resumo!$B$10*CEILING(AR$3/100,1)+(Resumo!$B$12+Resumo!$B$13)*CEILING(AR$3,1))</f>
        <v>152.447191466667</v>
      </c>
      <c r="AS12" s="12" t="n">
        <f aca="false">(AF12+AS$4*(Resumo!$C$7+Resumo!$C$8)+Resumo!$C$10*CEILING(AS$3/100,1)+Resumo!$C$9)*(1+Resumo!$C$11)-(AS$4*(Resumo!$B$6+Resumo!$B$7)+Resumo!$B$9+Resumo!$B$10*CEILING(AS$3/100,1)+(Resumo!$B$12+Resumo!$B$13)*CEILING(AS$3,1))</f>
        <v>62.11023</v>
      </c>
      <c r="AT12" s="12" t="n">
        <f aca="false">(AG12+AT$4*(Resumo!$C$7+Resumo!$C$8)+Resumo!$C$10*CEILING(AT$3/100,1)+Resumo!$C$9)*(1+Resumo!$C$11)-(AT$4*(Resumo!$B$6+Resumo!$B$7)+Resumo!$B$9+Resumo!$B$10*CEILING(AT$3/100,1)+(Resumo!$B$12+Resumo!$B$13)*CEILING(AT$3,1))</f>
        <v>219.780987533333</v>
      </c>
      <c r="AU12" s="13" t="n">
        <f aca="false">1-AH12/H12</f>
        <v>0.289945245026551</v>
      </c>
      <c r="AV12" s="13" t="n">
        <f aca="false">1-AI12/I12</f>
        <v>0.314921930743621</v>
      </c>
      <c r="AW12" s="13" t="n">
        <f aca="false">1-AJ12/J12</f>
        <v>0.344718326826694</v>
      </c>
      <c r="AX12" s="13" t="n">
        <f aca="false">1-AK12/K12</f>
        <v>0.320186058646234</v>
      </c>
      <c r="AY12" s="13" t="n">
        <f aca="false">1-AL12/L12</f>
        <v>0.362599986778171</v>
      </c>
      <c r="AZ12" s="13" t="n">
        <f aca="false">1-AM12/M12</f>
        <v>0.427699972015137</v>
      </c>
      <c r="BA12" s="13" t="n">
        <f aca="false">1-AN12/N12</f>
        <v>0.353878920445908</v>
      </c>
      <c r="BB12" s="13" t="n">
        <f aca="false">1-AO12/O12</f>
        <v>0.408330898812778</v>
      </c>
      <c r="BC12" s="13" t="n">
        <f aca="false">1-AP12/P12</f>
        <v>0.492016873415523</v>
      </c>
      <c r="BD12" s="13" t="n">
        <f aca="false">1-AQ12/Q12</f>
        <v>0.436980280195502</v>
      </c>
      <c r="BE12" s="13" t="n">
        <f aca="false">1-AR12/R12</f>
        <v>0.492096646787717</v>
      </c>
      <c r="BF12" s="13" t="n">
        <f aca="false">1-AS12/S12</f>
        <v>0.82411013253285</v>
      </c>
      <c r="BG12" s="13" t="n">
        <f aca="false">1-AT12/T12</f>
        <v>0.502082040024166</v>
      </c>
    </row>
    <row r="13" customFormat="false" ht="15" hidden="false" customHeight="false" outlineLevel="0" collapsed="false">
      <c r="A13" s="4" t="s">
        <v>197</v>
      </c>
      <c r="B13" s="4" t="s">
        <v>143</v>
      </c>
      <c r="C13" s="34" t="n">
        <v>24000000</v>
      </c>
      <c r="D13" s="34" t="n">
        <v>24399999</v>
      </c>
      <c r="E13" s="4" t="s">
        <v>207</v>
      </c>
      <c r="F13" s="4" t="s">
        <v>208</v>
      </c>
      <c r="G13" s="4" t="n">
        <f aca="false">COUNTIFS(Pedidos!$E$2:$E$2224,"&gt;="&amp;C13,Pedidos!$E$2:$E$2224,"&lt;="&amp;D13)</f>
        <v>68</v>
      </c>
      <c r="H13" s="7" t="n">
        <v>57.47</v>
      </c>
      <c r="I13" s="7" t="n">
        <v>100.58</v>
      </c>
      <c r="J13" s="7" t="n">
        <v>114.95</v>
      </c>
      <c r="K13" s="7" t="n">
        <v>114.95</v>
      </c>
      <c r="L13" s="7" t="n">
        <v>128.14</v>
      </c>
      <c r="M13" s="7" t="n">
        <v>149.5</v>
      </c>
      <c r="N13" s="7" t="n">
        <v>142.74</v>
      </c>
      <c r="O13" s="7" t="n">
        <v>178.42</v>
      </c>
      <c r="P13" s="7" t="n">
        <v>214.11</v>
      </c>
      <c r="Q13" s="7" t="n">
        <v>249.03</v>
      </c>
      <c r="R13" s="7" t="n">
        <v>282.23</v>
      </c>
      <c r="S13" s="7" t="n">
        <v>332.05</v>
      </c>
      <c r="T13" s="7" t="n">
        <v>415.05</v>
      </c>
      <c r="U13" s="7" t="n">
        <v>48.69</v>
      </c>
      <c r="V13" s="7" t="n">
        <v>70</v>
      </c>
      <c r="W13" s="7" t="n">
        <v>79.65</v>
      </c>
      <c r="X13" s="7" t="n">
        <v>82.25</v>
      </c>
      <c r="Y13" s="7" t="n">
        <v>91.6</v>
      </c>
      <c r="Z13" s="7" t="n">
        <v>100.9</v>
      </c>
      <c r="AA13" s="7" t="n">
        <v>110.55</v>
      </c>
      <c r="AB13" s="7" t="n">
        <v>127.92</v>
      </c>
      <c r="AC13" s="7" t="n">
        <v>144.44</v>
      </c>
      <c r="AD13" s="7" t="n">
        <v>183.45</v>
      </c>
      <c r="AE13" s="7" t="n">
        <v>201.15</v>
      </c>
      <c r="AF13" s="7" t="n">
        <v>227.7</v>
      </c>
      <c r="AG13" s="7" t="n">
        <v>285.09</v>
      </c>
      <c r="AH13" s="12" t="n">
        <f aca="false">(U13+AH$4*(Resumo!$C$7+Resumo!$C$8)+Resumo!$C$10*CEILING(AH$3/100,1)+Resumo!$C$9)*(1+Resumo!$C$11)-(AH$4*(Resumo!$B$6+Resumo!$B$7)+Resumo!$B$9+Resumo!$B$10*CEILING(AH$3/100,1)+(Resumo!$B$12+Resumo!$B$13)*CEILING(AH$3,1))</f>
        <v>50.6816352971963</v>
      </c>
      <c r="AI13" s="12" t="n">
        <f aca="false">(V13+AI$4*(Resumo!$C$7+Resumo!$C$8)+Resumo!$C$10*CEILING(AI$3/100,1)+Resumo!$C$9)*(1+Resumo!$C$11)-(AI$4*(Resumo!$B$6+Resumo!$B$7)+Resumo!$B$9+Resumo!$B$10*CEILING(AI$3/100,1)+(Resumo!$B$12+Resumo!$B$13)*CEILING(AI$3,1))</f>
        <v>67.6995462771717</v>
      </c>
      <c r="AJ13" s="12" t="n">
        <f aca="false">(W13+AJ$4*(Resumo!$C$7+Resumo!$C$8)+Resumo!$C$10*CEILING(AJ$3/100,1)+Resumo!$C$9)*(1+Resumo!$C$11)-(AJ$4*(Resumo!$B$6+Resumo!$B$7)+Resumo!$B$9+Resumo!$B$10*CEILING(AJ$3/100,1)+(Resumo!$B$12+Resumo!$B$13)*CEILING(AJ$3,1))</f>
        <v>73.3276845092958</v>
      </c>
      <c r="AK13" s="12" t="n">
        <f aca="false">(X13+AK$4*(Resumo!$C$7+Resumo!$C$8)+Resumo!$C$10*CEILING(AK$3/100,1)+Resumo!$C$9)*(1+Resumo!$C$11)-(AK$4*(Resumo!$B$6+Resumo!$B$7)+Resumo!$B$9+Resumo!$B$10*CEILING(AK$3/100,1)+(Resumo!$B$12+Resumo!$B$13)*CEILING(AK$3,1))</f>
        <v>72.1590080255814</v>
      </c>
      <c r="AL13" s="12" t="n">
        <f aca="false">(Y13+AL$4*(Resumo!$C$7+Resumo!$C$8)+Resumo!$C$10*CEILING(AL$3/100,1)+Resumo!$C$9)*(1+Resumo!$C$11)-(AL$4*(Resumo!$B$6+Resumo!$B$7)+Resumo!$B$9+Resumo!$B$10*CEILING(AL$3/100,1)+(Resumo!$B$12+Resumo!$B$13)*CEILING(AL$3,1))</f>
        <v>78.0547698817308</v>
      </c>
      <c r="AM13" s="12" t="n">
        <f aca="false">(Z13+AM$4*(Resumo!$C$7+Resumo!$C$8)+Resumo!$C$10*CEILING(AM$3/100,1)+Resumo!$C$9)*(1+Resumo!$C$11)-(AM$4*(Resumo!$B$6+Resumo!$B$7)+Resumo!$B$9+Resumo!$B$10*CEILING(AM$3/100,1)+(Resumo!$B$12+Resumo!$B$13)*CEILING(AM$3,1))</f>
        <v>81.3154196468865</v>
      </c>
      <c r="AN13" s="12" t="n">
        <f aca="false">(AA13+AN$4*(Resumo!$C$7+Resumo!$C$8)+Resumo!$C$10*CEILING(AN$3/100,1)+Resumo!$C$9)*(1+Resumo!$C$11)-(AN$4*(Resumo!$B$6+Resumo!$B$7)+Resumo!$B$9+Resumo!$B$10*CEILING(AN$3/100,1)+(Resumo!$B$12+Resumo!$B$13)*CEILING(AN$3,1))</f>
        <v>87.65104604</v>
      </c>
      <c r="AO13" s="12" t="n">
        <f aca="false">(AB13+AO$4*(Resumo!$C$7+Resumo!$C$8)+Resumo!$C$10*CEILING(AO$3/100,1)+Resumo!$C$9)*(1+Resumo!$C$11)-(AO$4*(Resumo!$B$6+Resumo!$B$7)+Resumo!$B$9+Resumo!$B$10*CEILING(AO$3/100,1)+(Resumo!$B$12+Resumo!$B$13)*CEILING(AO$3,1))</f>
        <v>99.3689471192983</v>
      </c>
      <c r="AP13" s="12" t="n">
        <f aca="false">(AC13+AP$4*(Resumo!$C$7+Resumo!$C$8)+Resumo!$C$10*CEILING(AP$3/100,1)+Resumo!$C$9)*(1+Resumo!$C$11)-(AP$4*(Resumo!$B$6+Resumo!$B$7)+Resumo!$B$9+Resumo!$B$10*CEILING(AP$3/100,1)+(Resumo!$B$12+Resumo!$B$13)*CEILING(AP$3,1))</f>
        <v>101.975214037736</v>
      </c>
      <c r="AQ13" s="12" t="n">
        <f aca="false">(AD13+AQ$4*(Resumo!$C$7+Resumo!$C$8)+Resumo!$C$10*CEILING(AQ$3/100,1)+Resumo!$C$9)*(1+Resumo!$C$11)-(AQ$4*(Resumo!$B$6+Resumo!$B$7)+Resumo!$B$9+Resumo!$B$10*CEILING(AQ$3/100,1)+(Resumo!$B$12+Resumo!$B$13)*CEILING(AQ$3,1))</f>
        <v>134.424542593023</v>
      </c>
      <c r="AR13" s="12" t="n">
        <f aca="false">(AE13+AR$4*(Resumo!$C$7+Resumo!$C$8)+Resumo!$C$10*CEILING(AR$3/100,1)+Resumo!$C$9)*(1+Resumo!$C$11)-(AR$4*(Resumo!$B$6+Resumo!$B$7)+Resumo!$B$9+Resumo!$B$10*CEILING(AR$3/100,1)+(Resumo!$B$12+Resumo!$B$13)*CEILING(AR$3,1))</f>
        <v>137.096941466667</v>
      </c>
      <c r="AS13" s="12" t="n">
        <f aca="false">(AF13+AS$4*(Resumo!$C$7+Resumo!$C$8)+Resumo!$C$10*CEILING(AS$3/100,1)+Resumo!$C$9)*(1+Resumo!$C$11)-(AS$4*(Resumo!$B$6+Resumo!$B$7)+Resumo!$B$9+Resumo!$B$10*CEILING(AS$3/100,1)+(Resumo!$B$12+Resumo!$B$13)*CEILING(AS$3,1))</f>
        <v>150.93068</v>
      </c>
      <c r="AT13" s="12" t="n">
        <f aca="false">(AG13+AT$4*(Resumo!$C$7+Resumo!$C$8)+Resumo!$C$10*CEILING(AT$3/100,1)+Resumo!$C$9)*(1+Resumo!$C$11)-(AT$4*(Resumo!$B$6+Resumo!$B$7)+Resumo!$B$9+Resumo!$B$10*CEILING(AT$3/100,1)+(Resumo!$B$12+Resumo!$B$13)*CEILING(AT$3,1))</f>
        <v>199.145187533333</v>
      </c>
      <c r="AU13" s="13" t="n">
        <f aca="false">1-AH13/H13</f>
        <v>0.118120144471964</v>
      </c>
      <c r="AV13" s="13" t="n">
        <f aca="false">1-AI13/I13</f>
        <v>0.326908468113226</v>
      </c>
      <c r="AW13" s="13" t="n">
        <f aca="false">1-AJ13/J13</f>
        <v>0.36209060887955</v>
      </c>
      <c r="AX13" s="13" t="n">
        <f aca="false">1-AK13/K13</f>
        <v>0.372257433444268</v>
      </c>
      <c r="AY13" s="13" t="n">
        <f aca="false">1-AL13/L13</f>
        <v>0.390863353506081</v>
      </c>
      <c r="AZ13" s="13" t="n">
        <f aca="false">1-AM13/M13</f>
        <v>0.456084149519154</v>
      </c>
      <c r="BA13" s="13" t="n">
        <f aca="false">1-AN13/N13</f>
        <v>0.385939147821214</v>
      </c>
      <c r="BB13" s="13" t="n">
        <f aca="false">1-AO13/O13</f>
        <v>0.443061612379227</v>
      </c>
      <c r="BC13" s="13" t="n">
        <f aca="false">1-AP13/P13</f>
        <v>0.523725122424287</v>
      </c>
      <c r="BD13" s="13" t="n">
        <f aca="false">1-AQ13/Q13</f>
        <v>0.460207434473665</v>
      </c>
      <c r="BE13" s="13" t="n">
        <f aca="false">1-AR13/R13</f>
        <v>0.514236822922203</v>
      </c>
      <c r="BF13" s="13" t="n">
        <f aca="false">1-AS13/S13</f>
        <v>0.545457973196808</v>
      </c>
      <c r="BG13" s="13" t="n">
        <f aca="false">1-AT13/T13</f>
        <v>0.52018988668032</v>
      </c>
    </row>
    <row r="14" customFormat="false" ht="15" hidden="false" customHeight="false" outlineLevel="0" collapsed="false">
      <c r="A14" s="4" t="s">
        <v>197</v>
      </c>
      <c r="B14" s="4" t="s">
        <v>140</v>
      </c>
      <c r="C14" s="34" t="n">
        <v>24400000</v>
      </c>
      <c r="D14" s="34" t="n">
        <v>24799999</v>
      </c>
      <c r="E14" s="4" t="s">
        <v>207</v>
      </c>
      <c r="F14" s="4" t="s">
        <v>208</v>
      </c>
      <c r="G14" s="4" t="n">
        <f aca="false">COUNTIFS(Pedidos!$E$2:$E$2224,"&gt;="&amp;C14,Pedidos!$E$2:$E$2224,"&lt;="&amp;D14)</f>
        <v>135</v>
      </c>
      <c r="H14" s="7" t="n">
        <v>57.47</v>
      </c>
      <c r="I14" s="7" t="n">
        <v>100.58</v>
      </c>
      <c r="J14" s="7" t="n">
        <v>114.95</v>
      </c>
      <c r="K14" s="7" t="n">
        <v>114.95</v>
      </c>
      <c r="L14" s="7" t="n">
        <v>128.14</v>
      </c>
      <c r="M14" s="7" t="n">
        <v>149.5</v>
      </c>
      <c r="N14" s="7" t="n">
        <v>142.74</v>
      </c>
      <c r="O14" s="7" t="n">
        <v>178.42</v>
      </c>
      <c r="P14" s="7" t="n">
        <v>214.11</v>
      </c>
      <c r="Q14" s="7" t="n">
        <v>249.03</v>
      </c>
      <c r="R14" s="7" t="n">
        <v>282.23</v>
      </c>
      <c r="S14" s="7" t="n">
        <v>332.05</v>
      </c>
      <c r="T14" s="7" t="n">
        <v>415.05</v>
      </c>
      <c r="U14" s="7" t="n">
        <v>48.69</v>
      </c>
      <c r="V14" s="7" t="n">
        <v>70</v>
      </c>
      <c r="W14" s="7" t="n">
        <v>79.65</v>
      </c>
      <c r="X14" s="7" t="n">
        <v>82.25</v>
      </c>
      <c r="Y14" s="7" t="n">
        <v>91.6</v>
      </c>
      <c r="Z14" s="7" t="n">
        <v>100.9</v>
      </c>
      <c r="AA14" s="7" t="n">
        <v>110.55</v>
      </c>
      <c r="AB14" s="7" t="n">
        <v>127.92</v>
      </c>
      <c r="AC14" s="7" t="n">
        <v>144.44</v>
      </c>
      <c r="AD14" s="7" t="n">
        <v>183.45</v>
      </c>
      <c r="AE14" s="7" t="n">
        <v>201.15</v>
      </c>
      <c r="AF14" s="7" t="n">
        <v>227.7</v>
      </c>
      <c r="AG14" s="7" t="n">
        <v>285.09</v>
      </c>
      <c r="AH14" s="12" t="n">
        <f aca="false">(U14+AH$4*(Resumo!$C$7+Resumo!$C$8)+Resumo!$C$10*CEILING(AH$3/100,1)+Resumo!$C$9)*(1+Resumo!$C$11)-(AH$4*(Resumo!$B$6+Resumo!$B$7)+Resumo!$B$9+Resumo!$B$10*CEILING(AH$3/100,1)+(Resumo!$B$12+Resumo!$B$13)*CEILING(AH$3,1))</f>
        <v>50.6816352971963</v>
      </c>
      <c r="AI14" s="12" t="n">
        <f aca="false">(V14+AI$4*(Resumo!$C$7+Resumo!$C$8)+Resumo!$C$10*CEILING(AI$3/100,1)+Resumo!$C$9)*(1+Resumo!$C$11)-(AI$4*(Resumo!$B$6+Resumo!$B$7)+Resumo!$B$9+Resumo!$B$10*CEILING(AI$3/100,1)+(Resumo!$B$12+Resumo!$B$13)*CEILING(AI$3,1))</f>
        <v>67.6995462771717</v>
      </c>
      <c r="AJ14" s="12" t="n">
        <f aca="false">(W14+AJ$4*(Resumo!$C$7+Resumo!$C$8)+Resumo!$C$10*CEILING(AJ$3/100,1)+Resumo!$C$9)*(1+Resumo!$C$11)-(AJ$4*(Resumo!$B$6+Resumo!$B$7)+Resumo!$B$9+Resumo!$B$10*CEILING(AJ$3/100,1)+(Resumo!$B$12+Resumo!$B$13)*CEILING(AJ$3,1))</f>
        <v>73.3276845092958</v>
      </c>
      <c r="AK14" s="12" t="n">
        <f aca="false">(X14+AK$4*(Resumo!$C$7+Resumo!$C$8)+Resumo!$C$10*CEILING(AK$3/100,1)+Resumo!$C$9)*(1+Resumo!$C$11)-(AK$4*(Resumo!$B$6+Resumo!$B$7)+Resumo!$B$9+Resumo!$B$10*CEILING(AK$3/100,1)+(Resumo!$B$12+Resumo!$B$13)*CEILING(AK$3,1))</f>
        <v>72.1590080255814</v>
      </c>
      <c r="AL14" s="12" t="n">
        <f aca="false">(Y14+AL$4*(Resumo!$C$7+Resumo!$C$8)+Resumo!$C$10*CEILING(AL$3/100,1)+Resumo!$C$9)*(1+Resumo!$C$11)-(AL$4*(Resumo!$B$6+Resumo!$B$7)+Resumo!$B$9+Resumo!$B$10*CEILING(AL$3/100,1)+(Resumo!$B$12+Resumo!$B$13)*CEILING(AL$3,1))</f>
        <v>78.0547698817308</v>
      </c>
      <c r="AM14" s="12" t="n">
        <f aca="false">(Z14+AM$4*(Resumo!$C$7+Resumo!$C$8)+Resumo!$C$10*CEILING(AM$3/100,1)+Resumo!$C$9)*(1+Resumo!$C$11)-(AM$4*(Resumo!$B$6+Resumo!$B$7)+Resumo!$B$9+Resumo!$B$10*CEILING(AM$3/100,1)+(Resumo!$B$12+Resumo!$B$13)*CEILING(AM$3,1))</f>
        <v>81.3154196468865</v>
      </c>
      <c r="AN14" s="12" t="n">
        <f aca="false">(AA14+AN$4*(Resumo!$C$7+Resumo!$C$8)+Resumo!$C$10*CEILING(AN$3/100,1)+Resumo!$C$9)*(1+Resumo!$C$11)-(AN$4*(Resumo!$B$6+Resumo!$B$7)+Resumo!$B$9+Resumo!$B$10*CEILING(AN$3/100,1)+(Resumo!$B$12+Resumo!$B$13)*CEILING(AN$3,1))</f>
        <v>87.65104604</v>
      </c>
      <c r="AO14" s="12" t="n">
        <f aca="false">(AB14+AO$4*(Resumo!$C$7+Resumo!$C$8)+Resumo!$C$10*CEILING(AO$3/100,1)+Resumo!$C$9)*(1+Resumo!$C$11)-(AO$4*(Resumo!$B$6+Resumo!$B$7)+Resumo!$B$9+Resumo!$B$10*CEILING(AO$3/100,1)+(Resumo!$B$12+Resumo!$B$13)*CEILING(AO$3,1))</f>
        <v>99.3689471192983</v>
      </c>
      <c r="AP14" s="12" t="n">
        <f aca="false">(AC14+AP$4*(Resumo!$C$7+Resumo!$C$8)+Resumo!$C$10*CEILING(AP$3/100,1)+Resumo!$C$9)*(1+Resumo!$C$11)-(AP$4*(Resumo!$B$6+Resumo!$B$7)+Resumo!$B$9+Resumo!$B$10*CEILING(AP$3/100,1)+(Resumo!$B$12+Resumo!$B$13)*CEILING(AP$3,1))</f>
        <v>101.975214037736</v>
      </c>
      <c r="AQ14" s="12" t="n">
        <f aca="false">(AD14+AQ$4*(Resumo!$C$7+Resumo!$C$8)+Resumo!$C$10*CEILING(AQ$3/100,1)+Resumo!$C$9)*(1+Resumo!$C$11)-(AQ$4*(Resumo!$B$6+Resumo!$B$7)+Resumo!$B$9+Resumo!$B$10*CEILING(AQ$3/100,1)+(Resumo!$B$12+Resumo!$B$13)*CEILING(AQ$3,1))</f>
        <v>134.424542593023</v>
      </c>
      <c r="AR14" s="12" t="n">
        <f aca="false">(AE14+AR$4*(Resumo!$C$7+Resumo!$C$8)+Resumo!$C$10*CEILING(AR$3/100,1)+Resumo!$C$9)*(1+Resumo!$C$11)-(AR$4*(Resumo!$B$6+Resumo!$B$7)+Resumo!$B$9+Resumo!$B$10*CEILING(AR$3/100,1)+(Resumo!$B$12+Resumo!$B$13)*CEILING(AR$3,1))</f>
        <v>137.096941466667</v>
      </c>
      <c r="AS14" s="12" t="n">
        <f aca="false">(AF14+AS$4*(Resumo!$C$7+Resumo!$C$8)+Resumo!$C$10*CEILING(AS$3/100,1)+Resumo!$C$9)*(1+Resumo!$C$11)-(AS$4*(Resumo!$B$6+Resumo!$B$7)+Resumo!$B$9+Resumo!$B$10*CEILING(AS$3/100,1)+(Resumo!$B$12+Resumo!$B$13)*CEILING(AS$3,1))</f>
        <v>150.93068</v>
      </c>
      <c r="AT14" s="12" t="n">
        <f aca="false">(AG14+AT$4*(Resumo!$C$7+Resumo!$C$8)+Resumo!$C$10*CEILING(AT$3/100,1)+Resumo!$C$9)*(1+Resumo!$C$11)-(AT$4*(Resumo!$B$6+Resumo!$B$7)+Resumo!$B$9+Resumo!$B$10*CEILING(AT$3/100,1)+(Resumo!$B$12+Resumo!$B$13)*CEILING(AT$3,1))</f>
        <v>199.145187533333</v>
      </c>
      <c r="AU14" s="13" t="n">
        <f aca="false">1-AH14/H14</f>
        <v>0.118120144471964</v>
      </c>
      <c r="AV14" s="13" t="n">
        <f aca="false">1-AI14/I14</f>
        <v>0.326908468113226</v>
      </c>
      <c r="AW14" s="13" t="n">
        <f aca="false">1-AJ14/J14</f>
        <v>0.36209060887955</v>
      </c>
      <c r="AX14" s="13" t="n">
        <f aca="false">1-AK14/K14</f>
        <v>0.372257433444268</v>
      </c>
      <c r="AY14" s="13" t="n">
        <f aca="false">1-AL14/L14</f>
        <v>0.390863353506081</v>
      </c>
      <c r="AZ14" s="13" t="n">
        <f aca="false">1-AM14/M14</f>
        <v>0.456084149519154</v>
      </c>
      <c r="BA14" s="13" t="n">
        <f aca="false">1-AN14/N14</f>
        <v>0.385939147821214</v>
      </c>
      <c r="BB14" s="13" t="n">
        <f aca="false">1-AO14/O14</f>
        <v>0.443061612379227</v>
      </c>
      <c r="BC14" s="13" t="n">
        <f aca="false">1-AP14/P14</f>
        <v>0.523725122424287</v>
      </c>
      <c r="BD14" s="13" t="n">
        <f aca="false">1-AQ14/Q14</f>
        <v>0.460207434473665</v>
      </c>
      <c r="BE14" s="13" t="n">
        <f aca="false">1-AR14/R14</f>
        <v>0.514236822922203</v>
      </c>
      <c r="BF14" s="13" t="n">
        <f aca="false">1-AS14/S14</f>
        <v>0.545457973196808</v>
      </c>
      <c r="BG14" s="13" t="n">
        <f aca="false">1-AT14/T14</f>
        <v>0.52018988668032</v>
      </c>
    </row>
    <row r="15" customFormat="false" ht="15" hidden="false" customHeight="false" outlineLevel="0" collapsed="false">
      <c r="A15" s="4" t="s">
        <v>197</v>
      </c>
      <c r="B15" s="4" t="s">
        <v>154</v>
      </c>
      <c r="C15" s="34" t="n">
        <v>24800000</v>
      </c>
      <c r="D15" s="34" t="n">
        <v>24889999</v>
      </c>
      <c r="E15" s="4" t="s">
        <v>201</v>
      </c>
      <c r="F15" s="4" t="s">
        <v>209</v>
      </c>
      <c r="G15" s="4" t="n">
        <f aca="false">COUNTIFS(Pedidos!$E$2:$E$2224,"&gt;="&amp;C15,Pedidos!$E$2:$E$2224,"&lt;="&amp;D15)</f>
        <v>25</v>
      </c>
      <c r="H15" s="7" t="n">
        <v>57.47</v>
      </c>
      <c r="I15" s="7" t="n">
        <v>100.58</v>
      </c>
      <c r="J15" s="7" t="n">
        <v>114.95</v>
      </c>
      <c r="K15" s="7" t="n">
        <v>114.95</v>
      </c>
      <c r="L15" s="7" t="n">
        <v>128.14</v>
      </c>
      <c r="M15" s="7" t="n">
        <v>149.5</v>
      </c>
      <c r="N15" s="7" t="n">
        <v>142.74</v>
      </c>
      <c r="O15" s="7" t="n">
        <v>178.42</v>
      </c>
      <c r="P15" s="7" t="n">
        <v>214.11</v>
      </c>
      <c r="Q15" s="7" t="n">
        <v>249.03</v>
      </c>
      <c r="R15" s="7" t="n">
        <v>282.23</v>
      </c>
      <c r="S15" s="7" t="n">
        <v>332.05</v>
      </c>
      <c r="T15" s="7" t="n">
        <v>415.05</v>
      </c>
      <c r="U15" s="7" t="n">
        <v>52.71</v>
      </c>
      <c r="V15" s="7" t="n">
        <v>76.5</v>
      </c>
      <c r="W15" s="7" t="n">
        <v>87.4</v>
      </c>
      <c r="X15" s="7" t="n">
        <v>94</v>
      </c>
      <c r="Y15" s="7" t="n">
        <v>103.6</v>
      </c>
      <c r="Z15" s="7" t="n">
        <v>113.9</v>
      </c>
      <c r="AA15" s="7" t="n">
        <v>124.16</v>
      </c>
      <c r="AB15" s="7" t="n">
        <v>144.41</v>
      </c>
      <c r="AC15" s="7" t="n">
        <v>161.81</v>
      </c>
      <c r="AD15" s="7" t="n">
        <v>197.37</v>
      </c>
      <c r="AE15" s="7" t="n">
        <v>215.7</v>
      </c>
      <c r="AF15" s="7" t="n">
        <v>143.51</v>
      </c>
      <c r="AG15" s="7" t="n">
        <v>304.65</v>
      </c>
      <c r="AH15" s="12" t="n">
        <f aca="false">(U15+AH$4*(Resumo!$C$7+Resumo!$C$8)+Resumo!$C$10*CEILING(AH$3/100,1)+Resumo!$C$9)*(1+Resumo!$C$11)-(AH$4*(Resumo!$B$6+Resumo!$B$7)+Resumo!$B$9+Resumo!$B$10*CEILING(AH$3/100,1)+(Resumo!$B$12+Resumo!$B$13)*CEILING(AH$3,1))</f>
        <v>54.9227352971963</v>
      </c>
      <c r="AI15" s="12" t="n">
        <f aca="false">(V15+AI$4*(Resumo!$C$7+Resumo!$C$8)+Resumo!$C$10*CEILING(AI$3/100,1)+Resumo!$C$9)*(1+Resumo!$C$11)-(AI$4*(Resumo!$B$6+Resumo!$B$7)+Resumo!$B$9+Resumo!$B$10*CEILING(AI$3/100,1)+(Resumo!$B$12+Resumo!$B$13)*CEILING(AI$3,1))</f>
        <v>74.5570462771717</v>
      </c>
      <c r="AJ15" s="12" t="n">
        <f aca="false">(W15+AJ$4*(Resumo!$C$7+Resumo!$C$8)+Resumo!$C$10*CEILING(AJ$3/100,1)+Resumo!$C$9)*(1+Resumo!$C$11)-(AJ$4*(Resumo!$B$6+Resumo!$B$7)+Resumo!$B$9+Resumo!$B$10*CEILING(AJ$3/100,1)+(Resumo!$B$12+Resumo!$B$13)*CEILING(AJ$3,1))</f>
        <v>81.5039345092958</v>
      </c>
      <c r="AK15" s="12" t="n">
        <f aca="false">(X15+AK$4*(Resumo!$C$7+Resumo!$C$8)+Resumo!$C$10*CEILING(AK$3/100,1)+Resumo!$C$9)*(1+Resumo!$C$11)-(AK$4*(Resumo!$B$6+Resumo!$B$7)+Resumo!$B$9+Resumo!$B$10*CEILING(AK$3/100,1)+(Resumo!$B$12+Resumo!$B$13)*CEILING(AK$3,1))</f>
        <v>84.5552580255814</v>
      </c>
      <c r="AL15" s="12" t="n">
        <f aca="false">(Y15+AL$4*(Resumo!$C$7+Resumo!$C$8)+Resumo!$C$10*CEILING(AL$3/100,1)+Resumo!$C$9)*(1+Resumo!$C$11)-(AL$4*(Resumo!$B$6+Resumo!$B$7)+Resumo!$B$9+Resumo!$B$10*CEILING(AL$3/100,1)+(Resumo!$B$12+Resumo!$B$13)*CEILING(AL$3,1))</f>
        <v>90.7147698817308</v>
      </c>
      <c r="AM15" s="12" t="n">
        <f aca="false">(Z15+AM$4*(Resumo!$C$7+Resumo!$C$8)+Resumo!$C$10*CEILING(AM$3/100,1)+Resumo!$C$9)*(1+Resumo!$C$11)-(AM$4*(Resumo!$B$6+Resumo!$B$7)+Resumo!$B$9+Resumo!$B$10*CEILING(AM$3/100,1)+(Resumo!$B$12+Resumo!$B$13)*CEILING(AM$3,1))</f>
        <v>95.0304196468864</v>
      </c>
      <c r="AN15" s="12" t="n">
        <f aca="false">(AA15+AN$4*(Resumo!$C$7+Resumo!$C$8)+Resumo!$C$10*CEILING(AN$3/100,1)+Resumo!$C$9)*(1+Resumo!$C$11)-(AN$4*(Resumo!$B$6+Resumo!$B$7)+Resumo!$B$9+Resumo!$B$10*CEILING(AN$3/100,1)+(Resumo!$B$12+Resumo!$B$13)*CEILING(AN$3,1))</f>
        <v>102.00959604</v>
      </c>
      <c r="AO15" s="12" t="n">
        <f aca="false">(AB15+AO$4*(Resumo!$C$7+Resumo!$C$8)+Resumo!$C$10*CEILING(AO$3/100,1)+Resumo!$C$9)*(1+Resumo!$C$11)-(AO$4*(Resumo!$B$6+Resumo!$B$7)+Resumo!$B$9+Resumo!$B$10*CEILING(AO$3/100,1)+(Resumo!$B$12+Resumo!$B$13)*CEILING(AO$3,1))</f>
        <v>116.765897119298</v>
      </c>
      <c r="AP15" s="12" t="n">
        <f aca="false">(AC15+AP$4*(Resumo!$C$7+Resumo!$C$8)+Resumo!$C$10*CEILING(AP$3/100,1)+Resumo!$C$9)*(1+Resumo!$C$11)-(AP$4*(Resumo!$B$6+Resumo!$B$7)+Resumo!$B$9+Resumo!$B$10*CEILING(AP$3/100,1)+(Resumo!$B$12+Resumo!$B$13)*CEILING(AP$3,1))</f>
        <v>120.300564037736</v>
      </c>
      <c r="AQ15" s="12" t="n">
        <f aca="false">(AD15+AQ$4*(Resumo!$C$7+Resumo!$C$8)+Resumo!$C$10*CEILING(AQ$3/100,1)+Resumo!$C$9)*(1+Resumo!$C$11)-(AQ$4*(Resumo!$B$6+Resumo!$B$7)+Resumo!$B$9+Resumo!$B$10*CEILING(AQ$3/100,1)+(Resumo!$B$12+Resumo!$B$13)*CEILING(AQ$3,1))</f>
        <v>149.110142593023</v>
      </c>
      <c r="AR15" s="12" t="n">
        <f aca="false">(AE15+AR$4*(Resumo!$C$7+Resumo!$C$8)+Resumo!$C$10*CEILING(AR$3/100,1)+Resumo!$C$9)*(1+Resumo!$C$11)-(AR$4*(Resumo!$B$6+Resumo!$B$7)+Resumo!$B$9+Resumo!$B$10*CEILING(AR$3/100,1)+(Resumo!$B$12+Resumo!$B$13)*CEILING(AR$3,1))</f>
        <v>152.447191466667</v>
      </c>
      <c r="AS15" s="12" t="n">
        <f aca="false">(AF15+AS$4*(Resumo!$C$7+Resumo!$C$8)+Resumo!$C$10*CEILING(AS$3/100,1)+Resumo!$C$9)*(1+Resumo!$C$11)-(AS$4*(Resumo!$B$6+Resumo!$B$7)+Resumo!$B$9+Resumo!$B$10*CEILING(AS$3/100,1)+(Resumo!$B$12+Resumo!$B$13)*CEILING(AS$3,1))</f>
        <v>62.11023</v>
      </c>
      <c r="AT15" s="12" t="n">
        <f aca="false">(AG15+AT$4*(Resumo!$C$7+Resumo!$C$8)+Resumo!$C$10*CEILING(AT$3/100,1)+Resumo!$C$9)*(1+Resumo!$C$11)-(AT$4*(Resumo!$B$6+Resumo!$B$7)+Resumo!$B$9+Resumo!$B$10*CEILING(AT$3/100,1)+(Resumo!$B$12+Resumo!$B$13)*CEILING(AT$3,1))</f>
        <v>219.780987533333</v>
      </c>
      <c r="AU15" s="13" t="n">
        <f aca="false">1-AH15/H15</f>
        <v>0.0443233809431657</v>
      </c>
      <c r="AV15" s="13" t="n">
        <f aca="false">1-AI15/I15</f>
        <v>0.258728909552876</v>
      </c>
      <c r="AW15" s="13" t="n">
        <f aca="false">1-AJ15/J15</f>
        <v>0.290961857248406</v>
      </c>
      <c r="AX15" s="13" t="n">
        <f aca="false">1-AK15/K15</f>
        <v>0.264417068068017</v>
      </c>
      <c r="AY15" s="13" t="n">
        <f aca="false">1-AL15/L15</f>
        <v>0.292065164025825</v>
      </c>
      <c r="AZ15" s="13" t="n">
        <f aca="false">1-AM15/M15</f>
        <v>0.364345019084372</v>
      </c>
      <c r="BA15" s="13" t="n">
        <f aca="false">1-AN15/N15</f>
        <v>0.285346812105927</v>
      </c>
      <c r="BB15" s="13" t="n">
        <f aca="false">1-AO15/O15</f>
        <v>0.345556007626397</v>
      </c>
      <c r="BC15" s="13" t="n">
        <f aca="false">1-AP15/P15</f>
        <v>0.438136639868592</v>
      </c>
      <c r="BD15" s="13" t="n">
        <f aca="false">1-AQ15/Q15</f>
        <v>0.401236226185507</v>
      </c>
      <c r="BE15" s="13" t="n">
        <f aca="false">1-AR15/R15</f>
        <v>0.459847672229506</v>
      </c>
      <c r="BF15" s="13" t="n">
        <f aca="false">1-AS15/S15</f>
        <v>0.812949164282488</v>
      </c>
      <c r="BG15" s="13" t="n">
        <f aca="false">1-AT15/T15</f>
        <v>0.47047105762358</v>
      </c>
    </row>
    <row r="16" customFormat="false" ht="15" hidden="false" customHeight="false" outlineLevel="0" collapsed="false">
      <c r="A16" s="4" t="s">
        <v>197</v>
      </c>
      <c r="B16" s="4" t="s">
        <v>210</v>
      </c>
      <c r="C16" s="34" t="n">
        <v>24890000</v>
      </c>
      <c r="D16" s="34" t="n">
        <v>24899999</v>
      </c>
      <c r="E16" s="4" t="s">
        <v>201</v>
      </c>
      <c r="F16" s="4" t="s">
        <v>209</v>
      </c>
      <c r="G16" s="4" t="n">
        <f aca="false">COUNTIFS(Pedidos!$E$2:$E$2224,"&gt;="&amp;C16,Pedidos!$E$2:$E$2224,"&lt;="&amp;D16)</f>
        <v>0</v>
      </c>
      <c r="H16" s="7" t="n">
        <v>57.47</v>
      </c>
      <c r="I16" s="7" t="n">
        <v>100.58</v>
      </c>
      <c r="J16" s="7" t="n">
        <v>114.95</v>
      </c>
      <c r="K16" s="7" t="n">
        <v>114.95</v>
      </c>
      <c r="L16" s="7" t="n">
        <v>128.14</v>
      </c>
      <c r="M16" s="7" t="n">
        <v>149.5</v>
      </c>
      <c r="N16" s="7" t="n">
        <v>142.74</v>
      </c>
      <c r="O16" s="7" t="n">
        <v>178.42</v>
      </c>
      <c r="P16" s="7" t="n">
        <v>214.11</v>
      </c>
      <c r="Q16" s="7" t="n">
        <v>249.03</v>
      </c>
      <c r="R16" s="7" t="n">
        <v>282.23</v>
      </c>
      <c r="S16" s="7" t="n">
        <v>332.05</v>
      </c>
      <c r="T16" s="7" t="n">
        <v>415.05</v>
      </c>
      <c r="U16" s="7" t="n">
        <v>52.71</v>
      </c>
      <c r="V16" s="7" t="n">
        <v>76.5</v>
      </c>
      <c r="W16" s="7" t="n">
        <v>87.4</v>
      </c>
      <c r="X16" s="7" t="n">
        <v>94</v>
      </c>
      <c r="Y16" s="7" t="n">
        <v>103.6</v>
      </c>
      <c r="Z16" s="7" t="n">
        <v>113.9</v>
      </c>
      <c r="AA16" s="7" t="n">
        <v>124.16</v>
      </c>
      <c r="AB16" s="7" t="n">
        <v>144.41</v>
      </c>
      <c r="AC16" s="7" t="n">
        <v>161.81</v>
      </c>
      <c r="AD16" s="7" t="n">
        <v>197.37</v>
      </c>
      <c r="AE16" s="7" t="n">
        <v>215.7</v>
      </c>
      <c r="AF16" s="7" t="n">
        <v>143.51</v>
      </c>
      <c r="AG16" s="7" t="n">
        <v>304.65</v>
      </c>
      <c r="AH16" s="12" t="n">
        <f aca="false">(U16+AH$4*(Resumo!$C$7+Resumo!$C$8)+Resumo!$C$10*CEILING(AH$3/100,1)+Resumo!$C$9)*(1+Resumo!$C$11)-(AH$4*(Resumo!$B$6+Resumo!$B$7)+Resumo!$B$9+Resumo!$B$10*CEILING(AH$3/100,1)+(Resumo!$B$12+Resumo!$B$13)*CEILING(AH$3,1))</f>
        <v>54.9227352971963</v>
      </c>
      <c r="AI16" s="12" t="n">
        <f aca="false">(V16+AI$4*(Resumo!$C$7+Resumo!$C$8)+Resumo!$C$10*CEILING(AI$3/100,1)+Resumo!$C$9)*(1+Resumo!$C$11)-(AI$4*(Resumo!$B$6+Resumo!$B$7)+Resumo!$B$9+Resumo!$B$10*CEILING(AI$3/100,1)+(Resumo!$B$12+Resumo!$B$13)*CEILING(AI$3,1))</f>
        <v>74.5570462771717</v>
      </c>
      <c r="AJ16" s="12" t="n">
        <f aca="false">(W16+AJ$4*(Resumo!$C$7+Resumo!$C$8)+Resumo!$C$10*CEILING(AJ$3/100,1)+Resumo!$C$9)*(1+Resumo!$C$11)-(AJ$4*(Resumo!$B$6+Resumo!$B$7)+Resumo!$B$9+Resumo!$B$10*CEILING(AJ$3/100,1)+(Resumo!$B$12+Resumo!$B$13)*CEILING(AJ$3,1))</f>
        <v>81.5039345092958</v>
      </c>
      <c r="AK16" s="12" t="n">
        <f aca="false">(X16+AK$4*(Resumo!$C$7+Resumo!$C$8)+Resumo!$C$10*CEILING(AK$3/100,1)+Resumo!$C$9)*(1+Resumo!$C$11)-(AK$4*(Resumo!$B$6+Resumo!$B$7)+Resumo!$B$9+Resumo!$B$10*CEILING(AK$3/100,1)+(Resumo!$B$12+Resumo!$B$13)*CEILING(AK$3,1))</f>
        <v>84.5552580255814</v>
      </c>
      <c r="AL16" s="12" t="n">
        <f aca="false">(Y16+AL$4*(Resumo!$C$7+Resumo!$C$8)+Resumo!$C$10*CEILING(AL$3/100,1)+Resumo!$C$9)*(1+Resumo!$C$11)-(AL$4*(Resumo!$B$6+Resumo!$B$7)+Resumo!$B$9+Resumo!$B$10*CEILING(AL$3/100,1)+(Resumo!$B$12+Resumo!$B$13)*CEILING(AL$3,1))</f>
        <v>90.7147698817308</v>
      </c>
      <c r="AM16" s="12" t="n">
        <f aca="false">(Z16+AM$4*(Resumo!$C$7+Resumo!$C$8)+Resumo!$C$10*CEILING(AM$3/100,1)+Resumo!$C$9)*(1+Resumo!$C$11)-(AM$4*(Resumo!$B$6+Resumo!$B$7)+Resumo!$B$9+Resumo!$B$10*CEILING(AM$3/100,1)+(Resumo!$B$12+Resumo!$B$13)*CEILING(AM$3,1))</f>
        <v>95.0304196468864</v>
      </c>
      <c r="AN16" s="12" t="n">
        <f aca="false">(AA16+AN$4*(Resumo!$C$7+Resumo!$C$8)+Resumo!$C$10*CEILING(AN$3/100,1)+Resumo!$C$9)*(1+Resumo!$C$11)-(AN$4*(Resumo!$B$6+Resumo!$B$7)+Resumo!$B$9+Resumo!$B$10*CEILING(AN$3/100,1)+(Resumo!$B$12+Resumo!$B$13)*CEILING(AN$3,1))</f>
        <v>102.00959604</v>
      </c>
      <c r="AO16" s="12" t="n">
        <f aca="false">(AB16+AO$4*(Resumo!$C$7+Resumo!$C$8)+Resumo!$C$10*CEILING(AO$3/100,1)+Resumo!$C$9)*(1+Resumo!$C$11)-(AO$4*(Resumo!$B$6+Resumo!$B$7)+Resumo!$B$9+Resumo!$B$10*CEILING(AO$3/100,1)+(Resumo!$B$12+Resumo!$B$13)*CEILING(AO$3,1))</f>
        <v>116.765897119298</v>
      </c>
      <c r="AP16" s="12" t="n">
        <f aca="false">(AC16+AP$4*(Resumo!$C$7+Resumo!$C$8)+Resumo!$C$10*CEILING(AP$3/100,1)+Resumo!$C$9)*(1+Resumo!$C$11)-(AP$4*(Resumo!$B$6+Resumo!$B$7)+Resumo!$B$9+Resumo!$B$10*CEILING(AP$3/100,1)+(Resumo!$B$12+Resumo!$B$13)*CEILING(AP$3,1))</f>
        <v>120.300564037736</v>
      </c>
      <c r="AQ16" s="12" t="n">
        <f aca="false">(AD16+AQ$4*(Resumo!$C$7+Resumo!$C$8)+Resumo!$C$10*CEILING(AQ$3/100,1)+Resumo!$C$9)*(1+Resumo!$C$11)-(AQ$4*(Resumo!$B$6+Resumo!$B$7)+Resumo!$B$9+Resumo!$B$10*CEILING(AQ$3/100,1)+(Resumo!$B$12+Resumo!$B$13)*CEILING(AQ$3,1))</f>
        <v>149.110142593023</v>
      </c>
      <c r="AR16" s="12" t="n">
        <f aca="false">(AE16+AR$4*(Resumo!$C$7+Resumo!$C$8)+Resumo!$C$10*CEILING(AR$3/100,1)+Resumo!$C$9)*(1+Resumo!$C$11)-(AR$4*(Resumo!$B$6+Resumo!$B$7)+Resumo!$B$9+Resumo!$B$10*CEILING(AR$3/100,1)+(Resumo!$B$12+Resumo!$B$13)*CEILING(AR$3,1))</f>
        <v>152.447191466667</v>
      </c>
      <c r="AS16" s="12" t="n">
        <f aca="false">(AF16+AS$4*(Resumo!$C$7+Resumo!$C$8)+Resumo!$C$10*CEILING(AS$3/100,1)+Resumo!$C$9)*(1+Resumo!$C$11)-(AS$4*(Resumo!$B$6+Resumo!$B$7)+Resumo!$B$9+Resumo!$B$10*CEILING(AS$3/100,1)+(Resumo!$B$12+Resumo!$B$13)*CEILING(AS$3,1))</f>
        <v>62.11023</v>
      </c>
      <c r="AT16" s="12" t="n">
        <f aca="false">(AG16+AT$4*(Resumo!$C$7+Resumo!$C$8)+Resumo!$C$10*CEILING(AT$3/100,1)+Resumo!$C$9)*(1+Resumo!$C$11)-(AT$4*(Resumo!$B$6+Resumo!$B$7)+Resumo!$B$9+Resumo!$B$10*CEILING(AT$3/100,1)+(Resumo!$B$12+Resumo!$B$13)*CEILING(AT$3,1))</f>
        <v>219.780987533333</v>
      </c>
      <c r="AU16" s="13" t="n">
        <f aca="false">1-AH16/H16</f>
        <v>0.0443233809431657</v>
      </c>
      <c r="AV16" s="13" t="n">
        <f aca="false">1-AI16/I16</f>
        <v>0.258728909552876</v>
      </c>
      <c r="AW16" s="13" t="n">
        <f aca="false">1-AJ16/J16</f>
        <v>0.290961857248406</v>
      </c>
      <c r="AX16" s="13" t="n">
        <f aca="false">1-AK16/K16</f>
        <v>0.264417068068017</v>
      </c>
      <c r="AY16" s="13" t="n">
        <f aca="false">1-AL16/L16</f>
        <v>0.292065164025825</v>
      </c>
      <c r="AZ16" s="13" t="n">
        <f aca="false">1-AM16/M16</f>
        <v>0.364345019084372</v>
      </c>
      <c r="BA16" s="13" t="n">
        <f aca="false">1-AN16/N16</f>
        <v>0.285346812105927</v>
      </c>
      <c r="BB16" s="13" t="n">
        <f aca="false">1-AO16/O16</f>
        <v>0.345556007626397</v>
      </c>
      <c r="BC16" s="13" t="n">
        <f aca="false">1-AP16/P16</f>
        <v>0.438136639868592</v>
      </c>
      <c r="BD16" s="13" t="n">
        <f aca="false">1-AQ16/Q16</f>
        <v>0.401236226185507</v>
      </c>
      <c r="BE16" s="13" t="n">
        <f aca="false">1-AR16/R16</f>
        <v>0.459847672229506</v>
      </c>
      <c r="BF16" s="13" t="n">
        <f aca="false">1-AS16/S16</f>
        <v>0.812949164282488</v>
      </c>
      <c r="BG16" s="13" t="n">
        <f aca="false">1-AT16/T16</f>
        <v>0.47047105762358</v>
      </c>
    </row>
    <row r="17" customFormat="false" ht="15" hidden="false" customHeight="false" outlineLevel="0" collapsed="false">
      <c r="A17" s="4" t="s">
        <v>197</v>
      </c>
      <c r="B17" s="4" t="s">
        <v>151</v>
      </c>
      <c r="C17" s="34" t="n">
        <v>24900000</v>
      </c>
      <c r="D17" s="34" t="n">
        <v>24999999</v>
      </c>
      <c r="E17" s="4" t="s">
        <v>201</v>
      </c>
      <c r="F17" s="4" t="s">
        <v>209</v>
      </c>
      <c r="G17" s="4" t="n">
        <f aca="false">COUNTIFS(Pedidos!$E$2:$E$2224,"&gt;="&amp;C17,Pedidos!$E$2:$E$2224,"&lt;="&amp;D17)</f>
        <v>32</v>
      </c>
      <c r="H17" s="7" t="n">
        <v>57.47</v>
      </c>
      <c r="I17" s="7" t="n">
        <v>100.58</v>
      </c>
      <c r="J17" s="7" t="n">
        <v>114.95</v>
      </c>
      <c r="K17" s="7" t="n">
        <v>114.95</v>
      </c>
      <c r="L17" s="7" t="n">
        <v>128.14</v>
      </c>
      <c r="M17" s="7" t="n">
        <v>149.5</v>
      </c>
      <c r="N17" s="7" t="n">
        <v>142.74</v>
      </c>
      <c r="O17" s="7" t="n">
        <v>178.42</v>
      </c>
      <c r="P17" s="7" t="n">
        <v>214.11</v>
      </c>
      <c r="Q17" s="7" t="n">
        <v>249.03</v>
      </c>
      <c r="R17" s="7" t="n">
        <v>282.23</v>
      </c>
      <c r="S17" s="7" t="n">
        <v>332.05</v>
      </c>
      <c r="T17" s="7" t="n">
        <v>415.05</v>
      </c>
      <c r="U17" s="7" t="n">
        <v>52.71</v>
      </c>
      <c r="V17" s="7" t="n">
        <v>76.5</v>
      </c>
      <c r="W17" s="7" t="n">
        <v>87.4</v>
      </c>
      <c r="X17" s="7" t="n">
        <v>94</v>
      </c>
      <c r="Y17" s="7" t="n">
        <v>103.6</v>
      </c>
      <c r="Z17" s="7" t="n">
        <v>113.9</v>
      </c>
      <c r="AA17" s="7" t="n">
        <v>124.16</v>
      </c>
      <c r="AB17" s="7" t="n">
        <v>144.41</v>
      </c>
      <c r="AC17" s="7" t="n">
        <v>161.81</v>
      </c>
      <c r="AD17" s="7" t="n">
        <v>197.37</v>
      </c>
      <c r="AE17" s="7" t="n">
        <v>215.7</v>
      </c>
      <c r="AF17" s="7" t="n">
        <v>143.51</v>
      </c>
      <c r="AG17" s="7" t="n">
        <v>304.65</v>
      </c>
      <c r="AH17" s="12" t="n">
        <f aca="false">(U17+AH$4*(Resumo!$C$7+Resumo!$C$8)+Resumo!$C$10*CEILING(AH$3/100,1)+Resumo!$C$9)*(1+Resumo!$C$11)-(AH$4*(Resumo!$B$6+Resumo!$B$7)+Resumo!$B$9+Resumo!$B$10*CEILING(AH$3/100,1)+(Resumo!$B$12+Resumo!$B$13)*CEILING(AH$3,1))</f>
        <v>54.9227352971963</v>
      </c>
      <c r="AI17" s="12" t="n">
        <f aca="false">(V17+AI$4*(Resumo!$C$7+Resumo!$C$8)+Resumo!$C$10*CEILING(AI$3/100,1)+Resumo!$C$9)*(1+Resumo!$C$11)-(AI$4*(Resumo!$B$6+Resumo!$B$7)+Resumo!$B$9+Resumo!$B$10*CEILING(AI$3/100,1)+(Resumo!$B$12+Resumo!$B$13)*CEILING(AI$3,1))</f>
        <v>74.5570462771717</v>
      </c>
      <c r="AJ17" s="12" t="n">
        <f aca="false">(W17+AJ$4*(Resumo!$C$7+Resumo!$C$8)+Resumo!$C$10*CEILING(AJ$3/100,1)+Resumo!$C$9)*(1+Resumo!$C$11)-(AJ$4*(Resumo!$B$6+Resumo!$B$7)+Resumo!$B$9+Resumo!$B$10*CEILING(AJ$3/100,1)+(Resumo!$B$12+Resumo!$B$13)*CEILING(AJ$3,1))</f>
        <v>81.5039345092958</v>
      </c>
      <c r="AK17" s="12" t="n">
        <f aca="false">(X17+AK$4*(Resumo!$C$7+Resumo!$C$8)+Resumo!$C$10*CEILING(AK$3/100,1)+Resumo!$C$9)*(1+Resumo!$C$11)-(AK$4*(Resumo!$B$6+Resumo!$B$7)+Resumo!$B$9+Resumo!$B$10*CEILING(AK$3/100,1)+(Resumo!$B$12+Resumo!$B$13)*CEILING(AK$3,1))</f>
        <v>84.5552580255814</v>
      </c>
      <c r="AL17" s="12" t="n">
        <f aca="false">(Y17+AL$4*(Resumo!$C$7+Resumo!$C$8)+Resumo!$C$10*CEILING(AL$3/100,1)+Resumo!$C$9)*(1+Resumo!$C$11)-(AL$4*(Resumo!$B$6+Resumo!$B$7)+Resumo!$B$9+Resumo!$B$10*CEILING(AL$3/100,1)+(Resumo!$B$12+Resumo!$B$13)*CEILING(AL$3,1))</f>
        <v>90.7147698817308</v>
      </c>
      <c r="AM17" s="12" t="n">
        <f aca="false">(Z17+AM$4*(Resumo!$C$7+Resumo!$C$8)+Resumo!$C$10*CEILING(AM$3/100,1)+Resumo!$C$9)*(1+Resumo!$C$11)-(AM$4*(Resumo!$B$6+Resumo!$B$7)+Resumo!$B$9+Resumo!$B$10*CEILING(AM$3/100,1)+(Resumo!$B$12+Resumo!$B$13)*CEILING(AM$3,1))</f>
        <v>95.0304196468864</v>
      </c>
      <c r="AN17" s="12" t="n">
        <f aca="false">(AA17+AN$4*(Resumo!$C$7+Resumo!$C$8)+Resumo!$C$10*CEILING(AN$3/100,1)+Resumo!$C$9)*(1+Resumo!$C$11)-(AN$4*(Resumo!$B$6+Resumo!$B$7)+Resumo!$B$9+Resumo!$B$10*CEILING(AN$3/100,1)+(Resumo!$B$12+Resumo!$B$13)*CEILING(AN$3,1))</f>
        <v>102.00959604</v>
      </c>
      <c r="AO17" s="12" t="n">
        <f aca="false">(AB17+AO$4*(Resumo!$C$7+Resumo!$C$8)+Resumo!$C$10*CEILING(AO$3/100,1)+Resumo!$C$9)*(1+Resumo!$C$11)-(AO$4*(Resumo!$B$6+Resumo!$B$7)+Resumo!$B$9+Resumo!$B$10*CEILING(AO$3/100,1)+(Resumo!$B$12+Resumo!$B$13)*CEILING(AO$3,1))</f>
        <v>116.765897119298</v>
      </c>
      <c r="AP17" s="12" t="n">
        <f aca="false">(AC17+AP$4*(Resumo!$C$7+Resumo!$C$8)+Resumo!$C$10*CEILING(AP$3/100,1)+Resumo!$C$9)*(1+Resumo!$C$11)-(AP$4*(Resumo!$B$6+Resumo!$B$7)+Resumo!$B$9+Resumo!$B$10*CEILING(AP$3/100,1)+(Resumo!$B$12+Resumo!$B$13)*CEILING(AP$3,1))</f>
        <v>120.300564037736</v>
      </c>
      <c r="AQ17" s="12" t="n">
        <f aca="false">(AD17+AQ$4*(Resumo!$C$7+Resumo!$C$8)+Resumo!$C$10*CEILING(AQ$3/100,1)+Resumo!$C$9)*(1+Resumo!$C$11)-(AQ$4*(Resumo!$B$6+Resumo!$B$7)+Resumo!$B$9+Resumo!$B$10*CEILING(AQ$3/100,1)+(Resumo!$B$12+Resumo!$B$13)*CEILING(AQ$3,1))</f>
        <v>149.110142593023</v>
      </c>
      <c r="AR17" s="12" t="n">
        <f aca="false">(AE17+AR$4*(Resumo!$C$7+Resumo!$C$8)+Resumo!$C$10*CEILING(AR$3/100,1)+Resumo!$C$9)*(1+Resumo!$C$11)-(AR$4*(Resumo!$B$6+Resumo!$B$7)+Resumo!$B$9+Resumo!$B$10*CEILING(AR$3/100,1)+(Resumo!$B$12+Resumo!$B$13)*CEILING(AR$3,1))</f>
        <v>152.447191466667</v>
      </c>
      <c r="AS17" s="12" t="n">
        <f aca="false">(AF17+AS$4*(Resumo!$C$7+Resumo!$C$8)+Resumo!$C$10*CEILING(AS$3/100,1)+Resumo!$C$9)*(1+Resumo!$C$11)-(AS$4*(Resumo!$B$6+Resumo!$B$7)+Resumo!$B$9+Resumo!$B$10*CEILING(AS$3/100,1)+(Resumo!$B$12+Resumo!$B$13)*CEILING(AS$3,1))</f>
        <v>62.11023</v>
      </c>
      <c r="AT17" s="12" t="n">
        <f aca="false">(AG17+AT$4*(Resumo!$C$7+Resumo!$C$8)+Resumo!$C$10*CEILING(AT$3/100,1)+Resumo!$C$9)*(1+Resumo!$C$11)-(AT$4*(Resumo!$B$6+Resumo!$B$7)+Resumo!$B$9+Resumo!$B$10*CEILING(AT$3/100,1)+(Resumo!$B$12+Resumo!$B$13)*CEILING(AT$3,1))</f>
        <v>219.780987533333</v>
      </c>
      <c r="AU17" s="13" t="n">
        <f aca="false">1-AH17/H17</f>
        <v>0.0443233809431657</v>
      </c>
      <c r="AV17" s="13" t="n">
        <f aca="false">1-AI17/I17</f>
        <v>0.258728909552876</v>
      </c>
      <c r="AW17" s="13" t="n">
        <f aca="false">1-AJ17/J17</f>
        <v>0.290961857248406</v>
      </c>
      <c r="AX17" s="13" t="n">
        <f aca="false">1-AK17/K17</f>
        <v>0.264417068068017</v>
      </c>
      <c r="AY17" s="13" t="n">
        <f aca="false">1-AL17/L17</f>
        <v>0.292065164025825</v>
      </c>
      <c r="AZ17" s="13" t="n">
        <f aca="false">1-AM17/M17</f>
        <v>0.364345019084372</v>
      </c>
      <c r="BA17" s="13" t="n">
        <f aca="false">1-AN17/N17</f>
        <v>0.285346812105927</v>
      </c>
      <c r="BB17" s="13" t="n">
        <f aca="false">1-AO17/O17</f>
        <v>0.345556007626397</v>
      </c>
      <c r="BC17" s="13" t="n">
        <f aca="false">1-AP17/P17</f>
        <v>0.438136639868592</v>
      </c>
      <c r="BD17" s="13" t="n">
        <f aca="false">1-AQ17/Q17</f>
        <v>0.401236226185507</v>
      </c>
      <c r="BE17" s="13" t="n">
        <f aca="false">1-AR17/R17</f>
        <v>0.459847672229506</v>
      </c>
      <c r="BF17" s="13" t="n">
        <f aca="false">1-AS17/S17</f>
        <v>0.812949164282488</v>
      </c>
      <c r="BG17" s="13" t="n">
        <f aca="false">1-AT17/T17</f>
        <v>0.47047105762358</v>
      </c>
    </row>
    <row r="18" customFormat="false" ht="15" hidden="false" customHeight="false" outlineLevel="0" collapsed="false">
      <c r="A18" s="4" t="s">
        <v>197</v>
      </c>
      <c r="B18" s="4" t="s">
        <v>141</v>
      </c>
      <c r="C18" s="34" t="n">
        <v>25000000</v>
      </c>
      <c r="D18" s="34" t="n">
        <v>25499999</v>
      </c>
      <c r="E18" s="4" t="s">
        <v>207</v>
      </c>
      <c r="F18" s="4" t="s">
        <v>211</v>
      </c>
      <c r="G18" s="4" t="n">
        <f aca="false">COUNTIFS(Pedidos!$E$2:$E$2224,"&gt;="&amp;C18,Pedidos!$E$2:$E$2224,"&lt;="&amp;D18)</f>
        <v>106</v>
      </c>
      <c r="H18" s="7" t="n">
        <v>46.98</v>
      </c>
      <c r="I18" s="7" t="n">
        <v>82.21</v>
      </c>
      <c r="J18" s="7" t="n">
        <v>93.97</v>
      </c>
      <c r="K18" s="7" t="n">
        <v>93.97</v>
      </c>
      <c r="L18" s="7" t="n">
        <v>112.3</v>
      </c>
      <c r="M18" s="7" t="n">
        <v>131.02</v>
      </c>
      <c r="N18" s="7" t="n">
        <v>134.39</v>
      </c>
      <c r="O18" s="7" t="n">
        <v>167.99</v>
      </c>
      <c r="P18" s="7" t="n">
        <v>201.59</v>
      </c>
      <c r="Q18" s="7" t="n">
        <v>239.25</v>
      </c>
      <c r="R18" s="7" t="n">
        <v>271.15</v>
      </c>
      <c r="S18" s="7" t="n">
        <v>319</v>
      </c>
      <c r="T18" s="7" t="n">
        <v>398.74</v>
      </c>
      <c r="U18" s="7" t="n">
        <v>48.69</v>
      </c>
      <c r="V18" s="7" t="n">
        <v>70</v>
      </c>
      <c r="W18" s="7" t="n">
        <v>79.65</v>
      </c>
      <c r="X18" s="7" t="n">
        <v>82.25</v>
      </c>
      <c r="Y18" s="7" t="n">
        <v>91.6</v>
      </c>
      <c r="Z18" s="7" t="n">
        <v>100.9</v>
      </c>
      <c r="AA18" s="7" t="n">
        <v>110.55</v>
      </c>
      <c r="AB18" s="7" t="n">
        <v>127.92</v>
      </c>
      <c r="AC18" s="7" t="n">
        <v>144.44</v>
      </c>
      <c r="AD18" s="7" t="n">
        <v>183.45</v>
      </c>
      <c r="AE18" s="7" t="n">
        <v>201.15</v>
      </c>
      <c r="AF18" s="7" t="n">
        <v>227.7</v>
      </c>
      <c r="AG18" s="7" t="n">
        <v>285.09</v>
      </c>
      <c r="AH18" s="12" t="n">
        <f aca="false">(U18+AH$4*(Resumo!$C$7+Resumo!$C$8)+Resumo!$C$10*CEILING(AH$3/100,1)+Resumo!$C$9)*(1+Resumo!$C$11)-(AH$4*(Resumo!$B$6+Resumo!$B$7)+Resumo!$B$9+Resumo!$B$10*CEILING(AH$3/100,1)+(Resumo!$B$12+Resumo!$B$13)*CEILING(AH$3,1))</f>
        <v>50.6816352971963</v>
      </c>
      <c r="AI18" s="12" t="n">
        <f aca="false">(V18+AI$4*(Resumo!$C$7+Resumo!$C$8)+Resumo!$C$10*CEILING(AI$3/100,1)+Resumo!$C$9)*(1+Resumo!$C$11)-(AI$4*(Resumo!$B$6+Resumo!$B$7)+Resumo!$B$9+Resumo!$B$10*CEILING(AI$3/100,1)+(Resumo!$B$12+Resumo!$B$13)*CEILING(AI$3,1))</f>
        <v>67.6995462771717</v>
      </c>
      <c r="AJ18" s="12" t="n">
        <f aca="false">(W18+AJ$4*(Resumo!$C$7+Resumo!$C$8)+Resumo!$C$10*CEILING(AJ$3/100,1)+Resumo!$C$9)*(1+Resumo!$C$11)-(AJ$4*(Resumo!$B$6+Resumo!$B$7)+Resumo!$B$9+Resumo!$B$10*CEILING(AJ$3/100,1)+(Resumo!$B$12+Resumo!$B$13)*CEILING(AJ$3,1))</f>
        <v>73.3276845092958</v>
      </c>
      <c r="AK18" s="12" t="n">
        <f aca="false">(X18+AK$4*(Resumo!$C$7+Resumo!$C$8)+Resumo!$C$10*CEILING(AK$3/100,1)+Resumo!$C$9)*(1+Resumo!$C$11)-(AK$4*(Resumo!$B$6+Resumo!$B$7)+Resumo!$B$9+Resumo!$B$10*CEILING(AK$3/100,1)+(Resumo!$B$12+Resumo!$B$13)*CEILING(AK$3,1))</f>
        <v>72.1590080255814</v>
      </c>
      <c r="AL18" s="12" t="n">
        <f aca="false">(Y18+AL$4*(Resumo!$C$7+Resumo!$C$8)+Resumo!$C$10*CEILING(AL$3/100,1)+Resumo!$C$9)*(1+Resumo!$C$11)-(AL$4*(Resumo!$B$6+Resumo!$B$7)+Resumo!$B$9+Resumo!$B$10*CEILING(AL$3/100,1)+(Resumo!$B$12+Resumo!$B$13)*CEILING(AL$3,1))</f>
        <v>78.0547698817308</v>
      </c>
      <c r="AM18" s="12" t="n">
        <f aca="false">(Z18+AM$4*(Resumo!$C$7+Resumo!$C$8)+Resumo!$C$10*CEILING(AM$3/100,1)+Resumo!$C$9)*(1+Resumo!$C$11)-(AM$4*(Resumo!$B$6+Resumo!$B$7)+Resumo!$B$9+Resumo!$B$10*CEILING(AM$3/100,1)+(Resumo!$B$12+Resumo!$B$13)*CEILING(AM$3,1))</f>
        <v>81.3154196468865</v>
      </c>
      <c r="AN18" s="12" t="n">
        <f aca="false">(AA18+AN$4*(Resumo!$C$7+Resumo!$C$8)+Resumo!$C$10*CEILING(AN$3/100,1)+Resumo!$C$9)*(1+Resumo!$C$11)-(AN$4*(Resumo!$B$6+Resumo!$B$7)+Resumo!$B$9+Resumo!$B$10*CEILING(AN$3/100,1)+(Resumo!$B$12+Resumo!$B$13)*CEILING(AN$3,1))</f>
        <v>87.65104604</v>
      </c>
      <c r="AO18" s="12" t="n">
        <f aca="false">(AB18+AO$4*(Resumo!$C$7+Resumo!$C$8)+Resumo!$C$10*CEILING(AO$3/100,1)+Resumo!$C$9)*(1+Resumo!$C$11)-(AO$4*(Resumo!$B$6+Resumo!$B$7)+Resumo!$B$9+Resumo!$B$10*CEILING(AO$3/100,1)+(Resumo!$B$12+Resumo!$B$13)*CEILING(AO$3,1))</f>
        <v>99.3689471192983</v>
      </c>
      <c r="AP18" s="12" t="n">
        <f aca="false">(AC18+AP$4*(Resumo!$C$7+Resumo!$C$8)+Resumo!$C$10*CEILING(AP$3/100,1)+Resumo!$C$9)*(1+Resumo!$C$11)-(AP$4*(Resumo!$B$6+Resumo!$B$7)+Resumo!$B$9+Resumo!$B$10*CEILING(AP$3/100,1)+(Resumo!$B$12+Resumo!$B$13)*CEILING(AP$3,1))</f>
        <v>101.975214037736</v>
      </c>
      <c r="AQ18" s="12" t="n">
        <f aca="false">(AD18+AQ$4*(Resumo!$C$7+Resumo!$C$8)+Resumo!$C$10*CEILING(AQ$3/100,1)+Resumo!$C$9)*(1+Resumo!$C$11)-(AQ$4*(Resumo!$B$6+Resumo!$B$7)+Resumo!$B$9+Resumo!$B$10*CEILING(AQ$3/100,1)+(Resumo!$B$12+Resumo!$B$13)*CEILING(AQ$3,1))</f>
        <v>134.424542593023</v>
      </c>
      <c r="AR18" s="12" t="n">
        <f aca="false">(AE18+AR$4*(Resumo!$C$7+Resumo!$C$8)+Resumo!$C$10*CEILING(AR$3/100,1)+Resumo!$C$9)*(1+Resumo!$C$11)-(AR$4*(Resumo!$B$6+Resumo!$B$7)+Resumo!$B$9+Resumo!$B$10*CEILING(AR$3/100,1)+(Resumo!$B$12+Resumo!$B$13)*CEILING(AR$3,1))</f>
        <v>137.096941466667</v>
      </c>
      <c r="AS18" s="12" t="n">
        <f aca="false">(AF18+AS$4*(Resumo!$C$7+Resumo!$C$8)+Resumo!$C$10*CEILING(AS$3/100,1)+Resumo!$C$9)*(1+Resumo!$C$11)-(AS$4*(Resumo!$B$6+Resumo!$B$7)+Resumo!$B$9+Resumo!$B$10*CEILING(AS$3/100,1)+(Resumo!$B$12+Resumo!$B$13)*CEILING(AS$3,1))</f>
        <v>150.93068</v>
      </c>
      <c r="AT18" s="12" t="n">
        <f aca="false">(AG18+AT$4*(Resumo!$C$7+Resumo!$C$8)+Resumo!$C$10*CEILING(AT$3/100,1)+Resumo!$C$9)*(1+Resumo!$C$11)-(AT$4*(Resumo!$B$6+Resumo!$B$7)+Resumo!$B$9+Resumo!$B$10*CEILING(AT$3/100,1)+(Resumo!$B$12+Resumo!$B$13)*CEILING(AT$3,1))</f>
        <v>199.145187533333</v>
      </c>
      <c r="AU18" s="13" t="n">
        <f aca="false">1-AH18/H18</f>
        <v>-0.0787917262068167</v>
      </c>
      <c r="AV18" s="13" t="n">
        <f aca="false">1-AI18/I18</f>
        <v>0.176504728412946</v>
      </c>
      <c r="AW18" s="13" t="n">
        <f aca="false">1-AJ18/J18</f>
        <v>0.219669208159032</v>
      </c>
      <c r="AX18" s="13" t="n">
        <f aca="false">1-AK18/K18</f>
        <v>0.232105905868028</v>
      </c>
      <c r="AY18" s="13" t="n">
        <f aca="false">1-AL18/L18</f>
        <v>0.304944168461881</v>
      </c>
      <c r="AZ18" s="13" t="n">
        <f aca="false">1-AM18/M18</f>
        <v>0.379366358976596</v>
      </c>
      <c r="BA18" s="13" t="n">
        <f aca="false">1-AN18/N18</f>
        <v>0.347785951038024</v>
      </c>
      <c r="BB18" s="13" t="n">
        <f aca="false">1-AO18/O18</f>
        <v>0.408482962561472</v>
      </c>
      <c r="BC18" s="13" t="n">
        <f aca="false">1-AP18/P18</f>
        <v>0.494145473298597</v>
      </c>
      <c r="BD18" s="13" t="n">
        <f aca="false">1-AQ18/Q18</f>
        <v>0.438141932735535</v>
      </c>
      <c r="BE18" s="13" t="n">
        <f aca="false">1-AR18/R18</f>
        <v>0.494387086606429</v>
      </c>
      <c r="BF18" s="13" t="n">
        <f aca="false">1-AS18/S18</f>
        <v>0.526863072100314</v>
      </c>
      <c r="BG18" s="13" t="n">
        <f aca="false">1-AT18/T18</f>
        <v>0.500563807159218</v>
      </c>
    </row>
    <row r="19" customFormat="false" ht="15" hidden="false" customHeight="false" outlineLevel="0" collapsed="false">
      <c r="A19" s="4" t="s">
        <v>197</v>
      </c>
      <c r="B19" s="4" t="s">
        <v>147</v>
      </c>
      <c r="C19" s="34" t="n">
        <v>25500000</v>
      </c>
      <c r="D19" s="34" t="n">
        <v>25599999</v>
      </c>
      <c r="E19" s="4" t="s">
        <v>207</v>
      </c>
      <c r="F19" s="4" t="s">
        <v>211</v>
      </c>
      <c r="G19" s="4" t="n">
        <f aca="false">COUNTIFS(Pedidos!$E$2:$E$2224,"&gt;="&amp;C19,Pedidos!$E$2:$E$2224,"&lt;="&amp;D19)</f>
        <v>37</v>
      </c>
      <c r="H19" s="7" t="n">
        <v>46.98</v>
      </c>
      <c r="I19" s="7" t="n">
        <v>82.21</v>
      </c>
      <c r="J19" s="7" t="n">
        <v>93.97</v>
      </c>
      <c r="K19" s="7" t="n">
        <v>93.97</v>
      </c>
      <c r="L19" s="7" t="n">
        <v>112.3</v>
      </c>
      <c r="M19" s="7" t="n">
        <v>131.02</v>
      </c>
      <c r="N19" s="7" t="n">
        <v>134.39</v>
      </c>
      <c r="O19" s="7" t="n">
        <v>167.99</v>
      </c>
      <c r="P19" s="7" t="n">
        <v>201.59</v>
      </c>
      <c r="Q19" s="7" t="n">
        <v>239.25</v>
      </c>
      <c r="R19" s="7" t="n">
        <v>271.15</v>
      </c>
      <c r="S19" s="7" t="n">
        <v>319</v>
      </c>
      <c r="T19" s="7" t="n">
        <v>398.74</v>
      </c>
      <c r="U19" s="7" t="n">
        <v>48.69</v>
      </c>
      <c r="V19" s="7" t="n">
        <v>70</v>
      </c>
      <c r="W19" s="7" t="n">
        <v>79.65</v>
      </c>
      <c r="X19" s="7" t="n">
        <v>82.25</v>
      </c>
      <c r="Y19" s="7" t="n">
        <v>91.6</v>
      </c>
      <c r="Z19" s="7" t="n">
        <v>100.9</v>
      </c>
      <c r="AA19" s="7" t="n">
        <v>110.55</v>
      </c>
      <c r="AB19" s="7" t="n">
        <v>127.92</v>
      </c>
      <c r="AC19" s="7" t="n">
        <v>144.44</v>
      </c>
      <c r="AD19" s="7" t="n">
        <v>183.45</v>
      </c>
      <c r="AE19" s="7" t="n">
        <v>201.15</v>
      </c>
      <c r="AF19" s="7" t="n">
        <v>227.7</v>
      </c>
      <c r="AG19" s="7" t="n">
        <v>285.09</v>
      </c>
      <c r="AH19" s="12" t="n">
        <f aca="false">(U19+AH$4*(Resumo!$C$7+Resumo!$C$8)+Resumo!$C$10*CEILING(AH$3/100,1)+Resumo!$C$9)*(1+Resumo!$C$11)-(AH$4*(Resumo!$B$6+Resumo!$B$7)+Resumo!$B$9+Resumo!$B$10*CEILING(AH$3/100,1)+(Resumo!$B$12+Resumo!$B$13)*CEILING(AH$3,1))</f>
        <v>50.6816352971963</v>
      </c>
      <c r="AI19" s="12" t="n">
        <f aca="false">(V19+AI$4*(Resumo!$C$7+Resumo!$C$8)+Resumo!$C$10*CEILING(AI$3/100,1)+Resumo!$C$9)*(1+Resumo!$C$11)-(AI$4*(Resumo!$B$6+Resumo!$B$7)+Resumo!$B$9+Resumo!$B$10*CEILING(AI$3/100,1)+(Resumo!$B$12+Resumo!$B$13)*CEILING(AI$3,1))</f>
        <v>67.6995462771717</v>
      </c>
      <c r="AJ19" s="12" t="n">
        <f aca="false">(W19+AJ$4*(Resumo!$C$7+Resumo!$C$8)+Resumo!$C$10*CEILING(AJ$3/100,1)+Resumo!$C$9)*(1+Resumo!$C$11)-(AJ$4*(Resumo!$B$6+Resumo!$B$7)+Resumo!$B$9+Resumo!$B$10*CEILING(AJ$3/100,1)+(Resumo!$B$12+Resumo!$B$13)*CEILING(AJ$3,1))</f>
        <v>73.3276845092958</v>
      </c>
      <c r="AK19" s="12" t="n">
        <f aca="false">(X19+AK$4*(Resumo!$C$7+Resumo!$C$8)+Resumo!$C$10*CEILING(AK$3/100,1)+Resumo!$C$9)*(1+Resumo!$C$11)-(AK$4*(Resumo!$B$6+Resumo!$B$7)+Resumo!$B$9+Resumo!$B$10*CEILING(AK$3/100,1)+(Resumo!$B$12+Resumo!$B$13)*CEILING(AK$3,1))</f>
        <v>72.1590080255814</v>
      </c>
      <c r="AL19" s="12" t="n">
        <f aca="false">(Y19+AL$4*(Resumo!$C$7+Resumo!$C$8)+Resumo!$C$10*CEILING(AL$3/100,1)+Resumo!$C$9)*(1+Resumo!$C$11)-(AL$4*(Resumo!$B$6+Resumo!$B$7)+Resumo!$B$9+Resumo!$B$10*CEILING(AL$3/100,1)+(Resumo!$B$12+Resumo!$B$13)*CEILING(AL$3,1))</f>
        <v>78.0547698817308</v>
      </c>
      <c r="AM19" s="12" t="n">
        <f aca="false">(Z19+AM$4*(Resumo!$C$7+Resumo!$C$8)+Resumo!$C$10*CEILING(AM$3/100,1)+Resumo!$C$9)*(1+Resumo!$C$11)-(AM$4*(Resumo!$B$6+Resumo!$B$7)+Resumo!$B$9+Resumo!$B$10*CEILING(AM$3/100,1)+(Resumo!$B$12+Resumo!$B$13)*CEILING(AM$3,1))</f>
        <v>81.3154196468865</v>
      </c>
      <c r="AN19" s="12" t="n">
        <f aca="false">(AA19+AN$4*(Resumo!$C$7+Resumo!$C$8)+Resumo!$C$10*CEILING(AN$3/100,1)+Resumo!$C$9)*(1+Resumo!$C$11)-(AN$4*(Resumo!$B$6+Resumo!$B$7)+Resumo!$B$9+Resumo!$B$10*CEILING(AN$3/100,1)+(Resumo!$B$12+Resumo!$B$13)*CEILING(AN$3,1))</f>
        <v>87.65104604</v>
      </c>
      <c r="AO19" s="12" t="n">
        <f aca="false">(AB19+AO$4*(Resumo!$C$7+Resumo!$C$8)+Resumo!$C$10*CEILING(AO$3/100,1)+Resumo!$C$9)*(1+Resumo!$C$11)-(AO$4*(Resumo!$B$6+Resumo!$B$7)+Resumo!$B$9+Resumo!$B$10*CEILING(AO$3/100,1)+(Resumo!$B$12+Resumo!$B$13)*CEILING(AO$3,1))</f>
        <v>99.3689471192983</v>
      </c>
      <c r="AP19" s="12" t="n">
        <f aca="false">(AC19+AP$4*(Resumo!$C$7+Resumo!$C$8)+Resumo!$C$10*CEILING(AP$3/100,1)+Resumo!$C$9)*(1+Resumo!$C$11)-(AP$4*(Resumo!$B$6+Resumo!$B$7)+Resumo!$B$9+Resumo!$B$10*CEILING(AP$3/100,1)+(Resumo!$B$12+Resumo!$B$13)*CEILING(AP$3,1))</f>
        <v>101.975214037736</v>
      </c>
      <c r="AQ19" s="12" t="n">
        <f aca="false">(AD19+AQ$4*(Resumo!$C$7+Resumo!$C$8)+Resumo!$C$10*CEILING(AQ$3/100,1)+Resumo!$C$9)*(1+Resumo!$C$11)-(AQ$4*(Resumo!$B$6+Resumo!$B$7)+Resumo!$B$9+Resumo!$B$10*CEILING(AQ$3/100,1)+(Resumo!$B$12+Resumo!$B$13)*CEILING(AQ$3,1))</f>
        <v>134.424542593023</v>
      </c>
      <c r="AR19" s="12" t="n">
        <f aca="false">(AE19+AR$4*(Resumo!$C$7+Resumo!$C$8)+Resumo!$C$10*CEILING(AR$3/100,1)+Resumo!$C$9)*(1+Resumo!$C$11)-(AR$4*(Resumo!$B$6+Resumo!$B$7)+Resumo!$B$9+Resumo!$B$10*CEILING(AR$3/100,1)+(Resumo!$B$12+Resumo!$B$13)*CEILING(AR$3,1))</f>
        <v>137.096941466667</v>
      </c>
      <c r="AS19" s="12" t="n">
        <f aca="false">(AF19+AS$4*(Resumo!$C$7+Resumo!$C$8)+Resumo!$C$10*CEILING(AS$3/100,1)+Resumo!$C$9)*(1+Resumo!$C$11)-(AS$4*(Resumo!$B$6+Resumo!$B$7)+Resumo!$B$9+Resumo!$B$10*CEILING(AS$3/100,1)+(Resumo!$B$12+Resumo!$B$13)*CEILING(AS$3,1))</f>
        <v>150.93068</v>
      </c>
      <c r="AT19" s="12" t="n">
        <f aca="false">(AG19+AT$4*(Resumo!$C$7+Resumo!$C$8)+Resumo!$C$10*CEILING(AT$3/100,1)+Resumo!$C$9)*(1+Resumo!$C$11)-(AT$4*(Resumo!$B$6+Resumo!$B$7)+Resumo!$B$9+Resumo!$B$10*CEILING(AT$3/100,1)+(Resumo!$B$12+Resumo!$B$13)*CEILING(AT$3,1))</f>
        <v>199.145187533333</v>
      </c>
      <c r="AU19" s="13" t="n">
        <f aca="false">1-AH19/H19</f>
        <v>-0.0787917262068167</v>
      </c>
      <c r="AV19" s="13" t="n">
        <f aca="false">1-AI19/I19</f>
        <v>0.176504728412946</v>
      </c>
      <c r="AW19" s="13" t="n">
        <f aca="false">1-AJ19/J19</f>
        <v>0.219669208159032</v>
      </c>
      <c r="AX19" s="13" t="n">
        <f aca="false">1-AK19/K19</f>
        <v>0.232105905868028</v>
      </c>
      <c r="AY19" s="13" t="n">
        <f aca="false">1-AL19/L19</f>
        <v>0.304944168461881</v>
      </c>
      <c r="AZ19" s="13" t="n">
        <f aca="false">1-AM19/M19</f>
        <v>0.379366358976596</v>
      </c>
      <c r="BA19" s="13" t="n">
        <f aca="false">1-AN19/N19</f>
        <v>0.347785951038024</v>
      </c>
      <c r="BB19" s="13" t="n">
        <f aca="false">1-AO19/O19</f>
        <v>0.408482962561472</v>
      </c>
      <c r="BC19" s="13" t="n">
        <f aca="false">1-AP19/P19</f>
        <v>0.494145473298597</v>
      </c>
      <c r="BD19" s="13" t="n">
        <f aca="false">1-AQ19/Q19</f>
        <v>0.438141932735535</v>
      </c>
      <c r="BE19" s="13" t="n">
        <f aca="false">1-AR19/R19</f>
        <v>0.494387086606429</v>
      </c>
      <c r="BF19" s="13" t="n">
        <f aca="false">1-AS19/S19</f>
        <v>0.526863072100314</v>
      </c>
      <c r="BG19" s="13" t="n">
        <f aca="false">1-AT19/T19</f>
        <v>0.500563807159218</v>
      </c>
    </row>
    <row r="20" customFormat="false" ht="15" hidden="false" customHeight="false" outlineLevel="0" collapsed="false">
      <c r="A20" s="4" t="s">
        <v>197</v>
      </c>
      <c r="B20" s="4" t="s">
        <v>150</v>
      </c>
      <c r="C20" s="34" t="n">
        <v>25600000</v>
      </c>
      <c r="D20" s="34" t="n">
        <v>25779999</v>
      </c>
      <c r="E20" s="4" t="s">
        <v>201</v>
      </c>
      <c r="F20" s="4" t="s">
        <v>212</v>
      </c>
      <c r="G20" s="4" t="n">
        <f aca="false">COUNTIFS(Pedidos!$E$2:$E$2224,"&gt;="&amp;C20,Pedidos!$E$2:$E$2224,"&lt;="&amp;D20)</f>
        <v>32</v>
      </c>
      <c r="H20" s="7" t="n">
        <v>89.03</v>
      </c>
      <c r="I20" s="7" t="n">
        <v>108.83</v>
      </c>
      <c r="J20" s="7" t="n">
        <v>124.38</v>
      </c>
      <c r="K20" s="7" t="n">
        <v>124.38</v>
      </c>
      <c r="L20" s="7" t="n">
        <v>142.32</v>
      </c>
      <c r="M20" s="7" t="n">
        <v>166.05</v>
      </c>
      <c r="N20" s="7" t="n">
        <v>166.05</v>
      </c>
      <c r="O20" s="7" t="n">
        <v>197.35</v>
      </c>
      <c r="P20" s="7" t="n">
        <v>236.82</v>
      </c>
      <c r="Q20" s="7" t="n">
        <v>264.84</v>
      </c>
      <c r="R20" s="7" t="n">
        <v>300.15</v>
      </c>
      <c r="S20" s="7" t="n">
        <v>353.12</v>
      </c>
      <c r="T20" s="7" t="n">
        <v>441.4</v>
      </c>
      <c r="U20" s="7" t="n">
        <v>52.71</v>
      </c>
      <c r="V20" s="7" t="n">
        <v>76.5</v>
      </c>
      <c r="W20" s="7" t="n">
        <v>87.4</v>
      </c>
      <c r="X20" s="7" t="n">
        <v>94</v>
      </c>
      <c r="Y20" s="7" t="n">
        <v>103.6</v>
      </c>
      <c r="Z20" s="7" t="n">
        <v>113.9</v>
      </c>
      <c r="AA20" s="7" t="n">
        <v>124.16</v>
      </c>
      <c r="AB20" s="7" t="n">
        <v>144.41</v>
      </c>
      <c r="AC20" s="7" t="n">
        <v>161.81</v>
      </c>
      <c r="AD20" s="7" t="n">
        <v>197.37</v>
      </c>
      <c r="AE20" s="7" t="n">
        <v>215.7</v>
      </c>
      <c r="AF20" s="7" t="n">
        <v>143.51</v>
      </c>
      <c r="AG20" s="7" t="n">
        <v>304.65</v>
      </c>
      <c r="AH20" s="12" t="n">
        <f aca="false">(U20+AH$4*(Resumo!$C$7+Resumo!$C$8)+Resumo!$C$10*CEILING(AH$3/100,1)+Resumo!$C$9)*(1+Resumo!$C$11)-(AH$4*(Resumo!$B$6+Resumo!$B$7)+Resumo!$B$9+Resumo!$B$10*CEILING(AH$3/100,1)+(Resumo!$B$12+Resumo!$B$13)*CEILING(AH$3,1))</f>
        <v>54.9227352971963</v>
      </c>
      <c r="AI20" s="12" t="n">
        <f aca="false">(V20+AI$4*(Resumo!$C$7+Resumo!$C$8)+Resumo!$C$10*CEILING(AI$3/100,1)+Resumo!$C$9)*(1+Resumo!$C$11)-(AI$4*(Resumo!$B$6+Resumo!$B$7)+Resumo!$B$9+Resumo!$B$10*CEILING(AI$3/100,1)+(Resumo!$B$12+Resumo!$B$13)*CEILING(AI$3,1))</f>
        <v>74.5570462771717</v>
      </c>
      <c r="AJ20" s="12" t="n">
        <f aca="false">(W20+AJ$4*(Resumo!$C$7+Resumo!$C$8)+Resumo!$C$10*CEILING(AJ$3/100,1)+Resumo!$C$9)*(1+Resumo!$C$11)-(AJ$4*(Resumo!$B$6+Resumo!$B$7)+Resumo!$B$9+Resumo!$B$10*CEILING(AJ$3/100,1)+(Resumo!$B$12+Resumo!$B$13)*CEILING(AJ$3,1))</f>
        <v>81.5039345092958</v>
      </c>
      <c r="AK20" s="12" t="n">
        <f aca="false">(X20+AK$4*(Resumo!$C$7+Resumo!$C$8)+Resumo!$C$10*CEILING(AK$3/100,1)+Resumo!$C$9)*(1+Resumo!$C$11)-(AK$4*(Resumo!$B$6+Resumo!$B$7)+Resumo!$B$9+Resumo!$B$10*CEILING(AK$3/100,1)+(Resumo!$B$12+Resumo!$B$13)*CEILING(AK$3,1))</f>
        <v>84.5552580255814</v>
      </c>
      <c r="AL20" s="12" t="n">
        <f aca="false">(Y20+AL$4*(Resumo!$C$7+Resumo!$C$8)+Resumo!$C$10*CEILING(AL$3/100,1)+Resumo!$C$9)*(1+Resumo!$C$11)-(AL$4*(Resumo!$B$6+Resumo!$B$7)+Resumo!$B$9+Resumo!$B$10*CEILING(AL$3/100,1)+(Resumo!$B$12+Resumo!$B$13)*CEILING(AL$3,1))</f>
        <v>90.7147698817308</v>
      </c>
      <c r="AM20" s="12" t="n">
        <f aca="false">(Z20+AM$4*(Resumo!$C$7+Resumo!$C$8)+Resumo!$C$10*CEILING(AM$3/100,1)+Resumo!$C$9)*(1+Resumo!$C$11)-(AM$4*(Resumo!$B$6+Resumo!$B$7)+Resumo!$B$9+Resumo!$B$10*CEILING(AM$3/100,1)+(Resumo!$B$12+Resumo!$B$13)*CEILING(AM$3,1))</f>
        <v>95.0304196468864</v>
      </c>
      <c r="AN20" s="12" t="n">
        <f aca="false">(AA20+AN$4*(Resumo!$C$7+Resumo!$C$8)+Resumo!$C$10*CEILING(AN$3/100,1)+Resumo!$C$9)*(1+Resumo!$C$11)-(AN$4*(Resumo!$B$6+Resumo!$B$7)+Resumo!$B$9+Resumo!$B$10*CEILING(AN$3/100,1)+(Resumo!$B$12+Resumo!$B$13)*CEILING(AN$3,1))</f>
        <v>102.00959604</v>
      </c>
      <c r="AO20" s="12" t="n">
        <f aca="false">(AB20+AO$4*(Resumo!$C$7+Resumo!$C$8)+Resumo!$C$10*CEILING(AO$3/100,1)+Resumo!$C$9)*(1+Resumo!$C$11)-(AO$4*(Resumo!$B$6+Resumo!$B$7)+Resumo!$B$9+Resumo!$B$10*CEILING(AO$3/100,1)+(Resumo!$B$12+Resumo!$B$13)*CEILING(AO$3,1))</f>
        <v>116.765897119298</v>
      </c>
      <c r="AP20" s="12" t="n">
        <f aca="false">(AC20+AP$4*(Resumo!$C$7+Resumo!$C$8)+Resumo!$C$10*CEILING(AP$3/100,1)+Resumo!$C$9)*(1+Resumo!$C$11)-(AP$4*(Resumo!$B$6+Resumo!$B$7)+Resumo!$B$9+Resumo!$B$10*CEILING(AP$3/100,1)+(Resumo!$B$12+Resumo!$B$13)*CEILING(AP$3,1))</f>
        <v>120.300564037736</v>
      </c>
      <c r="AQ20" s="12" t="n">
        <f aca="false">(AD20+AQ$4*(Resumo!$C$7+Resumo!$C$8)+Resumo!$C$10*CEILING(AQ$3/100,1)+Resumo!$C$9)*(1+Resumo!$C$11)-(AQ$4*(Resumo!$B$6+Resumo!$B$7)+Resumo!$B$9+Resumo!$B$10*CEILING(AQ$3/100,1)+(Resumo!$B$12+Resumo!$B$13)*CEILING(AQ$3,1))</f>
        <v>149.110142593023</v>
      </c>
      <c r="AR20" s="12" t="n">
        <f aca="false">(AE20+AR$4*(Resumo!$C$7+Resumo!$C$8)+Resumo!$C$10*CEILING(AR$3/100,1)+Resumo!$C$9)*(1+Resumo!$C$11)-(AR$4*(Resumo!$B$6+Resumo!$B$7)+Resumo!$B$9+Resumo!$B$10*CEILING(AR$3/100,1)+(Resumo!$B$12+Resumo!$B$13)*CEILING(AR$3,1))</f>
        <v>152.447191466667</v>
      </c>
      <c r="AS20" s="12" t="n">
        <f aca="false">(AF20+AS$4*(Resumo!$C$7+Resumo!$C$8)+Resumo!$C$10*CEILING(AS$3/100,1)+Resumo!$C$9)*(1+Resumo!$C$11)-(AS$4*(Resumo!$B$6+Resumo!$B$7)+Resumo!$B$9+Resumo!$B$10*CEILING(AS$3/100,1)+(Resumo!$B$12+Resumo!$B$13)*CEILING(AS$3,1))</f>
        <v>62.11023</v>
      </c>
      <c r="AT20" s="12" t="n">
        <f aca="false">(AG20+AT$4*(Resumo!$C$7+Resumo!$C$8)+Resumo!$C$10*CEILING(AT$3/100,1)+Resumo!$C$9)*(1+Resumo!$C$11)-(AT$4*(Resumo!$B$6+Resumo!$B$7)+Resumo!$B$9+Resumo!$B$10*CEILING(AT$3/100,1)+(Resumo!$B$12+Resumo!$B$13)*CEILING(AT$3,1))</f>
        <v>219.780987533333</v>
      </c>
      <c r="AU20" s="13" t="n">
        <f aca="false">1-AH20/H20</f>
        <v>0.383098558944218</v>
      </c>
      <c r="AV20" s="13" t="n">
        <f aca="false">1-AI20/I20</f>
        <v>0.314921930743621</v>
      </c>
      <c r="AW20" s="13" t="n">
        <f aca="false">1-AJ20/J20</f>
        <v>0.344718326826694</v>
      </c>
      <c r="AX20" s="13" t="n">
        <f aca="false">1-AK20/K20</f>
        <v>0.320186058646234</v>
      </c>
      <c r="AY20" s="13" t="n">
        <f aca="false">1-AL20/L20</f>
        <v>0.362599986778171</v>
      </c>
      <c r="AZ20" s="13" t="n">
        <f aca="false">1-AM20/M20</f>
        <v>0.427699972015137</v>
      </c>
      <c r="BA20" s="13" t="n">
        <f aca="false">1-AN20/N20</f>
        <v>0.385669400542005</v>
      </c>
      <c r="BB20" s="13" t="n">
        <f aca="false">1-AO20/O20</f>
        <v>0.408330898812778</v>
      </c>
      <c r="BC20" s="13" t="n">
        <f aca="false">1-AP20/P20</f>
        <v>0.492016873415523</v>
      </c>
      <c r="BD20" s="13" t="n">
        <f aca="false">1-AQ20/Q20</f>
        <v>0.436980280195502</v>
      </c>
      <c r="BE20" s="13" t="n">
        <f aca="false">1-AR20/R20</f>
        <v>0.492096646787717</v>
      </c>
      <c r="BF20" s="13" t="n">
        <f aca="false">1-AS20/S20</f>
        <v>0.82411013253285</v>
      </c>
      <c r="BG20" s="13" t="n">
        <f aca="false">1-AT20/T20</f>
        <v>0.502082040024166</v>
      </c>
    </row>
    <row r="21" customFormat="false" ht="15" hidden="false" customHeight="false" outlineLevel="0" collapsed="false">
      <c r="A21" s="4" t="s">
        <v>197</v>
      </c>
      <c r="B21" s="4" t="s">
        <v>213</v>
      </c>
      <c r="C21" s="34" t="n">
        <v>25780000</v>
      </c>
      <c r="D21" s="34" t="n">
        <v>25799999</v>
      </c>
      <c r="E21" s="4" t="s">
        <v>201</v>
      </c>
      <c r="F21" s="4" t="s">
        <v>204</v>
      </c>
      <c r="G21" s="4" t="n">
        <f aca="false">COUNTIFS(Pedidos!$E$2:$E$2224,"&gt;="&amp;C21,Pedidos!$E$2:$E$2224,"&lt;="&amp;D21)</f>
        <v>1</v>
      </c>
      <c r="H21" s="7" t="n">
        <v>106.53</v>
      </c>
      <c r="I21" s="7" t="n">
        <v>120.78</v>
      </c>
      <c r="J21" s="7" t="n">
        <v>125.63</v>
      </c>
      <c r="K21" s="7" t="n">
        <v>135.03</v>
      </c>
      <c r="L21" s="7" t="n">
        <v>144.53</v>
      </c>
      <c r="M21" s="7" t="n">
        <v>166.05</v>
      </c>
      <c r="N21" s="7" t="n">
        <v>166.05</v>
      </c>
      <c r="O21" s="7" t="n">
        <v>197.35</v>
      </c>
      <c r="P21" s="7" t="n">
        <v>236.82</v>
      </c>
      <c r="Q21" s="7" t="n">
        <v>264.84</v>
      </c>
      <c r="R21" s="7" t="n">
        <v>300.15</v>
      </c>
      <c r="S21" s="7" t="n">
        <v>353.12</v>
      </c>
      <c r="T21" s="7" t="n">
        <v>441.4</v>
      </c>
      <c r="U21" s="7" t="n">
        <v>52.71</v>
      </c>
      <c r="V21" s="7" t="n">
        <v>76.5</v>
      </c>
      <c r="W21" s="7" t="n">
        <v>87.4</v>
      </c>
      <c r="X21" s="7" t="n">
        <v>94</v>
      </c>
      <c r="Y21" s="7" t="n">
        <v>103.6</v>
      </c>
      <c r="Z21" s="7" t="n">
        <v>113.9</v>
      </c>
      <c r="AA21" s="7" t="n">
        <v>124.16</v>
      </c>
      <c r="AB21" s="7" t="n">
        <v>144.41</v>
      </c>
      <c r="AC21" s="7" t="n">
        <v>161.81</v>
      </c>
      <c r="AD21" s="7" t="n">
        <v>197.37</v>
      </c>
      <c r="AE21" s="7" t="n">
        <v>215.7</v>
      </c>
      <c r="AF21" s="7" t="n">
        <v>143.51</v>
      </c>
      <c r="AG21" s="7" t="n">
        <v>304.65</v>
      </c>
      <c r="AH21" s="12" t="n">
        <f aca="false">(U21+AH$4*(Resumo!$C$7+Resumo!$C$8)+Resumo!$C$10*CEILING(AH$3/100,1)+Resumo!$C$9)*(1+Resumo!$C$11)-(AH$4*(Resumo!$B$6+Resumo!$B$7)+Resumo!$B$9+Resumo!$B$10*CEILING(AH$3/100,1)+(Resumo!$B$12+Resumo!$B$13)*CEILING(AH$3,1))</f>
        <v>54.9227352971963</v>
      </c>
      <c r="AI21" s="12" t="n">
        <f aca="false">(V21+AI$4*(Resumo!$C$7+Resumo!$C$8)+Resumo!$C$10*CEILING(AI$3/100,1)+Resumo!$C$9)*(1+Resumo!$C$11)-(AI$4*(Resumo!$B$6+Resumo!$B$7)+Resumo!$B$9+Resumo!$B$10*CEILING(AI$3/100,1)+(Resumo!$B$12+Resumo!$B$13)*CEILING(AI$3,1))</f>
        <v>74.5570462771717</v>
      </c>
      <c r="AJ21" s="12" t="n">
        <f aca="false">(W21+AJ$4*(Resumo!$C$7+Resumo!$C$8)+Resumo!$C$10*CEILING(AJ$3/100,1)+Resumo!$C$9)*(1+Resumo!$C$11)-(AJ$4*(Resumo!$B$6+Resumo!$B$7)+Resumo!$B$9+Resumo!$B$10*CEILING(AJ$3/100,1)+(Resumo!$B$12+Resumo!$B$13)*CEILING(AJ$3,1))</f>
        <v>81.5039345092958</v>
      </c>
      <c r="AK21" s="12" t="n">
        <f aca="false">(X21+AK$4*(Resumo!$C$7+Resumo!$C$8)+Resumo!$C$10*CEILING(AK$3/100,1)+Resumo!$C$9)*(1+Resumo!$C$11)-(AK$4*(Resumo!$B$6+Resumo!$B$7)+Resumo!$B$9+Resumo!$B$10*CEILING(AK$3/100,1)+(Resumo!$B$12+Resumo!$B$13)*CEILING(AK$3,1))</f>
        <v>84.5552580255814</v>
      </c>
      <c r="AL21" s="12" t="n">
        <f aca="false">(Y21+AL$4*(Resumo!$C$7+Resumo!$C$8)+Resumo!$C$10*CEILING(AL$3/100,1)+Resumo!$C$9)*(1+Resumo!$C$11)-(AL$4*(Resumo!$B$6+Resumo!$B$7)+Resumo!$B$9+Resumo!$B$10*CEILING(AL$3/100,1)+(Resumo!$B$12+Resumo!$B$13)*CEILING(AL$3,1))</f>
        <v>90.7147698817308</v>
      </c>
      <c r="AM21" s="12" t="n">
        <f aca="false">(Z21+AM$4*(Resumo!$C$7+Resumo!$C$8)+Resumo!$C$10*CEILING(AM$3/100,1)+Resumo!$C$9)*(1+Resumo!$C$11)-(AM$4*(Resumo!$B$6+Resumo!$B$7)+Resumo!$B$9+Resumo!$B$10*CEILING(AM$3/100,1)+(Resumo!$B$12+Resumo!$B$13)*CEILING(AM$3,1))</f>
        <v>95.0304196468864</v>
      </c>
      <c r="AN21" s="12" t="n">
        <f aca="false">(AA21+AN$4*(Resumo!$C$7+Resumo!$C$8)+Resumo!$C$10*CEILING(AN$3/100,1)+Resumo!$C$9)*(1+Resumo!$C$11)-(AN$4*(Resumo!$B$6+Resumo!$B$7)+Resumo!$B$9+Resumo!$B$10*CEILING(AN$3/100,1)+(Resumo!$B$12+Resumo!$B$13)*CEILING(AN$3,1))</f>
        <v>102.00959604</v>
      </c>
      <c r="AO21" s="12" t="n">
        <f aca="false">(AB21+AO$4*(Resumo!$C$7+Resumo!$C$8)+Resumo!$C$10*CEILING(AO$3/100,1)+Resumo!$C$9)*(1+Resumo!$C$11)-(AO$4*(Resumo!$B$6+Resumo!$B$7)+Resumo!$B$9+Resumo!$B$10*CEILING(AO$3/100,1)+(Resumo!$B$12+Resumo!$B$13)*CEILING(AO$3,1))</f>
        <v>116.765897119298</v>
      </c>
      <c r="AP21" s="12" t="n">
        <f aca="false">(AC21+AP$4*(Resumo!$C$7+Resumo!$C$8)+Resumo!$C$10*CEILING(AP$3/100,1)+Resumo!$C$9)*(1+Resumo!$C$11)-(AP$4*(Resumo!$B$6+Resumo!$B$7)+Resumo!$B$9+Resumo!$B$10*CEILING(AP$3/100,1)+(Resumo!$B$12+Resumo!$B$13)*CEILING(AP$3,1))</f>
        <v>120.300564037736</v>
      </c>
      <c r="AQ21" s="12" t="n">
        <f aca="false">(AD21+AQ$4*(Resumo!$C$7+Resumo!$C$8)+Resumo!$C$10*CEILING(AQ$3/100,1)+Resumo!$C$9)*(1+Resumo!$C$11)-(AQ$4*(Resumo!$B$6+Resumo!$B$7)+Resumo!$B$9+Resumo!$B$10*CEILING(AQ$3/100,1)+(Resumo!$B$12+Resumo!$B$13)*CEILING(AQ$3,1))</f>
        <v>149.110142593023</v>
      </c>
      <c r="AR21" s="12" t="n">
        <f aca="false">(AE21+AR$4*(Resumo!$C$7+Resumo!$C$8)+Resumo!$C$10*CEILING(AR$3/100,1)+Resumo!$C$9)*(1+Resumo!$C$11)-(AR$4*(Resumo!$B$6+Resumo!$B$7)+Resumo!$B$9+Resumo!$B$10*CEILING(AR$3/100,1)+(Resumo!$B$12+Resumo!$B$13)*CEILING(AR$3,1))</f>
        <v>152.447191466667</v>
      </c>
      <c r="AS21" s="12" t="n">
        <f aca="false">(AF21+AS$4*(Resumo!$C$7+Resumo!$C$8)+Resumo!$C$10*CEILING(AS$3/100,1)+Resumo!$C$9)*(1+Resumo!$C$11)-(AS$4*(Resumo!$B$6+Resumo!$B$7)+Resumo!$B$9+Resumo!$B$10*CEILING(AS$3/100,1)+(Resumo!$B$12+Resumo!$B$13)*CEILING(AS$3,1))</f>
        <v>62.11023</v>
      </c>
      <c r="AT21" s="12" t="n">
        <f aca="false">(AG21+AT$4*(Resumo!$C$7+Resumo!$C$8)+Resumo!$C$10*CEILING(AT$3/100,1)+Resumo!$C$9)*(1+Resumo!$C$11)-(AT$4*(Resumo!$B$6+Resumo!$B$7)+Resumo!$B$9+Resumo!$B$10*CEILING(AT$3/100,1)+(Resumo!$B$12+Resumo!$B$13)*CEILING(AT$3,1))</f>
        <v>219.780987533333</v>
      </c>
      <c r="AU21" s="13" t="n">
        <f aca="false">1-AH21/H21</f>
        <v>0.484438793793333</v>
      </c>
      <c r="AV21" s="13" t="n">
        <f aca="false">1-AI21/I21</f>
        <v>0.382703706928534</v>
      </c>
      <c r="AW21" s="13" t="n">
        <f aca="false">1-AJ21/J21</f>
        <v>0.351238282979418</v>
      </c>
      <c r="AX21" s="13" t="n">
        <f aca="false">1-AK21/K21</f>
        <v>0.373803910052719</v>
      </c>
      <c r="AY21" s="13" t="n">
        <f aca="false">1-AL21/L21</f>
        <v>0.372346434084752</v>
      </c>
      <c r="AZ21" s="13" t="n">
        <f aca="false">1-AM21/M21</f>
        <v>0.427699972015137</v>
      </c>
      <c r="BA21" s="13" t="n">
        <f aca="false">1-AN21/N21</f>
        <v>0.385669400542005</v>
      </c>
      <c r="BB21" s="13" t="n">
        <f aca="false">1-AO21/O21</f>
        <v>0.408330898812778</v>
      </c>
      <c r="BC21" s="13" t="n">
        <f aca="false">1-AP21/P21</f>
        <v>0.492016873415523</v>
      </c>
      <c r="BD21" s="13" t="n">
        <f aca="false">1-AQ21/Q21</f>
        <v>0.436980280195502</v>
      </c>
      <c r="BE21" s="13" t="n">
        <f aca="false">1-AR21/R21</f>
        <v>0.492096646787717</v>
      </c>
      <c r="BF21" s="13" t="n">
        <f aca="false">1-AS21/S21</f>
        <v>0.82411013253285</v>
      </c>
      <c r="BG21" s="13" t="n">
        <f aca="false">1-AT21/T21</f>
        <v>0.502082040024166</v>
      </c>
    </row>
    <row r="22" customFormat="false" ht="15" hidden="false" customHeight="false" outlineLevel="0" collapsed="false">
      <c r="A22" s="4" t="s">
        <v>197</v>
      </c>
      <c r="B22" s="4" t="s">
        <v>214</v>
      </c>
      <c r="C22" s="34" t="n">
        <v>25800000</v>
      </c>
      <c r="D22" s="34" t="n">
        <v>25844999</v>
      </c>
      <c r="E22" s="4" t="s">
        <v>201</v>
      </c>
      <c r="F22" s="4" t="s">
        <v>212</v>
      </c>
      <c r="G22" s="4" t="n">
        <f aca="false">COUNTIFS(Pedidos!$E$2:$E$2224,"&gt;="&amp;C22,Pedidos!$E$2:$E$2224,"&lt;="&amp;D22)</f>
        <v>10</v>
      </c>
      <c r="H22" s="7" t="n">
        <v>89.03</v>
      </c>
      <c r="I22" s="7" t="n">
        <v>108.83</v>
      </c>
      <c r="J22" s="7" t="n">
        <v>124.38</v>
      </c>
      <c r="K22" s="7" t="n">
        <v>124.38</v>
      </c>
      <c r="L22" s="7" t="n">
        <v>142.32</v>
      </c>
      <c r="M22" s="7" t="n">
        <v>166.05</v>
      </c>
      <c r="N22" s="7" t="n">
        <v>166.05</v>
      </c>
      <c r="O22" s="7" t="n">
        <v>197.35</v>
      </c>
      <c r="P22" s="7" t="n">
        <v>236.82</v>
      </c>
      <c r="Q22" s="7" t="n">
        <v>264.84</v>
      </c>
      <c r="R22" s="7" t="n">
        <v>300.15</v>
      </c>
      <c r="S22" s="7" t="n">
        <v>353.12</v>
      </c>
      <c r="T22" s="7" t="n">
        <v>441.4</v>
      </c>
      <c r="U22" s="7" t="n">
        <v>52.71</v>
      </c>
      <c r="V22" s="7" t="n">
        <v>76.5</v>
      </c>
      <c r="W22" s="7" t="n">
        <v>87.4</v>
      </c>
      <c r="X22" s="7" t="n">
        <v>94</v>
      </c>
      <c r="Y22" s="7" t="n">
        <v>103.6</v>
      </c>
      <c r="Z22" s="7" t="n">
        <v>113.9</v>
      </c>
      <c r="AA22" s="7" t="n">
        <v>124.16</v>
      </c>
      <c r="AB22" s="7" t="n">
        <v>144.41</v>
      </c>
      <c r="AC22" s="7" t="n">
        <v>161.81</v>
      </c>
      <c r="AD22" s="7" t="n">
        <v>197.37</v>
      </c>
      <c r="AE22" s="7" t="n">
        <v>215.7</v>
      </c>
      <c r="AF22" s="7" t="n">
        <v>143.51</v>
      </c>
      <c r="AG22" s="7" t="n">
        <v>304.65</v>
      </c>
      <c r="AH22" s="12" t="n">
        <f aca="false">(U22+AH$4*(Resumo!$C$7+Resumo!$C$8)+Resumo!$C$10*CEILING(AH$3/100,1)+Resumo!$C$9)*(1+Resumo!$C$11)-(AH$4*(Resumo!$B$6+Resumo!$B$7)+Resumo!$B$9+Resumo!$B$10*CEILING(AH$3/100,1)+(Resumo!$B$12+Resumo!$B$13)*CEILING(AH$3,1))</f>
        <v>54.9227352971963</v>
      </c>
      <c r="AI22" s="12" t="n">
        <f aca="false">(V22+AI$4*(Resumo!$C$7+Resumo!$C$8)+Resumo!$C$10*CEILING(AI$3/100,1)+Resumo!$C$9)*(1+Resumo!$C$11)-(AI$4*(Resumo!$B$6+Resumo!$B$7)+Resumo!$B$9+Resumo!$B$10*CEILING(AI$3/100,1)+(Resumo!$B$12+Resumo!$B$13)*CEILING(AI$3,1))</f>
        <v>74.5570462771717</v>
      </c>
      <c r="AJ22" s="12" t="n">
        <f aca="false">(W22+AJ$4*(Resumo!$C$7+Resumo!$C$8)+Resumo!$C$10*CEILING(AJ$3/100,1)+Resumo!$C$9)*(1+Resumo!$C$11)-(AJ$4*(Resumo!$B$6+Resumo!$B$7)+Resumo!$B$9+Resumo!$B$10*CEILING(AJ$3/100,1)+(Resumo!$B$12+Resumo!$B$13)*CEILING(AJ$3,1))</f>
        <v>81.5039345092958</v>
      </c>
      <c r="AK22" s="12" t="n">
        <f aca="false">(X22+AK$4*(Resumo!$C$7+Resumo!$C$8)+Resumo!$C$10*CEILING(AK$3/100,1)+Resumo!$C$9)*(1+Resumo!$C$11)-(AK$4*(Resumo!$B$6+Resumo!$B$7)+Resumo!$B$9+Resumo!$B$10*CEILING(AK$3/100,1)+(Resumo!$B$12+Resumo!$B$13)*CEILING(AK$3,1))</f>
        <v>84.5552580255814</v>
      </c>
      <c r="AL22" s="12" t="n">
        <f aca="false">(Y22+AL$4*(Resumo!$C$7+Resumo!$C$8)+Resumo!$C$10*CEILING(AL$3/100,1)+Resumo!$C$9)*(1+Resumo!$C$11)-(AL$4*(Resumo!$B$6+Resumo!$B$7)+Resumo!$B$9+Resumo!$B$10*CEILING(AL$3/100,1)+(Resumo!$B$12+Resumo!$B$13)*CEILING(AL$3,1))</f>
        <v>90.7147698817308</v>
      </c>
      <c r="AM22" s="12" t="n">
        <f aca="false">(Z22+AM$4*(Resumo!$C$7+Resumo!$C$8)+Resumo!$C$10*CEILING(AM$3/100,1)+Resumo!$C$9)*(1+Resumo!$C$11)-(AM$4*(Resumo!$B$6+Resumo!$B$7)+Resumo!$B$9+Resumo!$B$10*CEILING(AM$3/100,1)+(Resumo!$B$12+Resumo!$B$13)*CEILING(AM$3,1))</f>
        <v>95.0304196468864</v>
      </c>
      <c r="AN22" s="12" t="n">
        <f aca="false">(AA22+AN$4*(Resumo!$C$7+Resumo!$C$8)+Resumo!$C$10*CEILING(AN$3/100,1)+Resumo!$C$9)*(1+Resumo!$C$11)-(AN$4*(Resumo!$B$6+Resumo!$B$7)+Resumo!$B$9+Resumo!$B$10*CEILING(AN$3/100,1)+(Resumo!$B$12+Resumo!$B$13)*CEILING(AN$3,1))</f>
        <v>102.00959604</v>
      </c>
      <c r="AO22" s="12" t="n">
        <f aca="false">(AB22+AO$4*(Resumo!$C$7+Resumo!$C$8)+Resumo!$C$10*CEILING(AO$3/100,1)+Resumo!$C$9)*(1+Resumo!$C$11)-(AO$4*(Resumo!$B$6+Resumo!$B$7)+Resumo!$B$9+Resumo!$B$10*CEILING(AO$3/100,1)+(Resumo!$B$12+Resumo!$B$13)*CEILING(AO$3,1))</f>
        <v>116.765897119298</v>
      </c>
      <c r="AP22" s="12" t="n">
        <f aca="false">(AC22+AP$4*(Resumo!$C$7+Resumo!$C$8)+Resumo!$C$10*CEILING(AP$3/100,1)+Resumo!$C$9)*(1+Resumo!$C$11)-(AP$4*(Resumo!$B$6+Resumo!$B$7)+Resumo!$B$9+Resumo!$B$10*CEILING(AP$3/100,1)+(Resumo!$B$12+Resumo!$B$13)*CEILING(AP$3,1))</f>
        <v>120.300564037736</v>
      </c>
      <c r="AQ22" s="12" t="n">
        <f aca="false">(AD22+AQ$4*(Resumo!$C$7+Resumo!$C$8)+Resumo!$C$10*CEILING(AQ$3/100,1)+Resumo!$C$9)*(1+Resumo!$C$11)-(AQ$4*(Resumo!$B$6+Resumo!$B$7)+Resumo!$B$9+Resumo!$B$10*CEILING(AQ$3/100,1)+(Resumo!$B$12+Resumo!$B$13)*CEILING(AQ$3,1))</f>
        <v>149.110142593023</v>
      </c>
      <c r="AR22" s="12" t="n">
        <f aca="false">(AE22+AR$4*(Resumo!$C$7+Resumo!$C$8)+Resumo!$C$10*CEILING(AR$3/100,1)+Resumo!$C$9)*(1+Resumo!$C$11)-(AR$4*(Resumo!$B$6+Resumo!$B$7)+Resumo!$B$9+Resumo!$B$10*CEILING(AR$3/100,1)+(Resumo!$B$12+Resumo!$B$13)*CEILING(AR$3,1))</f>
        <v>152.447191466667</v>
      </c>
      <c r="AS22" s="12" t="n">
        <f aca="false">(AF22+AS$4*(Resumo!$C$7+Resumo!$C$8)+Resumo!$C$10*CEILING(AS$3/100,1)+Resumo!$C$9)*(1+Resumo!$C$11)-(AS$4*(Resumo!$B$6+Resumo!$B$7)+Resumo!$B$9+Resumo!$B$10*CEILING(AS$3/100,1)+(Resumo!$B$12+Resumo!$B$13)*CEILING(AS$3,1))</f>
        <v>62.11023</v>
      </c>
      <c r="AT22" s="12" t="n">
        <f aca="false">(AG22+AT$4*(Resumo!$C$7+Resumo!$C$8)+Resumo!$C$10*CEILING(AT$3/100,1)+Resumo!$C$9)*(1+Resumo!$C$11)-(AT$4*(Resumo!$B$6+Resumo!$B$7)+Resumo!$B$9+Resumo!$B$10*CEILING(AT$3/100,1)+(Resumo!$B$12+Resumo!$B$13)*CEILING(AT$3,1))</f>
        <v>219.780987533333</v>
      </c>
      <c r="AU22" s="13" t="n">
        <f aca="false">1-AH22/H22</f>
        <v>0.383098558944218</v>
      </c>
      <c r="AV22" s="13" t="n">
        <f aca="false">1-AI22/I22</f>
        <v>0.314921930743621</v>
      </c>
      <c r="AW22" s="13" t="n">
        <f aca="false">1-AJ22/J22</f>
        <v>0.344718326826694</v>
      </c>
      <c r="AX22" s="13" t="n">
        <f aca="false">1-AK22/K22</f>
        <v>0.320186058646234</v>
      </c>
      <c r="AY22" s="13" t="n">
        <f aca="false">1-AL22/L22</f>
        <v>0.362599986778171</v>
      </c>
      <c r="AZ22" s="13" t="n">
        <f aca="false">1-AM22/M22</f>
        <v>0.427699972015137</v>
      </c>
      <c r="BA22" s="13" t="n">
        <f aca="false">1-AN22/N22</f>
        <v>0.385669400542005</v>
      </c>
      <c r="BB22" s="13" t="n">
        <f aca="false">1-AO22/O22</f>
        <v>0.408330898812778</v>
      </c>
      <c r="BC22" s="13" t="n">
        <f aca="false">1-AP22/P22</f>
        <v>0.492016873415523</v>
      </c>
      <c r="BD22" s="13" t="n">
        <f aca="false">1-AQ22/Q22</f>
        <v>0.436980280195502</v>
      </c>
      <c r="BE22" s="13" t="n">
        <f aca="false">1-AR22/R22</f>
        <v>0.492096646787717</v>
      </c>
      <c r="BF22" s="13" t="n">
        <f aca="false">1-AS22/S22</f>
        <v>0.82411013253285</v>
      </c>
      <c r="BG22" s="13" t="n">
        <f aca="false">1-AT22/T22</f>
        <v>0.502082040024166</v>
      </c>
    </row>
    <row r="23" customFormat="false" ht="15" hidden="false" customHeight="false" outlineLevel="0" collapsed="false">
      <c r="A23" s="4" t="s">
        <v>197</v>
      </c>
      <c r="B23" s="4" t="s">
        <v>215</v>
      </c>
      <c r="C23" s="34" t="n">
        <v>25845000</v>
      </c>
      <c r="D23" s="34" t="n">
        <v>25849999</v>
      </c>
      <c r="E23" s="4" t="s">
        <v>201</v>
      </c>
      <c r="F23" s="4" t="s">
        <v>212</v>
      </c>
      <c r="G23" s="4" t="n">
        <f aca="false">COUNTIFS(Pedidos!$E$2:$E$2224,"&gt;="&amp;C23,Pedidos!$E$2:$E$2224,"&lt;="&amp;D23)</f>
        <v>3</v>
      </c>
      <c r="H23" s="7" t="n">
        <v>89.03</v>
      </c>
      <c r="I23" s="7" t="n">
        <v>108.83</v>
      </c>
      <c r="J23" s="7" t="n">
        <v>124.38</v>
      </c>
      <c r="K23" s="7" t="n">
        <v>124.38</v>
      </c>
      <c r="L23" s="7" t="n">
        <v>142.32</v>
      </c>
      <c r="M23" s="7" t="n">
        <v>166.05</v>
      </c>
      <c r="N23" s="7" t="n">
        <v>166.05</v>
      </c>
      <c r="O23" s="7" t="n">
        <v>197.35</v>
      </c>
      <c r="P23" s="7" t="n">
        <v>236.82</v>
      </c>
      <c r="Q23" s="7" t="n">
        <v>264.84</v>
      </c>
      <c r="R23" s="7" t="n">
        <v>300.15</v>
      </c>
      <c r="S23" s="7" t="n">
        <v>353.12</v>
      </c>
      <c r="T23" s="7" t="n">
        <v>441.4</v>
      </c>
      <c r="U23" s="7" t="n">
        <v>52.71</v>
      </c>
      <c r="V23" s="7" t="n">
        <v>76.5</v>
      </c>
      <c r="W23" s="7" t="n">
        <v>87.4</v>
      </c>
      <c r="X23" s="7" t="n">
        <v>94</v>
      </c>
      <c r="Y23" s="7" t="n">
        <v>103.6</v>
      </c>
      <c r="Z23" s="7" t="n">
        <v>113.9</v>
      </c>
      <c r="AA23" s="7" t="n">
        <v>124.16</v>
      </c>
      <c r="AB23" s="7" t="n">
        <v>144.41</v>
      </c>
      <c r="AC23" s="7" t="n">
        <v>161.81</v>
      </c>
      <c r="AD23" s="7" t="n">
        <v>197.37</v>
      </c>
      <c r="AE23" s="7" t="n">
        <v>215.7</v>
      </c>
      <c r="AF23" s="7" t="n">
        <v>143.51</v>
      </c>
      <c r="AG23" s="7" t="n">
        <v>304.65</v>
      </c>
      <c r="AH23" s="12" t="n">
        <f aca="false">(U23+AH$4*(Resumo!$C$7+Resumo!$C$8)+Resumo!$C$10*CEILING(AH$3/100,1)+Resumo!$C$9)*(1+Resumo!$C$11)-(AH$4*(Resumo!$B$6+Resumo!$B$7)+Resumo!$B$9+Resumo!$B$10*CEILING(AH$3/100,1)+(Resumo!$B$12+Resumo!$B$13)*CEILING(AH$3,1))</f>
        <v>54.9227352971963</v>
      </c>
      <c r="AI23" s="12" t="n">
        <f aca="false">(V23+AI$4*(Resumo!$C$7+Resumo!$C$8)+Resumo!$C$10*CEILING(AI$3/100,1)+Resumo!$C$9)*(1+Resumo!$C$11)-(AI$4*(Resumo!$B$6+Resumo!$B$7)+Resumo!$B$9+Resumo!$B$10*CEILING(AI$3/100,1)+(Resumo!$B$12+Resumo!$B$13)*CEILING(AI$3,1))</f>
        <v>74.5570462771717</v>
      </c>
      <c r="AJ23" s="12" t="n">
        <f aca="false">(W23+AJ$4*(Resumo!$C$7+Resumo!$C$8)+Resumo!$C$10*CEILING(AJ$3/100,1)+Resumo!$C$9)*(1+Resumo!$C$11)-(AJ$4*(Resumo!$B$6+Resumo!$B$7)+Resumo!$B$9+Resumo!$B$10*CEILING(AJ$3/100,1)+(Resumo!$B$12+Resumo!$B$13)*CEILING(AJ$3,1))</f>
        <v>81.5039345092958</v>
      </c>
      <c r="AK23" s="12" t="n">
        <f aca="false">(X23+AK$4*(Resumo!$C$7+Resumo!$C$8)+Resumo!$C$10*CEILING(AK$3/100,1)+Resumo!$C$9)*(1+Resumo!$C$11)-(AK$4*(Resumo!$B$6+Resumo!$B$7)+Resumo!$B$9+Resumo!$B$10*CEILING(AK$3/100,1)+(Resumo!$B$12+Resumo!$B$13)*CEILING(AK$3,1))</f>
        <v>84.5552580255814</v>
      </c>
      <c r="AL23" s="12" t="n">
        <f aca="false">(Y23+AL$4*(Resumo!$C$7+Resumo!$C$8)+Resumo!$C$10*CEILING(AL$3/100,1)+Resumo!$C$9)*(1+Resumo!$C$11)-(AL$4*(Resumo!$B$6+Resumo!$B$7)+Resumo!$B$9+Resumo!$B$10*CEILING(AL$3/100,1)+(Resumo!$B$12+Resumo!$B$13)*CEILING(AL$3,1))</f>
        <v>90.7147698817308</v>
      </c>
      <c r="AM23" s="12" t="n">
        <f aca="false">(Z23+AM$4*(Resumo!$C$7+Resumo!$C$8)+Resumo!$C$10*CEILING(AM$3/100,1)+Resumo!$C$9)*(1+Resumo!$C$11)-(AM$4*(Resumo!$B$6+Resumo!$B$7)+Resumo!$B$9+Resumo!$B$10*CEILING(AM$3/100,1)+(Resumo!$B$12+Resumo!$B$13)*CEILING(AM$3,1))</f>
        <v>95.0304196468864</v>
      </c>
      <c r="AN23" s="12" t="n">
        <f aca="false">(AA23+AN$4*(Resumo!$C$7+Resumo!$C$8)+Resumo!$C$10*CEILING(AN$3/100,1)+Resumo!$C$9)*(1+Resumo!$C$11)-(AN$4*(Resumo!$B$6+Resumo!$B$7)+Resumo!$B$9+Resumo!$B$10*CEILING(AN$3/100,1)+(Resumo!$B$12+Resumo!$B$13)*CEILING(AN$3,1))</f>
        <v>102.00959604</v>
      </c>
      <c r="AO23" s="12" t="n">
        <f aca="false">(AB23+AO$4*(Resumo!$C$7+Resumo!$C$8)+Resumo!$C$10*CEILING(AO$3/100,1)+Resumo!$C$9)*(1+Resumo!$C$11)-(AO$4*(Resumo!$B$6+Resumo!$B$7)+Resumo!$B$9+Resumo!$B$10*CEILING(AO$3/100,1)+(Resumo!$B$12+Resumo!$B$13)*CEILING(AO$3,1))</f>
        <v>116.765897119298</v>
      </c>
      <c r="AP23" s="12" t="n">
        <f aca="false">(AC23+AP$4*(Resumo!$C$7+Resumo!$C$8)+Resumo!$C$10*CEILING(AP$3/100,1)+Resumo!$C$9)*(1+Resumo!$C$11)-(AP$4*(Resumo!$B$6+Resumo!$B$7)+Resumo!$B$9+Resumo!$B$10*CEILING(AP$3/100,1)+(Resumo!$B$12+Resumo!$B$13)*CEILING(AP$3,1))</f>
        <v>120.300564037736</v>
      </c>
      <c r="AQ23" s="12" t="n">
        <f aca="false">(AD23+AQ$4*(Resumo!$C$7+Resumo!$C$8)+Resumo!$C$10*CEILING(AQ$3/100,1)+Resumo!$C$9)*(1+Resumo!$C$11)-(AQ$4*(Resumo!$B$6+Resumo!$B$7)+Resumo!$B$9+Resumo!$B$10*CEILING(AQ$3/100,1)+(Resumo!$B$12+Resumo!$B$13)*CEILING(AQ$3,1))</f>
        <v>149.110142593023</v>
      </c>
      <c r="AR23" s="12" t="n">
        <f aca="false">(AE23+AR$4*(Resumo!$C$7+Resumo!$C$8)+Resumo!$C$10*CEILING(AR$3/100,1)+Resumo!$C$9)*(1+Resumo!$C$11)-(AR$4*(Resumo!$B$6+Resumo!$B$7)+Resumo!$B$9+Resumo!$B$10*CEILING(AR$3/100,1)+(Resumo!$B$12+Resumo!$B$13)*CEILING(AR$3,1))</f>
        <v>152.447191466667</v>
      </c>
      <c r="AS23" s="12" t="n">
        <f aca="false">(AF23+AS$4*(Resumo!$C$7+Resumo!$C$8)+Resumo!$C$10*CEILING(AS$3/100,1)+Resumo!$C$9)*(1+Resumo!$C$11)-(AS$4*(Resumo!$B$6+Resumo!$B$7)+Resumo!$B$9+Resumo!$B$10*CEILING(AS$3/100,1)+(Resumo!$B$12+Resumo!$B$13)*CEILING(AS$3,1))</f>
        <v>62.11023</v>
      </c>
      <c r="AT23" s="12" t="n">
        <f aca="false">(AG23+AT$4*(Resumo!$C$7+Resumo!$C$8)+Resumo!$C$10*CEILING(AT$3/100,1)+Resumo!$C$9)*(1+Resumo!$C$11)-(AT$4*(Resumo!$B$6+Resumo!$B$7)+Resumo!$B$9+Resumo!$B$10*CEILING(AT$3/100,1)+(Resumo!$B$12+Resumo!$B$13)*CEILING(AT$3,1))</f>
        <v>219.780987533333</v>
      </c>
      <c r="AU23" s="13" t="n">
        <f aca="false">1-AH23/H23</f>
        <v>0.383098558944218</v>
      </c>
      <c r="AV23" s="13" t="n">
        <f aca="false">1-AI23/I23</f>
        <v>0.314921930743621</v>
      </c>
      <c r="AW23" s="13" t="n">
        <f aca="false">1-AJ23/J23</f>
        <v>0.344718326826694</v>
      </c>
      <c r="AX23" s="13" t="n">
        <f aca="false">1-AK23/K23</f>
        <v>0.320186058646234</v>
      </c>
      <c r="AY23" s="13" t="n">
        <f aca="false">1-AL23/L23</f>
        <v>0.362599986778171</v>
      </c>
      <c r="AZ23" s="13" t="n">
        <f aca="false">1-AM23/M23</f>
        <v>0.427699972015137</v>
      </c>
      <c r="BA23" s="13" t="n">
        <f aca="false">1-AN23/N23</f>
        <v>0.385669400542005</v>
      </c>
      <c r="BB23" s="13" t="n">
        <f aca="false">1-AO23/O23</f>
        <v>0.408330898812778</v>
      </c>
      <c r="BC23" s="13" t="n">
        <f aca="false">1-AP23/P23</f>
        <v>0.492016873415523</v>
      </c>
      <c r="BD23" s="13" t="n">
        <f aca="false">1-AQ23/Q23</f>
        <v>0.436980280195502</v>
      </c>
      <c r="BE23" s="13" t="n">
        <f aca="false">1-AR23/R23</f>
        <v>0.492096646787717</v>
      </c>
      <c r="BF23" s="13" t="n">
        <f aca="false">1-AS23/S23</f>
        <v>0.82411013253285</v>
      </c>
      <c r="BG23" s="13" t="n">
        <f aca="false">1-AT23/T23</f>
        <v>0.502082040024166</v>
      </c>
    </row>
    <row r="24" customFormat="false" ht="15" hidden="false" customHeight="false" outlineLevel="0" collapsed="false">
      <c r="A24" s="4" t="s">
        <v>197</v>
      </c>
      <c r="B24" s="4" t="s">
        <v>216</v>
      </c>
      <c r="C24" s="34" t="n">
        <v>25850000</v>
      </c>
      <c r="D24" s="34" t="n">
        <v>25869999</v>
      </c>
      <c r="E24" s="4" t="s">
        <v>201</v>
      </c>
      <c r="F24" s="4" t="s">
        <v>204</v>
      </c>
      <c r="G24" s="4" t="n">
        <f aca="false">COUNTIFS(Pedidos!$E$2:$E$2224,"&gt;="&amp;C24,Pedidos!$E$2:$E$2224,"&lt;="&amp;D24)</f>
        <v>3</v>
      </c>
      <c r="H24" s="7" t="n">
        <v>106.53</v>
      </c>
      <c r="I24" s="7" t="n">
        <v>120.78</v>
      </c>
      <c r="J24" s="7" t="n">
        <v>125.63</v>
      </c>
      <c r="K24" s="7" t="n">
        <v>135.03</v>
      </c>
      <c r="L24" s="7" t="n">
        <v>144.53</v>
      </c>
      <c r="M24" s="7" t="n">
        <v>166.05</v>
      </c>
      <c r="N24" s="7" t="n">
        <v>166.05</v>
      </c>
      <c r="O24" s="7" t="n">
        <v>197.35</v>
      </c>
      <c r="P24" s="7" t="n">
        <v>236.82</v>
      </c>
      <c r="Q24" s="7" t="n">
        <v>264.84</v>
      </c>
      <c r="R24" s="7" t="n">
        <v>300.15</v>
      </c>
      <c r="S24" s="7" t="n">
        <v>353.12</v>
      </c>
      <c r="T24" s="7" t="n">
        <v>441.4</v>
      </c>
      <c r="U24" s="7" t="n">
        <v>52.71</v>
      </c>
      <c r="V24" s="7" t="n">
        <v>76.5</v>
      </c>
      <c r="W24" s="7" t="n">
        <v>87.4</v>
      </c>
      <c r="X24" s="7" t="n">
        <v>94</v>
      </c>
      <c r="Y24" s="7" t="n">
        <v>103.6</v>
      </c>
      <c r="Z24" s="7" t="n">
        <v>113.9</v>
      </c>
      <c r="AA24" s="7" t="n">
        <v>124.16</v>
      </c>
      <c r="AB24" s="7" t="n">
        <v>144.41</v>
      </c>
      <c r="AC24" s="7" t="n">
        <v>161.81</v>
      </c>
      <c r="AD24" s="7" t="n">
        <v>197.37</v>
      </c>
      <c r="AE24" s="7" t="n">
        <v>215.7</v>
      </c>
      <c r="AF24" s="7" t="n">
        <v>143.51</v>
      </c>
      <c r="AG24" s="7" t="n">
        <v>304.65</v>
      </c>
      <c r="AH24" s="12" t="n">
        <f aca="false">(U24+AH$4*(Resumo!$C$7+Resumo!$C$8)+Resumo!$C$10*CEILING(AH$3/100,1)+Resumo!$C$9)*(1+Resumo!$C$11)-(AH$4*(Resumo!$B$6+Resumo!$B$7)+Resumo!$B$9+Resumo!$B$10*CEILING(AH$3/100,1)+(Resumo!$B$12+Resumo!$B$13)*CEILING(AH$3,1))</f>
        <v>54.9227352971963</v>
      </c>
      <c r="AI24" s="12" t="n">
        <f aca="false">(V24+AI$4*(Resumo!$C$7+Resumo!$C$8)+Resumo!$C$10*CEILING(AI$3/100,1)+Resumo!$C$9)*(1+Resumo!$C$11)-(AI$4*(Resumo!$B$6+Resumo!$B$7)+Resumo!$B$9+Resumo!$B$10*CEILING(AI$3/100,1)+(Resumo!$B$12+Resumo!$B$13)*CEILING(AI$3,1))</f>
        <v>74.5570462771717</v>
      </c>
      <c r="AJ24" s="12" t="n">
        <f aca="false">(W24+AJ$4*(Resumo!$C$7+Resumo!$C$8)+Resumo!$C$10*CEILING(AJ$3/100,1)+Resumo!$C$9)*(1+Resumo!$C$11)-(AJ$4*(Resumo!$B$6+Resumo!$B$7)+Resumo!$B$9+Resumo!$B$10*CEILING(AJ$3/100,1)+(Resumo!$B$12+Resumo!$B$13)*CEILING(AJ$3,1))</f>
        <v>81.5039345092958</v>
      </c>
      <c r="AK24" s="12" t="n">
        <f aca="false">(X24+AK$4*(Resumo!$C$7+Resumo!$C$8)+Resumo!$C$10*CEILING(AK$3/100,1)+Resumo!$C$9)*(1+Resumo!$C$11)-(AK$4*(Resumo!$B$6+Resumo!$B$7)+Resumo!$B$9+Resumo!$B$10*CEILING(AK$3/100,1)+(Resumo!$B$12+Resumo!$B$13)*CEILING(AK$3,1))</f>
        <v>84.5552580255814</v>
      </c>
      <c r="AL24" s="12" t="n">
        <f aca="false">(Y24+AL$4*(Resumo!$C$7+Resumo!$C$8)+Resumo!$C$10*CEILING(AL$3/100,1)+Resumo!$C$9)*(1+Resumo!$C$11)-(AL$4*(Resumo!$B$6+Resumo!$B$7)+Resumo!$B$9+Resumo!$B$10*CEILING(AL$3/100,1)+(Resumo!$B$12+Resumo!$B$13)*CEILING(AL$3,1))</f>
        <v>90.7147698817308</v>
      </c>
      <c r="AM24" s="12" t="n">
        <f aca="false">(Z24+AM$4*(Resumo!$C$7+Resumo!$C$8)+Resumo!$C$10*CEILING(AM$3/100,1)+Resumo!$C$9)*(1+Resumo!$C$11)-(AM$4*(Resumo!$B$6+Resumo!$B$7)+Resumo!$B$9+Resumo!$B$10*CEILING(AM$3/100,1)+(Resumo!$B$12+Resumo!$B$13)*CEILING(AM$3,1))</f>
        <v>95.0304196468864</v>
      </c>
      <c r="AN24" s="12" t="n">
        <f aca="false">(AA24+AN$4*(Resumo!$C$7+Resumo!$C$8)+Resumo!$C$10*CEILING(AN$3/100,1)+Resumo!$C$9)*(1+Resumo!$C$11)-(AN$4*(Resumo!$B$6+Resumo!$B$7)+Resumo!$B$9+Resumo!$B$10*CEILING(AN$3/100,1)+(Resumo!$B$12+Resumo!$B$13)*CEILING(AN$3,1))</f>
        <v>102.00959604</v>
      </c>
      <c r="AO24" s="12" t="n">
        <f aca="false">(AB24+AO$4*(Resumo!$C$7+Resumo!$C$8)+Resumo!$C$10*CEILING(AO$3/100,1)+Resumo!$C$9)*(1+Resumo!$C$11)-(AO$4*(Resumo!$B$6+Resumo!$B$7)+Resumo!$B$9+Resumo!$B$10*CEILING(AO$3/100,1)+(Resumo!$B$12+Resumo!$B$13)*CEILING(AO$3,1))</f>
        <v>116.765897119298</v>
      </c>
      <c r="AP24" s="12" t="n">
        <f aca="false">(AC24+AP$4*(Resumo!$C$7+Resumo!$C$8)+Resumo!$C$10*CEILING(AP$3/100,1)+Resumo!$C$9)*(1+Resumo!$C$11)-(AP$4*(Resumo!$B$6+Resumo!$B$7)+Resumo!$B$9+Resumo!$B$10*CEILING(AP$3/100,1)+(Resumo!$B$12+Resumo!$B$13)*CEILING(AP$3,1))</f>
        <v>120.300564037736</v>
      </c>
      <c r="AQ24" s="12" t="n">
        <f aca="false">(AD24+AQ$4*(Resumo!$C$7+Resumo!$C$8)+Resumo!$C$10*CEILING(AQ$3/100,1)+Resumo!$C$9)*(1+Resumo!$C$11)-(AQ$4*(Resumo!$B$6+Resumo!$B$7)+Resumo!$B$9+Resumo!$B$10*CEILING(AQ$3/100,1)+(Resumo!$B$12+Resumo!$B$13)*CEILING(AQ$3,1))</f>
        <v>149.110142593023</v>
      </c>
      <c r="AR24" s="12" t="n">
        <f aca="false">(AE24+AR$4*(Resumo!$C$7+Resumo!$C$8)+Resumo!$C$10*CEILING(AR$3/100,1)+Resumo!$C$9)*(1+Resumo!$C$11)-(AR$4*(Resumo!$B$6+Resumo!$B$7)+Resumo!$B$9+Resumo!$B$10*CEILING(AR$3/100,1)+(Resumo!$B$12+Resumo!$B$13)*CEILING(AR$3,1))</f>
        <v>152.447191466667</v>
      </c>
      <c r="AS24" s="12" t="n">
        <f aca="false">(AF24+AS$4*(Resumo!$C$7+Resumo!$C$8)+Resumo!$C$10*CEILING(AS$3/100,1)+Resumo!$C$9)*(1+Resumo!$C$11)-(AS$4*(Resumo!$B$6+Resumo!$B$7)+Resumo!$B$9+Resumo!$B$10*CEILING(AS$3/100,1)+(Resumo!$B$12+Resumo!$B$13)*CEILING(AS$3,1))</f>
        <v>62.11023</v>
      </c>
      <c r="AT24" s="12" t="n">
        <f aca="false">(AG24+AT$4*(Resumo!$C$7+Resumo!$C$8)+Resumo!$C$10*CEILING(AT$3/100,1)+Resumo!$C$9)*(1+Resumo!$C$11)-(AT$4*(Resumo!$B$6+Resumo!$B$7)+Resumo!$B$9+Resumo!$B$10*CEILING(AT$3/100,1)+(Resumo!$B$12+Resumo!$B$13)*CEILING(AT$3,1))</f>
        <v>219.780987533333</v>
      </c>
      <c r="AU24" s="13" t="n">
        <f aca="false">1-AH24/H24</f>
        <v>0.484438793793333</v>
      </c>
      <c r="AV24" s="13" t="n">
        <f aca="false">1-AI24/I24</f>
        <v>0.382703706928534</v>
      </c>
      <c r="AW24" s="13" t="n">
        <f aca="false">1-AJ24/J24</f>
        <v>0.351238282979418</v>
      </c>
      <c r="AX24" s="13" t="n">
        <f aca="false">1-AK24/K24</f>
        <v>0.373803910052719</v>
      </c>
      <c r="AY24" s="13" t="n">
        <f aca="false">1-AL24/L24</f>
        <v>0.372346434084752</v>
      </c>
      <c r="AZ24" s="13" t="n">
        <f aca="false">1-AM24/M24</f>
        <v>0.427699972015137</v>
      </c>
      <c r="BA24" s="13" t="n">
        <f aca="false">1-AN24/N24</f>
        <v>0.385669400542005</v>
      </c>
      <c r="BB24" s="13" t="n">
        <f aca="false">1-AO24/O24</f>
        <v>0.408330898812778</v>
      </c>
      <c r="BC24" s="13" t="n">
        <f aca="false">1-AP24/P24</f>
        <v>0.492016873415523</v>
      </c>
      <c r="BD24" s="13" t="n">
        <f aca="false">1-AQ24/Q24</f>
        <v>0.436980280195502</v>
      </c>
      <c r="BE24" s="13" t="n">
        <f aca="false">1-AR24/R24</f>
        <v>0.492096646787717</v>
      </c>
      <c r="BF24" s="13" t="n">
        <f aca="false">1-AS24/S24</f>
        <v>0.82411013253285</v>
      </c>
      <c r="BG24" s="13" t="n">
        <f aca="false">1-AT24/T24</f>
        <v>0.502082040024166</v>
      </c>
    </row>
    <row r="25" customFormat="false" ht="15" hidden="false" customHeight="false" outlineLevel="0" collapsed="false">
      <c r="A25" s="4" t="s">
        <v>197</v>
      </c>
      <c r="B25" s="4" t="s">
        <v>217</v>
      </c>
      <c r="C25" s="34" t="n">
        <v>25870000</v>
      </c>
      <c r="D25" s="34" t="n">
        <v>25879999</v>
      </c>
      <c r="E25" s="4" t="s">
        <v>201</v>
      </c>
      <c r="F25" s="4" t="s">
        <v>204</v>
      </c>
      <c r="G25" s="4" t="n">
        <f aca="false">COUNTIFS(Pedidos!$E$2:$E$2224,"&gt;="&amp;C25,Pedidos!$E$2:$E$2224,"&lt;="&amp;D25)</f>
        <v>0</v>
      </c>
      <c r="H25" s="7" t="n">
        <v>106.53</v>
      </c>
      <c r="I25" s="7" t="n">
        <v>120.78</v>
      </c>
      <c r="J25" s="7" t="n">
        <v>125.63</v>
      </c>
      <c r="K25" s="7" t="n">
        <v>135.03</v>
      </c>
      <c r="L25" s="7" t="n">
        <v>144.53</v>
      </c>
      <c r="M25" s="7" t="n">
        <v>166.05</v>
      </c>
      <c r="N25" s="7" t="n">
        <v>166.05</v>
      </c>
      <c r="O25" s="7" t="n">
        <v>197.35</v>
      </c>
      <c r="P25" s="7" t="n">
        <v>236.82</v>
      </c>
      <c r="Q25" s="7" t="n">
        <v>264.84</v>
      </c>
      <c r="R25" s="7" t="n">
        <v>300.15</v>
      </c>
      <c r="S25" s="7" t="n">
        <v>353.12</v>
      </c>
      <c r="T25" s="7" t="n">
        <v>441.4</v>
      </c>
      <c r="U25" s="7" t="n">
        <v>52.71</v>
      </c>
      <c r="V25" s="7" t="n">
        <v>76.5</v>
      </c>
      <c r="W25" s="7" t="n">
        <v>87.4</v>
      </c>
      <c r="X25" s="7" t="n">
        <v>94</v>
      </c>
      <c r="Y25" s="7" t="n">
        <v>103.6</v>
      </c>
      <c r="Z25" s="7" t="n">
        <v>113.9</v>
      </c>
      <c r="AA25" s="7" t="n">
        <v>124.16</v>
      </c>
      <c r="AB25" s="7" t="n">
        <v>144.41</v>
      </c>
      <c r="AC25" s="7" t="n">
        <v>161.81</v>
      </c>
      <c r="AD25" s="7" t="n">
        <v>197.37</v>
      </c>
      <c r="AE25" s="7" t="n">
        <v>215.7</v>
      </c>
      <c r="AF25" s="7" t="n">
        <v>143.51</v>
      </c>
      <c r="AG25" s="7" t="n">
        <v>304.65</v>
      </c>
      <c r="AH25" s="12" t="n">
        <f aca="false">(U25+AH$4*(Resumo!$C$7+Resumo!$C$8)+Resumo!$C$10*CEILING(AH$3/100,1)+Resumo!$C$9)*(1+Resumo!$C$11)-(AH$4*(Resumo!$B$6+Resumo!$B$7)+Resumo!$B$9+Resumo!$B$10*CEILING(AH$3/100,1)+(Resumo!$B$12+Resumo!$B$13)*CEILING(AH$3,1))</f>
        <v>54.9227352971963</v>
      </c>
      <c r="AI25" s="12" t="n">
        <f aca="false">(V25+AI$4*(Resumo!$C$7+Resumo!$C$8)+Resumo!$C$10*CEILING(AI$3/100,1)+Resumo!$C$9)*(1+Resumo!$C$11)-(AI$4*(Resumo!$B$6+Resumo!$B$7)+Resumo!$B$9+Resumo!$B$10*CEILING(AI$3/100,1)+(Resumo!$B$12+Resumo!$B$13)*CEILING(AI$3,1))</f>
        <v>74.5570462771717</v>
      </c>
      <c r="AJ25" s="12" t="n">
        <f aca="false">(W25+AJ$4*(Resumo!$C$7+Resumo!$C$8)+Resumo!$C$10*CEILING(AJ$3/100,1)+Resumo!$C$9)*(1+Resumo!$C$11)-(AJ$4*(Resumo!$B$6+Resumo!$B$7)+Resumo!$B$9+Resumo!$B$10*CEILING(AJ$3/100,1)+(Resumo!$B$12+Resumo!$B$13)*CEILING(AJ$3,1))</f>
        <v>81.5039345092958</v>
      </c>
      <c r="AK25" s="12" t="n">
        <f aca="false">(X25+AK$4*(Resumo!$C$7+Resumo!$C$8)+Resumo!$C$10*CEILING(AK$3/100,1)+Resumo!$C$9)*(1+Resumo!$C$11)-(AK$4*(Resumo!$B$6+Resumo!$B$7)+Resumo!$B$9+Resumo!$B$10*CEILING(AK$3/100,1)+(Resumo!$B$12+Resumo!$B$13)*CEILING(AK$3,1))</f>
        <v>84.5552580255814</v>
      </c>
      <c r="AL25" s="12" t="n">
        <f aca="false">(Y25+AL$4*(Resumo!$C$7+Resumo!$C$8)+Resumo!$C$10*CEILING(AL$3/100,1)+Resumo!$C$9)*(1+Resumo!$C$11)-(AL$4*(Resumo!$B$6+Resumo!$B$7)+Resumo!$B$9+Resumo!$B$10*CEILING(AL$3/100,1)+(Resumo!$B$12+Resumo!$B$13)*CEILING(AL$3,1))</f>
        <v>90.7147698817308</v>
      </c>
      <c r="AM25" s="12" t="n">
        <f aca="false">(Z25+AM$4*(Resumo!$C$7+Resumo!$C$8)+Resumo!$C$10*CEILING(AM$3/100,1)+Resumo!$C$9)*(1+Resumo!$C$11)-(AM$4*(Resumo!$B$6+Resumo!$B$7)+Resumo!$B$9+Resumo!$B$10*CEILING(AM$3/100,1)+(Resumo!$B$12+Resumo!$B$13)*CEILING(AM$3,1))</f>
        <v>95.0304196468864</v>
      </c>
      <c r="AN25" s="12" t="n">
        <f aca="false">(AA25+AN$4*(Resumo!$C$7+Resumo!$C$8)+Resumo!$C$10*CEILING(AN$3/100,1)+Resumo!$C$9)*(1+Resumo!$C$11)-(AN$4*(Resumo!$B$6+Resumo!$B$7)+Resumo!$B$9+Resumo!$B$10*CEILING(AN$3/100,1)+(Resumo!$B$12+Resumo!$B$13)*CEILING(AN$3,1))</f>
        <v>102.00959604</v>
      </c>
      <c r="AO25" s="12" t="n">
        <f aca="false">(AB25+AO$4*(Resumo!$C$7+Resumo!$C$8)+Resumo!$C$10*CEILING(AO$3/100,1)+Resumo!$C$9)*(1+Resumo!$C$11)-(AO$4*(Resumo!$B$6+Resumo!$B$7)+Resumo!$B$9+Resumo!$B$10*CEILING(AO$3/100,1)+(Resumo!$B$12+Resumo!$B$13)*CEILING(AO$3,1))</f>
        <v>116.765897119298</v>
      </c>
      <c r="AP25" s="12" t="n">
        <f aca="false">(AC25+AP$4*(Resumo!$C$7+Resumo!$C$8)+Resumo!$C$10*CEILING(AP$3/100,1)+Resumo!$C$9)*(1+Resumo!$C$11)-(AP$4*(Resumo!$B$6+Resumo!$B$7)+Resumo!$B$9+Resumo!$B$10*CEILING(AP$3/100,1)+(Resumo!$B$12+Resumo!$B$13)*CEILING(AP$3,1))</f>
        <v>120.300564037736</v>
      </c>
      <c r="AQ25" s="12" t="n">
        <f aca="false">(AD25+AQ$4*(Resumo!$C$7+Resumo!$C$8)+Resumo!$C$10*CEILING(AQ$3/100,1)+Resumo!$C$9)*(1+Resumo!$C$11)-(AQ$4*(Resumo!$B$6+Resumo!$B$7)+Resumo!$B$9+Resumo!$B$10*CEILING(AQ$3/100,1)+(Resumo!$B$12+Resumo!$B$13)*CEILING(AQ$3,1))</f>
        <v>149.110142593023</v>
      </c>
      <c r="AR25" s="12" t="n">
        <f aca="false">(AE25+AR$4*(Resumo!$C$7+Resumo!$C$8)+Resumo!$C$10*CEILING(AR$3/100,1)+Resumo!$C$9)*(1+Resumo!$C$11)-(AR$4*(Resumo!$B$6+Resumo!$B$7)+Resumo!$B$9+Resumo!$B$10*CEILING(AR$3/100,1)+(Resumo!$B$12+Resumo!$B$13)*CEILING(AR$3,1))</f>
        <v>152.447191466667</v>
      </c>
      <c r="AS25" s="12" t="n">
        <f aca="false">(AF25+AS$4*(Resumo!$C$7+Resumo!$C$8)+Resumo!$C$10*CEILING(AS$3/100,1)+Resumo!$C$9)*(1+Resumo!$C$11)-(AS$4*(Resumo!$B$6+Resumo!$B$7)+Resumo!$B$9+Resumo!$B$10*CEILING(AS$3/100,1)+(Resumo!$B$12+Resumo!$B$13)*CEILING(AS$3,1))</f>
        <v>62.11023</v>
      </c>
      <c r="AT25" s="12" t="n">
        <f aca="false">(AG25+AT$4*(Resumo!$C$7+Resumo!$C$8)+Resumo!$C$10*CEILING(AT$3/100,1)+Resumo!$C$9)*(1+Resumo!$C$11)-(AT$4*(Resumo!$B$6+Resumo!$B$7)+Resumo!$B$9+Resumo!$B$10*CEILING(AT$3/100,1)+(Resumo!$B$12+Resumo!$B$13)*CEILING(AT$3,1))</f>
        <v>219.780987533333</v>
      </c>
      <c r="AU25" s="13" t="n">
        <f aca="false">1-AH25/H25</f>
        <v>0.484438793793333</v>
      </c>
      <c r="AV25" s="13" t="n">
        <f aca="false">1-AI25/I25</f>
        <v>0.382703706928534</v>
      </c>
      <c r="AW25" s="13" t="n">
        <f aca="false">1-AJ25/J25</f>
        <v>0.351238282979418</v>
      </c>
      <c r="AX25" s="13" t="n">
        <f aca="false">1-AK25/K25</f>
        <v>0.373803910052719</v>
      </c>
      <c r="AY25" s="13" t="n">
        <f aca="false">1-AL25/L25</f>
        <v>0.372346434084752</v>
      </c>
      <c r="AZ25" s="13" t="n">
        <f aca="false">1-AM25/M25</f>
        <v>0.427699972015137</v>
      </c>
      <c r="BA25" s="13" t="n">
        <f aca="false">1-AN25/N25</f>
        <v>0.385669400542005</v>
      </c>
      <c r="BB25" s="13" t="n">
        <f aca="false">1-AO25/O25</f>
        <v>0.408330898812778</v>
      </c>
      <c r="BC25" s="13" t="n">
        <f aca="false">1-AP25/P25</f>
        <v>0.492016873415523</v>
      </c>
      <c r="BD25" s="13" t="n">
        <f aca="false">1-AQ25/Q25</f>
        <v>0.436980280195502</v>
      </c>
      <c r="BE25" s="13" t="n">
        <f aca="false">1-AR25/R25</f>
        <v>0.492096646787717</v>
      </c>
      <c r="BF25" s="13" t="n">
        <f aca="false">1-AS25/S25</f>
        <v>0.82411013253285</v>
      </c>
      <c r="BG25" s="13" t="n">
        <f aca="false">1-AT25/T25</f>
        <v>0.502082040024166</v>
      </c>
    </row>
    <row r="26" customFormat="false" ht="15" hidden="false" customHeight="false" outlineLevel="0" collapsed="false">
      <c r="A26" s="4" t="s">
        <v>197</v>
      </c>
      <c r="B26" s="4" t="s">
        <v>218</v>
      </c>
      <c r="C26" s="34" t="n">
        <v>25880000</v>
      </c>
      <c r="D26" s="34" t="n">
        <v>25899999</v>
      </c>
      <c r="E26" s="4" t="s">
        <v>201</v>
      </c>
      <c r="F26" s="4" t="s">
        <v>204</v>
      </c>
      <c r="G26" s="4" t="n">
        <f aca="false">COUNTIFS(Pedidos!$E$2:$E$2224,"&gt;="&amp;C26,Pedidos!$E$2:$E$2224,"&lt;="&amp;D26)</f>
        <v>3</v>
      </c>
      <c r="H26" s="7" t="n">
        <v>106.53</v>
      </c>
      <c r="I26" s="7" t="n">
        <v>120.78</v>
      </c>
      <c r="J26" s="7" t="n">
        <v>125.63</v>
      </c>
      <c r="K26" s="7" t="n">
        <v>135.03</v>
      </c>
      <c r="L26" s="7" t="n">
        <v>144.53</v>
      </c>
      <c r="M26" s="7" t="n">
        <v>166.05</v>
      </c>
      <c r="N26" s="7" t="n">
        <v>166.05</v>
      </c>
      <c r="O26" s="7" t="n">
        <v>197.35</v>
      </c>
      <c r="P26" s="7" t="n">
        <v>236.82</v>
      </c>
      <c r="Q26" s="7" t="n">
        <v>264.84</v>
      </c>
      <c r="R26" s="7" t="n">
        <v>300.15</v>
      </c>
      <c r="S26" s="7" t="n">
        <v>353.12</v>
      </c>
      <c r="T26" s="7" t="n">
        <v>441.4</v>
      </c>
      <c r="U26" s="7" t="n">
        <v>52.71</v>
      </c>
      <c r="V26" s="7" t="n">
        <v>76.5</v>
      </c>
      <c r="W26" s="7" t="n">
        <v>87.4</v>
      </c>
      <c r="X26" s="7" t="n">
        <v>94</v>
      </c>
      <c r="Y26" s="7" t="n">
        <v>103.6</v>
      </c>
      <c r="Z26" s="7" t="n">
        <v>113.9</v>
      </c>
      <c r="AA26" s="7" t="n">
        <v>124.16</v>
      </c>
      <c r="AB26" s="7" t="n">
        <v>144.41</v>
      </c>
      <c r="AC26" s="7" t="n">
        <v>161.81</v>
      </c>
      <c r="AD26" s="7" t="n">
        <v>197.37</v>
      </c>
      <c r="AE26" s="7" t="n">
        <v>215.7</v>
      </c>
      <c r="AF26" s="7" t="n">
        <v>143.51</v>
      </c>
      <c r="AG26" s="7" t="n">
        <v>304.65</v>
      </c>
      <c r="AH26" s="12" t="n">
        <f aca="false">(U26+AH$4*(Resumo!$C$7+Resumo!$C$8)+Resumo!$C$10*CEILING(AH$3/100,1)+Resumo!$C$9)*(1+Resumo!$C$11)-(AH$4*(Resumo!$B$6+Resumo!$B$7)+Resumo!$B$9+Resumo!$B$10*CEILING(AH$3/100,1)+(Resumo!$B$12+Resumo!$B$13)*CEILING(AH$3,1))</f>
        <v>54.9227352971963</v>
      </c>
      <c r="AI26" s="12" t="n">
        <f aca="false">(V26+AI$4*(Resumo!$C$7+Resumo!$C$8)+Resumo!$C$10*CEILING(AI$3/100,1)+Resumo!$C$9)*(1+Resumo!$C$11)-(AI$4*(Resumo!$B$6+Resumo!$B$7)+Resumo!$B$9+Resumo!$B$10*CEILING(AI$3/100,1)+(Resumo!$B$12+Resumo!$B$13)*CEILING(AI$3,1))</f>
        <v>74.5570462771717</v>
      </c>
      <c r="AJ26" s="12" t="n">
        <f aca="false">(W26+AJ$4*(Resumo!$C$7+Resumo!$C$8)+Resumo!$C$10*CEILING(AJ$3/100,1)+Resumo!$C$9)*(1+Resumo!$C$11)-(AJ$4*(Resumo!$B$6+Resumo!$B$7)+Resumo!$B$9+Resumo!$B$10*CEILING(AJ$3/100,1)+(Resumo!$B$12+Resumo!$B$13)*CEILING(AJ$3,1))</f>
        <v>81.5039345092958</v>
      </c>
      <c r="AK26" s="12" t="n">
        <f aca="false">(X26+AK$4*(Resumo!$C$7+Resumo!$C$8)+Resumo!$C$10*CEILING(AK$3/100,1)+Resumo!$C$9)*(1+Resumo!$C$11)-(AK$4*(Resumo!$B$6+Resumo!$B$7)+Resumo!$B$9+Resumo!$B$10*CEILING(AK$3/100,1)+(Resumo!$B$12+Resumo!$B$13)*CEILING(AK$3,1))</f>
        <v>84.5552580255814</v>
      </c>
      <c r="AL26" s="12" t="n">
        <f aca="false">(Y26+AL$4*(Resumo!$C$7+Resumo!$C$8)+Resumo!$C$10*CEILING(AL$3/100,1)+Resumo!$C$9)*(1+Resumo!$C$11)-(AL$4*(Resumo!$B$6+Resumo!$B$7)+Resumo!$B$9+Resumo!$B$10*CEILING(AL$3/100,1)+(Resumo!$B$12+Resumo!$B$13)*CEILING(AL$3,1))</f>
        <v>90.7147698817308</v>
      </c>
      <c r="AM26" s="12" t="n">
        <f aca="false">(Z26+AM$4*(Resumo!$C$7+Resumo!$C$8)+Resumo!$C$10*CEILING(AM$3/100,1)+Resumo!$C$9)*(1+Resumo!$C$11)-(AM$4*(Resumo!$B$6+Resumo!$B$7)+Resumo!$B$9+Resumo!$B$10*CEILING(AM$3/100,1)+(Resumo!$B$12+Resumo!$B$13)*CEILING(AM$3,1))</f>
        <v>95.0304196468864</v>
      </c>
      <c r="AN26" s="12" t="n">
        <f aca="false">(AA26+AN$4*(Resumo!$C$7+Resumo!$C$8)+Resumo!$C$10*CEILING(AN$3/100,1)+Resumo!$C$9)*(1+Resumo!$C$11)-(AN$4*(Resumo!$B$6+Resumo!$B$7)+Resumo!$B$9+Resumo!$B$10*CEILING(AN$3/100,1)+(Resumo!$B$12+Resumo!$B$13)*CEILING(AN$3,1))</f>
        <v>102.00959604</v>
      </c>
      <c r="AO26" s="12" t="n">
        <f aca="false">(AB26+AO$4*(Resumo!$C$7+Resumo!$C$8)+Resumo!$C$10*CEILING(AO$3/100,1)+Resumo!$C$9)*(1+Resumo!$C$11)-(AO$4*(Resumo!$B$6+Resumo!$B$7)+Resumo!$B$9+Resumo!$B$10*CEILING(AO$3/100,1)+(Resumo!$B$12+Resumo!$B$13)*CEILING(AO$3,1))</f>
        <v>116.765897119298</v>
      </c>
      <c r="AP26" s="12" t="n">
        <f aca="false">(AC26+AP$4*(Resumo!$C$7+Resumo!$C$8)+Resumo!$C$10*CEILING(AP$3/100,1)+Resumo!$C$9)*(1+Resumo!$C$11)-(AP$4*(Resumo!$B$6+Resumo!$B$7)+Resumo!$B$9+Resumo!$B$10*CEILING(AP$3/100,1)+(Resumo!$B$12+Resumo!$B$13)*CEILING(AP$3,1))</f>
        <v>120.300564037736</v>
      </c>
      <c r="AQ26" s="12" t="n">
        <f aca="false">(AD26+AQ$4*(Resumo!$C$7+Resumo!$C$8)+Resumo!$C$10*CEILING(AQ$3/100,1)+Resumo!$C$9)*(1+Resumo!$C$11)-(AQ$4*(Resumo!$B$6+Resumo!$B$7)+Resumo!$B$9+Resumo!$B$10*CEILING(AQ$3/100,1)+(Resumo!$B$12+Resumo!$B$13)*CEILING(AQ$3,1))</f>
        <v>149.110142593023</v>
      </c>
      <c r="AR26" s="12" t="n">
        <f aca="false">(AE26+AR$4*(Resumo!$C$7+Resumo!$C$8)+Resumo!$C$10*CEILING(AR$3/100,1)+Resumo!$C$9)*(1+Resumo!$C$11)-(AR$4*(Resumo!$B$6+Resumo!$B$7)+Resumo!$B$9+Resumo!$B$10*CEILING(AR$3/100,1)+(Resumo!$B$12+Resumo!$B$13)*CEILING(AR$3,1))</f>
        <v>152.447191466667</v>
      </c>
      <c r="AS26" s="12" t="n">
        <f aca="false">(AF26+AS$4*(Resumo!$C$7+Resumo!$C$8)+Resumo!$C$10*CEILING(AS$3/100,1)+Resumo!$C$9)*(1+Resumo!$C$11)-(AS$4*(Resumo!$B$6+Resumo!$B$7)+Resumo!$B$9+Resumo!$B$10*CEILING(AS$3/100,1)+(Resumo!$B$12+Resumo!$B$13)*CEILING(AS$3,1))</f>
        <v>62.11023</v>
      </c>
      <c r="AT26" s="12" t="n">
        <f aca="false">(AG26+AT$4*(Resumo!$C$7+Resumo!$C$8)+Resumo!$C$10*CEILING(AT$3/100,1)+Resumo!$C$9)*(1+Resumo!$C$11)-(AT$4*(Resumo!$B$6+Resumo!$B$7)+Resumo!$B$9+Resumo!$B$10*CEILING(AT$3/100,1)+(Resumo!$B$12+Resumo!$B$13)*CEILING(AT$3,1))</f>
        <v>219.780987533333</v>
      </c>
      <c r="AU26" s="13" t="n">
        <f aca="false">1-AH26/H26</f>
        <v>0.484438793793333</v>
      </c>
      <c r="AV26" s="13" t="n">
        <f aca="false">1-AI26/I26</f>
        <v>0.382703706928534</v>
      </c>
      <c r="AW26" s="13" t="n">
        <f aca="false">1-AJ26/J26</f>
        <v>0.351238282979418</v>
      </c>
      <c r="AX26" s="13" t="n">
        <f aca="false">1-AK26/K26</f>
        <v>0.373803910052719</v>
      </c>
      <c r="AY26" s="13" t="n">
        <f aca="false">1-AL26/L26</f>
        <v>0.372346434084752</v>
      </c>
      <c r="AZ26" s="13" t="n">
        <f aca="false">1-AM26/M26</f>
        <v>0.427699972015137</v>
      </c>
      <c r="BA26" s="13" t="n">
        <f aca="false">1-AN26/N26</f>
        <v>0.385669400542005</v>
      </c>
      <c r="BB26" s="13" t="n">
        <f aca="false">1-AO26/O26</f>
        <v>0.408330898812778</v>
      </c>
      <c r="BC26" s="13" t="n">
        <f aca="false">1-AP26/P26</f>
        <v>0.492016873415523</v>
      </c>
      <c r="BD26" s="13" t="n">
        <f aca="false">1-AQ26/Q26</f>
        <v>0.436980280195502</v>
      </c>
      <c r="BE26" s="13" t="n">
        <f aca="false">1-AR26/R26</f>
        <v>0.492096646787717</v>
      </c>
      <c r="BF26" s="13" t="n">
        <f aca="false">1-AS26/S26</f>
        <v>0.82411013253285</v>
      </c>
      <c r="BG26" s="13" t="n">
        <f aca="false">1-AT26/T26</f>
        <v>0.502082040024166</v>
      </c>
    </row>
    <row r="27" customFormat="false" ht="15" hidden="false" customHeight="false" outlineLevel="0" collapsed="false">
      <c r="A27" s="4" t="s">
        <v>197</v>
      </c>
      <c r="B27" s="4" t="s">
        <v>156</v>
      </c>
      <c r="C27" s="34" t="n">
        <v>25900000</v>
      </c>
      <c r="D27" s="34" t="n">
        <v>25939999</v>
      </c>
      <c r="E27" s="4" t="s">
        <v>201</v>
      </c>
      <c r="F27" s="4" t="s">
        <v>219</v>
      </c>
      <c r="G27" s="4" t="n">
        <f aca="false">COUNTIFS(Pedidos!$E$2:$E$2224,"&gt;="&amp;C27,Pedidos!$E$2:$E$2224,"&lt;="&amp;D27)</f>
        <v>20</v>
      </c>
      <c r="H27" s="7" t="n">
        <v>89.03</v>
      </c>
      <c r="I27" s="7" t="n">
        <v>103.28</v>
      </c>
      <c r="J27" s="7" t="n">
        <v>108.03</v>
      </c>
      <c r="K27" s="7" t="n">
        <v>117.23</v>
      </c>
      <c r="L27" s="7" t="n">
        <v>127.03</v>
      </c>
      <c r="M27" s="7" t="n">
        <v>136.53</v>
      </c>
      <c r="N27" s="7" t="n">
        <v>146.03</v>
      </c>
      <c r="O27" s="7" t="n">
        <v>167.99</v>
      </c>
      <c r="P27" s="7" t="n">
        <v>201.59</v>
      </c>
      <c r="Q27" s="7" t="n">
        <v>239.25</v>
      </c>
      <c r="R27" s="7" t="n">
        <v>271.15</v>
      </c>
      <c r="S27" s="7" t="n">
        <v>319</v>
      </c>
      <c r="T27" s="7" t="n">
        <v>398.74</v>
      </c>
      <c r="U27" s="7" t="n">
        <v>52.71</v>
      </c>
      <c r="V27" s="7" t="n">
        <v>76.5</v>
      </c>
      <c r="W27" s="7" t="n">
        <v>87.4</v>
      </c>
      <c r="X27" s="7" t="n">
        <v>94</v>
      </c>
      <c r="Y27" s="7" t="n">
        <v>103.6</v>
      </c>
      <c r="Z27" s="7" t="n">
        <v>113.9</v>
      </c>
      <c r="AA27" s="7" t="n">
        <v>124.16</v>
      </c>
      <c r="AB27" s="7" t="n">
        <v>144.41</v>
      </c>
      <c r="AC27" s="7" t="n">
        <v>161.81</v>
      </c>
      <c r="AD27" s="7" t="n">
        <v>197.37</v>
      </c>
      <c r="AE27" s="7" t="n">
        <v>215.7</v>
      </c>
      <c r="AF27" s="7" t="n">
        <v>143.51</v>
      </c>
      <c r="AG27" s="7" t="n">
        <v>304.65</v>
      </c>
      <c r="AH27" s="12" t="n">
        <f aca="false">(U27+AH$4*(Resumo!$C$7+Resumo!$C$8)+Resumo!$C$10*CEILING(AH$3/100,1)+Resumo!$C$9)*(1+Resumo!$C$11)-(AH$4*(Resumo!$B$6+Resumo!$B$7)+Resumo!$B$9+Resumo!$B$10*CEILING(AH$3/100,1)+(Resumo!$B$12+Resumo!$B$13)*CEILING(AH$3,1))</f>
        <v>54.9227352971963</v>
      </c>
      <c r="AI27" s="12" t="n">
        <f aca="false">(V27+AI$4*(Resumo!$C$7+Resumo!$C$8)+Resumo!$C$10*CEILING(AI$3/100,1)+Resumo!$C$9)*(1+Resumo!$C$11)-(AI$4*(Resumo!$B$6+Resumo!$B$7)+Resumo!$B$9+Resumo!$B$10*CEILING(AI$3/100,1)+(Resumo!$B$12+Resumo!$B$13)*CEILING(AI$3,1))</f>
        <v>74.5570462771717</v>
      </c>
      <c r="AJ27" s="12" t="n">
        <f aca="false">(W27+AJ$4*(Resumo!$C$7+Resumo!$C$8)+Resumo!$C$10*CEILING(AJ$3/100,1)+Resumo!$C$9)*(1+Resumo!$C$11)-(AJ$4*(Resumo!$B$6+Resumo!$B$7)+Resumo!$B$9+Resumo!$B$10*CEILING(AJ$3/100,1)+(Resumo!$B$12+Resumo!$B$13)*CEILING(AJ$3,1))</f>
        <v>81.5039345092958</v>
      </c>
      <c r="AK27" s="12" t="n">
        <f aca="false">(X27+AK$4*(Resumo!$C$7+Resumo!$C$8)+Resumo!$C$10*CEILING(AK$3/100,1)+Resumo!$C$9)*(1+Resumo!$C$11)-(AK$4*(Resumo!$B$6+Resumo!$B$7)+Resumo!$B$9+Resumo!$B$10*CEILING(AK$3/100,1)+(Resumo!$B$12+Resumo!$B$13)*CEILING(AK$3,1))</f>
        <v>84.5552580255814</v>
      </c>
      <c r="AL27" s="12" t="n">
        <f aca="false">(Y27+AL$4*(Resumo!$C$7+Resumo!$C$8)+Resumo!$C$10*CEILING(AL$3/100,1)+Resumo!$C$9)*(1+Resumo!$C$11)-(AL$4*(Resumo!$B$6+Resumo!$B$7)+Resumo!$B$9+Resumo!$B$10*CEILING(AL$3/100,1)+(Resumo!$B$12+Resumo!$B$13)*CEILING(AL$3,1))</f>
        <v>90.7147698817308</v>
      </c>
      <c r="AM27" s="12" t="n">
        <f aca="false">(Z27+AM$4*(Resumo!$C$7+Resumo!$C$8)+Resumo!$C$10*CEILING(AM$3/100,1)+Resumo!$C$9)*(1+Resumo!$C$11)-(AM$4*(Resumo!$B$6+Resumo!$B$7)+Resumo!$B$9+Resumo!$B$10*CEILING(AM$3/100,1)+(Resumo!$B$12+Resumo!$B$13)*CEILING(AM$3,1))</f>
        <v>95.0304196468864</v>
      </c>
      <c r="AN27" s="12" t="n">
        <f aca="false">(AA27+AN$4*(Resumo!$C$7+Resumo!$C$8)+Resumo!$C$10*CEILING(AN$3/100,1)+Resumo!$C$9)*(1+Resumo!$C$11)-(AN$4*(Resumo!$B$6+Resumo!$B$7)+Resumo!$B$9+Resumo!$B$10*CEILING(AN$3/100,1)+(Resumo!$B$12+Resumo!$B$13)*CEILING(AN$3,1))</f>
        <v>102.00959604</v>
      </c>
      <c r="AO27" s="12" t="n">
        <f aca="false">(AB27+AO$4*(Resumo!$C$7+Resumo!$C$8)+Resumo!$C$10*CEILING(AO$3/100,1)+Resumo!$C$9)*(1+Resumo!$C$11)-(AO$4*(Resumo!$B$6+Resumo!$B$7)+Resumo!$B$9+Resumo!$B$10*CEILING(AO$3/100,1)+(Resumo!$B$12+Resumo!$B$13)*CEILING(AO$3,1))</f>
        <v>116.765897119298</v>
      </c>
      <c r="AP27" s="12" t="n">
        <f aca="false">(AC27+AP$4*(Resumo!$C$7+Resumo!$C$8)+Resumo!$C$10*CEILING(AP$3/100,1)+Resumo!$C$9)*(1+Resumo!$C$11)-(AP$4*(Resumo!$B$6+Resumo!$B$7)+Resumo!$B$9+Resumo!$B$10*CEILING(AP$3/100,1)+(Resumo!$B$12+Resumo!$B$13)*CEILING(AP$3,1))</f>
        <v>120.300564037736</v>
      </c>
      <c r="AQ27" s="12" t="n">
        <f aca="false">(AD27+AQ$4*(Resumo!$C$7+Resumo!$C$8)+Resumo!$C$10*CEILING(AQ$3/100,1)+Resumo!$C$9)*(1+Resumo!$C$11)-(AQ$4*(Resumo!$B$6+Resumo!$B$7)+Resumo!$B$9+Resumo!$B$10*CEILING(AQ$3/100,1)+(Resumo!$B$12+Resumo!$B$13)*CEILING(AQ$3,1))</f>
        <v>149.110142593023</v>
      </c>
      <c r="AR27" s="12" t="n">
        <f aca="false">(AE27+AR$4*(Resumo!$C$7+Resumo!$C$8)+Resumo!$C$10*CEILING(AR$3/100,1)+Resumo!$C$9)*(1+Resumo!$C$11)-(AR$4*(Resumo!$B$6+Resumo!$B$7)+Resumo!$B$9+Resumo!$B$10*CEILING(AR$3/100,1)+(Resumo!$B$12+Resumo!$B$13)*CEILING(AR$3,1))</f>
        <v>152.447191466667</v>
      </c>
      <c r="AS27" s="12" t="n">
        <f aca="false">(AF27+AS$4*(Resumo!$C$7+Resumo!$C$8)+Resumo!$C$10*CEILING(AS$3/100,1)+Resumo!$C$9)*(1+Resumo!$C$11)-(AS$4*(Resumo!$B$6+Resumo!$B$7)+Resumo!$B$9+Resumo!$B$10*CEILING(AS$3/100,1)+(Resumo!$B$12+Resumo!$B$13)*CEILING(AS$3,1))</f>
        <v>62.11023</v>
      </c>
      <c r="AT27" s="12" t="n">
        <f aca="false">(AG27+AT$4*(Resumo!$C$7+Resumo!$C$8)+Resumo!$C$10*CEILING(AT$3/100,1)+Resumo!$C$9)*(1+Resumo!$C$11)-(AT$4*(Resumo!$B$6+Resumo!$B$7)+Resumo!$B$9+Resumo!$B$10*CEILING(AT$3/100,1)+(Resumo!$B$12+Resumo!$B$13)*CEILING(AT$3,1))</f>
        <v>219.780987533333</v>
      </c>
      <c r="AU27" s="13" t="n">
        <f aca="false">1-AH27/H27</f>
        <v>0.383098558944218</v>
      </c>
      <c r="AV27" s="13" t="n">
        <f aca="false">1-AI27/I27</f>
        <v>0.278107607695859</v>
      </c>
      <c r="AW27" s="13" t="n">
        <f aca="false">1-AJ27/J27</f>
        <v>0.245543510975694</v>
      </c>
      <c r="AX27" s="13" t="n">
        <f aca="false">1-AK27/K27</f>
        <v>0.278723381168802</v>
      </c>
      <c r="AY27" s="13" t="n">
        <f aca="false">1-AL27/L27</f>
        <v>0.285879163333616</v>
      </c>
      <c r="AZ27" s="13" t="n">
        <f aca="false">1-AM27/M27</f>
        <v>0.303959425423816</v>
      </c>
      <c r="BA27" s="13" t="n">
        <f aca="false">1-AN27/N27</f>
        <v>0.30144767486133</v>
      </c>
      <c r="BB27" s="13" t="n">
        <f aca="false">1-AO27/O27</f>
        <v>0.304923524499683</v>
      </c>
      <c r="BC27" s="13" t="n">
        <f aca="false">1-AP27/P27</f>
        <v>0.403241410597074</v>
      </c>
      <c r="BD27" s="13" t="n">
        <f aca="false">1-AQ27/Q27</f>
        <v>0.376760114553717</v>
      </c>
      <c r="BE27" s="13" t="n">
        <f aca="false">1-AR27/R27</f>
        <v>0.437775432540414</v>
      </c>
      <c r="BF27" s="13" t="n">
        <f aca="false">1-AS27/S27</f>
        <v>0.805297084639499</v>
      </c>
      <c r="BG27" s="13" t="n">
        <f aca="false">1-AT27/T27</f>
        <v>0.448811286719834</v>
      </c>
    </row>
    <row r="28" customFormat="false" ht="15" hidden="false" customHeight="false" outlineLevel="0" collapsed="false">
      <c r="A28" s="4" t="s">
        <v>197</v>
      </c>
      <c r="B28" s="4" t="s">
        <v>220</v>
      </c>
      <c r="C28" s="34" t="n">
        <v>25940000</v>
      </c>
      <c r="D28" s="34" t="n">
        <v>25949999</v>
      </c>
      <c r="E28" s="4" t="s">
        <v>201</v>
      </c>
      <c r="F28" s="4" t="s">
        <v>219</v>
      </c>
      <c r="G28" s="4" t="n">
        <f aca="false">COUNTIFS(Pedidos!$E$2:$E$2224,"&gt;="&amp;C28,Pedidos!$E$2:$E$2224,"&lt;="&amp;D28)</f>
        <v>7</v>
      </c>
      <c r="H28" s="7" t="n">
        <v>89.03</v>
      </c>
      <c r="I28" s="7" t="n">
        <v>103.28</v>
      </c>
      <c r="J28" s="7" t="n">
        <v>108.03</v>
      </c>
      <c r="K28" s="7" t="n">
        <v>117.23</v>
      </c>
      <c r="L28" s="7" t="n">
        <v>127.03</v>
      </c>
      <c r="M28" s="7" t="n">
        <v>136.53</v>
      </c>
      <c r="N28" s="7" t="n">
        <v>146.03</v>
      </c>
      <c r="O28" s="7" t="n">
        <v>167.99</v>
      </c>
      <c r="P28" s="7" t="n">
        <v>201.59</v>
      </c>
      <c r="Q28" s="7" t="n">
        <v>239.25</v>
      </c>
      <c r="R28" s="7" t="n">
        <v>271.15</v>
      </c>
      <c r="S28" s="7" t="n">
        <v>319</v>
      </c>
      <c r="T28" s="7" t="n">
        <v>398.74</v>
      </c>
      <c r="U28" s="7" t="n">
        <v>52.71</v>
      </c>
      <c r="V28" s="7" t="n">
        <v>76.5</v>
      </c>
      <c r="W28" s="7" t="n">
        <v>87.4</v>
      </c>
      <c r="X28" s="7" t="n">
        <v>94</v>
      </c>
      <c r="Y28" s="7" t="n">
        <v>103.6</v>
      </c>
      <c r="Z28" s="7" t="n">
        <v>113.9</v>
      </c>
      <c r="AA28" s="7" t="n">
        <v>124.16</v>
      </c>
      <c r="AB28" s="7" t="n">
        <v>144.41</v>
      </c>
      <c r="AC28" s="7" t="n">
        <v>161.81</v>
      </c>
      <c r="AD28" s="7" t="n">
        <v>197.37</v>
      </c>
      <c r="AE28" s="7" t="n">
        <v>215.7</v>
      </c>
      <c r="AF28" s="7" t="n">
        <v>143.51</v>
      </c>
      <c r="AG28" s="7" t="n">
        <v>304.65</v>
      </c>
      <c r="AH28" s="12" t="n">
        <f aca="false">(U28+AH$4*(Resumo!$C$7+Resumo!$C$8)+Resumo!$C$10*CEILING(AH$3/100,1)+Resumo!$C$9)*(1+Resumo!$C$11)-(AH$4*(Resumo!$B$6+Resumo!$B$7)+Resumo!$B$9+Resumo!$B$10*CEILING(AH$3/100,1)+(Resumo!$B$12+Resumo!$B$13)*CEILING(AH$3,1))</f>
        <v>54.9227352971963</v>
      </c>
      <c r="AI28" s="12" t="n">
        <f aca="false">(V28+AI$4*(Resumo!$C$7+Resumo!$C$8)+Resumo!$C$10*CEILING(AI$3/100,1)+Resumo!$C$9)*(1+Resumo!$C$11)-(AI$4*(Resumo!$B$6+Resumo!$B$7)+Resumo!$B$9+Resumo!$B$10*CEILING(AI$3/100,1)+(Resumo!$B$12+Resumo!$B$13)*CEILING(AI$3,1))</f>
        <v>74.5570462771717</v>
      </c>
      <c r="AJ28" s="12" t="n">
        <f aca="false">(W28+AJ$4*(Resumo!$C$7+Resumo!$C$8)+Resumo!$C$10*CEILING(AJ$3/100,1)+Resumo!$C$9)*(1+Resumo!$C$11)-(AJ$4*(Resumo!$B$6+Resumo!$B$7)+Resumo!$B$9+Resumo!$B$10*CEILING(AJ$3/100,1)+(Resumo!$B$12+Resumo!$B$13)*CEILING(AJ$3,1))</f>
        <v>81.5039345092958</v>
      </c>
      <c r="AK28" s="12" t="n">
        <f aca="false">(X28+AK$4*(Resumo!$C$7+Resumo!$C$8)+Resumo!$C$10*CEILING(AK$3/100,1)+Resumo!$C$9)*(1+Resumo!$C$11)-(AK$4*(Resumo!$B$6+Resumo!$B$7)+Resumo!$B$9+Resumo!$B$10*CEILING(AK$3/100,1)+(Resumo!$B$12+Resumo!$B$13)*CEILING(AK$3,1))</f>
        <v>84.5552580255814</v>
      </c>
      <c r="AL28" s="12" t="n">
        <f aca="false">(Y28+AL$4*(Resumo!$C$7+Resumo!$C$8)+Resumo!$C$10*CEILING(AL$3/100,1)+Resumo!$C$9)*(1+Resumo!$C$11)-(AL$4*(Resumo!$B$6+Resumo!$B$7)+Resumo!$B$9+Resumo!$B$10*CEILING(AL$3/100,1)+(Resumo!$B$12+Resumo!$B$13)*CEILING(AL$3,1))</f>
        <v>90.7147698817308</v>
      </c>
      <c r="AM28" s="12" t="n">
        <f aca="false">(Z28+AM$4*(Resumo!$C$7+Resumo!$C$8)+Resumo!$C$10*CEILING(AM$3/100,1)+Resumo!$C$9)*(1+Resumo!$C$11)-(AM$4*(Resumo!$B$6+Resumo!$B$7)+Resumo!$B$9+Resumo!$B$10*CEILING(AM$3/100,1)+(Resumo!$B$12+Resumo!$B$13)*CEILING(AM$3,1))</f>
        <v>95.0304196468864</v>
      </c>
      <c r="AN28" s="12" t="n">
        <f aca="false">(AA28+AN$4*(Resumo!$C$7+Resumo!$C$8)+Resumo!$C$10*CEILING(AN$3/100,1)+Resumo!$C$9)*(1+Resumo!$C$11)-(AN$4*(Resumo!$B$6+Resumo!$B$7)+Resumo!$B$9+Resumo!$B$10*CEILING(AN$3/100,1)+(Resumo!$B$12+Resumo!$B$13)*CEILING(AN$3,1))</f>
        <v>102.00959604</v>
      </c>
      <c r="AO28" s="12" t="n">
        <f aca="false">(AB28+AO$4*(Resumo!$C$7+Resumo!$C$8)+Resumo!$C$10*CEILING(AO$3/100,1)+Resumo!$C$9)*(1+Resumo!$C$11)-(AO$4*(Resumo!$B$6+Resumo!$B$7)+Resumo!$B$9+Resumo!$B$10*CEILING(AO$3/100,1)+(Resumo!$B$12+Resumo!$B$13)*CEILING(AO$3,1))</f>
        <v>116.765897119298</v>
      </c>
      <c r="AP28" s="12" t="n">
        <f aca="false">(AC28+AP$4*(Resumo!$C$7+Resumo!$C$8)+Resumo!$C$10*CEILING(AP$3/100,1)+Resumo!$C$9)*(1+Resumo!$C$11)-(AP$4*(Resumo!$B$6+Resumo!$B$7)+Resumo!$B$9+Resumo!$B$10*CEILING(AP$3/100,1)+(Resumo!$B$12+Resumo!$B$13)*CEILING(AP$3,1))</f>
        <v>120.300564037736</v>
      </c>
      <c r="AQ28" s="12" t="n">
        <f aca="false">(AD28+AQ$4*(Resumo!$C$7+Resumo!$C$8)+Resumo!$C$10*CEILING(AQ$3/100,1)+Resumo!$C$9)*(1+Resumo!$C$11)-(AQ$4*(Resumo!$B$6+Resumo!$B$7)+Resumo!$B$9+Resumo!$B$10*CEILING(AQ$3/100,1)+(Resumo!$B$12+Resumo!$B$13)*CEILING(AQ$3,1))</f>
        <v>149.110142593023</v>
      </c>
      <c r="AR28" s="12" t="n">
        <f aca="false">(AE28+AR$4*(Resumo!$C$7+Resumo!$C$8)+Resumo!$C$10*CEILING(AR$3/100,1)+Resumo!$C$9)*(1+Resumo!$C$11)-(AR$4*(Resumo!$B$6+Resumo!$B$7)+Resumo!$B$9+Resumo!$B$10*CEILING(AR$3/100,1)+(Resumo!$B$12+Resumo!$B$13)*CEILING(AR$3,1))</f>
        <v>152.447191466667</v>
      </c>
      <c r="AS28" s="12" t="n">
        <f aca="false">(AF28+AS$4*(Resumo!$C$7+Resumo!$C$8)+Resumo!$C$10*CEILING(AS$3/100,1)+Resumo!$C$9)*(1+Resumo!$C$11)-(AS$4*(Resumo!$B$6+Resumo!$B$7)+Resumo!$B$9+Resumo!$B$10*CEILING(AS$3/100,1)+(Resumo!$B$12+Resumo!$B$13)*CEILING(AS$3,1))</f>
        <v>62.11023</v>
      </c>
      <c r="AT28" s="12" t="n">
        <f aca="false">(AG28+AT$4*(Resumo!$C$7+Resumo!$C$8)+Resumo!$C$10*CEILING(AT$3/100,1)+Resumo!$C$9)*(1+Resumo!$C$11)-(AT$4*(Resumo!$B$6+Resumo!$B$7)+Resumo!$B$9+Resumo!$B$10*CEILING(AT$3/100,1)+(Resumo!$B$12+Resumo!$B$13)*CEILING(AT$3,1))</f>
        <v>219.780987533333</v>
      </c>
      <c r="AU28" s="13" t="n">
        <f aca="false">1-AH28/H28</f>
        <v>0.383098558944218</v>
      </c>
      <c r="AV28" s="13" t="n">
        <f aca="false">1-AI28/I28</f>
        <v>0.278107607695859</v>
      </c>
      <c r="AW28" s="13" t="n">
        <f aca="false">1-AJ28/J28</f>
        <v>0.245543510975694</v>
      </c>
      <c r="AX28" s="13" t="n">
        <f aca="false">1-AK28/K28</f>
        <v>0.278723381168802</v>
      </c>
      <c r="AY28" s="13" t="n">
        <f aca="false">1-AL28/L28</f>
        <v>0.285879163333616</v>
      </c>
      <c r="AZ28" s="13" t="n">
        <f aca="false">1-AM28/M28</f>
        <v>0.303959425423816</v>
      </c>
      <c r="BA28" s="13" t="n">
        <f aca="false">1-AN28/N28</f>
        <v>0.30144767486133</v>
      </c>
      <c r="BB28" s="13" t="n">
        <f aca="false">1-AO28/O28</f>
        <v>0.304923524499683</v>
      </c>
      <c r="BC28" s="13" t="n">
        <f aca="false">1-AP28/P28</f>
        <v>0.403241410597074</v>
      </c>
      <c r="BD28" s="13" t="n">
        <f aca="false">1-AQ28/Q28</f>
        <v>0.376760114553717</v>
      </c>
      <c r="BE28" s="13" t="n">
        <f aca="false">1-AR28/R28</f>
        <v>0.437775432540414</v>
      </c>
      <c r="BF28" s="13" t="n">
        <f aca="false">1-AS28/S28</f>
        <v>0.805297084639499</v>
      </c>
      <c r="BG28" s="13" t="n">
        <f aca="false">1-AT28/T28</f>
        <v>0.448811286719834</v>
      </c>
    </row>
    <row r="29" customFormat="false" ht="15" hidden="false" customHeight="false" outlineLevel="0" collapsed="false">
      <c r="A29" s="4" t="s">
        <v>197</v>
      </c>
      <c r="B29" s="4" t="s">
        <v>221</v>
      </c>
      <c r="C29" s="34" t="n">
        <v>25950000</v>
      </c>
      <c r="D29" s="34" t="n">
        <v>25999999</v>
      </c>
      <c r="E29" s="4" t="s">
        <v>201</v>
      </c>
      <c r="F29" s="4" t="s">
        <v>204</v>
      </c>
      <c r="G29" s="4" t="n">
        <f aca="false">COUNTIFS(Pedidos!$E$2:$E$2224,"&gt;="&amp;C29,Pedidos!$E$2:$E$2224,"&lt;="&amp;D29)</f>
        <v>17</v>
      </c>
      <c r="H29" s="7" t="n">
        <v>106.53</v>
      </c>
      <c r="I29" s="7" t="n">
        <v>120.78</v>
      </c>
      <c r="J29" s="7" t="n">
        <v>125.63</v>
      </c>
      <c r="K29" s="7" t="n">
        <v>135.03</v>
      </c>
      <c r="L29" s="7" t="n">
        <v>144.53</v>
      </c>
      <c r="M29" s="7" t="n">
        <v>166.05</v>
      </c>
      <c r="N29" s="7" t="n">
        <v>166.05</v>
      </c>
      <c r="O29" s="7" t="n">
        <v>197.35</v>
      </c>
      <c r="P29" s="7" t="n">
        <v>236.82</v>
      </c>
      <c r="Q29" s="7" t="n">
        <v>264.84</v>
      </c>
      <c r="R29" s="7" t="n">
        <v>300.15</v>
      </c>
      <c r="S29" s="7" t="n">
        <v>353.12</v>
      </c>
      <c r="T29" s="7" t="n">
        <v>441.4</v>
      </c>
      <c r="U29" s="7" t="n">
        <v>52.71</v>
      </c>
      <c r="V29" s="7" t="n">
        <v>76.5</v>
      </c>
      <c r="W29" s="7" t="n">
        <v>87.4</v>
      </c>
      <c r="X29" s="7" t="n">
        <v>94</v>
      </c>
      <c r="Y29" s="7" t="n">
        <v>103.6</v>
      </c>
      <c r="Z29" s="7" t="n">
        <v>113.9</v>
      </c>
      <c r="AA29" s="7" t="n">
        <v>124.16</v>
      </c>
      <c r="AB29" s="7" t="n">
        <v>144.41</v>
      </c>
      <c r="AC29" s="7" t="n">
        <v>161.81</v>
      </c>
      <c r="AD29" s="7" t="n">
        <v>197.37</v>
      </c>
      <c r="AE29" s="7" t="n">
        <v>215.7</v>
      </c>
      <c r="AF29" s="7" t="n">
        <v>143.51</v>
      </c>
      <c r="AG29" s="7" t="n">
        <v>304.65</v>
      </c>
      <c r="AH29" s="12" t="n">
        <f aca="false">(U29+AH$4*(Resumo!$C$7+Resumo!$C$8)+Resumo!$C$10*CEILING(AH$3/100,1)+Resumo!$C$9)*(1+Resumo!$C$11)-(AH$4*(Resumo!$B$6+Resumo!$B$7)+Resumo!$B$9+Resumo!$B$10*CEILING(AH$3/100,1)+(Resumo!$B$12+Resumo!$B$13)*CEILING(AH$3,1))</f>
        <v>54.9227352971963</v>
      </c>
      <c r="AI29" s="12" t="n">
        <f aca="false">(V29+AI$4*(Resumo!$C$7+Resumo!$C$8)+Resumo!$C$10*CEILING(AI$3/100,1)+Resumo!$C$9)*(1+Resumo!$C$11)-(AI$4*(Resumo!$B$6+Resumo!$B$7)+Resumo!$B$9+Resumo!$B$10*CEILING(AI$3/100,1)+(Resumo!$B$12+Resumo!$B$13)*CEILING(AI$3,1))</f>
        <v>74.5570462771717</v>
      </c>
      <c r="AJ29" s="12" t="n">
        <f aca="false">(W29+AJ$4*(Resumo!$C$7+Resumo!$C$8)+Resumo!$C$10*CEILING(AJ$3/100,1)+Resumo!$C$9)*(1+Resumo!$C$11)-(AJ$4*(Resumo!$B$6+Resumo!$B$7)+Resumo!$B$9+Resumo!$B$10*CEILING(AJ$3/100,1)+(Resumo!$B$12+Resumo!$B$13)*CEILING(AJ$3,1))</f>
        <v>81.5039345092958</v>
      </c>
      <c r="AK29" s="12" t="n">
        <f aca="false">(X29+AK$4*(Resumo!$C$7+Resumo!$C$8)+Resumo!$C$10*CEILING(AK$3/100,1)+Resumo!$C$9)*(1+Resumo!$C$11)-(AK$4*(Resumo!$B$6+Resumo!$B$7)+Resumo!$B$9+Resumo!$B$10*CEILING(AK$3/100,1)+(Resumo!$B$12+Resumo!$B$13)*CEILING(AK$3,1))</f>
        <v>84.5552580255814</v>
      </c>
      <c r="AL29" s="12" t="n">
        <f aca="false">(Y29+AL$4*(Resumo!$C$7+Resumo!$C$8)+Resumo!$C$10*CEILING(AL$3/100,1)+Resumo!$C$9)*(1+Resumo!$C$11)-(AL$4*(Resumo!$B$6+Resumo!$B$7)+Resumo!$B$9+Resumo!$B$10*CEILING(AL$3/100,1)+(Resumo!$B$12+Resumo!$B$13)*CEILING(AL$3,1))</f>
        <v>90.7147698817308</v>
      </c>
      <c r="AM29" s="12" t="n">
        <f aca="false">(Z29+AM$4*(Resumo!$C$7+Resumo!$C$8)+Resumo!$C$10*CEILING(AM$3/100,1)+Resumo!$C$9)*(1+Resumo!$C$11)-(AM$4*(Resumo!$B$6+Resumo!$B$7)+Resumo!$B$9+Resumo!$B$10*CEILING(AM$3/100,1)+(Resumo!$B$12+Resumo!$B$13)*CEILING(AM$3,1))</f>
        <v>95.0304196468864</v>
      </c>
      <c r="AN29" s="12" t="n">
        <f aca="false">(AA29+AN$4*(Resumo!$C$7+Resumo!$C$8)+Resumo!$C$10*CEILING(AN$3/100,1)+Resumo!$C$9)*(1+Resumo!$C$11)-(AN$4*(Resumo!$B$6+Resumo!$B$7)+Resumo!$B$9+Resumo!$B$10*CEILING(AN$3/100,1)+(Resumo!$B$12+Resumo!$B$13)*CEILING(AN$3,1))</f>
        <v>102.00959604</v>
      </c>
      <c r="AO29" s="12" t="n">
        <f aca="false">(AB29+AO$4*(Resumo!$C$7+Resumo!$C$8)+Resumo!$C$10*CEILING(AO$3/100,1)+Resumo!$C$9)*(1+Resumo!$C$11)-(AO$4*(Resumo!$B$6+Resumo!$B$7)+Resumo!$B$9+Resumo!$B$10*CEILING(AO$3/100,1)+(Resumo!$B$12+Resumo!$B$13)*CEILING(AO$3,1))</f>
        <v>116.765897119298</v>
      </c>
      <c r="AP29" s="12" t="n">
        <f aca="false">(AC29+AP$4*(Resumo!$C$7+Resumo!$C$8)+Resumo!$C$10*CEILING(AP$3/100,1)+Resumo!$C$9)*(1+Resumo!$C$11)-(AP$4*(Resumo!$B$6+Resumo!$B$7)+Resumo!$B$9+Resumo!$B$10*CEILING(AP$3/100,1)+(Resumo!$B$12+Resumo!$B$13)*CEILING(AP$3,1))</f>
        <v>120.300564037736</v>
      </c>
      <c r="AQ29" s="12" t="n">
        <f aca="false">(AD29+AQ$4*(Resumo!$C$7+Resumo!$C$8)+Resumo!$C$10*CEILING(AQ$3/100,1)+Resumo!$C$9)*(1+Resumo!$C$11)-(AQ$4*(Resumo!$B$6+Resumo!$B$7)+Resumo!$B$9+Resumo!$B$10*CEILING(AQ$3/100,1)+(Resumo!$B$12+Resumo!$B$13)*CEILING(AQ$3,1))</f>
        <v>149.110142593023</v>
      </c>
      <c r="AR29" s="12" t="n">
        <f aca="false">(AE29+AR$4*(Resumo!$C$7+Resumo!$C$8)+Resumo!$C$10*CEILING(AR$3/100,1)+Resumo!$C$9)*(1+Resumo!$C$11)-(AR$4*(Resumo!$B$6+Resumo!$B$7)+Resumo!$B$9+Resumo!$B$10*CEILING(AR$3/100,1)+(Resumo!$B$12+Resumo!$B$13)*CEILING(AR$3,1))</f>
        <v>152.447191466667</v>
      </c>
      <c r="AS29" s="12" t="n">
        <f aca="false">(AF29+AS$4*(Resumo!$C$7+Resumo!$C$8)+Resumo!$C$10*CEILING(AS$3/100,1)+Resumo!$C$9)*(1+Resumo!$C$11)-(AS$4*(Resumo!$B$6+Resumo!$B$7)+Resumo!$B$9+Resumo!$B$10*CEILING(AS$3/100,1)+(Resumo!$B$12+Resumo!$B$13)*CEILING(AS$3,1))</f>
        <v>62.11023</v>
      </c>
      <c r="AT29" s="12" t="n">
        <f aca="false">(AG29+AT$4*(Resumo!$C$7+Resumo!$C$8)+Resumo!$C$10*CEILING(AT$3/100,1)+Resumo!$C$9)*(1+Resumo!$C$11)-(AT$4*(Resumo!$B$6+Resumo!$B$7)+Resumo!$B$9+Resumo!$B$10*CEILING(AT$3/100,1)+(Resumo!$B$12+Resumo!$B$13)*CEILING(AT$3,1))</f>
        <v>219.780987533333</v>
      </c>
      <c r="AU29" s="13" t="n">
        <f aca="false">1-AH29/H29</f>
        <v>0.484438793793333</v>
      </c>
      <c r="AV29" s="13" t="n">
        <f aca="false">1-AI29/I29</f>
        <v>0.382703706928534</v>
      </c>
      <c r="AW29" s="13" t="n">
        <f aca="false">1-AJ29/J29</f>
        <v>0.351238282979418</v>
      </c>
      <c r="AX29" s="13" t="n">
        <f aca="false">1-AK29/K29</f>
        <v>0.373803910052719</v>
      </c>
      <c r="AY29" s="13" t="n">
        <f aca="false">1-AL29/L29</f>
        <v>0.372346434084752</v>
      </c>
      <c r="AZ29" s="13" t="n">
        <f aca="false">1-AM29/M29</f>
        <v>0.427699972015137</v>
      </c>
      <c r="BA29" s="13" t="n">
        <f aca="false">1-AN29/N29</f>
        <v>0.385669400542005</v>
      </c>
      <c r="BB29" s="13" t="n">
        <f aca="false">1-AO29/O29</f>
        <v>0.408330898812778</v>
      </c>
      <c r="BC29" s="13" t="n">
        <f aca="false">1-AP29/P29</f>
        <v>0.492016873415523</v>
      </c>
      <c r="BD29" s="13" t="n">
        <f aca="false">1-AQ29/Q29</f>
        <v>0.436980280195502</v>
      </c>
      <c r="BE29" s="13" t="n">
        <f aca="false">1-AR29/R29</f>
        <v>0.492096646787717</v>
      </c>
      <c r="BF29" s="13" t="n">
        <f aca="false">1-AS29/S29</f>
        <v>0.82411013253285</v>
      </c>
      <c r="BG29" s="13" t="n">
        <f aca="false">1-AT29/T29</f>
        <v>0.502082040024166</v>
      </c>
    </row>
    <row r="30" customFormat="false" ht="15" hidden="false" customHeight="false" outlineLevel="0" collapsed="false">
      <c r="A30" s="4" t="s">
        <v>197</v>
      </c>
      <c r="B30" s="4" t="s">
        <v>142</v>
      </c>
      <c r="C30" s="34" t="n">
        <v>26000000</v>
      </c>
      <c r="D30" s="34" t="n">
        <v>26099999</v>
      </c>
      <c r="E30" s="4" t="s">
        <v>207</v>
      </c>
      <c r="F30" s="4" t="s">
        <v>211</v>
      </c>
      <c r="G30" s="4" t="n">
        <f aca="false">COUNTIFS(Pedidos!$E$2:$E$2224,"&gt;="&amp;C30,Pedidos!$E$2:$E$2224,"&lt;="&amp;D30)</f>
        <v>40</v>
      </c>
      <c r="H30" s="7" t="n">
        <v>46.98</v>
      </c>
      <c r="I30" s="7" t="n">
        <v>82.21</v>
      </c>
      <c r="J30" s="7" t="n">
        <v>93.97</v>
      </c>
      <c r="K30" s="7" t="n">
        <v>93.97</v>
      </c>
      <c r="L30" s="7" t="n">
        <v>112.3</v>
      </c>
      <c r="M30" s="7" t="n">
        <v>131.02</v>
      </c>
      <c r="N30" s="7" t="n">
        <v>134.39</v>
      </c>
      <c r="O30" s="7" t="n">
        <v>167.99</v>
      </c>
      <c r="P30" s="7" t="n">
        <v>201.59</v>
      </c>
      <c r="Q30" s="7" t="n">
        <v>239.25</v>
      </c>
      <c r="R30" s="7" t="n">
        <v>271.15</v>
      </c>
      <c r="S30" s="7" t="n">
        <v>319</v>
      </c>
      <c r="T30" s="7" t="n">
        <v>398.74</v>
      </c>
      <c r="U30" s="7" t="n">
        <v>48.69</v>
      </c>
      <c r="V30" s="7" t="n">
        <v>70</v>
      </c>
      <c r="W30" s="7" t="n">
        <v>79.65</v>
      </c>
      <c r="X30" s="7" t="n">
        <v>82.25</v>
      </c>
      <c r="Y30" s="7" t="n">
        <v>91.6</v>
      </c>
      <c r="Z30" s="7" t="n">
        <v>100.9</v>
      </c>
      <c r="AA30" s="7" t="n">
        <v>110.55</v>
      </c>
      <c r="AB30" s="7" t="n">
        <v>127.92</v>
      </c>
      <c r="AC30" s="7" t="n">
        <v>144.44</v>
      </c>
      <c r="AD30" s="7" t="n">
        <v>183.45</v>
      </c>
      <c r="AE30" s="7" t="n">
        <v>201.15</v>
      </c>
      <c r="AF30" s="7" t="n">
        <v>227.7</v>
      </c>
      <c r="AG30" s="7" t="n">
        <v>285.09</v>
      </c>
      <c r="AH30" s="12" t="n">
        <f aca="false">(U30+AH$4*(Resumo!$C$7+Resumo!$C$8)+Resumo!$C$10*CEILING(AH$3/100,1)+Resumo!$C$9)*(1+Resumo!$C$11)-(AH$4*(Resumo!$B$6+Resumo!$B$7)+Resumo!$B$9+Resumo!$B$10*CEILING(AH$3/100,1)+(Resumo!$B$12+Resumo!$B$13)*CEILING(AH$3,1))</f>
        <v>50.6816352971963</v>
      </c>
      <c r="AI30" s="12" t="n">
        <f aca="false">(V30+AI$4*(Resumo!$C$7+Resumo!$C$8)+Resumo!$C$10*CEILING(AI$3/100,1)+Resumo!$C$9)*(1+Resumo!$C$11)-(AI$4*(Resumo!$B$6+Resumo!$B$7)+Resumo!$B$9+Resumo!$B$10*CEILING(AI$3/100,1)+(Resumo!$B$12+Resumo!$B$13)*CEILING(AI$3,1))</f>
        <v>67.6995462771717</v>
      </c>
      <c r="AJ30" s="12" t="n">
        <f aca="false">(W30+AJ$4*(Resumo!$C$7+Resumo!$C$8)+Resumo!$C$10*CEILING(AJ$3/100,1)+Resumo!$C$9)*(1+Resumo!$C$11)-(AJ$4*(Resumo!$B$6+Resumo!$B$7)+Resumo!$B$9+Resumo!$B$10*CEILING(AJ$3/100,1)+(Resumo!$B$12+Resumo!$B$13)*CEILING(AJ$3,1))</f>
        <v>73.3276845092958</v>
      </c>
      <c r="AK30" s="12" t="n">
        <f aca="false">(X30+AK$4*(Resumo!$C$7+Resumo!$C$8)+Resumo!$C$10*CEILING(AK$3/100,1)+Resumo!$C$9)*(1+Resumo!$C$11)-(AK$4*(Resumo!$B$6+Resumo!$B$7)+Resumo!$B$9+Resumo!$B$10*CEILING(AK$3/100,1)+(Resumo!$B$12+Resumo!$B$13)*CEILING(AK$3,1))</f>
        <v>72.1590080255814</v>
      </c>
      <c r="AL30" s="12" t="n">
        <f aca="false">(Y30+AL$4*(Resumo!$C$7+Resumo!$C$8)+Resumo!$C$10*CEILING(AL$3/100,1)+Resumo!$C$9)*(1+Resumo!$C$11)-(AL$4*(Resumo!$B$6+Resumo!$B$7)+Resumo!$B$9+Resumo!$B$10*CEILING(AL$3/100,1)+(Resumo!$B$12+Resumo!$B$13)*CEILING(AL$3,1))</f>
        <v>78.0547698817308</v>
      </c>
      <c r="AM30" s="12" t="n">
        <f aca="false">(Z30+AM$4*(Resumo!$C$7+Resumo!$C$8)+Resumo!$C$10*CEILING(AM$3/100,1)+Resumo!$C$9)*(1+Resumo!$C$11)-(AM$4*(Resumo!$B$6+Resumo!$B$7)+Resumo!$B$9+Resumo!$B$10*CEILING(AM$3/100,1)+(Resumo!$B$12+Resumo!$B$13)*CEILING(AM$3,1))</f>
        <v>81.3154196468865</v>
      </c>
      <c r="AN30" s="12" t="n">
        <f aca="false">(AA30+AN$4*(Resumo!$C$7+Resumo!$C$8)+Resumo!$C$10*CEILING(AN$3/100,1)+Resumo!$C$9)*(1+Resumo!$C$11)-(AN$4*(Resumo!$B$6+Resumo!$B$7)+Resumo!$B$9+Resumo!$B$10*CEILING(AN$3/100,1)+(Resumo!$B$12+Resumo!$B$13)*CEILING(AN$3,1))</f>
        <v>87.65104604</v>
      </c>
      <c r="AO30" s="12" t="n">
        <f aca="false">(AB30+AO$4*(Resumo!$C$7+Resumo!$C$8)+Resumo!$C$10*CEILING(AO$3/100,1)+Resumo!$C$9)*(1+Resumo!$C$11)-(AO$4*(Resumo!$B$6+Resumo!$B$7)+Resumo!$B$9+Resumo!$B$10*CEILING(AO$3/100,1)+(Resumo!$B$12+Resumo!$B$13)*CEILING(AO$3,1))</f>
        <v>99.3689471192983</v>
      </c>
      <c r="AP30" s="12" t="n">
        <f aca="false">(AC30+AP$4*(Resumo!$C$7+Resumo!$C$8)+Resumo!$C$10*CEILING(AP$3/100,1)+Resumo!$C$9)*(1+Resumo!$C$11)-(AP$4*(Resumo!$B$6+Resumo!$B$7)+Resumo!$B$9+Resumo!$B$10*CEILING(AP$3/100,1)+(Resumo!$B$12+Resumo!$B$13)*CEILING(AP$3,1))</f>
        <v>101.975214037736</v>
      </c>
      <c r="AQ30" s="12" t="n">
        <f aca="false">(AD30+AQ$4*(Resumo!$C$7+Resumo!$C$8)+Resumo!$C$10*CEILING(AQ$3/100,1)+Resumo!$C$9)*(1+Resumo!$C$11)-(AQ$4*(Resumo!$B$6+Resumo!$B$7)+Resumo!$B$9+Resumo!$B$10*CEILING(AQ$3/100,1)+(Resumo!$B$12+Resumo!$B$13)*CEILING(AQ$3,1))</f>
        <v>134.424542593023</v>
      </c>
      <c r="AR30" s="12" t="n">
        <f aca="false">(AE30+AR$4*(Resumo!$C$7+Resumo!$C$8)+Resumo!$C$10*CEILING(AR$3/100,1)+Resumo!$C$9)*(1+Resumo!$C$11)-(AR$4*(Resumo!$B$6+Resumo!$B$7)+Resumo!$B$9+Resumo!$B$10*CEILING(AR$3/100,1)+(Resumo!$B$12+Resumo!$B$13)*CEILING(AR$3,1))</f>
        <v>137.096941466667</v>
      </c>
      <c r="AS30" s="12" t="n">
        <f aca="false">(AF30+AS$4*(Resumo!$C$7+Resumo!$C$8)+Resumo!$C$10*CEILING(AS$3/100,1)+Resumo!$C$9)*(1+Resumo!$C$11)-(AS$4*(Resumo!$B$6+Resumo!$B$7)+Resumo!$B$9+Resumo!$B$10*CEILING(AS$3/100,1)+(Resumo!$B$12+Resumo!$B$13)*CEILING(AS$3,1))</f>
        <v>150.93068</v>
      </c>
      <c r="AT30" s="12" t="n">
        <f aca="false">(AG30+AT$4*(Resumo!$C$7+Resumo!$C$8)+Resumo!$C$10*CEILING(AT$3/100,1)+Resumo!$C$9)*(1+Resumo!$C$11)-(AT$4*(Resumo!$B$6+Resumo!$B$7)+Resumo!$B$9+Resumo!$B$10*CEILING(AT$3/100,1)+(Resumo!$B$12+Resumo!$B$13)*CEILING(AT$3,1))</f>
        <v>199.145187533333</v>
      </c>
      <c r="AU30" s="13" t="n">
        <f aca="false">1-AH30/H30</f>
        <v>-0.0787917262068167</v>
      </c>
      <c r="AV30" s="13" t="n">
        <f aca="false">1-AI30/I30</f>
        <v>0.176504728412946</v>
      </c>
      <c r="AW30" s="13" t="n">
        <f aca="false">1-AJ30/J30</f>
        <v>0.219669208159032</v>
      </c>
      <c r="AX30" s="13" t="n">
        <f aca="false">1-AK30/K30</f>
        <v>0.232105905868028</v>
      </c>
      <c r="AY30" s="13" t="n">
        <f aca="false">1-AL30/L30</f>
        <v>0.304944168461881</v>
      </c>
      <c r="AZ30" s="13" t="n">
        <f aca="false">1-AM30/M30</f>
        <v>0.379366358976596</v>
      </c>
      <c r="BA30" s="13" t="n">
        <f aca="false">1-AN30/N30</f>
        <v>0.347785951038024</v>
      </c>
      <c r="BB30" s="13" t="n">
        <f aca="false">1-AO30/O30</f>
        <v>0.408482962561472</v>
      </c>
      <c r="BC30" s="13" t="n">
        <f aca="false">1-AP30/P30</f>
        <v>0.494145473298597</v>
      </c>
      <c r="BD30" s="13" t="n">
        <f aca="false">1-AQ30/Q30</f>
        <v>0.438141932735535</v>
      </c>
      <c r="BE30" s="13" t="n">
        <f aca="false">1-AR30/R30</f>
        <v>0.494387086606429</v>
      </c>
      <c r="BF30" s="13" t="n">
        <f aca="false">1-AS30/S30</f>
        <v>0.526863072100314</v>
      </c>
      <c r="BG30" s="13" t="n">
        <f aca="false">1-AT30/T30</f>
        <v>0.500563807159218</v>
      </c>
    </row>
    <row r="31" customFormat="false" ht="15" hidden="false" customHeight="false" outlineLevel="0" collapsed="false">
      <c r="A31" s="4" t="s">
        <v>197</v>
      </c>
      <c r="B31" s="4" t="s">
        <v>145</v>
      </c>
      <c r="C31" s="34" t="n">
        <v>26100000</v>
      </c>
      <c r="D31" s="34" t="n">
        <v>26199999</v>
      </c>
      <c r="E31" s="4" t="s">
        <v>207</v>
      </c>
      <c r="F31" s="4" t="s">
        <v>211</v>
      </c>
      <c r="G31" s="4" t="n">
        <f aca="false">COUNTIFS(Pedidos!$E$2:$E$2224,"&gt;="&amp;C31,Pedidos!$E$2:$E$2224,"&lt;="&amp;D31)</f>
        <v>49</v>
      </c>
      <c r="H31" s="7" t="n">
        <v>46.98</v>
      </c>
      <c r="I31" s="7" t="n">
        <v>82.21</v>
      </c>
      <c r="J31" s="7" t="n">
        <v>93.97</v>
      </c>
      <c r="K31" s="7" t="n">
        <v>93.97</v>
      </c>
      <c r="L31" s="7" t="n">
        <v>112.3</v>
      </c>
      <c r="M31" s="7" t="n">
        <v>131.02</v>
      </c>
      <c r="N31" s="7" t="n">
        <v>134.39</v>
      </c>
      <c r="O31" s="7" t="n">
        <v>167.99</v>
      </c>
      <c r="P31" s="7" t="n">
        <v>201.59</v>
      </c>
      <c r="Q31" s="7" t="n">
        <v>239.25</v>
      </c>
      <c r="R31" s="7" t="n">
        <v>271.15</v>
      </c>
      <c r="S31" s="7" t="n">
        <v>319</v>
      </c>
      <c r="T31" s="7" t="n">
        <v>398.74</v>
      </c>
      <c r="U31" s="7" t="n">
        <v>48.69</v>
      </c>
      <c r="V31" s="7" t="n">
        <v>70</v>
      </c>
      <c r="W31" s="7" t="n">
        <v>79.65</v>
      </c>
      <c r="X31" s="7" t="n">
        <v>82.25</v>
      </c>
      <c r="Y31" s="7" t="n">
        <v>91.6</v>
      </c>
      <c r="Z31" s="7" t="n">
        <v>100.9</v>
      </c>
      <c r="AA31" s="7" t="n">
        <v>110.55</v>
      </c>
      <c r="AB31" s="7" t="n">
        <v>127.92</v>
      </c>
      <c r="AC31" s="7" t="n">
        <v>144.44</v>
      </c>
      <c r="AD31" s="7" t="n">
        <v>183.45</v>
      </c>
      <c r="AE31" s="7" t="n">
        <v>201.15</v>
      </c>
      <c r="AF31" s="7" t="n">
        <v>227.7</v>
      </c>
      <c r="AG31" s="7" t="n">
        <v>285.09</v>
      </c>
      <c r="AH31" s="12" t="n">
        <f aca="false">(U31+AH$4*(Resumo!$C$7+Resumo!$C$8)+Resumo!$C$10*CEILING(AH$3/100,1)+Resumo!$C$9)*(1+Resumo!$C$11)-(AH$4*(Resumo!$B$6+Resumo!$B$7)+Resumo!$B$9+Resumo!$B$10*CEILING(AH$3/100,1)+(Resumo!$B$12+Resumo!$B$13)*CEILING(AH$3,1))</f>
        <v>50.6816352971963</v>
      </c>
      <c r="AI31" s="12" t="n">
        <f aca="false">(V31+AI$4*(Resumo!$C$7+Resumo!$C$8)+Resumo!$C$10*CEILING(AI$3/100,1)+Resumo!$C$9)*(1+Resumo!$C$11)-(AI$4*(Resumo!$B$6+Resumo!$B$7)+Resumo!$B$9+Resumo!$B$10*CEILING(AI$3/100,1)+(Resumo!$B$12+Resumo!$B$13)*CEILING(AI$3,1))</f>
        <v>67.6995462771717</v>
      </c>
      <c r="AJ31" s="12" t="n">
        <f aca="false">(W31+AJ$4*(Resumo!$C$7+Resumo!$C$8)+Resumo!$C$10*CEILING(AJ$3/100,1)+Resumo!$C$9)*(1+Resumo!$C$11)-(AJ$4*(Resumo!$B$6+Resumo!$B$7)+Resumo!$B$9+Resumo!$B$10*CEILING(AJ$3/100,1)+(Resumo!$B$12+Resumo!$B$13)*CEILING(AJ$3,1))</f>
        <v>73.3276845092958</v>
      </c>
      <c r="AK31" s="12" t="n">
        <f aca="false">(X31+AK$4*(Resumo!$C$7+Resumo!$C$8)+Resumo!$C$10*CEILING(AK$3/100,1)+Resumo!$C$9)*(1+Resumo!$C$11)-(AK$4*(Resumo!$B$6+Resumo!$B$7)+Resumo!$B$9+Resumo!$B$10*CEILING(AK$3/100,1)+(Resumo!$B$12+Resumo!$B$13)*CEILING(AK$3,1))</f>
        <v>72.1590080255814</v>
      </c>
      <c r="AL31" s="12" t="n">
        <f aca="false">(Y31+AL$4*(Resumo!$C$7+Resumo!$C$8)+Resumo!$C$10*CEILING(AL$3/100,1)+Resumo!$C$9)*(1+Resumo!$C$11)-(AL$4*(Resumo!$B$6+Resumo!$B$7)+Resumo!$B$9+Resumo!$B$10*CEILING(AL$3/100,1)+(Resumo!$B$12+Resumo!$B$13)*CEILING(AL$3,1))</f>
        <v>78.0547698817308</v>
      </c>
      <c r="AM31" s="12" t="n">
        <f aca="false">(Z31+AM$4*(Resumo!$C$7+Resumo!$C$8)+Resumo!$C$10*CEILING(AM$3/100,1)+Resumo!$C$9)*(1+Resumo!$C$11)-(AM$4*(Resumo!$B$6+Resumo!$B$7)+Resumo!$B$9+Resumo!$B$10*CEILING(AM$3/100,1)+(Resumo!$B$12+Resumo!$B$13)*CEILING(AM$3,1))</f>
        <v>81.3154196468865</v>
      </c>
      <c r="AN31" s="12" t="n">
        <f aca="false">(AA31+AN$4*(Resumo!$C$7+Resumo!$C$8)+Resumo!$C$10*CEILING(AN$3/100,1)+Resumo!$C$9)*(1+Resumo!$C$11)-(AN$4*(Resumo!$B$6+Resumo!$B$7)+Resumo!$B$9+Resumo!$B$10*CEILING(AN$3/100,1)+(Resumo!$B$12+Resumo!$B$13)*CEILING(AN$3,1))</f>
        <v>87.65104604</v>
      </c>
      <c r="AO31" s="12" t="n">
        <f aca="false">(AB31+AO$4*(Resumo!$C$7+Resumo!$C$8)+Resumo!$C$10*CEILING(AO$3/100,1)+Resumo!$C$9)*(1+Resumo!$C$11)-(AO$4*(Resumo!$B$6+Resumo!$B$7)+Resumo!$B$9+Resumo!$B$10*CEILING(AO$3/100,1)+(Resumo!$B$12+Resumo!$B$13)*CEILING(AO$3,1))</f>
        <v>99.3689471192983</v>
      </c>
      <c r="AP31" s="12" t="n">
        <f aca="false">(AC31+AP$4*(Resumo!$C$7+Resumo!$C$8)+Resumo!$C$10*CEILING(AP$3/100,1)+Resumo!$C$9)*(1+Resumo!$C$11)-(AP$4*(Resumo!$B$6+Resumo!$B$7)+Resumo!$B$9+Resumo!$B$10*CEILING(AP$3/100,1)+(Resumo!$B$12+Resumo!$B$13)*CEILING(AP$3,1))</f>
        <v>101.975214037736</v>
      </c>
      <c r="AQ31" s="12" t="n">
        <f aca="false">(AD31+AQ$4*(Resumo!$C$7+Resumo!$C$8)+Resumo!$C$10*CEILING(AQ$3/100,1)+Resumo!$C$9)*(1+Resumo!$C$11)-(AQ$4*(Resumo!$B$6+Resumo!$B$7)+Resumo!$B$9+Resumo!$B$10*CEILING(AQ$3/100,1)+(Resumo!$B$12+Resumo!$B$13)*CEILING(AQ$3,1))</f>
        <v>134.424542593023</v>
      </c>
      <c r="AR31" s="12" t="n">
        <f aca="false">(AE31+AR$4*(Resumo!$C$7+Resumo!$C$8)+Resumo!$C$10*CEILING(AR$3/100,1)+Resumo!$C$9)*(1+Resumo!$C$11)-(AR$4*(Resumo!$B$6+Resumo!$B$7)+Resumo!$B$9+Resumo!$B$10*CEILING(AR$3/100,1)+(Resumo!$B$12+Resumo!$B$13)*CEILING(AR$3,1))</f>
        <v>137.096941466667</v>
      </c>
      <c r="AS31" s="12" t="n">
        <f aca="false">(AF31+AS$4*(Resumo!$C$7+Resumo!$C$8)+Resumo!$C$10*CEILING(AS$3/100,1)+Resumo!$C$9)*(1+Resumo!$C$11)-(AS$4*(Resumo!$B$6+Resumo!$B$7)+Resumo!$B$9+Resumo!$B$10*CEILING(AS$3/100,1)+(Resumo!$B$12+Resumo!$B$13)*CEILING(AS$3,1))</f>
        <v>150.93068</v>
      </c>
      <c r="AT31" s="12" t="n">
        <f aca="false">(AG31+AT$4*(Resumo!$C$7+Resumo!$C$8)+Resumo!$C$10*CEILING(AT$3/100,1)+Resumo!$C$9)*(1+Resumo!$C$11)-(AT$4*(Resumo!$B$6+Resumo!$B$7)+Resumo!$B$9+Resumo!$B$10*CEILING(AT$3/100,1)+(Resumo!$B$12+Resumo!$B$13)*CEILING(AT$3,1))</f>
        <v>199.145187533333</v>
      </c>
      <c r="AU31" s="13" t="n">
        <f aca="false">1-AH31/H31</f>
        <v>-0.0787917262068167</v>
      </c>
      <c r="AV31" s="13" t="n">
        <f aca="false">1-AI31/I31</f>
        <v>0.176504728412946</v>
      </c>
      <c r="AW31" s="13" t="n">
        <f aca="false">1-AJ31/J31</f>
        <v>0.219669208159032</v>
      </c>
      <c r="AX31" s="13" t="n">
        <f aca="false">1-AK31/K31</f>
        <v>0.232105905868028</v>
      </c>
      <c r="AY31" s="13" t="n">
        <f aca="false">1-AL31/L31</f>
        <v>0.304944168461881</v>
      </c>
      <c r="AZ31" s="13" t="n">
        <f aca="false">1-AM31/M31</f>
        <v>0.379366358976596</v>
      </c>
      <c r="BA31" s="13" t="n">
        <f aca="false">1-AN31/N31</f>
        <v>0.347785951038024</v>
      </c>
      <c r="BB31" s="13" t="n">
        <f aca="false">1-AO31/O31</f>
        <v>0.408482962561472</v>
      </c>
      <c r="BC31" s="13" t="n">
        <f aca="false">1-AP31/P31</f>
        <v>0.494145473298597</v>
      </c>
      <c r="BD31" s="13" t="n">
        <f aca="false">1-AQ31/Q31</f>
        <v>0.438141932735535</v>
      </c>
      <c r="BE31" s="13" t="n">
        <f aca="false">1-AR31/R31</f>
        <v>0.494387086606429</v>
      </c>
      <c r="BF31" s="13" t="n">
        <f aca="false">1-AS31/S31</f>
        <v>0.526863072100314</v>
      </c>
      <c r="BG31" s="13" t="n">
        <f aca="false">1-AT31/T31</f>
        <v>0.500563807159218</v>
      </c>
    </row>
    <row r="32" customFormat="false" ht="15" hidden="false" customHeight="false" outlineLevel="0" collapsed="false">
      <c r="A32" s="4" t="s">
        <v>197</v>
      </c>
      <c r="B32" s="4" t="s">
        <v>142</v>
      </c>
      <c r="C32" s="34" t="n">
        <v>26200000</v>
      </c>
      <c r="D32" s="34" t="n">
        <v>26299999</v>
      </c>
      <c r="E32" s="4" t="s">
        <v>207</v>
      </c>
      <c r="F32" s="4" t="s">
        <v>211</v>
      </c>
      <c r="G32" s="4" t="n">
        <f aca="false">COUNTIFS(Pedidos!$E$2:$E$2224,"&gt;="&amp;C32,Pedidos!$E$2:$E$2224,"&lt;="&amp;D32)</f>
        <v>55</v>
      </c>
      <c r="H32" s="7" t="n">
        <v>46.98</v>
      </c>
      <c r="I32" s="7" t="n">
        <v>82.21</v>
      </c>
      <c r="J32" s="7" t="n">
        <v>93.97</v>
      </c>
      <c r="K32" s="7" t="n">
        <v>93.97</v>
      </c>
      <c r="L32" s="7" t="n">
        <v>112.3</v>
      </c>
      <c r="M32" s="7" t="n">
        <v>131.02</v>
      </c>
      <c r="N32" s="7" t="n">
        <v>134.39</v>
      </c>
      <c r="O32" s="7" t="n">
        <v>167.99</v>
      </c>
      <c r="P32" s="7" t="n">
        <v>201.59</v>
      </c>
      <c r="Q32" s="7" t="n">
        <v>239.25</v>
      </c>
      <c r="R32" s="7" t="n">
        <v>271.15</v>
      </c>
      <c r="S32" s="7" t="n">
        <v>319</v>
      </c>
      <c r="T32" s="7" t="n">
        <v>398.74</v>
      </c>
      <c r="U32" s="7" t="n">
        <v>48.69</v>
      </c>
      <c r="V32" s="7" t="n">
        <v>70</v>
      </c>
      <c r="W32" s="7" t="n">
        <v>79.65</v>
      </c>
      <c r="X32" s="7" t="n">
        <v>82.25</v>
      </c>
      <c r="Y32" s="7" t="n">
        <v>91.6</v>
      </c>
      <c r="Z32" s="7" t="n">
        <v>100.9</v>
      </c>
      <c r="AA32" s="7" t="n">
        <v>110.55</v>
      </c>
      <c r="AB32" s="7" t="n">
        <v>127.92</v>
      </c>
      <c r="AC32" s="7" t="n">
        <v>144.44</v>
      </c>
      <c r="AD32" s="7" t="n">
        <v>183.45</v>
      </c>
      <c r="AE32" s="7" t="n">
        <v>201.15</v>
      </c>
      <c r="AF32" s="7" t="n">
        <v>227.7</v>
      </c>
      <c r="AG32" s="7" t="n">
        <v>285.09</v>
      </c>
      <c r="AH32" s="12" t="n">
        <f aca="false">(U32+AH$4*(Resumo!$C$7+Resumo!$C$8)+Resumo!$C$10*CEILING(AH$3/100,1)+Resumo!$C$9)*(1+Resumo!$C$11)-(AH$4*(Resumo!$B$6+Resumo!$B$7)+Resumo!$B$9+Resumo!$B$10*CEILING(AH$3/100,1)+(Resumo!$B$12+Resumo!$B$13)*CEILING(AH$3,1))</f>
        <v>50.6816352971963</v>
      </c>
      <c r="AI32" s="12" t="n">
        <f aca="false">(V32+AI$4*(Resumo!$C$7+Resumo!$C$8)+Resumo!$C$10*CEILING(AI$3/100,1)+Resumo!$C$9)*(1+Resumo!$C$11)-(AI$4*(Resumo!$B$6+Resumo!$B$7)+Resumo!$B$9+Resumo!$B$10*CEILING(AI$3/100,1)+(Resumo!$B$12+Resumo!$B$13)*CEILING(AI$3,1))</f>
        <v>67.6995462771717</v>
      </c>
      <c r="AJ32" s="12" t="n">
        <f aca="false">(W32+AJ$4*(Resumo!$C$7+Resumo!$C$8)+Resumo!$C$10*CEILING(AJ$3/100,1)+Resumo!$C$9)*(1+Resumo!$C$11)-(AJ$4*(Resumo!$B$6+Resumo!$B$7)+Resumo!$B$9+Resumo!$B$10*CEILING(AJ$3/100,1)+(Resumo!$B$12+Resumo!$B$13)*CEILING(AJ$3,1))</f>
        <v>73.3276845092958</v>
      </c>
      <c r="AK32" s="12" t="n">
        <f aca="false">(X32+AK$4*(Resumo!$C$7+Resumo!$C$8)+Resumo!$C$10*CEILING(AK$3/100,1)+Resumo!$C$9)*(1+Resumo!$C$11)-(AK$4*(Resumo!$B$6+Resumo!$B$7)+Resumo!$B$9+Resumo!$B$10*CEILING(AK$3/100,1)+(Resumo!$B$12+Resumo!$B$13)*CEILING(AK$3,1))</f>
        <v>72.1590080255814</v>
      </c>
      <c r="AL32" s="12" t="n">
        <f aca="false">(Y32+AL$4*(Resumo!$C$7+Resumo!$C$8)+Resumo!$C$10*CEILING(AL$3/100,1)+Resumo!$C$9)*(1+Resumo!$C$11)-(AL$4*(Resumo!$B$6+Resumo!$B$7)+Resumo!$B$9+Resumo!$B$10*CEILING(AL$3/100,1)+(Resumo!$B$12+Resumo!$B$13)*CEILING(AL$3,1))</f>
        <v>78.0547698817308</v>
      </c>
      <c r="AM32" s="12" t="n">
        <f aca="false">(Z32+AM$4*(Resumo!$C$7+Resumo!$C$8)+Resumo!$C$10*CEILING(AM$3/100,1)+Resumo!$C$9)*(1+Resumo!$C$11)-(AM$4*(Resumo!$B$6+Resumo!$B$7)+Resumo!$B$9+Resumo!$B$10*CEILING(AM$3/100,1)+(Resumo!$B$12+Resumo!$B$13)*CEILING(AM$3,1))</f>
        <v>81.3154196468865</v>
      </c>
      <c r="AN32" s="12" t="n">
        <f aca="false">(AA32+AN$4*(Resumo!$C$7+Resumo!$C$8)+Resumo!$C$10*CEILING(AN$3/100,1)+Resumo!$C$9)*(1+Resumo!$C$11)-(AN$4*(Resumo!$B$6+Resumo!$B$7)+Resumo!$B$9+Resumo!$B$10*CEILING(AN$3/100,1)+(Resumo!$B$12+Resumo!$B$13)*CEILING(AN$3,1))</f>
        <v>87.65104604</v>
      </c>
      <c r="AO32" s="12" t="n">
        <f aca="false">(AB32+AO$4*(Resumo!$C$7+Resumo!$C$8)+Resumo!$C$10*CEILING(AO$3/100,1)+Resumo!$C$9)*(1+Resumo!$C$11)-(AO$4*(Resumo!$B$6+Resumo!$B$7)+Resumo!$B$9+Resumo!$B$10*CEILING(AO$3/100,1)+(Resumo!$B$12+Resumo!$B$13)*CEILING(AO$3,1))</f>
        <v>99.3689471192983</v>
      </c>
      <c r="AP32" s="12" t="n">
        <f aca="false">(AC32+AP$4*(Resumo!$C$7+Resumo!$C$8)+Resumo!$C$10*CEILING(AP$3/100,1)+Resumo!$C$9)*(1+Resumo!$C$11)-(AP$4*(Resumo!$B$6+Resumo!$B$7)+Resumo!$B$9+Resumo!$B$10*CEILING(AP$3/100,1)+(Resumo!$B$12+Resumo!$B$13)*CEILING(AP$3,1))</f>
        <v>101.975214037736</v>
      </c>
      <c r="AQ32" s="12" t="n">
        <f aca="false">(AD32+AQ$4*(Resumo!$C$7+Resumo!$C$8)+Resumo!$C$10*CEILING(AQ$3/100,1)+Resumo!$C$9)*(1+Resumo!$C$11)-(AQ$4*(Resumo!$B$6+Resumo!$B$7)+Resumo!$B$9+Resumo!$B$10*CEILING(AQ$3/100,1)+(Resumo!$B$12+Resumo!$B$13)*CEILING(AQ$3,1))</f>
        <v>134.424542593023</v>
      </c>
      <c r="AR32" s="12" t="n">
        <f aca="false">(AE32+AR$4*(Resumo!$C$7+Resumo!$C$8)+Resumo!$C$10*CEILING(AR$3/100,1)+Resumo!$C$9)*(1+Resumo!$C$11)-(AR$4*(Resumo!$B$6+Resumo!$B$7)+Resumo!$B$9+Resumo!$B$10*CEILING(AR$3/100,1)+(Resumo!$B$12+Resumo!$B$13)*CEILING(AR$3,1))</f>
        <v>137.096941466667</v>
      </c>
      <c r="AS32" s="12" t="n">
        <f aca="false">(AF32+AS$4*(Resumo!$C$7+Resumo!$C$8)+Resumo!$C$10*CEILING(AS$3/100,1)+Resumo!$C$9)*(1+Resumo!$C$11)-(AS$4*(Resumo!$B$6+Resumo!$B$7)+Resumo!$B$9+Resumo!$B$10*CEILING(AS$3/100,1)+(Resumo!$B$12+Resumo!$B$13)*CEILING(AS$3,1))</f>
        <v>150.93068</v>
      </c>
      <c r="AT32" s="12" t="n">
        <f aca="false">(AG32+AT$4*(Resumo!$C$7+Resumo!$C$8)+Resumo!$C$10*CEILING(AT$3/100,1)+Resumo!$C$9)*(1+Resumo!$C$11)-(AT$4*(Resumo!$B$6+Resumo!$B$7)+Resumo!$B$9+Resumo!$B$10*CEILING(AT$3/100,1)+(Resumo!$B$12+Resumo!$B$13)*CEILING(AT$3,1))</f>
        <v>199.145187533333</v>
      </c>
      <c r="AU32" s="13" t="n">
        <f aca="false">1-AH32/H32</f>
        <v>-0.0787917262068167</v>
      </c>
      <c r="AV32" s="13" t="n">
        <f aca="false">1-AI32/I32</f>
        <v>0.176504728412946</v>
      </c>
      <c r="AW32" s="13" t="n">
        <f aca="false">1-AJ32/J32</f>
        <v>0.219669208159032</v>
      </c>
      <c r="AX32" s="13" t="n">
        <f aca="false">1-AK32/K32</f>
        <v>0.232105905868028</v>
      </c>
      <c r="AY32" s="13" t="n">
        <f aca="false">1-AL32/L32</f>
        <v>0.304944168461881</v>
      </c>
      <c r="AZ32" s="13" t="n">
        <f aca="false">1-AM32/M32</f>
        <v>0.379366358976596</v>
      </c>
      <c r="BA32" s="13" t="n">
        <f aca="false">1-AN32/N32</f>
        <v>0.347785951038024</v>
      </c>
      <c r="BB32" s="13" t="n">
        <f aca="false">1-AO32/O32</f>
        <v>0.408482962561472</v>
      </c>
      <c r="BC32" s="13" t="n">
        <f aca="false">1-AP32/P32</f>
        <v>0.494145473298597</v>
      </c>
      <c r="BD32" s="13" t="n">
        <f aca="false">1-AQ32/Q32</f>
        <v>0.438141932735535</v>
      </c>
      <c r="BE32" s="13" t="n">
        <f aca="false">1-AR32/R32</f>
        <v>0.494387086606429</v>
      </c>
      <c r="BF32" s="13" t="n">
        <f aca="false">1-AS32/S32</f>
        <v>0.526863072100314</v>
      </c>
      <c r="BG32" s="13" t="n">
        <f aca="false">1-AT32/T32</f>
        <v>0.500563807159218</v>
      </c>
    </row>
    <row r="33" customFormat="false" ht="15" hidden="false" customHeight="false" outlineLevel="0" collapsed="false">
      <c r="A33" s="4" t="s">
        <v>197</v>
      </c>
      <c r="B33" s="4" t="s">
        <v>222</v>
      </c>
      <c r="C33" s="34" t="n">
        <v>26300000</v>
      </c>
      <c r="D33" s="34" t="n">
        <v>26399999</v>
      </c>
      <c r="E33" s="4" t="s">
        <v>207</v>
      </c>
      <c r="F33" s="4" t="s">
        <v>211</v>
      </c>
      <c r="G33" s="4" t="n">
        <f aca="false">COUNTIFS(Pedidos!$E$2:$E$2224,"&gt;="&amp;C33,Pedidos!$E$2:$E$2224,"&lt;="&amp;D33)</f>
        <v>14</v>
      </c>
      <c r="H33" s="7" t="n">
        <v>46.98</v>
      </c>
      <c r="I33" s="7" t="n">
        <v>82.21</v>
      </c>
      <c r="J33" s="7" t="n">
        <v>93.97</v>
      </c>
      <c r="K33" s="7" t="n">
        <v>93.97</v>
      </c>
      <c r="L33" s="7" t="n">
        <v>112.3</v>
      </c>
      <c r="M33" s="7" t="n">
        <v>131.02</v>
      </c>
      <c r="N33" s="7" t="n">
        <v>134.39</v>
      </c>
      <c r="O33" s="7" t="n">
        <v>167.99</v>
      </c>
      <c r="P33" s="7" t="n">
        <v>201.59</v>
      </c>
      <c r="Q33" s="7" t="n">
        <v>239.25</v>
      </c>
      <c r="R33" s="7" t="n">
        <v>271.15</v>
      </c>
      <c r="S33" s="7" t="n">
        <v>319</v>
      </c>
      <c r="T33" s="7" t="n">
        <v>398.74</v>
      </c>
      <c r="U33" s="7" t="n">
        <v>48.69</v>
      </c>
      <c r="V33" s="7" t="n">
        <v>70</v>
      </c>
      <c r="W33" s="7" t="n">
        <v>79.65</v>
      </c>
      <c r="X33" s="7" t="n">
        <v>82.25</v>
      </c>
      <c r="Y33" s="7" t="n">
        <v>91.6</v>
      </c>
      <c r="Z33" s="7" t="n">
        <v>100.9</v>
      </c>
      <c r="AA33" s="7" t="n">
        <v>110.55</v>
      </c>
      <c r="AB33" s="7" t="n">
        <v>127.92</v>
      </c>
      <c r="AC33" s="7" t="n">
        <v>144.44</v>
      </c>
      <c r="AD33" s="7" t="n">
        <v>183.45</v>
      </c>
      <c r="AE33" s="7" t="n">
        <v>201.15</v>
      </c>
      <c r="AF33" s="7" t="n">
        <v>227.7</v>
      </c>
      <c r="AG33" s="7" t="n">
        <v>285.09</v>
      </c>
      <c r="AH33" s="12" t="n">
        <f aca="false">(U33+AH$4*(Resumo!$C$7+Resumo!$C$8)+Resumo!$C$10*CEILING(AH$3/100,1)+Resumo!$C$9)*(1+Resumo!$C$11)-(AH$4*(Resumo!$B$6+Resumo!$B$7)+Resumo!$B$9+Resumo!$B$10*CEILING(AH$3/100,1)+(Resumo!$B$12+Resumo!$B$13)*CEILING(AH$3,1))</f>
        <v>50.6816352971963</v>
      </c>
      <c r="AI33" s="12" t="n">
        <f aca="false">(V33+AI$4*(Resumo!$C$7+Resumo!$C$8)+Resumo!$C$10*CEILING(AI$3/100,1)+Resumo!$C$9)*(1+Resumo!$C$11)-(AI$4*(Resumo!$B$6+Resumo!$B$7)+Resumo!$B$9+Resumo!$B$10*CEILING(AI$3/100,1)+(Resumo!$B$12+Resumo!$B$13)*CEILING(AI$3,1))</f>
        <v>67.6995462771717</v>
      </c>
      <c r="AJ33" s="12" t="n">
        <f aca="false">(W33+AJ$4*(Resumo!$C$7+Resumo!$C$8)+Resumo!$C$10*CEILING(AJ$3/100,1)+Resumo!$C$9)*(1+Resumo!$C$11)-(AJ$4*(Resumo!$B$6+Resumo!$B$7)+Resumo!$B$9+Resumo!$B$10*CEILING(AJ$3/100,1)+(Resumo!$B$12+Resumo!$B$13)*CEILING(AJ$3,1))</f>
        <v>73.3276845092958</v>
      </c>
      <c r="AK33" s="12" t="n">
        <f aca="false">(X33+AK$4*(Resumo!$C$7+Resumo!$C$8)+Resumo!$C$10*CEILING(AK$3/100,1)+Resumo!$C$9)*(1+Resumo!$C$11)-(AK$4*(Resumo!$B$6+Resumo!$B$7)+Resumo!$B$9+Resumo!$B$10*CEILING(AK$3/100,1)+(Resumo!$B$12+Resumo!$B$13)*CEILING(AK$3,1))</f>
        <v>72.1590080255814</v>
      </c>
      <c r="AL33" s="12" t="n">
        <f aca="false">(Y33+AL$4*(Resumo!$C$7+Resumo!$C$8)+Resumo!$C$10*CEILING(AL$3/100,1)+Resumo!$C$9)*(1+Resumo!$C$11)-(AL$4*(Resumo!$B$6+Resumo!$B$7)+Resumo!$B$9+Resumo!$B$10*CEILING(AL$3/100,1)+(Resumo!$B$12+Resumo!$B$13)*CEILING(AL$3,1))</f>
        <v>78.0547698817308</v>
      </c>
      <c r="AM33" s="12" t="n">
        <f aca="false">(Z33+AM$4*(Resumo!$C$7+Resumo!$C$8)+Resumo!$C$10*CEILING(AM$3/100,1)+Resumo!$C$9)*(1+Resumo!$C$11)-(AM$4*(Resumo!$B$6+Resumo!$B$7)+Resumo!$B$9+Resumo!$B$10*CEILING(AM$3/100,1)+(Resumo!$B$12+Resumo!$B$13)*CEILING(AM$3,1))</f>
        <v>81.3154196468865</v>
      </c>
      <c r="AN33" s="12" t="n">
        <f aca="false">(AA33+AN$4*(Resumo!$C$7+Resumo!$C$8)+Resumo!$C$10*CEILING(AN$3/100,1)+Resumo!$C$9)*(1+Resumo!$C$11)-(AN$4*(Resumo!$B$6+Resumo!$B$7)+Resumo!$B$9+Resumo!$B$10*CEILING(AN$3/100,1)+(Resumo!$B$12+Resumo!$B$13)*CEILING(AN$3,1))</f>
        <v>87.65104604</v>
      </c>
      <c r="AO33" s="12" t="n">
        <f aca="false">(AB33+AO$4*(Resumo!$C$7+Resumo!$C$8)+Resumo!$C$10*CEILING(AO$3/100,1)+Resumo!$C$9)*(1+Resumo!$C$11)-(AO$4*(Resumo!$B$6+Resumo!$B$7)+Resumo!$B$9+Resumo!$B$10*CEILING(AO$3/100,1)+(Resumo!$B$12+Resumo!$B$13)*CEILING(AO$3,1))</f>
        <v>99.3689471192983</v>
      </c>
      <c r="AP33" s="12" t="n">
        <f aca="false">(AC33+AP$4*(Resumo!$C$7+Resumo!$C$8)+Resumo!$C$10*CEILING(AP$3/100,1)+Resumo!$C$9)*(1+Resumo!$C$11)-(AP$4*(Resumo!$B$6+Resumo!$B$7)+Resumo!$B$9+Resumo!$B$10*CEILING(AP$3/100,1)+(Resumo!$B$12+Resumo!$B$13)*CEILING(AP$3,1))</f>
        <v>101.975214037736</v>
      </c>
      <c r="AQ33" s="12" t="n">
        <f aca="false">(AD33+AQ$4*(Resumo!$C$7+Resumo!$C$8)+Resumo!$C$10*CEILING(AQ$3/100,1)+Resumo!$C$9)*(1+Resumo!$C$11)-(AQ$4*(Resumo!$B$6+Resumo!$B$7)+Resumo!$B$9+Resumo!$B$10*CEILING(AQ$3/100,1)+(Resumo!$B$12+Resumo!$B$13)*CEILING(AQ$3,1))</f>
        <v>134.424542593023</v>
      </c>
      <c r="AR33" s="12" t="n">
        <f aca="false">(AE33+AR$4*(Resumo!$C$7+Resumo!$C$8)+Resumo!$C$10*CEILING(AR$3/100,1)+Resumo!$C$9)*(1+Resumo!$C$11)-(AR$4*(Resumo!$B$6+Resumo!$B$7)+Resumo!$B$9+Resumo!$B$10*CEILING(AR$3/100,1)+(Resumo!$B$12+Resumo!$B$13)*CEILING(AR$3,1))</f>
        <v>137.096941466667</v>
      </c>
      <c r="AS33" s="12" t="n">
        <f aca="false">(AF33+AS$4*(Resumo!$C$7+Resumo!$C$8)+Resumo!$C$10*CEILING(AS$3/100,1)+Resumo!$C$9)*(1+Resumo!$C$11)-(AS$4*(Resumo!$B$6+Resumo!$B$7)+Resumo!$B$9+Resumo!$B$10*CEILING(AS$3/100,1)+(Resumo!$B$12+Resumo!$B$13)*CEILING(AS$3,1))</f>
        <v>150.93068</v>
      </c>
      <c r="AT33" s="12" t="n">
        <f aca="false">(AG33+AT$4*(Resumo!$C$7+Resumo!$C$8)+Resumo!$C$10*CEILING(AT$3/100,1)+Resumo!$C$9)*(1+Resumo!$C$11)-(AT$4*(Resumo!$B$6+Resumo!$B$7)+Resumo!$B$9+Resumo!$B$10*CEILING(AT$3/100,1)+(Resumo!$B$12+Resumo!$B$13)*CEILING(AT$3,1))</f>
        <v>199.145187533333</v>
      </c>
      <c r="AU33" s="13" t="n">
        <f aca="false">1-AH33/H33</f>
        <v>-0.0787917262068167</v>
      </c>
      <c r="AV33" s="13" t="n">
        <f aca="false">1-AI33/I33</f>
        <v>0.176504728412946</v>
      </c>
      <c r="AW33" s="13" t="n">
        <f aca="false">1-AJ33/J33</f>
        <v>0.219669208159032</v>
      </c>
      <c r="AX33" s="13" t="n">
        <f aca="false">1-AK33/K33</f>
        <v>0.232105905868028</v>
      </c>
      <c r="AY33" s="13" t="n">
        <f aca="false">1-AL33/L33</f>
        <v>0.304944168461881</v>
      </c>
      <c r="AZ33" s="13" t="n">
        <f aca="false">1-AM33/M33</f>
        <v>0.379366358976596</v>
      </c>
      <c r="BA33" s="13" t="n">
        <f aca="false">1-AN33/N33</f>
        <v>0.347785951038024</v>
      </c>
      <c r="BB33" s="13" t="n">
        <f aca="false">1-AO33/O33</f>
        <v>0.408482962561472</v>
      </c>
      <c r="BC33" s="13" t="n">
        <f aca="false">1-AP33/P33</f>
        <v>0.494145473298597</v>
      </c>
      <c r="BD33" s="13" t="n">
        <f aca="false">1-AQ33/Q33</f>
        <v>0.438141932735535</v>
      </c>
      <c r="BE33" s="13" t="n">
        <f aca="false">1-AR33/R33</f>
        <v>0.494387086606429</v>
      </c>
      <c r="BF33" s="13" t="n">
        <f aca="false">1-AS33/S33</f>
        <v>0.526863072100314</v>
      </c>
      <c r="BG33" s="13" t="n">
        <f aca="false">1-AT33/T33</f>
        <v>0.500563807159218</v>
      </c>
    </row>
    <row r="34" customFormat="false" ht="15" hidden="false" customHeight="false" outlineLevel="0" collapsed="false">
      <c r="A34" s="4" t="s">
        <v>197</v>
      </c>
      <c r="B34" s="4" t="s">
        <v>223</v>
      </c>
      <c r="C34" s="34" t="n">
        <v>26400000</v>
      </c>
      <c r="D34" s="34" t="n">
        <v>26499999</v>
      </c>
      <c r="E34" s="4" t="s">
        <v>201</v>
      </c>
      <c r="F34" s="4" t="s">
        <v>202</v>
      </c>
      <c r="G34" s="4" t="n">
        <f aca="false">COUNTIFS(Pedidos!$E$2:$E$2224,"&gt;="&amp;C34,Pedidos!$E$2:$E$2224,"&lt;="&amp;D34)</f>
        <v>14</v>
      </c>
      <c r="H34" s="7" t="n">
        <v>46.98</v>
      </c>
      <c r="I34" s="7" t="n">
        <v>82.21</v>
      </c>
      <c r="J34" s="7" t="n">
        <v>93.97</v>
      </c>
      <c r="K34" s="7" t="n">
        <v>93.97</v>
      </c>
      <c r="L34" s="7" t="n">
        <v>112.3</v>
      </c>
      <c r="M34" s="7" t="n">
        <v>131.02</v>
      </c>
      <c r="N34" s="7" t="n">
        <v>134.39</v>
      </c>
      <c r="O34" s="7" t="n">
        <v>167.99</v>
      </c>
      <c r="P34" s="7" t="n">
        <v>201.59</v>
      </c>
      <c r="Q34" s="7" t="n">
        <v>239.25</v>
      </c>
      <c r="R34" s="7" t="n">
        <v>271.15</v>
      </c>
      <c r="S34" s="7" t="n">
        <v>319</v>
      </c>
      <c r="T34" s="7" t="n">
        <v>398.74</v>
      </c>
      <c r="U34" s="7" t="n">
        <v>52.71</v>
      </c>
      <c r="V34" s="7" t="n">
        <v>76.5</v>
      </c>
      <c r="W34" s="7" t="n">
        <v>87.4</v>
      </c>
      <c r="X34" s="7" t="n">
        <v>94</v>
      </c>
      <c r="Y34" s="7" t="n">
        <v>103.6</v>
      </c>
      <c r="Z34" s="7" t="n">
        <v>113.9</v>
      </c>
      <c r="AA34" s="7" t="n">
        <v>124.16</v>
      </c>
      <c r="AB34" s="7" t="n">
        <v>144.41</v>
      </c>
      <c r="AC34" s="7" t="n">
        <v>161.81</v>
      </c>
      <c r="AD34" s="7" t="n">
        <v>197.37</v>
      </c>
      <c r="AE34" s="7" t="n">
        <v>215.7</v>
      </c>
      <c r="AF34" s="7" t="n">
        <v>143.51</v>
      </c>
      <c r="AG34" s="7" t="n">
        <v>304.65</v>
      </c>
      <c r="AH34" s="12" t="n">
        <f aca="false">(U34+AH$4*(Resumo!$C$7+Resumo!$C$8)+Resumo!$C$10*CEILING(AH$3/100,1)+Resumo!$C$9)*(1+Resumo!$C$11)-(AH$4*(Resumo!$B$6+Resumo!$B$7)+Resumo!$B$9+Resumo!$B$10*CEILING(AH$3/100,1)+(Resumo!$B$12+Resumo!$B$13)*CEILING(AH$3,1))</f>
        <v>54.9227352971963</v>
      </c>
      <c r="AI34" s="12" t="n">
        <f aca="false">(V34+AI$4*(Resumo!$C$7+Resumo!$C$8)+Resumo!$C$10*CEILING(AI$3/100,1)+Resumo!$C$9)*(1+Resumo!$C$11)-(AI$4*(Resumo!$B$6+Resumo!$B$7)+Resumo!$B$9+Resumo!$B$10*CEILING(AI$3/100,1)+(Resumo!$B$12+Resumo!$B$13)*CEILING(AI$3,1))</f>
        <v>74.5570462771717</v>
      </c>
      <c r="AJ34" s="12" t="n">
        <f aca="false">(W34+AJ$4*(Resumo!$C$7+Resumo!$C$8)+Resumo!$C$10*CEILING(AJ$3/100,1)+Resumo!$C$9)*(1+Resumo!$C$11)-(AJ$4*(Resumo!$B$6+Resumo!$B$7)+Resumo!$B$9+Resumo!$B$10*CEILING(AJ$3/100,1)+(Resumo!$B$12+Resumo!$B$13)*CEILING(AJ$3,1))</f>
        <v>81.5039345092958</v>
      </c>
      <c r="AK34" s="12" t="n">
        <f aca="false">(X34+AK$4*(Resumo!$C$7+Resumo!$C$8)+Resumo!$C$10*CEILING(AK$3/100,1)+Resumo!$C$9)*(1+Resumo!$C$11)-(AK$4*(Resumo!$B$6+Resumo!$B$7)+Resumo!$B$9+Resumo!$B$10*CEILING(AK$3/100,1)+(Resumo!$B$12+Resumo!$B$13)*CEILING(AK$3,1))</f>
        <v>84.5552580255814</v>
      </c>
      <c r="AL34" s="12" t="n">
        <f aca="false">(Y34+AL$4*(Resumo!$C$7+Resumo!$C$8)+Resumo!$C$10*CEILING(AL$3/100,1)+Resumo!$C$9)*(1+Resumo!$C$11)-(AL$4*(Resumo!$B$6+Resumo!$B$7)+Resumo!$B$9+Resumo!$B$10*CEILING(AL$3/100,1)+(Resumo!$B$12+Resumo!$B$13)*CEILING(AL$3,1))</f>
        <v>90.7147698817308</v>
      </c>
      <c r="AM34" s="12" t="n">
        <f aca="false">(Z34+AM$4*(Resumo!$C$7+Resumo!$C$8)+Resumo!$C$10*CEILING(AM$3/100,1)+Resumo!$C$9)*(1+Resumo!$C$11)-(AM$4*(Resumo!$B$6+Resumo!$B$7)+Resumo!$B$9+Resumo!$B$10*CEILING(AM$3/100,1)+(Resumo!$B$12+Resumo!$B$13)*CEILING(AM$3,1))</f>
        <v>95.0304196468864</v>
      </c>
      <c r="AN34" s="12" t="n">
        <f aca="false">(AA34+AN$4*(Resumo!$C$7+Resumo!$C$8)+Resumo!$C$10*CEILING(AN$3/100,1)+Resumo!$C$9)*(1+Resumo!$C$11)-(AN$4*(Resumo!$B$6+Resumo!$B$7)+Resumo!$B$9+Resumo!$B$10*CEILING(AN$3/100,1)+(Resumo!$B$12+Resumo!$B$13)*CEILING(AN$3,1))</f>
        <v>102.00959604</v>
      </c>
      <c r="AO34" s="12" t="n">
        <f aca="false">(AB34+AO$4*(Resumo!$C$7+Resumo!$C$8)+Resumo!$C$10*CEILING(AO$3/100,1)+Resumo!$C$9)*(1+Resumo!$C$11)-(AO$4*(Resumo!$B$6+Resumo!$B$7)+Resumo!$B$9+Resumo!$B$10*CEILING(AO$3/100,1)+(Resumo!$B$12+Resumo!$B$13)*CEILING(AO$3,1))</f>
        <v>116.765897119298</v>
      </c>
      <c r="AP34" s="12" t="n">
        <f aca="false">(AC34+AP$4*(Resumo!$C$7+Resumo!$C$8)+Resumo!$C$10*CEILING(AP$3/100,1)+Resumo!$C$9)*(1+Resumo!$C$11)-(AP$4*(Resumo!$B$6+Resumo!$B$7)+Resumo!$B$9+Resumo!$B$10*CEILING(AP$3/100,1)+(Resumo!$B$12+Resumo!$B$13)*CEILING(AP$3,1))</f>
        <v>120.300564037736</v>
      </c>
      <c r="AQ34" s="12" t="n">
        <f aca="false">(AD34+AQ$4*(Resumo!$C$7+Resumo!$C$8)+Resumo!$C$10*CEILING(AQ$3/100,1)+Resumo!$C$9)*(1+Resumo!$C$11)-(AQ$4*(Resumo!$B$6+Resumo!$B$7)+Resumo!$B$9+Resumo!$B$10*CEILING(AQ$3/100,1)+(Resumo!$B$12+Resumo!$B$13)*CEILING(AQ$3,1))</f>
        <v>149.110142593023</v>
      </c>
      <c r="AR34" s="12" t="n">
        <f aca="false">(AE34+AR$4*(Resumo!$C$7+Resumo!$C$8)+Resumo!$C$10*CEILING(AR$3/100,1)+Resumo!$C$9)*(1+Resumo!$C$11)-(AR$4*(Resumo!$B$6+Resumo!$B$7)+Resumo!$B$9+Resumo!$B$10*CEILING(AR$3/100,1)+(Resumo!$B$12+Resumo!$B$13)*CEILING(AR$3,1))</f>
        <v>152.447191466667</v>
      </c>
      <c r="AS34" s="12" t="n">
        <f aca="false">(AF34+AS$4*(Resumo!$C$7+Resumo!$C$8)+Resumo!$C$10*CEILING(AS$3/100,1)+Resumo!$C$9)*(1+Resumo!$C$11)-(AS$4*(Resumo!$B$6+Resumo!$B$7)+Resumo!$B$9+Resumo!$B$10*CEILING(AS$3/100,1)+(Resumo!$B$12+Resumo!$B$13)*CEILING(AS$3,1))</f>
        <v>62.11023</v>
      </c>
      <c r="AT34" s="12" t="n">
        <f aca="false">(AG34+AT$4*(Resumo!$C$7+Resumo!$C$8)+Resumo!$C$10*CEILING(AT$3/100,1)+Resumo!$C$9)*(1+Resumo!$C$11)-(AT$4*(Resumo!$B$6+Resumo!$B$7)+Resumo!$B$9+Resumo!$B$10*CEILING(AT$3/100,1)+(Resumo!$B$12+Resumo!$B$13)*CEILING(AT$3,1))</f>
        <v>219.780987533333</v>
      </c>
      <c r="AU34" s="13" t="n">
        <f aca="false">1-AH34/H34</f>
        <v>-0.169066311136574</v>
      </c>
      <c r="AV34" s="13" t="n">
        <f aca="false">1-AI34/I34</f>
        <v>0.0930903019441466</v>
      </c>
      <c r="AW34" s="13" t="n">
        <f aca="false">1-AJ34/J34</f>
        <v>0.132660056302056</v>
      </c>
      <c r="AX34" s="13" t="n">
        <f aca="false">1-AK34/K34</f>
        <v>0.100188804665517</v>
      </c>
      <c r="AY34" s="13" t="n">
        <f aca="false">1-AL34/L34</f>
        <v>0.192210419574971</v>
      </c>
      <c r="AZ34" s="13" t="n">
        <f aca="false">1-AM34/M34</f>
        <v>0.274687683965147</v>
      </c>
      <c r="BA34" s="13" t="n">
        <f aca="false">1-AN34/N34</f>
        <v>0.240943552050004</v>
      </c>
      <c r="BB34" s="13" t="n">
        <f aca="false">1-AO34/O34</f>
        <v>0.304923524499683</v>
      </c>
      <c r="BC34" s="13" t="n">
        <f aca="false">1-AP34/P34</f>
        <v>0.403241410597074</v>
      </c>
      <c r="BD34" s="13" t="n">
        <f aca="false">1-AQ34/Q34</f>
        <v>0.376760114553717</v>
      </c>
      <c r="BE34" s="13" t="n">
        <f aca="false">1-AR34/R34</f>
        <v>0.437775432540414</v>
      </c>
      <c r="BF34" s="13" t="n">
        <f aca="false">1-AS34/S34</f>
        <v>0.805297084639499</v>
      </c>
      <c r="BG34" s="13" t="n">
        <f aca="false">1-AT34/T34</f>
        <v>0.448811286719834</v>
      </c>
    </row>
    <row r="35" customFormat="false" ht="15" hidden="false" customHeight="false" outlineLevel="0" collapsed="false">
      <c r="A35" s="4" t="s">
        <v>197</v>
      </c>
      <c r="B35" s="4" t="s">
        <v>224</v>
      </c>
      <c r="C35" s="34" t="n">
        <v>26500000</v>
      </c>
      <c r="D35" s="34" t="n">
        <v>26549999</v>
      </c>
      <c r="E35" s="4" t="s">
        <v>207</v>
      </c>
      <c r="F35" s="4" t="s">
        <v>211</v>
      </c>
      <c r="G35" s="4" t="n">
        <f aca="false">COUNTIFS(Pedidos!$E$2:$E$2224,"&gt;="&amp;C35,Pedidos!$E$2:$E$2224,"&lt;="&amp;D35)</f>
        <v>17</v>
      </c>
      <c r="H35" s="7" t="n">
        <v>46.98</v>
      </c>
      <c r="I35" s="7" t="n">
        <v>82.21</v>
      </c>
      <c r="J35" s="7" t="n">
        <v>93.97</v>
      </c>
      <c r="K35" s="7" t="n">
        <v>93.97</v>
      </c>
      <c r="L35" s="7" t="n">
        <v>112.3</v>
      </c>
      <c r="M35" s="7" t="n">
        <v>131.02</v>
      </c>
      <c r="N35" s="7" t="n">
        <v>134.39</v>
      </c>
      <c r="O35" s="7" t="n">
        <v>167.99</v>
      </c>
      <c r="P35" s="7" t="n">
        <v>201.59</v>
      </c>
      <c r="Q35" s="7" t="n">
        <v>239.25</v>
      </c>
      <c r="R35" s="7" t="n">
        <v>271.15</v>
      </c>
      <c r="S35" s="7" t="n">
        <v>319</v>
      </c>
      <c r="T35" s="7" t="n">
        <v>398.74</v>
      </c>
      <c r="U35" s="7" t="n">
        <v>48.69</v>
      </c>
      <c r="V35" s="7" t="n">
        <v>70</v>
      </c>
      <c r="W35" s="7" t="n">
        <v>79.65</v>
      </c>
      <c r="X35" s="7" t="n">
        <v>82.25</v>
      </c>
      <c r="Y35" s="7" t="n">
        <v>91.6</v>
      </c>
      <c r="Z35" s="7" t="n">
        <v>100.9</v>
      </c>
      <c r="AA35" s="7" t="n">
        <v>110.55</v>
      </c>
      <c r="AB35" s="7" t="n">
        <v>127.92</v>
      </c>
      <c r="AC35" s="7" t="n">
        <v>144.44</v>
      </c>
      <c r="AD35" s="7" t="n">
        <v>183.45</v>
      </c>
      <c r="AE35" s="7" t="n">
        <v>201.15</v>
      </c>
      <c r="AF35" s="7" t="n">
        <v>227.7</v>
      </c>
      <c r="AG35" s="7" t="n">
        <v>285.09</v>
      </c>
      <c r="AH35" s="12" t="n">
        <f aca="false">(U35+AH$4*(Resumo!$C$7+Resumo!$C$8)+Resumo!$C$10*CEILING(AH$3/100,1)+Resumo!$C$9)*(1+Resumo!$C$11)-(AH$4*(Resumo!$B$6+Resumo!$B$7)+Resumo!$B$9+Resumo!$B$10*CEILING(AH$3/100,1)+(Resumo!$B$12+Resumo!$B$13)*CEILING(AH$3,1))</f>
        <v>50.6816352971963</v>
      </c>
      <c r="AI35" s="12" t="n">
        <f aca="false">(V35+AI$4*(Resumo!$C$7+Resumo!$C$8)+Resumo!$C$10*CEILING(AI$3/100,1)+Resumo!$C$9)*(1+Resumo!$C$11)-(AI$4*(Resumo!$B$6+Resumo!$B$7)+Resumo!$B$9+Resumo!$B$10*CEILING(AI$3/100,1)+(Resumo!$B$12+Resumo!$B$13)*CEILING(AI$3,1))</f>
        <v>67.6995462771717</v>
      </c>
      <c r="AJ35" s="12" t="n">
        <f aca="false">(W35+AJ$4*(Resumo!$C$7+Resumo!$C$8)+Resumo!$C$10*CEILING(AJ$3/100,1)+Resumo!$C$9)*(1+Resumo!$C$11)-(AJ$4*(Resumo!$B$6+Resumo!$B$7)+Resumo!$B$9+Resumo!$B$10*CEILING(AJ$3/100,1)+(Resumo!$B$12+Resumo!$B$13)*CEILING(AJ$3,1))</f>
        <v>73.3276845092958</v>
      </c>
      <c r="AK35" s="12" t="n">
        <f aca="false">(X35+AK$4*(Resumo!$C$7+Resumo!$C$8)+Resumo!$C$10*CEILING(AK$3/100,1)+Resumo!$C$9)*(1+Resumo!$C$11)-(AK$4*(Resumo!$B$6+Resumo!$B$7)+Resumo!$B$9+Resumo!$B$10*CEILING(AK$3/100,1)+(Resumo!$B$12+Resumo!$B$13)*CEILING(AK$3,1))</f>
        <v>72.1590080255814</v>
      </c>
      <c r="AL35" s="12" t="n">
        <f aca="false">(Y35+AL$4*(Resumo!$C$7+Resumo!$C$8)+Resumo!$C$10*CEILING(AL$3/100,1)+Resumo!$C$9)*(1+Resumo!$C$11)-(AL$4*(Resumo!$B$6+Resumo!$B$7)+Resumo!$B$9+Resumo!$B$10*CEILING(AL$3/100,1)+(Resumo!$B$12+Resumo!$B$13)*CEILING(AL$3,1))</f>
        <v>78.0547698817308</v>
      </c>
      <c r="AM35" s="12" t="n">
        <f aca="false">(Z35+AM$4*(Resumo!$C$7+Resumo!$C$8)+Resumo!$C$10*CEILING(AM$3/100,1)+Resumo!$C$9)*(1+Resumo!$C$11)-(AM$4*(Resumo!$B$6+Resumo!$B$7)+Resumo!$B$9+Resumo!$B$10*CEILING(AM$3/100,1)+(Resumo!$B$12+Resumo!$B$13)*CEILING(AM$3,1))</f>
        <v>81.3154196468865</v>
      </c>
      <c r="AN35" s="12" t="n">
        <f aca="false">(AA35+AN$4*(Resumo!$C$7+Resumo!$C$8)+Resumo!$C$10*CEILING(AN$3/100,1)+Resumo!$C$9)*(1+Resumo!$C$11)-(AN$4*(Resumo!$B$6+Resumo!$B$7)+Resumo!$B$9+Resumo!$B$10*CEILING(AN$3/100,1)+(Resumo!$B$12+Resumo!$B$13)*CEILING(AN$3,1))</f>
        <v>87.65104604</v>
      </c>
      <c r="AO35" s="12" t="n">
        <f aca="false">(AB35+AO$4*(Resumo!$C$7+Resumo!$C$8)+Resumo!$C$10*CEILING(AO$3/100,1)+Resumo!$C$9)*(1+Resumo!$C$11)-(AO$4*(Resumo!$B$6+Resumo!$B$7)+Resumo!$B$9+Resumo!$B$10*CEILING(AO$3/100,1)+(Resumo!$B$12+Resumo!$B$13)*CEILING(AO$3,1))</f>
        <v>99.3689471192983</v>
      </c>
      <c r="AP35" s="12" t="n">
        <f aca="false">(AC35+AP$4*(Resumo!$C$7+Resumo!$C$8)+Resumo!$C$10*CEILING(AP$3/100,1)+Resumo!$C$9)*(1+Resumo!$C$11)-(AP$4*(Resumo!$B$6+Resumo!$B$7)+Resumo!$B$9+Resumo!$B$10*CEILING(AP$3/100,1)+(Resumo!$B$12+Resumo!$B$13)*CEILING(AP$3,1))</f>
        <v>101.975214037736</v>
      </c>
      <c r="AQ35" s="12" t="n">
        <f aca="false">(AD35+AQ$4*(Resumo!$C$7+Resumo!$C$8)+Resumo!$C$10*CEILING(AQ$3/100,1)+Resumo!$C$9)*(1+Resumo!$C$11)-(AQ$4*(Resumo!$B$6+Resumo!$B$7)+Resumo!$B$9+Resumo!$B$10*CEILING(AQ$3/100,1)+(Resumo!$B$12+Resumo!$B$13)*CEILING(AQ$3,1))</f>
        <v>134.424542593023</v>
      </c>
      <c r="AR35" s="12" t="n">
        <f aca="false">(AE35+AR$4*(Resumo!$C$7+Resumo!$C$8)+Resumo!$C$10*CEILING(AR$3/100,1)+Resumo!$C$9)*(1+Resumo!$C$11)-(AR$4*(Resumo!$B$6+Resumo!$B$7)+Resumo!$B$9+Resumo!$B$10*CEILING(AR$3/100,1)+(Resumo!$B$12+Resumo!$B$13)*CEILING(AR$3,1))</f>
        <v>137.096941466667</v>
      </c>
      <c r="AS35" s="12" t="n">
        <f aca="false">(AF35+AS$4*(Resumo!$C$7+Resumo!$C$8)+Resumo!$C$10*CEILING(AS$3/100,1)+Resumo!$C$9)*(1+Resumo!$C$11)-(AS$4*(Resumo!$B$6+Resumo!$B$7)+Resumo!$B$9+Resumo!$B$10*CEILING(AS$3/100,1)+(Resumo!$B$12+Resumo!$B$13)*CEILING(AS$3,1))</f>
        <v>150.93068</v>
      </c>
      <c r="AT35" s="12" t="n">
        <f aca="false">(AG35+AT$4*(Resumo!$C$7+Resumo!$C$8)+Resumo!$C$10*CEILING(AT$3/100,1)+Resumo!$C$9)*(1+Resumo!$C$11)-(AT$4*(Resumo!$B$6+Resumo!$B$7)+Resumo!$B$9+Resumo!$B$10*CEILING(AT$3/100,1)+(Resumo!$B$12+Resumo!$B$13)*CEILING(AT$3,1))</f>
        <v>199.145187533333</v>
      </c>
      <c r="AU35" s="13" t="n">
        <f aca="false">1-AH35/H35</f>
        <v>-0.0787917262068167</v>
      </c>
      <c r="AV35" s="13" t="n">
        <f aca="false">1-AI35/I35</f>
        <v>0.176504728412946</v>
      </c>
      <c r="AW35" s="13" t="n">
        <f aca="false">1-AJ35/J35</f>
        <v>0.219669208159032</v>
      </c>
      <c r="AX35" s="13" t="n">
        <f aca="false">1-AK35/K35</f>
        <v>0.232105905868028</v>
      </c>
      <c r="AY35" s="13" t="n">
        <f aca="false">1-AL35/L35</f>
        <v>0.304944168461881</v>
      </c>
      <c r="AZ35" s="13" t="n">
        <f aca="false">1-AM35/M35</f>
        <v>0.379366358976596</v>
      </c>
      <c r="BA35" s="13" t="n">
        <f aca="false">1-AN35/N35</f>
        <v>0.347785951038024</v>
      </c>
      <c r="BB35" s="13" t="n">
        <f aca="false">1-AO35/O35</f>
        <v>0.408482962561472</v>
      </c>
      <c r="BC35" s="13" t="n">
        <f aca="false">1-AP35/P35</f>
        <v>0.494145473298597</v>
      </c>
      <c r="BD35" s="13" t="n">
        <f aca="false">1-AQ35/Q35</f>
        <v>0.438141932735535</v>
      </c>
      <c r="BE35" s="13" t="n">
        <f aca="false">1-AR35/R35</f>
        <v>0.494387086606429</v>
      </c>
      <c r="BF35" s="13" t="n">
        <f aca="false">1-AS35/S35</f>
        <v>0.526863072100314</v>
      </c>
      <c r="BG35" s="13" t="n">
        <f aca="false">1-AT35/T35</f>
        <v>0.500563807159218</v>
      </c>
    </row>
    <row r="36" customFormat="false" ht="15" hidden="false" customHeight="false" outlineLevel="0" collapsed="false">
      <c r="A36" s="4" t="s">
        <v>197</v>
      </c>
      <c r="B36" s="4" t="s">
        <v>155</v>
      </c>
      <c r="C36" s="34" t="n">
        <v>26550000</v>
      </c>
      <c r="D36" s="34" t="n">
        <v>26599999</v>
      </c>
      <c r="E36" s="4" t="s">
        <v>207</v>
      </c>
      <c r="F36" s="4" t="s">
        <v>211</v>
      </c>
      <c r="G36" s="4" t="n">
        <f aca="false">COUNTIFS(Pedidos!$E$2:$E$2224,"&gt;="&amp;C36,Pedidos!$E$2:$E$2224,"&lt;="&amp;D36)</f>
        <v>21</v>
      </c>
      <c r="H36" s="7" t="n">
        <v>46.98</v>
      </c>
      <c r="I36" s="7" t="n">
        <v>82.21</v>
      </c>
      <c r="J36" s="7" t="n">
        <v>93.97</v>
      </c>
      <c r="K36" s="7" t="n">
        <v>93.97</v>
      </c>
      <c r="L36" s="7" t="n">
        <v>112.3</v>
      </c>
      <c r="M36" s="7" t="n">
        <v>131.02</v>
      </c>
      <c r="N36" s="7" t="n">
        <v>134.39</v>
      </c>
      <c r="O36" s="7" t="n">
        <v>167.99</v>
      </c>
      <c r="P36" s="7" t="n">
        <v>201.59</v>
      </c>
      <c r="Q36" s="7" t="n">
        <v>239.25</v>
      </c>
      <c r="R36" s="7" t="n">
        <v>271.15</v>
      </c>
      <c r="S36" s="7" t="n">
        <v>319</v>
      </c>
      <c r="T36" s="7" t="n">
        <v>398.74</v>
      </c>
      <c r="U36" s="7" t="n">
        <v>48.69</v>
      </c>
      <c r="V36" s="7" t="n">
        <v>70</v>
      </c>
      <c r="W36" s="7" t="n">
        <v>79.65</v>
      </c>
      <c r="X36" s="7" t="n">
        <v>82.25</v>
      </c>
      <c r="Y36" s="7" t="n">
        <v>91.6</v>
      </c>
      <c r="Z36" s="7" t="n">
        <v>100.9</v>
      </c>
      <c r="AA36" s="7" t="n">
        <v>110.55</v>
      </c>
      <c r="AB36" s="7" t="n">
        <v>127.92</v>
      </c>
      <c r="AC36" s="7" t="n">
        <v>144.44</v>
      </c>
      <c r="AD36" s="7" t="n">
        <v>183.45</v>
      </c>
      <c r="AE36" s="7" t="n">
        <v>201.15</v>
      </c>
      <c r="AF36" s="7" t="n">
        <v>227.7</v>
      </c>
      <c r="AG36" s="7" t="n">
        <v>285.09</v>
      </c>
      <c r="AH36" s="12" t="n">
        <f aca="false">(U36+AH$4*(Resumo!$C$7+Resumo!$C$8)+Resumo!$C$10*CEILING(AH$3/100,1)+Resumo!$C$9)*(1+Resumo!$C$11)-(AH$4*(Resumo!$B$6+Resumo!$B$7)+Resumo!$B$9+Resumo!$B$10*CEILING(AH$3/100,1)+(Resumo!$B$12+Resumo!$B$13)*CEILING(AH$3,1))</f>
        <v>50.6816352971963</v>
      </c>
      <c r="AI36" s="12" t="n">
        <f aca="false">(V36+AI$4*(Resumo!$C$7+Resumo!$C$8)+Resumo!$C$10*CEILING(AI$3/100,1)+Resumo!$C$9)*(1+Resumo!$C$11)-(AI$4*(Resumo!$B$6+Resumo!$B$7)+Resumo!$B$9+Resumo!$B$10*CEILING(AI$3/100,1)+(Resumo!$B$12+Resumo!$B$13)*CEILING(AI$3,1))</f>
        <v>67.6995462771717</v>
      </c>
      <c r="AJ36" s="12" t="n">
        <f aca="false">(W36+AJ$4*(Resumo!$C$7+Resumo!$C$8)+Resumo!$C$10*CEILING(AJ$3/100,1)+Resumo!$C$9)*(1+Resumo!$C$11)-(AJ$4*(Resumo!$B$6+Resumo!$B$7)+Resumo!$B$9+Resumo!$B$10*CEILING(AJ$3/100,1)+(Resumo!$B$12+Resumo!$B$13)*CEILING(AJ$3,1))</f>
        <v>73.3276845092958</v>
      </c>
      <c r="AK36" s="12" t="n">
        <f aca="false">(X36+AK$4*(Resumo!$C$7+Resumo!$C$8)+Resumo!$C$10*CEILING(AK$3/100,1)+Resumo!$C$9)*(1+Resumo!$C$11)-(AK$4*(Resumo!$B$6+Resumo!$B$7)+Resumo!$B$9+Resumo!$B$10*CEILING(AK$3/100,1)+(Resumo!$B$12+Resumo!$B$13)*CEILING(AK$3,1))</f>
        <v>72.1590080255814</v>
      </c>
      <c r="AL36" s="12" t="n">
        <f aca="false">(Y36+AL$4*(Resumo!$C$7+Resumo!$C$8)+Resumo!$C$10*CEILING(AL$3/100,1)+Resumo!$C$9)*(1+Resumo!$C$11)-(AL$4*(Resumo!$B$6+Resumo!$B$7)+Resumo!$B$9+Resumo!$B$10*CEILING(AL$3/100,1)+(Resumo!$B$12+Resumo!$B$13)*CEILING(AL$3,1))</f>
        <v>78.0547698817308</v>
      </c>
      <c r="AM36" s="12" t="n">
        <f aca="false">(Z36+AM$4*(Resumo!$C$7+Resumo!$C$8)+Resumo!$C$10*CEILING(AM$3/100,1)+Resumo!$C$9)*(1+Resumo!$C$11)-(AM$4*(Resumo!$B$6+Resumo!$B$7)+Resumo!$B$9+Resumo!$B$10*CEILING(AM$3/100,1)+(Resumo!$B$12+Resumo!$B$13)*CEILING(AM$3,1))</f>
        <v>81.3154196468865</v>
      </c>
      <c r="AN36" s="12" t="n">
        <f aca="false">(AA36+AN$4*(Resumo!$C$7+Resumo!$C$8)+Resumo!$C$10*CEILING(AN$3/100,1)+Resumo!$C$9)*(1+Resumo!$C$11)-(AN$4*(Resumo!$B$6+Resumo!$B$7)+Resumo!$B$9+Resumo!$B$10*CEILING(AN$3/100,1)+(Resumo!$B$12+Resumo!$B$13)*CEILING(AN$3,1))</f>
        <v>87.65104604</v>
      </c>
      <c r="AO36" s="12" t="n">
        <f aca="false">(AB36+AO$4*(Resumo!$C$7+Resumo!$C$8)+Resumo!$C$10*CEILING(AO$3/100,1)+Resumo!$C$9)*(1+Resumo!$C$11)-(AO$4*(Resumo!$B$6+Resumo!$B$7)+Resumo!$B$9+Resumo!$B$10*CEILING(AO$3/100,1)+(Resumo!$B$12+Resumo!$B$13)*CEILING(AO$3,1))</f>
        <v>99.3689471192983</v>
      </c>
      <c r="AP36" s="12" t="n">
        <f aca="false">(AC36+AP$4*(Resumo!$C$7+Resumo!$C$8)+Resumo!$C$10*CEILING(AP$3/100,1)+Resumo!$C$9)*(1+Resumo!$C$11)-(AP$4*(Resumo!$B$6+Resumo!$B$7)+Resumo!$B$9+Resumo!$B$10*CEILING(AP$3/100,1)+(Resumo!$B$12+Resumo!$B$13)*CEILING(AP$3,1))</f>
        <v>101.975214037736</v>
      </c>
      <c r="AQ36" s="12" t="n">
        <f aca="false">(AD36+AQ$4*(Resumo!$C$7+Resumo!$C$8)+Resumo!$C$10*CEILING(AQ$3/100,1)+Resumo!$C$9)*(1+Resumo!$C$11)-(AQ$4*(Resumo!$B$6+Resumo!$B$7)+Resumo!$B$9+Resumo!$B$10*CEILING(AQ$3/100,1)+(Resumo!$B$12+Resumo!$B$13)*CEILING(AQ$3,1))</f>
        <v>134.424542593023</v>
      </c>
      <c r="AR36" s="12" t="n">
        <f aca="false">(AE36+AR$4*(Resumo!$C$7+Resumo!$C$8)+Resumo!$C$10*CEILING(AR$3/100,1)+Resumo!$C$9)*(1+Resumo!$C$11)-(AR$4*(Resumo!$B$6+Resumo!$B$7)+Resumo!$B$9+Resumo!$B$10*CEILING(AR$3/100,1)+(Resumo!$B$12+Resumo!$B$13)*CEILING(AR$3,1))</f>
        <v>137.096941466667</v>
      </c>
      <c r="AS36" s="12" t="n">
        <f aca="false">(AF36+AS$4*(Resumo!$C$7+Resumo!$C$8)+Resumo!$C$10*CEILING(AS$3/100,1)+Resumo!$C$9)*(1+Resumo!$C$11)-(AS$4*(Resumo!$B$6+Resumo!$B$7)+Resumo!$B$9+Resumo!$B$10*CEILING(AS$3/100,1)+(Resumo!$B$12+Resumo!$B$13)*CEILING(AS$3,1))</f>
        <v>150.93068</v>
      </c>
      <c r="AT36" s="12" t="n">
        <f aca="false">(AG36+AT$4*(Resumo!$C$7+Resumo!$C$8)+Resumo!$C$10*CEILING(AT$3/100,1)+Resumo!$C$9)*(1+Resumo!$C$11)-(AT$4*(Resumo!$B$6+Resumo!$B$7)+Resumo!$B$9+Resumo!$B$10*CEILING(AT$3/100,1)+(Resumo!$B$12+Resumo!$B$13)*CEILING(AT$3,1))</f>
        <v>199.145187533333</v>
      </c>
      <c r="AU36" s="13" t="n">
        <f aca="false">1-AH36/H36</f>
        <v>-0.0787917262068167</v>
      </c>
      <c r="AV36" s="13" t="n">
        <f aca="false">1-AI36/I36</f>
        <v>0.176504728412946</v>
      </c>
      <c r="AW36" s="13" t="n">
        <f aca="false">1-AJ36/J36</f>
        <v>0.219669208159032</v>
      </c>
      <c r="AX36" s="13" t="n">
        <f aca="false">1-AK36/K36</f>
        <v>0.232105905868028</v>
      </c>
      <c r="AY36" s="13" t="n">
        <f aca="false">1-AL36/L36</f>
        <v>0.304944168461881</v>
      </c>
      <c r="AZ36" s="13" t="n">
        <f aca="false">1-AM36/M36</f>
        <v>0.379366358976596</v>
      </c>
      <c r="BA36" s="13" t="n">
        <f aca="false">1-AN36/N36</f>
        <v>0.347785951038024</v>
      </c>
      <c r="BB36" s="13" t="n">
        <f aca="false">1-AO36/O36</f>
        <v>0.408482962561472</v>
      </c>
      <c r="BC36" s="13" t="n">
        <f aca="false">1-AP36/P36</f>
        <v>0.494145473298597</v>
      </c>
      <c r="BD36" s="13" t="n">
        <f aca="false">1-AQ36/Q36</f>
        <v>0.438141932735535</v>
      </c>
      <c r="BE36" s="13" t="n">
        <f aca="false">1-AR36/R36</f>
        <v>0.494387086606429</v>
      </c>
      <c r="BF36" s="13" t="n">
        <f aca="false">1-AS36/S36</f>
        <v>0.526863072100314</v>
      </c>
      <c r="BG36" s="13" t="n">
        <f aca="false">1-AT36/T36</f>
        <v>0.500563807159218</v>
      </c>
    </row>
    <row r="37" customFormat="false" ht="15" hidden="false" customHeight="false" outlineLevel="0" collapsed="false">
      <c r="A37" s="4" t="s">
        <v>197</v>
      </c>
      <c r="B37" s="4" t="s">
        <v>225</v>
      </c>
      <c r="C37" s="34" t="n">
        <v>26600000</v>
      </c>
      <c r="D37" s="34" t="n">
        <v>26649999</v>
      </c>
      <c r="E37" s="4" t="s">
        <v>201</v>
      </c>
      <c r="F37" s="4" t="s">
        <v>204</v>
      </c>
      <c r="G37" s="4" t="n">
        <f aca="false">COUNTIFS(Pedidos!$E$2:$E$2224,"&gt;="&amp;C37,Pedidos!$E$2:$E$2224,"&lt;="&amp;D37)</f>
        <v>3</v>
      </c>
      <c r="H37" s="7" t="n">
        <v>77.35</v>
      </c>
      <c r="I37" s="7" t="n">
        <v>108.83</v>
      </c>
      <c r="J37" s="7" t="n">
        <v>124.38</v>
      </c>
      <c r="K37" s="7" t="n">
        <v>124.38</v>
      </c>
      <c r="L37" s="7" t="n">
        <v>142.32</v>
      </c>
      <c r="M37" s="7" t="n">
        <v>166.05</v>
      </c>
      <c r="N37" s="7" t="n">
        <v>157.88</v>
      </c>
      <c r="O37" s="7" t="n">
        <v>197.35</v>
      </c>
      <c r="P37" s="7" t="n">
        <v>236.82</v>
      </c>
      <c r="Q37" s="7" t="n">
        <v>264.84</v>
      </c>
      <c r="R37" s="7" t="n">
        <v>300.15</v>
      </c>
      <c r="S37" s="7" t="n">
        <v>353.12</v>
      </c>
      <c r="T37" s="7" t="n">
        <v>441.4</v>
      </c>
      <c r="U37" s="7" t="n">
        <v>52.71</v>
      </c>
      <c r="V37" s="7" t="n">
        <v>76.5</v>
      </c>
      <c r="W37" s="7" t="n">
        <v>87.4</v>
      </c>
      <c r="X37" s="7" t="n">
        <v>94</v>
      </c>
      <c r="Y37" s="7" t="n">
        <v>103.6</v>
      </c>
      <c r="Z37" s="7" t="n">
        <v>113.9</v>
      </c>
      <c r="AA37" s="7" t="n">
        <v>124.16</v>
      </c>
      <c r="AB37" s="7" t="n">
        <v>144.41</v>
      </c>
      <c r="AC37" s="7" t="n">
        <v>161.81</v>
      </c>
      <c r="AD37" s="7" t="n">
        <v>197.37</v>
      </c>
      <c r="AE37" s="7" t="n">
        <v>215.7</v>
      </c>
      <c r="AF37" s="7" t="n">
        <v>143.51</v>
      </c>
      <c r="AG37" s="7" t="n">
        <v>304.65</v>
      </c>
      <c r="AH37" s="12" t="n">
        <f aca="false">(U37+AH$4*(Resumo!$C$7+Resumo!$C$8)+Resumo!$C$10*CEILING(AH$3/100,1)+Resumo!$C$9)*(1+Resumo!$C$11)-(AH$4*(Resumo!$B$6+Resumo!$B$7)+Resumo!$B$9+Resumo!$B$10*CEILING(AH$3/100,1)+(Resumo!$B$12+Resumo!$B$13)*CEILING(AH$3,1))</f>
        <v>54.9227352971963</v>
      </c>
      <c r="AI37" s="12" t="n">
        <f aca="false">(V37+AI$4*(Resumo!$C$7+Resumo!$C$8)+Resumo!$C$10*CEILING(AI$3/100,1)+Resumo!$C$9)*(1+Resumo!$C$11)-(AI$4*(Resumo!$B$6+Resumo!$B$7)+Resumo!$B$9+Resumo!$B$10*CEILING(AI$3/100,1)+(Resumo!$B$12+Resumo!$B$13)*CEILING(AI$3,1))</f>
        <v>74.5570462771717</v>
      </c>
      <c r="AJ37" s="12" t="n">
        <f aca="false">(W37+AJ$4*(Resumo!$C$7+Resumo!$C$8)+Resumo!$C$10*CEILING(AJ$3/100,1)+Resumo!$C$9)*(1+Resumo!$C$11)-(AJ$4*(Resumo!$B$6+Resumo!$B$7)+Resumo!$B$9+Resumo!$B$10*CEILING(AJ$3/100,1)+(Resumo!$B$12+Resumo!$B$13)*CEILING(AJ$3,1))</f>
        <v>81.5039345092958</v>
      </c>
      <c r="AK37" s="12" t="n">
        <f aca="false">(X37+AK$4*(Resumo!$C$7+Resumo!$C$8)+Resumo!$C$10*CEILING(AK$3/100,1)+Resumo!$C$9)*(1+Resumo!$C$11)-(AK$4*(Resumo!$B$6+Resumo!$B$7)+Resumo!$B$9+Resumo!$B$10*CEILING(AK$3/100,1)+(Resumo!$B$12+Resumo!$B$13)*CEILING(AK$3,1))</f>
        <v>84.5552580255814</v>
      </c>
      <c r="AL37" s="12" t="n">
        <f aca="false">(Y37+AL$4*(Resumo!$C$7+Resumo!$C$8)+Resumo!$C$10*CEILING(AL$3/100,1)+Resumo!$C$9)*(1+Resumo!$C$11)-(AL$4*(Resumo!$B$6+Resumo!$B$7)+Resumo!$B$9+Resumo!$B$10*CEILING(AL$3/100,1)+(Resumo!$B$12+Resumo!$B$13)*CEILING(AL$3,1))</f>
        <v>90.7147698817308</v>
      </c>
      <c r="AM37" s="12" t="n">
        <f aca="false">(Z37+AM$4*(Resumo!$C$7+Resumo!$C$8)+Resumo!$C$10*CEILING(AM$3/100,1)+Resumo!$C$9)*(1+Resumo!$C$11)-(AM$4*(Resumo!$B$6+Resumo!$B$7)+Resumo!$B$9+Resumo!$B$10*CEILING(AM$3/100,1)+(Resumo!$B$12+Resumo!$B$13)*CEILING(AM$3,1))</f>
        <v>95.0304196468864</v>
      </c>
      <c r="AN37" s="12" t="n">
        <f aca="false">(AA37+AN$4*(Resumo!$C$7+Resumo!$C$8)+Resumo!$C$10*CEILING(AN$3/100,1)+Resumo!$C$9)*(1+Resumo!$C$11)-(AN$4*(Resumo!$B$6+Resumo!$B$7)+Resumo!$B$9+Resumo!$B$10*CEILING(AN$3/100,1)+(Resumo!$B$12+Resumo!$B$13)*CEILING(AN$3,1))</f>
        <v>102.00959604</v>
      </c>
      <c r="AO37" s="12" t="n">
        <f aca="false">(AB37+AO$4*(Resumo!$C$7+Resumo!$C$8)+Resumo!$C$10*CEILING(AO$3/100,1)+Resumo!$C$9)*(1+Resumo!$C$11)-(AO$4*(Resumo!$B$6+Resumo!$B$7)+Resumo!$B$9+Resumo!$B$10*CEILING(AO$3/100,1)+(Resumo!$B$12+Resumo!$B$13)*CEILING(AO$3,1))</f>
        <v>116.765897119298</v>
      </c>
      <c r="AP37" s="12" t="n">
        <f aca="false">(AC37+AP$4*(Resumo!$C$7+Resumo!$C$8)+Resumo!$C$10*CEILING(AP$3/100,1)+Resumo!$C$9)*(1+Resumo!$C$11)-(AP$4*(Resumo!$B$6+Resumo!$B$7)+Resumo!$B$9+Resumo!$B$10*CEILING(AP$3/100,1)+(Resumo!$B$12+Resumo!$B$13)*CEILING(AP$3,1))</f>
        <v>120.300564037736</v>
      </c>
      <c r="AQ37" s="12" t="n">
        <f aca="false">(AD37+AQ$4*(Resumo!$C$7+Resumo!$C$8)+Resumo!$C$10*CEILING(AQ$3/100,1)+Resumo!$C$9)*(1+Resumo!$C$11)-(AQ$4*(Resumo!$B$6+Resumo!$B$7)+Resumo!$B$9+Resumo!$B$10*CEILING(AQ$3/100,1)+(Resumo!$B$12+Resumo!$B$13)*CEILING(AQ$3,1))</f>
        <v>149.110142593023</v>
      </c>
      <c r="AR37" s="12" t="n">
        <f aca="false">(AE37+AR$4*(Resumo!$C$7+Resumo!$C$8)+Resumo!$C$10*CEILING(AR$3/100,1)+Resumo!$C$9)*(1+Resumo!$C$11)-(AR$4*(Resumo!$B$6+Resumo!$B$7)+Resumo!$B$9+Resumo!$B$10*CEILING(AR$3/100,1)+(Resumo!$B$12+Resumo!$B$13)*CEILING(AR$3,1))</f>
        <v>152.447191466667</v>
      </c>
      <c r="AS37" s="12" t="n">
        <f aca="false">(AF37+AS$4*(Resumo!$C$7+Resumo!$C$8)+Resumo!$C$10*CEILING(AS$3/100,1)+Resumo!$C$9)*(1+Resumo!$C$11)-(AS$4*(Resumo!$B$6+Resumo!$B$7)+Resumo!$B$9+Resumo!$B$10*CEILING(AS$3/100,1)+(Resumo!$B$12+Resumo!$B$13)*CEILING(AS$3,1))</f>
        <v>62.11023</v>
      </c>
      <c r="AT37" s="12" t="n">
        <f aca="false">(AG37+AT$4*(Resumo!$C$7+Resumo!$C$8)+Resumo!$C$10*CEILING(AT$3/100,1)+Resumo!$C$9)*(1+Resumo!$C$11)-(AT$4*(Resumo!$B$6+Resumo!$B$7)+Resumo!$B$9+Resumo!$B$10*CEILING(AT$3/100,1)+(Resumo!$B$12+Resumo!$B$13)*CEILING(AT$3,1))</f>
        <v>219.780987533333</v>
      </c>
      <c r="AU37" s="13" t="n">
        <f aca="false">1-AH37/H37</f>
        <v>0.289945245026551</v>
      </c>
      <c r="AV37" s="13" t="n">
        <f aca="false">1-AI37/I37</f>
        <v>0.314921930743621</v>
      </c>
      <c r="AW37" s="13" t="n">
        <f aca="false">1-AJ37/J37</f>
        <v>0.344718326826694</v>
      </c>
      <c r="AX37" s="13" t="n">
        <f aca="false">1-AK37/K37</f>
        <v>0.320186058646234</v>
      </c>
      <c r="AY37" s="13" t="n">
        <f aca="false">1-AL37/L37</f>
        <v>0.362599986778171</v>
      </c>
      <c r="AZ37" s="13" t="n">
        <f aca="false">1-AM37/M37</f>
        <v>0.427699972015137</v>
      </c>
      <c r="BA37" s="13" t="n">
        <f aca="false">1-AN37/N37</f>
        <v>0.353878920445908</v>
      </c>
      <c r="BB37" s="13" t="n">
        <f aca="false">1-AO37/O37</f>
        <v>0.408330898812778</v>
      </c>
      <c r="BC37" s="13" t="n">
        <f aca="false">1-AP37/P37</f>
        <v>0.492016873415523</v>
      </c>
      <c r="BD37" s="13" t="n">
        <f aca="false">1-AQ37/Q37</f>
        <v>0.436980280195502</v>
      </c>
      <c r="BE37" s="13" t="n">
        <f aca="false">1-AR37/R37</f>
        <v>0.492096646787717</v>
      </c>
      <c r="BF37" s="13" t="n">
        <f aca="false">1-AS37/S37</f>
        <v>0.82411013253285</v>
      </c>
      <c r="BG37" s="13" t="n">
        <f aca="false">1-AT37/T37</f>
        <v>0.502082040024166</v>
      </c>
    </row>
    <row r="38" customFormat="false" ht="15" hidden="false" customHeight="false" outlineLevel="0" collapsed="false">
      <c r="A38" s="4" t="s">
        <v>197</v>
      </c>
      <c r="B38" s="4" t="s">
        <v>226</v>
      </c>
      <c r="C38" s="34" t="n">
        <v>26650000</v>
      </c>
      <c r="D38" s="34" t="n">
        <v>26699999</v>
      </c>
      <c r="E38" s="4" t="s">
        <v>201</v>
      </c>
      <c r="F38" s="4" t="s">
        <v>204</v>
      </c>
      <c r="G38" s="4" t="n">
        <f aca="false">COUNTIFS(Pedidos!$E$2:$E$2224,"&gt;="&amp;C38,Pedidos!$E$2:$E$2224,"&lt;="&amp;D38)</f>
        <v>0</v>
      </c>
      <c r="H38" s="7" t="n">
        <v>77.35</v>
      </c>
      <c r="I38" s="7" t="n">
        <v>108.83</v>
      </c>
      <c r="J38" s="7" t="n">
        <v>124.38</v>
      </c>
      <c r="K38" s="7" t="n">
        <v>124.38</v>
      </c>
      <c r="L38" s="7" t="n">
        <v>142.32</v>
      </c>
      <c r="M38" s="7" t="n">
        <v>166.05</v>
      </c>
      <c r="N38" s="7" t="n">
        <v>157.88</v>
      </c>
      <c r="O38" s="7" t="n">
        <v>197.35</v>
      </c>
      <c r="P38" s="7" t="n">
        <v>236.82</v>
      </c>
      <c r="Q38" s="7" t="n">
        <v>264.84</v>
      </c>
      <c r="R38" s="7" t="n">
        <v>300.15</v>
      </c>
      <c r="S38" s="7" t="n">
        <v>353.12</v>
      </c>
      <c r="T38" s="7" t="n">
        <v>441.4</v>
      </c>
      <c r="U38" s="7" t="n">
        <v>52.71</v>
      </c>
      <c r="V38" s="7" t="n">
        <v>76.5</v>
      </c>
      <c r="W38" s="7" t="n">
        <v>87.4</v>
      </c>
      <c r="X38" s="7" t="n">
        <v>94</v>
      </c>
      <c r="Y38" s="7" t="n">
        <v>103.6</v>
      </c>
      <c r="Z38" s="7" t="n">
        <v>113.9</v>
      </c>
      <c r="AA38" s="7" t="n">
        <v>124.16</v>
      </c>
      <c r="AB38" s="7" t="n">
        <v>144.41</v>
      </c>
      <c r="AC38" s="7" t="n">
        <v>161.81</v>
      </c>
      <c r="AD38" s="7" t="n">
        <v>197.37</v>
      </c>
      <c r="AE38" s="7" t="n">
        <v>215.7</v>
      </c>
      <c r="AF38" s="7" t="n">
        <v>143.51</v>
      </c>
      <c r="AG38" s="7" t="n">
        <v>304.65</v>
      </c>
      <c r="AH38" s="12" t="n">
        <f aca="false">(U38+AH$4*(Resumo!$C$7+Resumo!$C$8)+Resumo!$C$10*CEILING(AH$3/100,1)+Resumo!$C$9)*(1+Resumo!$C$11)-(AH$4*(Resumo!$B$6+Resumo!$B$7)+Resumo!$B$9+Resumo!$B$10*CEILING(AH$3/100,1)+(Resumo!$B$12+Resumo!$B$13)*CEILING(AH$3,1))</f>
        <v>54.9227352971963</v>
      </c>
      <c r="AI38" s="12" t="n">
        <f aca="false">(V38+AI$4*(Resumo!$C$7+Resumo!$C$8)+Resumo!$C$10*CEILING(AI$3/100,1)+Resumo!$C$9)*(1+Resumo!$C$11)-(AI$4*(Resumo!$B$6+Resumo!$B$7)+Resumo!$B$9+Resumo!$B$10*CEILING(AI$3/100,1)+(Resumo!$B$12+Resumo!$B$13)*CEILING(AI$3,1))</f>
        <v>74.5570462771717</v>
      </c>
      <c r="AJ38" s="12" t="n">
        <f aca="false">(W38+AJ$4*(Resumo!$C$7+Resumo!$C$8)+Resumo!$C$10*CEILING(AJ$3/100,1)+Resumo!$C$9)*(1+Resumo!$C$11)-(AJ$4*(Resumo!$B$6+Resumo!$B$7)+Resumo!$B$9+Resumo!$B$10*CEILING(AJ$3/100,1)+(Resumo!$B$12+Resumo!$B$13)*CEILING(AJ$3,1))</f>
        <v>81.5039345092958</v>
      </c>
      <c r="AK38" s="12" t="n">
        <f aca="false">(X38+AK$4*(Resumo!$C$7+Resumo!$C$8)+Resumo!$C$10*CEILING(AK$3/100,1)+Resumo!$C$9)*(1+Resumo!$C$11)-(AK$4*(Resumo!$B$6+Resumo!$B$7)+Resumo!$B$9+Resumo!$B$10*CEILING(AK$3/100,1)+(Resumo!$B$12+Resumo!$B$13)*CEILING(AK$3,1))</f>
        <v>84.5552580255814</v>
      </c>
      <c r="AL38" s="12" t="n">
        <f aca="false">(Y38+AL$4*(Resumo!$C$7+Resumo!$C$8)+Resumo!$C$10*CEILING(AL$3/100,1)+Resumo!$C$9)*(1+Resumo!$C$11)-(AL$4*(Resumo!$B$6+Resumo!$B$7)+Resumo!$B$9+Resumo!$B$10*CEILING(AL$3/100,1)+(Resumo!$B$12+Resumo!$B$13)*CEILING(AL$3,1))</f>
        <v>90.7147698817308</v>
      </c>
      <c r="AM38" s="12" t="n">
        <f aca="false">(Z38+AM$4*(Resumo!$C$7+Resumo!$C$8)+Resumo!$C$10*CEILING(AM$3/100,1)+Resumo!$C$9)*(1+Resumo!$C$11)-(AM$4*(Resumo!$B$6+Resumo!$B$7)+Resumo!$B$9+Resumo!$B$10*CEILING(AM$3/100,1)+(Resumo!$B$12+Resumo!$B$13)*CEILING(AM$3,1))</f>
        <v>95.0304196468864</v>
      </c>
      <c r="AN38" s="12" t="n">
        <f aca="false">(AA38+AN$4*(Resumo!$C$7+Resumo!$C$8)+Resumo!$C$10*CEILING(AN$3/100,1)+Resumo!$C$9)*(1+Resumo!$C$11)-(AN$4*(Resumo!$B$6+Resumo!$B$7)+Resumo!$B$9+Resumo!$B$10*CEILING(AN$3/100,1)+(Resumo!$B$12+Resumo!$B$13)*CEILING(AN$3,1))</f>
        <v>102.00959604</v>
      </c>
      <c r="AO38" s="12" t="n">
        <f aca="false">(AB38+AO$4*(Resumo!$C$7+Resumo!$C$8)+Resumo!$C$10*CEILING(AO$3/100,1)+Resumo!$C$9)*(1+Resumo!$C$11)-(AO$4*(Resumo!$B$6+Resumo!$B$7)+Resumo!$B$9+Resumo!$B$10*CEILING(AO$3/100,1)+(Resumo!$B$12+Resumo!$B$13)*CEILING(AO$3,1))</f>
        <v>116.765897119298</v>
      </c>
      <c r="AP38" s="12" t="n">
        <f aca="false">(AC38+AP$4*(Resumo!$C$7+Resumo!$C$8)+Resumo!$C$10*CEILING(AP$3/100,1)+Resumo!$C$9)*(1+Resumo!$C$11)-(AP$4*(Resumo!$B$6+Resumo!$B$7)+Resumo!$B$9+Resumo!$B$10*CEILING(AP$3/100,1)+(Resumo!$B$12+Resumo!$B$13)*CEILING(AP$3,1))</f>
        <v>120.300564037736</v>
      </c>
      <c r="AQ38" s="12" t="n">
        <f aca="false">(AD38+AQ$4*(Resumo!$C$7+Resumo!$C$8)+Resumo!$C$10*CEILING(AQ$3/100,1)+Resumo!$C$9)*(1+Resumo!$C$11)-(AQ$4*(Resumo!$B$6+Resumo!$B$7)+Resumo!$B$9+Resumo!$B$10*CEILING(AQ$3/100,1)+(Resumo!$B$12+Resumo!$B$13)*CEILING(AQ$3,1))</f>
        <v>149.110142593023</v>
      </c>
      <c r="AR38" s="12" t="n">
        <f aca="false">(AE38+AR$4*(Resumo!$C$7+Resumo!$C$8)+Resumo!$C$10*CEILING(AR$3/100,1)+Resumo!$C$9)*(1+Resumo!$C$11)-(AR$4*(Resumo!$B$6+Resumo!$B$7)+Resumo!$B$9+Resumo!$B$10*CEILING(AR$3/100,1)+(Resumo!$B$12+Resumo!$B$13)*CEILING(AR$3,1))</f>
        <v>152.447191466667</v>
      </c>
      <c r="AS38" s="12" t="n">
        <f aca="false">(AF38+AS$4*(Resumo!$C$7+Resumo!$C$8)+Resumo!$C$10*CEILING(AS$3/100,1)+Resumo!$C$9)*(1+Resumo!$C$11)-(AS$4*(Resumo!$B$6+Resumo!$B$7)+Resumo!$B$9+Resumo!$B$10*CEILING(AS$3/100,1)+(Resumo!$B$12+Resumo!$B$13)*CEILING(AS$3,1))</f>
        <v>62.11023</v>
      </c>
      <c r="AT38" s="12" t="n">
        <f aca="false">(AG38+AT$4*(Resumo!$C$7+Resumo!$C$8)+Resumo!$C$10*CEILING(AT$3/100,1)+Resumo!$C$9)*(1+Resumo!$C$11)-(AT$4*(Resumo!$B$6+Resumo!$B$7)+Resumo!$B$9+Resumo!$B$10*CEILING(AT$3/100,1)+(Resumo!$B$12+Resumo!$B$13)*CEILING(AT$3,1))</f>
        <v>219.780987533333</v>
      </c>
      <c r="AU38" s="13" t="n">
        <f aca="false">1-AH38/H38</f>
        <v>0.289945245026551</v>
      </c>
      <c r="AV38" s="13" t="n">
        <f aca="false">1-AI38/I38</f>
        <v>0.314921930743621</v>
      </c>
      <c r="AW38" s="13" t="n">
        <f aca="false">1-AJ38/J38</f>
        <v>0.344718326826694</v>
      </c>
      <c r="AX38" s="13" t="n">
        <f aca="false">1-AK38/K38</f>
        <v>0.320186058646234</v>
      </c>
      <c r="AY38" s="13" t="n">
        <f aca="false">1-AL38/L38</f>
        <v>0.362599986778171</v>
      </c>
      <c r="AZ38" s="13" t="n">
        <f aca="false">1-AM38/M38</f>
        <v>0.427699972015137</v>
      </c>
      <c r="BA38" s="13" t="n">
        <f aca="false">1-AN38/N38</f>
        <v>0.353878920445908</v>
      </c>
      <c r="BB38" s="13" t="n">
        <f aca="false">1-AO38/O38</f>
        <v>0.408330898812778</v>
      </c>
      <c r="BC38" s="13" t="n">
        <f aca="false">1-AP38/P38</f>
        <v>0.492016873415523</v>
      </c>
      <c r="BD38" s="13" t="n">
        <f aca="false">1-AQ38/Q38</f>
        <v>0.436980280195502</v>
      </c>
      <c r="BE38" s="13" t="n">
        <f aca="false">1-AR38/R38</f>
        <v>0.492096646787717</v>
      </c>
      <c r="BF38" s="13" t="n">
        <f aca="false">1-AS38/S38</f>
        <v>0.82411013253285</v>
      </c>
      <c r="BG38" s="13" t="n">
        <f aca="false">1-AT38/T38</f>
        <v>0.502082040024166</v>
      </c>
    </row>
    <row r="39" customFormat="false" ht="15" hidden="false" customHeight="false" outlineLevel="0" collapsed="false">
      <c r="A39" s="4" t="s">
        <v>197</v>
      </c>
      <c r="B39" s="4" t="s">
        <v>227</v>
      </c>
      <c r="C39" s="34" t="n">
        <v>26700000</v>
      </c>
      <c r="D39" s="34" t="n">
        <v>26899999</v>
      </c>
      <c r="E39" s="4" t="s">
        <v>201</v>
      </c>
      <c r="F39" s="4" t="s">
        <v>204</v>
      </c>
      <c r="G39" s="4" t="n">
        <f aca="false">COUNTIFS(Pedidos!$E$2:$E$2224,"&gt;="&amp;C39,Pedidos!$E$2:$E$2224,"&lt;="&amp;D39)</f>
        <v>2</v>
      </c>
      <c r="H39" s="7" t="n">
        <v>77.35</v>
      </c>
      <c r="I39" s="7" t="n">
        <v>108.83</v>
      </c>
      <c r="J39" s="7" t="n">
        <v>124.38</v>
      </c>
      <c r="K39" s="7" t="n">
        <v>124.38</v>
      </c>
      <c r="L39" s="7" t="n">
        <v>142.32</v>
      </c>
      <c r="M39" s="7" t="n">
        <v>166.05</v>
      </c>
      <c r="N39" s="7" t="n">
        <v>157.88</v>
      </c>
      <c r="O39" s="7" t="n">
        <v>197.35</v>
      </c>
      <c r="P39" s="7" t="n">
        <v>236.82</v>
      </c>
      <c r="Q39" s="7" t="n">
        <v>264.84</v>
      </c>
      <c r="R39" s="7" t="n">
        <v>300.15</v>
      </c>
      <c r="S39" s="7" t="n">
        <v>353.12</v>
      </c>
      <c r="T39" s="7" t="n">
        <v>441.4</v>
      </c>
      <c r="U39" s="7" t="n">
        <v>52.71</v>
      </c>
      <c r="V39" s="7" t="n">
        <v>76.5</v>
      </c>
      <c r="W39" s="7" t="n">
        <v>87.4</v>
      </c>
      <c r="X39" s="7" t="n">
        <v>94</v>
      </c>
      <c r="Y39" s="7" t="n">
        <v>103.6</v>
      </c>
      <c r="Z39" s="7" t="n">
        <v>113.9</v>
      </c>
      <c r="AA39" s="7" t="n">
        <v>124.16</v>
      </c>
      <c r="AB39" s="7" t="n">
        <v>144.41</v>
      </c>
      <c r="AC39" s="7" t="n">
        <v>161.81</v>
      </c>
      <c r="AD39" s="7" t="n">
        <v>197.37</v>
      </c>
      <c r="AE39" s="7" t="n">
        <v>215.7</v>
      </c>
      <c r="AF39" s="7" t="n">
        <v>143.51</v>
      </c>
      <c r="AG39" s="7" t="n">
        <v>304.65</v>
      </c>
      <c r="AH39" s="12" t="n">
        <f aca="false">(U39+AH$4*(Resumo!$C$7+Resumo!$C$8)+Resumo!$C$10*CEILING(AH$3/100,1)+Resumo!$C$9)*(1+Resumo!$C$11)-(AH$4*(Resumo!$B$6+Resumo!$B$7)+Resumo!$B$9+Resumo!$B$10*CEILING(AH$3/100,1)+(Resumo!$B$12+Resumo!$B$13)*CEILING(AH$3,1))</f>
        <v>54.9227352971963</v>
      </c>
      <c r="AI39" s="12" t="n">
        <f aca="false">(V39+AI$4*(Resumo!$C$7+Resumo!$C$8)+Resumo!$C$10*CEILING(AI$3/100,1)+Resumo!$C$9)*(1+Resumo!$C$11)-(AI$4*(Resumo!$B$6+Resumo!$B$7)+Resumo!$B$9+Resumo!$B$10*CEILING(AI$3/100,1)+(Resumo!$B$12+Resumo!$B$13)*CEILING(AI$3,1))</f>
        <v>74.5570462771717</v>
      </c>
      <c r="AJ39" s="12" t="n">
        <f aca="false">(W39+AJ$4*(Resumo!$C$7+Resumo!$C$8)+Resumo!$C$10*CEILING(AJ$3/100,1)+Resumo!$C$9)*(1+Resumo!$C$11)-(AJ$4*(Resumo!$B$6+Resumo!$B$7)+Resumo!$B$9+Resumo!$B$10*CEILING(AJ$3/100,1)+(Resumo!$B$12+Resumo!$B$13)*CEILING(AJ$3,1))</f>
        <v>81.5039345092958</v>
      </c>
      <c r="AK39" s="12" t="n">
        <f aca="false">(X39+AK$4*(Resumo!$C$7+Resumo!$C$8)+Resumo!$C$10*CEILING(AK$3/100,1)+Resumo!$C$9)*(1+Resumo!$C$11)-(AK$4*(Resumo!$B$6+Resumo!$B$7)+Resumo!$B$9+Resumo!$B$10*CEILING(AK$3/100,1)+(Resumo!$B$12+Resumo!$B$13)*CEILING(AK$3,1))</f>
        <v>84.5552580255814</v>
      </c>
      <c r="AL39" s="12" t="n">
        <f aca="false">(Y39+AL$4*(Resumo!$C$7+Resumo!$C$8)+Resumo!$C$10*CEILING(AL$3/100,1)+Resumo!$C$9)*(1+Resumo!$C$11)-(AL$4*(Resumo!$B$6+Resumo!$B$7)+Resumo!$B$9+Resumo!$B$10*CEILING(AL$3/100,1)+(Resumo!$B$12+Resumo!$B$13)*CEILING(AL$3,1))</f>
        <v>90.7147698817308</v>
      </c>
      <c r="AM39" s="12" t="n">
        <f aca="false">(Z39+AM$4*(Resumo!$C$7+Resumo!$C$8)+Resumo!$C$10*CEILING(AM$3/100,1)+Resumo!$C$9)*(1+Resumo!$C$11)-(AM$4*(Resumo!$B$6+Resumo!$B$7)+Resumo!$B$9+Resumo!$B$10*CEILING(AM$3/100,1)+(Resumo!$B$12+Resumo!$B$13)*CEILING(AM$3,1))</f>
        <v>95.0304196468864</v>
      </c>
      <c r="AN39" s="12" t="n">
        <f aca="false">(AA39+AN$4*(Resumo!$C$7+Resumo!$C$8)+Resumo!$C$10*CEILING(AN$3/100,1)+Resumo!$C$9)*(1+Resumo!$C$11)-(AN$4*(Resumo!$B$6+Resumo!$B$7)+Resumo!$B$9+Resumo!$B$10*CEILING(AN$3/100,1)+(Resumo!$B$12+Resumo!$B$13)*CEILING(AN$3,1))</f>
        <v>102.00959604</v>
      </c>
      <c r="AO39" s="12" t="n">
        <f aca="false">(AB39+AO$4*(Resumo!$C$7+Resumo!$C$8)+Resumo!$C$10*CEILING(AO$3/100,1)+Resumo!$C$9)*(1+Resumo!$C$11)-(AO$4*(Resumo!$B$6+Resumo!$B$7)+Resumo!$B$9+Resumo!$B$10*CEILING(AO$3/100,1)+(Resumo!$B$12+Resumo!$B$13)*CEILING(AO$3,1))</f>
        <v>116.765897119298</v>
      </c>
      <c r="AP39" s="12" t="n">
        <f aca="false">(AC39+AP$4*(Resumo!$C$7+Resumo!$C$8)+Resumo!$C$10*CEILING(AP$3/100,1)+Resumo!$C$9)*(1+Resumo!$C$11)-(AP$4*(Resumo!$B$6+Resumo!$B$7)+Resumo!$B$9+Resumo!$B$10*CEILING(AP$3/100,1)+(Resumo!$B$12+Resumo!$B$13)*CEILING(AP$3,1))</f>
        <v>120.300564037736</v>
      </c>
      <c r="AQ39" s="12" t="n">
        <f aca="false">(AD39+AQ$4*(Resumo!$C$7+Resumo!$C$8)+Resumo!$C$10*CEILING(AQ$3/100,1)+Resumo!$C$9)*(1+Resumo!$C$11)-(AQ$4*(Resumo!$B$6+Resumo!$B$7)+Resumo!$B$9+Resumo!$B$10*CEILING(AQ$3/100,1)+(Resumo!$B$12+Resumo!$B$13)*CEILING(AQ$3,1))</f>
        <v>149.110142593023</v>
      </c>
      <c r="AR39" s="12" t="n">
        <f aca="false">(AE39+AR$4*(Resumo!$C$7+Resumo!$C$8)+Resumo!$C$10*CEILING(AR$3/100,1)+Resumo!$C$9)*(1+Resumo!$C$11)-(AR$4*(Resumo!$B$6+Resumo!$B$7)+Resumo!$B$9+Resumo!$B$10*CEILING(AR$3/100,1)+(Resumo!$B$12+Resumo!$B$13)*CEILING(AR$3,1))</f>
        <v>152.447191466667</v>
      </c>
      <c r="AS39" s="12" t="n">
        <f aca="false">(AF39+AS$4*(Resumo!$C$7+Resumo!$C$8)+Resumo!$C$10*CEILING(AS$3/100,1)+Resumo!$C$9)*(1+Resumo!$C$11)-(AS$4*(Resumo!$B$6+Resumo!$B$7)+Resumo!$B$9+Resumo!$B$10*CEILING(AS$3/100,1)+(Resumo!$B$12+Resumo!$B$13)*CEILING(AS$3,1))</f>
        <v>62.11023</v>
      </c>
      <c r="AT39" s="12" t="n">
        <f aca="false">(AG39+AT$4*(Resumo!$C$7+Resumo!$C$8)+Resumo!$C$10*CEILING(AT$3/100,1)+Resumo!$C$9)*(1+Resumo!$C$11)-(AT$4*(Resumo!$B$6+Resumo!$B$7)+Resumo!$B$9+Resumo!$B$10*CEILING(AT$3/100,1)+(Resumo!$B$12+Resumo!$B$13)*CEILING(AT$3,1))</f>
        <v>219.780987533333</v>
      </c>
      <c r="AU39" s="13" t="n">
        <f aca="false">1-AH39/H39</f>
        <v>0.289945245026551</v>
      </c>
      <c r="AV39" s="13" t="n">
        <f aca="false">1-AI39/I39</f>
        <v>0.314921930743621</v>
      </c>
      <c r="AW39" s="13" t="n">
        <f aca="false">1-AJ39/J39</f>
        <v>0.344718326826694</v>
      </c>
      <c r="AX39" s="13" t="n">
        <f aca="false">1-AK39/K39</f>
        <v>0.320186058646234</v>
      </c>
      <c r="AY39" s="13" t="n">
        <f aca="false">1-AL39/L39</f>
        <v>0.362599986778171</v>
      </c>
      <c r="AZ39" s="13" t="n">
        <f aca="false">1-AM39/M39</f>
        <v>0.427699972015137</v>
      </c>
      <c r="BA39" s="13" t="n">
        <f aca="false">1-AN39/N39</f>
        <v>0.353878920445908</v>
      </c>
      <c r="BB39" s="13" t="n">
        <f aca="false">1-AO39/O39</f>
        <v>0.408330898812778</v>
      </c>
      <c r="BC39" s="13" t="n">
        <f aca="false">1-AP39/P39</f>
        <v>0.492016873415523</v>
      </c>
      <c r="BD39" s="13" t="n">
        <f aca="false">1-AQ39/Q39</f>
        <v>0.436980280195502</v>
      </c>
      <c r="BE39" s="13" t="n">
        <f aca="false">1-AR39/R39</f>
        <v>0.492096646787717</v>
      </c>
      <c r="BF39" s="13" t="n">
        <f aca="false">1-AS39/S39</f>
        <v>0.82411013253285</v>
      </c>
      <c r="BG39" s="13" t="n">
        <f aca="false">1-AT39/T39</f>
        <v>0.502082040024166</v>
      </c>
    </row>
    <row r="40" customFormat="false" ht="15" hidden="false" customHeight="false" outlineLevel="0" collapsed="false">
      <c r="A40" s="4" t="s">
        <v>197</v>
      </c>
      <c r="B40" s="4" t="s">
        <v>228</v>
      </c>
      <c r="C40" s="34" t="n">
        <v>26900000</v>
      </c>
      <c r="D40" s="34" t="n">
        <v>26949999</v>
      </c>
      <c r="E40" s="4" t="s">
        <v>201</v>
      </c>
      <c r="F40" s="4" t="s">
        <v>204</v>
      </c>
      <c r="G40" s="4" t="n">
        <f aca="false">COUNTIFS(Pedidos!$E$2:$E$2224,"&gt;="&amp;C40,Pedidos!$E$2:$E$2224,"&lt;="&amp;D40)</f>
        <v>2</v>
      </c>
      <c r="H40" s="7" t="n">
        <v>77.35</v>
      </c>
      <c r="I40" s="7" t="n">
        <v>108.83</v>
      </c>
      <c r="J40" s="7" t="n">
        <v>124.38</v>
      </c>
      <c r="K40" s="7" t="n">
        <v>124.38</v>
      </c>
      <c r="L40" s="7" t="n">
        <v>142.32</v>
      </c>
      <c r="M40" s="7" t="n">
        <v>166.05</v>
      </c>
      <c r="N40" s="7" t="n">
        <v>157.88</v>
      </c>
      <c r="O40" s="7" t="n">
        <v>197.35</v>
      </c>
      <c r="P40" s="7" t="n">
        <v>236.82</v>
      </c>
      <c r="Q40" s="7" t="n">
        <v>264.84</v>
      </c>
      <c r="R40" s="7" t="n">
        <v>300.15</v>
      </c>
      <c r="S40" s="7" t="n">
        <v>353.12</v>
      </c>
      <c r="T40" s="7" t="n">
        <v>441.4</v>
      </c>
      <c r="U40" s="7" t="n">
        <v>52.71</v>
      </c>
      <c r="V40" s="7" t="n">
        <v>76.5</v>
      </c>
      <c r="W40" s="7" t="n">
        <v>87.4</v>
      </c>
      <c r="X40" s="7" t="n">
        <v>94</v>
      </c>
      <c r="Y40" s="7" t="n">
        <v>103.6</v>
      </c>
      <c r="Z40" s="7" t="n">
        <v>113.9</v>
      </c>
      <c r="AA40" s="7" t="n">
        <v>124.16</v>
      </c>
      <c r="AB40" s="7" t="n">
        <v>144.41</v>
      </c>
      <c r="AC40" s="7" t="n">
        <v>161.81</v>
      </c>
      <c r="AD40" s="7" t="n">
        <v>197.37</v>
      </c>
      <c r="AE40" s="7" t="n">
        <v>215.7</v>
      </c>
      <c r="AF40" s="7" t="n">
        <v>143.51</v>
      </c>
      <c r="AG40" s="7" t="n">
        <v>304.65</v>
      </c>
      <c r="AH40" s="12" t="n">
        <f aca="false">(U40+AH$4*(Resumo!$C$7+Resumo!$C$8)+Resumo!$C$10*CEILING(AH$3/100,1)+Resumo!$C$9)*(1+Resumo!$C$11)-(AH$4*(Resumo!$B$6+Resumo!$B$7)+Resumo!$B$9+Resumo!$B$10*CEILING(AH$3/100,1)+(Resumo!$B$12+Resumo!$B$13)*CEILING(AH$3,1))</f>
        <v>54.9227352971963</v>
      </c>
      <c r="AI40" s="12" t="n">
        <f aca="false">(V40+AI$4*(Resumo!$C$7+Resumo!$C$8)+Resumo!$C$10*CEILING(AI$3/100,1)+Resumo!$C$9)*(1+Resumo!$C$11)-(AI$4*(Resumo!$B$6+Resumo!$B$7)+Resumo!$B$9+Resumo!$B$10*CEILING(AI$3/100,1)+(Resumo!$B$12+Resumo!$B$13)*CEILING(AI$3,1))</f>
        <v>74.5570462771717</v>
      </c>
      <c r="AJ40" s="12" t="n">
        <f aca="false">(W40+AJ$4*(Resumo!$C$7+Resumo!$C$8)+Resumo!$C$10*CEILING(AJ$3/100,1)+Resumo!$C$9)*(1+Resumo!$C$11)-(AJ$4*(Resumo!$B$6+Resumo!$B$7)+Resumo!$B$9+Resumo!$B$10*CEILING(AJ$3/100,1)+(Resumo!$B$12+Resumo!$B$13)*CEILING(AJ$3,1))</f>
        <v>81.5039345092958</v>
      </c>
      <c r="AK40" s="12" t="n">
        <f aca="false">(X40+AK$4*(Resumo!$C$7+Resumo!$C$8)+Resumo!$C$10*CEILING(AK$3/100,1)+Resumo!$C$9)*(1+Resumo!$C$11)-(AK$4*(Resumo!$B$6+Resumo!$B$7)+Resumo!$B$9+Resumo!$B$10*CEILING(AK$3/100,1)+(Resumo!$B$12+Resumo!$B$13)*CEILING(AK$3,1))</f>
        <v>84.5552580255814</v>
      </c>
      <c r="AL40" s="12" t="n">
        <f aca="false">(Y40+AL$4*(Resumo!$C$7+Resumo!$C$8)+Resumo!$C$10*CEILING(AL$3/100,1)+Resumo!$C$9)*(1+Resumo!$C$11)-(AL$4*(Resumo!$B$6+Resumo!$B$7)+Resumo!$B$9+Resumo!$B$10*CEILING(AL$3/100,1)+(Resumo!$B$12+Resumo!$B$13)*CEILING(AL$3,1))</f>
        <v>90.7147698817308</v>
      </c>
      <c r="AM40" s="12" t="n">
        <f aca="false">(Z40+AM$4*(Resumo!$C$7+Resumo!$C$8)+Resumo!$C$10*CEILING(AM$3/100,1)+Resumo!$C$9)*(1+Resumo!$C$11)-(AM$4*(Resumo!$B$6+Resumo!$B$7)+Resumo!$B$9+Resumo!$B$10*CEILING(AM$3/100,1)+(Resumo!$B$12+Resumo!$B$13)*CEILING(AM$3,1))</f>
        <v>95.0304196468864</v>
      </c>
      <c r="AN40" s="12" t="n">
        <f aca="false">(AA40+AN$4*(Resumo!$C$7+Resumo!$C$8)+Resumo!$C$10*CEILING(AN$3/100,1)+Resumo!$C$9)*(1+Resumo!$C$11)-(AN$4*(Resumo!$B$6+Resumo!$B$7)+Resumo!$B$9+Resumo!$B$10*CEILING(AN$3/100,1)+(Resumo!$B$12+Resumo!$B$13)*CEILING(AN$3,1))</f>
        <v>102.00959604</v>
      </c>
      <c r="AO40" s="12" t="n">
        <f aca="false">(AB40+AO$4*(Resumo!$C$7+Resumo!$C$8)+Resumo!$C$10*CEILING(AO$3/100,1)+Resumo!$C$9)*(1+Resumo!$C$11)-(AO$4*(Resumo!$B$6+Resumo!$B$7)+Resumo!$B$9+Resumo!$B$10*CEILING(AO$3/100,1)+(Resumo!$B$12+Resumo!$B$13)*CEILING(AO$3,1))</f>
        <v>116.765897119298</v>
      </c>
      <c r="AP40" s="12" t="n">
        <f aca="false">(AC40+AP$4*(Resumo!$C$7+Resumo!$C$8)+Resumo!$C$10*CEILING(AP$3/100,1)+Resumo!$C$9)*(1+Resumo!$C$11)-(AP$4*(Resumo!$B$6+Resumo!$B$7)+Resumo!$B$9+Resumo!$B$10*CEILING(AP$3/100,1)+(Resumo!$B$12+Resumo!$B$13)*CEILING(AP$3,1))</f>
        <v>120.300564037736</v>
      </c>
      <c r="AQ40" s="12" t="n">
        <f aca="false">(AD40+AQ$4*(Resumo!$C$7+Resumo!$C$8)+Resumo!$C$10*CEILING(AQ$3/100,1)+Resumo!$C$9)*(1+Resumo!$C$11)-(AQ$4*(Resumo!$B$6+Resumo!$B$7)+Resumo!$B$9+Resumo!$B$10*CEILING(AQ$3/100,1)+(Resumo!$B$12+Resumo!$B$13)*CEILING(AQ$3,1))</f>
        <v>149.110142593023</v>
      </c>
      <c r="AR40" s="12" t="n">
        <f aca="false">(AE40+AR$4*(Resumo!$C$7+Resumo!$C$8)+Resumo!$C$10*CEILING(AR$3/100,1)+Resumo!$C$9)*(1+Resumo!$C$11)-(AR$4*(Resumo!$B$6+Resumo!$B$7)+Resumo!$B$9+Resumo!$B$10*CEILING(AR$3/100,1)+(Resumo!$B$12+Resumo!$B$13)*CEILING(AR$3,1))</f>
        <v>152.447191466667</v>
      </c>
      <c r="AS40" s="12" t="n">
        <f aca="false">(AF40+AS$4*(Resumo!$C$7+Resumo!$C$8)+Resumo!$C$10*CEILING(AS$3/100,1)+Resumo!$C$9)*(1+Resumo!$C$11)-(AS$4*(Resumo!$B$6+Resumo!$B$7)+Resumo!$B$9+Resumo!$B$10*CEILING(AS$3/100,1)+(Resumo!$B$12+Resumo!$B$13)*CEILING(AS$3,1))</f>
        <v>62.11023</v>
      </c>
      <c r="AT40" s="12" t="n">
        <f aca="false">(AG40+AT$4*(Resumo!$C$7+Resumo!$C$8)+Resumo!$C$10*CEILING(AT$3/100,1)+Resumo!$C$9)*(1+Resumo!$C$11)-(AT$4*(Resumo!$B$6+Resumo!$B$7)+Resumo!$B$9+Resumo!$B$10*CEILING(AT$3/100,1)+(Resumo!$B$12+Resumo!$B$13)*CEILING(AT$3,1))</f>
        <v>219.780987533333</v>
      </c>
      <c r="AU40" s="13" t="n">
        <f aca="false">1-AH40/H40</f>
        <v>0.289945245026551</v>
      </c>
      <c r="AV40" s="13" t="n">
        <f aca="false">1-AI40/I40</f>
        <v>0.314921930743621</v>
      </c>
      <c r="AW40" s="13" t="n">
        <f aca="false">1-AJ40/J40</f>
        <v>0.344718326826694</v>
      </c>
      <c r="AX40" s="13" t="n">
        <f aca="false">1-AK40/K40</f>
        <v>0.320186058646234</v>
      </c>
      <c r="AY40" s="13" t="n">
        <f aca="false">1-AL40/L40</f>
        <v>0.362599986778171</v>
      </c>
      <c r="AZ40" s="13" t="n">
        <f aca="false">1-AM40/M40</f>
        <v>0.427699972015137</v>
      </c>
      <c r="BA40" s="13" t="n">
        <f aca="false">1-AN40/N40</f>
        <v>0.353878920445908</v>
      </c>
      <c r="BB40" s="13" t="n">
        <f aca="false">1-AO40/O40</f>
        <v>0.408330898812778</v>
      </c>
      <c r="BC40" s="13" t="n">
        <f aca="false">1-AP40/P40</f>
        <v>0.492016873415523</v>
      </c>
      <c r="BD40" s="13" t="n">
        <f aca="false">1-AQ40/Q40</f>
        <v>0.436980280195502</v>
      </c>
      <c r="BE40" s="13" t="n">
        <f aca="false">1-AR40/R40</f>
        <v>0.492096646787717</v>
      </c>
      <c r="BF40" s="13" t="n">
        <f aca="false">1-AS40/S40</f>
        <v>0.82411013253285</v>
      </c>
      <c r="BG40" s="13" t="n">
        <f aca="false">1-AT40/T40</f>
        <v>0.502082040024166</v>
      </c>
    </row>
    <row r="41" customFormat="false" ht="15" hidden="false" customHeight="false" outlineLevel="0" collapsed="false">
      <c r="A41" s="4" t="s">
        <v>197</v>
      </c>
      <c r="B41" s="4" t="s">
        <v>229</v>
      </c>
      <c r="C41" s="34" t="n">
        <v>26950000</v>
      </c>
      <c r="D41" s="34" t="n">
        <v>26999999</v>
      </c>
      <c r="E41" s="4" t="s">
        <v>201</v>
      </c>
      <c r="F41" s="4" t="s">
        <v>204</v>
      </c>
      <c r="G41" s="4" t="n">
        <f aca="false">COUNTIFS(Pedidos!$E$2:$E$2224,"&gt;="&amp;C41,Pedidos!$E$2:$E$2224,"&lt;="&amp;D41)</f>
        <v>1</v>
      </c>
      <c r="H41" s="7" t="n">
        <v>77.35</v>
      </c>
      <c r="I41" s="7" t="n">
        <v>108.83</v>
      </c>
      <c r="J41" s="7" t="n">
        <v>124.38</v>
      </c>
      <c r="K41" s="7" t="n">
        <v>124.38</v>
      </c>
      <c r="L41" s="7" t="n">
        <v>142.32</v>
      </c>
      <c r="M41" s="7" t="n">
        <v>166.05</v>
      </c>
      <c r="N41" s="7" t="n">
        <v>157.88</v>
      </c>
      <c r="O41" s="7" t="n">
        <v>197.35</v>
      </c>
      <c r="P41" s="7" t="n">
        <v>236.82</v>
      </c>
      <c r="Q41" s="7" t="n">
        <v>264.84</v>
      </c>
      <c r="R41" s="7" t="n">
        <v>300.15</v>
      </c>
      <c r="S41" s="7" t="n">
        <v>353.12</v>
      </c>
      <c r="T41" s="7" t="n">
        <v>441.4</v>
      </c>
      <c r="U41" s="7" t="n">
        <v>52.71</v>
      </c>
      <c r="V41" s="7" t="n">
        <v>76.5</v>
      </c>
      <c r="W41" s="7" t="n">
        <v>87.4</v>
      </c>
      <c r="X41" s="7" t="n">
        <v>94</v>
      </c>
      <c r="Y41" s="7" t="n">
        <v>103.6</v>
      </c>
      <c r="Z41" s="7" t="n">
        <v>113.9</v>
      </c>
      <c r="AA41" s="7" t="n">
        <v>124.16</v>
      </c>
      <c r="AB41" s="7" t="n">
        <v>144.41</v>
      </c>
      <c r="AC41" s="7" t="n">
        <v>161.81</v>
      </c>
      <c r="AD41" s="7" t="n">
        <v>197.37</v>
      </c>
      <c r="AE41" s="7" t="n">
        <v>215.7</v>
      </c>
      <c r="AF41" s="7" t="n">
        <v>143.51</v>
      </c>
      <c r="AG41" s="7" t="n">
        <v>304.65</v>
      </c>
      <c r="AH41" s="12" t="n">
        <f aca="false">(U41+AH$4*(Resumo!$C$7+Resumo!$C$8)+Resumo!$C$10*CEILING(AH$3/100,1)+Resumo!$C$9)*(1+Resumo!$C$11)-(AH$4*(Resumo!$B$6+Resumo!$B$7)+Resumo!$B$9+Resumo!$B$10*CEILING(AH$3/100,1)+(Resumo!$B$12+Resumo!$B$13)*CEILING(AH$3,1))</f>
        <v>54.9227352971963</v>
      </c>
      <c r="AI41" s="12" t="n">
        <f aca="false">(V41+AI$4*(Resumo!$C$7+Resumo!$C$8)+Resumo!$C$10*CEILING(AI$3/100,1)+Resumo!$C$9)*(1+Resumo!$C$11)-(AI$4*(Resumo!$B$6+Resumo!$B$7)+Resumo!$B$9+Resumo!$B$10*CEILING(AI$3/100,1)+(Resumo!$B$12+Resumo!$B$13)*CEILING(AI$3,1))</f>
        <v>74.5570462771717</v>
      </c>
      <c r="AJ41" s="12" t="n">
        <f aca="false">(W41+AJ$4*(Resumo!$C$7+Resumo!$C$8)+Resumo!$C$10*CEILING(AJ$3/100,1)+Resumo!$C$9)*(1+Resumo!$C$11)-(AJ$4*(Resumo!$B$6+Resumo!$B$7)+Resumo!$B$9+Resumo!$B$10*CEILING(AJ$3/100,1)+(Resumo!$B$12+Resumo!$B$13)*CEILING(AJ$3,1))</f>
        <v>81.5039345092958</v>
      </c>
      <c r="AK41" s="12" t="n">
        <f aca="false">(X41+AK$4*(Resumo!$C$7+Resumo!$C$8)+Resumo!$C$10*CEILING(AK$3/100,1)+Resumo!$C$9)*(1+Resumo!$C$11)-(AK$4*(Resumo!$B$6+Resumo!$B$7)+Resumo!$B$9+Resumo!$B$10*CEILING(AK$3/100,1)+(Resumo!$B$12+Resumo!$B$13)*CEILING(AK$3,1))</f>
        <v>84.5552580255814</v>
      </c>
      <c r="AL41" s="12" t="n">
        <f aca="false">(Y41+AL$4*(Resumo!$C$7+Resumo!$C$8)+Resumo!$C$10*CEILING(AL$3/100,1)+Resumo!$C$9)*(1+Resumo!$C$11)-(AL$4*(Resumo!$B$6+Resumo!$B$7)+Resumo!$B$9+Resumo!$B$10*CEILING(AL$3/100,1)+(Resumo!$B$12+Resumo!$B$13)*CEILING(AL$3,1))</f>
        <v>90.7147698817308</v>
      </c>
      <c r="AM41" s="12" t="n">
        <f aca="false">(Z41+AM$4*(Resumo!$C$7+Resumo!$C$8)+Resumo!$C$10*CEILING(AM$3/100,1)+Resumo!$C$9)*(1+Resumo!$C$11)-(AM$4*(Resumo!$B$6+Resumo!$B$7)+Resumo!$B$9+Resumo!$B$10*CEILING(AM$3/100,1)+(Resumo!$B$12+Resumo!$B$13)*CEILING(AM$3,1))</f>
        <v>95.0304196468864</v>
      </c>
      <c r="AN41" s="12" t="n">
        <f aca="false">(AA41+AN$4*(Resumo!$C$7+Resumo!$C$8)+Resumo!$C$10*CEILING(AN$3/100,1)+Resumo!$C$9)*(1+Resumo!$C$11)-(AN$4*(Resumo!$B$6+Resumo!$B$7)+Resumo!$B$9+Resumo!$B$10*CEILING(AN$3/100,1)+(Resumo!$B$12+Resumo!$B$13)*CEILING(AN$3,1))</f>
        <v>102.00959604</v>
      </c>
      <c r="AO41" s="12" t="n">
        <f aca="false">(AB41+AO$4*(Resumo!$C$7+Resumo!$C$8)+Resumo!$C$10*CEILING(AO$3/100,1)+Resumo!$C$9)*(1+Resumo!$C$11)-(AO$4*(Resumo!$B$6+Resumo!$B$7)+Resumo!$B$9+Resumo!$B$10*CEILING(AO$3/100,1)+(Resumo!$B$12+Resumo!$B$13)*CEILING(AO$3,1))</f>
        <v>116.765897119298</v>
      </c>
      <c r="AP41" s="12" t="n">
        <f aca="false">(AC41+AP$4*(Resumo!$C$7+Resumo!$C$8)+Resumo!$C$10*CEILING(AP$3/100,1)+Resumo!$C$9)*(1+Resumo!$C$11)-(AP$4*(Resumo!$B$6+Resumo!$B$7)+Resumo!$B$9+Resumo!$B$10*CEILING(AP$3/100,1)+(Resumo!$B$12+Resumo!$B$13)*CEILING(AP$3,1))</f>
        <v>120.300564037736</v>
      </c>
      <c r="AQ41" s="12" t="n">
        <f aca="false">(AD41+AQ$4*(Resumo!$C$7+Resumo!$C$8)+Resumo!$C$10*CEILING(AQ$3/100,1)+Resumo!$C$9)*(1+Resumo!$C$11)-(AQ$4*(Resumo!$B$6+Resumo!$B$7)+Resumo!$B$9+Resumo!$B$10*CEILING(AQ$3/100,1)+(Resumo!$B$12+Resumo!$B$13)*CEILING(AQ$3,1))</f>
        <v>149.110142593023</v>
      </c>
      <c r="AR41" s="12" t="n">
        <f aca="false">(AE41+AR$4*(Resumo!$C$7+Resumo!$C$8)+Resumo!$C$10*CEILING(AR$3/100,1)+Resumo!$C$9)*(1+Resumo!$C$11)-(AR$4*(Resumo!$B$6+Resumo!$B$7)+Resumo!$B$9+Resumo!$B$10*CEILING(AR$3/100,1)+(Resumo!$B$12+Resumo!$B$13)*CEILING(AR$3,1))</f>
        <v>152.447191466667</v>
      </c>
      <c r="AS41" s="12" t="n">
        <f aca="false">(AF41+AS$4*(Resumo!$C$7+Resumo!$C$8)+Resumo!$C$10*CEILING(AS$3/100,1)+Resumo!$C$9)*(1+Resumo!$C$11)-(AS$4*(Resumo!$B$6+Resumo!$B$7)+Resumo!$B$9+Resumo!$B$10*CEILING(AS$3/100,1)+(Resumo!$B$12+Resumo!$B$13)*CEILING(AS$3,1))</f>
        <v>62.11023</v>
      </c>
      <c r="AT41" s="12" t="n">
        <f aca="false">(AG41+AT$4*(Resumo!$C$7+Resumo!$C$8)+Resumo!$C$10*CEILING(AT$3/100,1)+Resumo!$C$9)*(1+Resumo!$C$11)-(AT$4*(Resumo!$B$6+Resumo!$B$7)+Resumo!$B$9+Resumo!$B$10*CEILING(AT$3/100,1)+(Resumo!$B$12+Resumo!$B$13)*CEILING(AT$3,1))</f>
        <v>219.780987533333</v>
      </c>
      <c r="AU41" s="13" t="n">
        <f aca="false">1-AH41/H41</f>
        <v>0.289945245026551</v>
      </c>
      <c r="AV41" s="13" t="n">
        <f aca="false">1-AI41/I41</f>
        <v>0.314921930743621</v>
      </c>
      <c r="AW41" s="13" t="n">
        <f aca="false">1-AJ41/J41</f>
        <v>0.344718326826694</v>
      </c>
      <c r="AX41" s="13" t="n">
        <f aca="false">1-AK41/K41</f>
        <v>0.320186058646234</v>
      </c>
      <c r="AY41" s="13" t="n">
        <f aca="false">1-AL41/L41</f>
        <v>0.362599986778171</v>
      </c>
      <c r="AZ41" s="13" t="n">
        <f aca="false">1-AM41/M41</f>
        <v>0.427699972015137</v>
      </c>
      <c r="BA41" s="13" t="n">
        <f aca="false">1-AN41/N41</f>
        <v>0.353878920445908</v>
      </c>
      <c r="BB41" s="13" t="n">
        <f aca="false">1-AO41/O41</f>
        <v>0.408330898812778</v>
      </c>
      <c r="BC41" s="13" t="n">
        <f aca="false">1-AP41/P41</f>
        <v>0.492016873415523</v>
      </c>
      <c r="BD41" s="13" t="n">
        <f aca="false">1-AQ41/Q41</f>
        <v>0.436980280195502</v>
      </c>
      <c r="BE41" s="13" t="n">
        <f aca="false">1-AR41/R41</f>
        <v>0.492096646787717</v>
      </c>
      <c r="BF41" s="13" t="n">
        <f aca="false">1-AS41/S41</f>
        <v>0.82411013253285</v>
      </c>
      <c r="BG41" s="13" t="n">
        <f aca="false">1-AT41/T41</f>
        <v>0.502082040024166</v>
      </c>
    </row>
    <row r="42" customFormat="false" ht="15" hidden="false" customHeight="false" outlineLevel="0" collapsed="false">
      <c r="A42" s="4" t="s">
        <v>197</v>
      </c>
      <c r="B42" s="4" t="s">
        <v>230</v>
      </c>
      <c r="C42" s="34" t="n">
        <v>27000000</v>
      </c>
      <c r="D42" s="34" t="n">
        <v>27174999</v>
      </c>
      <c r="E42" s="4" t="s">
        <v>201</v>
      </c>
      <c r="F42" s="4" t="s">
        <v>204</v>
      </c>
      <c r="G42" s="4" t="n">
        <f aca="false">COUNTIFS(Pedidos!$E$2:$E$2224,"&gt;="&amp;C42,Pedidos!$E$2:$E$2224,"&lt;="&amp;D42)</f>
        <v>9</v>
      </c>
      <c r="H42" s="7" t="n">
        <v>77.35</v>
      </c>
      <c r="I42" s="7" t="n">
        <v>108.83</v>
      </c>
      <c r="J42" s="7" t="n">
        <v>124.38</v>
      </c>
      <c r="K42" s="7" t="n">
        <v>124.38</v>
      </c>
      <c r="L42" s="7" t="n">
        <v>142.32</v>
      </c>
      <c r="M42" s="7" t="n">
        <v>166.05</v>
      </c>
      <c r="N42" s="7" t="n">
        <v>157.88</v>
      </c>
      <c r="O42" s="7" t="n">
        <v>197.35</v>
      </c>
      <c r="P42" s="7" t="n">
        <v>236.82</v>
      </c>
      <c r="Q42" s="7" t="n">
        <v>264.84</v>
      </c>
      <c r="R42" s="7" t="n">
        <v>300.15</v>
      </c>
      <c r="S42" s="7" t="n">
        <v>353.12</v>
      </c>
      <c r="T42" s="7" t="n">
        <v>441.4</v>
      </c>
      <c r="U42" s="7" t="n">
        <v>52.71</v>
      </c>
      <c r="V42" s="7" t="n">
        <v>76.5</v>
      </c>
      <c r="W42" s="7" t="n">
        <v>87.4</v>
      </c>
      <c r="X42" s="7" t="n">
        <v>94</v>
      </c>
      <c r="Y42" s="7" t="n">
        <v>103.6</v>
      </c>
      <c r="Z42" s="7" t="n">
        <v>113.9</v>
      </c>
      <c r="AA42" s="7" t="n">
        <v>124.16</v>
      </c>
      <c r="AB42" s="7" t="n">
        <v>144.41</v>
      </c>
      <c r="AC42" s="7" t="n">
        <v>161.81</v>
      </c>
      <c r="AD42" s="7" t="n">
        <v>197.37</v>
      </c>
      <c r="AE42" s="7" t="n">
        <v>215.7</v>
      </c>
      <c r="AF42" s="7" t="n">
        <v>143.51</v>
      </c>
      <c r="AG42" s="7" t="n">
        <v>304.65</v>
      </c>
      <c r="AH42" s="12" t="n">
        <f aca="false">(U42+AH$4*(Resumo!$C$7+Resumo!$C$8)+Resumo!$C$10*CEILING(AH$3/100,1)+Resumo!$C$9)*(1+Resumo!$C$11)-(AH$4*(Resumo!$B$6+Resumo!$B$7)+Resumo!$B$9+Resumo!$B$10*CEILING(AH$3/100,1)+(Resumo!$B$12+Resumo!$B$13)*CEILING(AH$3,1))</f>
        <v>54.9227352971963</v>
      </c>
      <c r="AI42" s="12" t="n">
        <f aca="false">(V42+AI$4*(Resumo!$C$7+Resumo!$C$8)+Resumo!$C$10*CEILING(AI$3/100,1)+Resumo!$C$9)*(1+Resumo!$C$11)-(AI$4*(Resumo!$B$6+Resumo!$B$7)+Resumo!$B$9+Resumo!$B$10*CEILING(AI$3/100,1)+(Resumo!$B$12+Resumo!$B$13)*CEILING(AI$3,1))</f>
        <v>74.5570462771717</v>
      </c>
      <c r="AJ42" s="12" t="n">
        <f aca="false">(W42+AJ$4*(Resumo!$C$7+Resumo!$C$8)+Resumo!$C$10*CEILING(AJ$3/100,1)+Resumo!$C$9)*(1+Resumo!$C$11)-(AJ$4*(Resumo!$B$6+Resumo!$B$7)+Resumo!$B$9+Resumo!$B$10*CEILING(AJ$3/100,1)+(Resumo!$B$12+Resumo!$B$13)*CEILING(AJ$3,1))</f>
        <v>81.5039345092958</v>
      </c>
      <c r="AK42" s="12" t="n">
        <f aca="false">(X42+AK$4*(Resumo!$C$7+Resumo!$C$8)+Resumo!$C$10*CEILING(AK$3/100,1)+Resumo!$C$9)*(1+Resumo!$C$11)-(AK$4*(Resumo!$B$6+Resumo!$B$7)+Resumo!$B$9+Resumo!$B$10*CEILING(AK$3/100,1)+(Resumo!$B$12+Resumo!$B$13)*CEILING(AK$3,1))</f>
        <v>84.5552580255814</v>
      </c>
      <c r="AL42" s="12" t="n">
        <f aca="false">(Y42+AL$4*(Resumo!$C$7+Resumo!$C$8)+Resumo!$C$10*CEILING(AL$3/100,1)+Resumo!$C$9)*(1+Resumo!$C$11)-(AL$4*(Resumo!$B$6+Resumo!$B$7)+Resumo!$B$9+Resumo!$B$10*CEILING(AL$3/100,1)+(Resumo!$B$12+Resumo!$B$13)*CEILING(AL$3,1))</f>
        <v>90.7147698817308</v>
      </c>
      <c r="AM42" s="12" t="n">
        <f aca="false">(Z42+AM$4*(Resumo!$C$7+Resumo!$C$8)+Resumo!$C$10*CEILING(AM$3/100,1)+Resumo!$C$9)*(1+Resumo!$C$11)-(AM$4*(Resumo!$B$6+Resumo!$B$7)+Resumo!$B$9+Resumo!$B$10*CEILING(AM$3/100,1)+(Resumo!$B$12+Resumo!$B$13)*CEILING(AM$3,1))</f>
        <v>95.0304196468864</v>
      </c>
      <c r="AN42" s="12" t="n">
        <f aca="false">(AA42+AN$4*(Resumo!$C$7+Resumo!$C$8)+Resumo!$C$10*CEILING(AN$3/100,1)+Resumo!$C$9)*(1+Resumo!$C$11)-(AN$4*(Resumo!$B$6+Resumo!$B$7)+Resumo!$B$9+Resumo!$B$10*CEILING(AN$3/100,1)+(Resumo!$B$12+Resumo!$B$13)*CEILING(AN$3,1))</f>
        <v>102.00959604</v>
      </c>
      <c r="AO42" s="12" t="n">
        <f aca="false">(AB42+AO$4*(Resumo!$C$7+Resumo!$C$8)+Resumo!$C$10*CEILING(AO$3/100,1)+Resumo!$C$9)*(1+Resumo!$C$11)-(AO$4*(Resumo!$B$6+Resumo!$B$7)+Resumo!$B$9+Resumo!$B$10*CEILING(AO$3/100,1)+(Resumo!$B$12+Resumo!$B$13)*CEILING(AO$3,1))</f>
        <v>116.765897119298</v>
      </c>
      <c r="AP42" s="12" t="n">
        <f aca="false">(AC42+AP$4*(Resumo!$C$7+Resumo!$C$8)+Resumo!$C$10*CEILING(AP$3/100,1)+Resumo!$C$9)*(1+Resumo!$C$11)-(AP$4*(Resumo!$B$6+Resumo!$B$7)+Resumo!$B$9+Resumo!$B$10*CEILING(AP$3/100,1)+(Resumo!$B$12+Resumo!$B$13)*CEILING(AP$3,1))</f>
        <v>120.300564037736</v>
      </c>
      <c r="AQ42" s="12" t="n">
        <f aca="false">(AD42+AQ$4*(Resumo!$C$7+Resumo!$C$8)+Resumo!$C$10*CEILING(AQ$3/100,1)+Resumo!$C$9)*(1+Resumo!$C$11)-(AQ$4*(Resumo!$B$6+Resumo!$B$7)+Resumo!$B$9+Resumo!$B$10*CEILING(AQ$3/100,1)+(Resumo!$B$12+Resumo!$B$13)*CEILING(AQ$3,1))</f>
        <v>149.110142593023</v>
      </c>
      <c r="AR42" s="12" t="n">
        <f aca="false">(AE42+AR$4*(Resumo!$C$7+Resumo!$C$8)+Resumo!$C$10*CEILING(AR$3/100,1)+Resumo!$C$9)*(1+Resumo!$C$11)-(AR$4*(Resumo!$B$6+Resumo!$B$7)+Resumo!$B$9+Resumo!$B$10*CEILING(AR$3/100,1)+(Resumo!$B$12+Resumo!$B$13)*CEILING(AR$3,1))</f>
        <v>152.447191466667</v>
      </c>
      <c r="AS42" s="12" t="n">
        <f aca="false">(AF42+AS$4*(Resumo!$C$7+Resumo!$C$8)+Resumo!$C$10*CEILING(AS$3/100,1)+Resumo!$C$9)*(1+Resumo!$C$11)-(AS$4*(Resumo!$B$6+Resumo!$B$7)+Resumo!$B$9+Resumo!$B$10*CEILING(AS$3/100,1)+(Resumo!$B$12+Resumo!$B$13)*CEILING(AS$3,1))</f>
        <v>62.11023</v>
      </c>
      <c r="AT42" s="12" t="n">
        <f aca="false">(AG42+AT$4*(Resumo!$C$7+Resumo!$C$8)+Resumo!$C$10*CEILING(AT$3/100,1)+Resumo!$C$9)*(1+Resumo!$C$11)-(AT$4*(Resumo!$B$6+Resumo!$B$7)+Resumo!$B$9+Resumo!$B$10*CEILING(AT$3/100,1)+(Resumo!$B$12+Resumo!$B$13)*CEILING(AT$3,1))</f>
        <v>219.780987533333</v>
      </c>
      <c r="AU42" s="13" t="n">
        <f aca="false">1-AH42/H42</f>
        <v>0.289945245026551</v>
      </c>
      <c r="AV42" s="13" t="n">
        <f aca="false">1-AI42/I42</f>
        <v>0.314921930743621</v>
      </c>
      <c r="AW42" s="13" t="n">
        <f aca="false">1-AJ42/J42</f>
        <v>0.344718326826694</v>
      </c>
      <c r="AX42" s="13" t="n">
        <f aca="false">1-AK42/K42</f>
        <v>0.320186058646234</v>
      </c>
      <c r="AY42" s="13" t="n">
        <f aca="false">1-AL42/L42</f>
        <v>0.362599986778171</v>
      </c>
      <c r="AZ42" s="13" t="n">
        <f aca="false">1-AM42/M42</f>
        <v>0.427699972015137</v>
      </c>
      <c r="BA42" s="13" t="n">
        <f aca="false">1-AN42/N42</f>
        <v>0.353878920445908</v>
      </c>
      <c r="BB42" s="13" t="n">
        <f aca="false">1-AO42/O42</f>
        <v>0.408330898812778</v>
      </c>
      <c r="BC42" s="13" t="n">
        <f aca="false">1-AP42/P42</f>
        <v>0.492016873415523</v>
      </c>
      <c r="BD42" s="13" t="n">
        <f aca="false">1-AQ42/Q42</f>
        <v>0.436980280195502</v>
      </c>
      <c r="BE42" s="13" t="n">
        <f aca="false">1-AR42/R42</f>
        <v>0.492096646787717</v>
      </c>
      <c r="BF42" s="13" t="n">
        <f aca="false">1-AS42/S42</f>
        <v>0.82411013253285</v>
      </c>
      <c r="BG42" s="13" t="n">
        <f aca="false">1-AT42/T42</f>
        <v>0.502082040024166</v>
      </c>
    </row>
    <row r="43" customFormat="false" ht="15" hidden="false" customHeight="false" outlineLevel="0" collapsed="false">
      <c r="A43" s="4" t="s">
        <v>197</v>
      </c>
      <c r="B43" s="4" t="s">
        <v>231</v>
      </c>
      <c r="C43" s="34" t="n">
        <v>27175000</v>
      </c>
      <c r="D43" s="34" t="n">
        <v>27196999</v>
      </c>
      <c r="E43" s="4" t="s">
        <v>201</v>
      </c>
      <c r="F43" s="4" t="s">
        <v>204</v>
      </c>
      <c r="G43" s="4" t="n">
        <f aca="false">COUNTIFS(Pedidos!$E$2:$E$2224,"&gt;="&amp;C43,Pedidos!$E$2:$E$2224,"&lt;="&amp;D43)</f>
        <v>2</v>
      </c>
      <c r="H43" s="7" t="n">
        <v>77.35</v>
      </c>
      <c r="I43" s="7" t="n">
        <v>108.83</v>
      </c>
      <c r="J43" s="7" t="n">
        <v>124.38</v>
      </c>
      <c r="K43" s="7" t="n">
        <v>124.38</v>
      </c>
      <c r="L43" s="7" t="n">
        <v>142.32</v>
      </c>
      <c r="M43" s="7" t="n">
        <v>166.05</v>
      </c>
      <c r="N43" s="7" t="n">
        <v>157.88</v>
      </c>
      <c r="O43" s="7" t="n">
        <v>197.35</v>
      </c>
      <c r="P43" s="7" t="n">
        <v>236.82</v>
      </c>
      <c r="Q43" s="7" t="n">
        <v>264.84</v>
      </c>
      <c r="R43" s="7" t="n">
        <v>300.15</v>
      </c>
      <c r="S43" s="7" t="n">
        <v>353.12</v>
      </c>
      <c r="T43" s="7" t="n">
        <v>441.4</v>
      </c>
      <c r="U43" s="7" t="n">
        <v>52.71</v>
      </c>
      <c r="V43" s="7" t="n">
        <v>76.5</v>
      </c>
      <c r="W43" s="7" t="n">
        <v>87.4</v>
      </c>
      <c r="X43" s="7" t="n">
        <v>94</v>
      </c>
      <c r="Y43" s="7" t="n">
        <v>103.6</v>
      </c>
      <c r="Z43" s="7" t="n">
        <v>113.9</v>
      </c>
      <c r="AA43" s="7" t="n">
        <v>124.16</v>
      </c>
      <c r="AB43" s="7" t="n">
        <v>144.41</v>
      </c>
      <c r="AC43" s="7" t="n">
        <v>161.81</v>
      </c>
      <c r="AD43" s="7" t="n">
        <v>197.37</v>
      </c>
      <c r="AE43" s="7" t="n">
        <v>215.7</v>
      </c>
      <c r="AF43" s="7" t="n">
        <v>143.51</v>
      </c>
      <c r="AG43" s="7" t="n">
        <v>304.65</v>
      </c>
      <c r="AH43" s="12" t="n">
        <f aca="false">(U43+AH$4*(Resumo!$C$7+Resumo!$C$8)+Resumo!$C$10*CEILING(AH$3/100,1)+Resumo!$C$9)*(1+Resumo!$C$11)-(AH$4*(Resumo!$B$6+Resumo!$B$7)+Resumo!$B$9+Resumo!$B$10*CEILING(AH$3/100,1)+(Resumo!$B$12+Resumo!$B$13)*CEILING(AH$3,1))</f>
        <v>54.9227352971963</v>
      </c>
      <c r="AI43" s="12" t="n">
        <f aca="false">(V43+AI$4*(Resumo!$C$7+Resumo!$C$8)+Resumo!$C$10*CEILING(AI$3/100,1)+Resumo!$C$9)*(1+Resumo!$C$11)-(AI$4*(Resumo!$B$6+Resumo!$B$7)+Resumo!$B$9+Resumo!$B$10*CEILING(AI$3/100,1)+(Resumo!$B$12+Resumo!$B$13)*CEILING(AI$3,1))</f>
        <v>74.5570462771717</v>
      </c>
      <c r="AJ43" s="12" t="n">
        <f aca="false">(W43+AJ$4*(Resumo!$C$7+Resumo!$C$8)+Resumo!$C$10*CEILING(AJ$3/100,1)+Resumo!$C$9)*(1+Resumo!$C$11)-(AJ$4*(Resumo!$B$6+Resumo!$B$7)+Resumo!$B$9+Resumo!$B$10*CEILING(AJ$3/100,1)+(Resumo!$B$12+Resumo!$B$13)*CEILING(AJ$3,1))</f>
        <v>81.5039345092958</v>
      </c>
      <c r="AK43" s="12" t="n">
        <f aca="false">(X43+AK$4*(Resumo!$C$7+Resumo!$C$8)+Resumo!$C$10*CEILING(AK$3/100,1)+Resumo!$C$9)*(1+Resumo!$C$11)-(AK$4*(Resumo!$B$6+Resumo!$B$7)+Resumo!$B$9+Resumo!$B$10*CEILING(AK$3/100,1)+(Resumo!$B$12+Resumo!$B$13)*CEILING(AK$3,1))</f>
        <v>84.5552580255814</v>
      </c>
      <c r="AL43" s="12" t="n">
        <f aca="false">(Y43+AL$4*(Resumo!$C$7+Resumo!$C$8)+Resumo!$C$10*CEILING(AL$3/100,1)+Resumo!$C$9)*(1+Resumo!$C$11)-(AL$4*(Resumo!$B$6+Resumo!$B$7)+Resumo!$B$9+Resumo!$B$10*CEILING(AL$3/100,1)+(Resumo!$B$12+Resumo!$B$13)*CEILING(AL$3,1))</f>
        <v>90.7147698817308</v>
      </c>
      <c r="AM43" s="12" t="n">
        <f aca="false">(Z43+AM$4*(Resumo!$C$7+Resumo!$C$8)+Resumo!$C$10*CEILING(AM$3/100,1)+Resumo!$C$9)*(1+Resumo!$C$11)-(AM$4*(Resumo!$B$6+Resumo!$B$7)+Resumo!$B$9+Resumo!$B$10*CEILING(AM$3/100,1)+(Resumo!$B$12+Resumo!$B$13)*CEILING(AM$3,1))</f>
        <v>95.0304196468864</v>
      </c>
      <c r="AN43" s="12" t="n">
        <f aca="false">(AA43+AN$4*(Resumo!$C$7+Resumo!$C$8)+Resumo!$C$10*CEILING(AN$3/100,1)+Resumo!$C$9)*(1+Resumo!$C$11)-(AN$4*(Resumo!$B$6+Resumo!$B$7)+Resumo!$B$9+Resumo!$B$10*CEILING(AN$3/100,1)+(Resumo!$B$12+Resumo!$B$13)*CEILING(AN$3,1))</f>
        <v>102.00959604</v>
      </c>
      <c r="AO43" s="12" t="n">
        <f aca="false">(AB43+AO$4*(Resumo!$C$7+Resumo!$C$8)+Resumo!$C$10*CEILING(AO$3/100,1)+Resumo!$C$9)*(1+Resumo!$C$11)-(AO$4*(Resumo!$B$6+Resumo!$B$7)+Resumo!$B$9+Resumo!$B$10*CEILING(AO$3/100,1)+(Resumo!$B$12+Resumo!$B$13)*CEILING(AO$3,1))</f>
        <v>116.765897119298</v>
      </c>
      <c r="AP43" s="12" t="n">
        <f aca="false">(AC43+AP$4*(Resumo!$C$7+Resumo!$C$8)+Resumo!$C$10*CEILING(AP$3/100,1)+Resumo!$C$9)*(1+Resumo!$C$11)-(AP$4*(Resumo!$B$6+Resumo!$B$7)+Resumo!$B$9+Resumo!$B$10*CEILING(AP$3/100,1)+(Resumo!$B$12+Resumo!$B$13)*CEILING(AP$3,1))</f>
        <v>120.300564037736</v>
      </c>
      <c r="AQ43" s="12" t="n">
        <f aca="false">(AD43+AQ$4*(Resumo!$C$7+Resumo!$C$8)+Resumo!$C$10*CEILING(AQ$3/100,1)+Resumo!$C$9)*(1+Resumo!$C$11)-(AQ$4*(Resumo!$B$6+Resumo!$B$7)+Resumo!$B$9+Resumo!$B$10*CEILING(AQ$3/100,1)+(Resumo!$B$12+Resumo!$B$13)*CEILING(AQ$3,1))</f>
        <v>149.110142593023</v>
      </c>
      <c r="AR43" s="12" t="n">
        <f aca="false">(AE43+AR$4*(Resumo!$C$7+Resumo!$C$8)+Resumo!$C$10*CEILING(AR$3/100,1)+Resumo!$C$9)*(1+Resumo!$C$11)-(AR$4*(Resumo!$B$6+Resumo!$B$7)+Resumo!$B$9+Resumo!$B$10*CEILING(AR$3/100,1)+(Resumo!$B$12+Resumo!$B$13)*CEILING(AR$3,1))</f>
        <v>152.447191466667</v>
      </c>
      <c r="AS43" s="12" t="n">
        <f aca="false">(AF43+AS$4*(Resumo!$C$7+Resumo!$C$8)+Resumo!$C$10*CEILING(AS$3/100,1)+Resumo!$C$9)*(1+Resumo!$C$11)-(AS$4*(Resumo!$B$6+Resumo!$B$7)+Resumo!$B$9+Resumo!$B$10*CEILING(AS$3/100,1)+(Resumo!$B$12+Resumo!$B$13)*CEILING(AS$3,1))</f>
        <v>62.11023</v>
      </c>
      <c r="AT43" s="12" t="n">
        <f aca="false">(AG43+AT$4*(Resumo!$C$7+Resumo!$C$8)+Resumo!$C$10*CEILING(AT$3/100,1)+Resumo!$C$9)*(1+Resumo!$C$11)-(AT$4*(Resumo!$B$6+Resumo!$B$7)+Resumo!$B$9+Resumo!$B$10*CEILING(AT$3/100,1)+(Resumo!$B$12+Resumo!$B$13)*CEILING(AT$3,1))</f>
        <v>219.780987533333</v>
      </c>
      <c r="AU43" s="13" t="n">
        <f aca="false">1-AH43/H43</f>
        <v>0.289945245026551</v>
      </c>
      <c r="AV43" s="13" t="n">
        <f aca="false">1-AI43/I43</f>
        <v>0.314921930743621</v>
      </c>
      <c r="AW43" s="13" t="n">
        <f aca="false">1-AJ43/J43</f>
        <v>0.344718326826694</v>
      </c>
      <c r="AX43" s="13" t="n">
        <f aca="false">1-AK43/K43</f>
        <v>0.320186058646234</v>
      </c>
      <c r="AY43" s="13" t="n">
        <f aca="false">1-AL43/L43</f>
        <v>0.362599986778171</v>
      </c>
      <c r="AZ43" s="13" t="n">
        <f aca="false">1-AM43/M43</f>
        <v>0.427699972015137</v>
      </c>
      <c r="BA43" s="13" t="n">
        <f aca="false">1-AN43/N43</f>
        <v>0.353878920445908</v>
      </c>
      <c r="BB43" s="13" t="n">
        <f aca="false">1-AO43/O43</f>
        <v>0.408330898812778</v>
      </c>
      <c r="BC43" s="13" t="n">
        <f aca="false">1-AP43/P43</f>
        <v>0.492016873415523</v>
      </c>
      <c r="BD43" s="13" t="n">
        <f aca="false">1-AQ43/Q43</f>
        <v>0.436980280195502</v>
      </c>
      <c r="BE43" s="13" t="n">
        <f aca="false">1-AR43/R43</f>
        <v>0.492096646787717</v>
      </c>
      <c r="BF43" s="13" t="n">
        <f aca="false">1-AS43/S43</f>
        <v>0.82411013253285</v>
      </c>
      <c r="BG43" s="13" t="n">
        <f aca="false">1-AT43/T43</f>
        <v>0.502082040024166</v>
      </c>
    </row>
    <row r="44" customFormat="false" ht="15" hidden="false" customHeight="false" outlineLevel="0" collapsed="false">
      <c r="A44" s="4" t="s">
        <v>197</v>
      </c>
      <c r="B44" s="4" t="s">
        <v>232</v>
      </c>
      <c r="C44" s="34" t="n">
        <v>27197000</v>
      </c>
      <c r="D44" s="34" t="n">
        <v>27199999</v>
      </c>
      <c r="E44" s="4" t="s">
        <v>201</v>
      </c>
      <c r="F44" s="4" t="s">
        <v>204</v>
      </c>
      <c r="G44" s="4" t="n">
        <f aca="false">COUNTIFS(Pedidos!$E$2:$E$2224,"&gt;="&amp;C44,Pedidos!$E$2:$E$2224,"&lt;="&amp;D44)</f>
        <v>3</v>
      </c>
      <c r="H44" s="7" t="n">
        <v>77.35</v>
      </c>
      <c r="I44" s="7" t="n">
        <v>108.83</v>
      </c>
      <c r="J44" s="7" t="n">
        <v>124.38</v>
      </c>
      <c r="K44" s="7" t="n">
        <v>124.38</v>
      </c>
      <c r="L44" s="7" t="n">
        <v>142.32</v>
      </c>
      <c r="M44" s="7" t="n">
        <v>166.05</v>
      </c>
      <c r="N44" s="7" t="n">
        <v>157.88</v>
      </c>
      <c r="O44" s="7" t="n">
        <v>197.35</v>
      </c>
      <c r="P44" s="7" t="n">
        <v>236.82</v>
      </c>
      <c r="Q44" s="7" t="n">
        <v>264.84</v>
      </c>
      <c r="R44" s="7" t="n">
        <v>300.15</v>
      </c>
      <c r="S44" s="7" t="n">
        <v>353.12</v>
      </c>
      <c r="T44" s="7" t="n">
        <v>441.4</v>
      </c>
      <c r="U44" s="7" t="n">
        <v>52.71</v>
      </c>
      <c r="V44" s="7" t="n">
        <v>76.5</v>
      </c>
      <c r="W44" s="7" t="n">
        <v>87.4</v>
      </c>
      <c r="X44" s="7" t="n">
        <v>94</v>
      </c>
      <c r="Y44" s="7" t="n">
        <v>103.6</v>
      </c>
      <c r="Z44" s="7" t="n">
        <v>113.9</v>
      </c>
      <c r="AA44" s="7" t="n">
        <v>124.16</v>
      </c>
      <c r="AB44" s="7" t="n">
        <v>144.41</v>
      </c>
      <c r="AC44" s="7" t="n">
        <v>161.81</v>
      </c>
      <c r="AD44" s="7" t="n">
        <v>197.37</v>
      </c>
      <c r="AE44" s="7" t="n">
        <v>215.7</v>
      </c>
      <c r="AF44" s="7" t="n">
        <v>143.51</v>
      </c>
      <c r="AG44" s="7" t="n">
        <v>304.65</v>
      </c>
      <c r="AH44" s="12" t="n">
        <f aca="false">(U44+AH$4*(Resumo!$C$7+Resumo!$C$8)+Resumo!$C$10*CEILING(AH$3/100,1)+Resumo!$C$9)*(1+Resumo!$C$11)-(AH$4*(Resumo!$B$6+Resumo!$B$7)+Resumo!$B$9+Resumo!$B$10*CEILING(AH$3/100,1)+(Resumo!$B$12+Resumo!$B$13)*CEILING(AH$3,1))</f>
        <v>54.9227352971963</v>
      </c>
      <c r="AI44" s="12" t="n">
        <f aca="false">(V44+AI$4*(Resumo!$C$7+Resumo!$C$8)+Resumo!$C$10*CEILING(AI$3/100,1)+Resumo!$C$9)*(1+Resumo!$C$11)-(AI$4*(Resumo!$B$6+Resumo!$B$7)+Resumo!$B$9+Resumo!$B$10*CEILING(AI$3/100,1)+(Resumo!$B$12+Resumo!$B$13)*CEILING(AI$3,1))</f>
        <v>74.5570462771717</v>
      </c>
      <c r="AJ44" s="12" t="n">
        <f aca="false">(W44+AJ$4*(Resumo!$C$7+Resumo!$C$8)+Resumo!$C$10*CEILING(AJ$3/100,1)+Resumo!$C$9)*(1+Resumo!$C$11)-(AJ$4*(Resumo!$B$6+Resumo!$B$7)+Resumo!$B$9+Resumo!$B$10*CEILING(AJ$3/100,1)+(Resumo!$B$12+Resumo!$B$13)*CEILING(AJ$3,1))</f>
        <v>81.5039345092958</v>
      </c>
      <c r="AK44" s="12" t="n">
        <f aca="false">(X44+AK$4*(Resumo!$C$7+Resumo!$C$8)+Resumo!$C$10*CEILING(AK$3/100,1)+Resumo!$C$9)*(1+Resumo!$C$11)-(AK$4*(Resumo!$B$6+Resumo!$B$7)+Resumo!$B$9+Resumo!$B$10*CEILING(AK$3/100,1)+(Resumo!$B$12+Resumo!$B$13)*CEILING(AK$3,1))</f>
        <v>84.5552580255814</v>
      </c>
      <c r="AL44" s="12" t="n">
        <f aca="false">(Y44+AL$4*(Resumo!$C$7+Resumo!$C$8)+Resumo!$C$10*CEILING(AL$3/100,1)+Resumo!$C$9)*(1+Resumo!$C$11)-(AL$4*(Resumo!$B$6+Resumo!$B$7)+Resumo!$B$9+Resumo!$B$10*CEILING(AL$3/100,1)+(Resumo!$B$12+Resumo!$B$13)*CEILING(AL$3,1))</f>
        <v>90.7147698817308</v>
      </c>
      <c r="AM44" s="12" t="n">
        <f aca="false">(Z44+AM$4*(Resumo!$C$7+Resumo!$C$8)+Resumo!$C$10*CEILING(AM$3/100,1)+Resumo!$C$9)*(1+Resumo!$C$11)-(AM$4*(Resumo!$B$6+Resumo!$B$7)+Resumo!$B$9+Resumo!$B$10*CEILING(AM$3/100,1)+(Resumo!$B$12+Resumo!$B$13)*CEILING(AM$3,1))</f>
        <v>95.0304196468864</v>
      </c>
      <c r="AN44" s="12" t="n">
        <f aca="false">(AA44+AN$4*(Resumo!$C$7+Resumo!$C$8)+Resumo!$C$10*CEILING(AN$3/100,1)+Resumo!$C$9)*(1+Resumo!$C$11)-(AN$4*(Resumo!$B$6+Resumo!$B$7)+Resumo!$B$9+Resumo!$B$10*CEILING(AN$3/100,1)+(Resumo!$B$12+Resumo!$B$13)*CEILING(AN$3,1))</f>
        <v>102.00959604</v>
      </c>
      <c r="AO44" s="12" t="n">
        <f aca="false">(AB44+AO$4*(Resumo!$C$7+Resumo!$C$8)+Resumo!$C$10*CEILING(AO$3/100,1)+Resumo!$C$9)*(1+Resumo!$C$11)-(AO$4*(Resumo!$B$6+Resumo!$B$7)+Resumo!$B$9+Resumo!$B$10*CEILING(AO$3/100,1)+(Resumo!$B$12+Resumo!$B$13)*CEILING(AO$3,1))</f>
        <v>116.765897119298</v>
      </c>
      <c r="AP44" s="12" t="n">
        <f aca="false">(AC44+AP$4*(Resumo!$C$7+Resumo!$C$8)+Resumo!$C$10*CEILING(AP$3/100,1)+Resumo!$C$9)*(1+Resumo!$C$11)-(AP$4*(Resumo!$B$6+Resumo!$B$7)+Resumo!$B$9+Resumo!$B$10*CEILING(AP$3/100,1)+(Resumo!$B$12+Resumo!$B$13)*CEILING(AP$3,1))</f>
        <v>120.300564037736</v>
      </c>
      <c r="AQ44" s="12" t="n">
        <f aca="false">(AD44+AQ$4*(Resumo!$C$7+Resumo!$C$8)+Resumo!$C$10*CEILING(AQ$3/100,1)+Resumo!$C$9)*(1+Resumo!$C$11)-(AQ$4*(Resumo!$B$6+Resumo!$B$7)+Resumo!$B$9+Resumo!$B$10*CEILING(AQ$3/100,1)+(Resumo!$B$12+Resumo!$B$13)*CEILING(AQ$3,1))</f>
        <v>149.110142593023</v>
      </c>
      <c r="AR44" s="12" t="n">
        <f aca="false">(AE44+AR$4*(Resumo!$C$7+Resumo!$C$8)+Resumo!$C$10*CEILING(AR$3/100,1)+Resumo!$C$9)*(1+Resumo!$C$11)-(AR$4*(Resumo!$B$6+Resumo!$B$7)+Resumo!$B$9+Resumo!$B$10*CEILING(AR$3/100,1)+(Resumo!$B$12+Resumo!$B$13)*CEILING(AR$3,1))</f>
        <v>152.447191466667</v>
      </c>
      <c r="AS44" s="12" t="n">
        <f aca="false">(AF44+AS$4*(Resumo!$C$7+Resumo!$C$8)+Resumo!$C$10*CEILING(AS$3/100,1)+Resumo!$C$9)*(1+Resumo!$C$11)-(AS$4*(Resumo!$B$6+Resumo!$B$7)+Resumo!$B$9+Resumo!$B$10*CEILING(AS$3/100,1)+(Resumo!$B$12+Resumo!$B$13)*CEILING(AS$3,1))</f>
        <v>62.11023</v>
      </c>
      <c r="AT44" s="12" t="n">
        <f aca="false">(AG44+AT$4*(Resumo!$C$7+Resumo!$C$8)+Resumo!$C$10*CEILING(AT$3/100,1)+Resumo!$C$9)*(1+Resumo!$C$11)-(AT$4*(Resumo!$B$6+Resumo!$B$7)+Resumo!$B$9+Resumo!$B$10*CEILING(AT$3/100,1)+(Resumo!$B$12+Resumo!$B$13)*CEILING(AT$3,1))</f>
        <v>219.780987533333</v>
      </c>
      <c r="AU44" s="13" t="n">
        <f aca="false">1-AH44/H44</f>
        <v>0.289945245026551</v>
      </c>
      <c r="AV44" s="13" t="n">
        <f aca="false">1-AI44/I44</f>
        <v>0.314921930743621</v>
      </c>
      <c r="AW44" s="13" t="n">
        <f aca="false">1-AJ44/J44</f>
        <v>0.344718326826694</v>
      </c>
      <c r="AX44" s="13" t="n">
        <f aca="false">1-AK44/K44</f>
        <v>0.320186058646234</v>
      </c>
      <c r="AY44" s="13" t="n">
        <f aca="false">1-AL44/L44</f>
        <v>0.362599986778171</v>
      </c>
      <c r="AZ44" s="13" t="n">
        <f aca="false">1-AM44/M44</f>
        <v>0.427699972015137</v>
      </c>
      <c r="BA44" s="13" t="n">
        <f aca="false">1-AN44/N44</f>
        <v>0.353878920445908</v>
      </c>
      <c r="BB44" s="13" t="n">
        <f aca="false">1-AO44/O44</f>
        <v>0.408330898812778</v>
      </c>
      <c r="BC44" s="13" t="n">
        <f aca="false">1-AP44/P44</f>
        <v>0.492016873415523</v>
      </c>
      <c r="BD44" s="13" t="n">
        <f aca="false">1-AQ44/Q44</f>
        <v>0.436980280195502</v>
      </c>
      <c r="BE44" s="13" t="n">
        <f aca="false">1-AR44/R44</f>
        <v>0.492096646787717</v>
      </c>
      <c r="BF44" s="13" t="n">
        <f aca="false">1-AS44/S44</f>
        <v>0.82411013253285</v>
      </c>
      <c r="BG44" s="13" t="n">
        <f aca="false">1-AT44/T44</f>
        <v>0.502082040024166</v>
      </c>
    </row>
    <row r="45" customFormat="false" ht="15" hidden="false" customHeight="false" outlineLevel="0" collapsed="false">
      <c r="A45" s="4" t="s">
        <v>197</v>
      </c>
      <c r="B45" s="4" t="s">
        <v>148</v>
      </c>
      <c r="C45" s="34" t="n">
        <v>27200000</v>
      </c>
      <c r="D45" s="34" t="n">
        <v>27299999</v>
      </c>
      <c r="E45" s="4" t="s">
        <v>201</v>
      </c>
      <c r="F45" s="4" t="s">
        <v>204</v>
      </c>
      <c r="G45" s="4" t="n">
        <f aca="false">COUNTIFS(Pedidos!$E$2:$E$2224,"&gt;="&amp;C45,Pedidos!$E$2:$E$2224,"&lt;="&amp;D45)</f>
        <v>37</v>
      </c>
      <c r="H45" s="7" t="n">
        <v>77.35</v>
      </c>
      <c r="I45" s="7" t="n">
        <v>108.83</v>
      </c>
      <c r="J45" s="7" t="n">
        <v>124.38</v>
      </c>
      <c r="K45" s="7" t="n">
        <v>124.38</v>
      </c>
      <c r="L45" s="7" t="n">
        <v>142.32</v>
      </c>
      <c r="M45" s="7" t="n">
        <v>166.05</v>
      </c>
      <c r="N45" s="7" t="n">
        <v>157.88</v>
      </c>
      <c r="O45" s="7" t="n">
        <v>197.35</v>
      </c>
      <c r="P45" s="7" t="n">
        <v>236.82</v>
      </c>
      <c r="Q45" s="7" t="n">
        <v>264.84</v>
      </c>
      <c r="R45" s="7" t="n">
        <v>300.15</v>
      </c>
      <c r="S45" s="7" t="n">
        <v>353.12</v>
      </c>
      <c r="T45" s="7" t="n">
        <v>441.4</v>
      </c>
      <c r="U45" s="7" t="n">
        <v>52.71</v>
      </c>
      <c r="V45" s="7" t="n">
        <v>76.5</v>
      </c>
      <c r="W45" s="7" t="n">
        <v>87.4</v>
      </c>
      <c r="X45" s="7" t="n">
        <v>94</v>
      </c>
      <c r="Y45" s="7" t="n">
        <v>103.6</v>
      </c>
      <c r="Z45" s="7" t="n">
        <v>113.9</v>
      </c>
      <c r="AA45" s="7" t="n">
        <v>124.16</v>
      </c>
      <c r="AB45" s="7" t="n">
        <v>144.41</v>
      </c>
      <c r="AC45" s="7" t="n">
        <v>161.81</v>
      </c>
      <c r="AD45" s="7" t="n">
        <v>197.37</v>
      </c>
      <c r="AE45" s="7" t="n">
        <v>215.7</v>
      </c>
      <c r="AF45" s="7" t="n">
        <v>143.51</v>
      </c>
      <c r="AG45" s="7" t="n">
        <v>304.65</v>
      </c>
      <c r="AH45" s="12" t="n">
        <f aca="false">(U45+AH$4*(Resumo!$C$7+Resumo!$C$8)+Resumo!$C$10*CEILING(AH$3/100,1)+Resumo!$C$9)*(1+Resumo!$C$11)-(AH$4*(Resumo!$B$6+Resumo!$B$7)+Resumo!$B$9+Resumo!$B$10*CEILING(AH$3/100,1)+(Resumo!$B$12+Resumo!$B$13)*CEILING(AH$3,1))</f>
        <v>54.9227352971963</v>
      </c>
      <c r="AI45" s="12" t="n">
        <f aca="false">(V45+AI$4*(Resumo!$C$7+Resumo!$C$8)+Resumo!$C$10*CEILING(AI$3/100,1)+Resumo!$C$9)*(1+Resumo!$C$11)-(AI$4*(Resumo!$B$6+Resumo!$B$7)+Resumo!$B$9+Resumo!$B$10*CEILING(AI$3/100,1)+(Resumo!$B$12+Resumo!$B$13)*CEILING(AI$3,1))</f>
        <v>74.5570462771717</v>
      </c>
      <c r="AJ45" s="12" t="n">
        <f aca="false">(W45+AJ$4*(Resumo!$C$7+Resumo!$C$8)+Resumo!$C$10*CEILING(AJ$3/100,1)+Resumo!$C$9)*(1+Resumo!$C$11)-(AJ$4*(Resumo!$B$6+Resumo!$B$7)+Resumo!$B$9+Resumo!$B$10*CEILING(AJ$3/100,1)+(Resumo!$B$12+Resumo!$B$13)*CEILING(AJ$3,1))</f>
        <v>81.5039345092958</v>
      </c>
      <c r="AK45" s="12" t="n">
        <f aca="false">(X45+AK$4*(Resumo!$C$7+Resumo!$C$8)+Resumo!$C$10*CEILING(AK$3/100,1)+Resumo!$C$9)*(1+Resumo!$C$11)-(AK$4*(Resumo!$B$6+Resumo!$B$7)+Resumo!$B$9+Resumo!$B$10*CEILING(AK$3/100,1)+(Resumo!$B$12+Resumo!$B$13)*CEILING(AK$3,1))</f>
        <v>84.5552580255814</v>
      </c>
      <c r="AL45" s="12" t="n">
        <f aca="false">(Y45+AL$4*(Resumo!$C$7+Resumo!$C$8)+Resumo!$C$10*CEILING(AL$3/100,1)+Resumo!$C$9)*(1+Resumo!$C$11)-(AL$4*(Resumo!$B$6+Resumo!$B$7)+Resumo!$B$9+Resumo!$B$10*CEILING(AL$3/100,1)+(Resumo!$B$12+Resumo!$B$13)*CEILING(AL$3,1))</f>
        <v>90.7147698817308</v>
      </c>
      <c r="AM45" s="12" t="n">
        <f aca="false">(Z45+AM$4*(Resumo!$C$7+Resumo!$C$8)+Resumo!$C$10*CEILING(AM$3/100,1)+Resumo!$C$9)*(1+Resumo!$C$11)-(AM$4*(Resumo!$B$6+Resumo!$B$7)+Resumo!$B$9+Resumo!$B$10*CEILING(AM$3/100,1)+(Resumo!$B$12+Resumo!$B$13)*CEILING(AM$3,1))</f>
        <v>95.0304196468864</v>
      </c>
      <c r="AN45" s="12" t="n">
        <f aca="false">(AA45+AN$4*(Resumo!$C$7+Resumo!$C$8)+Resumo!$C$10*CEILING(AN$3/100,1)+Resumo!$C$9)*(1+Resumo!$C$11)-(AN$4*(Resumo!$B$6+Resumo!$B$7)+Resumo!$B$9+Resumo!$B$10*CEILING(AN$3/100,1)+(Resumo!$B$12+Resumo!$B$13)*CEILING(AN$3,1))</f>
        <v>102.00959604</v>
      </c>
      <c r="AO45" s="12" t="n">
        <f aca="false">(AB45+AO$4*(Resumo!$C$7+Resumo!$C$8)+Resumo!$C$10*CEILING(AO$3/100,1)+Resumo!$C$9)*(1+Resumo!$C$11)-(AO$4*(Resumo!$B$6+Resumo!$B$7)+Resumo!$B$9+Resumo!$B$10*CEILING(AO$3/100,1)+(Resumo!$B$12+Resumo!$B$13)*CEILING(AO$3,1))</f>
        <v>116.765897119298</v>
      </c>
      <c r="AP45" s="12" t="n">
        <f aca="false">(AC45+AP$4*(Resumo!$C$7+Resumo!$C$8)+Resumo!$C$10*CEILING(AP$3/100,1)+Resumo!$C$9)*(1+Resumo!$C$11)-(AP$4*(Resumo!$B$6+Resumo!$B$7)+Resumo!$B$9+Resumo!$B$10*CEILING(AP$3/100,1)+(Resumo!$B$12+Resumo!$B$13)*CEILING(AP$3,1))</f>
        <v>120.300564037736</v>
      </c>
      <c r="AQ45" s="12" t="n">
        <f aca="false">(AD45+AQ$4*(Resumo!$C$7+Resumo!$C$8)+Resumo!$C$10*CEILING(AQ$3/100,1)+Resumo!$C$9)*(1+Resumo!$C$11)-(AQ$4*(Resumo!$B$6+Resumo!$B$7)+Resumo!$B$9+Resumo!$B$10*CEILING(AQ$3/100,1)+(Resumo!$B$12+Resumo!$B$13)*CEILING(AQ$3,1))</f>
        <v>149.110142593023</v>
      </c>
      <c r="AR45" s="12" t="n">
        <f aca="false">(AE45+AR$4*(Resumo!$C$7+Resumo!$C$8)+Resumo!$C$10*CEILING(AR$3/100,1)+Resumo!$C$9)*(1+Resumo!$C$11)-(AR$4*(Resumo!$B$6+Resumo!$B$7)+Resumo!$B$9+Resumo!$B$10*CEILING(AR$3/100,1)+(Resumo!$B$12+Resumo!$B$13)*CEILING(AR$3,1))</f>
        <v>152.447191466667</v>
      </c>
      <c r="AS45" s="12" t="n">
        <f aca="false">(AF45+AS$4*(Resumo!$C$7+Resumo!$C$8)+Resumo!$C$10*CEILING(AS$3/100,1)+Resumo!$C$9)*(1+Resumo!$C$11)-(AS$4*(Resumo!$B$6+Resumo!$B$7)+Resumo!$B$9+Resumo!$B$10*CEILING(AS$3/100,1)+(Resumo!$B$12+Resumo!$B$13)*CEILING(AS$3,1))</f>
        <v>62.11023</v>
      </c>
      <c r="AT45" s="12" t="n">
        <f aca="false">(AG45+AT$4*(Resumo!$C$7+Resumo!$C$8)+Resumo!$C$10*CEILING(AT$3/100,1)+Resumo!$C$9)*(1+Resumo!$C$11)-(AT$4*(Resumo!$B$6+Resumo!$B$7)+Resumo!$B$9+Resumo!$B$10*CEILING(AT$3/100,1)+(Resumo!$B$12+Resumo!$B$13)*CEILING(AT$3,1))</f>
        <v>219.780987533333</v>
      </c>
      <c r="AU45" s="13" t="n">
        <f aca="false">1-AH45/H45</f>
        <v>0.289945245026551</v>
      </c>
      <c r="AV45" s="13" t="n">
        <f aca="false">1-AI45/I45</f>
        <v>0.314921930743621</v>
      </c>
      <c r="AW45" s="13" t="n">
        <f aca="false">1-AJ45/J45</f>
        <v>0.344718326826694</v>
      </c>
      <c r="AX45" s="13" t="n">
        <f aca="false">1-AK45/K45</f>
        <v>0.320186058646234</v>
      </c>
      <c r="AY45" s="13" t="n">
        <f aca="false">1-AL45/L45</f>
        <v>0.362599986778171</v>
      </c>
      <c r="AZ45" s="13" t="n">
        <f aca="false">1-AM45/M45</f>
        <v>0.427699972015137</v>
      </c>
      <c r="BA45" s="13" t="n">
        <f aca="false">1-AN45/N45</f>
        <v>0.353878920445908</v>
      </c>
      <c r="BB45" s="13" t="n">
        <f aca="false">1-AO45/O45</f>
        <v>0.408330898812778</v>
      </c>
      <c r="BC45" s="13" t="n">
        <f aca="false">1-AP45/P45</f>
        <v>0.492016873415523</v>
      </c>
      <c r="BD45" s="13" t="n">
        <f aca="false">1-AQ45/Q45</f>
        <v>0.436980280195502</v>
      </c>
      <c r="BE45" s="13" t="n">
        <f aca="false">1-AR45/R45</f>
        <v>0.492096646787717</v>
      </c>
      <c r="BF45" s="13" t="n">
        <f aca="false">1-AS45/S45</f>
        <v>0.82411013253285</v>
      </c>
      <c r="BG45" s="13" t="n">
        <f aca="false">1-AT45/T45</f>
        <v>0.502082040024166</v>
      </c>
    </row>
    <row r="46" customFormat="false" ht="15" hidden="false" customHeight="false" outlineLevel="0" collapsed="false">
      <c r="A46" s="4" t="s">
        <v>197</v>
      </c>
      <c r="B46" s="4" t="s">
        <v>233</v>
      </c>
      <c r="C46" s="34" t="n">
        <v>27300000</v>
      </c>
      <c r="D46" s="34" t="n">
        <v>27399999</v>
      </c>
      <c r="E46" s="4" t="s">
        <v>201</v>
      </c>
      <c r="F46" s="4" t="s">
        <v>204</v>
      </c>
      <c r="G46" s="4" t="n">
        <f aca="false">COUNTIFS(Pedidos!$E$2:$E$2224,"&gt;="&amp;C46,Pedidos!$E$2:$E$2224,"&lt;="&amp;D46)</f>
        <v>15</v>
      </c>
      <c r="H46" s="7" t="n">
        <v>77.35</v>
      </c>
      <c r="I46" s="7" t="n">
        <v>108.83</v>
      </c>
      <c r="J46" s="7" t="n">
        <v>124.38</v>
      </c>
      <c r="K46" s="7" t="n">
        <v>124.38</v>
      </c>
      <c r="L46" s="7" t="n">
        <v>142.32</v>
      </c>
      <c r="M46" s="7" t="n">
        <v>166.05</v>
      </c>
      <c r="N46" s="7" t="n">
        <v>157.88</v>
      </c>
      <c r="O46" s="7" t="n">
        <v>197.35</v>
      </c>
      <c r="P46" s="7" t="n">
        <v>236.82</v>
      </c>
      <c r="Q46" s="7" t="n">
        <v>264.84</v>
      </c>
      <c r="R46" s="7" t="n">
        <v>300.15</v>
      </c>
      <c r="S46" s="7" t="n">
        <v>353.12</v>
      </c>
      <c r="T46" s="7" t="n">
        <v>441.4</v>
      </c>
      <c r="U46" s="7" t="n">
        <v>52.71</v>
      </c>
      <c r="V46" s="7" t="n">
        <v>76.5</v>
      </c>
      <c r="W46" s="7" t="n">
        <v>87.4</v>
      </c>
      <c r="X46" s="7" t="n">
        <v>94</v>
      </c>
      <c r="Y46" s="7" t="n">
        <v>103.6</v>
      </c>
      <c r="Z46" s="7" t="n">
        <v>113.9</v>
      </c>
      <c r="AA46" s="7" t="n">
        <v>124.16</v>
      </c>
      <c r="AB46" s="7" t="n">
        <v>144.41</v>
      </c>
      <c r="AC46" s="7" t="n">
        <v>161.81</v>
      </c>
      <c r="AD46" s="7" t="n">
        <v>197.37</v>
      </c>
      <c r="AE46" s="7" t="n">
        <v>215.7</v>
      </c>
      <c r="AF46" s="7" t="n">
        <v>143.51</v>
      </c>
      <c r="AG46" s="7" t="n">
        <v>304.65</v>
      </c>
      <c r="AH46" s="12" t="n">
        <f aca="false">(U46+AH$4*(Resumo!$C$7+Resumo!$C$8)+Resumo!$C$10*CEILING(AH$3/100,1)+Resumo!$C$9)*(1+Resumo!$C$11)-(AH$4*(Resumo!$B$6+Resumo!$B$7)+Resumo!$B$9+Resumo!$B$10*CEILING(AH$3/100,1)+(Resumo!$B$12+Resumo!$B$13)*CEILING(AH$3,1))</f>
        <v>54.9227352971963</v>
      </c>
      <c r="AI46" s="12" t="n">
        <f aca="false">(V46+AI$4*(Resumo!$C$7+Resumo!$C$8)+Resumo!$C$10*CEILING(AI$3/100,1)+Resumo!$C$9)*(1+Resumo!$C$11)-(AI$4*(Resumo!$B$6+Resumo!$B$7)+Resumo!$B$9+Resumo!$B$10*CEILING(AI$3/100,1)+(Resumo!$B$12+Resumo!$B$13)*CEILING(AI$3,1))</f>
        <v>74.5570462771717</v>
      </c>
      <c r="AJ46" s="12" t="n">
        <f aca="false">(W46+AJ$4*(Resumo!$C$7+Resumo!$C$8)+Resumo!$C$10*CEILING(AJ$3/100,1)+Resumo!$C$9)*(1+Resumo!$C$11)-(AJ$4*(Resumo!$B$6+Resumo!$B$7)+Resumo!$B$9+Resumo!$B$10*CEILING(AJ$3/100,1)+(Resumo!$B$12+Resumo!$B$13)*CEILING(AJ$3,1))</f>
        <v>81.5039345092958</v>
      </c>
      <c r="AK46" s="12" t="n">
        <f aca="false">(X46+AK$4*(Resumo!$C$7+Resumo!$C$8)+Resumo!$C$10*CEILING(AK$3/100,1)+Resumo!$C$9)*(1+Resumo!$C$11)-(AK$4*(Resumo!$B$6+Resumo!$B$7)+Resumo!$B$9+Resumo!$B$10*CEILING(AK$3/100,1)+(Resumo!$B$12+Resumo!$B$13)*CEILING(AK$3,1))</f>
        <v>84.5552580255814</v>
      </c>
      <c r="AL46" s="12" t="n">
        <f aca="false">(Y46+AL$4*(Resumo!$C$7+Resumo!$C$8)+Resumo!$C$10*CEILING(AL$3/100,1)+Resumo!$C$9)*(1+Resumo!$C$11)-(AL$4*(Resumo!$B$6+Resumo!$B$7)+Resumo!$B$9+Resumo!$B$10*CEILING(AL$3/100,1)+(Resumo!$B$12+Resumo!$B$13)*CEILING(AL$3,1))</f>
        <v>90.7147698817308</v>
      </c>
      <c r="AM46" s="12" t="n">
        <f aca="false">(Z46+AM$4*(Resumo!$C$7+Resumo!$C$8)+Resumo!$C$10*CEILING(AM$3/100,1)+Resumo!$C$9)*(1+Resumo!$C$11)-(AM$4*(Resumo!$B$6+Resumo!$B$7)+Resumo!$B$9+Resumo!$B$10*CEILING(AM$3/100,1)+(Resumo!$B$12+Resumo!$B$13)*CEILING(AM$3,1))</f>
        <v>95.0304196468864</v>
      </c>
      <c r="AN46" s="12" t="n">
        <f aca="false">(AA46+AN$4*(Resumo!$C$7+Resumo!$C$8)+Resumo!$C$10*CEILING(AN$3/100,1)+Resumo!$C$9)*(1+Resumo!$C$11)-(AN$4*(Resumo!$B$6+Resumo!$B$7)+Resumo!$B$9+Resumo!$B$10*CEILING(AN$3/100,1)+(Resumo!$B$12+Resumo!$B$13)*CEILING(AN$3,1))</f>
        <v>102.00959604</v>
      </c>
      <c r="AO46" s="12" t="n">
        <f aca="false">(AB46+AO$4*(Resumo!$C$7+Resumo!$C$8)+Resumo!$C$10*CEILING(AO$3/100,1)+Resumo!$C$9)*(1+Resumo!$C$11)-(AO$4*(Resumo!$B$6+Resumo!$B$7)+Resumo!$B$9+Resumo!$B$10*CEILING(AO$3/100,1)+(Resumo!$B$12+Resumo!$B$13)*CEILING(AO$3,1))</f>
        <v>116.765897119298</v>
      </c>
      <c r="AP46" s="12" t="n">
        <f aca="false">(AC46+AP$4*(Resumo!$C$7+Resumo!$C$8)+Resumo!$C$10*CEILING(AP$3/100,1)+Resumo!$C$9)*(1+Resumo!$C$11)-(AP$4*(Resumo!$B$6+Resumo!$B$7)+Resumo!$B$9+Resumo!$B$10*CEILING(AP$3/100,1)+(Resumo!$B$12+Resumo!$B$13)*CEILING(AP$3,1))</f>
        <v>120.300564037736</v>
      </c>
      <c r="AQ46" s="12" t="n">
        <f aca="false">(AD46+AQ$4*(Resumo!$C$7+Resumo!$C$8)+Resumo!$C$10*CEILING(AQ$3/100,1)+Resumo!$C$9)*(1+Resumo!$C$11)-(AQ$4*(Resumo!$B$6+Resumo!$B$7)+Resumo!$B$9+Resumo!$B$10*CEILING(AQ$3/100,1)+(Resumo!$B$12+Resumo!$B$13)*CEILING(AQ$3,1))</f>
        <v>149.110142593023</v>
      </c>
      <c r="AR46" s="12" t="n">
        <f aca="false">(AE46+AR$4*(Resumo!$C$7+Resumo!$C$8)+Resumo!$C$10*CEILING(AR$3/100,1)+Resumo!$C$9)*(1+Resumo!$C$11)-(AR$4*(Resumo!$B$6+Resumo!$B$7)+Resumo!$B$9+Resumo!$B$10*CEILING(AR$3/100,1)+(Resumo!$B$12+Resumo!$B$13)*CEILING(AR$3,1))</f>
        <v>152.447191466667</v>
      </c>
      <c r="AS46" s="12" t="n">
        <f aca="false">(AF46+AS$4*(Resumo!$C$7+Resumo!$C$8)+Resumo!$C$10*CEILING(AS$3/100,1)+Resumo!$C$9)*(1+Resumo!$C$11)-(AS$4*(Resumo!$B$6+Resumo!$B$7)+Resumo!$B$9+Resumo!$B$10*CEILING(AS$3/100,1)+(Resumo!$B$12+Resumo!$B$13)*CEILING(AS$3,1))</f>
        <v>62.11023</v>
      </c>
      <c r="AT46" s="12" t="n">
        <f aca="false">(AG46+AT$4*(Resumo!$C$7+Resumo!$C$8)+Resumo!$C$10*CEILING(AT$3/100,1)+Resumo!$C$9)*(1+Resumo!$C$11)-(AT$4*(Resumo!$B$6+Resumo!$B$7)+Resumo!$B$9+Resumo!$B$10*CEILING(AT$3/100,1)+(Resumo!$B$12+Resumo!$B$13)*CEILING(AT$3,1))</f>
        <v>219.780987533333</v>
      </c>
      <c r="AU46" s="13" t="n">
        <f aca="false">1-AH46/H46</f>
        <v>0.289945245026551</v>
      </c>
      <c r="AV46" s="13" t="n">
        <f aca="false">1-AI46/I46</f>
        <v>0.314921930743621</v>
      </c>
      <c r="AW46" s="13" t="n">
        <f aca="false">1-AJ46/J46</f>
        <v>0.344718326826694</v>
      </c>
      <c r="AX46" s="13" t="n">
        <f aca="false">1-AK46/K46</f>
        <v>0.320186058646234</v>
      </c>
      <c r="AY46" s="13" t="n">
        <f aca="false">1-AL46/L46</f>
        <v>0.362599986778171</v>
      </c>
      <c r="AZ46" s="13" t="n">
        <f aca="false">1-AM46/M46</f>
        <v>0.427699972015137</v>
      </c>
      <c r="BA46" s="13" t="n">
        <f aca="false">1-AN46/N46</f>
        <v>0.353878920445908</v>
      </c>
      <c r="BB46" s="13" t="n">
        <f aca="false">1-AO46/O46</f>
        <v>0.408330898812778</v>
      </c>
      <c r="BC46" s="13" t="n">
        <f aca="false">1-AP46/P46</f>
        <v>0.492016873415523</v>
      </c>
      <c r="BD46" s="13" t="n">
        <f aca="false">1-AQ46/Q46</f>
        <v>0.436980280195502</v>
      </c>
      <c r="BE46" s="13" t="n">
        <f aca="false">1-AR46/R46</f>
        <v>0.492096646787717</v>
      </c>
      <c r="BF46" s="13" t="n">
        <f aca="false">1-AS46/S46</f>
        <v>0.82411013253285</v>
      </c>
      <c r="BG46" s="13" t="n">
        <f aca="false">1-AT46/T46</f>
        <v>0.502082040024166</v>
      </c>
    </row>
    <row r="47" customFormat="false" ht="15" hidden="false" customHeight="false" outlineLevel="0" collapsed="false">
      <c r="A47" s="4" t="s">
        <v>197</v>
      </c>
      <c r="B47" s="4" t="s">
        <v>234</v>
      </c>
      <c r="C47" s="34" t="n">
        <v>27400000</v>
      </c>
      <c r="D47" s="34" t="n">
        <v>27459999</v>
      </c>
      <c r="E47" s="4" t="s">
        <v>201</v>
      </c>
      <c r="F47" s="4" t="s">
        <v>204</v>
      </c>
      <c r="G47" s="4" t="n">
        <f aca="false">COUNTIFS(Pedidos!$E$2:$E$2224,"&gt;="&amp;C47,Pedidos!$E$2:$E$2224,"&lt;="&amp;D47)</f>
        <v>1</v>
      </c>
      <c r="H47" s="7" t="n">
        <v>77.35</v>
      </c>
      <c r="I47" s="7" t="n">
        <v>108.83</v>
      </c>
      <c r="J47" s="7" t="n">
        <v>124.38</v>
      </c>
      <c r="K47" s="7" t="n">
        <v>124.38</v>
      </c>
      <c r="L47" s="7" t="n">
        <v>142.32</v>
      </c>
      <c r="M47" s="7" t="n">
        <v>166.05</v>
      </c>
      <c r="N47" s="7" t="n">
        <v>157.88</v>
      </c>
      <c r="O47" s="7" t="n">
        <v>197.35</v>
      </c>
      <c r="P47" s="7" t="n">
        <v>236.82</v>
      </c>
      <c r="Q47" s="7" t="n">
        <v>264.84</v>
      </c>
      <c r="R47" s="7" t="n">
        <v>300.15</v>
      </c>
      <c r="S47" s="7" t="n">
        <v>353.12</v>
      </c>
      <c r="T47" s="7" t="n">
        <v>441.4</v>
      </c>
      <c r="U47" s="7" t="n">
        <v>52.71</v>
      </c>
      <c r="V47" s="7" t="n">
        <v>76.5</v>
      </c>
      <c r="W47" s="7" t="n">
        <v>87.4</v>
      </c>
      <c r="X47" s="7" t="n">
        <v>94</v>
      </c>
      <c r="Y47" s="7" t="n">
        <v>103.6</v>
      </c>
      <c r="Z47" s="7" t="n">
        <v>113.9</v>
      </c>
      <c r="AA47" s="7" t="n">
        <v>124.16</v>
      </c>
      <c r="AB47" s="7" t="n">
        <v>144.41</v>
      </c>
      <c r="AC47" s="7" t="n">
        <v>161.81</v>
      </c>
      <c r="AD47" s="7" t="n">
        <v>197.37</v>
      </c>
      <c r="AE47" s="7" t="n">
        <v>215.7</v>
      </c>
      <c r="AF47" s="7" t="n">
        <v>143.51</v>
      </c>
      <c r="AG47" s="7" t="n">
        <v>304.65</v>
      </c>
      <c r="AH47" s="12" t="n">
        <f aca="false">(U47+AH$4*(Resumo!$C$7+Resumo!$C$8)+Resumo!$C$10*CEILING(AH$3/100,1)+Resumo!$C$9)*(1+Resumo!$C$11)-(AH$4*(Resumo!$B$6+Resumo!$B$7)+Resumo!$B$9+Resumo!$B$10*CEILING(AH$3/100,1)+(Resumo!$B$12+Resumo!$B$13)*CEILING(AH$3,1))</f>
        <v>54.9227352971963</v>
      </c>
      <c r="AI47" s="12" t="n">
        <f aca="false">(V47+AI$4*(Resumo!$C$7+Resumo!$C$8)+Resumo!$C$10*CEILING(AI$3/100,1)+Resumo!$C$9)*(1+Resumo!$C$11)-(AI$4*(Resumo!$B$6+Resumo!$B$7)+Resumo!$B$9+Resumo!$B$10*CEILING(AI$3/100,1)+(Resumo!$B$12+Resumo!$B$13)*CEILING(AI$3,1))</f>
        <v>74.5570462771717</v>
      </c>
      <c r="AJ47" s="12" t="n">
        <f aca="false">(W47+AJ$4*(Resumo!$C$7+Resumo!$C$8)+Resumo!$C$10*CEILING(AJ$3/100,1)+Resumo!$C$9)*(1+Resumo!$C$11)-(AJ$4*(Resumo!$B$6+Resumo!$B$7)+Resumo!$B$9+Resumo!$B$10*CEILING(AJ$3/100,1)+(Resumo!$B$12+Resumo!$B$13)*CEILING(AJ$3,1))</f>
        <v>81.5039345092958</v>
      </c>
      <c r="AK47" s="12" t="n">
        <f aca="false">(X47+AK$4*(Resumo!$C$7+Resumo!$C$8)+Resumo!$C$10*CEILING(AK$3/100,1)+Resumo!$C$9)*(1+Resumo!$C$11)-(AK$4*(Resumo!$B$6+Resumo!$B$7)+Resumo!$B$9+Resumo!$B$10*CEILING(AK$3/100,1)+(Resumo!$B$12+Resumo!$B$13)*CEILING(AK$3,1))</f>
        <v>84.5552580255814</v>
      </c>
      <c r="AL47" s="12" t="n">
        <f aca="false">(Y47+AL$4*(Resumo!$C$7+Resumo!$C$8)+Resumo!$C$10*CEILING(AL$3/100,1)+Resumo!$C$9)*(1+Resumo!$C$11)-(AL$4*(Resumo!$B$6+Resumo!$B$7)+Resumo!$B$9+Resumo!$B$10*CEILING(AL$3/100,1)+(Resumo!$B$12+Resumo!$B$13)*CEILING(AL$3,1))</f>
        <v>90.7147698817308</v>
      </c>
      <c r="AM47" s="12" t="n">
        <f aca="false">(Z47+AM$4*(Resumo!$C$7+Resumo!$C$8)+Resumo!$C$10*CEILING(AM$3/100,1)+Resumo!$C$9)*(1+Resumo!$C$11)-(AM$4*(Resumo!$B$6+Resumo!$B$7)+Resumo!$B$9+Resumo!$B$10*CEILING(AM$3/100,1)+(Resumo!$B$12+Resumo!$B$13)*CEILING(AM$3,1))</f>
        <v>95.0304196468864</v>
      </c>
      <c r="AN47" s="12" t="n">
        <f aca="false">(AA47+AN$4*(Resumo!$C$7+Resumo!$C$8)+Resumo!$C$10*CEILING(AN$3/100,1)+Resumo!$C$9)*(1+Resumo!$C$11)-(AN$4*(Resumo!$B$6+Resumo!$B$7)+Resumo!$B$9+Resumo!$B$10*CEILING(AN$3/100,1)+(Resumo!$B$12+Resumo!$B$13)*CEILING(AN$3,1))</f>
        <v>102.00959604</v>
      </c>
      <c r="AO47" s="12" t="n">
        <f aca="false">(AB47+AO$4*(Resumo!$C$7+Resumo!$C$8)+Resumo!$C$10*CEILING(AO$3/100,1)+Resumo!$C$9)*(1+Resumo!$C$11)-(AO$4*(Resumo!$B$6+Resumo!$B$7)+Resumo!$B$9+Resumo!$B$10*CEILING(AO$3/100,1)+(Resumo!$B$12+Resumo!$B$13)*CEILING(AO$3,1))</f>
        <v>116.765897119298</v>
      </c>
      <c r="AP47" s="12" t="n">
        <f aca="false">(AC47+AP$4*(Resumo!$C$7+Resumo!$C$8)+Resumo!$C$10*CEILING(AP$3/100,1)+Resumo!$C$9)*(1+Resumo!$C$11)-(AP$4*(Resumo!$B$6+Resumo!$B$7)+Resumo!$B$9+Resumo!$B$10*CEILING(AP$3/100,1)+(Resumo!$B$12+Resumo!$B$13)*CEILING(AP$3,1))</f>
        <v>120.300564037736</v>
      </c>
      <c r="AQ47" s="12" t="n">
        <f aca="false">(AD47+AQ$4*(Resumo!$C$7+Resumo!$C$8)+Resumo!$C$10*CEILING(AQ$3/100,1)+Resumo!$C$9)*(1+Resumo!$C$11)-(AQ$4*(Resumo!$B$6+Resumo!$B$7)+Resumo!$B$9+Resumo!$B$10*CEILING(AQ$3/100,1)+(Resumo!$B$12+Resumo!$B$13)*CEILING(AQ$3,1))</f>
        <v>149.110142593023</v>
      </c>
      <c r="AR47" s="12" t="n">
        <f aca="false">(AE47+AR$4*(Resumo!$C$7+Resumo!$C$8)+Resumo!$C$10*CEILING(AR$3/100,1)+Resumo!$C$9)*(1+Resumo!$C$11)-(AR$4*(Resumo!$B$6+Resumo!$B$7)+Resumo!$B$9+Resumo!$B$10*CEILING(AR$3/100,1)+(Resumo!$B$12+Resumo!$B$13)*CEILING(AR$3,1))</f>
        <v>152.447191466667</v>
      </c>
      <c r="AS47" s="12" t="n">
        <f aca="false">(AF47+AS$4*(Resumo!$C$7+Resumo!$C$8)+Resumo!$C$10*CEILING(AS$3/100,1)+Resumo!$C$9)*(1+Resumo!$C$11)-(AS$4*(Resumo!$B$6+Resumo!$B$7)+Resumo!$B$9+Resumo!$B$10*CEILING(AS$3/100,1)+(Resumo!$B$12+Resumo!$B$13)*CEILING(AS$3,1))</f>
        <v>62.11023</v>
      </c>
      <c r="AT47" s="12" t="n">
        <f aca="false">(AG47+AT$4*(Resumo!$C$7+Resumo!$C$8)+Resumo!$C$10*CEILING(AT$3/100,1)+Resumo!$C$9)*(1+Resumo!$C$11)-(AT$4*(Resumo!$B$6+Resumo!$B$7)+Resumo!$B$9+Resumo!$B$10*CEILING(AT$3/100,1)+(Resumo!$B$12+Resumo!$B$13)*CEILING(AT$3,1))</f>
        <v>219.780987533333</v>
      </c>
      <c r="AU47" s="13" t="n">
        <f aca="false">1-AH47/H47</f>
        <v>0.289945245026551</v>
      </c>
      <c r="AV47" s="13" t="n">
        <f aca="false">1-AI47/I47</f>
        <v>0.314921930743621</v>
      </c>
      <c r="AW47" s="13" t="n">
        <f aca="false">1-AJ47/J47</f>
        <v>0.344718326826694</v>
      </c>
      <c r="AX47" s="13" t="n">
        <f aca="false">1-AK47/K47</f>
        <v>0.320186058646234</v>
      </c>
      <c r="AY47" s="13" t="n">
        <f aca="false">1-AL47/L47</f>
        <v>0.362599986778171</v>
      </c>
      <c r="AZ47" s="13" t="n">
        <f aca="false">1-AM47/M47</f>
        <v>0.427699972015137</v>
      </c>
      <c r="BA47" s="13" t="n">
        <f aca="false">1-AN47/N47</f>
        <v>0.353878920445908</v>
      </c>
      <c r="BB47" s="13" t="n">
        <f aca="false">1-AO47/O47</f>
        <v>0.408330898812778</v>
      </c>
      <c r="BC47" s="13" t="n">
        <f aca="false">1-AP47/P47</f>
        <v>0.492016873415523</v>
      </c>
      <c r="BD47" s="13" t="n">
        <f aca="false">1-AQ47/Q47</f>
        <v>0.436980280195502</v>
      </c>
      <c r="BE47" s="13" t="n">
        <f aca="false">1-AR47/R47</f>
        <v>0.492096646787717</v>
      </c>
      <c r="BF47" s="13" t="n">
        <f aca="false">1-AS47/S47</f>
        <v>0.82411013253285</v>
      </c>
      <c r="BG47" s="13" t="n">
        <f aca="false">1-AT47/T47</f>
        <v>0.502082040024166</v>
      </c>
    </row>
    <row r="48" customFormat="false" ht="15" hidden="false" customHeight="false" outlineLevel="0" collapsed="false">
      <c r="A48" s="4" t="s">
        <v>197</v>
      </c>
      <c r="B48" s="4" t="s">
        <v>235</v>
      </c>
      <c r="C48" s="34" t="n">
        <v>27460000</v>
      </c>
      <c r="D48" s="34" t="n">
        <v>27499999</v>
      </c>
      <c r="E48" s="4" t="s">
        <v>201</v>
      </c>
      <c r="F48" s="4" t="s">
        <v>204</v>
      </c>
      <c r="G48" s="4" t="n">
        <f aca="false">COUNTIFS(Pedidos!$E$2:$E$2224,"&gt;="&amp;C48,Pedidos!$E$2:$E$2224,"&lt;="&amp;D48)</f>
        <v>1</v>
      </c>
      <c r="H48" s="7" t="n">
        <v>77.35</v>
      </c>
      <c r="I48" s="7" t="n">
        <v>108.83</v>
      </c>
      <c r="J48" s="7" t="n">
        <v>124.38</v>
      </c>
      <c r="K48" s="7" t="n">
        <v>124.38</v>
      </c>
      <c r="L48" s="7" t="n">
        <v>142.32</v>
      </c>
      <c r="M48" s="7" t="n">
        <v>166.05</v>
      </c>
      <c r="N48" s="7" t="n">
        <v>157.88</v>
      </c>
      <c r="O48" s="7" t="n">
        <v>197.35</v>
      </c>
      <c r="P48" s="7" t="n">
        <v>236.82</v>
      </c>
      <c r="Q48" s="7" t="n">
        <v>264.84</v>
      </c>
      <c r="R48" s="7" t="n">
        <v>300.15</v>
      </c>
      <c r="S48" s="7" t="n">
        <v>353.12</v>
      </c>
      <c r="T48" s="7" t="n">
        <v>441.4</v>
      </c>
      <c r="U48" s="7" t="n">
        <v>52.71</v>
      </c>
      <c r="V48" s="7" t="n">
        <v>76.5</v>
      </c>
      <c r="W48" s="7" t="n">
        <v>87.4</v>
      </c>
      <c r="X48" s="7" t="n">
        <v>94</v>
      </c>
      <c r="Y48" s="7" t="n">
        <v>103.6</v>
      </c>
      <c r="Z48" s="7" t="n">
        <v>113.9</v>
      </c>
      <c r="AA48" s="7" t="n">
        <v>124.16</v>
      </c>
      <c r="AB48" s="7" t="n">
        <v>144.41</v>
      </c>
      <c r="AC48" s="7" t="n">
        <v>161.81</v>
      </c>
      <c r="AD48" s="7" t="n">
        <v>197.37</v>
      </c>
      <c r="AE48" s="7" t="n">
        <v>215.7</v>
      </c>
      <c r="AF48" s="7" t="n">
        <v>143.51</v>
      </c>
      <c r="AG48" s="7" t="n">
        <v>304.65</v>
      </c>
      <c r="AH48" s="12" t="n">
        <f aca="false">(U48+AH$4*(Resumo!$C$7+Resumo!$C$8)+Resumo!$C$10*CEILING(AH$3/100,1)+Resumo!$C$9)*(1+Resumo!$C$11)-(AH$4*(Resumo!$B$6+Resumo!$B$7)+Resumo!$B$9+Resumo!$B$10*CEILING(AH$3/100,1)+(Resumo!$B$12+Resumo!$B$13)*CEILING(AH$3,1))</f>
        <v>54.9227352971963</v>
      </c>
      <c r="AI48" s="12" t="n">
        <f aca="false">(V48+AI$4*(Resumo!$C$7+Resumo!$C$8)+Resumo!$C$10*CEILING(AI$3/100,1)+Resumo!$C$9)*(1+Resumo!$C$11)-(AI$4*(Resumo!$B$6+Resumo!$B$7)+Resumo!$B$9+Resumo!$B$10*CEILING(AI$3/100,1)+(Resumo!$B$12+Resumo!$B$13)*CEILING(AI$3,1))</f>
        <v>74.5570462771717</v>
      </c>
      <c r="AJ48" s="12" t="n">
        <f aca="false">(W48+AJ$4*(Resumo!$C$7+Resumo!$C$8)+Resumo!$C$10*CEILING(AJ$3/100,1)+Resumo!$C$9)*(1+Resumo!$C$11)-(AJ$4*(Resumo!$B$6+Resumo!$B$7)+Resumo!$B$9+Resumo!$B$10*CEILING(AJ$3/100,1)+(Resumo!$B$12+Resumo!$B$13)*CEILING(AJ$3,1))</f>
        <v>81.5039345092958</v>
      </c>
      <c r="AK48" s="12" t="n">
        <f aca="false">(X48+AK$4*(Resumo!$C$7+Resumo!$C$8)+Resumo!$C$10*CEILING(AK$3/100,1)+Resumo!$C$9)*(1+Resumo!$C$11)-(AK$4*(Resumo!$B$6+Resumo!$B$7)+Resumo!$B$9+Resumo!$B$10*CEILING(AK$3/100,1)+(Resumo!$B$12+Resumo!$B$13)*CEILING(AK$3,1))</f>
        <v>84.5552580255814</v>
      </c>
      <c r="AL48" s="12" t="n">
        <f aca="false">(Y48+AL$4*(Resumo!$C$7+Resumo!$C$8)+Resumo!$C$10*CEILING(AL$3/100,1)+Resumo!$C$9)*(1+Resumo!$C$11)-(AL$4*(Resumo!$B$6+Resumo!$B$7)+Resumo!$B$9+Resumo!$B$10*CEILING(AL$3/100,1)+(Resumo!$B$12+Resumo!$B$13)*CEILING(AL$3,1))</f>
        <v>90.7147698817308</v>
      </c>
      <c r="AM48" s="12" t="n">
        <f aca="false">(Z48+AM$4*(Resumo!$C$7+Resumo!$C$8)+Resumo!$C$10*CEILING(AM$3/100,1)+Resumo!$C$9)*(1+Resumo!$C$11)-(AM$4*(Resumo!$B$6+Resumo!$B$7)+Resumo!$B$9+Resumo!$B$10*CEILING(AM$3/100,1)+(Resumo!$B$12+Resumo!$B$13)*CEILING(AM$3,1))</f>
        <v>95.0304196468864</v>
      </c>
      <c r="AN48" s="12" t="n">
        <f aca="false">(AA48+AN$4*(Resumo!$C$7+Resumo!$C$8)+Resumo!$C$10*CEILING(AN$3/100,1)+Resumo!$C$9)*(1+Resumo!$C$11)-(AN$4*(Resumo!$B$6+Resumo!$B$7)+Resumo!$B$9+Resumo!$B$10*CEILING(AN$3/100,1)+(Resumo!$B$12+Resumo!$B$13)*CEILING(AN$3,1))</f>
        <v>102.00959604</v>
      </c>
      <c r="AO48" s="12" t="n">
        <f aca="false">(AB48+AO$4*(Resumo!$C$7+Resumo!$C$8)+Resumo!$C$10*CEILING(AO$3/100,1)+Resumo!$C$9)*(1+Resumo!$C$11)-(AO$4*(Resumo!$B$6+Resumo!$B$7)+Resumo!$B$9+Resumo!$B$10*CEILING(AO$3/100,1)+(Resumo!$B$12+Resumo!$B$13)*CEILING(AO$3,1))</f>
        <v>116.765897119298</v>
      </c>
      <c r="AP48" s="12" t="n">
        <f aca="false">(AC48+AP$4*(Resumo!$C$7+Resumo!$C$8)+Resumo!$C$10*CEILING(AP$3/100,1)+Resumo!$C$9)*(1+Resumo!$C$11)-(AP$4*(Resumo!$B$6+Resumo!$B$7)+Resumo!$B$9+Resumo!$B$10*CEILING(AP$3/100,1)+(Resumo!$B$12+Resumo!$B$13)*CEILING(AP$3,1))</f>
        <v>120.300564037736</v>
      </c>
      <c r="AQ48" s="12" t="n">
        <f aca="false">(AD48+AQ$4*(Resumo!$C$7+Resumo!$C$8)+Resumo!$C$10*CEILING(AQ$3/100,1)+Resumo!$C$9)*(1+Resumo!$C$11)-(AQ$4*(Resumo!$B$6+Resumo!$B$7)+Resumo!$B$9+Resumo!$B$10*CEILING(AQ$3/100,1)+(Resumo!$B$12+Resumo!$B$13)*CEILING(AQ$3,1))</f>
        <v>149.110142593023</v>
      </c>
      <c r="AR48" s="12" t="n">
        <f aca="false">(AE48+AR$4*(Resumo!$C$7+Resumo!$C$8)+Resumo!$C$10*CEILING(AR$3/100,1)+Resumo!$C$9)*(1+Resumo!$C$11)-(AR$4*(Resumo!$B$6+Resumo!$B$7)+Resumo!$B$9+Resumo!$B$10*CEILING(AR$3/100,1)+(Resumo!$B$12+Resumo!$B$13)*CEILING(AR$3,1))</f>
        <v>152.447191466667</v>
      </c>
      <c r="AS48" s="12" t="n">
        <f aca="false">(AF48+AS$4*(Resumo!$C$7+Resumo!$C$8)+Resumo!$C$10*CEILING(AS$3/100,1)+Resumo!$C$9)*(1+Resumo!$C$11)-(AS$4*(Resumo!$B$6+Resumo!$B$7)+Resumo!$B$9+Resumo!$B$10*CEILING(AS$3/100,1)+(Resumo!$B$12+Resumo!$B$13)*CEILING(AS$3,1))</f>
        <v>62.11023</v>
      </c>
      <c r="AT48" s="12" t="n">
        <f aca="false">(AG48+AT$4*(Resumo!$C$7+Resumo!$C$8)+Resumo!$C$10*CEILING(AT$3/100,1)+Resumo!$C$9)*(1+Resumo!$C$11)-(AT$4*(Resumo!$B$6+Resumo!$B$7)+Resumo!$B$9+Resumo!$B$10*CEILING(AT$3/100,1)+(Resumo!$B$12+Resumo!$B$13)*CEILING(AT$3,1))</f>
        <v>219.780987533333</v>
      </c>
      <c r="AU48" s="13" t="n">
        <f aca="false">1-AH48/H48</f>
        <v>0.289945245026551</v>
      </c>
      <c r="AV48" s="13" t="n">
        <f aca="false">1-AI48/I48</f>
        <v>0.314921930743621</v>
      </c>
      <c r="AW48" s="13" t="n">
        <f aca="false">1-AJ48/J48</f>
        <v>0.344718326826694</v>
      </c>
      <c r="AX48" s="13" t="n">
        <f aca="false">1-AK48/K48</f>
        <v>0.320186058646234</v>
      </c>
      <c r="AY48" s="13" t="n">
        <f aca="false">1-AL48/L48</f>
        <v>0.362599986778171</v>
      </c>
      <c r="AZ48" s="13" t="n">
        <f aca="false">1-AM48/M48</f>
        <v>0.427699972015137</v>
      </c>
      <c r="BA48" s="13" t="n">
        <f aca="false">1-AN48/N48</f>
        <v>0.353878920445908</v>
      </c>
      <c r="BB48" s="13" t="n">
        <f aca="false">1-AO48/O48</f>
        <v>0.408330898812778</v>
      </c>
      <c r="BC48" s="13" t="n">
        <f aca="false">1-AP48/P48</f>
        <v>0.492016873415523</v>
      </c>
      <c r="BD48" s="13" t="n">
        <f aca="false">1-AQ48/Q48</f>
        <v>0.436980280195502</v>
      </c>
      <c r="BE48" s="13" t="n">
        <f aca="false">1-AR48/R48</f>
        <v>0.492096646787717</v>
      </c>
      <c r="BF48" s="13" t="n">
        <f aca="false">1-AS48/S48</f>
        <v>0.82411013253285</v>
      </c>
      <c r="BG48" s="13" t="n">
        <f aca="false">1-AT48/T48</f>
        <v>0.502082040024166</v>
      </c>
    </row>
    <row r="49" customFormat="false" ht="15" hidden="false" customHeight="false" outlineLevel="0" collapsed="false">
      <c r="A49" s="4" t="s">
        <v>197</v>
      </c>
      <c r="B49" s="4" t="s">
        <v>236</v>
      </c>
      <c r="C49" s="34" t="n">
        <v>27500000</v>
      </c>
      <c r="D49" s="34" t="n">
        <v>27569999</v>
      </c>
      <c r="E49" s="4" t="s">
        <v>201</v>
      </c>
      <c r="F49" s="4" t="s">
        <v>204</v>
      </c>
      <c r="G49" s="4" t="n">
        <f aca="false">COUNTIFS(Pedidos!$E$2:$E$2224,"&gt;="&amp;C49,Pedidos!$E$2:$E$2224,"&lt;="&amp;D49)</f>
        <v>13</v>
      </c>
      <c r="H49" s="7" t="n">
        <v>77.35</v>
      </c>
      <c r="I49" s="7" t="n">
        <v>108.83</v>
      </c>
      <c r="J49" s="7" t="n">
        <v>124.38</v>
      </c>
      <c r="K49" s="7" t="n">
        <v>124.38</v>
      </c>
      <c r="L49" s="7" t="n">
        <v>142.32</v>
      </c>
      <c r="M49" s="7" t="n">
        <v>166.05</v>
      </c>
      <c r="N49" s="7" t="n">
        <v>157.88</v>
      </c>
      <c r="O49" s="7" t="n">
        <v>197.35</v>
      </c>
      <c r="P49" s="7" t="n">
        <v>236.82</v>
      </c>
      <c r="Q49" s="7" t="n">
        <v>264.84</v>
      </c>
      <c r="R49" s="7" t="n">
        <v>300.15</v>
      </c>
      <c r="S49" s="7" t="n">
        <v>353.12</v>
      </c>
      <c r="T49" s="7" t="n">
        <v>441.4</v>
      </c>
      <c r="U49" s="7" t="n">
        <v>52.71</v>
      </c>
      <c r="V49" s="7" t="n">
        <v>76.5</v>
      </c>
      <c r="W49" s="7" t="n">
        <v>87.4</v>
      </c>
      <c r="X49" s="7" t="n">
        <v>94</v>
      </c>
      <c r="Y49" s="7" t="n">
        <v>103.6</v>
      </c>
      <c r="Z49" s="7" t="n">
        <v>113.9</v>
      </c>
      <c r="AA49" s="7" t="n">
        <v>124.16</v>
      </c>
      <c r="AB49" s="7" t="n">
        <v>144.41</v>
      </c>
      <c r="AC49" s="7" t="n">
        <v>161.81</v>
      </c>
      <c r="AD49" s="7" t="n">
        <v>197.37</v>
      </c>
      <c r="AE49" s="7" t="n">
        <v>215.7</v>
      </c>
      <c r="AF49" s="7" t="n">
        <v>143.51</v>
      </c>
      <c r="AG49" s="7" t="n">
        <v>304.65</v>
      </c>
      <c r="AH49" s="12" t="n">
        <f aca="false">(U49+AH$4*(Resumo!$C$7+Resumo!$C$8)+Resumo!$C$10*CEILING(AH$3/100,1)+Resumo!$C$9)*(1+Resumo!$C$11)-(AH$4*(Resumo!$B$6+Resumo!$B$7)+Resumo!$B$9+Resumo!$B$10*CEILING(AH$3/100,1)+(Resumo!$B$12+Resumo!$B$13)*CEILING(AH$3,1))</f>
        <v>54.9227352971963</v>
      </c>
      <c r="AI49" s="12" t="n">
        <f aca="false">(V49+AI$4*(Resumo!$C$7+Resumo!$C$8)+Resumo!$C$10*CEILING(AI$3/100,1)+Resumo!$C$9)*(1+Resumo!$C$11)-(AI$4*(Resumo!$B$6+Resumo!$B$7)+Resumo!$B$9+Resumo!$B$10*CEILING(AI$3/100,1)+(Resumo!$B$12+Resumo!$B$13)*CEILING(AI$3,1))</f>
        <v>74.5570462771717</v>
      </c>
      <c r="AJ49" s="12" t="n">
        <f aca="false">(W49+AJ$4*(Resumo!$C$7+Resumo!$C$8)+Resumo!$C$10*CEILING(AJ$3/100,1)+Resumo!$C$9)*(1+Resumo!$C$11)-(AJ$4*(Resumo!$B$6+Resumo!$B$7)+Resumo!$B$9+Resumo!$B$10*CEILING(AJ$3/100,1)+(Resumo!$B$12+Resumo!$B$13)*CEILING(AJ$3,1))</f>
        <v>81.5039345092958</v>
      </c>
      <c r="AK49" s="12" t="n">
        <f aca="false">(X49+AK$4*(Resumo!$C$7+Resumo!$C$8)+Resumo!$C$10*CEILING(AK$3/100,1)+Resumo!$C$9)*(1+Resumo!$C$11)-(AK$4*(Resumo!$B$6+Resumo!$B$7)+Resumo!$B$9+Resumo!$B$10*CEILING(AK$3/100,1)+(Resumo!$B$12+Resumo!$B$13)*CEILING(AK$3,1))</f>
        <v>84.5552580255814</v>
      </c>
      <c r="AL49" s="12" t="n">
        <f aca="false">(Y49+AL$4*(Resumo!$C$7+Resumo!$C$8)+Resumo!$C$10*CEILING(AL$3/100,1)+Resumo!$C$9)*(1+Resumo!$C$11)-(AL$4*(Resumo!$B$6+Resumo!$B$7)+Resumo!$B$9+Resumo!$B$10*CEILING(AL$3/100,1)+(Resumo!$B$12+Resumo!$B$13)*CEILING(AL$3,1))</f>
        <v>90.7147698817308</v>
      </c>
      <c r="AM49" s="12" t="n">
        <f aca="false">(Z49+AM$4*(Resumo!$C$7+Resumo!$C$8)+Resumo!$C$10*CEILING(AM$3/100,1)+Resumo!$C$9)*(1+Resumo!$C$11)-(AM$4*(Resumo!$B$6+Resumo!$B$7)+Resumo!$B$9+Resumo!$B$10*CEILING(AM$3/100,1)+(Resumo!$B$12+Resumo!$B$13)*CEILING(AM$3,1))</f>
        <v>95.0304196468864</v>
      </c>
      <c r="AN49" s="12" t="n">
        <f aca="false">(AA49+AN$4*(Resumo!$C$7+Resumo!$C$8)+Resumo!$C$10*CEILING(AN$3/100,1)+Resumo!$C$9)*(1+Resumo!$C$11)-(AN$4*(Resumo!$B$6+Resumo!$B$7)+Resumo!$B$9+Resumo!$B$10*CEILING(AN$3/100,1)+(Resumo!$B$12+Resumo!$B$13)*CEILING(AN$3,1))</f>
        <v>102.00959604</v>
      </c>
      <c r="AO49" s="12" t="n">
        <f aca="false">(AB49+AO$4*(Resumo!$C$7+Resumo!$C$8)+Resumo!$C$10*CEILING(AO$3/100,1)+Resumo!$C$9)*(1+Resumo!$C$11)-(AO$4*(Resumo!$B$6+Resumo!$B$7)+Resumo!$B$9+Resumo!$B$10*CEILING(AO$3/100,1)+(Resumo!$B$12+Resumo!$B$13)*CEILING(AO$3,1))</f>
        <v>116.765897119298</v>
      </c>
      <c r="AP49" s="12" t="n">
        <f aca="false">(AC49+AP$4*(Resumo!$C$7+Resumo!$C$8)+Resumo!$C$10*CEILING(AP$3/100,1)+Resumo!$C$9)*(1+Resumo!$C$11)-(AP$4*(Resumo!$B$6+Resumo!$B$7)+Resumo!$B$9+Resumo!$B$10*CEILING(AP$3/100,1)+(Resumo!$B$12+Resumo!$B$13)*CEILING(AP$3,1))</f>
        <v>120.300564037736</v>
      </c>
      <c r="AQ49" s="12" t="n">
        <f aca="false">(AD49+AQ$4*(Resumo!$C$7+Resumo!$C$8)+Resumo!$C$10*CEILING(AQ$3/100,1)+Resumo!$C$9)*(1+Resumo!$C$11)-(AQ$4*(Resumo!$B$6+Resumo!$B$7)+Resumo!$B$9+Resumo!$B$10*CEILING(AQ$3/100,1)+(Resumo!$B$12+Resumo!$B$13)*CEILING(AQ$3,1))</f>
        <v>149.110142593023</v>
      </c>
      <c r="AR49" s="12" t="n">
        <f aca="false">(AE49+AR$4*(Resumo!$C$7+Resumo!$C$8)+Resumo!$C$10*CEILING(AR$3/100,1)+Resumo!$C$9)*(1+Resumo!$C$11)-(AR$4*(Resumo!$B$6+Resumo!$B$7)+Resumo!$B$9+Resumo!$B$10*CEILING(AR$3/100,1)+(Resumo!$B$12+Resumo!$B$13)*CEILING(AR$3,1))</f>
        <v>152.447191466667</v>
      </c>
      <c r="AS49" s="12" t="n">
        <f aca="false">(AF49+AS$4*(Resumo!$C$7+Resumo!$C$8)+Resumo!$C$10*CEILING(AS$3/100,1)+Resumo!$C$9)*(1+Resumo!$C$11)-(AS$4*(Resumo!$B$6+Resumo!$B$7)+Resumo!$B$9+Resumo!$B$10*CEILING(AS$3/100,1)+(Resumo!$B$12+Resumo!$B$13)*CEILING(AS$3,1))</f>
        <v>62.11023</v>
      </c>
      <c r="AT49" s="12" t="n">
        <f aca="false">(AG49+AT$4*(Resumo!$C$7+Resumo!$C$8)+Resumo!$C$10*CEILING(AT$3/100,1)+Resumo!$C$9)*(1+Resumo!$C$11)-(AT$4*(Resumo!$B$6+Resumo!$B$7)+Resumo!$B$9+Resumo!$B$10*CEILING(AT$3/100,1)+(Resumo!$B$12+Resumo!$B$13)*CEILING(AT$3,1))</f>
        <v>219.780987533333</v>
      </c>
      <c r="AU49" s="13" t="n">
        <f aca="false">1-AH49/H49</f>
        <v>0.289945245026551</v>
      </c>
      <c r="AV49" s="13" t="n">
        <f aca="false">1-AI49/I49</f>
        <v>0.314921930743621</v>
      </c>
      <c r="AW49" s="13" t="n">
        <f aca="false">1-AJ49/J49</f>
        <v>0.344718326826694</v>
      </c>
      <c r="AX49" s="13" t="n">
        <f aca="false">1-AK49/K49</f>
        <v>0.320186058646234</v>
      </c>
      <c r="AY49" s="13" t="n">
        <f aca="false">1-AL49/L49</f>
        <v>0.362599986778171</v>
      </c>
      <c r="AZ49" s="13" t="n">
        <f aca="false">1-AM49/M49</f>
        <v>0.427699972015137</v>
      </c>
      <c r="BA49" s="13" t="n">
        <f aca="false">1-AN49/N49</f>
        <v>0.353878920445908</v>
      </c>
      <c r="BB49" s="13" t="n">
        <f aca="false">1-AO49/O49</f>
        <v>0.408330898812778</v>
      </c>
      <c r="BC49" s="13" t="n">
        <f aca="false">1-AP49/P49</f>
        <v>0.492016873415523</v>
      </c>
      <c r="BD49" s="13" t="n">
        <f aca="false">1-AQ49/Q49</f>
        <v>0.436980280195502</v>
      </c>
      <c r="BE49" s="13" t="n">
        <f aca="false">1-AR49/R49</f>
        <v>0.492096646787717</v>
      </c>
      <c r="BF49" s="13" t="n">
        <f aca="false">1-AS49/S49</f>
        <v>0.82411013253285</v>
      </c>
      <c r="BG49" s="13" t="n">
        <f aca="false">1-AT49/T49</f>
        <v>0.502082040024166</v>
      </c>
    </row>
    <row r="50" customFormat="false" ht="15" hidden="false" customHeight="false" outlineLevel="0" collapsed="false">
      <c r="A50" s="4" t="s">
        <v>197</v>
      </c>
      <c r="B50" s="4" t="s">
        <v>237</v>
      </c>
      <c r="C50" s="34" t="n">
        <v>27570000</v>
      </c>
      <c r="D50" s="34" t="n">
        <v>27579999</v>
      </c>
      <c r="E50" s="4" t="s">
        <v>201</v>
      </c>
      <c r="F50" s="4" t="s">
        <v>204</v>
      </c>
      <c r="G50" s="4" t="n">
        <f aca="false">COUNTIFS(Pedidos!$E$2:$E$2224,"&gt;="&amp;C50,Pedidos!$E$2:$E$2224,"&lt;="&amp;D50)</f>
        <v>0</v>
      </c>
      <c r="H50" s="7" t="n">
        <v>77.35</v>
      </c>
      <c r="I50" s="7" t="n">
        <v>108.83</v>
      </c>
      <c r="J50" s="7" t="n">
        <v>124.38</v>
      </c>
      <c r="K50" s="7" t="n">
        <v>124.38</v>
      </c>
      <c r="L50" s="7" t="n">
        <v>142.32</v>
      </c>
      <c r="M50" s="7" t="n">
        <v>166.05</v>
      </c>
      <c r="N50" s="7" t="n">
        <v>157.88</v>
      </c>
      <c r="O50" s="7" t="n">
        <v>197.35</v>
      </c>
      <c r="P50" s="7" t="n">
        <v>236.82</v>
      </c>
      <c r="Q50" s="7" t="n">
        <v>264.84</v>
      </c>
      <c r="R50" s="7" t="n">
        <v>300.15</v>
      </c>
      <c r="S50" s="7" t="n">
        <v>353.12</v>
      </c>
      <c r="T50" s="7" t="n">
        <v>441.4</v>
      </c>
      <c r="U50" s="7" t="n">
        <v>52.71</v>
      </c>
      <c r="V50" s="7" t="n">
        <v>76.5</v>
      </c>
      <c r="W50" s="7" t="n">
        <v>87.4</v>
      </c>
      <c r="X50" s="7" t="n">
        <v>94</v>
      </c>
      <c r="Y50" s="7" t="n">
        <v>103.6</v>
      </c>
      <c r="Z50" s="7" t="n">
        <v>113.9</v>
      </c>
      <c r="AA50" s="7" t="n">
        <v>124.16</v>
      </c>
      <c r="AB50" s="7" t="n">
        <v>144.41</v>
      </c>
      <c r="AC50" s="7" t="n">
        <v>161.81</v>
      </c>
      <c r="AD50" s="7" t="n">
        <v>197.37</v>
      </c>
      <c r="AE50" s="7" t="n">
        <v>215.7</v>
      </c>
      <c r="AF50" s="7" t="n">
        <v>143.51</v>
      </c>
      <c r="AG50" s="7" t="n">
        <v>304.65</v>
      </c>
      <c r="AH50" s="12" t="n">
        <f aca="false">(U50+AH$4*(Resumo!$C$7+Resumo!$C$8)+Resumo!$C$10*CEILING(AH$3/100,1)+Resumo!$C$9)*(1+Resumo!$C$11)-(AH$4*(Resumo!$B$6+Resumo!$B$7)+Resumo!$B$9+Resumo!$B$10*CEILING(AH$3/100,1)+(Resumo!$B$12+Resumo!$B$13)*CEILING(AH$3,1))</f>
        <v>54.9227352971963</v>
      </c>
      <c r="AI50" s="12" t="n">
        <f aca="false">(V50+AI$4*(Resumo!$C$7+Resumo!$C$8)+Resumo!$C$10*CEILING(AI$3/100,1)+Resumo!$C$9)*(1+Resumo!$C$11)-(AI$4*(Resumo!$B$6+Resumo!$B$7)+Resumo!$B$9+Resumo!$B$10*CEILING(AI$3/100,1)+(Resumo!$B$12+Resumo!$B$13)*CEILING(AI$3,1))</f>
        <v>74.5570462771717</v>
      </c>
      <c r="AJ50" s="12" t="n">
        <f aca="false">(W50+AJ$4*(Resumo!$C$7+Resumo!$C$8)+Resumo!$C$10*CEILING(AJ$3/100,1)+Resumo!$C$9)*(1+Resumo!$C$11)-(AJ$4*(Resumo!$B$6+Resumo!$B$7)+Resumo!$B$9+Resumo!$B$10*CEILING(AJ$3/100,1)+(Resumo!$B$12+Resumo!$B$13)*CEILING(AJ$3,1))</f>
        <v>81.5039345092958</v>
      </c>
      <c r="AK50" s="12" t="n">
        <f aca="false">(X50+AK$4*(Resumo!$C$7+Resumo!$C$8)+Resumo!$C$10*CEILING(AK$3/100,1)+Resumo!$C$9)*(1+Resumo!$C$11)-(AK$4*(Resumo!$B$6+Resumo!$B$7)+Resumo!$B$9+Resumo!$B$10*CEILING(AK$3/100,1)+(Resumo!$B$12+Resumo!$B$13)*CEILING(AK$3,1))</f>
        <v>84.5552580255814</v>
      </c>
      <c r="AL50" s="12" t="n">
        <f aca="false">(Y50+AL$4*(Resumo!$C$7+Resumo!$C$8)+Resumo!$C$10*CEILING(AL$3/100,1)+Resumo!$C$9)*(1+Resumo!$C$11)-(AL$4*(Resumo!$B$6+Resumo!$B$7)+Resumo!$B$9+Resumo!$B$10*CEILING(AL$3/100,1)+(Resumo!$B$12+Resumo!$B$13)*CEILING(AL$3,1))</f>
        <v>90.7147698817308</v>
      </c>
      <c r="AM50" s="12" t="n">
        <f aca="false">(Z50+AM$4*(Resumo!$C$7+Resumo!$C$8)+Resumo!$C$10*CEILING(AM$3/100,1)+Resumo!$C$9)*(1+Resumo!$C$11)-(AM$4*(Resumo!$B$6+Resumo!$B$7)+Resumo!$B$9+Resumo!$B$10*CEILING(AM$3/100,1)+(Resumo!$B$12+Resumo!$B$13)*CEILING(AM$3,1))</f>
        <v>95.0304196468864</v>
      </c>
      <c r="AN50" s="12" t="n">
        <f aca="false">(AA50+AN$4*(Resumo!$C$7+Resumo!$C$8)+Resumo!$C$10*CEILING(AN$3/100,1)+Resumo!$C$9)*(1+Resumo!$C$11)-(AN$4*(Resumo!$B$6+Resumo!$B$7)+Resumo!$B$9+Resumo!$B$10*CEILING(AN$3/100,1)+(Resumo!$B$12+Resumo!$B$13)*CEILING(AN$3,1))</f>
        <v>102.00959604</v>
      </c>
      <c r="AO50" s="12" t="n">
        <f aca="false">(AB50+AO$4*(Resumo!$C$7+Resumo!$C$8)+Resumo!$C$10*CEILING(AO$3/100,1)+Resumo!$C$9)*(1+Resumo!$C$11)-(AO$4*(Resumo!$B$6+Resumo!$B$7)+Resumo!$B$9+Resumo!$B$10*CEILING(AO$3/100,1)+(Resumo!$B$12+Resumo!$B$13)*CEILING(AO$3,1))</f>
        <v>116.765897119298</v>
      </c>
      <c r="AP50" s="12" t="n">
        <f aca="false">(AC50+AP$4*(Resumo!$C$7+Resumo!$C$8)+Resumo!$C$10*CEILING(AP$3/100,1)+Resumo!$C$9)*(1+Resumo!$C$11)-(AP$4*(Resumo!$B$6+Resumo!$B$7)+Resumo!$B$9+Resumo!$B$10*CEILING(AP$3/100,1)+(Resumo!$B$12+Resumo!$B$13)*CEILING(AP$3,1))</f>
        <v>120.300564037736</v>
      </c>
      <c r="AQ50" s="12" t="n">
        <f aca="false">(AD50+AQ$4*(Resumo!$C$7+Resumo!$C$8)+Resumo!$C$10*CEILING(AQ$3/100,1)+Resumo!$C$9)*(1+Resumo!$C$11)-(AQ$4*(Resumo!$B$6+Resumo!$B$7)+Resumo!$B$9+Resumo!$B$10*CEILING(AQ$3/100,1)+(Resumo!$B$12+Resumo!$B$13)*CEILING(AQ$3,1))</f>
        <v>149.110142593023</v>
      </c>
      <c r="AR50" s="12" t="n">
        <f aca="false">(AE50+AR$4*(Resumo!$C$7+Resumo!$C$8)+Resumo!$C$10*CEILING(AR$3/100,1)+Resumo!$C$9)*(1+Resumo!$C$11)-(AR$4*(Resumo!$B$6+Resumo!$B$7)+Resumo!$B$9+Resumo!$B$10*CEILING(AR$3/100,1)+(Resumo!$B$12+Resumo!$B$13)*CEILING(AR$3,1))</f>
        <v>152.447191466667</v>
      </c>
      <c r="AS50" s="12" t="n">
        <f aca="false">(AF50+AS$4*(Resumo!$C$7+Resumo!$C$8)+Resumo!$C$10*CEILING(AS$3/100,1)+Resumo!$C$9)*(1+Resumo!$C$11)-(AS$4*(Resumo!$B$6+Resumo!$B$7)+Resumo!$B$9+Resumo!$B$10*CEILING(AS$3/100,1)+(Resumo!$B$12+Resumo!$B$13)*CEILING(AS$3,1))</f>
        <v>62.11023</v>
      </c>
      <c r="AT50" s="12" t="n">
        <f aca="false">(AG50+AT$4*(Resumo!$C$7+Resumo!$C$8)+Resumo!$C$10*CEILING(AT$3/100,1)+Resumo!$C$9)*(1+Resumo!$C$11)-(AT$4*(Resumo!$B$6+Resumo!$B$7)+Resumo!$B$9+Resumo!$B$10*CEILING(AT$3/100,1)+(Resumo!$B$12+Resumo!$B$13)*CEILING(AT$3,1))</f>
        <v>219.780987533333</v>
      </c>
      <c r="AU50" s="13" t="n">
        <f aca="false">1-AH50/H50</f>
        <v>0.289945245026551</v>
      </c>
      <c r="AV50" s="13" t="n">
        <f aca="false">1-AI50/I50</f>
        <v>0.314921930743621</v>
      </c>
      <c r="AW50" s="13" t="n">
        <f aca="false">1-AJ50/J50</f>
        <v>0.344718326826694</v>
      </c>
      <c r="AX50" s="13" t="n">
        <f aca="false">1-AK50/K50</f>
        <v>0.320186058646234</v>
      </c>
      <c r="AY50" s="13" t="n">
        <f aca="false">1-AL50/L50</f>
        <v>0.362599986778171</v>
      </c>
      <c r="AZ50" s="13" t="n">
        <f aca="false">1-AM50/M50</f>
        <v>0.427699972015137</v>
      </c>
      <c r="BA50" s="13" t="n">
        <f aca="false">1-AN50/N50</f>
        <v>0.353878920445908</v>
      </c>
      <c r="BB50" s="13" t="n">
        <f aca="false">1-AO50/O50</f>
        <v>0.408330898812778</v>
      </c>
      <c r="BC50" s="13" t="n">
        <f aca="false">1-AP50/P50</f>
        <v>0.492016873415523</v>
      </c>
      <c r="BD50" s="13" t="n">
        <f aca="false">1-AQ50/Q50</f>
        <v>0.436980280195502</v>
      </c>
      <c r="BE50" s="13" t="n">
        <f aca="false">1-AR50/R50</f>
        <v>0.492096646787717</v>
      </c>
      <c r="BF50" s="13" t="n">
        <f aca="false">1-AS50/S50</f>
        <v>0.82411013253285</v>
      </c>
      <c r="BG50" s="13" t="n">
        <f aca="false">1-AT50/T50</f>
        <v>0.502082040024166</v>
      </c>
    </row>
    <row r="51" customFormat="false" ht="15" hidden="false" customHeight="false" outlineLevel="0" collapsed="false">
      <c r="A51" s="4" t="s">
        <v>197</v>
      </c>
      <c r="B51" s="4" t="s">
        <v>238</v>
      </c>
      <c r="C51" s="34" t="n">
        <v>27580000</v>
      </c>
      <c r="D51" s="34" t="n">
        <v>27599999</v>
      </c>
      <c r="E51" s="4" t="s">
        <v>201</v>
      </c>
      <c r="F51" s="4" t="s">
        <v>204</v>
      </c>
      <c r="G51" s="4" t="n">
        <f aca="false">COUNTIFS(Pedidos!$E$2:$E$2224,"&gt;="&amp;C51,Pedidos!$E$2:$E$2224,"&lt;="&amp;D51)</f>
        <v>4</v>
      </c>
      <c r="H51" s="7" t="n">
        <v>77.35</v>
      </c>
      <c r="I51" s="7" t="n">
        <v>108.83</v>
      </c>
      <c r="J51" s="7" t="n">
        <v>124.38</v>
      </c>
      <c r="K51" s="7" t="n">
        <v>124.38</v>
      </c>
      <c r="L51" s="7" t="n">
        <v>142.32</v>
      </c>
      <c r="M51" s="7" t="n">
        <v>166.05</v>
      </c>
      <c r="N51" s="7" t="n">
        <v>157.88</v>
      </c>
      <c r="O51" s="7" t="n">
        <v>197.35</v>
      </c>
      <c r="P51" s="7" t="n">
        <v>236.82</v>
      </c>
      <c r="Q51" s="7" t="n">
        <v>264.84</v>
      </c>
      <c r="R51" s="7" t="n">
        <v>300.15</v>
      </c>
      <c r="S51" s="7" t="n">
        <v>353.12</v>
      </c>
      <c r="T51" s="7" t="n">
        <v>441.4</v>
      </c>
      <c r="U51" s="7" t="n">
        <v>52.71</v>
      </c>
      <c r="V51" s="7" t="n">
        <v>76.5</v>
      </c>
      <c r="W51" s="7" t="n">
        <v>87.4</v>
      </c>
      <c r="X51" s="7" t="n">
        <v>94</v>
      </c>
      <c r="Y51" s="7" t="n">
        <v>103.6</v>
      </c>
      <c r="Z51" s="7" t="n">
        <v>113.9</v>
      </c>
      <c r="AA51" s="7" t="n">
        <v>124.16</v>
      </c>
      <c r="AB51" s="7" t="n">
        <v>144.41</v>
      </c>
      <c r="AC51" s="7" t="n">
        <v>161.81</v>
      </c>
      <c r="AD51" s="7" t="n">
        <v>197.37</v>
      </c>
      <c r="AE51" s="7" t="n">
        <v>215.7</v>
      </c>
      <c r="AF51" s="7" t="n">
        <v>143.51</v>
      </c>
      <c r="AG51" s="7" t="n">
        <v>304.65</v>
      </c>
      <c r="AH51" s="12" t="n">
        <f aca="false">(U51+AH$4*(Resumo!$C$7+Resumo!$C$8)+Resumo!$C$10*CEILING(AH$3/100,1)+Resumo!$C$9)*(1+Resumo!$C$11)-(AH$4*(Resumo!$B$6+Resumo!$B$7)+Resumo!$B$9+Resumo!$B$10*CEILING(AH$3/100,1)+(Resumo!$B$12+Resumo!$B$13)*CEILING(AH$3,1))</f>
        <v>54.9227352971963</v>
      </c>
      <c r="AI51" s="12" t="n">
        <f aca="false">(V51+AI$4*(Resumo!$C$7+Resumo!$C$8)+Resumo!$C$10*CEILING(AI$3/100,1)+Resumo!$C$9)*(1+Resumo!$C$11)-(AI$4*(Resumo!$B$6+Resumo!$B$7)+Resumo!$B$9+Resumo!$B$10*CEILING(AI$3/100,1)+(Resumo!$B$12+Resumo!$B$13)*CEILING(AI$3,1))</f>
        <v>74.5570462771717</v>
      </c>
      <c r="AJ51" s="12" t="n">
        <f aca="false">(W51+AJ$4*(Resumo!$C$7+Resumo!$C$8)+Resumo!$C$10*CEILING(AJ$3/100,1)+Resumo!$C$9)*(1+Resumo!$C$11)-(AJ$4*(Resumo!$B$6+Resumo!$B$7)+Resumo!$B$9+Resumo!$B$10*CEILING(AJ$3/100,1)+(Resumo!$B$12+Resumo!$B$13)*CEILING(AJ$3,1))</f>
        <v>81.5039345092958</v>
      </c>
      <c r="AK51" s="12" t="n">
        <f aca="false">(X51+AK$4*(Resumo!$C$7+Resumo!$C$8)+Resumo!$C$10*CEILING(AK$3/100,1)+Resumo!$C$9)*(1+Resumo!$C$11)-(AK$4*(Resumo!$B$6+Resumo!$B$7)+Resumo!$B$9+Resumo!$B$10*CEILING(AK$3/100,1)+(Resumo!$B$12+Resumo!$B$13)*CEILING(AK$3,1))</f>
        <v>84.5552580255814</v>
      </c>
      <c r="AL51" s="12" t="n">
        <f aca="false">(Y51+AL$4*(Resumo!$C$7+Resumo!$C$8)+Resumo!$C$10*CEILING(AL$3/100,1)+Resumo!$C$9)*(1+Resumo!$C$11)-(AL$4*(Resumo!$B$6+Resumo!$B$7)+Resumo!$B$9+Resumo!$B$10*CEILING(AL$3/100,1)+(Resumo!$B$12+Resumo!$B$13)*CEILING(AL$3,1))</f>
        <v>90.7147698817308</v>
      </c>
      <c r="AM51" s="12" t="n">
        <f aca="false">(Z51+AM$4*(Resumo!$C$7+Resumo!$C$8)+Resumo!$C$10*CEILING(AM$3/100,1)+Resumo!$C$9)*(1+Resumo!$C$11)-(AM$4*(Resumo!$B$6+Resumo!$B$7)+Resumo!$B$9+Resumo!$B$10*CEILING(AM$3/100,1)+(Resumo!$B$12+Resumo!$B$13)*CEILING(AM$3,1))</f>
        <v>95.0304196468864</v>
      </c>
      <c r="AN51" s="12" t="n">
        <f aca="false">(AA51+AN$4*(Resumo!$C$7+Resumo!$C$8)+Resumo!$C$10*CEILING(AN$3/100,1)+Resumo!$C$9)*(1+Resumo!$C$11)-(AN$4*(Resumo!$B$6+Resumo!$B$7)+Resumo!$B$9+Resumo!$B$10*CEILING(AN$3/100,1)+(Resumo!$B$12+Resumo!$B$13)*CEILING(AN$3,1))</f>
        <v>102.00959604</v>
      </c>
      <c r="AO51" s="12" t="n">
        <f aca="false">(AB51+AO$4*(Resumo!$C$7+Resumo!$C$8)+Resumo!$C$10*CEILING(AO$3/100,1)+Resumo!$C$9)*(1+Resumo!$C$11)-(AO$4*(Resumo!$B$6+Resumo!$B$7)+Resumo!$B$9+Resumo!$B$10*CEILING(AO$3/100,1)+(Resumo!$B$12+Resumo!$B$13)*CEILING(AO$3,1))</f>
        <v>116.765897119298</v>
      </c>
      <c r="AP51" s="12" t="n">
        <f aca="false">(AC51+AP$4*(Resumo!$C$7+Resumo!$C$8)+Resumo!$C$10*CEILING(AP$3/100,1)+Resumo!$C$9)*(1+Resumo!$C$11)-(AP$4*(Resumo!$B$6+Resumo!$B$7)+Resumo!$B$9+Resumo!$B$10*CEILING(AP$3/100,1)+(Resumo!$B$12+Resumo!$B$13)*CEILING(AP$3,1))</f>
        <v>120.300564037736</v>
      </c>
      <c r="AQ51" s="12" t="n">
        <f aca="false">(AD51+AQ$4*(Resumo!$C$7+Resumo!$C$8)+Resumo!$C$10*CEILING(AQ$3/100,1)+Resumo!$C$9)*(1+Resumo!$C$11)-(AQ$4*(Resumo!$B$6+Resumo!$B$7)+Resumo!$B$9+Resumo!$B$10*CEILING(AQ$3/100,1)+(Resumo!$B$12+Resumo!$B$13)*CEILING(AQ$3,1))</f>
        <v>149.110142593023</v>
      </c>
      <c r="AR51" s="12" t="n">
        <f aca="false">(AE51+AR$4*(Resumo!$C$7+Resumo!$C$8)+Resumo!$C$10*CEILING(AR$3/100,1)+Resumo!$C$9)*(1+Resumo!$C$11)-(AR$4*(Resumo!$B$6+Resumo!$B$7)+Resumo!$B$9+Resumo!$B$10*CEILING(AR$3/100,1)+(Resumo!$B$12+Resumo!$B$13)*CEILING(AR$3,1))</f>
        <v>152.447191466667</v>
      </c>
      <c r="AS51" s="12" t="n">
        <f aca="false">(AF51+AS$4*(Resumo!$C$7+Resumo!$C$8)+Resumo!$C$10*CEILING(AS$3/100,1)+Resumo!$C$9)*(1+Resumo!$C$11)-(AS$4*(Resumo!$B$6+Resumo!$B$7)+Resumo!$B$9+Resumo!$B$10*CEILING(AS$3/100,1)+(Resumo!$B$12+Resumo!$B$13)*CEILING(AS$3,1))</f>
        <v>62.11023</v>
      </c>
      <c r="AT51" s="12" t="n">
        <f aca="false">(AG51+AT$4*(Resumo!$C$7+Resumo!$C$8)+Resumo!$C$10*CEILING(AT$3/100,1)+Resumo!$C$9)*(1+Resumo!$C$11)-(AT$4*(Resumo!$B$6+Resumo!$B$7)+Resumo!$B$9+Resumo!$B$10*CEILING(AT$3/100,1)+(Resumo!$B$12+Resumo!$B$13)*CEILING(AT$3,1))</f>
        <v>219.780987533333</v>
      </c>
      <c r="AU51" s="13" t="n">
        <f aca="false">1-AH51/H51</f>
        <v>0.289945245026551</v>
      </c>
      <c r="AV51" s="13" t="n">
        <f aca="false">1-AI51/I51</f>
        <v>0.314921930743621</v>
      </c>
      <c r="AW51" s="13" t="n">
        <f aca="false">1-AJ51/J51</f>
        <v>0.344718326826694</v>
      </c>
      <c r="AX51" s="13" t="n">
        <f aca="false">1-AK51/K51</f>
        <v>0.320186058646234</v>
      </c>
      <c r="AY51" s="13" t="n">
        <f aca="false">1-AL51/L51</f>
        <v>0.362599986778171</v>
      </c>
      <c r="AZ51" s="13" t="n">
        <f aca="false">1-AM51/M51</f>
        <v>0.427699972015137</v>
      </c>
      <c r="BA51" s="13" t="n">
        <f aca="false">1-AN51/N51</f>
        <v>0.353878920445908</v>
      </c>
      <c r="BB51" s="13" t="n">
        <f aca="false">1-AO51/O51</f>
        <v>0.408330898812778</v>
      </c>
      <c r="BC51" s="13" t="n">
        <f aca="false">1-AP51/P51</f>
        <v>0.492016873415523</v>
      </c>
      <c r="BD51" s="13" t="n">
        <f aca="false">1-AQ51/Q51</f>
        <v>0.436980280195502</v>
      </c>
      <c r="BE51" s="13" t="n">
        <f aca="false">1-AR51/R51</f>
        <v>0.492096646787717</v>
      </c>
      <c r="BF51" s="13" t="n">
        <f aca="false">1-AS51/S51</f>
        <v>0.82411013253285</v>
      </c>
      <c r="BG51" s="13" t="n">
        <f aca="false">1-AT51/T51</f>
        <v>0.502082040024166</v>
      </c>
    </row>
    <row r="52" customFormat="false" ht="15" hidden="false" customHeight="false" outlineLevel="0" collapsed="false">
      <c r="A52" s="4" t="s">
        <v>197</v>
      </c>
      <c r="B52" s="4" t="s">
        <v>239</v>
      </c>
      <c r="C52" s="34" t="n">
        <v>27600000</v>
      </c>
      <c r="D52" s="34" t="n">
        <v>27659999</v>
      </c>
      <c r="E52" s="4" t="s">
        <v>201</v>
      </c>
      <c r="F52" s="4" t="s">
        <v>204</v>
      </c>
      <c r="G52" s="4" t="n">
        <f aca="false">COUNTIFS(Pedidos!$E$2:$E$2224,"&gt;="&amp;C52,Pedidos!$E$2:$E$2224,"&lt;="&amp;D52)</f>
        <v>3</v>
      </c>
      <c r="H52" s="7" t="n">
        <v>77.35</v>
      </c>
      <c r="I52" s="7" t="n">
        <v>108.83</v>
      </c>
      <c r="J52" s="7" t="n">
        <v>124.38</v>
      </c>
      <c r="K52" s="7" t="n">
        <v>124.38</v>
      </c>
      <c r="L52" s="7" t="n">
        <v>142.32</v>
      </c>
      <c r="M52" s="7" t="n">
        <v>166.05</v>
      </c>
      <c r="N52" s="7" t="n">
        <v>157.88</v>
      </c>
      <c r="O52" s="7" t="n">
        <v>197.35</v>
      </c>
      <c r="P52" s="7" t="n">
        <v>236.82</v>
      </c>
      <c r="Q52" s="7" t="n">
        <v>264.84</v>
      </c>
      <c r="R52" s="7" t="n">
        <v>300.15</v>
      </c>
      <c r="S52" s="7" t="n">
        <v>353.12</v>
      </c>
      <c r="T52" s="7" t="n">
        <v>441.4</v>
      </c>
      <c r="U52" s="7" t="n">
        <v>52.71</v>
      </c>
      <c r="V52" s="7" t="n">
        <v>76.5</v>
      </c>
      <c r="W52" s="7" t="n">
        <v>87.4</v>
      </c>
      <c r="X52" s="7" t="n">
        <v>94</v>
      </c>
      <c r="Y52" s="7" t="n">
        <v>103.6</v>
      </c>
      <c r="Z52" s="7" t="n">
        <v>113.9</v>
      </c>
      <c r="AA52" s="7" t="n">
        <v>124.16</v>
      </c>
      <c r="AB52" s="7" t="n">
        <v>144.41</v>
      </c>
      <c r="AC52" s="7" t="n">
        <v>161.81</v>
      </c>
      <c r="AD52" s="7" t="n">
        <v>197.37</v>
      </c>
      <c r="AE52" s="7" t="n">
        <v>215.7</v>
      </c>
      <c r="AF52" s="7" t="n">
        <v>143.51</v>
      </c>
      <c r="AG52" s="7" t="n">
        <v>304.65</v>
      </c>
      <c r="AH52" s="12" t="n">
        <f aca="false">(U52+AH$4*(Resumo!$C$7+Resumo!$C$8)+Resumo!$C$10*CEILING(AH$3/100,1)+Resumo!$C$9)*(1+Resumo!$C$11)-(AH$4*(Resumo!$B$6+Resumo!$B$7)+Resumo!$B$9+Resumo!$B$10*CEILING(AH$3/100,1)+(Resumo!$B$12+Resumo!$B$13)*CEILING(AH$3,1))</f>
        <v>54.9227352971963</v>
      </c>
      <c r="AI52" s="12" t="n">
        <f aca="false">(V52+AI$4*(Resumo!$C$7+Resumo!$C$8)+Resumo!$C$10*CEILING(AI$3/100,1)+Resumo!$C$9)*(1+Resumo!$C$11)-(AI$4*(Resumo!$B$6+Resumo!$B$7)+Resumo!$B$9+Resumo!$B$10*CEILING(AI$3/100,1)+(Resumo!$B$12+Resumo!$B$13)*CEILING(AI$3,1))</f>
        <v>74.5570462771717</v>
      </c>
      <c r="AJ52" s="12" t="n">
        <f aca="false">(W52+AJ$4*(Resumo!$C$7+Resumo!$C$8)+Resumo!$C$10*CEILING(AJ$3/100,1)+Resumo!$C$9)*(1+Resumo!$C$11)-(AJ$4*(Resumo!$B$6+Resumo!$B$7)+Resumo!$B$9+Resumo!$B$10*CEILING(AJ$3/100,1)+(Resumo!$B$12+Resumo!$B$13)*CEILING(AJ$3,1))</f>
        <v>81.5039345092958</v>
      </c>
      <c r="AK52" s="12" t="n">
        <f aca="false">(X52+AK$4*(Resumo!$C$7+Resumo!$C$8)+Resumo!$C$10*CEILING(AK$3/100,1)+Resumo!$C$9)*(1+Resumo!$C$11)-(AK$4*(Resumo!$B$6+Resumo!$B$7)+Resumo!$B$9+Resumo!$B$10*CEILING(AK$3/100,1)+(Resumo!$B$12+Resumo!$B$13)*CEILING(AK$3,1))</f>
        <v>84.5552580255814</v>
      </c>
      <c r="AL52" s="12" t="n">
        <f aca="false">(Y52+AL$4*(Resumo!$C$7+Resumo!$C$8)+Resumo!$C$10*CEILING(AL$3/100,1)+Resumo!$C$9)*(1+Resumo!$C$11)-(AL$4*(Resumo!$B$6+Resumo!$B$7)+Resumo!$B$9+Resumo!$B$10*CEILING(AL$3/100,1)+(Resumo!$B$12+Resumo!$B$13)*CEILING(AL$3,1))</f>
        <v>90.7147698817308</v>
      </c>
      <c r="AM52" s="12" t="n">
        <f aca="false">(Z52+AM$4*(Resumo!$C$7+Resumo!$C$8)+Resumo!$C$10*CEILING(AM$3/100,1)+Resumo!$C$9)*(1+Resumo!$C$11)-(AM$4*(Resumo!$B$6+Resumo!$B$7)+Resumo!$B$9+Resumo!$B$10*CEILING(AM$3/100,1)+(Resumo!$B$12+Resumo!$B$13)*CEILING(AM$3,1))</f>
        <v>95.0304196468864</v>
      </c>
      <c r="AN52" s="12" t="n">
        <f aca="false">(AA52+AN$4*(Resumo!$C$7+Resumo!$C$8)+Resumo!$C$10*CEILING(AN$3/100,1)+Resumo!$C$9)*(1+Resumo!$C$11)-(AN$4*(Resumo!$B$6+Resumo!$B$7)+Resumo!$B$9+Resumo!$B$10*CEILING(AN$3/100,1)+(Resumo!$B$12+Resumo!$B$13)*CEILING(AN$3,1))</f>
        <v>102.00959604</v>
      </c>
      <c r="AO52" s="12" t="n">
        <f aca="false">(AB52+AO$4*(Resumo!$C$7+Resumo!$C$8)+Resumo!$C$10*CEILING(AO$3/100,1)+Resumo!$C$9)*(1+Resumo!$C$11)-(AO$4*(Resumo!$B$6+Resumo!$B$7)+Resumo!$B$9+Resumo!$B$10*CEILING(AO$3/100,1)+(Resumo!$B$12+Resumo!$B$13)*CEILING(AO$3,1))</f>
        <v>116.765897119298</v>
      </c>
      <c r="AP52" s="12" t="n">
        <f aca="false">(AC52+AP$4*(Resumo!$C$7+Resumo!$C$8)+Resumo!$C$10*CEILING(AP$3/100,1)+Resumo!$C$9)*(1+Resumo!$C$11)-(AP$4*(Resumo!$B$6+Resumo!$B$7)+Resumo!$B$9+Resumo!$B$10*CEILING(AP$3/100,1)+(Resumo!$B$12+Resumo!$B$13)*CEILING(AP$3,1))</f>
        <v>120.300564037736</v>
      </c>
      <c r="AQ52" s="12" t="n">
        <f aca="false">(AD52+AQ$4*(Resumo!$C$7+Resumo!$C$8)+Resumo!$C$10*CEILING(AQ$3/100,1)+Resumo!$C$9)*(1+Resumo!$C$11)-(AQ$4*(Resumo!$B$6+Resumo!$B$7)+Resumo!$B$9+Resumo!$B$10*CEILING(AQ$3/100,1)+(Resumo!$B$12+Resumo!$B$13)*CEILING(AQ$3,1))</f>
        <v>149.110142593023</v>
      </c>
      <c r="AR52" s="12" t="n">
        <f aca="false">(AE52+AR$4*(Resumo!$C$7+Resumo!$C$8)+Resumo!$C$10*CEILING(AR$3/100,1)+Resumo!$C$9)*(1+Resumo!$C$11)-(AR$4*(Resumo!$B$6+Resumo!$B$7)+Resumo!$B$9+Resumo!$B$10*CEILING(AR$3/100,1)+(Resumo!$B$12+Resumo!$B$13)*CEILING(AR$3,1))</f>
        <v>152.447191466667</v>
      </c>
      <c r="AS52" s="12" t="n">
        <f aca="false">(AF52+AS$4*(Resumo!$C$7+Resumo!$C$8)+Resumo!$C$10*CEILING(AS$3/100,1)+Resumo!$C$9)*(1+Resumo!$C$11)-(AS$4*(Resumo!$B$6+Resumo!$B$7)+Resumo!$B$9+Resumo!$B$10*CEILING(AS$3/100,1)+(Resumo!$B$12+Resumo!$B$13)*CEILING(AS$3,1))</f>
        <v>62.11023</v>
      </c>
      <c r="AT52" s="12" t="n">
        <f aca="false">(AG52+AT$4*(Resumo!$C$7+Resumo!$C$8)+Resumo!$C$10*CEILING(AT$3/100,1)+Resumo!$C$9)*(1+Resumo!$C$11)-(AT$4*(Resumo!$B$6+Resumo!$B$7)+Resumo!$B$9+Resumo!$B$10*CEILING(AT$3/100,1)+(Resumo!$B$12+Resumo!$B$13)*CEILING(AT$3,1))</f>
        <v>219.780987533333</v>
      </c>
      <c r="AU52" s="13" t="n">
        <f aca="false">1-AH52/H52</f>
        <v>0.289945245026551</v>
      </c>
      <c r="AV52" s="13" t="n">
        <f aca="false">1-AI52/I52</f>
        <v>0.314921930743621</v>
      </c>
      <c r="AW52" s="13" t="n">
        <f aca="false">1-AJ52/J52</f>
        <v>0.344718326826694</v>
      </c>
      <c r="AX52" s="13" t="n">
        <f aca="false">1-AK52/K52</f>
        <v>0.320186058646234</v>
      </c>
      <c r="AY52" s="13" t="n">
        <f aca="false">1-AL52/L52</f>
        <v>0.362599986778171</v>
      </c>
      <c r="AZ52" s="13" t="n">
        <f aca="false">1-AM52/M52</f>
        <v>0.427699972015137</v>
      </c>
      <c r="BA52" s="13" t="n">
        <f aca="false">1-AN52/N52</f>
        <v>0.353878920445908</v>
      </c>
      <c r="BB52" s="13" t="n">
        <f aca="false">1-AO52/O52</f>
        <v>0.408330898812778</v>
      </c>
      <c r="BC52" s="13" t="n">
        <f aca="false">1-AP52/P52</f>
        <v>0.492016873415523</v>
      </c>
      <c r="BD52" s="13" t="n">
        <f aca="false">1-AQ52/Q52</f>
        <v>0.436980280195502</v>
      </c>
      <c r="BE52" s="13" t="n">
        <f aca="false">1-AR52/R52</f>
        <v>0.492096646787717</v>
      </c>
      <c r="BF52" s="13" t="n">
        <f aca="false">1-AS52/S52</f>
        <v>0.82411013253285</v>
      </c>
      <c r="BG52" s="13" t="n">
        <f aca="false">1-AT52/T52</f>
        <v>0.502082040024166</v>
      </c>
    </row>
    <row r="53" customFormat="false" ht="15" hidden="false" customHeight="false" outlineLevel="0" collapsed="false">
      <c r="A53" s="4" t="s">
        <v>197</v>
      </c>
      <c r="B53" s="4" t="s">
        <v>240</v>
      </c>
      <c r="C53" s="34" t="n">
        <v>27660000</v>
      </c>
      <c r="D53" s="34" t="n">
        <v>27699999</v>
      </c>
      <c r="E53" s="4" t="s">
        <v>201</v>
      </c>
      <c r="F53" s="4" t="s">
        <v>204</v>
      </c>
      <c r="G53" s="4" t="n">
        <f aca="false">COUNTIFS(Pedidos!$E$2:$E$2224,"&gt;="&amp;C53,Pedidos!$E$2:$E$2224,"&lt;="&amp;D53)</f>
        <v>0</v>
      </c>
      <c r="H53" s="7" t="n">
        <v>77.35</v>
      </c>
      <c r="I53" s="7" t="n">
        <v>108.83</v>
      </c>
      <c r="J53" s="7" t="n">
        <v>124.38</v>
      </c>
      <c r="K53" s="7" t="n">
        <v>124.38</v>
      </c>
      <c r="L53" s="7" t="n">
        <v>142.32</v>
      </c>
      <c r="M53" s="7" t="n">
        <v>166.05</v>
      </c>
      <c r="N53" s="7" t="n">
        <v>157.88</v>
      </c>
      <c r="O53" s="7" t="n">
        <v>197.35</v>
      </c>
      <c r="P53" s="7" t="n">
        <v>236.82</v>
      </c>
      <c r="Q53" s="7" t="n">
        <v>264.84</v>
      </c>
      <c r="R53" s="7" t="n">
        <v>300.15</v>
      </c>
      <c r="S53" s="7" t="n">
        <v>353.12</v>
      </c>
      <c r="T53" s="7" t="n">
        <v>441.4</v>
      </c>
      <c r="U53" s="7" t="n">
        <v>52.71</v>
      </c>
      <c r="V53" s="7" t="n">
        <v>76.5</v>
      </c>
      <c r="W53" s="7" t="n">
        <v>87.4</v>
      </c>
      <c r="X53" s="7" t="n">
        <v>94</v>
      </c>
      <c r="Y53" s="7" t="n">
        <v>103.6</v>
      </c>
      <c r="Z53" s="7" t="n">
        <v>113.9</v>
      </c>
      <c r="AA53" s="7" t="n">
        <v>124.16</v>
      </c>
      <c r="AB53" s="7" t="n">
        <v>144.41</v>
      </c>
      <c r="AC53" s="7" t="n">
        <v>161.81</v>
      </c>
      <c r="AD53" s="7" t="n">
        <v>197.37</v>
      </c>
      <c r="AE53" s="7" t="n">
        <v>215.7</v>
      </c>
      <c r="AF53" s="7" t="n">
        <v>143.51</v>
      </c>
      <c r="AG53" s="7" t="n">
        <v>304.65</v>
      </c>
      <c r="AH53" s="12" t="n">
        <f aca="false">(U53+AH$4*(Resumo!$C$7+Resumo!$C$8)+Resumo!$C$10*CEILING(AH$3/100,1)+Resumo!$C$9)*(1+Resumo!$C$11)-(AH$4*(Resumo!$B$6+Resumo!$B$7)+Resumo!$B$9+Resumo!$B$10*CEILING(AH$3/100,1)+(Resumo!$B$12+Resumo!$B$13)*CEILING(AH$3,1))</f>
        <v>54.9227352971963</v>
      </c>
      <c r="AI53" s="12" t="n">
        <f aca="false">(V53+AI$4*(Resumo!$C$7+Resumo!$C$8)+Resumo!$C$10*CEILING(AI$3/100,1)+Resumo!$C$9)*(1+Resumo!$C$11)-(AI$4*(Resumo!$B$6+Resumo!$B$7)+Resumo!$B$9+Resumo!$B$10*CEILING(AI$3/100,1)+(Resumo!$B$12+Resumo!$B$13)*CEILING(AI$3,1))</f>
        <v>74.5570462771717</v>
      </c>
      <c r="AJ53" s="12" t="n">
        <f aca="false">(W53+AJ$4*(Resumo!$C$7+Resumo!$C$8)+Resumo!$C$10*CEILING(AJ$3/100,1)+Resumo!$C$9)*(1+Resumo!$C$11)-(AJ$4*(Resumo!$B$6+Resumo!$B$7)+Resumo!$B$9+Resumo!$B$10*CEILING(AJ$3/100,1)+(Resumo!$B$12+Resumo!$B$13)*CEILING(AJ$3,1))</f>
        <v>81.5039345092958</v>
      </c>
      <c r="AK53" s="12" t="n">
        <f aca="false">(X53+AK$4*(Resumo!$C$7+Resumo!$C$8)+Resumo!$C$10*CEILING(AK$3/100,1)+Resumo!$C$9)*(1+Resumo!$C$11)-(AK$4*(Resumo!$B$6+Resumo!$B$7)+Resumo!$B$9+Resumo!$B$10*CEILING(AK$3/100,1)+(Resumo!$B$12+Resumo!$B$13)*CEILING(AK$3,1))</f>
        <v>84.5552580255814</v>
      </c>
      <c r="AL53" s="12" t="n">
        <f aca="false">(Y53+AL$4*(Resumo!$C$7+Resumo!$C$8)+Resumo!$C$10*CEILING(AL$3/100,1)+Resumo!$C$9)*(1+Resumo!$C$11)-(AL$4*(Resumo!$B$6+Resumo!$B$7)+Resumo!$B$9+Resumo!$B$10*CEILING(AL$3/100,1)+(Resumo!$B$12+Resumo!$B$13)*CEILING(AL$3,1))</f>
        <v>90.7147698817308</v>
      </c>
      <c r="AM53" s="12" t="n">
        <f aca="false">(Z53+AM$4*(Resumo!$C$7+Resumo!$C$8)+Resumo!$C$10*CEILING(AM$3/100,1)+Resumo!$C$9)*(1+Resumo!$C$11)-(AM$4*(Resumo!$B$6+Resumo!$B$7)+Resumo!$B$9+Resumo!$B$10*CEILING(AM$3/100,1)+(Resumo!$B$12+Resumo!$B$13)*CEILING(AM$3,1))</f>
        <v>95.0304196468864</v>
      </c>
      <c r="AN53" s="12" t="n">
        <f aca="false">(AA53+AN$4*(Resumo!$C$7+Resumo!$C$8)+Resumo!$C$10*CEILING(AN$3/100,1)+Resumo!$C$9)*(1+Resumo!$C$11)-(AN$4*(Resumo!$B$6+Resumo!$B$7)+Resumo!$B$9+Resumo!$B$10*CEILING(AN$3/100,1)+(Resumo!$B$12+Resumo!$B$13)*CEILING(AN$3,1))</f>
        <v>102.00959604</v>
      </c>
      <c r="AO53" s="12" t="n">
        <f aca="false">(AB53+AO$4*(Resumo!$C$7+Resumo!$C$8)+Resumo!$C$10*CEILING(AO$3/100,1)+Resumo!$C$9)*(1+Resumo!$C$11)-(AO$4*(Resumo!$B$6+Resumo!$B$7)+Resumo!$B$9+Resumo!$B$10*CEILING(AO$3/100,1)+(Resumo!$B$12+Resumo!$B$13)*CEILING(AO$3,1))</f>
        <v>116.765897119298</v>
      </c>
      <c r="AP53" s="12" t="n">
        <f aca="false">(AC53+AP$4*(Resumo!$C$7+Resumo!$C$8)+Resumo!$C$10*CEILING(AP$3/100,1)+Resumo!$C$9)*(1+Resumo!$C$11)-(AP$4*(Resumo!$B$6+Resumo!$B$7)+Resumo!$B$9+Resumo!$B$10*CEILING(AP$3/100,1)+(Resumo!$B$12+Resumo!$B$13)*CEILING(AP$3,1))</f>
        <v>120.300564037736</v>
      </c>
      <c r="AQ53" s="12" t="n">
        <f aca="false">(AD53+AQ$4*(Resumo!$C$7+Resumo!$C$8)+Resumo!$C$10*CEILING(AQ$3/100,1)+Resumo!$C$9)*(1+Resumo!$C$11)-(AQ$4*(Resumo!$B$6+Resumo!$B$7)+Resumo!$B$9+Resumo!$B$10*CEILING(AQ$3/100,1)+(Resumo!$B$12+Resumo!$B$13)*CEILING(AQ$3,1))</f>
        <v>149.110142593023</v>
      </c>
      <c r="AR53" s="12" t="n">
        <f aca="false">(AE53+AR$4*(Resumo!$C$7+Resumo!$C$8)+Resumo!$C$10*CEILING(AR$3/100,1)+Resumo!$C$9)*(1+Resumo!$C$11)-(AR$4*(Resumo!$B$6+Resumo!$B$7)+Resumo!$B$9+Resumo!$B$10*CEILING(AR$3/100,1)+(Resumo!$B$12+Resumo!$B$13)*CEILING(AR$3,1))</f>
        <v>152.447191466667</v>
      </c>
      <c r="AS53" s="12" t="n">
        <f aca="false">(AF53+AS$4*(Resumo!$C$7+Resumo!$C$8)+Resumo!$C$10*CEILING(AS$3/100,1)+Resumo!$C$9)*(1+Resumo!$C$11)-(AS$4*(Resumo!$B$6+Resumo!$B$7)+Resumo!$B$9+Resumo!$B$10*CEILING(AS$3/100,1)+(Resumo!$B$12+Resumo!$B$13)*CEILING(AS$3,1))</f>
        <v>62.11023</v>
      </c>
      <c r="AT53" s="12" t="n">
        <f aca="false">(AG53+AT$4*(Resumo!$C$7+Resumo!$C$8)+Resumo!$C$10*CEILING(AT$3/100,1)+Resumo!$C$9)*(1+Resumo!$C$11)-(AT$4*(Resumo!$B$6+Resumo!$B$7)+Resumo!$B$9+Resumo!$B$10*CEILING(AT$3/100,1)+(Resumo!$B$12+Resumo!$B$13)*CEILING(AT$3,1))</f>
        <v>219.780987533333</v>
      </c>
      <c r="AU53" s="13" t="n">
        <f aca="false">1-AH53/H53</f>
        <v>0.289945245026551</v>
      </c>
      <c r="AV53" s="13" t="n">
        <f aca="false">1-AI53/I53</f>
        <v>0.314921930743621</v>
      </c>
      <c r="AW53" s="13" t="n">
        <f aca="false">1-AJ53/J53</f>
        <v>0.344718326826694</v>
      </c>
      <c r="AX53" s="13" t="n">
        <f aca="false">1-AK53/K53</f>
        <v>0.320186058646234</v>
      </c>
      <c r="AY53" s="13" t="n">
        <f aca="false">1-AL53/L53</f>
        <v>0.362599986778171</v>
      </c>
      <c r="AZ53" s="13" t="n">
        <f aca="false">1-AM53/M53</f>
        <v>0.427699972015137</v>
      </c>
      <c r="BA53" s="13" t="n">
        <f aca="false">1-AN53/N53</f>
        <v>0.353878920445908</v>
      </c>
      <c r="BB53" s="13" t="n">
        <f aca="false">1-AO53/O53</f>
        <v>0.408330898812778</v>
      </c>
      <c r="BC53" s="13" t="n">
        <f aca="false">1-AP53/P53</f>
        <v>0.492016873415523</v>
      </c>
      <c r="BD53" s="13" t="n">
        <f aca="false">1-AQ53/Q53</f>
        <v>0.436980280195502</v>
      </c>
      <c r="BE53" s="13" t="n">
        <f aca="false">1-AR53/R53</f>
        <v>0.492096646787717</v>
      </c>
      <c r="BF53" s="13" t="n">
        <f aca="false">1-AS53/S53</f>
        <v>0.82411013253285</v>
      </c>
      <c r="BG53" s="13" t="n">
        <f aca="false">1-AT53/T53</f>
        <v>0.502082040024166</v>
      </c>
    </row>
    <row r="54" customFormat="false" ht="15" hidden="false" customHeight="false" outlineLevel="0" collapsed="false">
      <c r="A54" s="4" t="s">
        <v>197</v>
      </c>
      <c r="B54" s="4" t="s">
        <v>241</v>
      </c>
      <c r="C54" s="34" t="n">
        <v>27700000</v>
      </c>
      <c r="D54" s="34" t="n">
        <v>27899999</v>
      </c>
      <c r="E54" s="4" t="s">
        <v>201</v>
      </c>
      <c r="F54" s="4" t="s">
        <v>204</v>
      </c>
      <c r="G54" s="4" t="n">
        <f aca="false">COUNTIFS(Pedidos!$E$2:$E$2224,"&gt;="&amp;C54,Pedidos!$E$2:$E$2224,"&lt;="&amp;D54)</f>
        <v>2</v>
      </c>
      <c r="H54" s="7" t="n">
        <v>77.35</v>
      </c>
      <c r="I54" s="7" t="n">
        <v>108.83</v>
      </c>
      <c r="J54" s="7" t="n">
        <v>124.38</v>
      </c>
      <c r="K54" s="7" t="n">
        <v>124.38</v>
      </c>
      <c r="L54" s="7" t="n">
        <v>142.32</v>
      </c>
      <c r="M54" s="7" t="n">
        <v>166.05</v>
      </c>
      <c r="N54" s="7" t="n">
        <v>157.88</v>
      </c>
      <c r="O54" s="7" t="n">
        <v>197.35</v>
      </c>
      <c r="P54" s="7" t="n">
        <v>236.82</v>
      </c>
      <c r="Q54" s="7" t="n">
        <v>264.84</v>
      </c>
      <c r="R54" s="7" t="n">
        <v>300.15</v>
      </c>
      <c r="S54" s="7" t="n">
        <v>353.12</v>
      </c>
      <c r="T54" s="7" t="n">
        <v>441.4</v>
      </c>
      <c r="U54" s="7" t="n">
        <v>52.71</v>
      </c>
      <c r="V54" s="7" t="n">
        <v>76.5</v>
      </c>
      <c r="W54" s="7" t="n">
        <v>87.4</v>
      </c>
      <c r="X54" s="7" t="n">
        <v>94</v>
      </c>
      <c r="Y54" s="7" t="n">
        <v>103.6</v>
      </c>
      <c r="Z54" s="7" t="n">
        <v>113.9</v>
      </c>
      <c r="AA54" s="7" t="n">
        <v>124.16</v>
      </c>
      <c r="AB54" s="7" t="n">
        <v>144.41</v>
      </c>
      <c r="AC54" s="7" t="n">
        <v>161.81</v>
      </c>
      <c r="AD54" s="7" t="n">
        <v>197.37</v>
      </c>
      <c r="AE54" s="7" t="n">
        <v>215.7</v>
      </c>
      <c r="AF54" s="7" t="n">
        <v>143.51</v>
      </c>
      <c r="AG54" s="7" t="n">
        <v>304.65</v>
      </c>
      <c r="AH54" s="12" t="n">
        <f aca="false">(U54+AH$4*(Resumo!$C$7+Resumo!$C$8)+Resumo!$C$10*CEILING(AH$3/100,1)+Resumo!$C$9)*(1+Resumo!$C$11)-(AH$4*(Resumo!$B$6+Resumo!$B$7)+Resumo!$B$9+Resumo!$B$10*CEILING(AH$3/100,1)+(Resumo!$B$12+Resumo!$B$13)*CEILING(AH$3,1))</f>
        <v>54.9227352971963</v>
      </c>
      <c r="AI54" s="12" t="n">
        <f aca="false">(V54+AI$4*(Resumo!$C$7+Resumo!$C$8)+Resumo!$C$10*CEILING(AI$3/100,1)+Resumo!$C$9)*(1+Resumo!$C$11)-(AI$4*(Resumo!$B$6+Resumo!$B$7)+Resumo!$B$9+Resumo!$B$10*CEILING(AI$3/100,1)+(Resumo!$B$12+Resumo!$B$13)*CEILING(AI$3,1))</f>
        <v>74.5570462771717</v>
      </c>
      <c r="AJ54" s="12" t="n">
        <f aca="false">(W54+AJ$4*(Resumo!$C$7+Resumo!$C$8)+Resumo!$C$10*CEILING(AJ$3/100,1)+Resumo!$C$9)*(1+Resumo!$C$11)-(AJ$4*(Resumo!$B$6+Resumo!$B$7)+Resumo!$B$9+Resumo!$B$10*CEILING(AJ$3/100,1)+(Resumo!$B$12+Resumo!$B$13)*CEILING(AJ$3,1))</f>
        <v>81.5039345092958</v>
      </c>
      <c r="AK54" s="12" t="n">
        <f aca="false">(X54+AK$4*(Resumo!$C$7+Resumo!$C$8)+Resumo!$C$10*CEILING(AK$3/100,1)+Resumo!$C$9)*(1+Resumo!$C$11)-(AK$4*(Resumo!$B$6+Resumo!$B$7)+Resumo!$B$9+Resumo!$B$10*CEILING(AK$3/100,1)+(Resumo!$B$12+Resumo!$B$13)*CEILING(AK$3,1))</f>
        <v>84.5552580255814</v>
      </c>
      <c r="AL54" s="12" t="n">
        <f aca="false">(Y54+AL$4*(Resumo!$C$7+Resumo!$C$8)+Resumo!$C$10*CEILING(AL$3/100,1)+Resumo!$C$9)*(1+Resumo!$C$11)-(AL$4*(Resumo!$B$6+Resumo!$B$7)+Resumo!$B$9+Resumo!$B$10*CEILING(AL$3/100,1)+(Resumo!$B$12+Resumo!$B$13)*CEILING(AL$3,1))</f>
        <v>90.7147698817308</v>
      </c>
      <c r="AM54" s="12" t="n">
        <f aca="false">(Z54+AM$4*(Resumo!$C$7+Resumo!$C$8)+Resumo!$C$10*CEILING(AM$3/100,1)+Resumo!$C$9)*(1+Resumo!$C$11)-(AM$4*(Resumo!$B$6+Resumo!$B$7)+Resumo!$B$9+Resumo!$B$10*CEILING(AM$3/100,1)+(Resumo!$B$12+Resumo!$B$13)*CEILING(AM$3,1))</f>
        <v>95.0304196468864</v>
      </c>
      <c r="AN54" s="12" t="n">
        <f aca="false">(AA54+AN$4*(Resumo!$C$7+Resumo!$C$8)+Resumo!$C$10*CEILING(AN$3/100,1)+Resumo!$C$9)*(1+Resumo!$C$11)-(AN$4*(Resumo!$B$6+Resumo!$B$7)+Resumo!$B$9+Resumo!$B$10*CEILING(AN$3/100,1)+(Resumo!$B$12+Resumo!$B$13)*CEILING(AN$3,1))</f>
        <v>102.00959604</v>
      </c>
      <c r="AO54" s="12" t="n">
        <f aca="false">(AB54+AO$4*(Resumo!$C$7+Resumo!$C$8)+Resumo!$C$10*CEILING(AO$3/100,1)+Resumo!$C$9)*(1+Resumo!$C$11)-(AO$4*(Resumo!$B$6+Resumo!$B$7)+Resumo!$B$9+Resumo!$B$10*CEILING(AO$3/100,1)+(Resumo!$B$12+Resumo!$B$13)*CEILING(AO$3,1))</f>
        <v>116.765897119298</v>
      </c>
      <c r="AP54" s="12" t="n">
        <f aca="false">(AC54+AP$4*(Resumo!$C$7+Resumo!$C$8)+Resumo!$C$10*CEILING(AP$3/100,1)+Resumo!$C$9)*(1+Resumo!$C$11)-(AP$4*(Resumo!$B$6+Resumo!$B$7)+Resumo!$B$9+Resumo!$B$10*CEILING(AP$3/100,1)+(Resumo!$B$12+Resumo!$B$13)*CEILING(AP$3,1))</f>
        <v>120.300564037736</v>
      </c>
      <c r="AQ54" s="12" t="n">
        <f aca="false">(AD54+AQ$4*(Resumo!$C$7+Resumo!$C$8)+Resumo!$C$10*CEILING(AQ$3/100,1)+Resumo!$C$9)*(1+Resumo!$C$11)-(AQ$4*(Resumo!$B$6+Resumo!$B$7)+Resumo!$B$9+Resumo!$B$10*CEILING(AQ$3/100,1)+(Resumo!$B$12+Resumo!$B$13)*CEILING(AQ$3,1))</f>
        <v>149.110142593023</v>
      </c>
      <c r="AR54" s="12" t="n">
        <f aca="false">(AE54+AR$4*(Resumo!$C$7+Resumo!$C$8)+Resumo!$C$10*CEILING(AR$3/100,1)+Resumo!$C$9)*(1+Resumo!$C$11)-(AR$4*(Resumo!$B$6+Resumo!$B$7)+Resumo!$B$9+Resumo!$B$10*CEILING(AR$3/100,1)+(Resumo!$B$12+Resumo!$B$13)*CEILING(AR$3,1))</f>
        <v>152.447191466667</v>
      </c>
      <c r="AS54" s="12" t="n">
        <f aca="false">(AF54+AS$4*(Resumo!$C$7+Resumo!$C$8)+Resumo!$C$10*CEILING(AS$3/100,1)+Resumo!$C$9)*(1+Resumo!$C$11)-(AS$4*(Resumo!$B$6+Resumo!$B$7)+Resumo!$B$9+Resumo!$B$10*CEILING(AS$3/100,1)+(Resumo!$B$12+Resumo!$B$13)*CEILING(AS$3,1))</f>
        <v>62.11023</v>
      </c>
      <c r="AT54" s="12" t="n">
        <f aca="false">(AG54+AT$4*(Resumo!$C$7+Resumo!$C$8)+Resumo!$C$10*CEILING(AT$3/100,1)+Resumo!$C$9)*(1+Resumo!$C$11)-(AT$4*(Resumo!$B$6+Resumo!$B$7)+Resumo!$B$9+Resumo!$B$10*CEILING(AT$3/100,1)+(Resumo!$B$12+Resumo!$B$13)*CEILING(AT$3,1))</f>
        <v>219.780987533333</v>
      </c>
      <c r="AU54" s="13" t="n">
        <f aca="false">1-AH54/H54</f>
        <v>0.289945245026551</v>
      </c>
      <c r="AV54" s="13" t="n">
        <f aca="false">1-AI54/I54</f>
        <v>0.314921930743621</v>
      </c>
      <c r="AW54" s="13" t="n">
        <f aca="false">1-AJ54/J54</f>
        <v>0.344718326826694</v>
      </c>
      <c r="AX54" s="13" t="n">
        <f aca="false">1-AK54/K54</f>
        <v>0.320186058646234</v>
      </c>
      <c r="AY54" s="13" t="n">
        <f aca="false">1-AL54/L54</f>
        <v>0.362599986778171</v>
      </c>
      <c r="AZ54" s="13" t="n">
        <f aca="false">1-AM54/M54</f>
        <v>0.427699972015137</v>
      </c>
      <c r="BA54" s="13" t="n">
        <f aca="false">1-AN54/N54</f>
        <v>0.353878920445908</v>
      </c>
      <c r="BB54" s="13" t="n">
        <f aca="false">1-AO54/O54</f>
        <v>0.408330898812778</v>
      </c>
      <c r="BC54" s="13" t="n">
        <f aca="false">1-AP54/P54</f>
        <v>0.492016873415523</v>
      </c>
      <c r="BD54" s="13" t="n">
        <f aca="false">1-AQ54/Q54</f>
        <v>0.436980280195502</v>
      </c>
      <c r="BE54" s="13" t="n">
        <f aca="false">1-AR54/R54</f>
        <v>0.492096646787717</v>
      </c>
      <c r="BF54" s="13" t="n">
        <f aca="false">1-AS54/S54</f>
        <v>0.82411013253285</v>
      </c>
      <c r="BG54" s="13" t="n">
        <f aca="false">1-AT54/T54</f>
        <v>0.502082040024166</v>
      </c>
    </row>
    <row r="55" customFormat="false" ht="15" hidden="false" customHeight="false" outlineLevel="0" collapsed="false">
      <c r="A55" s="4" t="s">
        <v>197</v>
      </c>
      <c r="B55" s="4" t="s">
        <v>146</v>
      </c>
      <c r="C55" s="34" t="n">
        <v>27900000</v>
      </c>
      <c r="D55" s="34" t="n">
        <v>27997999</v>
      </c>
      <c r="E55" s="4" t="s">
        <v>201</v>
      </c>
      <c r="F55" s="4" t="s">
        <v>242</v>
      </c>
      <c r="G55" s="4" t="n">
        <f aca="false">COUNTIFS(Pedidos!$E$2:$E$2224,"&gt;="&amp;C55,Pedidos!$E$2:$E$2224,"&lt;="&amp;D55)</f>
        <v>46</v>
      </c>
      <c r="H55" s="7" t="n">
        <v>124.04</v>
      </c>
      <c r="I55" s="7" t="n">
        <v>138.29</v>
      </c>
      <c r="J55" s="7" t="n">
        <v>143.04</v>
      </c>
      <c r="K55" s="7" t="n">
        <v>152.54</v>
      </c>
      <c r="L55" s="7" t="n">
        <v>162.04</v>
      </c>
      <c r="M55" s="7" t="n">
        <v>171.54</v>
      </c>
      <c r="N55" s="7" t="n">
        <v>181.04</v>
      </c>
      <c r="O55" s="7" t="n">
        <v>200.04</v>
      </c>
      <c r="P55" s="7" t="n">
        <v>236.82</v>
      </c>
      <c r="Q55" s="7" t="n">
        <v>264.84</v>
      </c>
      <c r="R55" s="7" t="n">
        <v>300.15</v>
      </c>
      <c r="S55" s="7" t="n">
        <v>353.17</v>
      </c>
      <c r="T55" s="7" t="n">
        <v>441.4</v>
      </c>
      <c r="U55" s="7" t="n">
        <v>52.71</v>
      </c>
      <c r="V55" s="7" t="n">
        <v>76.5</v>
      </c>
      <c r="W55" s="7" t="n">
        <v>87.4</v>
      </c>
      <c r="X55" s="7" t="n">
        <v>94</v>
      </c>
      <c r="Y55" s="7" t="n">
        <v>103.6</v>
      </c>
      <c r="Z55" s="7" t="n">
        <v>113.9</v>
      </c>
      <c r="AA55" s="7" t="n">
        <v>124.16</v>
      </c>
      <c r="AB55" s="7" t="n">
        <v>144.41</v>
      </c>
      <c r="AC55" s="7" t="n">
        <v>161.81</v>
      </c>
      <c r="AD55" s="7" t="n">
        <v>197.37</v>
      </c>
      <c r="AE55" s="7" t="n">
        <v>215.7</v>
      </c>
      <c r="AF55" s="7" t="n">
        <v>143.51</v>
      </c>
      <c r="AG55" s="7" t="n">
        <v>304.65</v>
      </c>
      <c r="AH55" s="12" t="n">
        <f aca="false">(U55+AH$4*(Resumo!$C$7+Resumo!$C$8)+Resumo!$C$10*CEILING(AH$3/100,1)+Resumo!$C$9)*(1+Resumo!$C$11)-(AH$4*(Resumo!$B$6+Resumo!$B$7)+Resumo!$B$9+Resumo!$B$10*CEILING(AH$3/100,1)+(Resumo!$B$12+Resumo!$B$13)*CEILING(AH$3,1))</f>
        <v>54.9227352971963</v>
      </c>
      <c r="AI55" s="12" t="n">
        <f aca="false">(V55+AI$4*(Resumo!$C$7+Resumo!$C$8)+Resumo!$C$10*CEILING(AI$3/100,1)+Resumo!$C$9)*(1+Resumo!$C$11)-(AI$4*(Resumo!$B$6+Resumo!$B$7)+Resumo!$B$9+Resumo!$B$10*CEILING(AI$3/100,1)+(Resumo!$B$12+Resumo!$B$13)*CEILING(AI$3,1))</f>
        <v>74.5570462771717</v>
      </c>
      <c r="AJ55" s="12" t="n">
        <f aca="false">(W55+AJ$4*(Resumo!$C$7+Resumo!$C$8)+Resumo!$C$10*CEILING(AJ$3/100,1)+Resumo!$C$9)*(1+Resumo!$C$11)-(AJ$4*(Resumo!$B$6+Resumo!$B$7)+Resumo!$B$9+Resumo!$B$10*CEILING(AJ$3/100,1)+(Resumo!$B$12+Resumo!$B$13)*CEILING(AJ$3,1))</f>
        <v>81.5039345092958</v>
      </c>
      <c r="AK55" s="12" t="n">
        <f aca="false">(X55+AK$4*(Resumo!$C$7+Resumo!$C$8)+Resumo!$C$10*CEILING(AK$3/100,1)+Resumo!$C$9)*(1+Resumo!$C$11)-(AK$4*(Resumo!$B$6+Resumo!$B$7)+Resumo!$B$9+Resumo!$B$10*CEILING(AK$3/100,1)+(Resumo!$B$12+Resumo!$B$13)*CEILING(AK$3,1))</f>
        <v>84.5552580255814</v>
      </c>
      <c r="AL55" s="12" t="n">
        <f aca="false">(Y55+AL$4*(Resumo!$C$7+Resumo!$C$8)+Resumo!$C$10*CEILING(AL$3/100,1)+Resumo!$C$9)*(1+Resumo!$C$11)-(AL$4*(Resumo!$B$6+Resumo!$B$7)+Resumo!$B$9+Resumo!$B$10*CEILING(AL$3/100,1)+(Resumo!$B$12+Resumo!$B$13)*CEILING(AL$3,1))</f>
        <v>90.7147698817308</v>
      </c>
      <c r="AM55" s="12" t="n">
        <f aca="false">(Z55+AM$4*(Resumo!$C$7+Resumo!$C$8)+Resumo!$C$10*CEILING(AM$3/100,1)+Resumo!$C$9)*(1+Resumo!$C$11)-(AM$4*(Resumo!$B$6+Resumo!$B$7)+Resumo!$B$9+Resumo!$B$10*CEILING(AM$3/100,1)+(Resumo!$B$12+Resumo!$B$13)*CEILING(AM$3,1))</f>
        <v>95.0304196468864</v>
      </c>
      <c r="AN55" s="12" t="n">
        <f aca="false">(AA55+AN$4*(Resumo!$C$7+Resumo!$C$8)+Resumo!$C$10*CEILING(AN$3/100,1)+Resumo!$C$9)*(1+Resumo!$C$11)-(AN$4*(Resumo!$B$6+Resumo!$B$7)+Resumo!$B$9+Resumo!$B$10*CEILING(AN$3/100,1)+(Resumo!$B$12+Resumo!$B$13)*CEILING(AN$3,1))</f>
        <v>102.00959604</v>
      </c>
      <c r="AO55" s="12" t="n">
        <f aca="false">(AB55+AO$4*(Resumo!$C$7+Resumo!$C$8)+Resumo!$C$10*CEILING(AO$3/100,1)+Resumo!$C$9)*(1+Resumo!$C$11)-(AO$4*(Resumo!$B$6+Resumo!$B$7)+Resumo!$B$9+Resumo!$B$10*CEILING(AO$3/100,1)+(Resumo!$B$12+Resumo!$B$13)*CEILING(AO$3,1))</f>
        <v>116.765897119298</v>
      </c>
      <c r="AP55" s="12" t="n">
        <f aca="false">(AC55+AP$4*(Resumo!$C$7+Resumo!$C$8)+Resumo!$C$10*CEILING(AP$3/100,1)+Resumo!$C$9)*(1+Resumo!$C$11)-(AP$4*(Resumo!$B$6+Resumo!$B$7)+Resumo!$B$9+Resumo!$B$10*CEILING(AP$3/100,1)+(Resumo!$B$12+Resumo!$B$13)*CEILING(AP$3,1))</f>
        <v>120.300564037736</v>
      </c>
      <c r="AQ55" s="12" t="n">
        <f aca="false">(AD55+AQ$4*(Resumo!$C$7+Resumo!$C$8)+Resumo!$C$10*CEILING(AQ$3/100,1)+Resumo!$C$9)*(1+Resumo!$C$11)-(AQ$4*(Resumo!$B$6+Resumo!$B$7)+Resumo!$B$9+Resumo!$B$10*CEILING(AQ$3/100,1)+(Resumo!$B$12+Resumo!$B$13)*CEILING(AQ$3,1))</f>
        <v>149.110142593023</v>
      </c>
      <c r="AR55" s="12" t="n">
        <f aca="false">(AE55+AR$4*(Resumo!$C$7+Resumo!$C$8)+Resumo!$C$10*CEILING(AR$3/100,1)+Resumo!$C$9)*(1+Resumo!$C$11)-(AR$4*(Resumo!$B$6+Resumo!$B$7)+Resumo!$B$9+Resumo!$B$10*CEILING(AR$3/100,1)+(Resumo!$B$12+Resumo!$B$13)*CEILING(AR$3,1))</f>
        <v>152.447191466667</v>
      </c>
      <c r="AS55" s="12" t="n">
        <f aca="false">(AF55+AS$4*(Resumo!$C$7+Resumo!$C$8)+Resumo!$C$10*CEILING(AS$3/100,1)+Resumo!$C$9)*(1+Resumo!$C$11)-(AS$4*(Resumo!$B$6+Resumo!$B$7)+Resumo!$B$9+Resumo!$B$10*CEILING(AS$3/100,1)+(Resumo!$B$12+Resumo!$B$13)*CEILING(AS$3,1))</f>
        <v>62.11023</v>
      </c>
      <c r="AT55" s="12" t="n">
        <f aca="false">(AG55+AT$4*(Resumo!$C$7+Resumo!$C$8)+Resumo!$C$10*CEILING(AT$3/100,1)+Resumo!$C$9)*(1+Resumo!$C$11)-(AT$4*(Resumo!$B$6+Resumo!$B$7)+Resumo!$B$9+Resumo!$B$10*CEILING(AT$3/100,1)+(Resumo!$B$12+Resumo!$B$13)*CEILING(AT$3,1))</f>
        <v>219.780987533333</v>
      </c>
      <c r="AU55" s="13" t="n">
        <f aca="false">1-AH55/H55</f>
        <v>0.557217548394097</v>
      </c>
      <c r="AV55" s="13" t="n">
        <f aca="false">1-AI55/I55</f>
        <v>0.460864514591281</v>
      </c>
      <c r="AW55" s="13" t="n">
        <f aca="false">1-AJ55/J55</f>
        <v>0.430201800130762</v>
      </c>
      <c r="AX55" s="13" t="n">
        <f aca="false">1-AK55/K55</f>
        <v>0.445684685816301</v>
      </c>
      <c r="AY55" s="13" t="n">
        <f aca="false">1-AL55/L55</f>
        <v>0.440170514183345</v>
      </c>
      <c r="AZ55" s="13" t="n">
        <f aca="false">1-AM55/M55</f>
        <v>0.446015975009406</v>
      </c>
      <c r="BA55" s="13" t="n">
        <f aca="false">1-AN55/N55</f>
        <v>0.436535594122846</v>
      </c>
      <c r="BB55" s="13" t="n">
        <f aca="false">1-AO55/O55</f>
        <v>0.416287256952118</v>
      </c>
      <c r="BC55" s="13" t="n">
        <f aca="false">1-AP55/P55</f>
        <v>0.492016873415523</v>
      </c>
      <c r="BD55" s="13" t="n">
        <f aca="false">1-AQ55/Q55</f>
        <v>0.436980280195502</v>
      </c>
      <c r="BE55" s="13" t="n">
        <f aca="false">1-AR55/R55</f>
        <v>0.492096646787717</v>
      </c>
      <c r="BF55" s="13" t="n">
        <f aca="false">1-AS55/S55</f>
        <v>0.824135034119546</v>
      </c>
      <c r="BG55" s="13" t="n">
        <f aca="false">1-AT55/T55</f>
        <v>0.502082040024166</v>
      </c>
    </row>
    <row r="56" customFormat="false" ht="15" hidden="false" customHeight="false" outlineLevel="0" collapsed="false">
      <c r="A56" s="4" t="s">
        <v>197</v>
      </c>
      <c r="B56" s="4" t="s">
        <v>243</v>
      </c>
      <c r="C56" s="34" t="n">
        <v>27998000</v>
      </c>
      <c r="D56" s="34" t="n">
        <v>27999999</v>
      </c>
      <c r="E56" s="4" t="s">
        <v>201</v>
      </c>
      <c r="F56" s="4" t="s">
        <v>242</v>
      </c>
      <c r="G56" s="4" t="n">
        <f aca="false">COUNTIFS(Pedidos!$E$2:$E$2224,"&gt;="&amp;C56,Pedidos!$E$2:$E$2224,"&lt;="&amp;D56)</f>
        <v>1</v>
      </c>
      <c r="H56" s="7" t="n">
        <v>124.04</v>
      </c>
      <c r="I56" s="7" t="n">
        <v>138.29</v>
      </c>
      <c r="J56" s="7" t="n">
        <v>143.04</v>
      </c>
      <c r="K56" s="7" t="n">
        <v>152.54</v>
      </c>
      <c r="L56" s="7" t="n">
        <v>162.04</v>
      </c>
      <c r="M56" s="7" t="n">
        <v>171.54</v>
      </c>
      <c r="N56" s="7" t="n">
        <v>181.04</v>
      </c>
      <c r="O56" s="7" t="n">
        <v>200.04</v>
      </c>
      <c r="P56" s="7" t="n">
        <v>236.82</v>
      </c>
      <c r="Q56" s="7" t="n">
        <v>264.84</v>
      </c>
      <c r="R56" s="7" t="n">
        <v>300.15</v>
      </c>
      <c r="S56" s="7" t="n">
        <v>353.17</v>
      </c>
      <c r="T56" s="7" t="n">
        <v>441.4</v>
      </c>
      <c r="U56" s="7" t="n">
        <v>52.71</v>
      </c>
      <c r="V56" s="7" t="n">
        <v>76.5</v>
      </c>
      <c r="W56" s="7" t="n">
        <v>87.4</v>
      </c>
      <c r="X56" s="7" t="n">
        <v>94</v>
      </c>
      <c r="Y56" s="7" t="n">
        <v>103.6</v>
      </c>
      <c r="Z56" s="7" t="n">
        <v>113.9</v>
      </c>
      <c r="AA56" s="7" t="n">
        <v>124.16</v>
      </c>
      <c r="AB56" s="7" t="n">
        <v>144.41</v>
      </c>
      <c r="AC56" s="7" t="n">
        <v>161.81</v>
      </c>
      <c r="AD56" s="7" t="n">
        <v>197.37</v>
      </c>
      <c r="AE56" s="7" t="n">
        <v>215.7</v>
      </c>
      <c r="AF56" s="7" t="n">
        <v>143.51</v>
      </c>
      <c r="AG56" s="7" t="n">
        <v>304.65</v>
      </c>
      <c r="AH56" s="12" t="n">
        <f aca="false">(U56+AH$4*(Resumo!$C$7+Resumo!$C$8)+Resumo!$C$10*CEILING(AH$3/100,1)+Resumo!$C$9)*(1+Resumo!$C$11)-(AH$4*(Resumo!$B$6+Resumo!$B$7)+Resumo!$B$9+Resumo!$B$10*CEILING(AH$3/100,1)+(Resumo!$B$12+Resumo!$B$13)*CEILING(AH$3,1))</f>
        <v>54.9227352971963</v>
      </c>
      <c r="AI56" s="12" t="n">
        <f aca="false">(V56+AI$4*(Resumo!$C$7+Resumo!$C$8)+Resumo!$C$10*CEILING(AI$3/100,1)+Resumo!$C$9)*(1+Resumo!$C$11)-(AI$4*(Resumo!$B$6+Resumo!$B$7)+Resumo!$B$9+Resumo!$B$10*CEILING(AI$3/100,1)+(Resumo!$B$12+Resumo!$B$13)*CEILING(AI$3,1))</f>
        <v>74.5570462771717</v>
      </c>
      <c r="AJ56" s="12" t="n">
        <f aca="false">(W56+AJ$4*(Resumo!$C$7+Resumo!$C$8)+Resumo!$C$10*CEILING(AJ$3/100,1)+Resumo!$C$9)*(1+Resumo!$C$11)-(AJ$4*(Resumo!$B$6+Resumo!$B$7)+Resumo!$B$9+Resumo!$B$10*CEILING(AJ$3/100,1)+(Resumo!$B$12+Resumo!$B$13)*CEILING(AJ$3,1))</f>
        <v>81.5039345092958</v>
      </c>
      <c r="AK56" s="12" t="n">
        <f aca="false">(X56+AK$4*(Resumo!$C$7+Resumo!$C$8)+Resumo!$C$10*CEILING(AK$3/100,1)+Resumo!$C$9)*(1+Resumo!$C$11)-(AK$4*(Resumo!$B$6+Resumo!$B$7)+Resumo!$B$9+Resumo!$B$10*CEILING(AK$3/100,1)+(Resumo!$B$12+Resumo!$B$13)*CEILING(AK$3,1))</f>
        <v>84.5552580255814</v>
      </c>
      <c r="AL56" s="12" t="n">
        <f aca="false">(Y56+AL$4*(Resumo!$C$7+Resumo!$C$8)+Resumo!$C$10*CEILING(AL$3/100,1)+Resumo!$C$9)*(1+Resumo!$C$11)-(AL$4*(Resumo!$B$6+Resumo!$B$7)+Resumo!$B$9+Resumo!$B$10*CEILING(AL$3/100,1)+(Resumo!$B$12+Resumo!$B$13)*CEILING(AL$3,1))</f>
        <v>90.7147698817308</v>
      </c>
      <c r="AM56" s="12" t="n">
        <f aca="false">(Z56+AM$4*(Resumo!$C$7+Resumo!$C$8)+Resumo!$C$10*CEILING(AM$3/100,1)+Resumo!$C$9)*(1+Resumo!$C$11)-(AM$4*(Resumo!$B$6+Resumo!$B$7)+Resumo!$B$9+Resumo!$B$10*CEILING(AM$3/100,1)+(Resumo!$B$12+Resumo!$B$13)*CEILING(AM$3,1))</f>
        <v>95.0304196468864</v>
      </c>
      <c r="AN56" s="12" t="n">
        <f aca="false">(AA56+AN$4*(Resumo!$C$7+Resumo!$C$8)+Resumo!$C$10*CEILING(AN$3/100,1)+Resumo!$C$9)*(1+Resumo!$C$11)-(AN$4*(Resumo!$B$6+Resumo!$B$7)+Resumo!$B$9+Resumo!$B$10*CEILING(AN$3/100,1)+(Resumo!$B$12+Resumo!$B$13)*CEILING(AN$3,1))</f>
        <v>102.00959604</v>
      </c>
      <c r="AO56" s="12" t="n">
        <f aca="false">(AB56+AO$4*(Resumo!$C$7+Resumo!$C$8)+Resumo!$C$10*CEILING(AO$3/100,1)+Resumo!$C$9)*(1+Resumo!$C$11)-(AO$4*(Resumo!$B$6+Resumo!$B$7)+Resumo!$B$9+Resumo!$B$10*CEILING(AO$3/100,1)+(Resumo!$B$12+Resumo!$B$13)*CEILING(AO$3,1))</f>
        <v>116.765897119298</v>
      </c>
      <c r="AP56" s="12" t="n">
        <f aca="false">(AC56+AP$4*(Resumo!$C$7+Resumo!$C$8)+Resumo!$C$10*CEILING(AP$3/100,1)+Resumo!$C$9)*(1+Resumo!$C$11)-(AP$4*(Resumo!$B$6+Resumo!$B$7)+Resumo!$B$9+Resumo!$B$10*CEILING(AP$3/100,1)+(Resumo!$B$12+Resumo!$B$13)*CEILING(AP$3,1))</f>
        <v>120.300564037736</v>
      </c>
      <c r="AQ56" s="12" t="n">
        <f aca="false">(AD56+AQ$4*(Resumo!$C$7+Resumo!$C$8)+Resumo!$C$10*CEILING(AQ$3/100,1)+Resumo!$C$9)*(1+Resumo!$C$11)-(AQ$4*(Resumo!$B$6+Resumo!$B$7)+Resumo!$B$9+Resumo!$B$10*CEILING(AQ$3/100,1)+(Resumo!$B$12+Resumo!$B$13)*CEILING(AQ$3,1))</f>
        <v>149.110142593023</v>
      </c>
      <c r="AR56" s="12" t="n">
        <f aca="false">(AE56+AR$4*(Resumo!$C$7+Resumo!$C$8)+Resumo!$C$10*CEILING(AR$3/100,1)+Resumo!$C$9)*(1+Resumo!$C$11)-(AR$4*(Resumo!$B$6+Resumo!$B$7)+Resumo!$B$9+Resumo!$B$10*CEILING(AR$3/100,1)+(Resumo!$B$12+Resumo!$B$13)*CEILING(AR$3,1))</f>
        <v>152.447191466667</v>
      </c>
      <c r="AS56" s="12" t="n">
        <f aca="false">(AF56+AS$4*(Resumo!$C$7+Resumo!$C$8)+Resumo!$C$10*CEILING(AS$3/100,1)+Resumo!$C$9)*(1+Resumo!$C$11)-(AS$4*(Resumo!$B$6+Resumo!$B$7)+Resumo!$B$9+Resumo!$B$10*CEILING(AS$3/100,1)+(Resumo!$B$12+Resumo!$B$13)*CEILING(AS$3,1))</f>
        <v>62.11023</v>
      </c>
      <c r="AT56" s="12" t="n">
        <f aca="false">(AG56+AT$4*(Resumo!$C$7+Resumo!$C$8)+Resumo!$C$10*CEILING(AT$3/100,1)+Resumo!$C$9)*(1+Resumo!$C$11)-(AT$4*(Resumo!$B$6+Resumo!$B$7)+Resumo!$B$9+Resumo!$B$10*CEILING(AT$3/100,1)+(Resumo!$B$12+Resumo!$B$13)*CEILING(AT$3,1))</f>
        <v>219.780987533333</v>
      </c>
      <c r="AU56" s="13" t="n">
        <f aca="false">1-AH56/H56</f>
        <v>0.557217548394097</v>
      </c>
      <c r="AV56" s="13" t="n">
        <f aca="false">1-AI56/I56</f>
        <v>0.460864514591281</v>
      </c>
      <c r="AW56" s="13" t="n">
        <f aca="false">1-AJ56/J56</f>
        <v>0.430201800130762</v>
      </c>
      <c r="AX56" s="13" t="n">
        <f aca="false">1-AK56/K56</f>
        <v>0.445684685816301</v>
      </c>
      <c r="AY56" s="13" t="n">
        <f aca="false">1-AL56/L56</f>
        <v>0.440170514183345</v>
      </c>
      <c r="AZ56" s="13" t="n">
        <f aca="false">1-AM56/M56</f>
        <v>0.446015975009406</v>
      </c>
      <c r="BA56" s="13" t="n">
        <f aca="false">1-AN56/N56</f>
        <v>0.436535594122846</v>
      </c>
      <c r="BB56" s="13" t="n">
        <f aca="false">1-AO56/O56</f>
        <v>0.416287256952118</v>
      </c>
      <c r="BC56" s="13" t="n">
        <f aca="false">1-AP56/P56</f>
        <v>0.492016873415523</v>
      </c>
      <c r="BD56" s="13" t="n">
        <f aca="false">1-AQ56/Q56</f>
        <v>0.436980280195502</v>
      </c>
      <c r="BE56" s="13" t="n">
        <f aca="false">1-AR56/R56</f>
        <v>0.492096646787717</v>
      </c>
      <c r="BF56" s="13" t="n">
        <f aca="false">1-AS56/S56</f>
        <v>0.824135034119546</v>
      </c>
      <c r="BG56" s="13" t="n">
        <f aca="false">1-AT56/T56</f>
        <v>0.502082040024166</v>
      </c>
    </row>
    <row r="57" customFormat="false" ht="15" hidden="false" customHeight="false" outlineLevel="0" collapsed="false">
      <c r="A57" s="4" t="s">
        <v>197</v>
      </c>
      <c r="B57" s="4" t="s">
        <v>144</v>
      </c>
      <c r="C57" s="34" t="n">
        <v>28000000</v>
      </c>
      <c r="D57" s="34" t="n">
        <v>28179999</v>
      </c>
      <c r="E57" s="4" t="s">
        <v>201</v>
      </c>
      <c r="F57" s="4" t="s">
        <v>242</v>
      </c>
      <c r="G57" s="4" t="n">
        <f aca="false">COUNTIFS(Pedidos!$E$2:$E$2224,"&gt;="&amp;C57,Pedidos!$E$2:$E$2224,"&lt;="&amp;D57)</f>
        <v>53</v>
      </c>
      <c r="H57" s="7" t="n">
        <v>124.04</v>
      </c>
      <c r="I57" s="7" t="n">
        <v>138.29</v>
      </c>
      <c r="J57" s="7" t="n">
        <v>143.04</v>
      </c>
      <c r="K57" s="7" t="n">
        <v>152.54</v>
      </c>
      <c r="L57" s="7" t="n">
        <v>162.04</v>
      </c>
      <c r="M57" s="7" t="n">
        <v>171.54</v>
      </c>
      <c r="N57" s="7" t="n">
        <v>181.04</v>
      </c>
      <c r="O57" s="7" t="n">
        <v>200.04</v>
      </c>
      <c r="P57" s="7" t="n">
        <v>236.82</v>
      </c>
      <c r="Q57" s="7" t="n">
        <v>264.84</v>
      </c>
      <c r="R57" s="7" t="n">
        <v>300.15</v>
      </c>
      <c r="S57" s="7" t="n">
        <v>353.17</v>
      </c>
      <c r="T57" s="7" t="n">
        <v>441.4</v>
      </c>
      <c r="U57" s="7" t="n">
        <v>52.71</v>
      </c>
      <c r="V57" s="7" t="n">
        <v>76.5</v>
      </c>
      <c r="W57" s="7" t="n">
        <v>87.4</v>
      </c>
      <c r="X57" s="7" t="n">
        <v>94</v>
      </c>
      <c r="Y57" s="7" t="n">
        <v>103.6</v>
      </c>
      <c r="Z57" s="7" t="n">
        <v>113.9</v>
      </c>
      <c r="AA57" s="7" t="n">
        <v>124.16</v>
      </c>
      <c r="AB57" s="7" t="n">
        <v>144.41</v>
      </c>
      <c r="AC57" s="7" t="n">
        <v>161.81</v>
      </c>
      <c r="AD57" s="7" t="n">
        <v>197.37</v>
      </c>
      <c r="AE57" s="7" t="n">
        <v>215.7</v>
      </c>
      <c r="AF57" s="7" t="n">
        <v>143.51</v>
      </c>
      <c r="AG57" s="7" t="n">
        <v>304.65</v>
      </c>
      <c r="AH57" s="12" t="n">
        <f aca="false">(U57+AH$4*(Resumo!$C$7+Resumo!$C$8)+Resumo!$C$10*CEILING(AH$3/100,1)+Resumo!$C$9)*(1+Resumo!$C$11)-(AH$4*(Resumo!$B$6+Resumo!$B$7)+Resumo!$B$9+Resumo!$B$10*CEILING(AH$3/100,1)+(Resumo!$B$12+Resumo!$B$13)*CEILING(AH$3,1))</f>
        <v>54.9227352971963</v>
      </c>
      <c r="AI57" s="12" t="n">
        <f aca="false">(V57+AI$4*(Resumo!$C$7+Resumo!$C$8)+Resumo!$C$10*CEILING(AI$3/100,1)+Resumo!$C$9)*(1+Resumo!$C$11)-(AI$4*(Resumo!$B$6+Resumo!$B$7)+Resumo!$B$9+Resumo!$B$10*CEILING(AI$3/100,1)+(Resumo!$B$12+Resumo!$B$13)*CEILING(AI$3,1))</f>
        <v>74.5570462771717</v>
      </c>
      <c r="AJ57" s="12" t="n">
        <f aca="false">(W57+AJ$4*(Resumo!$C$7+Resumo!$C$8)+Resumo!$C$10*CEILING(AJ$3/100,1)+Resumo!$C$9)*(1+Resumo!$C$11)-(AJ$4*(Resumo!$B$6+Resumo!$B$7)+Resumo!$B$9+Resumo!$B$10*CEILING(AJ$3/100,1)+(Resumo!$B$12+Resumo!$B$13)*CEILING(AJ$3,1))</f>
        <v>81.5039345092958</v>
      </c>
      <c r="AK57" s="12" t="n">
        <f aca="false">(X57+AK$4*(Resumo!$C$7+Resumo!$C$8)+Resumo!$C$10*CEILING(AK$3/100,1)+Resumo!$C$9)*(1+Resumo!$C$11)-(AK$4*(Resumo!$B$6+Resumo!$B$7)+Resumo!$B$9+Resumo!$B$10*CEILING(AK$3/100,1)+(Resumo!$B$12+Resumo!$B$13)*CEILING(AK$3,1))</f>
        <v>84.5552580255814</v>
      </c>
      <c r="AL57" s="12" t="n">
        <f aca="false">(Y57+AL$4*(Resumo!$C$7+Resumo!$C$8)+Resumo!$C$10*CEILING(AL$3/100,1)+Resumo!$C$9)*(1+Resumo!$C$11)-(AL$4*(Resumo!$B$6+Resumo!$B$7)+Resumo!$B$9+Resumo!$B$10*CEILING(AL$3/100,1)+(Resumo!$B$12+Resumo!$B$13)*CEILING(AL$3,1))</f>
        <v>90.7147698817308</v>
      </c>
      <c r="AM57" s="12" t="n">
        <f aca="false">(Z57+AM$4*(Resumo!$C$7+Resumo!$C$8)+Resumo!$C$10*CEILING(AM$3/100,1)+Resumo!$C$9)*(1+Resumo!$C$11)-(AM$4*(Resumo!$B$6+Resumo!$B$7)+Resumo!$B$9+Resumo!$B$10*CEILING(AM$3/100,1)+(Resumo!$B$12+Resumo!$B$13)*CEILING(AM$3,1))</f>
        <v>95.0304196468864</v>
      </c>
      <c r="AN57" s="12" t="n">
        <f aca="false">(AA57+AN$4*(Resumo!$C$7+Resumo!$C$8)+Resumo!$C$10*CEILING(AN$3/100,1)+Resumo!$C$9)*(1+Resumo!$C$11)-(AN$4*(Resumo!$B$6+Resumo!$B$7)+Resumo!$B$9+Resumo!$B$10*CEILING(AN$3/100,1)+(Resumo!$B$12+Resumo!$B$13)*CEILING(AN$3,1))</f>
        <v>102.00959604</v>
      </c>
      <c r="AO57" s="12" t="n">
        <f aca="false">(AB57+AO$4*(Resumo!$C$7+Resumo!$C$8)+Resumo!$C$10*CEILING(AO$3/100,1)+Resumo!$C$9)*(1+Resumo!$C$11)-(AO$4*(Resumo!$B$6+Resumo!$B$7)+Resumo!$B$9+Resumo!$B$10*CEILING(AO$3/100,1)+(Resumo!$B$12+Resumo!$B$13)*CEILING(AO$3,1))</f>
        <v>116.765897119298</v>
      </c>
      <c r="AP57" s="12" t="n">
        <f aca="false">(AC57+AP$4*(Resumo!$C$7+Resumo!$C$8)+Resumo!$C$10*CEILING(AP$3/100,1)+Resumo!$C$9)*(1+Resumo!$C$11)-(AP$4*(Resumo!$B$6+Resumo!$B$7)+Resumo!$B$9+Resumo!$B$10*CEILING(AP$3/100,1)+(Resumo!$B$12+Resumo!$B$13)*CEILING(AP$3,1))</f>
        <v>120.300564037736</v>
      </c>
      <c r="AQ57" s="12" t="n">
        <f aca="false">(AD57+AQ$4*(Resumo!$C$7+Resumo!$C$8)+Resumo!$C$10*CEILING(AQ$3/100,1)+Resumo!$C$9)*(1+Resumo!$C$11)-(AQ$4*(Resumo!$B$6+Resumo!$B$7)+Resumo!$B$9+Resumo!$B$10*CEILING(AQ$3/100,1)+(Resumo!$B$12+Resumo!$B$13)*CEILING(AQ$3,1))</f>
        <v>149.110142593023</v>
      </c>
      <c r="AR57" s="12" t="n">
        <f aca="false">(AE57+AR$4*(Resumo!$C$7+Resumo!$C$8)+Resumo!$C$10*CEILING(AR$3/100,1)+Resumo!$C$9)*(1+Resumo!$C$11)-(AR$4*(Resumo!$B$6+Resumo!$B$7)+Resumo!$B$9+Resumo!$B$10*CEILING(AR$3/100,1)+(Resumo!$B$12+Resumo!$B$13)*CEILING(AR$3,1))</f>
        <v>152.447191466667</v>
      </c>
      <c r="AS57" s="12" t="n">
        <f aca="false">(AF57+AS$4*(Resumo!$C$7+Resumo!$C$8)+Resumo!$C$10*CEILING(AS$3/100,1)+Resumo!$C$9)*(1+Resumo!$C$11)-(AS$4*(Resumo!$B$6+Resumo!$B$7)+Resumo!$B$9+Resumo!$B$10*CEILING(AS$3/100,1)+(Resumo!$B$12+Resumo!$B$13)*CEILING(AS$3,1))</f>
        <v>62.11023</v>
      </c>
      <c r="AT57" s="12" t="n">
        <f aca="false">(AG57+AT$4*(Resumo!$C$7+Resumo!$C$8)+Resumo!$C$10*CEILING(AT$3/100,1)+Resumo!$C$9)*(1+Resumo!$C$11)-(AT$4*(Resumo!$B$6+Resumo!$B$7)+Resumo!$B$9+Resumo!$B$10*CEILING(AT$3/100,1)+(Resumo!$B$12+Resumo!$B$13)*CEILING(AT$3,1))</f>
        <v>219.780987533333</v>
      </c>
      <c r="AU57" s="13" t="n">
        <f aca="false">1-AH57/H57</f>
        <v>0.557217548394097</v>
      </c>
      <c r="AV57" s="13" t="n">
        <f aca="false">1-AI57/I57</f>
        <v>0.460864514591281</v>
      </c>
      <c r="AW57" s="13" t="n">
        <f aca="false">1-AJ57/J57</f>
        <v>0.430201800130762</v>
      </c>
      <c r="AX57" s="13" t="n">
        <f aca="false">1-AK57/K57</f>
        <v>0.445684685816301</v>
      </c>
      <c r="AY57" s="13" t="n">
        <f aca="false">1-AL57/L57</f>
        <v>0.440170514183345</v>
      </c>
      <c r="AZ57" s="13" t="n">
        <f aca="false">1-AM57/M57</f>
        <v>0.446015975009406</v>
      </c>
      <c r="BA57" s="13" t="n">
        <f aca="false">1-AN57/N57</f>
        <v>0.436535594122846</v>
      </c>
      <c r="BB57" s="13" t="n">
        <f aca="false">1-AO57/O57</f>
        <v>0.416287256952118</v>
      </c>
      <c r="BC57" s="13" t="n">
        <f aca="false">1-AP57/P57</f>
        <v>0.492016873415523</v>
      </c>
      <c r="BD57" s="13" t="n">
        <f aca="false">1-AQ57/Q57</f>
        <v>0.436980280195502</v>
      </c>
      <c r="BE57" s="13" t="n">
        <f aca="false">1-AR57/R57</f>
        <v>0.492096646787717</v>
      </c>
      <c r="BF57" s="13" t="n">
        <f aca="false">1-AS57/S57</f>
        <v>0.824135034119546</v>
      </c>
      <c r="BG57" s="13" t="n">
        <f aca="false">1-AT57/T57</f>
        <v>0.502082040024166</v>
      </c>
    </row>
    <row r="58" customFormat="false" ht="15" hidden="false" customHeight="false" outlineLevel="0" collapsed="false">
      <c r="A58" s="4" t="s">
        <v>197</v>
      </c>
      <c r="B58" s="4" t="s">
        <v>244</v>
      </c>
      <c r="C58" s="34" t="n">
        <v>28180000</v>
      </c>
      <c r="D58" s="34" t="n">
        <v>28199999</v>
      </c>
      <c r="E58" s="4" t="s">
        <v>201</v>
      </c>
      <c r="F58" s="4" t="s">
        <v>242</v>
      </c>
      <c r="G58" s="4" t="n">
        <f aca="false">COUNTIFS(Pedidos!$E$2:$E$2224,"&gt;="&amp;C58,Pedidos!$E$2:$E$2224,"&lt;="&amp;D58)</f>
        <v>1</v>
      </c>
      <c r="H58" s="7" t="n">
        <v>124.04</v>
      </c>
      <c r="I58" s="7" t="n">
        <v>138.29</v>
      </c>
      <c r="J58" s="7" t="n">
        <v>143.04</v>
      </c>
      <c r="K58" s="7" t="n">
        <v>152.54</v>
      </c>
      <c r="L58" s="7" t="n">
        <v>162.04</v>
      </c>
      <c r="M58" s="7" t="n">
        <v>171.54</v>
      </c>
      <c r="N58" s="7" t="n">
        <v>181.04</v>
      </c>
      <c r="O58" s="7" t="n">
        <v>200.04</v>
      </c>
      <c r="P58" s="7" t="n">
        <v>236.82</v>
      </c>
      <c r="Q58" s="7" t="n">
        <v>264.84</v>
      </c>
      <c r="R58" s="7" t="n">
        <v>300.15</v>
      </c>
      <c r="S58" s="7" t="n">
        <v>353.17</v>
      </c>
      <c r="T58" s="7" t="n">
        <v>441.4</v>
      </c>
      <c r="U58" s="7" t="n">
        <v>52.71</v>
      </c>
      <c r="V58" s="7" t="n">
        <v>76.5</v>
      </c>
      <c r="W58" s="7" t="n">
        <v>87.4</v>
      </c>
      <c r="X58" s="7" t="n">
        <v>94</v>
      </c>
      <c r="Y58" s="7" t="n">
        <v>103.6</v>
      </c>
      <c r="Z58" s="7" t="n">
        <v>113.9</v>
      </c>
      <c r="AA58" s="7" t="n">
        <v>124.16</v>
      </c>
      <c r="AB58" s="7" t="n">
        <v>144.41</v>
      </c>
      <c r="AC58" s="7" t="n">
        <v>161.81</v>
      </c>
      <c r="AD58" s="7" t="n">
        <v>197.37</v>
      </c>
      <c r="AE58" s="7" t="n">
        <v>215.7</v>
      </c>
      <c r="AF58" s="7" t="n">
        <v>143.51</v>
      </c>
      <c r="AG58" s="7" t="n">
        <v>304.65</v>
      </c>
      <c r="AH58" s="12" t="n">
        <f aca="false">(U58+AH$4*(Resumo!$C$7+Resumo!$C$8)+Resumo!$C$10*CEILING(AH$3/100,1)+Resumo!$C$9)*(1+Resumo!$C$11)-(AH$4*(Resumo!$B$6+Resumo!$B$7)+Resumo!$B$9+Resumo!$B$10*CEILING(AH$3/100,1)+(Resumo!$B$12+Resumo!$B$13)*CEILING(AH$3,1))</f>
        <v>54.9227352971963</v>
      </c>
      <c r="AI58" s="12" t="n">
        <f aca="false">(V58+AI$4*(Resumo!$C$7+Resumo!$C$8)+Resumo!$C$10*CEILING(AI$3/100,1)+Resumo!$C$9)*(1+Resumo!$C$11)-(AI$4*(Resumo!$B$6+Resumo!$B$7)+Resumo!$B$9+Resumo!$B$10*CEILING(AI$3/100,1)+(Resumo!$B$12+Resumo!$B$13)*CEILING(AI$3,1))</f>
        <v>74.5570462771717</v>
      </c>
      <c r="AJ58" s="12" t="n">
        <f aca="false">(W58+AJ$4*(Resumo!$C$7+Resumo!$C$8)+Resumo!$C$10*CEILING(AJ$3/100,1)+Resumo!$C$9)*(1+Resumo!$C$11)-(AJ$4*(Resumo!$B$6+Resumo!$B$7)+Resumo!$B$9+Resumo!$B$10*CEILING(AJ$3/100,1)+(Resumo!$B$12+Resumo!$B$13)*CEILING(AJ$3,1))</f>
        <v>81.5039345092958</v>
      </c>
      <c r="AK58" s="12" t="n">
        <f aca="false">(X58+AK$4*(Resumo!$C$7+Resumo!$C$8)+Resumo!$C$10*CEILING(AK$3/100,1)+Resumo!$C$9)*(1+Resumo!$C$11)-(AK$4*(Resumo!$B$6+Resumo!$B$7)+Resumo!$B$9+Resumo!$B$10*CEILING(AK$3/100,1)+(Resumo!$B$12+Resumo!$B$13)*CEILING(AK$3,1))</f>
        <v>84.5552580255814</v>
      </c>
      <c r="AL58" s="12" t="n">
        <f aca="false">(Y58+AL$4*(Resumo!$C$7+Resumo!$C$8)+Resumo!$C$10*CEILING(AL$3/100,1)+Resumo!$C$9)*(1+Resumo!$C$11)-(AL$4*(Resumo!$B$6+Resumo!$B$7)+Resumo!$B$9+Resumo!$B$10*CEILING(AL$3/100,1)+(Resumo!$B$12+Resumo!$B$13)*CEILING(AL$3,1))</f>
        <v>90.7147698817308</v>
      </c>
      <c r="AM58" s="12" t="n">
        <f aca="false">(Z58+AM$4*(Resumo!$C$7+Resumo!$C$8)+Resumo!$C$10*CEILING(AM$3/100,1)+Resumo!$C$9)*(1+Resumo!$C$11)-(AM$4*(Resumo!$B$6+Resumo!$B$7)+Resumo!$B$9+Resumo!$B$10*CEILING(AM$3/100,1)+(Resumo!$B$12+Resumo!$B$13)*CEILING(AM$3,1))</f>
        <v>95.0304196468864</v>
      </c>
      <c r="AN58" s="12" t="n">
        <f aca="false">(AA58+AN$4*(Resumo!$C$7+Resumo!$C$8)+Resumo!$C$10*CEILING(AN$3/100,1)+Resumo!$C$9)*(1+Resumo!$C$11)-(AN$4*(Resumo!$B$6+Resumo!$B$7)+Resumo!$B$9+Resumo!$B$10*CEILING(AN$3/100,1)+(Resumo!$B$12+Resumo!$B$13)*CEILING(AN$3,1))</f>
        <v>102.00959604</v>
      </c>
      <c r="AO58" s="12" t="n">
        <f aca="false">(AB58+AO$4*(Resumo!$C$7+Resumo!$C$8)+Resumo!$C$10*CEILING(AO$3/100,1)+Resumo!$C$9)*(1+Resumo!$C$11)-(AO$4*(Resumo!$B$6+Resumo!$B$7)+Resumo!$B$9+Resumo!$B$10*CEILING(AO$3/100,1)+(Resumo!$B$12+Resumo!$B$13)*CEILING(AO$3,1))</f>
        <v>116.765897119298</v>
      </c>
      <c r="AP58" s="12" t="n">
        <f aca="false">(AC58+AP$4*(Resumo!$C$7+Resumo!$C$8)+Resumo!$C$10*CEILING(AP$3/100,1)+Resumo!$C$9)*(1+Resumo!$C$11)-(AP$4*(Resumo!$B$6+Resumo!$B$7)+Resumo!$B$9+Resumo!$B$10*CEILING(AP$3/100,1)+(Resumo!$B$12+Resumo!$B$13)*CEILING(AP$3,1))</f>
        <v>120.300564037736</v>
      </c>
      <c r="AQ58" s="12" t="n">
        <f aca="false">(AD58+AQ$4*(Resumo!$C$7+Resumo!$C$8)+Resumo!$C$10*CEILING(AQ$3/100,1)+Resumo!$C$9)*(1+Resumo!$C$11)-(AQ$4*(Resumo!$B$6+Resumo!$B$7)+Resumo!$B$9+Resumo!$B$10*CEILING(AQ$3/100,1)+(Resumo!$B$12+Resumo!$B$13)*CEILING(AQ$3,1))</f>
        <v>149.110142593023</v>
      </c>
      <c r="AR58" s="12" t="n">
        <f aca="false">(AE58+AR$4*(Resumo!$C$7+Resumo!$C$8)+Resumo!$C$10*CEILING(AR$3/100,1)+Resumo!$C$9)*(1+Resumo!$C$11)-(AR$4*(Resumo!$B$6+Resumo!$B$7)+Resumo!$B$9+Resumo!$B$10*CEILING(AR$3/100,1)+(Resumo!$B$12+Resumo!$B$13)*CEILING(AR$3,1))</f>
        <v>152.447191466667</v>
      </c>
      <c r="AS58" s="12" t="n">
        <f aca="false">(AF58+AS$4*(Resumo!$C$7+Resumo!$C$8)+Resumo!$C$10*CEILING(AS$3/100,1)+Resumo!$C$9)*(1+Resumo!$C$11)-(AS$4*(Resumo!$B$6+Resumo!$B$7)+Resumo!$B$9+Resumo!$B$10*CEILING(AS$3/100,1)+(Resumo!$B$12+Resumo!$B$13)*CEILING(AS$3,1))</f>
        <v>62.11023</v>
      </c>
      <c r="AT58" s="12" t="n">
        <f aca="false">(AG58+AT$4*(Resumo!$C$7+Resumo!$C$8)+Resumo!$C$10*CEILING(AT$3/100,1)+Resumo!$C$9)*(1+Resumo!$C$11)-(AT$4*(Resumo!$B$6+Resumo!$B$7)+Resumo!$B$9+Resumo!$B$10*CEILING(AT$3/100,1)+(Resumo!$B$12+Resumo!$B$13)*CEILING(AT$3,1))</f>
        <v>219.780987533333</v>
      </c>
      <c r="AU58" s="13" t="n">
        <f aca="false">1-AH58/H58</f>
        <v>0.557217548394097</v>
      </c>
      <c r="AV58" s="13" t="n">
        <f aca="false">1-AI58/I58</f>
        <v>0.460864514591281</v>
      </c>
      <c r="AW58" s="13" t="n">
        <f aca="false">1-AJ58/J58</f>
        <v>0.430201800130762</v>
      </c>
      <c r="AX58" s="13" t="n">
        <f aca="false">1-AK58/K58</f>
        <v>0.445684685816301</v>
      </c>
      <c r="AY58" s="13" t="n">
        <f aca="false">1-AL58/L58</f>
        <v>0.440170514183345</v>
      </c>
      <c r="AZ58" s="13" t="n">
        <f aca="false">1-AM58/M58</f>
        <v>0.446015975009406</v>
      </c>
      <c r="BA58" s="13" t="n">
        <f aca="false">1-AN58/N58</f>
        <v>0.436535594122846</v>
      </c>
      <c r="BB58" s="13" t="n">
        <f aca="false">1-AO58/O58</f>
        <v>0.416287256952118</v>
      </c>
      <c r="BC58" s="13" t="n">
        <f aca="false">1-AP58/P58</f>
        <v>0.492016873415523</v>
      </c>
      <c r="BD58" s="13" t="n">
        <f aca="false">1-AQ58/Q58</f>
        <v>0.436980280195502</v>
      </c>
      <c r="BE58" s="13" t="n">
        <f aca="false">1-AR58/R58</f>
        <v>0.492096646787717</v>
      </c>
      <c r="BF58" s="13" t="n">
        <f aca="false">1-AS58/S58</f>
        <v>0.824135034119546</v>
      </c>
      <c r="BG58" s="13" t="n">
        <f aca="false">1-AT58/T58</f>
        <v>0.502082040024166</v>
      </c>
    </row>
    <row r="59" customFormat="false" ht="15" hidden="false" customHeight="false" outlineLevel="0" collapsed="false">
      <c r="A59" s="4" t="s">
        <v>197</v>
      </c>
      <c r="B59" s="4" t="s">
        <v>245</v>
      </c>
      <c r="C59" s="34" t="n">
        <v>28200000</v>
      </c>
      <c r="D59" s="34" t="n">
        <v>28229999</v>
      </c>
      <c r="E59" s="4" t="s">
        <v>201</v>
      </c>
      <c r="F59" s="4" t="s">
        <v>242</v>
      </c>
      <c r="G59" s="4" t="n">
        <f aca="false">COUNTIFS(Pedidos!$E$2:$E$2224,"&gt;="&amp;C59,Pedidos!$E$2:$E$2224,"&lt;="&amp;D59)</f>
        <v>14</v>
      </c>
      <c r="H59" s="7" t="n">
        <v>124.04</v>
      </c>
      <c r="I59" s="7" t="n">
        <v>138.29</v>
      </c>
      <c r="J59" s="7" t="n">
        <v>143.04</v>
      </c>
      <c r="K59" s="7" t="n">
        <v>152.54</v>
      </c>
      <c r="L59" s="7" t="n">
        <v>162.04</v>
      </c>
      <c r="M59" s="7" t="n">
        <v>171.54</v>
      </c>
      <c r="N59" s="7" t="n">
        <v>181.04</v>
      </c>
      <c r="O59" s="7" t="n">
        <v>200.04</v>
      </c>
      <c r="P59" s="7" t="n">
        <v>236.82</v>
      </c>
      <c r="Q59" s="7" t="n">
        <v>264.84</v>
      </c>
      <c r="R59" s="7" t="n">
        <v>300.15</v>
      </c>
      <c r="S59" s="7" t="n">
        <v>353.17</v>
      </c>
      <c r="T59" s="7" t="n">
        <v>441.4</v>
      </c>
      <c r="U59" s="7" t="n">
        <v>52.71</v>
      </c>
      <c r="V59" s="7" t="n">
        <v>76.5</v>
      </c>
      <c r="W59" s="7" t="n">
        <v>87.4</v>
      </c>
      <c r="X59" s="7" t="n">
        <v>94</v>
      </c>
      <c r="Y59" s="7" t="n">
        <v>103.6</v>
      </c>
      <c r="Z59" s="7" t="n">
        <v>113.9</v>
      </c>
      <c r="AA59" s="7" t="n">
        <v>124.16</v>
      </c>
      <c r="AB59" s="7" t="n">
        <v>144.41</v>
      </c>
      <c r="AC59" s="7" t="n">
        <v>161.81</v>
      </c>
      <c r="AD59" s="7" t="n">
        <v>197.37</v>
      </c>
      <c r="AE59" s="7" t="n">
        <v>215.7</v>
      </c>
      <c r="AF59" s="7" t="n">
        <v>143.51</v>
      </c>
      <c r="AG59" s="7" t="n">
        <v>304.65</v>
      </c>
      <c r="AH59" s="12" t="n">
        <f aca="false">(U59+AH$4*(Resumo!$C$7+Resumo!$C$8)+Resumo!$C$10*CEILING(AH$3/100,1)+Resumo!$C$9)*(1+Resumo!$C$11)-(AH$4*(Resumo!$B$6+Resumo!$B$7)+Resumo!$B$9+Resumo!$B$10*CEILING(AH$3/100,1)+(Resumo!$B$12+Resumo!$B$13)*CEILING(AH$3,1))</f>
        <v>54.9227352971963</v>
      </c>
      <c r="AI59" s="12" t="n">
        <f aca="false">(V59+AI$4*(Resumo!$C$7+Resumo!$C$8)+Resumo!$C$10*CEILING(AI$3/100,1)+Resumo!$C$9)*(1+Resumo!$C$11)-(AI$4*(Resumo!$B$6+Resumo!$B$7)+Resumo!$B$9+Resumo!$B$10*CEILING(AI$3/100,1)+(Resumo!$B$12+Resumo!$B$13)*CEILING(AI$3,1))</f>
        <v>74.5570462771717</v>
      </c>
      <c r="AJ59" s="12" t="n">
        <f aca="false">(W59+AJ$4*(Resumo!$C$7+Resumo!$C$8)+Resumo!$C$10*CEILING(AJ$3/100,1)+Resumo!$C$9)*(1+Resumo!$C$11)-(AJ$4*(Resumo!$B$6+Resumo!$B$7)+Resumo!$B$9+Resumo!$B$10*CEILING(AJ$3/100,1)+(Resumo!$B$12+Resumo!$B$13)*CEILING(AJ$3,1))</f>
        <v>81.5039345092958</v>
      </c>
      <c r="AK59" s="12" t="n">
        <f aca="false">(X59+AK$4*(Resumo!$C$7+Resumo!$C$8)+Resumo!$C$10*CEILING(AK$3/100,1)+Resumo!$C$9)*(1+Resumo!$C$11)-(AK$4*(Resumo!$B$6+Resumo!$B$7)+Resumo!$B$9+Resumo!$B$10*CEILING(AK$3/100,1)+(Resumo!$B$12+Resumo!$B$13)*CEILING(AK$3,1))</f>
        <v>84.5552580255814</v>
      </c>
      <c r="AL59" s="12" t="n">
        <f aca="false">(Y59+AL$4*(Resumo!$C$7+Resumo!$C$8)+Resumo!$C$10*CEILING(AL$3/100,1)+Resumo!$C$9)*(1+Resumo!$C$11)-(AL$4*(Resumo!$B$6+Resumo!$B$7)+Resumo!$B$9+Resumo!$B$10*CEILING(AL$3/100,1)+(Resumo!$B$12+Resumo!$B$13)*CEILING(AL$3,1))</f>
        <v>90.7147698817308</v>
      </c>
      <c r="AM59" s="12" t="n">
        <f aca="false">(Z59+AM$4*(Resumo!$C$7+Resumo!$C$8)+Resumo!$C$10*CEILING(AM$3/100,1)+Resumo!$C$9)*(1+Resumo!$C$11)-(AM$4*(Resumo!$B$6+Resumo!$B$7)+Resumo!$B$9+Resumo!$B$10*CEILING(AM$3/100,1)+(Resumo!$B$12+Resumo!$B$13)*CEILING(AM$3,1))</f>
        <v>95.0304196468864</v>
      </c>
      <c r="AN59" s="12" t="n">
        <f aca="false">(AA59+AN$4*(Resumo!$C$7+Resumo!$C$8)+Resumo!$C$10*CEILING(AN$3/100,1)+Resumo!$C$9)*(1+Resumo!$C$11)-(AN$4*(Resumo!$B$6+Resumo!$B$7)+Resumo!$B$9+Resumo!$B$10*CEILING(AN$3/100,1)+(Resumo!$B$12+Resumo!$B$13)*CEILING(AN$3,1))</f>
        <v>102.00959604</v>
      </c>
      <c r="AO59" s="12" t="n">
        <f aca="false">(AB59+AO$4*(Resumo!$C$7+Resumo!$C$8)+Resumo!$C$10*CEILING(AO$3/100,1)+Resumo!$C$9)*(1+Resumo!$C$11)-(AO$4*(Resumo!$B$6+Resumo!$B$7)+Resumo!$B$9+Resumo!$B$10*CEILING(AO$3/100,1)+(Resumo!$B$12+Resumo!$B$13)*CEILING(AO$3,1))</f>
        <v>116.765897119298</v>
      </c>
      <c r="AP59" s="12" t="n">
        <f aca="false">(AC59+AP$4*(Resumo!$C$7+Resumo!$C$8)+Resumo!$C$10*CEILING(AP$3/100,1)+Resumo!$C$9)*(1+Resumo!$C$11)-(AP$4*(Resumo!$B$6+Resumo!$B$7)+Resumo!$B$9+Resumo!$B$10*CEILING(AP$3/100,1)+(Resumo!$B$12+Resumo!$B$13)*CEILING(AP$3,1))</f>
        <v>120.300564037736</v>
      </c>
      <c r="AQ59" s="12" t="n">
        <f aca="false">(AD59+AQ$4*(Resumo!$C$7+Resumo!$C$8)+Resumo!$C$10*CEILING(AQ$3/100,1)+Resumo!$C$9)*(1+Resumo!$C$11)-(AQ$4*(Resumo!$B$6+Resumo!$B$7)+Resumo!$B$9+Resumo!$B$10*CEILING(AQ$3/100,1)+(Resumo!$B$12+Resumo!$B$13)*CEILING(AQ$3,1))</f>
        <v>149.110142593023</v>
      </c>
      <c r="AR59" s="12" t="n">
        <f aca="false">(AE59+AR$4*(Resumo!$C$7+Resumo!$C$8)+Resumo!$C$10*CEILING(AR$3/100,1)+Resumo!$C$9)*(1+Resumo!$C$11)-(AR$4*(Resumo!$B$6+Resumo!$B$7)+Resumo!$B$9+Resumo!$B$10*CEILING(AR$3/100,1)+(Resumo!$B$12+Resumo!$B$13)*CEILING(AR$3,1))</f>
        <v>152.447191466667</v>
      </c>
      <c r="AS59" s="12" t="n">
        <f aca="false">(AF59+AS$4*(Resumo!$C$7+Resumo!$C$8)+Resumo!$C$10*CEILING(AS$3/100,1)+Resumo!$C$9)*(1+Resumo!$C$11)-(AS$4*(Resumo!$B$6+Resumo!$B$7)+Resumo!$B$9+Resumo!$B$10*CEILING(AS$3/100,1)+(Resumo!$B$12+Resumo!$B$13)*CEILING(AS$3,1))</f>
        <v>62.11023</v>
      </c>
      <c r="AT59" s="12" t="n">
        <f aca="false">(AG59+AT$4*(Resumo!$C$7+Resumo!$C$8)+Resumo!$C$10*CEILING(AT$3/100,1)+Resumo!$C$9)*(1+Resumo!$C$11)-(AT$4*(Resumo!$B$6+Resumo!$B$7)+Resumo!$B$9+Resumo!$B$10*CEILING(AT$3/100,1)+(Resumo!$B$12+Resumo!$B$13)*CEILING(AT$3,1))</f>
        <v>219.780987533333</v>
      </c>
      <c r="AU59" s="13" t="n">
        <f aca="false">1-AH59/H59</f>
        <v>0.557217548394097</v>
      </c>
      <c r="AV59" s="13" t="n">
        <f aca="false">1-AI59/I59</f>
        <v>0.460864514591281</v>
      </c>
      <c r="AW59" s="13" t="n">
        <f aca="false">1-AJ59/J59</f>
        <v>0.430201800130762</v>
      </c>
      <c r="AX59" s="13" t="n">
        <f aca="false">1-AK59/K59</f>
        <v>0.445684685816301</v>
      </c>
      <c r="AY59" s="13" t="n">
        <f aca="false">1-AL59/L59</f>
        <v>0.440170514183345</v>
      </c>
      <c r="AZ59" s="13" t="n">
        <f aca="false">1-AM59/M59</f>
        <v>0.446015975009406</v>
      </c>
      <c r="BA59" s="13" t="n">
        <f aca="false">1-AN59/N59</f>
        <v>0.436535594122846</v>
      </c>
      <c r="BB59" s="13" t="n">
        <f aca="false">1-AO59/O59</f>
        <v>0.416287256952118</v>
      </c>
      <c r="BC59" s="13" t="n">
        <f aca="false">1-AP59/P59</f>
        <v>0.492016873415523</v>
      </c>
      <c r="BD59" s="13" t="n">
        <f aca="false">1-AQ59/Q59</f>
        <v>0.436980280195502</v>
      </c>
      <c r="BE59" s="13" t="n">
        <f aca="false">1-AR59/R59</f>
        <v>0.492096646787717</v>
      </c>
      <c r="BF59" s="13" t="n">
        <f aca="false">1-AS59/S59</f>
        <v>0.824135034119546</v>
      </c>
      <c r="BG59" s="13" t="n">
        <f aca="false">1-AT59/T59</f>
        <v>0.502082040024166</v>
      </c>
    </row>
    <row r="60" customFormat="false" ht="15" hidden="false" customHeight="false" outlineLevel="0" collapsed="false">
      <c r="A60" s="4" t="s">
        <v>197</v>
      </c>
      <c r="B60" s="4" t="s">
        <v>246</v>
      </c>
      <c r="C60" s="34" t="n">
        <v>28230000</v>
      </c>
      <c r="D60" s="34" t="n">
        <v>28249999</v>
      </c>
      <c r="E60" s="4" t="s">
        <v>201</v>
      </c>
      <c r="F60" s="4" t="s">
        <v>242</v>
      </c>
      <c r="G60" s="4" t="n">
        <f aca="false">COUNTIFS(Pedidos!$E$2:$E$2224,"&gt;="&amp;C60,Pedidos!$E$2:$E$2224,"&lt;="&amp;D60)</f>
        <v>2</v>
      </c>
      <c r="H60" s="7" t="n">
        <v>124.04</v>
      </c>
      <c r="I60" s="7" t="n">
        <v>138.29</v>
      </c>
      <c r="J60" s="7" t="n">
        <v>143.04</v>
      </c>
      <c r="K60" s="7" t="n">
        <v>152.54</v>
      </c>
      <c r="L60" s="7" t="n">
        <v>162.04</v>
      </c>
      <c r="M60" s="7" t="n">
        <v>171.54</v>
      </c>
      <c r="N60" s="7" t="n">
        <v>181.04</v>
      </c>
      <c r="O60" s="7" t="n">
        <v>200.04</v>
      </c>
      <c r="P60" s="7" t="n">
        <v>236.82</v>
      </c>
      <c r="Q60" s="7" t="n">
        <v>264.84</v>
      </c>
      <c r="R60" s="7" t="n">
        <v>300.15</v>
      </c>
      <c r="S60" s="7" t="n">
        <v>353.17</v>
      </c>
      <c r="T60" s="7" t="n">
        <v>441.4</v>
      </c>
      <c r="U60" s="7" t="n">
        <v>52.71</v>
      </c>
      <c r="V60" s="7" t="n">
        <v>76.5</v>
      </c>
      <c r="W60" s="7" t="n">
        <v>87.4</v>
      </c>
      <c r="X60" s="7" t="n">
        <v>94</v>
      </c>
      <c r="Y60" s="7" t="n">
        <v>103.6</v>
      </c>
      <c r="Z60" s="7" t="n">
        <v>113.9</v>
      </c>
      <c r="AA60" s="7" t="n">
        <v>124.16</v>
      </c>
      <c r="AB60" s="7" t="n">
        <v>144.41</v>
      </c>
      <c r="AC60" s="7" t="n">
        <v>161.81</v>
      </c>
      <c r="AD60" s="7" t="n">
        <v>197.37</v>
      </c>
      <c r="AE60" s="7" t="n">
        <v>215.7</v>
      </c>
      <c r="AF60" s="7" t="n">
        <v>143.51</v>
      </c>
      <c r="AG60" s="7" t="n">
        <v>304.65</v>
      </c>
      <c r="AH60" s="12" t="n">
        <f aca="false">(U60+AH$4*(Resumo!$C$7+Resumo!$C$8)+Resumo!$C$10*CEILING(AH$3/100,1)+Resumo!$C$9)*(1+Resumo!$C$11)-(AH$4*(Resumo!$B$6+Resumo!$B$7)+Resumo!$B$9+Resumo!$B$10*CEILING(AH$3/100,1)+(Resumo!$B$12+Resumo!$B$13)*CEILING(AH$3,1))</f>
        <v>54.9227352971963</v>
      </c>
      <c r="AI60" s="12" t="n">
        <f aca="false">(V60+AI$4*(Resumo!$C$7+Resumo!$C$8)+Resumo!$C$10*CEILING(AI$3/100,1)+Resumo!$C$9)*(1+Resumo!$C$11)-(AI$4*(Resumo!$B$6+Resumo!$B$7)+Resumo!$B$9+Resumo!$B$10*CEILING(AI$3/100,1)+(Resumo!$B$12+Resumo!$B$13)*CEILING(AI$3,1))</f>
        <v>74.5570462771717</v>
      </c>
      <c r="AJ60" s="12" t="n">
        <f aca="false">(W60+AJ$4*(Resumo!$C$7+Resumo!$C$8)+Resumo!$C$10*CEILING(AJ$3/100,1)+Resumo!$C$9)*(1+Resumo!$C$11)-(AJ$4*(Resumo!$B$6+Resumo!$B$7)+Resumo!$B$9+Resumo!$B$10*CEILING(AJ$3/100,1)+(Resumo!$B$12+Resumo!$B$13)*CEILING(AJ$3,1))</f>
        <v>81.5039345092958</v>
      </c>
      <c r="AK60" s="12" t="n">
        <f aca="false">(X60+AK$4*(Resumo!$C$7+Resumo!$C$8)+Resumo!$C$10*CEILING(AK$3/100,1)+Resumo!$C$9)*(1+Resumo!$C$11)-(AK$4*(Resumo!$B$6+Resumo!$B$7)+Resumo!$B$9+Resumo!$B$10*CEILING(AK$3/100,1)+(Resumo!$B$12+Resumo!$B$13)*CEILING(AK$3,1))</f>
        <v>84.5552580255814</v>
      </c>
      <c r="AL60" s="12" t="n">
        <f aca="false">(Y60+AL$4*(Resumo!$C$7+Resumo!$C$8)+Resumo!$C$10*CEILING(AL$3/100,1)+Resumo!$C$9)*(1+Resumo!$C$11)-(AL$4*(Resumo!$B$6+Resumo!$B$7)+Resumo!$B$9+Resumo!$B$10*CEILING(AL$3/100,1)+(Resumo!$B$12+Resumo!$B$13)*CEILING(AL$3,1))</f>
        <v>90.7147698817308</v>
      </c>
      <c r="AM60" s="12" t="n">
        <f aca="false">(Z60+AM$4*(Resumo!$C$7+Resumo!$C$8)+Resumo!$C$10*CEILING(AM$3/100,1)+Resumo!$C$9)*(1+Resumo!$C$11)-(AM$4*(Resumo!$B$6+Resumo!$B$7)+Resumo!$B$9+Resumo!$B$10*CEILING(AM$3/100,1)+(Resumo!$B$12+Resumo!$B$13)*CEILING(AM$3,1))</f>
        <v>95.0304196468864</v>
      </c>
      <c r="AN60" s="12" t="n">
        <f aca="false">(AA60+AN$4*(Resumo!$C$7+Resumo!$C$8)+Resumo!$C$10*CEILING(AN$3/100,1)+Resumo!$C$9)*(1+Resumo!$C$11)-(AN$4*(Resumo!$B$6+Resumo!$B$7)+Resumo!$B$9+Resumo!$B$10*CEILING(AN$3/100,1)+(Resumo!$B$12+Resumo!$B$13)*CEILING(AN$3,1))</f>
        <v>102.00959604</v>
      </c>
      <c r="AO60" s="12" t="n">
        <f aca="false">(AB60+AO$4*(Resumo!$C$7+Resumo!$C$8)+Resumo!$C$10*CEILING(AO$3/100,1)+Resumo!$C$9)*(1+Resumo!$C$11)-(AO$4*(Resumo!$B$6+Resumo!$B$7)+Resumo!$B$9+Resumo!$B$10*CEILING(AO$3/100,1)+(Resumo!$B$12+Resumo!$B$13)*CEILING(AO$3,1))</f>
        <v>116.765897119298</v>
      </c>
      <c r="AP60" s="12" t="n">
        <f aca="false">(AC60+AP$4*(Resumo!$C$7+Resumo!$C$8)+Resumo!$C$10*CEILING(AP$3/100,1)+Resumo!$C$9)*(1+Resumo!$C$11)-(AP$4*(Resumo!$B$6+Resumo!$B$7)+Resumo!$B$9+Resumo!$B$10*CEILING(AP$3/100,1)+(Resumo!$B$12+Resumo!$B$13)*CEILING(AP$3,1))</f>
        <v>120.300564037736</v>
      </c>
      <c r="AQ60" s="12" t="n">
        <f aca="false">(AD60+AQ$4*(Resumo!$C$7+Resumo!$C$8)+Resumo!$C$10*CEILING(AQ$3/100,1)+Resumo!$C$9)*(1+Resumo!$C$11)-(AQ$4*(Resumo!$B$6+Resumo!$B$7)+Resumo!$B$9+Resumo!$B$10*CEILING(AQ$3/100,1)+(Resumo!$B$12+Resumo!$B$13)*CEILING(AQ$3,1))</f>
        <v>149.110142593023</v>
      </c>
      <c r="AR60" s="12" t="n">
        <f aca="false">(AE60+AR$4*(Resumo!$C$7+Resumo!$C$8)+Resumo!$C$10*CEILING(AR$3/100,1)+Resumo!$C$9)*(1+Resumo!$C$11)-(AR$4*(Resumo!$B$6+Resumo!$B$7)+Resumo!$B$9+Resumo!$B$10*CEILING(AR$3/100,1)+(Resumo!$B$12+Resumo!$B$13)*CEILING(AR$3,1))</f>
        <v>152.447191466667</v>
      </c>
      <c r="AS60" s="12" t="n">
        <f aca="false">(AF60+AS$4*(Resumo!$C$7+Resumo!$C$8)+Resumo!$C$10*CEILING(AS$3/100,1)+Resumo!$C$9)*(1+Resumo!$C$11)-(AS$4*(Resumo!$B$6+Resumo!$B$7)+Resumo!$B$9+Resumo!$B$10*CEILING(AS$3/100,1)+(Resumo!$B$12+Resumo!$B$13)*CEILING(AS$3,1))</f>
        <v>62.11023</v>
      </c>
      <c r="AT60" s="12" t="n">
        <f aca="false">(AG60+AT$4*(Resumo!$C$7+Resumo!$C$8)+Resumo!$C$10*CEILING(AT$3/100,1)+Resumo!$C$9)*(1+Resumo!$C$11)-(AT$4*(Resumo!$B$6+Resumo!$B$7)+Resumo!$B$9+Resumo!$B$10*CEILING(AT$3/100,1)+(Resumo!$B$12+Resumo!$B$13)*CEILING(AT$3,1))</f>
        <v>219.780987533333</v>
      </c>
      <c r="AU60" s="13" t="n">
        <f aca="false">1-AH60/H60</f>
        <v>0.557217548394097</v>
      </c>
      <c r="AV60" s="13" t="n">
        <f aca="false">1-AI60/I60</f>
        <v>0.460864514591281</v>
      </c>
      <c r="AW60" s="13" t="n">
        <f aca="false">1-AJ60/J60</f>
        <v>0.430201800130762</v>
      </c>
      <c r="AX60" s="13" t="n">
        <f aca="false">1-AK60/K60</f>
        <v>0.445684685816301</v>
      </c>
      <c r="AY60" s="13" t="n">
        <f aca="false">1-AL60/L60</f>
        <v>0.440170514183345</v>
      </c>
      <c r="AZ60" s="13" t="n">
        <f aca="false">1-AM60/M60</f>
        <v>0.446015975009406</v>
      </c>
      <c r="BA60" s="13" t="n">
        <f aca="false">1-AN60/N60</f>
        <v>0.436535594122846</v>
      </c>
      <c r="BB60" s="13" t="n">
        <f aca="false">1-AO60/O60</f>
        <v>0.416287256952118</v>
      </c>
      <c r="BC60" s="13" t="n">
        <f aca="false">1-AP60/P60</f>
        <v>0.492016873415523</v>
      </c>
      <c r="BD60" s="13" t="n">
        <f aca="false">1-AQ60/Q60</f>
        <v>0.436980280195502</v>
      </c>
      <c r="BE60" s="13" t="n">
        <f aca="false">1-AR60/R60</f>
        <v>0.492096646787717</v>
      </c>
      <c r="BF60" s="13" t="n">
        <f aca="false">1-AS60/S60</f>
        <v>0.824135034119546</v>
      </c>
      <c r="BG60" s="13" t="n">
        <f aca="false">1-AT60/T60</f>
        <v>0.502082040024166</v>
      </c>
    </row>
    <row r="61" customFormat="false" ht="15" hidden="false" customHeight="false" outlineLevel="0" collapsed="false">
      <c r="A61" s="4" t="s">
        <v>197</v>
      </c>
      <c r="B61" s="4" t="s">
        <v>247</v>
      </c>
      <c r="C61" s="34" t="n">
        <v>28250000</v>
      </c>
      <c r="D61" s="34" t="n">
        <v>28299999</v>
      </c>
      <c r="E61" s="4" t="s">
        <v>201</v>
      </c>
      <c r="F61" s="4" t="s">
        <v>242</v>
      </c>
      <c r="G61" s="4" t="n">
        <f aca="false">COUNTIFS(Pedidos!$E$2:$E$2224,"&gt;="&amp;C61,Pedidos!$E$2:$E$2224,"&lt;="&amp;D61)</f>
        <v>1</v>
      </c>
      <c r="H61" s="7" t="n">
        <v>124.04</v>
      </c>
      <c r="I61" s="7" t="n">
        <v>138.29</v>
      </c>
      <c r="J61" s="7" t="n">
        <v>143.04</v>
      </c>
      <c r="K61" s="7" t="n">
        <v>152.54</v>
      </c>
      <c r="L61" s="7" t="n">
        <v>162.04</v>
      </c>
      <c r="M61" s="7" t="n">
        <v>171.54</v>
      </c>
      <c r="N61" s="7" t="n">
        <v>181.04</v>
      </c>
      <c r="O61" s="7" t="n">
        <v>200.04</v>
      </c>
      <c r="P61" s="7" t="n">
        <v>236.82</v>
      </c>
      <c r="Q61" s="7" t="n">
        <v>264.84</v>
      </c>
      <c r="R61" s="7" t="n">
        <v>300.15</v>
      </c>
      <c r="S61" s="7" t="n">
        <v>353.17</v>
      </c>
      <c r="T61" s="7" t="n">
        <v>441.4</v>
      </c>
      <c r="U61" s="7" t="n">
        <v>52.71</v>
      </c>
      <c r="V61" s="7" t="n">
        <v>76.5</v>
      </c>
      <c r="W61" s="7" t="n">
        <v>87.4</v>
      </c>
      <c r="X61" s="7" t="n">
        <v>94</v>
      </c>
      <c r="Y61" s="7" t="n">
        <v>103.6</v>
      </c>
      <c r="Z61" s="7" t="n">
        <v>113.9</v>
      </c>
      <c r="AA61" s="7" t="n">
        <v>124.16</v>
      </c>
      <c r="AB61" s="7" t="n">
        <v>144.41</v>
      </c>
      <c r="AC61" s="7" t="n">
        <v>161.81</v>
      </c>
      <c r="AD61" s="7" t="n">
        <v>197.37</v>
      </c>
      <c r="AE61" s="7" t="n">
        <v>215.7</v>
      </c>
      <c r="AF61" s="7" t="n">
        <v>143.51</v>
      </c>
      <c r="AG61" s="7" t="n">
        <v>304.65</v>
      </c>
      <c r="AH61" s="12" t="n">
        <f aca="false">(U61+AH$4*(Resumo!$C$7+Resumo!$C$8)+Resumo!$C$10*CEILING(AH$3/100,1)+Resumo!$C$9)*(1+Resumo!$C$11)-(AH$4*(Resumo!$B$6+Resumo!$B$7)+Resumo!$B$9+Resumo!$B$10*CEILING(AH$3/100,1)+(Resumo!$B$12+Resumo!$B$13)*CEILING(AH$3,1))</f>
        <v>54.9227352971963</v>
      </c>
      <c r="AI61" s="12" t="n">
        <f aca="false">(V61+AI$4*(Resumo!$C$7+Resumo!$C$8)+Resumo!$C$10*CEILING(AI$3/100,1)+Resumo!$C$9)*(1+Resumo!$C$11)-(AI$4*(Resumo!$B$6+Resumo!$B$7)+Resumo!$B$9+Resumo!$B$10*CEILING(AI$3/100,1)+(Resumo!$B$12+Resumo!$B$13)*CEILING(AI$3,1))</f>
        <v>74.5570462771717</v>
      </c>
      <c r="AJ61" s="12" t="n">
        <f aca="false">(W61+AJ$4*(Resumo!$C$7+Resumo!$C$8)+Resumo!$C$10*CEILING(AJ$3/100,1)+Resumo!$C$9)*(1+Resumo!$C$11)-(AJ$4*(Resumo!$B$6+Resumo!$B$7)+Resumo!$B$9+Resumo!$B$10*CEILING(AJ$3/100,1)+(Resumo!$B$12+Resumo!$B$13)*CEILING(AJ$3,1))</f>
        <v>81.5039345092958</v>
      </c>
      <c r="AK61" s="12" t="n">
        <f aca="false">(X61+AK$4*(Resumo!$C$7+Resumo!$C$8)+Resumo!$C$10*CEILING(AK$3/100,1)+Resumo!$C$9)*(1+Resumo!$C$11)-(AK$4*(Resumo!$B$6+Resumo!$B$7)+Resumo!$B$9+Resumo!$B$10*CEILING(AK$3/100,1)+(Resumo!$B$12+Resumo!$B$13)*CEILING(AK$3,1))</f>
        <v>84.5552580255814</v>
      </c>
      <c r="AL61" s="12" t="n">
        <f aca="false">(Y61+AL$4*(Resumo!$C$7+Resumo!$C$8)+Resumo!$C$10*CEILING(AL$3/100,1)+Resumo!$C$9)*(1+Resumo!$C$11)-(AL$4*(Resumo!$B$6+Resumo!$B$7)+Resumo!$B$9+Resumo!$B$10*CEILING(AL$3/100,1)+(Resumo!$B$12+Resumo!$B$13)*CEILING(AL$3,1))</f>
        <v>90.7147698817308</v>
      </c>
      <c r="AM61" s="12" t="n">
        <f aca="false">(Z61+AM$4*(Resumo!$C$7+Resumo!$C$8)+Resumo!$C$10*CEILING(AM$3/100,1)+Resumo!$C$9)*(1+Resumo!$C$11)-(AM$4*(Resumo!$B$6+Resumo!$B$7)+Resumo!$B$9+Resumo!$B$10*CEILING(AM$3/100,1)+(Resumo!$B$12+Resumo!$B$13)*CEILING(AM$3,1))</f>
        <v>95.0304196468864</v>
      </c>
      <c r="AN61" s="12" t="n">
        <f aca="false">(AA61+AN$4*(Resumo!$C$7+Resumo!$C$8)+Resumo!$C$10*CEILING(AN$3/100,1)+Resumo!$C$9)*(1+Resumo!$C$11)-(AN$4*(Resumo!$B$6+Resumo!$B$7)+Resumo!$B$9+Resumo!$B$10*CEILING(AN$3/100,1)+(Resumo!$B$12+Resumo!$B$13)*CEILING(AN$3,1))</f>
        <v>102.00959604</v>
      </c>
      <c r="AO61" s="12" t="n">
        <f aca="false">(AB61+AO$4*(Resumo!$C$7+Resumo!$C$8)+Resumo!$C$10*CEILING(AO$3/100,1)+Resumo!$C$9)*(1+Resumo!$C$11)-(AO$4*(Resumo!$B$6+Resumo!$B$7)+Resumo!$B$9+Resumo!$B$10*CEILING(AO$3/100,1)+(Resumo!$B$12+Resumo!$B$13)*CEILING(AO$3,1))</f>
        <v>116.765897119298</v>
      </c>
      <c r="AP61" s="12" t="n">
        <f aca="false">(AC61+AP$4*(Resumo!$C$7+Resumo!$C$8)+Resumo!$C$10*CEILING(AP$3/100,1)+Resumo!$C$9)*(1+Resumo!$C$11)-(AP$4*(Resumo!$B$6+Resumo!$B$7)+Resumo!$B$9+Resumo!$B$10*CEILING(AP$3/100,1)+(Resumo!$B$12+Resumo!$B$13)*CEILING(AP$3,1))</f>
        <v>120.300564037736</v>
      </c>
      <c r="AQ61" s="12" t="n">
        <f aca="false">(AD61+AQ$4*(Resumo!$C$7+Resumo!$C$8)+Resumo!$C$10*CEILING(AQ$3/100,1)+Resumo!$C$9)*(1+Resumo!$C$11)-(AQ$4*(Resumo!$B$6+Resumo!$B$7)+Resumo!$B$9+Resumo!$B$10*CEILING(AQ$3/100,1)+(Resumo!$B$12+Resumo!$B$13)*CEILING(AQ$3,1))</f>
        <v>149.110142593023</v>
      </c>
      <c r="AR61" s="12" t="n">
        <f aca="false">(AE61+AR$4*(Resumo!$C$7+Resumo!$C$8)+Resumo!$C$10*CEILING(AR$3/100,1)+Resumo!$C$9)*(1+Resumo!$C$11)-(AR$4*(Resumo!$B$6+Resumo!$B$7)+Resumo!$B$9+Resumo!$B$10*CEILING(AR$3/100,1)+(Resumo!$B$12+Resumo!$B$13)*CEILING(AR$3,1))</f>
        <v>152.447191466667</v>
      </c>
      <c r="AS61" s="12" t="n">
        <f aca="false">(AF61+AS$4*(Resumo!$C$7+Resumo!$C$8)+Resumo!$C$10*CEILING(AS$3/100,1)+Resumo!$C$9)*(1+Resumo!$C$11)-(AS$4*(Resumo!$B$6+Resumo!$B$7)+Resumo!$B$9+Resumo!$B$10*CEILING(AS$3/100,1)+(Resumo!$B$12+Resumo!$B$13)*CEILING(AS$3,1))</f>
        <v>62.11023</v>
      </c>
      <c r="AT61" s="12" t="n">
        <f aca="false">(AG61+AT$4*(Resumo!$C$7+Resumo!$C$8)+Resumo!$C$10*CEILING(AT$3/100,1)+Resumo!$C$9)*(1+Resumo!$C$11)-(AT$4*(Resumo!$B$6+Resumo!$B$7)+Resumo!$B$9+Resumo!$B$10*CEILING(AT$3/100,1)+(Resumo!$B$12+Resumo!$B$13)*CEILING(AT$3,1))</f>
        <v>219.780987533333</v>
      </c>
      <c r="AU61" s="13" t="n">
        <f aca="false">1-AH61/H61</f>
        <v>0.557217548394097</v>
      </c>
      <c r="AV61" s="13" t="n">
        <f aca="false">1-AI61/I61</f>
        <v>0.460864514591281</v>
      </c>
      <c r="AW61" s="13" t="n">
        <f aca="false">1-AJ61/J61</f>
        <v>0.430201800130762</v>
      </c>
      <c r="AX61" s="13" t="n">
        <f aca="false">1-AK61/K61</f>
        <v>0.445684685816301</v>
      </c>
      <c r="AY61" s="13" t="n">
        <f aca="false">1-AL61/L61</f>
        <v>0.440170514183345</v>
      </c>
      <c r="AZ61" s="13" t="n">
        <f aca="false">1-AM61/M61</f>
        <v>0.446015975009406</v>
      </c>
      <c r="BA61" s="13" t="n">
        <f aca="false">1-AN61/N61</f>
        <v>0.436535594122846</v>
      </c>
      <c r="BB61" s="13" t="n">
        <f aca="false">1-AO61/O61</f>
        <v>0.416287256952118</v>
      </c>
      <c r="BC61" s="13" t="n">
        <f aca="false">1-AP61/P61</f>
        <v>0.492016873415523</v>
      </c>
      <c r="BD61" s="13" t="n">
        <f aca="false">1-AQ61/Q61</f>
        <v>0.436980280195502</v>
      </c>
      <c r="BE61" s="13" t="n">
        <f aca="false">1-AR61/R61</f>
        <v>0.492096646787717</v>
      </c>
      <c r="BF61" s="13" t="n">
        <f aca="false">1-AS61/S61</f>
        <v>0.824135034119546</v>
      </c>
      <c r="BG61" s="13" t="n">
        <f aca="false">1-AT61/T61</f>
        <v>0.502082040024166</v>
      </c>
    </row>
    <row r="62" customFormat="false" ht="15" hidden="false" customHeight="false" outlineLevel="0" collapsed="false">
      <c r="A62" s="4" t="s">
        <v>197</v>
      </c>
      <c r="B62" s="4" t="s">
        <v>248</v>
      </c>
      <c r="C62" s="34" t="n">
        <v>28300000</v>
      </c>
      <c r="D62" s="34" t="n">
        <v>28349999</v>
      </c>
      <c r="E62" s="4" t="s">
        <v>201</v>
      </c>
      <c r="F62" s="4" t="s">
        <v>242</v>
      </c>
      <c r="G62" s="4" t="n">
        <f aca="false">COUNTIFS(Pedidos!$E$2:$E$2224,"&gt;="&amp;C62,Pedidos!$E$2:$E$2224,"&lt;="&amp;D62)</f>
        <v>5</v>
      </c>
      <c r="H62" s="7" t="n">
        <v>124.04</v>
      </c>
      <c r="I62" s="7" t="n">
        <v>138.29</v>
      </c>
      <c r="J62" s="7" t="n">
        <v>143.04</v>
      </c>
      <c r="K62" s="7" t="n">
        <v>152.54</v>
      </c>
      <c r="L62" s="7" t="n">
        <v>162.04</v>
      </c>
      <c r="M62" s="7" t="n">
        <v>171.54</v>
      </c>
      <c r="N62" s="7" t="n">
        <v>181.04</v>
      </c>
      <c r="O62" s="7" t="n">
        <v>200.04</v>
      </c>
      <c r="P62" s="7" t="n">
        <v>236.82</v>
      </c>
      <c r="Q62" s="7" t="n">
        <v>264.84</v>
      </c>
      <c r="R62" s="7" t="n">
        <v>300.15</v>
      </c>
      <c r="S62" s="7" t="n">
        <v>353.17</v>
      </c>
      <c r="T62" s="7" t="n">
        <v>441.4</v>
      </c>
      <c r="U62" s="7" t="n">
        <v>52.71</v>
      </c>
      <c r="V62" s="7" t="n">
        <v>76.5</v>
      </c>
      <c r="W62" s="7" t="n">
        <v>87.4</v>
      </c>
      <c r="X62" s="7" t="n">
        <v>94</v>
      </c>
      <c r="Y62" s="7" t="n">
        <v>103.6</v>
      </c>
      <c r="Z62" s="7" t="n">
        <v>113.9</v>
      </c>
      <c r="AA62" s="7" t="n">
        <v>124.16</v>
      </c>
      <c r="AB62" s="7" t="n">
        <v>144.41</v>
      </c>
      <c r="AC62" s="7" t="n">
        <v>161.81</v>
      </c>
      <c r="AD62" s="7" t="n">
        <v>197.37</v>
      </c>
      <c r="AE62" s="7" t="n">
        <v>215.7</v>
      </c>
      <c r="AF62" s="7" t="n">
        <v>143.51</v>
      </c>
      <c r="AG62" s="7" t="n">
        <v>304.65</v>
      </c>
      <c r="AH62" s="12" t="n">
        <f aca="false">(U62+AH$4*(Resumo!$C$7+Resumo!$C$8)+Resumo!$C$10*CEILING(AH$3/100,1)+Resumo!$C$9)*(1+Resumo!$C$11)-(AH$4*(Resumo!$B$6+Resumo!$B$7)+Resumo!$B$9+Resumo!$B$10*CEILING(AH$3/100,1)+(Resumo!$B$12+Resumo!$B$13)*CEILING(AH$3,1))</f>
        <v>54.9227352971963</v>
      </c>
      <c r="AI62" s="12" t="n">
        <f aca="false">(V62+AI$4*(Resumo!$C$7+Resumo!$C$8)+Resumo!$C$10*CEILING(AI$3/100,1)+Resumo!$C$9)*(1+Resumo!$C$11)-(AI$4*(Resumo!$B$6+Resumo!$B$7)+Resumo!$B$9+Resumo!$B$10*CEILING(AI$3/100,1)+(Resumo!$B$12+Resumo!$B$13)*CEILING(AI$3,1))</f>
        <v>74.5570462771717</v>
      </c>
      <c r="AJ62" s="12" t="n">
        <f aca="false">(W62+AJ$4*(Resumo!$C$7+Resumo!$C$8)+Resumo!$C$10*CEILING(AJ$3/100,1)+Resumo!$C$9)*(1+Resumo!$C$11)-(AJ$4*(Resumo!$B$6+Resumo!$B$7)+Resumo!$B$9+Resumo!$B$10*CEILING(AJ$3/100,1)+(Resumo!$B$12+Resumo!$B$13)*CEILING(AJ$3,1))</f>
        <v>81.5039345092958</v>
      </c>
      <c r="AK62" s="12" t="n">
        <f aca="false">(X62+AK$4*(Resumo!$C$7+Resumo!$C$8)+Resumo!$C$10*CEILING(AK$3/100,1)+Resumo!$C$9)*(1+Resumo!$C$11)-(AK$4*(Resumo!$B$6+Resumo!$B$7)+Resumo!$B$9+Resumo!$B$10*CEILING(AK$3/100,1)+(Resumo!$B$12+Resumo!$B$13)*CEILING(AK$3,1))</f>
        <v>84.5552580255814</v>
      </c>
      <c r="AL62" s="12" t="n">
        <f aca="false">(Y62+AL$4*(Resumo!$C$7+Resumo!$C$8)+Resumo!$C$10*CEILING(AL$3/100,1)+Resumo!$C$9)*(1+Resumo!$C$11)-(AL$4*(Resumo!$B$6+Resumo!$B$7)+Resumo!$B$9+Resumo!$B$10*CEILING(AL$3/100,1)+(Resumo!$B$12+Resumo!$B$13)*CEILING(AL$3,1))</f>
        <v>90.7147698817308</v>
      </c>
      <c r="AM62" s="12" t="n">
        <f aca="false">(Z62+AM$4*(Resumo!$C$7+Resumo!$C$8)+Resumo!$C$10*CEILING(AM$3/100,1)+Resumo!$C$9)*(1+Resumo!$C$11)-(AM$4*(Resumo!$B$6+Resumo!$B$7)+Resumo!$B$9+Resumo!$B$10*CEILING(AM$3/100,1)+(Resumo!$B$12+Resumo!$B$13)*CEILING(AM$3,1))</f>
        <v>95.0304196468864</v>
      </c>
      <c r="AN62" s="12" t="n">
        <f aca="false">(AA62+AN$4*(Resumo!$C$7+Resumo!$C$8)+Resumo!$C$10*CEILING(AN$3/100,1)+Resumo!$C$9)*(1+Resumo!$C$11)-(AN$4*(Resumo!$B$6+Resumo!$B$7)+Resumo!$B$9+Resumo!$B$10*CEILING(AN$3/100,1)+(Resumo!$B$12+Resumo!$B$13)*CEILING(AN$3,1))</f>
        <v>102.00959604</v>
      </c>
      <c r="AO62" s="12" t="n">
        <f aca="false">(AB62+AO$4*(Resumo!$C$7+Resumo!$C$8)+Resumo!$C$10*CEILING(AO$3/100,1)+Resumo!$C$9)*(1+Resumo!$C$11)-(AO$4*(Resumo!$B$6+Resumo!$B$7)+Resumo!$B$9+Resumo!$B$10*CEILING(AO$3/100,1)+(Resumo!$B$12+Resumo!$B$13)*CEILING(AO$3,1))</f>
        <v>116.765897119298</v>
      </c>
      <c r="AP62" s="12" t="n">
        <f aca="false">(AC62+AP$4*(Resumo!$C$7+Resumo!$C$8)+Resumo!$C$10*CEILING(AP$3/100,1)+Resumo!$C$9)*(1+Resumo!$C$11)-(AP$4*(Resumo!$B$6+Resumo!$B$7)+Resumo!$B$9+Resumo!$B$10*CEILING(AP$3/100,1)+(Resumo!$B$12+Resumo!$B$13)*CEILING(AP$3,1))</f>
        <v>120.300564037736</v>
      </c>
      <c r="AQ62" s="12" t="n">
        <f aca="false">(AD62+AQ$4*(Resumo!$C$7+Resumo!$C$8)+Resumo!$C$10*CEILING(AQ$3/100,1)+Resumo!$C$9)*(1+Resumo!$C$11)-(AQ$4*(Resumo!$B$6+Resumo!$B$7)+Resumo!$B$9+Resumo!$B$10*CEILING(AQ$3/100,1)+(Resumo!$B$12+Resumo!$B$13)*CEILING(AQ$3,1))</f>
        <v>149.110142593023</v>
      </c>
      <c r="AR62" s="12" t="n">
        <f aca="false">(AE62+AR$4*(Resumo!$C$7+Resumo!$C$8)+Resumo!$C$10*CEILING(AR$3/100,1)+Resumo!$C$9)*(1+Resumo!$C$11)-(AR$4*(Resumo!$B$6+Resumo!$B$7)+Resumo!$B$9+Resumo!$B$10*CEILING(AR$3/100,1)+(Resumo!$B$12+Resumo!$B$13)*CEILING(AR$3,1))</f>
        <v>152.447191466667</v>
      </c>
      <c r="AS62" s="12" t="n">
        <f aca="false">(AF62+AS$4*(Resumo!$C$7+Resumo!$C$8)+Resumo!$C$10*CEILING(AS$3/100,1)+Resumo!$C$9)*(1+Resumo!$C$11)-(AS$4*(Resumo!$B$6+Resumo!$B$7)+Resumo!$B$9+Resumo!$B$10*CEILING(AS$3/100,1)+(Resumo!$B$12+Resumo!$B$13)*CEILING(AS$3,1))</f>
        <v>62.11023</v>
      </c>
      <c r="AT62" s="12" t="n">
        <f aca="false">(AG62+AT$4*(Resumo!$C$7+Resumo!$C$8)+Resumo!$C$10*CEILING(AT$3/100,1)+Resumo!$C$9)*(1+Resumo!$C$11)-(AT$4*(Resumo!$B$6+Resumo!$B$7)+Resumo!$B$9+Resumo!$B$10*CEILING(AT$3/100,1)+(Resumo!$B$12+Resumo!$B$13)*CEILING(AT$3,1))</f>
        <v>219.780987533333</v>
      </c>
      <c r="AU62" s="13" t="n">
        <f aca="false">1-AH62/H62</f>
        <v>0.557217548394097</v>
      </c>
      <c r="AV62" s="13" t="n">
        <f aca="false">1-AI62/I62</f>
        <v>0.460864514591281</v>
      </c>
      <c r="AW62" s="13" t="n">
        <f aca="false">1-AJ62/J62</f>
        <v>0.430201800130762</v>
      </c>
      <c r="AX62" s="13" t="n">
        <f aca="false">1-AK62/K62</f>
        <v>0.445684685816301</v>
      </c>
      <c r="AY62" s="13" t="n">
        <f aca="false">1-AL62/L62</f>
        <v>0.440170514183345</v>
      </c>
      <c r="AZ62" s="13" t="n">
        <f aca="false">1-AM62/M62</f>
        <v>0.446015975009406</v>
      </c>
      <c r="BA62" s="13" t="n">
        <f aca="false">1-AN62/N62</f>
        <v>0.436535594122846</v>
      </c>
      <c r="BB62" s="13" t="n">
        <f aca="false">1-AO62/O62</f>
        <v>0.416287256952118</v>
      </c>
      <c r="BC62" s="13" t="n">
        <f aca="false">1-AP62/P62</f>
        <v>0.492016873415523</v>
      </c>
      <c r="BD62" s="13" t="n">
        <f aca="false">1-AQ62/Q62</f>
        <v>0.436980280195502</v>
      </c>
      <c r="BE62" s="13" t="n">
        <f aca="false">1-AR62/R62</f>
        <v>0.492096646787717</v>
      </c>
      <c r="BF62" s="13" t="n">
        <f aca="false">1-AS62/S62</f>
        <v>0.824135034119546</v>
      </c>
      <c r="BG62" s="13" t="n">
        <f aca="false">1-AT62/T62</f>
        <v>0.502082040024166</v>
      </c>
    </row>
    <row r="63" customFormat="false" ht="15" hidden="false" customHeight="false" outlineLevel="0" collapsed="false">
      <c r="A63" s="4" t="s">
        <v>197</v>
      </c>
      <c r="B63" s="4" t="s">
        <v>249</v>
      </c>
      <c r="C63" s="34" t="n">
        <v>28350000</v>
      </c>
      <c r="D63" s="34" t="n">
        <v>28359999</v>
      </c>
      <c r="E63" s="4" t="s">
        <v>201</v>
      </c>
      <c r="F63" s="4" t="s">
        <v>242</v>
      </c>
      <c r="G63" s="4" t="n">
        <f aca="false">COUNTIFS(Pedidos!$E$2:$E$2224,"&gt;="&amp;C63,Pedidos!$E$2:$E$2224,"&lt;="&amp;D63)</f>
        <v>1</v>
      </c>
      <c r="H63" s="7" t="n">
        <v>124.04</v>
      </c>
      <c r="I63" s="7" t="n">
        <v>138.29</v>
      </c>
      <c r="J63" s="7" t="n">
        <v>143.04</v>
      </c>
      <c r="K63" s="7" t="n">
        <v>152.54</v>
      </c>
      <c r="L63" s="7" t="n">
        <v>162.04</v>
      </c>
      <c r="M63" s="7" t="n">
        <v>171.54</v>
      </c>
      <c r="N63" s="7" t="n">
        <v>181.04</v>
      </c>
      <c r="O63" s="7" t="n">
        <v>200.04</v>
      </c>
      <c r="P63" s="7" t="n">
        <v>236.82</v>
      </c>
      <c r="Q63" s="7" t="n">
        <v>264.84</v>
      </c>
      <c r="R63" s="7" t="n">
        <v>300.15</v>
      </c>
      <c r="S63" s="7" t="n">
        <v>353.17</v>
      </c>
      <c r="T63" s="7" t="n">
        <v>441.4</v>
      </c>
      <c r="U63" s="7" t="n">
        <v>52.71</v>
      </c>
      <c r="V63" s="7" t="n">
        <v>76.5</v>
      </c>
      <c r="W63" s="7" t="n">
        <v>87.4</v>
      </c>
      <c r="X63" s="7" t="n">
        <v>94</v>
      </c>
      <c r="Y63" s="7" t="n">
        <v>103.6</v>
      </c>
      <c r="Z63" s="7" t="n">
        <v>113.9</v>
      </c>
      <c r="AA63" s="7" t="n">
        <v>124.16</v>
      </c>
      <c r="AB63" s="7" t="n">
        <v>144.41</v>
      </c>
      <c r="AC63" s="7" t="n">
        <v>161.81</v>
      </c>
      <c r="AD63" s="7" t="n">
        <v>197.37</v>
      </c>
      <c r="AE63" s="7" t="n">
        <v>215.7</v>
      </c>
      <c r="AF63" s="7" t="n">
        <v>143.51</v>
      </c>
      <c r="AG63" s="7" t="n">
        <v>304.65</v>
      </c>
      <c r="AH63" s="12" t="n">
        <f aca="false">(U63+AH$4*(Resumo!$C$7+Resumo!$C$8)+Resumo!$C$10*CEILING(AH$3/100,1)+Resumo!$C$9)*(1+Resumo!$C$11)-(AH$4*(Resumo!$B$6+Resumo!$B$7)+Resumo!$B$9+Resumo!$B$10*CEILING(AH$3/100,1)+(Resumo!$B$12+Resumo!$B$13)*CEILING(AH$3,1))</f>
        <v>54.9227352971963</v>
      </c>
      <c r="AI63" s="12" t="n">
        <f aca="false">(V63+AI$4*(Resumo!$C$7+Resumo!$C$8)+Resumo!$C$10*CEILING(AI$3/100,1)+Resumo!$C$9)*(1+Resumo!$C$11)-(AI$4*(Resumo!$B$6+Resumo!$B$7)+Resumo!$B$9+Resumo!$B$10*CEILING(AI$3/100,1)+(Resumo!$B$12+Resumo!$B$13)*CEILING(AI$3,1))</f>
        <v>74.5570462771717</v>
      </c>
      <c r="AJ63" s="12" t="n">
        <f aca="false">(W63+AJ$4*(Resumo!$C$7+Resumo!$C$8)+Resumo!$C$10*CEILING(AJ$3/100,1)+Resumo!$C$9)*(1+Resumo!$C$11)-(AJ$4*(Resumo!$B$6+Resumo!$B$7)+Resumo!$B$9+Resumo!$B$10*CEILING(AJ$3/100,1)+(Resumo!$B$12+Resumo!$B$13)*CEILING(AJ$3,1))</f>
        <v>81.5039345092958</v>
      </c>
      <c r="AK63" s="12" t="n">
        <f aca="false">(X63+AK$4*(Resumo!$C$7+Resumo!$C$8)+Resumo!$C$10*CEILING(AK$3/100,1)+Resumo!$C$9)*(1+Resumo!$C$11)-(AK$4*(Resumo!$B$6+Resumo!$B$7)+Resumo!$B$9+Resumo!$B$10*CEILING(AK$3/100,1)+(Resumo!$B$12+Resumo!$B$13)*CEILING(AK$3,1))</f>
        <v>84.5552580255814</v>
      </c>
      <c r="AL63" s="12" t="n">
        <f aca="false">(Y63+AL$4*(Resumo!$C$7+Resumo!$C$8)+Resumo!$C$10*CEILING(AL$3/100,1)+Resumo!$C$9)*(1+Resumo!$C$11)-(AL$4*(Resumo!$B$6+Resumo!$B$7)+Resumo!$B$9+Resumo!$B$10*CEILING(AL$3/100,1)+(Resumo!$B$12+Resumo!$B$13)*CEILING(AL$3,1))</f>
        <v>90.7147698817308</v>
      </c>
      <c r="AM63" s="12" t="n">
        <f aca="false">(Z63+AM$4*(Resumo!$C$7+Resumo!$C$8)+Resumo!$C$10*CEILING(AM$3/100,1)+Resumo!$C$9)*(1+Resumo!$C$11)-(AM$4*(Resumo!$B$6+Resumo!$B$7)+Resumo!$B$9+Resumo!$B$10*CEILING(AM$3/100,1)+(Resumo!$B$12+Resumo!$B$13)*CEILING(AM$3,1))</f>
        <v>95.0304196468864</v>
      </c>
      <c r="AN63" s="12" t="n">
        <f aca="false">(AA63+AN$4*(Resumo!$C$7+Resumo!$C$8)+Resumo!$C$10*CEILING(AN$3/100,1)+Resumo!$C$9)*(1+Resumo!$C$11)-(AN$4*(Resumo!$B$6+Resumo!$B$7)+Resumo!$B$9+Resumo!$B$10*CEILING(AN$3/100,1)+(Resumo!$B$12+Resumo!$B$13)*CEILING(AN$3,1))</f>
        <v>102.00959604</v>
      </c>
      <c r="AO63" s="12" t="n">
        <f aca="false">(AB63+AO$4*(Resumo!$C$7+Resumo!$C$8)+Resumo!$C$10*CEILING(AO$3/100,1)+Resumo!$C$9)*(1+Resumo!$C$11)-(AO$4*(Resumo!$B$6+Resumo!$B$7)+Resumo!$B$9+Resumo!$B$10*CEILING(AO$3/100,1)+(Resumo!$B$12+Resumo!$B$13)*CEILING(AO$3,1))</f>
        <v>116.765897119298</v>
      </c>
      <c r="AP63" s="12" t="n">
        <f aca="false">(AC63+AP$4*(Resumo!$C$7+Resumo!$C$8)+Resumo!$C$10*CEILING(AP$3/100,1)+Resumo!$C$9)*(1+Resumo!$C$11)-(AP$4*(Resumo!$B$6+Resumo!$B$7)+Resumo!$B$9+Resumo!$B$10*CEILING(AP$3/100,1)+(Resumo!$B$12+Resumo!$B$13)*CEILING(AP$3,1))</f>
        <v>120.300564037736</v>
      </c>
      <c r="AQ63" s="12" t="n">
        <f aca="false">(AD63+AQ$4*(Resumo!$C$7+Resumo!$C$8)+Resumo!$C$10*CEILING(AQ$3/100,1)+Resumo!$C$9)*(1+Resumo!$C$11)-(AQ$4*(Resumo!$B$6+Resumo!$B$7)+Resumo!$B$9+Resumo!$B$10*CEILING(AQ$3/100,1)+(Resumo!$B$12+Resumo!$B$13)*CEILING(AQ$3,1))</f>
        <v>149.110142593023</v>
      </c>
      <c r="AR63" s="12" t="n">
        <f aca="false">(AE63+AR$4*(Resumo!$C$7+Resumo!$C$8)+Resumo!$C$10*CEILING(AR$3/100,1)+Resumo!$C$9)*(1+Resumo!$C$11)-(AR$4*(Resumo!$B$6+Resumo!$B$7)+Resumo!$B$9+Resumo!$B$10*CEILING(AR$3/100,1)+(Resumo!$B$12+Resumo!$B$13)*CEILING(AR$3,1))</f>
        <v>152.447191466667</v>
      </c>
      <c r="AS63" s="12" t="n">
        <f aca="false">(AF63+AS$4*(Resumo!$C$7+Resumo!$C$8)+Resumo!$C$10*CEILING(AS$3/100,1)+Resumo!$C$9)*(1+Resumo!$C$11)-(AS$4*(Resumo!$B$6+Resumo!$B$7)+Resumo!$B$9+Resumo!$B$10*CEILING(AS$3/100,1)+(Resumo!$B$12+Resumo!$B$13)*CEILING(AS$3,1))</f>
        <v>62.11023</v>
      </c>
      <c r="AT63" s="12" t="n">
        <f aca="false">(AG63+AT$4*(Resumo!$C$7+Resumo!$C$8)+Resumo!$C$10*CEILING(AT$3/100,1)+Resumo!$C$9)*(1+Resumo!$C$11)-(AT$4*(Resumo!$B$6+Resumo!$B$7)+Resumo!$B$9+Resumo!$B$10*CEILING(AT$3/100,1)+(Resumo!$B$12+Resumo!$B$13)*CEILING(AT$3,1))</f>
        <v>219.780987533333</v>
      </c>
      <c r="AU63" s="13" t="n">
        <f aca="false">1-AH63/H63</f>
        <v>0.557217548394097</v>
      </c>
      <c r="AV63" s="13" t="n">
        <f aca="false">1-AI63/I63</f>
        <v>0.460864514591281</v>
      </c>
      <c r="AW63" s="13" t="n">
        <f aca="false">1-AJ63/J63</f>
        <v>0.430201800130762</v>
      </c>
      <c r="AX63" s="13" t="n">
        <f aca="false">1-AK63/K63</f>
        <v>0.445684685816301</v>
      </c>
      <c r="AY63" s="13" t="n">
        <f aca="false">1-AL63/L63</f>
        <v>0.440170514183345</v>
      </c>
      <c r="AZ63" s="13" t="n">
        <f aca="false">1-AM63/M63</f>
        <v>0.446015975009406</v>
      </c>
      <c r="BA63" s="13" t="n">
        <f aca="false">1-AN63/N63</f>
        <v>0.436535594122846</v>
      </c>
      <c r="BB63" s="13" t="n">
        <f aca="false">1-AO63/O63</f>
        <v>0.416287256952118</v>
      </c>
      <c r="BC63" s="13" t="n">
        <f aca="false">1-AP63/P63</f>
        <v>0.492016873415523</v>
      </c>
      <c r="BD63" s="13" t="n">
        <f aca="false">1-AQ63/Q63</f>
        <v>0.436980280195502</v>
      </c>
      <c r="BE63" s="13" t="n">
        <f aca="false">1-AR63/R63</f>
        <v>0.492096646787717</v>
      </c>
      <c r="BF63" s="13" t="n">
        <f aca="false">1-AS63/S63</f>
        <v>0.824135034119546</v>
      </c>
      <c r="BG63" s="13" t="n">
        <f aca="false">1-AT63/T63</f>
        <v>0.502082040024166</v>
      </c>
    </row>
    <row r="64" customFormat="false" ht="15" hidden="false" customHeight="false" outlineLevel="0" collapsed="false">
      <c r="A64" s="4" t="s">
        <v>197</v>
      </c>
      <c r="B64" s="4" t="s">
        <v>250</v>
      </c>
      <c r="C64" s="34" t="n">
        <v>28360000</v>
      </c>
      <c r="D64" s="34" t="n">
        <v>28374999</v>
      </c>
      <c r="E64" s="4" t="s">
        <v>201</v>
      </c>
      <c r="F64" s="4" t="s">
        <v>242</v>
      </c>
      <c r="G64" s="4" t="n">
        <f aca="false">COUNTIFS(Pedidos!$E$2:$E$2224,"&gt;="&amp;C64,Pedidos!$E$2:$E$2224,"&lt;="&amp;D64)</f>
        <v>4</v>
      </c>
      <c r="H64" s="7" t="n">
        <v>124.04</v>
      </c>
      <c r="I64" s="7" t="n">
        <v>138.29</v>
      </c>
      <c r="J64" s="7" t="n">
        <v>143.04</v>
      </c>
      <c r="K64" s="7" t="n">
        <v>152.54</v>
      </c>
      <c r="L64" s="7" t="n">
        <v>162.04</v>
      </c>
      <c r="M64" s="7" t="n">
        <v>171.54</v>
      </c>
      <c r="N64" s="7" t="n">
        <v>181.04</v>
      </c>
      <c r="O64" s="7" t="n">
        <v>200.04</v>
      </c>
      <c r="P64" s="7" t="n">
        <v>236.82</v>
      </c>
      <c r="Q64" s="7" t="n">
        <v>264.84</v>
      </c>
      <c r="R64" s="7" t="n">
        <v>300.15</v>
      </c>
      <c r="S64" s="7" t="n">
        <v>353.17</v>
      </c>
      <c r="T64" s="7" t="n">
        <v>441.4</v>
      </c>
      <c r="U64" s="7" t="n">
        <v>52.71</v>
      </c>
      <c r="V64" s="7" t="n">
        <v>76.5</v>
      </c>
      <c r="W64" s="7" t="n">
        <v>87.4</v>
      </c>
      <c r="X64" s="7" t="n">
        <v>94</v>
      </c>
      <c r="Y64" s="7" t="n">
        <v>103.6</v>
      </c>
      <c r="Z64" s="7" t="n">
        <v>113.9</v>
      </c>
      <c r="AA64" s="7" t="n">
        <v>124.16</v>
      </c>
      <c r="AB64" s="7" t="n">
        <v>144.41</v>
      </c>
      <c r="AC64" s="7" t="n">
        <v>161.81</v>
      </c>
      <c r="AD64" s="7" t="n">
        <v>197.37</v>
      </c>
      <c r="AE64" s="7" t="n">
        <v>215.7</v>
      </c>
      <c r="AF64" s="7" t="n">
        <v>143.51</v>
      </c>
      <c r="AG64" s="7" t="n">
        <v>304.65</v>
      </c>
      <c r="AH64" s="12" t="n">
        <f aca="false">(U64+AH$4*(Resumo!$C$7+Resumo!$C$8)+Resumo!$C$10*CEILING(AH$3/100,1)+Resumo!$C$9)*(1+Resumo!$C$11)-(AH$4*(Resumo!$B$6+Resumo!$B$7)+Resumo!$B$9+Resumo!$B$10*CEILING(AH$3/100,1)+(Resumo!$B$12+Resumo!$B$13)*CEILING(AH$3,1))</f>
        <v>54.9227352971963</v>
      </c>
      <c r="AI64" s="12" t="n">
        <f aca="false">(V64+AI$4*(Resumo!$C$7+Resumo!$C$8)+Resumo!$C$10*CEILING(AI$3/100,1)+Resumo!$C$9)*(1+Resumo!$C$11)-(AI$4*(Resumo!$B$6+Resumo!$B$7)+Resumo!$B$9+Resumo!$B$10*CEILING(AI$3/100,1)+(Resumo!$B$12+Resumo!$B$13)*CEILING(AI$3,1))</f>
        <v>74.5570462771717</v>
      </c>
      <c r="AJ64" s="12" t="n">
        <f aca="false">(W64+AJ$4*(Resumo!$C$7+Resumo!$C$8)+Resumo!$C$10*CEILING(AJ$3/100,1)+Resumo!$C$9)*(1+Resumo!$C$11)-(AJ$4*(Resumo!$B$6+Resumo!$B$7)+Resumo!$B$9+Resumo!$B$10*CEILING(AJ$3/100,1)+(Resumo!$B$12+Resumo!$B$13)*CEILING(AJ$3,1))</f>
        <v>81.5039345092958</v>
      </c>
      <c r="AK64" s="12" t="n">
        <f aca="false">(X64+AK$4*(Resumo!$C$7+Resumo!$C$8)+Resumo!$C$10*CEILING(AK$3/100,1)+Resumo!$C$9)*(1+Resumo!$C$11)-(AK$4*(Resumo!$B$6+Resumo!$B$7)+Resumo!$B$9+Resumo!$B$10*CEILING(AK$3/100,1)+(Resumo!$B$12+Resumo!$B$13)*CEILING(AK$3,1))</f>
        <v>84.5552580255814</v>
      </c>
      <c r="AL64" s="12" t="n">
        <f aca="false">(Y64+AL$4*(Resumo!$C$7+Resumo!$C$8)+Resumo!$C$10*CEILING(AL$3/100,1)+Resumo!$C$9)*(1+Resumo!$C$11)-(AL$4*(Resumo!$B$6+Resumo!$B$7)+Resumo!$B$9+Resumo!$B$10*CEILING(AL$3/100,1)+(Resumo!$B$12+Resumo!$B$13)*CEILING(AL$3,1))</f>
        <v>90.7147698817308</v>
      </c>
      <c r="AM64" s="12" t="n">
        <f aca="false">(Z64+AM$4*(Resumo!$C$7+Resumo!$C$8)+Resumo!$C$10*CEILING(AM$3/100,1)+Resumo!$C$9)*(1+Resumo!$C$11)-(AM$4*(Resumo!$B$6+Resumo!$B$7)+Resumo!$B$9+Resumo!$B$10*CEILING(AM$3/100,1)+(Resumo!$B$12+Resumo!$B$13)*CEILING(AM$3,1))</f>
        <v>95.0304196468864</v>
      </c>
      <c r="AN64" s="12" t="n">
        <f aca="false">(AA64+AN$4*(Resumo!$C$7+Resumo!$C$8)+Resumo!$C$10*CEILING(AN$3/100,1)+Resumo!$C$9)*(1+Resumo!$C$11)-(AN$4*(Resumo!$B$6+Resumo!$B$7)+Resumo!$B$9+Resumo!$B$10*CEILING(AN$3/100,1)+(Resumo!$B$12+Resumo!$B$13)*CEILING(AN$3,1))</f>
        <v>102.00959604</v>
      </c>
      <c r="AO64" s="12" t="n">
        <f aca="false">(AB64+AO$4*(Resumo!$C$7+Resumo!$C$8)+Resumo!$C$10*CEILING(AO$3/100,1)+Resumo!$C$9)*(1+Resumo!$C$11)-(AO$4*(Resumo!$B$6+Resumo!$B$7)+Resumo!$B$9+Resumo!$B$10*CEILING(AO$3/100,1)+(Resumo!$B$12+Resumo!$B$13)*CEILING(AO$3,1))</f>
        <v>116.765897119298</v>
      </c>
      <c r="AP64" s="12" t="n">
        <f aca="false">(AC64+AP$4*(Resumo!$C$7+Resumo!$C$8)+Resumo!$C$10*CEILING(AP$3/100,1)+Resumo!$C$9)*(1+Resumo!$C$11)-(AP$4*(Resumo!$B$6+Resumo!$B$7)+Resumo!$B$9+Resumo!$B$10*CEILING(AP$3/100,1)+(Resumo!$B$12+Resumo!$B$13)*CEILING(AP$3,1))</f>
        <v>120.300564037736</v>
      </c>
      <c r="AQ64" s="12" t="n">
        <f aca="false">(AD64+AQ$4*(Resumo!$C$7+Resumo!$C$8)+Resumo!$C$10*CEILING(AQ$3/100,1)+Resumo!$C$9)*(1+Resumo!$C$11)-(AQ$4*(Resumo!$B$6+Resumo!$B$7)+Resumo!$B$9+Resumo!$B$10*CEILING(AQ$3/100,1)+(Resumo!$B$12+Resumo!$B$13)*CEILING(AQ$3,1))</f>
        <v>149.110142593023</v>
      </c>
      <c r="AR64" s="12" t="n">
        <f aca="false">(AE64+AR$4*(Resumo!$C$7+Resumo!$C$8)+Resumo!$C$10*CEILING(AR$3/100,1)+Resumo!$C$9)*(1+Resumo!$C$11)-(AR$4*(Resumo!$B$6+Resumo!$B$7)+Resumo!$B$9+Resumo!$B$10*CEILING(AR$3/100,1)+(Resumo!$B$12+Resumo!$B$13)*CEILING(AR$3,1))</f>
        <v>152.447191466667</v>
      </c>
      <c r="AS64" s="12" t="n">
        <f aca="false">(AF64+AS$4*(Resumo!$C$7+Resumo!$C$8)+Resumo!$C$10*CEILING(AS$3/100,1)+Resumo!$C$9)*(1+Resumo!$C$11)-(AS$4*(Resumo!$B$6+Resumo!$B$7)+Resumo!$B$9+Resumo!$B$10*CEILING(AS$3/100,1)+(Resumo!$B$12+Resumo!$B$13)*CEILING(AS$3,1))</f>
        <v>62.11023</v>
      </c>
      <c r="AT64" s="12" t="n">
        <f aca="false">(AG64+AT$4*(Resumo!$C$7+Resumo!$C$8)+Resumo!$C$10*CEILING(AT$3/100,1)+Resumo!$C$9)*(1+Resumo!$C$11)-(AT$4*(Resumo!$B$6+Resumo!$B$7)+Resumo!$B$9+Resumo!$B$10*CEILING(AT$3/100,1)+(Resumo!$B$12+Resumo!$B$13)*CEILING(AT$3,1))</f>
        <v>219.780987533333</v>
      </c>
      <c r="AU64" s="13" t="n">
        <f aca="false">1-AH64/H64</f>
        <v>0.557217548394097</v>
      </c>
      <c r="AV64" s="13" t="n">
        <f aca="false">1-AI64/I64</f>
        <v>0.460864514591281</v>
      </c>
      <c r="AW64" s="13" t="n">
        <f aca="false">1-AJ64/J64</f>
        <v>0.430201800130762</v>
      </c>
      <c r="AX64" s="13" t="n">
        <f aca="false">1-AK64/K64</f>
        <v>0.445684685816301</v>
      </c>
      <c r="AY64" s="13" t="n">
        <f aca="false">1-AL64/L64</f>
        <v>0.440170514183345</v>
      </c>
      <c r="AZ64" s="13" t="n">
        <f aca="false">1-AM64/M64</f>
        <v>0.446015975009406</v>
      </c>
      <c r="BA64" s="13" t="n">
        <f aca="false">1-AN64/N64</f>
        <v>0.436535594122846</v>
      </c>
      <c r="BB64" s="13" t="n">
        <f aca="false">1-AO64/O64</f>
        <v>0.416287256952118</v>
      </c>
      <c r="BC64" s="13" t="n">
        <f aca="false">1-AP64/P64</f>
        <v>0.492016873415523</v>
      </c>
      <c r="BD64" s="13" t="n">
        <f aca="false">1-AQ64/Q64</f>
        <v>0.436980280195502</v>
      </c>
      <c r="BE64" s="13" t="n">
        <f aca="false">1-AR64/R64</f>
        <v>0.492096646787717</v>
      </c>
      <c r="BF64" s="13" t="n">
        <f aca="false">1-AS64/S64</f>
        <v>0.824135034119546</v>
      </c>
      <c r="BG64" s="13" t="n">
        <f aca="false">1-AT64/T64</f>
        <v>0.502082040024166</v>
      </c>
    </row>
    <row r="65" customFormat="false" ht="15" hidden="false" customHeight="false" outlineLevel="0" collapsed="false">
      <c r="A65" s="4" t="s">
        <v>197</v>
      </c>
      <c r="B65" s="4" t="s">
        <v>251</v>
      </c>
      <c r="C65" s="34" t="n">
        <v>28375000</v>
      </c>
      <c r="D65" s="34" t="n">
        <v>28379999</v>
      </c>
      <c r="E65" s="4" t="s">
        <v>201</v>
      </c>
      <c r="F65" s="4" t="s">
        <v>242</v>
      </c>
      <c r="G65" s="4" t="n">
        <f aca="false">COUNTIFS(Pedidos!$E$2:$E$2224,"&gt;="&amp;C65,Pedidos!$E$2:$E$2224,"&lt;="&amp;D65)</f>
        <v>1</v>
      </c>
      <c r="H65" s="7" t="n">
        <v>124.04</v>
      </c>
      <c r="I65" s="7" t="n">
        <v>138.29</v>
      </c>
      <c r="J65" s="7" t="n">
        <v>143.04</v>
      </c>
      <c r="K65" s="7" t="n">
        <v>152.54</v>
      </c>
      <c r="L65" s="7" t="n">
        <v>162.04</v>
      </c>
      <c r="M65" s="7" t="n">
        <v>171.54</v>
      </c>
      <c r="N65" s="7" t="n">
        <v>181.04</v>
      </c>
      <c r="O65" s="7" t="n">
        <v>200.04</v>
      </c>
      <c r="P65" s="7" t="n">
        <v>236.82</v>
      </c>
      <c r="Q65" s="7" t="n">
        <v>264.84</v>
      </c>
      <c r="R65" s="7" t="n">
        <v>300.15</v>
      </c>
      <c r="S65" s="7" t="n">
        <v>353.17</v>
      </c>
      <c r="T65" s="7" t="n">
        <v>441.4</v>
      </c>
      <c r="U65" s="7" t="n">
        <v>52.71</v>
      </c>
      <c r="V65" s="7" t="n">
        <v>76.5</v>
      </c>
      <c r="W65" s="7" t="n">
        <v>87.4</v>
      </c>
      <c r="X65" s="7" t="n">
        <v>94</v>
      </c>
      <c r="Y65" s="7" t="n">
        <v>103.6</v>
      </c>
      <c r="Z65" s="7" t="n">
        <v>113.9</v>
      </c>
      <c r="AA65" s="7" t="n">
        <v>124.16</v>
      </c>
      <c r="AB65" s="7" t="n">
        <v>144.41</v>
      </c>
      <c r="AC65" s="7" t="n">
        <v>161.81</v>
      </c>
      <c r="AD65" s="7" t="n">
        <v>197.37</v>
      </c>
      <c r="AE65" s="7" t="n">
        <v>215.7</v>
      </c>
      <c r="AF65" s="7" t="n">
        <v>143.51</v>
      </c>
      <c r="AG65" s="7" t="n">
        <v>304.65</v>
      </c>
      <c r="AH65" s="12" t="n">
        <f aca="false">(U65+AH$4*(Resumo!$C$7+Resumo!$C$8)+Resumo!$C$10*CEILING(AH$3/100,1)+Resumo!$C$9)*(1+Resumo!$C$11)-(AH$4*(Resumo!$B$6+Resumo!$B$7)+Resumo!$B$9+Resumo!$B$10*CEILING(AH$3/100,1)+(Resumo!$B$12+Resumo!$B$13)*CEILING(AH$3,1))</f>
        <v>54.9227352971963</v>
      </c>
      <c r="AI65" s="12" t="n">
        <f aca="false">(V65+AI$4*(Resumo!$C$7+Resumo!$C$8)+Resumo!$C$10*CEILING(AI$3/100,1)+Resumo!$C$9)*(1+Resumo!$C$11)-(AI$4*(Resumo!$B$6+Resumo!$B$7)+Resumo!$B$9+Resumo!$B$10*CEILING(AI$3/100,1)+(Resumo!$B$12+Resumo!$B$13)*CEILING(AI$3,1))</f>
        <v>74.5570462771717</v>
      </c>
      <c r="AJ65" s="12" t="n">
        <f aca="false">(W65+AJ$4*(Resumo!$C$7+Resumo!$C$8)+Resumo!$C$10*CEILING(AJ$3/100,1)+Resumo!$C$9)*(1+Resumo!$C$11)-(AJ$4*(Resumo!$B$6+Resumo!$B$7)+Resumo!$B$9+Resumo!$B$10*CEILING(AJ$3/100,1)+(Resumo!$B$12+Resumo!$B$13)*CEILING(AJ$3,1))</f>
        <v>81.5039345092958</v>
      </c>
      <c r="AK65" s="12" t="n">
        <f aca="false">(X65+AK$4*(Resumo!$C$7+Resumo!$C$8)+Resumo!$C$10*CEILING(AK$3/100,1)+Resumo!$C$9)*(1+Resumo!$C$11)-(AK$4*(Resumo!$B$6+Resumo!$B$7)+Resumo!$B$9+Resumo!$B$10*CEILING(AK$3/100,1)+(Resumo!$B$12+Resumo!$B$13)*CEILING(AK$3,1))</f>
        <v>84.5552580255814</v>
      </c>
      <c r="AL65" s="12" t="n">
        <f aca="false">(Y65+AL$4*(Resumo!$C$7+Resumo!$C$8)+Resumo!$C$10*CEILING(AL$3/100,1)+Resumo!$C$9)*(1+Resumo!$C$11)-(AL$4*(Resumo!$B$6+Resumo!$B$7)+Resumo!$B$9+Resumo!$B$10*CEILING(AL$3/100,1)+(Resumo!$B$12+Resumo!$B$13)*CEILING(AL$3,1))</f>
        <v>90.7147698817308</v>
      </c>
      <c r="AM65" s="12" t="n">
        <f aca="false">(Z65+AM$4*(Resumo!$C$7+Resumo!$C$8)+Resumo!$C$10*CEILING(AM$3/100,1)+Resumo!$C$9)*(1+Resumo!$C$11)-(AM$4*(Resumo!$B$6+Resumo!$B$7)+Resumo!$B$9+Resumo!$B$10*CEILING(AM$3/100,1)+(Resumo!$B$12+Resumo!$B$13)*CEILING(AM$3,1))</f>
        <v>95.0304196468864</v>
      </c>
      <c r="AN65" s="12" t="n">
        <f aca="false">(AA65+AN$4*(Resumo!$C$7+Resumo!$C$8)+Resumo!$C$10*CEILING(AN$3/100,1)+Resumo!$C$9)*(1+Resumo!$C$11)-(AN$4*(Resumo!$B$6+Resumo!$B$7)+Resumo!$B$9+Resumo!$B$10*CEILING(AN$3/100,1)+(Resumo!$B$12+Resumo!$B$13)*CEILING(AN$3,1))</f>
        <v>102.00959604</v>
      </c>
      <c r="AO65" s="12" t="n">
        <f aca="false">(AB65+AO$4*(Resumo!$C$7+Resumo!$C$8)+Resumo!$C$10*CEILING(AO$3/100,1)+Resumo!$C$9)*(1+Resumo!$C$11)-(AO$4*(Resumo!$B$6+Resumo!$B$7)+Resumo!$B$9+Resumo!$B$10*CEILING(AO$3/100,1)+(Resumo!$B$12+Resumo!$B$13)*CEILING(AO$3,1))</f>
        <v>116.765897119298</v>
      </c>
      <c r="AP65" s="12" t="n">
        <f aca="false">(AC65+AP$4*(Resumo!$C$7+Resumo!$C$8)+Resumo!$C$10*CEILING(AP$3/100,1)+Resumo!$C$9)*(1+Resumo!$C$11)-(AP$4*(Resumo!$B$6+Resumo!$B$7)+Resumo!$B$9+Resumo!$B$10*CEILING(AP$3/100,1)+(Resumo!$B$12+Resumo!$B$13)*CEILING(AP$3,1))</f>
        <v>120.300564037736</v>
      </c>
      <c r="AQ65" s="12" t="n">
        <f aca="false">(AD65+AQ$4*(Resumo!$C$7+Resumo!$C$8)+Resumo!$C$10*CEILING(AQ$3/100,1)+Resumo!$C$9)*(1+Resumo!$C$11)-(AQ$4*(Resumo!$B$6+Resumo!$B$7)+Resumo!$B$9+Resumo!$B$10*CEILING(AQ$3/100,1)+(Resumo!$B$12+Resumo!$B$13)*CEILING(AQ$3,1))</f>
        <v>149.110142593023</v>
      </c>
      <c r="AR65" s="12" t="n">
        <f aca="false">(AE65+AR$4*(Resumo!$C$7+Resumo!$C$8)+Resumo!$C$10*CEILING(AR$3/100,1)+Resumo!$C$9)*(1+Resumo!$C$11)-(AR$4*(Resumo!$B$6+Resumo!$B$7)+Resumo!$B$9+Resumo!$B$10*CEILING(AR$3/100,1)+(Resumo!$B$12+Resumo!$B$13)*CEILING(AR$3,1))</f>
        <v>152.447191466667</v>
      </c>
      <c r="AS65" s="12" t="n">
        <f aca="false">(AF65+AS$4*(Resumo!$C$7+Resumo!$C$8)+Resumo!$C$10*CEILING(AS$3/100,1)+Resumo!$C$9)*(1+Resumo!$C$11)-(AS$4*(Resumo!$B$6+Resumo!$B$7)+Resumo!$B$9+Resumo!$B$10*CEILING(AS$3/100,1)+(Resumo!$B$12+Resumo!$B$13)*CEILING(AS$3,1))</f>
        <v>62.11023</v>
      </c>
      <c r="AT65" s="12" t="n">
        <f aca="false">(AG65+AT$4*(Resumo!$C$7+Resumo!$C$8)+Resumo!$C$10*CEILING(AT$3/100,1)+Resumo!$C$9)*(1+Resumo!$C$11)-(AT$4*(Resumo!$B$6+Resumo!$B$7)+Resumo!$B$9+Resumo!$B$10*CEILING(AT$3/100,1)+(Resumo!$B$12+Resumo!$B$13)*CEILING(AT$3,1))</f>
        <v>219.780987533333</v>
      </c>
      <c r="AU65" s="13" t="n">
        <f aca="false">1-AH65/H65</f>
        <v>0.557217548394097</v>
      </c>
      <c r="AV65" s="13" t="n">
        <f aca="false">1-AI65/I65</f>
        <v>0.460864514591281</v>
      </c>
      <c r="AW65" s="13" t="n">
        <f aca="false">1-AJ65/J65</f>
        <v>0.430201800130762</v>
      </c>
      <c r="AX65" s="13" t="n">
        <f aca="false">1-AK65/K65</f>
        <v>0.445684685816301</v>
      </c>
      <c r="AY65" s="13" t="n">
        <f aca="false">1-AL65/L65</f>
        <v>0.440170514183345</v>
      </c>
      <c r="AZ65" s="13" t="n">
        <f aca="false">1-AM65/M65</f>
        <v>0.446015975009406</v>
      </c>
      <c r="BA65" s="13" t="n">
        <f aca="false">1-AN65/N65</f>
        <v>0.436535594122846</v>
      </c>
      <c r="BB65" s="13" t="n">
        <f aca="false">1-AO65/O65</f>
        <v>0.416287256952118</v>
      </c>
      <c r="BC65" s="13" t="n">
        <f aca="false">1-AP65/P65</f>
        <v>0.492016873415523</v>
      </c>
      <c r="BD65" s="13" t="n">
        <f aca="false">1-AQ65/Q65</f>
        <v>0.436980280195502</v>
      </c>
      <c r="BE65" s="13" t="n">
        <f aca="false">1-AR65/R65</f>
        <v>0.492096646787717</v>
      </c>
      <c r="BF65" s="13" t="n">
        <f aca="false">1-AS65/S65</f>
        <v>0.824135034119546</v>
      </c>
      <c r="BG65" s="13" t="n">
        <f aca="false">1-AT65/T65</f>
        <v>0.502082040024166</v>
      </c>
    </row>
    <row r="66" customFormat="false" ht="15" hidden="false" customHeight="false" outlineLevel="0" collapsed="false">
      <c r="A66" s="4" t="s">
        <v>197</v>
      </c>
      <c r="B66" s="4" t="s">
        <v>252</v>
      </c>
      <c r="C66" s="34" t="n">
        <v>28380000</v>
      </c>
      <c r="D66" s="34" t="n">
        <v>28389999</v>
      </c>
      <c r="E66" s="4" t="s">
        <v>201</v>
      </c>
      <c r="F66" s="4" t="s">
        <v>242</v>
      </c>
      <c r="G66" s="4" t="n">
        <f aca="false">COUNTIFS(Pedidos!$E$2:$E$2224,"&gt;="&amp;C66,Pedidos!$E$2:$E$2224,"&lt;="&amp;D66)</f>
        <v>3</v>
      </c>
      <c r="H66" s="7" t="n">
        <v>124.04</v>
      </c>
      <c r="I66" s="7" t="n">
        <v>138.29</v>
      </c>
      <c r="J66" s="7" t="n">
        <v>143.04</v>
      </c>
      <c r="K66" s="7" t="n">
        <v>152.54</v>
      </c>
      <c r="L66" s="7" t="n">
        <v>162.04</v>
      </c>
      <c r="M66" s="7" t="n">
        <v>171.54</v>
      </c>
      <c r="N66" s="7" t="n">
        <v>181.04</v>
      </c>
      <c r="O66" s="7" t="n">
        <v>200.04</v>
      </c>
      <c r="P66" s="7" t="n">
        <v>236.82</v>
      </c>
      <c r="Q66" s="7" t="n">
        <v>264.84</v>
      </c>
      <c r="R66" s="7" t="n">
        <v>300.15</v>
      </c>
      <c r="S66" s="7" t="n">
        <v>353.17</v>
      </c>
      <c r="T66" s="7" t="n">
        <v>441.4</v>
      </c>
      <c r="U66" s="7" t="n">
        <v>52.71</v>
      </c>
      <c r="V66" s="7" t="n">
        <v>76.5</v>
      </c>
      <c r="W66" s="7" t="n">
        <v>87.4</v>
      </c>
      <c r="X66" s="7" t="n">
        <v>94</v>
      </c>
      <c r="Y66" s="7" t="n">
        <v>103.6</v>
      </c>
      <c r="Z66" s="7" t="n">
        <v>113.9</v>
      </c>
      <c r="AA66" s="7" t="n">
        <v>124.16</v>
      </c>
      <c r="AB66" s="7" t="n">
        <v>144.41</v>
      </c>
      <c r="AC66" s="7" t="n">
        <v>161.81</v>
      </c>
      <c r="AD66" s="7" t="n">
        <v>197.37</v>
      </c>
      <c r="AE66" s="7" t="n">
        <v>215.7</v>
      </c>
      <c r="AF66" s="7" t="n">
        <v>143.51</v>
      </c>
      <c r="AG66" s="7" t="n">
        <v>304.65</v>
      </c>
      <c r="AH66" s="12" t="n">
        <f aca="false">(U66+AH$4*(Resumo!$C$7+Resumo!$C$8)+Resumo!$C$10*CEILING(AH$3/100,1)+Resumo!$C$9)*(1+Resumo!$C$11)-(AH$4*(Resumo!$B$6+Resumo!$B$7)+Resumo!$B$9+Resumo!$B$10*CEILING(AH$3/100,1)+(Resumo!$B$12+Resumo!$B$13)*CEILING(AH$3,1))</f>
        <v>54.9227352971963</v>
      </c>
      <c r="AI66" s="12" t="n">
        <f aca="false">(V66+AI$4*(Resumo!$C$7+Resumo!$C$8)+Resumo!$C$10*CEILING(AI$3/100,1)+Resumo!$C$9)*(1+Resumo!$C$11)-(AI$4*(Resumo!$B$6+Resumo!$B$7)+Resumo!$B$9+Resumo!$B$10*CEILING(AI$3/100,1)+(Resumo!$B$12+Resumo!$B$13)*CEILING(AI$3,1))</f>
        <v>74.5570462771717</v>
      </c>
      <c r="AJ66" s="12" t="n">
        <f aca="false">(W66+AJ$4*(Resumo!$C$7+Resumo!$C$8)+Resumo!$C$10*CEILING(AJ$3/100,1)+Resumo!$C$9)*(1+Resumo!$C$11)-(AJ$4*(Resumo!$B$6+Resumo!$B$7)+Resumo!$B$9+Resumo!$B$10*CEILING(AJ$3/100,1)+(Resumo!$B$12+Resumo!$B$13)*CEILING(AJ$3,1))</f>
        <v>81.5039345092958</v>
      </c>
      <c r="AK66" s="12" t="n">
        <f aca="false">(X66+AK$4*(Resumo!$C$7+Resumo!$C$8)+Resumo!$C$10*CEILING(AK$3/100,1)+Resumo!$C$9)*(1+Resumo!$C$11)-(AK$4*(Resumo!$B$6+Resumo!$B$7)+Resumo!$B$9+Resumo!$B$10*CEILING(AK$3/100,1)+(Resumo!$B$12+Resumo!$B$13)*CEILING(AK$3,1))</f>
        <v>84.5552580255814</v>
      </c>
      <c r="AL66" s="12" t="n">
        <f aca="false">(Y66+AL$4*(Resumo!$C$7+Resumo!$C$8)+Resumo!$C$10*CEILING(AL$3/100,1)+Resumo!$C$9)*(1+Resumo!$C$11)-(AL$4*(Resumo!$B$6+Resumo!$B$7)+Resumo!$B$9+Resumo!$B$10*CEILING(AL$3/100,1)+(Resumo!$B$12+Resumo!$B$13)*CEILING(AL$3,1))</f>
        <v>90.7147698817308</v>
      </c>
      <c r="AM66" s="12" t="n">
        <f aca="false">(Z66+AM$4*(Resumo!$C$7+Resumo!$C$8)+Resumo!$C$10*CEILING(AM$3/100,1)+Resumo!$C$9)*(1+Resumo!$C$11)-(AM$4*(Resumo!$B$6+Resumo!$B$7)+Resumo!$B$9+Resumo!$B$10*CEILING(AM$3/100,1)+(Resumo!$B$12+Resumo!$B$13)*CEILING(AM$3,1))</f>
        <v>95.0304196468864</v>
      </c>
      <c r="AN66" s="12" t="n">
        <f aca="false">(AA66+AN$4*(Resumo!$C$7+Resumo!$C$8)+Resumo!$C$10*CEILING(AN$3/100,1)+Resumo!$C$9)*(1+Resumo!$C$11)-(AN$4*(Resumo!$B$6+Resumo!$B$7)+Resumo!$B$9+Resumo!$B$10*CEILING(AN$3/100,1)+(Resumo!$B$12+Resumo!$B$13)*CEILING(AN$3,1))</f>
        <v>102.00959604</v>
      </c>
      <c r="AO66" s="12" t="n">
        <f aca="false">(AB66+AO$4*(Resumo!$C$7+Resumo!$C$8)+Resumo!$C$10*CEILING(AO$3/100,1)+Resumo!$C$9)*(1+Resumo!$C$11)-(AO$4*(Resumo!$B$6+Resumo!$B$7)+Resumo!$B$9+Resumo!$B$10*CEILING(AO$3/100,1)+(Resumo!$B$12+Resumo!$B$13)*CEILING(AO$3,1))</f>
        <v>116.765897119298</v>
      </c>
      <c r="AP66" s="12" t="n">
        <f aca="false">(AC66+AP$4*(Resumo!$C$7+Resumo!$C$8)+Resumo!$C$10*CEILING(AP$3/100,1)+Resumo!$C$9)*(1+Resumo!$C$11)-(AP$4*(Resumo!$B$6+Resumo!$B$7)+Resumo!$B$9+Resumo!$B$10*CEILING(AP$3/100,1)+(Resumo!$B$12+Resumo!$B$13)*CEILING(AP$3,1))</f>
        <v>120.300564037736</v>
      </c>
      <c r="AQ66" s="12" t="n">
        <f aca="false">(AD66+AQ$4*(Resumo!$C$7+Resumo!$C$8)+Resumo!$C$10*CEILING(AQ$3/100,1)+Resumo!$C$9)*(1+Resumo!$C$11)-(AQ$4*(Resumo!$B$6+Resumo!$B$7)+Resumo!$B$9+Resumo!$B$10*CEILING(AQ$3/100,1)+(Resumo!$B$12+Resumo!$B$13)*CEILING(AQ$3,1))</f>
        <v>149.110142593023</v>
      </c>
      <c r="AR66" s="12" t="n">
        <f aca="false">(AE66+AR$4*(Resumo!$C$7+Resumo!$C$8)+Resumo!$C$10*CEILING(AR$3/100,1)+Resumo!$C$9)*(1+Resumo!$C$11)-(AR$4*(Resumo!$B$6+Resumo!$B$7)+Resumo!$B$9+Resumo!$B$10*CEILING(AR$3/100,1)+(Resumo!$B$12+Resumo!$B$13)*CEILING(AR$3,1))</f>
        <v>152.447191466667</v>
      </c>
      <c r="AS66" s="12" t="n">
        <f aca="false">(AF66+AS$4*(Resumo!$C$7+Resumo!$C$8)+Resumo!$C$10*CEILING(AS$3/100,1)+Resumo!$C$9)*(1+Resumo!$C$11)-(AS$4*(Resumo!$B$6+Resumo!$B$7)+Resumo!$B$9+Resumo!$B$10*CEILING(AS$3/100,1)+(Resumo!$B$12+Resumo!$B$13)*CEILING(AS$3,1))</f>
        <v>62.11023</v>
      </c>
      <c r="AT66" s="12" t="n">
        <f aca="false">(AG66+AT$4*(Resumo!$C$7+Resumo!$C$8)+Resumo!$C$10*CEILING(AT$3/100,1)+Resumo!$C$9)*(1+Resumo!$C$11)-(AT$4*(Resumo!$B$6+Resumo!$B$7)+Resumo!$B$9+Resumo!$B$10*CEILING(AT$3/100,1)+(Resumo!$B$12+Resumo!$B$13)*CEILING(AT$3,1))</f>
        <v>219.780987533333</v>
      </c>
      <c r="AU66" s="13" t="n">
        <f aca="false">1-AH66/H66</f>
        <v>0.557217548394097</v>
      </c>
      <c r="AV66" s="13" t="n">
        <f aca="false">1-AI66/I66</f>
        <v>0.460864514591281</v>
      </c>
      <c r="AW66" s="13" t="n">
        <f aca="false">1-AJ66/J66</f>
        <v>0.430201800130762</v>
      </c>
      <c r="AX66" s="13" t="n">
        <f aca="false">1-AK66/K66</f>
        <v>0.445684685816301</v>
      </c>
      <c r="AY66" s="13" t="n">
        <f aca="false">1-AL66/L66</f>
        <v>0.440170514183345</v>
      </c>
      <c r="AZ66" s="13" t="n">
        <f aca="false">1-AM66/M66</f>
        <v>0.446015975009406</v>
      </c>
      <c r="BA66" s="13" t="n">
        <f aca="false">1-AN66/N66</f>
        <v>0.436535594122846</v>
      </c>
      <c r="BB66" s="13" t="n">
        <f aca="false">1-AO66/O66</f>
        <v>0.416287256952118</v>
      </c>
      <c r="BC66" s="13" t="n">
        <f aca="false">1-AP66/P66</f>
        <v>0.492016873415523</v>
      </c>
      <c r="BD66" s="13" t="n">
        <f aca="false">1-AQ66/Q66</f>
        <v>0.436980280195502</v>
      </c>
      <c r="BE66" s="13" t="n">
        <f aca="false">1-AR66/R66</f>
        <v>0.492096646787717</v>
      </c>
      <c r="BF66" s="13" t="n">
        <f aca="false">1-AS66/S66</f>
        <v>0.824135034119546</v>
      </c>
      <c r="BG66" s="13" t="n">
        <f aca="false">1-AT66/T66</f>
        <v>0.502082040024166</v>
      </c>
    </row>
    <row r="67" customFormat="false" ht="15" hidden="false" customHeight="false" outlineLevel="0" collapsed="false">
      <c r="A67" s="4" t="s">
        <v>197</v>
      </c>
      <c r="B67" s="4" t="s">
        <v>253</v>
      </c>
      <c r="C67" s="34" t="n">
        <v>28390000</v>
      </c>
      <c r="D67" s="34" t="n">
        <v>28399999</v>
      </c>
      <c r="E67" s="4" t="s">
        <v>201</v>
      </c>
      <c r="F67" s="4" t="s">
        <v>242</v>
      </c>
      <c r="G67" s="4" t="n">
        <f aca="false">COUNTIFS(Pedidos!$E$2:$E$2224,"&gt;="&amp;C67,Pedidos!$E$2:$E$2224,"&lt;="&amp;D67)</f>
        <v>0</v>
      </c>
      <c r="H67" s="7" t="n">
        <v>124.04</v>
      </c>
      <c r="I67" s="7" t="n">
        <v>138.29</v>
      </c>
      <c r="J67" s="7" t="n">
        <v>143.04</v>
      </c>
      <c r="K67" s="7" t="n">
        <v>152.54</v>
      </c>
      <c r="L67" s="7" t="n">
        <v>162.04</v>
      </c>
      <c r="M67" s="7" t="n">
        <v>171.54</v>
      </c>
      <c r="N67" s="7" t="n">
        <v>181.04</v>
      </c>
      <c r="O67" s="7" t="n">
        <v>200.04</v>
      </c>
      <c r="P67" s="7" t="n">
        <v>236.82</v>
      </c>
      <c r="Q67" s="7" t="n">
        <v>264.84</v>
      </c>
      <c r="R67" s="7" t="n">
        <v>300.15</v>
      </c>
      <c r="S67" s="7" t="n">
        <v>353.17</v>
      </c>
      <c r="T67" s="7" t="n">
        <v>441.4</v>
      </c>
      <c r="U67" s="7" t="n">
        <v>52.71</v>
      </c>
      <c r="V67" s="7" t="n">
        <v>76.5</v>
      </c>
      <c r="W67" s="7" t="n">
        <v>87.4</v>
      </c>
      <c r="X67" s="7" t="n">
        <v>94</v>
      </c>
      <c r="Y67" s="7" t="n">
        <v>103.6</v>
      </c>
      <c r="Z67" s="7" t="n">
        <v>113.9</v>
      </c>
      <c r="AA67" s="7" t="n">
        <v>124.16</v>
      </c>
      <c r="AB67" s="7" t="n">
        <v>144.41</v>
      </c>
      <c r="AC67" s="7" t="n">
        <v>161.81</v>
      </c>
      <c r="AD67" s="7" t="n">
        <v>197.37</v>
      </c>
      <c r="AE67" s="7" t="n">
        <v>215.7</v>
      </c>
      <c r="AF67" s="7" t="n">
        <v>143.51</v>
      </c>
      <c r="AG67" s="7" t="n">
        <v>304.65</v>
      </c>
      <c r="AH67" s="12" t="n">
        <f aca="false">(U67+AH$4*(Resumo!$C$7+Resumo!$C$8)+Resumo!$C$10*CEILING(AH$3/100,1)+Resumo!$C$9)*(1+Resumo!$C$11)-(AH$4*(Resumo!$B$6+Resumo!$B$7)+Resumo!$B$9+Resumo!$B$10*CEILING(AH$3/100,1)+(Resumo!$B$12+Resumo!$B$13)*CEILING(AH$3,1))</f>
        <v>54.9227352971963</v>
      </c>
      <c r="AI67" s="12" t="n">
        <f aca="false">(V67+AI$4*(Resumo!$C$7+Resumo!$C$8)+Resumo!$C$10*CEILING(AI$3/100,1)+Resumo!$C$9)*(1+Resumo!$C$11)-(AI$4*(Resumo!$B$6+Resumo!$B$7)+Resumo!$B$9+Resumo!$B$10*CEILING(AI$3/100,1)+(Resumo!$B$12+Resumo!$B$13)*CEILING(AI$3,1))</f>
        <v>74.5570462771717</v>
      </c>
      <c r="AJ67" s="12" t="n">
        <f aca="false">(W67+AJ$4*(Resumo!$C$7+Resumo!$C$8)+Resumo!$C$10*CEILING(AJ$3/100,1)+Resumo!$C$9)*(1+Resumo!$C$11)-(AJ$4*(Resumo!$B$6+Resumo!$B$7)+Resumo!$B$9+Resumo!$B$10*CEILING(AJ$3/100,1)+(Resumo!$B$12+Resumo!$B$13)*CEILING(AJ$3,1))</f>
        <v>81.5039345092958</v>
      </c>
      <c r="AK67" s="12" t="n">
        <f aca="false">(X67+AK$4*(Resumo!$C$7+Resumo!$C$8)+Resumo!$C$10*CEILING(AK$3/100,1)+Resumo!$C$9)*(1+Resumo!$C$11)-(AK$4*(Resumo!$B$6+Resumo!$B$7)+Resumo!$B$9+Resumo!$B$10*CEILING(AK$3/100,1)+(Resumo!$B$12+Resumo!$B$13)*CEILING(AK$3,1))</f>
        <v>84.5552580255814</v>
      </c>
      <c r="AL67" s="12" t="n">
        <f aca="false">(Y67+AL$4*(Resumo!$C$7+Resumo!$C$8)+Resumo!$C$10*CEILING(AL$3/100,1)+Resumo!$C$9)*(1+Resumo!$C$11)-(AL$4*(Resumo!$B$6+Resumo!$B$7)+Resumo!$B$9+Resumo!$B$10*CEILING(AL$3/100,1)+(Resumo!$B$12+Resumo!$B$13)*CEILING(AL$3,1))</f>
        <v>90.7147698817308</v>
      </c>
      <c r="AM67" s="12" t="n">
        <f aca="false">(Z67+AM$4*(Resumo!$C$7+Resumo!$C$8)+Resumo!$C$10*CEILING(AM$3/100,1)+Resumo!$C$9)*(1+Resumo!$C$11)-(AM$4*(Resumo!$B$6+Resumo!$B$7)+Resumo!$B$9+Resumo!$B$10*CEILING(AM$3/100,1)+(Resumo!$B$12+Resumo!$B$13)*CEILING(AM$3,1))</f>
        <v>95.0304196468864</v>
      </c>
      <c r="AN67" s="12" t="n">
        <f aca="false">(AA67+AN$4*(Resumo!$C$7+Resumo!$C$8)+Resumo!$C$10*CEILING(AN$3/100,1)+Resumo!$C$9)*(1+Resumo!$C$11)-(AN$4*(Resumo!$B$6+Resumo!$B$7)+Resumo!$B$9+Resumo!$B$10*CEILING(AN$3/100,1)+(Resumo!$B$12+Resumo!$B$13)*CEILING(AN$3,1))</f>
        <v>102.00959604</v>
      </c>
      <c r="AO67" s="12" t="n">
        <f aca="false">(AB67+AO$4*(Resumo!$C$7+Resumo!$C$8)+Resumo!$C$10*CEILING(AO$3/100,1)+Resumo!$C$9)*(1+Resumo!$C$11)-(AO$4*(Resumo!$B$6+Resumo!$B$7)+Resumo!$B$9+Resumo!$B$10*CEILING(AO$3/100,1)+(Resumo!$B$12+Resumo!$B$13)*CEILING(AO$3,1))</f>
        <v>116.765897119298</v>
      </c>
      <c r="AP67" s="12" t="n">
        <f aca="false">(AC67+AP$4*(Resumo!$C$7+Resumo!$C$8)+Resumo!$C$10*CEILING(AP$3/100,1)+Resumo!$C$9)*(1+Resumo!$C$11)-(AP$4*(Resumo!$B$6+Resumo!$B$7)+Resumo!$B$9+Resumo!$B$10*CEILING(AP$3/100,1)+(Resumo!$B$12+Resumo!$B$13)*CEILING(AP$3,1))</f>
        <v>120.300564037736</v>
      </c>
      <c r="AQ67" s="12" t="n">
        <f aca="false">(AD67+AQ$4*(Resumo!$C$7+Resumo!$C$8)+Resumo!$C$10*CEILING(AQ$3/100,1)+Resumo!$C$9)*(1+Resumo!$C$11)-(AQ$4*(Resumo!$B$6+Resumo!$B$7)+Resumo!$B$9+Resumo!$B$10*CEILING(AQ$3/100,1)+(Resumo!$B$12+Resumo!$B$13)*CEILING(AQ$3,1))</f>
        <v>149.110142593023</v>
      </c>
      <c r="AR67" s="12" t="n">
        <f aca="false">(AE67+AR$4*(Resumo!$C$7+Resumo!$C$8)+Resumo!$C$10*CEILING(AR$3/100,1)+Resumo!$C$9)*(1+Resumo!$C$11)-(AR$4*(Resumo!$B$6+Resumo!$B$7)+Resumo!$B$9+Resumo!$B$10*CEILING(AR$3/100,1)+(Resumo!$B$12+Resumo!$B$13)*CEILING(AR$3,1))</f>
        <v>152.447191466667</v>
      </c>
      <c r="AS67" s="12" t="n">
        <f aca="false">(AF67+AS$4*(Resumo!$C$7+Resumo!$C$8)+Resumo!$C$10*CEILING(AS$3/100,1)+Resumo!$C$9)*(1+Resumo!$C$11)-(AS$4*(Resumo!$B$6+Resumo!$B$7)+Resumo!$B$9+Resumo!$B$10*CEILING(AS$3/100,1)+(Resumo!$B$12+Resumo!$B$13)*CEILING(AS$3,1))</f>
        <v>62.11023</v>
      </c>
      <c r="AT67" s="12" t="n">
        <f aca="false">(AG67+AT$4*(Resumo!$C$7+Resumo!$C$8)+Resumo!$C$10*CEILING(AT$3/100,1)+Resumo!$C$9)*(1+Resumo!$C$11)-(AT$4*(Resumo!$B$6+Resumo!$B$7)+Resumo!$B$9+Resumo!$B$10*CEILING(AT$3/100,1)+(Resumo!$B$12+Resumo!$B$13)*CEILING(AT$3,1))</f>
        <v>219.780987533333</v>
      </c>
      <c r="AU67" s="13" t="n">
        <f aca="false">1-AH67/H67</f>
        <v>0.557217548394097</v>
      </c>
      <c r="AV67" s="13" t="n">
        <f aca="false">1-AI67/I67</f>
        <v>0.460864514591281</v>
      </c>
      <c r="AW67" s="13" t="n">
        <f aca="false">1-AJ67/J67</f>
        <v>0.430201800130762</v>
      </c>
      <c r="AX67" s="13" t="n">
        <f aca="false">1-AK67/K67</f>
        <v>0.445684685816301</v>
      </c>
      <c r="AY67" s="13" t="n">
        <f aca="false">1-AL67/L67</f>
        <v>0.440170514183345</v>
      </c>
      <c r="AZ67" s="13" t="n">
        <f aca="false">1-AM67/M67</f>
        <v>0.446015975009406</v>
      </c>
      <c r="BA67" s="13" t="n">
        <f aca="false">1-AN67/N67</f>
        <v>0.436535594122846</v>
      </c>
      <c r="BB67" s="13" t="n">
        <f aca="false">1-AO67/O67</f>
        <v>0.416287256952118</v>
      </c>
      <c r="BC67" s="13" t="n">
        <f aca="false">1-AP67/P67</f>
        <v>0.492016873415523</v>
      </c>
      <c r="BD67" s="13" t="n">
        <f aca="false">1-AQ67/Q67</f>
        <v>0.436980280195502</v>
      </c>
      <c r="BE67" s="13" t="n">
        <f aca="false">1-AR67/R67</f>
        <v>0.492096646787717</v>
      </c>
      <c r="BF67" s="13" t="n">
        <f aca="false">1-AS67/S67</f>
        <v>0.824135034119546</v>
      </c>
      <c r="BG67" s="13" t="n">
        <f aca="false">1-AT67/T67</f>
        <v>0.502082040024166</v>
      </c>
    </row>
    <row r="68" customFormat="false" ht="15" hidden="false" customHeight="false" outlineLevel="0" collapsed="false">
      <c r="A68" s="4" t="s">
        <v>197</v>
      </c>
      <c r="B68" s="4" t="s">
        <v>254</v>
      </c>
      <c r="C68" s="34" t="n">
        <v>28400000</v>
      </c>
      <c r="D68" s="34" t="n">
        <v>28429999</v>
      </c>
      <c r="E68" s="4" t="s">
        <v>201</v>
      </c>
      <c r="F68" s="4" t="s">
        <v>242</v>
      </c>
      <c r="G68" s="4" t="n">
        <f aca="false">COUNTIFS(Pedidos!$E$2:$E$2224,"&gt;="&amp;C68,Pedidos!$E$2:$E$2224,"&lt;="&amp;D68)</f>
        <v>4</v>
      </c>
      <c r="H68" s="7" t="n">
        <v>124.04</v>
      </c>
      <c r="I68" s="7" t="n">
        <v>138.29</v>
      </c>
      <c r="J68" s="7" t="n">
        <v>143.04</v>
      </c>
      <c r="K68" s="7" t="n">
        <v>152.54</v>
      </c>
      <c r="L68" s="7" t="n">
        <v>162.04</v>
      </c>
      <c r="M68" s="7" t="n">
        <v>171.54</v>
      </c>
      <c r="N68" s="7" t="n">
        <v>181.04</v>
      </c>
      <c r="O68" s="7" t="n">
        <v>200.04</v>
      </c>
      <c r="P68" s="7" t="n">
        <v>236.82</v>
      </c>
      <c r="Q68" s="7" t="n">
        <v>264.84</v>
      </c>
      <c r="R68" s="7" t="n">
        <v>300.15</v>
      </c>
      <c r="S68" s="7" t="n">
        <v>353.17</v>
      </c>
      <c r="T68" s="7" t="n">
        <v>441.4</v>
      </c>
      <c r="U68" s="7" t="n">
        <v>52.71</v>
      </c>
      <c r="V68" s="7" t="n">
        <v>76.5</v>
      </c>
      <c r="W68" s="7" t="n">
        <v>87.4</v>
      </c>
      <c r="X68" s="7" t="n">
        <v>94</v>
      </c>
      <c r="Y68" s="7" t="n">
        <v>103.6</v>
      </c>
      <c r="Z68" s="7" t="n">
        <v>113.9</v>
      </c>
      <c r="AA68" s="7" t="n">
        <v>124.16</v>
      </c>
      <c r="AB68" s="7" t="n">
        <v>144.41</v>
      </c>
      <c r="AC68" s="7" t="n">
        <v>161.81</v>
      </c>
      <c r="AD68" s="7" t="n">
        <v>197.37</v>
      </c>
      <c r="AE68" s="7" t="n">
        <v>215.7</v>
      </c>
      <c r="AF68" s="7" t="n">
        <v>143.51</v>
      </c>
      <c r="AG68" s="7" t="n">
        <v>304.65</v>
      </c>
      <c r="AH68" s="12" t="n">
        <f aca="false">(U68+AH$4*(Resumo!$C$7+Resumo!$C$8)+Resumo!$C$10*CEILING(AH$3/100,1)+Resumo!$C$9)*(1+Resumo!$C$11)-(AH$4*(Resumo!$B$6+Resumo!$B$7)+Resumo!$B$9+Resumo!$B$10*CEILING(AH$3/100,1)+(Resumo!$B$12+Resumo!$B$13)*CEILING(AH$3,1))</f>
        <v>54.9227352971963</v>
      </c>
      <c r="AI68" s="12" t="n">
        <f aca="false">(V68+AI$4*(Resumo!$C$7+Resumo!$C$8)+Resumo!$C$10*CEILING(AI$3/100,1)+Resumo!$C$9)*(1+Resumo!$C$11)-(AI$4*(Resumo!$B$6+Resumo!$B$7)+Resumo!$B$9+Resumo!$B$10*CEILING(AI$3/100,1)+(Resumo!$B$12+Resumo!$B$13)*CEILING(AI$3,1))</f>
        <v>74.5570462771717</v>
      </c>
      <c r="AJ68" s="12" t="n">
        <f aca="false">(W68+AJ$4*(Resumo!$C$7+Resumo!$C$8)+Resumo!$C$10*CEILING(AJ$3/100,1)+Resumo!$C$9)*(1+Resumo!$C$11)-(AJ$4*(Resumo!$B$6+Resumo!$B$7)+Resumo!$B$9+Resumo!$B$10*CEILING(AJ$3/100,1)+(Resumo!$B$12+Resumo!$B$13)*CEILING(AJ$3,1))</f>
        <v>81.5039345092958</v>
      </c>
      <c r="AK68" s="12" t="n">
        <f aca="false">(X68+AK$4*(Resumo!$C$7+Resumo!$C$8)+Resumo!$C$10*CEILING(AK$3/100,1)+Resumo!$C$9)*(1+Resumo!$C$11)-(AK$4*(Resumo!$B$6+Resumo!$B$7)+Resumo!$B$9+Resumo!$B$10*CEILING(AK$3/100,1)+(Resumo!$B$12+Resumo!$B$13)*CEILING(AK$3,1))</f>
        <v>84.5552580255814</v>
      </c>
      <c r="AL68" s="12" t="n">
        <f aca="false">(Y68+AL$4*(Resumo!$C$7+Resumo!$C$8)+Resumo!$C$10*CEILING(AL$3/100,1)+Resumo!$C$9)*(1+Resumo!$C$11)-(AL$4*(Resumo!$B$6+Resumo!$B$7)+Resumo!$B$9+Resumo!$B$10*CEILING(AL$3/100,1)+(Resumo!$B$12+Resumo!$B$13)*CEILING(AL$3,1))</f>
        <v>90.7147698817308</v>
      </c>
      <c r="AM68" s="12" t="n">
        <f aca="false">(Z68+AM$4*(Resumo!$C$7+Resumo!$C$8)+Resumo!$C$10*CEILING(AM$3/100,1)+Resumo!$C$9)*(1+Resumo!$C$11)-(AM$4*(Resumo!$B$6+Resumo!$B$7)+Resumo!$B$9+Resumo!$B$10*CEILING(AM$3/100,1)+(Resumo!$B$12+Resumo!$B$13)*CEILING(AM$3,1))</f>
        <v>95.0304196468864</v>
      </c>
      <c r="AN68" s="12" t="n">
        <f aca="false">(AA68+AN$4*(Resumo!$C$7+Resumo!$C$8)+Resumo!$C$10*CEILING(AN$3/100,1)+Resumo!$C$9)*(1+Resumo!$C$11)-(AN$4*(Resumo!$B$6+Resumo!$B$7)+Resumo!$B$9+Resumo!$B$10*CEILING(AN$3/100,1)+(Resumo!$B$12+Resumo!$B$13)*CEILING(AN$3,1))</f>
        <v>102.00959604</v>
      </c>
      <c r="AO68" s="12" t="n">
        <f aca="false">(AB68+AO$4*(Resumo!$C$7+Resumo!$C$8)+Resumo!$C$10*CEILING(AO$3/100,1)+Resumo!$C$9)*(1+Resumo!$C$11)-(AO$4*(Resumo!$B$6+Resumo!$B$7)+Resumo!$B$9+Resumo!$B$10*CEILING(AO$3/100,1)+(Resumo!$B$12+Resumo!$B$13)*CEILING(AO$3,1))</f>
        <v>116.765897119298</v>
      </c>
      <c r="AP68" s="12" t="n">
        <f aca="false">(AC68+AP$4*(Resumo!$C$7+Resumo!$C$8)+Resumo!$C$10*CEILING(AP$3/100,1)+Resumo!$C$9)*(1+Resumo!$C$11)-(AP$4*(Resumo!$B$6+Resumo!$B$7)+Resumo!$B$9+Resumo!$B$10*CEILING(AP$3/100,1)+(Resumo!$B$12+Resumo!$B$13)*CEILING(AP$3,1))</f>
        <v>120.300564037736</v>
      </c>
      <c r="AQ68" s="12" t="n">
        <f aca="false">(AD68+AQ$4*(Resumo!$C$7+Resumo!$C$8)+Resumo!$C$10*CEILING(AQ$3/100,1)+Resumo!$C$9)*(1+Resumo!$C$11)-(AQ$4*(Resumo!$B$6+Resumo!$B$7)+Resumo!$B$9+Resumo!$B$10*CEILING(AQ$3/100,1)+(Resumo!$B$12+Resumo!$B$13)*CEILING(AQ$3,1))</f>
        <v>149.110142593023</v>
      </c>
      <c r="AR68" s="12" t="n">
        <f aca="false">(AE68+AR$4*(Resumo!$C$7+Resumo!$C$8)+Resumo!$C$10*CEILING(AR$3/100,1)+Resumo!$C$9)*(1+Resumo!$C$11)-(AR$4*(Resumo!$B$6+Resumo!$B$7)+Resumo!$B$9+Resumo!$B$10*CEILING(AR$3/100,1)+(Resumo!$B$12+Resumo!$B$13)*CEILING(AR$3,1))</f>
        <v>152.447191466667</v>
      </c>
      <c r="AS68" s="12" t="n">
        <f aca="false">(AF68+AS$4*(Resumo!$C$7+Resumo!$C$8)+Resumo!$C$10*CEILING(AS$3/100,1)+Resumo!$C$9)*(1+Resumo!$C$11)-(AS$4*(Resumo!$B$6+Resumo!$B$7)+Resumo!$B$9+Resumo!$B$10*CEILING(AS$3/100,1)+(Resumo!$B$12+Resumo!$B$13)*CEILING(AS$3,1))</f>
        <v>62.11023</v>
      </c>
      <c r="AT68" s="12" t="n">
        <f aca="false">(AG68+AT$4*(Resumo!$C$7+Resumo!$C$8)+Resumo!$C$10*CEILING(AT$3/100,1)+Resumo!$C$9)*(1+Resumo!$C$11)-(AT$4*(Resumo!$B$6+Resumo!$B$7)+Resumo!$B$9+Resumo!$B$10*CEILING(AT$3/100,1)+(Resumo!$B$12+Resumo!$B$13)*CEILING(AT$3,1))</f>
        <v>219.780987533333</v>
      </c>
      <c r="AU68" s="13" t="n">
        <f aca="false">1-AH68/H68</f>
        <v>0.557217548394097</v>
      </c>
      <c r="AV68" s="13" t="n">
        <f aca="false">1-AI68/I68</f>
        <v>0.460864514591281</v>
      </c>
      <c r="AW68" s="13" t="n">
        <f aca="false">1-AJ68/J68</f>
        <v>0.430201800130762</v>
      </c>
      <c r="AX68" s="13" t="n">
        <f aca="false">1-AK68/K68</f>
        <v>0.445684685816301</v>
      </c>
      <c r="AY68" s="13" t="n">
        <f aca="false">1-AL68/L68</f>
        <v>0.440170514183345</v>
      </c>
      <c r="AZ68" s="13" t="n">
        <f aca="false">1-AM68/M68</f>
        <v>0.446015975009406</v>
      </c>
      <c r="BA68" s="13" t="n">
        <f aca="false">1-AN68/N68</f>
        <v>0.436535594122846</v>
      </c>
      <c r="BB68" s="13" t="n">
        <f aca="false">1-AO68/O68</f>
        <v>0.416287256952118</v>
      </c>
      <c r="BC68" s="13" t="n">
        <f aca="false">1-AP68/P68</f>
        <v>0.492016873415523</v>
      </c>
      <c r="BD68" s="13" t="n">
        <f aca="false">1-AQ68/Q68</f>
        <v>0.436980280195502</v>
      </c>
      <c r="BE68" s="13" t="n">
        <f aca="false">1-AR68/R68</f>
        <v>0.492096646787717</v>
      </c>
      <c r="BF68" s="13" t="n">
        <f aca="false">1-AS68/S68</f>
        <v>0.824135034119546</v>
      </c>
      <c r="BG68" s="13" t="n">
        <f aca="false">1-AT68/T68</f>
        <v>0.502082040024166</v>
      </c>
    </row>
    <row r="69" customFormat="false" ht="15" hidden="false" customHeight="false" outlineLevel="0" collapsed="false">
      <c r="A69" s="4" t="s">
        <v>197</v>
      </c>
      <c r="B69" s="4" t="s">
        <v>255</v>
      </c>
      <c r="C69" s="34" t="n">
        <v>28430000</v>
      </c>
      <c r="D69" s="34" t="n">
        <v>28454999</v>
      </c>
      <c r="E69" s="4" t="s">
        <v>201</v>
      </c>
      <c r="F69" s="4" t="s">
        <v>242</v>
      </c>
      <c r="G69" s="4" t="n">
        <f aca="false">COUNTIFS(Pedidos!$E$2:$E$2224,"&gt;="&amp;C69,Pedidos!$E$2:$E$2224,"&lt;="&amp;D69)</f>
        <v>1</v>
      </c>
      <c r="H69" s="7" t="n">
        <v>124.04</v>
      </c>
      <c r="I69" s="7" t="n">
        <v>138.29</v>
      </c>
      <c r="J69" s="7" t="n">
        <v>143.04</v>
      </c>
      <c r="K69" s="7" t="n">
        <v>152.54</v>
      </c>
      <c r="L69" s="7" t="n">
        <v>162.04</v>
      </c>
      <c r="M69" s="7" t="n">
        <v>171.54</v>
      </c>
      <c r="N69" s="7" t="n">
        <v>181.04</v>
      </c>
      <c r="O69" s="7" t="n">
        <v>200.04</v>
      </c>
      <c r="P69" s="7" t="n">
        <v>236.82</v>
      </c>
      <c r="Q69" s="7" t="n">
        <v>264.84</v>
      </c>
      <c r="R69" s="7" t="n">
        <v>300.15</v>
      </c>
      <c r="S69" s="7" t="n">
        <v>353.17</v>
      </c>
      <c r="T69" s="7" t="n">
        <v>441.4</v>
      </c>
      <c r="U69" s="7" t="n">
        <v>52.71</v>
      </c>
      <c r="V69" s="7" t="n">
        <v>76.5</v>
      </c>
      <c r="W69" s="7" t="n">
        <v>87.4</v>
      </c>
      <c r="X69" s="7" t="n">
        <v>94</v>
      </c>
      <c r="Y69" s="7" t="n">
        <v>103.6</v>
      </c>
      <c r="Z69" s="7" t="n">
        <v>113.9</v>
      </c>
      <c r="AA69" s="7" t="n">
        <v>124.16</v>
      </c>
      <c r="AB69" s="7" t="n">
        <v>144.41</v>
      </c>
      <c r="AC69" s="7" t="n">
        <v>161.81</v>
      </c>
      <c r="AD69" s="7" t="n">
        <v>197.37</v>
      </c>
      <c r="AE69" s="7" t="n">
        <v>215.7</v>
      </c>
      <c r="AF69" s="7" t="n">
        <v>143.51</v>
      </c>
      <c r="AG69" s="7" t="n">
        <v>304.65</v>
      </c>
      <c r="AH69" s="12" t="n">
        <f aca="false">(U69+AH$4*(Resumo!$C$7+Resumo!$C$8)+Resumo!$C$10*CEILING(AH$3/100,1)+Resumo!$C$9)*(1+Resumo!$C$11)-(AH$4*(Resumo!$B$6+Resumo!$B$7)+Resumo!$B$9+Resumo!$B$10*CEILING(AH$3/100,1)+(Resumo!$B$12+Resumo!$B$13)*CEILING(AH$3,1))</f>
        <v>54.9227352971963</v>
      </c>
      <c r="AI69" s="12" t="n">
        <f aca="false">(V69+AI$4*(Resumo!$C$7+Resumo!$C$8)+Resumo!$C$10*CEILING(AI$3/100,1)+Resumo!$C$9)*(1+Resumo!$C$11)-(AI$4*(Resumo!$B$6+Resumo!$B$7)+Resumo!$B$9+Resumo!$B$10*CEILING(AI$3/100,1)+(Resumo!$B$12+Resumo!$B$13)*CEILING(AI$3,1))</f>
        <v>74.5570462771717</v>
      </c>
      <c r="AJ69" s="12" t="n">
        <f aca="false">(W69+AJ$4*(Resumo!$C$7+Resumo!$C$8)+Resumo!$C$10*CEILING(AJ$3/100,1)+Resumo!$C$9)*(1+Resumo!$C$11)-(AJ$4*(Resumo!$B$6+Resumo!$B$7)+Resumo!$B$9+Resumo!$B$10*CEILING(AJ$3/100,1)+(Resumo!$B$12+Resumo!$B$13)*CEILING(AJ$3,1))</f>
        <v>81.5039345092958</v>
      </c>
      <c r="AK69" s="12" t="n">
        <f aca="false">(X69+AK$4*(Resumo!$C$7+Resumo!$C$8)+Resumo!$C$10*CEILING(AK$3/100,1)+Resumo!$C$9)*(1+Resumo!$C$11)-(AK$4*(Resumo!$B$6+Resumo!$B$7)+Resumo!$B$9+Resumo!$B$10*CEILING(AK$3/100,1)+(Resumo!$B$12+Resumo!$B$13)*CEILING(AK$3,1))</f>
        <v>84.5552580255814</v>
      </c>
      <c r="AL69" s="12" t="n">
        <f aca="false">(Y69+AL$4*(Resumo!$C$7+Resumo!$C$8)+Resumo!$C$10*CEILING(AL$3/100,1)+Resumo!$C$9)*(1+Resumo!$C$11)-(AL$4*(Resumo!$B$6+Resumo!$B$7)+Resumo!$B$9+Resumo!$B$10*CEILING(AL$3/100,1)+(Resumo!$B$12+Resumo!$B$13)*CEILING(AL$3,1))</f>
        <v>90.7147698817308</v>
      </c>
      <c r="AM69" s="12" t="n">
        <f aca="false">(Z69+AM$4*(Resumo!$C$7+Resumo!$C$8)+Resumo!$C$10*CEILING(AM$3/100,1)+Resumo!$C$9)*(1+Resumo!$C$11)-(AM$4*(Resumo!$B$6+Resumo!$B$7)+Resumo!$B$9+Resumo!$B$10*CEILING(AM$3/100,1)+(Resumo!$B$12+Resumo!$B$13)*CEILING(AM$3,1))</f>
        <v>95.0304196468864</v>
      </c>
      <c r="AN69" s="12" t="n">
        <f aca="false">(AA69+AN$4*(Resumo!$C$7+Resumo!$C$8)+Resumo!$C$10*CEILING(AN$3/100,1)+Resumo!$C$9)*(1+Resumo!$C$11)-(AN$4*(Resumo!$B$6+Resumo!$B$7)+Resumo!$B$9+Resumo!$B$10*CEILING(AN$3/100,1)+(Resumo!$B$12+Resumo!$B$13)*CEILING(AN$3,1))</f>
        <v>102.00959604</v>
      </c>
      <c r="AO69" s="12" t="n">
        <f aca="false">(AB69+AO$4*(Resumo!$C$7+Resumo!$C$8)+Resumo!$C$10*CEILING(AO$3/100,1)+Resumo!$C$9)*(1+Resumo!$C$11)-(AO$4*(Resumo!$B$6+Resumo!$B$7)+Resumo!$B$9+Resumo!$B$10*CEILING(AO$3/100,1)+(Resumo!$B$12+Resumo!$B$13)*CEILING(AO$3,1))</f>
        <v>116.765897119298</v>
      </c>
      <c r="AP69" s="12" t="n">
        <f aca="false">(AC69+AP$4*(Resumo!$C$7+Resumo!$C$8)+Resumo!$C$10*CEILING(AP$3/100,1)+Resumo!$C$9)*(1+Resumo!$C$11)-(AP$4*(Resumo!$B$6+Resumo!$B$7)+Resumo!$B$9+Resumo!$B$10*CEILING(AP$3/100,1)+(Resumo!$B$12+Resumo!$B$13)*CEILING(AP$3,1))</f>
        <v>120.300564037736</v>
      </c>
      <c r="AQ69" s="12" t="n">
        <f aca="false">(AD69+AQ$4*(Resumo!$C$7+Resumo!$C$8)+Resumo!$C$10*CEILING(AQ$3/100,1)+Resumo!$C$9)*(1+Resumo!$C$11)-(AQ$4*(Resumo!$B$6+Resumo!$B$7)+Resumo!$B$9+Resumo!$B$10*CEILING(AQ$3/100,1)+(Resumo!$B$12+Resumo!$B$13)*CEILING(AQ$3,1))</f>
        <v>149.110142593023</v>
      </c>
      <c r="AR69" s="12" t="n">
        <f aca="false">(AE69+AR$4*(Resumo!$C$7+Resumo!$C$8)+Resumo!$C$10*CEILING(AR$3/100,1)+Resumo!$C$9)*(1+Resumo!$C$11)-(AR$4*(Resumo!$B$6+Resumo!$B$7)+Resumo!$B$9+Resumo!$B$10*CEILING(AR$3/100,1)+(Resumo!$B$12+Resumo!$B$13)*CEILING(AR$3,1))</f>
        <v>152.447191466667</v>
      </c>
      <c r="AS69" s="12" t="n">
        <f aca="false">(AF69+AS$4*(Resumo!$C$7+Resumo!$C$8)+Resumo!$C$10*CEILING(AS$3/100,1)+Resumo!$C$9)*(1+Resumo!$C$11)-(AS$4*(Resumo!$B$6+Resumo!$B$7)+Resumo!$B$9+Resumo!$B$10*CEILING(AS$3/100,1)+(Resumo!$B$12+Resumo!$B$13)*CEILING(AS$3,1))</f>
        <v>62.11023</v>
      </c>
      <c r="AT69" s="12" t="n">
        <f aca="false">(AG69+AT$4*(Resumo!$C$7+Resumo!$C$8)+Resumo!$C$10*CEILING(AT$3/100,1)+Resumo!$C$9)*(1+Resumo!$C$11)-(AT$4*(Resumo!$B$6+Resumo!$B$7)+Resumo!$B$9+Resumo!$B$10*CEILING(AT$3/100,1)+(Resumo!$B$12+Resumo!$B$13)*CEILING(AT$3,1))</f>
        <v>219.780987533333</v>
      </c>
      <c r="AU69" s="13" t="n">
        <f aca="false">1-AH69/H69</f>
        <v>0.557217548394097</v>
      </c>
      <c r="AV69" s="13" t="n">
        <f aca="false">1-AI69/I69</f>
        <v>0.460864514591281</v>
      </c>
      <c r="AW69" s="13" t="n">
        <f aca="false">1-AJ69/J69</f>
        <v>0.430201800130762</v>
      </c>
      <c r="AX69" s="13" t="n">
        <f aca="false">1-AK69/K69</f>
        <v>0.445684685816301</v>
      </c>
      <c r="AY69" s="13" t="n">
        <f aca="false">1-AL69/L69</f>
        <v>0.440170514183345</v>
      </c>
      <c r="AZ69" s="13" t="n">
        <f aca="false">1-AM69/M69</f>
        <v>0.446015975009406</v>
      </c>
      <c r="BA69" s="13" t="n">
        <f aca="false">1-AN69/N69</f>
        <v>0.436535594122846</v>
      </c>
      <c r="BB69" s="13" t="n">
        <f aca="false">1-AO69/O69</f>
        <v>0.416287256952118</v>
      </c>
      <c r="BC69" s="13" t="n">
        <f aca="false">1-AP69/P69</f>
        <v>0.492016873415523</v>
      </c>
      <c r="BD69" s="13" t="n">
        <f aca="false">1-AQ69/Q69</f>
        <v>0.436980280195502</v>
      </c>
      <c r="BE69" s="13" t="n">
        <f aca="false">1-AR69/R69</f>
        <v>0.492096646787717</v>
      </c>
      <c r="BF69" s="13" t="n">
        <f aca="false">1-AS69/S69</f>
        <v>0.824135034119546</v>
      </c>
      <c r="BG69" s="13" t="n">
        <f aca="false">1-AT69/T69</f>
        <v>0.502082040024166</v>
      </c>
    </row>
    <row r="70" customFormat="false" ht="15" hidden="false" customHeight="false" outlineLevel="0" collapsed="false">
      <c r="A70" s="4" t="s">
        <v>197</v>
      </c>
      <c r="B70" s="4" t="s">
        <v>256</v>
      </c>
      <c r="C70" s="34" t="n">
        <v>28455000</v>
      </c>
      <c r="D70" s="34" t="n">
        <v>28459999</v>
      </c>
      <c r="E70" s="4" t="s">
        <v>201</v>
      </c>
      <c r="F70" s="4" t="s">
        <v>242</v>
      </c>
      <c r="G70" s="4" t="n">
        <f aca="false">COUNTIFS(Pedidos!$E$2:$E$2224,"&gt;="&amp;C70,Pedidos!$E$2:$E$2224,"&lt;="&amp;D70)</f>
        <v>1</v>
      </c>
      <c r="H70" s="7" t="n">
        <v>124.04</v>
      </c>
      <c r="I70" s="7" t="n">
        <v>138.29</v>
      </c>
      <c r="J70" s="7" t="n">
        <v>143.04</v>
      </c>
      <c r="K70" s="7" t="n">
        <v>152.54</v>
      </c>
      <c r="L70" s="7" t="n">
        <v>162.04</v>
      </c>
      <c r="M70" s="7" t="n">
        <v>171.54</v>
      </c>
      <c r="N70" s="7" t="n">
        <v>181.04</v>
      </c>
      <c r="O70" s="7" t="n">
        <v>200.04</v>
      </c>
      <c r="P70" s="7" t="n">
        <v>236.82</v>
      </c>
      <c r="Q70" s="7" t="n">
        <v>264.84</v>
      </c>
      <c r="R70" s="7" t="n">
        <v>300.15</v>
      </c>
      <c r="S70" s="7" t="n">
        <v>353.17</v>
      </c>
      <c r="T70" s="7" t="n">
        <v>441.4</v>
      </c>
      <c r="U70" s="7" t="n">
        <v>52.71</v>
      </c>
      <c r="V70" s="7" t="n">
        <v>76.5</v>
      </c>
      <c r="W70" s="7" t="n">
        <v>87.4</v>
      </c>
      <c r="X70" s="7" t="n">
        <v>94</v>
      </c>
      <c r="Y70" s="7" t="n">
        <v>103.6</v>
      </c>
      <c r="Z70" s="7" t="n">
        <v>113.9</v>
      </c>
      <c r="AA70" s="7" t="n">
        <v>124.16</v>
      </c>
      <c r="AB70" s="7" t="n">
        <v>144.41</v>
      </c>
      <c r="AC70" s="7" t="n">
        <v>161.81</v>
      </c>
      <c r="AD70" s="7" t="n">
        <v>197.37</v>
      </c>
      <c r="AE70" s="7" t="n">
        <v>215.7</v>
      </c>
      <c r="AF70" s="7" t="n">
        <v>143.51</v>
      </c>
      <c r="AG70" s="7" t="n">
        <v>304.65</v>
      </c>
      <c r="AH70" s="12" t="n">
        <f aca="false">(U70+AH$4*(Resumo!$C$7+Resumo!$C$8)+Resumo!$C$10*CEILING(AH$3/100,1)+Resumo!$C$9)*(1+Resumo!$C$11)-(AH$4*(Resumo!$B$6+Resumo!$B$7)+Resumo!$B$9+Resumo!$B$10*CEILING(AH$3/100,1)+(Resumo!$B$12+Resumo!$B$13)*CEILING(AH$3,1))</f>
        <v>54.9227352971963</v>
      </c>
      <c r="AI70" s="12" t="n">
        <f aca="false">(V70+AI$4*(Resumo!$C$7+Resumo!$C$8)+Resumo!$C$10*CEILING(AI$3/100,1)+Resumo!$C$9)*(1+Resumo!$C$11)-(AI$4*(Resumo!$B$6+Resumo!$B$7)+Resumo!$B$9+Resumo!$B$10*CEILING(AI$3/100,1)+(Resumo!$B$12+Resumo!$B$13)*CEILING(AI$3,1))</f>
        <v>74.5570462771717</v>
      </c>
      <c r="AJ70" s="12" t="n">
        <f aca="false">(W70+AJ$4*(Resumo!$C$7+Resumo!$C$8)+Resumo!$C$10*CEILING(AJ$3/100,1)+Resumo!$C$9)*(1+Resumo!$C$11)-(AJ$4*(Resumo!$B$6+Resumo!$B$7)+Resumo!$B$9+Resumo!$B$10*CEILING(AJ$3/100,1)+(Resumo!$B$12+Resumo!$B$13)*CEILING(AJ$3,1))</f>
        <v>81.5039345092958</v>
      </c>
      <c r="AK70" s="12" t="n">
        <f aca="false">(X70+AK$4*(Resumo!$C$7+Resumo!$C$8)+Resumo!$C$10*CEILING(AK$3/100,1)+Resumo!$C$9)*(1+Resumo!$C$11)-(AK$4*(Resumo!$B$6+Resumo!$B$7)+Resumo!$B$9+Resumo!$B$10*CEILING(AK$3/100,1)+(Resumo!$B$12+Resumo!$B$13)*CEILING(AK$3,1))</f>
        <v>84.5552580255814</v>
      </c>
      <c r="AL70" s="12" t="n">
        <f aca="false">(Y70+AL$4*(Resumo!$C$7+Resumo!$C$8)+Resumo!$C$10*CEILING(AL$3/100,1)+Resumo!$C$9)*(1+Resumo!$C$11)-(AL$4*(Resumo!$B$6+Resumo!$B$7)+Resumo!$B$9+Resumo!$B$10*CEILING(AL$3/100,1)+(Resumo!$B$12+Resumo!$B$13)*CEILING(AL$3,1))</f>
        <v>90.7147698817308</v>
      </c>
      <c r="AM70" s="12" t="n">
        <f aca="false">(Z70+AM$4*(Resumo!$C$7+Resumo!$C$8)+Resumo!$C$10*CEILING(AM$3/100,1)+Resumo!$C$9)*(1+Resumo!$C$11)-(AM$4*(Resumo!$B$6+Resumo!$B$7)+Resumo!$B$9+Resumo!$B$10*CEILING(AM$3/100,1)+(Resumo!$B$12+Resumo!$B$13)*CEILING(AM$3,1))</f>
        <v>95.0304196468864</v>
      </c>
      <c r="AN70" s="12" t="n">
        <f aca="false">(AA70+AN$4*(Resumo!$C$7+Resumo!$C$8)+Resumo!$C$10*CEILING(AN$3/100,1)+Resumo!$C$9)*(1+Resumo!$C$11)-(AN$4*(Resumo!$B$6+Resumo!$B$7)+Resumo!$B$9+Resumo!$B$10*CEILING(AN$3/100,1)+(Resumo!$B$12+Resumo!$B$13)*CEILING(AN$3,1))</f>
        <v>102.00959604</v>
      </c>
      <c r="AO70" s="12" t="n">
        <f aca="false">(AB70+AO$4*(Resumo!$C$7+Resumo!$C$8)+Resumo!$C$10*CEILING(AO$3/100,1)+Resumo!$C$9)*(1+Resumo!$C$11)-(AO$4*(Resumo!$B$6+Resumo!$B$7)+Resumo!$B$9+Resumo!$B$10*CEILING(AO$3/100,1)+(Resumo!$B$12+Resumo!$B$13)*CEILING(AO$3,1))</f>
        <v>116.765897119298</v>
      </c>
      <c r="AP70" s="12" t="n">
        <f aca="false">(AC70+AP$4*(Resumo!$C$7+Resumo!$C$8)+Resumo!$C$10*CEILING(AP$3/100,1)+Resumo!$C$9)*(1+Resumo!$C$11)-(AP$4*(Resumo!$B$6+Resumo!$B$7)+Resumo!$B$9+Resumo!$B$10*CEILING(AP$3/100,1)+(Resumo!$B$12+Resumo!$B$13)*CEILING(AP$3,1))</f>
        <v>120.300564037736</v>
      </c>
      <c r="AQ70" s="12" t="n">
        <f aca="false">(AD70+AQ$4*(Resumo!$C$7+Resumo!$C$8)+Resumo!$C$10*CEILING(AQ$3/100,1)+Resumo!$C$9)*(1+Resumo!$C$11)-(AQ$4*(Resumo!$B$6+Resumo!$B$7)+Resumo!$B$9+Resumo!$B$10*CEILING(AQ$3/100,1)+(Resumo!$B$12+Resumo!$B$13)*CEILING(AQ$3,1))</f>
        <v>149.110142593023</v>
      </c>
      <c r="AR70" s="12" t="n">
        <f aca="false">(AE70+AR$4*(Resumo!$C$7+Resumo!$C$8)+Resumo!$C$10*CEILING(AR$3/100,1)+Resumo!$C$9)*(1+Resumo!$C$11)-(AR$4*(Resumo!$B$6+Resumo!$B$7)+Resumo!$B$9+Resumo!$B$10*CEILING(AR$3/100,1)+(Resumo!$B$12+Resumo!$B$13)*CEILING(AR$3,1))</f>
        <v>152.447191466667</v>
      </c>
      <c r="AS70" s="12" t="n">
        <f aca="false">(AF70+AS$4*(Resumo!$C$7+Resumo!$C$8)+Resumo!$C$10*CEILING(AS$3/100,1)+Resumo!$C$9)*(1+Resumo!$C$11)-(AS$4*(Resumo!$B$6+Resumo!$B$7)+Resumo!$B$9+Resumo!$B$10*CEILING(AS$3/100,1)+(Resumo!$B$12+Resumo!$B$13)*CEILING(AS$3,1))</f>
        <v>62.11023</v>
      </c>
      <c r="AT70" s="12" t="n">
        <f aca="false">(AG70+AT$4*(Resumo!$C$7+Resumo!$C$8)+Resumo!$C$10*CEILING(AT$3/100,1)+Resumo!$C$9)*(1+Resumo!$C$11)-(AT$4*(Resumo!$B$6+Resumo!$B$7)+Resumo!$B$9+Resumo!$B$10*CEILING(AT$3/100,1)+(Resumo!$B$12+Resumo!$B$13)*CEILING(AT$3,1))</f>
        <v>219.780987533333</v>
      </c>
      <c r="AU70" s="13" t="n">
        <f aca="false">1-AH70/H70</f>
        <v>0.557217548394097</v>
      </c>
      <c r="AV70" s="13" t="n">
        <f aca="false">1-AI70/I70</f>
        <v>0.460864514591281</v>
      </c>
      <c r="AW70" s="13" t="n">
        <f aca="false">1-AJ70/J70</f>
        <v>0.430201800130762</v>
      </c>
      <c r="AX70" s="13" t="n">
        <f aca="false">1-AK70/K70</f>
        <v>0.445684685816301</v>
      </c>
      <c r="AY70" s="13" t="n">
        <f aca="false">1-AL70/L70</f>
        <v>0.440170514183345</v>
      </c>
      <c r="AZ70" s="13" t="n">
        <f aca="false">1-AM70/M70</f>
        <v>0.446015975009406</v>
      </c>
      <c r="BA70" s="13" t="n">
        <f aca="false">1-AN70/N70</f>
        <v>0.436535594122846</v>
      </c>
      <c r="BB70" s="13" t="n">
        <f aca="false">1-AO70/O70</f>
        <v>0.416287256952118</v>
      </c>
      <c r="BC70" s="13" t="n">
        <f aca="false">1-AP70/P70</f>
        <v>0.492016873415523</v>
      </c>
      <c r="BD70" s="13" t="n">
        <f aca="false">1-AQ70/Q70</f>
        <v>0.436980280195502</v>
      </c>
      <c r="BE70" s="13" t="n">
        <f aca="false">1-AR70/R70</f>
        <v>0.492096646787717</v>
      </c>
      <c r="BF70" s="13" t="n">
        <f aca="false">1-AS70/S70</f>
        <v>0.824135034119546</v>
      </c>
      <c r="BG70" s="13" t="n">
        <f aca="false">1-AT70/T70</f>
        <v>0.502082040024166</v>
      </c>
    </row>
    <row r="71" customFormat="false" ht="15" hidden="false" customHeight="false" outlineLevel="0" collapsed="false">
      <c r="A71" s="4" t="s">
        <v>197</v>
      </c>
      <c r="B71" s="4" t="s">
        <v>257</v>
      </c>
      <c r="C71" s="34" t="n">
        <v>28460000</v>
      </c>
      <c r="D71" s="34" t="n">
        <v>28469999</v>
      </c>
      <c r="E71" s="4" t="s">
        <v>201</v>
      </c>
      <c r="F71" s="4" t="s">
        <v>242</v>
      </c>
      <c r="G71" s="4" t="n">
        <f aca="false">COUNTIFS(Pedidos!$E$2:$E$2224,"&gt;="&amp;C71,Pedidos!$E$2:$E$2224,"&lt;="&amp;D71)</f>
        <v>0</v>
      </c>
      <c r="H71" s="7" t="n">
        <v>124.04</v>
      </c>
      <c r="I71" s="7" t="n">
        <v>138.29</v>
      </c>
      <c r="J71" s="7" t="n">
        <v>143.04</v>
      </c>
      <c r="K71" s="7" t="n">
        <v>152.54</v>
      </c>
      <c r="L71" s="7" t="n">
        <v>162.04</v>
      </c>
      <c r="M71" s="7" t="n">
        <v>171.54</v>
      </c>
      <c r="N71" s="7" t="n">
        <v>181.04</v>
      </c>
      <c r="O71" s="7" t="n">
        <v>200.04</v>
      </c>
      <c r="P71" s="7" t="n">
        <v>236.82</v>
      </c>
      <c r="Q71" s="7" t="n">
        <v>264.84</v>
      </c>
      <c r="R71" s="7" t="n">
        <v>300.15</v>
      </c>
      <c r="S71" s="7" t="n">
        <v>353.17</v>
      </c>
      <c r="T71" s="7" t="n">
        <v>441.4</v>
      </c>
      <c r="U71" s="7" t="n">
        <v>52.71</v>
      </c>
      <c r="V71" s="7" t="n">
        <v>76.5</v>
      </c>
      <c r="W71" s="7" t="n">
        <v>87.4</v>
      </c>
      <c r="X71" s="7" t="n">
        <v>94</v>
      </c>
      <c r="Y71" s="7" t="n">
        <v>103.6</v>
      </c>
      <c r="Z71" s="7" t="n">
        <v>113.9</v>
      </c>
      <c r="AA71" s="7" t="n">
        <v>124.16</v>
      </c>
      <c r="AB71" s="7" t="n">
        <v>144.41</v>
      </c>
      <c r="AC71" s="7" t="n">
        <v>161.81</v>
      </c>
      <c r="AD71" s="7" t="n">
        <v>197.37</v>
      </c>
      <c r="AE71" s="7" t="n">
        <v>215.7</v>
      </c>
      <c r="AF71" s="7" t="n">
        <v>143.51</v>
      </c>
      <c r="AG71" s="7" t="n">
        <v>304.65</v>
      </c>
      <c r="AH71" s="12" t="n">
        <f aca="false">(U71+AH$4*(Resumo!$C$7+Resumo!$C$8)+Resumo!$C$10*CEILING(AH$3/100,1)+Resumo!$C$9)*(1+Resumo!$C$11)-(AH$4*(Resumo!$B$6+Resumo!$B$7)+Resumo!$B$9+Resumo!$B$10*CEILING(AH$3/100,1)+(Resumo!$B$12+Resumo!$B$13)*CEILING(AH$3,1))</f>
        <v>54.9227352971963</v>
      </c>
      <c r="AI71" s="12" t="n">
        <f aca="false">(V71+AI$4*(Resumo!$C$7+Resumo!$C$8)+Resumo!$C$10*CEILING(AI$3/100,1)+Resumo!$C$9)*(1+Resumo!$C$11)-(AI$4*(Resumo!$B$6+Resumo!$B$7)+Resumo!$B$9+Resumo!$B$10*CEILING(AI$3/100,1)+(Resumo!$B$12+Resumo!$B$13)*CEILING(AI$3,1))</f>
        <v>74.5570462771717</v>
      </c>
      <c r="AJ71" s="12" t="n">
        <f aca="false">(W71+AJ$4*(Resumo!$C$7+Resumo!$C$8)+Resumo!$C$10*CEILING(AJ$3/100,1)+Resumo!$C$9)*(1+Resumo!$C$11)-(AJ$4*(Resumo!$B$6+Resumo!$B$7)+Resumo!$B$9+Resumo!$B$10*CEILING(AJ$3/100,1)+(Resumo!$B$12+Resumo!$B$13)*CEILING(AJ$3,1))</f>
        <v>81.5039345092958</v>
      </c>
      <c r="AK71" s="12" t="n">
        <f aca="false">(X71+AK$4*(Resumo!$C$7+Resumo!$C$8)+Resumo!$C$10*CEILING(AK$3/100,1)+Resumo!$C$9)*(1+Resumo!$C$11)-(AK$4*(Resumo!$B$6+Resumo!$B$7)+Resumo!$B$9+Resumo!$B$10*CEILING(AK$3/100,1)+(Resumo!$B$12+Resumo!$B$13)*CEILING(AK$3,1))</f>
        <v>84.5552580255814</v>
      </c>
      <c r="AL71" s="12" t="n">
        <f aca="false">(Y71+AL$4*(Resumo!$C$7+Resumo!$C$8)+Resumo!$C$10*CEILING(AL$3/100,1)+Resumo!$C$9)*(1+Resumo!$C$11)-(AL$4*(Resumo!$B$6+Resumo!$B$7)+Resumo!$B$9+Resumo!$B$10*CEILING(AL$3/100,1)+(Resumo!$B$12+Resumo!$B$13)*CEILING(AL$3,1))</f>
        <v>90.7147698817308</v>
      </c>
      <c r="AM71" s="12" t="n">
        <f aca="false">(Z71+AM$4*(Resumo!$C$7+Resumo!$C$8)+Resumo!$C$10*CEILING(AM$3/100,1)+Resumo!$C$9)*(1+Resumo!$C$11)-(AM$4*(Resumo!$B$6+Resumo!$B$7)+Resumo!$B$9+Resumo!$B$10*CEILING(AM$3/100,1)+(Resumo!$B$12+Resumo!$B$13)*CEILING(AM$3,1))</f>
        <v>95.0304196468864</v>
      </c>
      <c r="AN71" s="12" t="n">
        <f aca="false">(AA71+AN$4*(Resumo!$C$7+Resumo!$C$8)+Resumo!$C$10*CEILING(AN$3/100,1)+Resumo!$C$9)*(1+Resumo!$C$11)-(AN$4*(Resumo!$B$6+Resumo!$B$7)+Resumo!$B$9+Resumo!$B$10*CEILING(AN$3/100,1)+(Resumo!$B$12+Resumo!$B$13)*CEILING(AN$3,1))</f>
        <v>102.00959604</v>
      </c>
      <c r="AO71" s="12" t="n">
        <f aca="false">(AB71+AO$4*(Resumo!$C$7+Resumo!$C$8)+Resumo!$C$10*CEILING(AO$3/100,1)+Resumo!$C$9)*(1+Resumo!$C$11)-(AO$4*(Resumo!$B$6+Resumo!$B$7)+Resumo!$B$9+Resumo!$B$10*CEILING(AO$3/100,1)+(Resumo!$B$12+Resumo!$B$13)*CEILING(AO$3,1))</f>
        <v>116.765897119298</v>
      </c>
      <c r="AP71" s="12" t="n">
        <f aca="false">(AC71+AP$4*(Resumo!$C$7+Resumo!$C$8)+Resumo!$C$10*CEILING(AP$3/100,1)+Resumo!$C$9)*(1+Resumo!$C$11)-(AP$4*(Resumo!$B$6+Resumo!$B$7)+Resumo!$B$9+Resumo!$B$10*CEILING(AP$3/100,1)+(Resumo!$B$12+Resumo!$B$13)*CEILING(AP$3,1))</f>
        <v>120.300564037736</v>
      </c>
      <c r="AQ71" s="12" t="n">
        <f aca="false">(AD71+AQ$4*(Resumo!$C$7+Resumo!$C$8)+Resumo!$C$10*CEILING(AQ$3/100,1)+Resumo!$C$9)*(1+Resumo!$C$11)-(AQ$4*(Resumo!$B$6+Resumo!$B$7)+Resumo!$B$9+Resumo!$B$10*CEILING(AQ$3/100,1)+(Resumo!$B$12+Resumo!$B$13)*CEILING(AQ$3,1))</f>
        <v>149.110142593023</v>
      </c>
      <c r="AR71" s="12" t="n">
        <f aca="false">(AE71+AR$4*(Resumo!$C$7+Resumo!$C$8)+Resumo!$C$10*CEILING(AR$3/100,1)+Resumo!$C$9)*(1+Resumo!$C$11)-(AR$4*(Resumo!$B$6+Resumo!$B$7)+Resumo!$B$9+Resumo!$B$10*CEILING(AR$3/100,1)+(Resumo!$B$12+Resumo!$B$13)*CEILING(AR$3,1))</f>
        <v>152.447191466667</v>
      </c>
      <c r="AS71" s="12" t="n">
        <f aca="false">(AF71+AS$4*(Resumo!$C$7+Resumo!$C$8)+Resumo!$C$10*CEILING(AS$3/100,1)+Resumo!$C$9)*(1+Resumo!$C$11)-(AS$4*(Resumo!$B$6+Resumo!$B$7)+Resumo!$B$9+Resumo!$B$10*CEILING(AS$3/100,1)+(Resumo!$B$12+Resumo!$B$13)*CEILING(AS$3,1))</f>
        <v>62.11023</v>
      </c>
      <c r="AT71" s="12" t="n">
        <f aca="false">(AG71+AT$4*(Resumo!$C$7+Resumo!$C$8)+Resumo!$C$10*CEILING(AT$3/100,1)+Resumo!$C$9)*(1+Resumo!$C$11)-(AT$4*(Resumo!$B$6+Resumo!$B$7)+Resumo!$B$9+Resumo!$B$10*CEILING(AT$3/100,1)+(Resumo!$B$12+Resumo!$B$13)*CEILING(AT$3,1))</f>
        <v>219.780987533333</v>
      </c>
      <c r="AU71" s="13" t="n">
        <f aca="false">1-AH71/H71</f>
        <v>0.557217548394097</v>
      </c>
      <c r="AV71" s="13" t="n">
        <f aca="false">1-AI71/I71</f>
        <v>0.460864514591281</v>
      </c>
      <c r="AW71" s="13" t="n">
        <f aca="false">1-AJ71/J71</f>
        <v>0.430201800130762</v>
      </c>
      <c r="AX71" s="13" t="n">
        <f aca="false">1-AK71/K71</f>
        <v>0.445684685816301</v>
      </c>
      <c r="AY71" s="13" t="n">
        <f aca="false">1-AL71/L71</f>
        <v>0.440170514183345</v>
      </c>
      <c r="AZ71" s="13" t="n">
        <f aca="false">1-AM71/M71</f>
        <v>0.446015975009406</v>
      </c>
      <c r="BA71" s="13" t="n">
        <f aca="false">1-AN71/N71</f>
        <v>0.436535594122846</v>
      </c>
      <c r="BB71" s="13" t="n">
        <f aca="false">1-AO71/O71</f>
        <v>0.416287256952118</v>
      </c>
      <c r="BC71" s="13" t="n">
        <f aca="false">1-AP71/P71</f>
        <v>0.492016873415523</v>
      </c>
      <c r="BD71" s="13" t="n">
        <f aca="false">1-AQ71/Q71</f>
        <v>0.436980280195502</v>
      </c>
      <c r="BE71" s="13" t="n">
        <f aca="false">1-AR71/R71</f>
        <v>0.492096646787717</v>
      </c>
      <c r="BF71" s="13" t="n">
        <f aca="false">1-AS71/S71</f>
        <v>0.824135034119546</v>
      </c>
      <c r="BG71" s="13" t="n">
        <f aca="false">1-AT71/T71</f>
        <v>0.502082040024166</v>
      </c>
    </row>
    <row r="72" customFormat="false" ht="15" hidden="false" customHeight="false" outlineLevel="0" collapsed="false">
      <c r="A72" s="4" t="s">
        <v>197</v>
      </c>
      <c r="B72" s="4" t="s">
        <v>258</v>
      </c>
      <c r="C72" s="34" t="n">
        <v>28470000</v>
      </c>
      <c r="D72" s="34" t="n">
        <v>28494999</v>
      </c>
      <c r="E72" s="4" t="s">
        <v>201</v>
      </c>
      <c r="F72" s="4" t="s">
        <v>242</v>
      </c>
      <c r="G72" s="4" t="n">
        <f aca="false">COUNTIFS(Pedidos!$E$2:$E$2224,"&gt;="&amp;C72,Pedidos!$E$2:$E$2224,"&lt;="&amp;D72)</f>
        <v>3</v>
      </c>
      <c r="H72" s="7" t="n">
        <v>124.04</v>
      </c>
      <c r="I72" s="7" t="n">
        <v>138.29</v>
      </c>
      <c r="J72" s="7" t="n">
        <v>143.04</v>
      </c>
      <c r="K72" s="7" t="n">
        <v>152.54</v>
      </c>
      <c r="L72" s="7" t="n">
        <v>162.04</v>
      </c>
      <c r="M72" s="7" t="n">
        <v>171.54</v>
      </c>
      <c r="N72" s="7" t="n">
        <v>181.04</v>
      </c>
      <c r="O72" s="7" t="n">
        <v>200.04</v>
      </c>
      <c r="P72" s="7" t="n">
        <v>236.82</v>
      </c>
      <c r="Q72" s="7" t="n">
        <v>264.84</v>
      </c>
      <c r="R72" s="7" t="n">
        <v>300.15</v>
      </c>
      <c r="S72" s="7" t="n">
        <v>353.17</v>
      </c>
      <c r="T72" s="7" t="n">
        <v>441.4</v>
      </c>
      <c r="U72" s="7" t="n">
        <v>52.71</v>
      </c>
      <c r="V72" s="7" t="n">
        <v>76.5</v>
      </c>
      <c r="W72" s="7" t="n">
        <v>87.4</v>
      </c>
      <c r="X72" s="7" t="n">
        <v>94</v>
      </c>
      <c r="Y72" s="7" t="n">
        <v>103.6</v>
      </c>
      <c r="Z72" s="7" t="n">
        <v>113.9</v>
      </c>
      <c r="AA72" s="7" t="n">
        <v>124.16</v>
      </c>
      <c r="AB72" s="7" t="n">
        <v>144.41</v>
      </c>
      <c r="AC72" s="7" t="n">
        <v>161.81</v>
      </c>
      <c r="AD72" s="7" t="n">
        <v>197.37</v>
      </c>
      <c r="AE72" s="7" t="n">
        <v>215.7</v>
      </c>
      <c r="AF72" s="7" t="n">
        <v>143.51</v>
      </c>
      <c r="AG72" s="7" t="n">
        <v>304.65</v>
      </c>
      <c r="AH72" s="12" t="n">
        <f aca="false">(U72+AH$4*(Resumo!$C$7+Resumo!$C$8)+Resumo!$C$10*CEILING(AH$3/100,1)+Resumo!$C$9)*(1+Resumo!$C$11)-(AH$4*(Resumo!$B$6+Resumo!$B$7)+Resumo!$B$9+Resumo!$B$10*CEILING(AH$3/100,1)+(Resumo!$B$12+Resumo!$B$13)*CEILING(AH$3,1))</f>
        <v>54.9227352971963</v>
      </c>
      <c r="AI72" s="12" t="n">
        <f aca="false">(V72+AI$4*(Resumo!$C$7+Resumo!$C$8)+Resumo!$C$10*CEILING(AI$3/100,1)+Resumo!$C$9)*(1+Resumo!$C$11)-(AI$4*(Resumo!$B$6+Resumo!$B$7)+Resumo!$B$9+Resumo!$B$10*CEILING(AI$3/100,1)+(Resumo!$B$12+Resumo!$B$13)*CEILING(AI$3,1))</f>
        <v>74.5570462771717</v>
      </c>
      <c r="AJ72" s="12" t="n">
        <f aca="false">(W72+AJ$4*(Resumo!$C$7+Resumo!$C$8)+Resumo!$C$10*CEILING(AJ$3/100,1)+Resumo!$C$9)*(1+Resumo!$C$11)-(AJ$4*(Resumo!$B$6+Resumo!$B$7)+Resumo!$B$9+Resumo!$B$10*CEILING(AJ$3/100,1)+(Resumo!$B$12+Resumo!$B$13)*CEILING(AJ$3,1))</f>
        <v>81.5039345092958</v>
      </c>
      <c r="AK72" s="12" t="n">
        <f aca="false">(X72+AK$4*(Resumo!$C$7+Resumo!$C$8)+Resumo!$C$10*CEILING(AK$3/100,1)+Resumo!$C$9)*(1+Resumo!$C$11)-(AK$4*(Resumo!$B$6+Resumo!$B$7)+Resumo!$B$9+Resumo!$B$10*CEILING(AK$3/100,1)+(Resumo!$B$12+Resumo!$B$13)*CEILING(AK$3,1))</f>
        <v>84.5552580255814</v>
      </c>
      <c r="AL72" s="12" t="n">
        <f aca="false">(Y72+AL$4*(Resumo!$C$7+Resumo!$C$8)+Resumo!$C$10*CEILING(AL$3/100,1)+Resumo!$C$9)*(1+Resumo!$C$11)-(AL$4*(Resumo!$B$6+Resumo!$B$7)+Resumo!$B$9+Resumo!$B$10*CEILING(AL$3/100,1)+(Resumo!$B$12+Resumo!$B$13)*CEILING(AL$3,1))</f>
        <v>90.7147698817308</v>
      </c>
      <c r="AM72" s="12" t="n">
        <f aca="false">(Z72+AM$4*(Resumo!$C$7+Resumo!$C$8)+Resumo!$C$10*CEILING(AM$3/100,1)+Resumo!$C$9)*(1+Resumo!$C$11)-(AM$4*(Resumo!$B$6+Resumo!$B$7)+Resumo!$B$9+Resumo!$B$10*CEILING(AM$3/100,1)+(Resumo!$B$12+Resumo!$B$13)*CEILING(AM$3,1))</f>
        <v>95.0304196468864</v>
      </c>
      <c r="AN72" s="12" t="n">
        <f aca="false">(AA72+AN$4*(Resumo!$C$7+Resumo!$C$8)+Resumo!$C$10*CEILING(AN$3/100,1)+Resumo!$C$9)*(1+Resumo!$C$11)-(AN$4*(Resumo!$B$6+Resumo!$B$7)+Resumo!$B$9+Resumo!$B$10*CEILING(AN$3/100,1)+(Resumo!$B$12+Resumo!$B$13)*CEILING(AN$3,1))</f>
        <v>102.00959604</v>
      </c>
      <c r="AO72" s="12" t="n">
        <f aca="false">(AB72+AO$4*(Resumo!$C$7+Resumo!$C$8)+Resumo!$C$10*CEILING(AO$3/100,1)+Resumo!$C$9)*(1+Resumo!$C$11)-(AO$4*(Resumo!$B$6+Resumo!$B$7)+Resumo!$B$9+Resumo!$B$10*CEILING(AO$3/100,1)+(Resumo!$B$12+Resumo!$B$13)*CEILING(AO$3,1))</f>
        <v>116.765897119298</v>
      </c>
      <c r="AP72" s="12" t="n">
        <f aca="false">(AC72+AP$4*(Resumo!$C$7+Resumo!$C$8)+Resumo!$C$10*CEILING(AP$3/100,1)+Resumo!$C$9)*(1+Resumo!$C$11)-(AP$4*(Resumo!$B$6+Resumo!$B$7)+Resumo!$B$9+Resumo!$B$10*CEILING(AP$3/100,1)+(Resumo!$B$12+Resumo!$B$13)*CEILING(AP$3,1))</f>
        <v>120.300564037736</v>
      </c>
      <c r="AQ72" s="12" t="n">
        <f aca="false">(AD72+AQ$4*(Resumo!$C$7+Resumo!$C$8)+Resumo!$C$10*CEILING(AQ$3/100,1)+Resumo!$C$9)*(1+Resumo!$C$11)-(AQ$4*(Resumo!$B$6+Resumo!$B$7)+Resumo!$B$9+Resumo!$B$10*CEILING(AQ$3/100,1)+(Resumo!$B$12+Resumo!$B$13)*CEILING(AQ$3,1))</f>
        <v>149.110142593023</v>
      </c>
      <c r="AR72" s="12" t="n">
        <f aca="false">(AE72+AR$4*(Resumo!$C$7+Resumo!$C$8)+Resumo!$C$10*CEILING(AR$3/100,1)+Resumo!$C$9)*(1+Resumo!$C$11)-(AR$4*(Resumo!$B$6+Resumo!$B$7)+Resumo!$B$9+Resumo!$B$10*CEILING(AR$3/100,1)+(Resumo!$B$12+Resumo!$B$13)*CEILING(AR$3,1))</f>
        <v>152.447191466667</v>
      </c>
      <c r="AS72" s="12" t="n">
        <f aca="false">(AF72+AS$4*(Resumo!$C$7+Resumo!$C$8)+Resumo!$C$10*CEILING(AS$3/100,1)+Resumo!$C$9)*(1+Resumo!$C$11)-(AS$4*(Resumo!$B$6+Resumo!$B$7)+Resumo!$B$9+Resumo!$B$10*CEILING(AS$3/100,1)+(Resumo!$B$12+Resumo!$B$13)*CEILING(AS$3,1))</f>
        <v>62.11023</v>
      </c>
      <c r="AT72" s="12" t="n">
        <f aca="false">(AG72+AT$4*(Resumo!$C$7+Resumo!$C$8)+Resumo!$C$10*CEILING(AT$3/100,1)+Resumo!$C$9)*(1+Resumo!$C$11)-(AT$4*(Resumo!$B$6+Resumo!$B$7)+Resumo!$B$9+Resumo!$B$10*CEILING(AT$3/100,1)+(Resumo!$B$12+Resumo!$B$13)*CEILING(AT$3,1))</f>
        <v>219.780987533333</v>
      </c>
      <c r="AU72" s="13" t="n">
        <f aca="false">1-AH72/H72</f>
        <v>0.557217548394097</v>
      </c>
      <c r="AV72" s="13" t="n">
        <f aca="false">1-AI72/I72</f>
        <v>0.460864514591281</v>
      </c>
      <c r="AW72" s="13" t="n">
        <f aca="false">1-AJ72/J72</f>
        <v>0.430201800130762</v>
      </c>
      <c r="AX72" s="13" t="n">
        <f aca="false">1-AK72/K72</f>
        <v>0.445684685816301</v>
      </c>
      <c r="AY72" s="13" t="n">
        <f aca="false">1-AL72/L72</f>
        <v>0.440170514183345</v>
      </c>
      <c r="AZ72" s="13" t="n">
        <f aca="false">1-AM72/M72</f>
        <v>0.446015975009406</v>
      </c>
      <c r="BA72" s="13" t="n">
        <f aca="false">1-AN72/N72</f>
        <v>0.436535594122846</v>
      </c>
      <c r="BB72" s="13" t="n">
        <f aca="false">1-AO72/O72</f>
        <v>0.416287256952118</v>
      </c>
      <c r="BC72" s="13" t="n">
        <f aca="false">1-AP72/P72</f>
        <v>0.492016873415523</v>
      </c>
      <c r="BD72" s="13" t="n">
        <f aca="false">1-AQ72/Q72</f>
        <v>0.436980280195502</v>
      </c>
      <c r="BE72" s="13" t="n">
        <f aca="false">1-AR72/R72</f>
        <v>0.492096646787717</v>
      </c>
      <c r="BF72" s="13" t="n">
        <f aca="false">1-AS72/S72</f>
        <v>0.824135034119546</v>
      </c>
      <c r="BG72" s="13" t="n">
        <f aca="false">1-AT72/T72</f>
        <v>0.502082040024166</v>
      </c>
    </row>
    <row r="73" customFormat="false" ht="15" hidden="false" customHeight="false" outlineLevel="0" collapsed="false">
      <c r="A73" s="4" t="s">
        <v>197</v>
      </c>
      <c r="B73" s="4" t="s">
        <v>259</v>
      </c>
      <c r="C73" s="34" t="n">
        <v>28495000</v>
      </c>
      <c r="D73" s="34" t="n">
        <v>28499999</v>
      </c>
      <c r="E73" s="4" t="s">
        <v>201</v>
      </c>
      <c r="F73" s="4" t="s">
        <v>242</v>
      </c>
      <c r="G73" s="4" t="n">
        <f aca="false">COUNTIFS(Pedidos!$E$2:$E$2224,"&gt;="&amp;C73,Pedidos!$E$2:$E$2224,"&lt;="&amp;D73)</f>
        <v>1</v>
      </c>
      <c r="H73" s="7" t="n">
        <v>124.04</v>
      </c>
      <c r="I73" s="7" t="n">
        <v>138.29</v>
      </c>
      <c r="J73" s="7" t="n">
        <v>143.04</v>
      </c>
      <c r="K73" s="7" t="n">
        <v>152.54</v>
      </c>
      <c r="L73" s="7" t="n">
        <v>162.04</v>
      </c>
      <c r="M73" s="7" t="n">
        <v>171.54</v>
      </c>
      <c r="N73" s="7" t="n">
        <v>181.04</v>
      </c>
      <c r="O73" s="7" t="n">
        <v>200.04</v>
      </c>
      <c r="P73" s="7" t="n">
        <v>236.82</v>
      </c>
      <c r="Q73" s="7" t="n">
        <v>264.84</v>
      </c>
      <c r="R73" s="7" t="n">
        <v>300.15</v>
      </c>
      <c r="S73" s="7" t="n">
        <v>353.17</v>
      </c>
      <c r="T73" s="7" t="n">
        <v>441.4</v>
      </c>
      <c r="U73" s="7" t="n">
        <v>52.71</v>
      </c>
      <c r="V73" s="7" t="n">
        <v>76.5</v>
      </c>
      <c r="W73" s="7" t="n">
        <v>87.4</v>
      </c>
      <c r="X73" s="7" t="n">
        <v>94</v>
      </c>
      <c r="Y73" s="7" t="n">
        <v>103.6</v>
      </c>
      <c r="Z73" s="7" t="n">
        <v>113.9</v>
      </c>
      <c r="AA73" s="7" t="n">
        <v>124.16</v>
      </c>
      <c r="AB73" s="7" t="n">
        <v>144.41</v>
      </c>
      <c r="AC73" s="7" t="n">
        <v>161.81</v>
      </c>
      <c r="AD73" s="7" t="n">
        <v>197.37</v>
      </c>
      <c r="AE73" s="7" t="n">
        <v>215.7</v>
      </c>
      <c r="AF73" s="7" t="n">
        <v>143.51</v>
      </c>
      <c r="AG73" s="7" t="n">
        <v>304.65</v>
      </c>
      <c r="AH73" s="12" t="n">
        <f aca="false">(U73+AH$4*(Resumo!$C$7+Resumo!$C$8)+Resumo!$C$10*CEILING(AH$3/100,1)+Resumo!$C$9)*(1+Resumo!$C$11)-(AH$4*(Resumo!$B$6+Resumo!$B$7)+Resumo!$B$9+Resumo!$B$10*CEILING(AH$3/100,1)+(Resumo!$B$12+Resumo!$B$13)*CEILING(AH$3,1))</f>
        <v>54.9227352971963</v>
      </c>
      <c r="AI73" s="12" t="n">
        <f aca="false">(V73+AI$4*(Resumo!$C$7+Resumo!$C$8)+Resumo!$C$10*CEILING(AI$3/100,1)+Resumo!$C$9)*(1+Resumo!$C$11)-(AI$4*(Resumo!$B$6+Resumo!$B$7)+Resumo!$B$9+Resumo!$B$10*CEILING(AI$3/100,1)+(Resumo!$B$12+Resumo!$B$13)*CEILING(AI$3,1))</f>
        <v>74.5570462771717</v>
      </c>
      <c r="AJ73" s="12" t="n">
        <f aca="false">(W73+AJ$4*(Resumo!$C$7+Resumo!$C$8)+Resumo!$C$10*CEILING(AJ$3/100,1)+Resumo!$C$9)*(1+Resumo!$C$11)-(AJ$4*(Resumo!$B$6+Resumo!$B$7)+Resumo!$B$9+Resumo!$B$10*CEILING(AJ$3/100,1)+(Resumo!$B$12+Resumo!$B$13)*CEILING(AJ$3,1))</f>
        <v>81.5039345092958</v>
      </c>
      <c r="AK73" s="12" t="n">
        <f aca="false">(X73+AK$4*(Resumo!$C$7+Resumo!$C$8)+Resumo!$C$10*CEILING(AK$3/100,1)+Resumo!$C$9)*(1+Resumo!$C$11)-(AK$4*(Resumo!$B$6+Resumo!$B$7)+Resumo!$B$9+Resumo!$B$10*CEILING(AK$3/100,1)+(Resumo!$B$12+Resumo!$B$13)*CEILING(AK$3,1))</f>
        <v>84.5552580255814</v>
      </c>
      <c r="AL73" s="12" t="n">
        <f aca="false">(Y73+AL$4*(Resumo!$C$7+Resumo!$C$8)+Resumo!$C$10*CEILING(AL$3/100,1)+Resumo!$C$9)*(1+Resumo!$C$11)-(AL$4*(Resumo!$B$6+Resumo!$B$7)+Resumo!$B$9+Resumo!$B$10*CEILING(AL$3/100,1)+(Resumo!$B$12+Resumo!$B$13)*CEILING(AL$3,1))</f>
        <v>90.7147698817308</v>
      </c>
      <c r="AM73" s="12" t="n">
        <f aca="false">(Z73+AM$4*(Resumo!$C$7+Resumo!$C$8)+Resumo!$C$10*CEILING(AM$3/100,1)+Resumo!$C$9)*(1+Resumo!$C$11)-(AM$4*(Resumo!$B$6+Resumo!$B$7)+Resumo!$B$9+Resumo!$B$10*CEILING(AM$3/100,1)+(Resumo!$B$12+Resumo!$B$13)*CEILING(AM$3,1))</f>
        <v>95.0304196468864</v>
      </c>
      <c r="AN73" s="12" t="n">
        <f aca="false">(AA73+AN$4*(Resumo!$C$7+Resumo!$C$8)+Resumo!$C$10*CEILING(AN$3/100,1)+Resumo!$C$9)*(1+Resumo!$C$11)-(AN$4*(Resumo!$B$6+Resumo!$B$7)+Resumo!$B$9+Resumo!$B$10*CEILING(AN$3/100,1)+(Resumo!$B$12+Resumo!$B$13)*CEILING(AN$3,1))</f>
        <v>102.00959604</v>
      </c>
      <c r="AO73" s="12" t="n">
        <f aca="false">(AB73+AO$4*(Resumo!$C$7+Resumo!$C$8)+Resumo!$C$10*CEILING(AO$3/100,1)+Resumo!$C$9)*(1+Resumo!$C$11)-(AO$4*(Resumo!$B$6+Resumo!$B$7)+Resumo!$B$9+Resumo!$B$10*CEILING(AO$3/100,1)+(Resumo!$B$12+Resumo!$B$13)*CEILING(AO$3,1))</f>
        <v>116.765897119298</v>
      </c>
      <c r="AP73" s="12" t="n">
        <f aca="false">(AC73+AP$4*(Resumo!$C$7+Resumo!$C$8)+Resumo!$C$10*CEILING(AP$3/100,1)+Resumo!$C$9)*(1+Resumo!$C$11)-(AP$4*(Resumo!$B$6+Resumo!$B$7)+Resumo!$B$9+Resumo!$B$10*CEILING(AP$3/100,1)+(Resumo!$B$12+Resumo!$B$13)*CEILING(AP$3,1))</f>
        <v>120.300564037736</v>
      </c>
      <c r="AQ73" s="12" t="n">
        <f aca="false">(AD73+AQ$4*(Resumo!$C$7+Resumo!$C$8)+Resumo!$C$10*CEILING(AQ$3/100,1)+Resumo!$C$9)*(1+Resumo!$C$11)-(AQ$4*(Resumo!$B$6+Resumo!$B$7)+Resumo!$B$9+Resumo!$B$10*CEILING(AQ$3/100,1)+(Resumo!$B$12+Resumo!$B$13)*CEILING(AQ$3,1))</f>
        <v>149.110142593023</v>
      </c>
      <c r="AR73" s="12" t="n">
        <f aca="false">(AE73+AR$4*(Resumo!$C$7+Resumo!$C$8)+Resumo!$C$10*CEILING(AR$3/100,1)+Resumo!$C$9)*(1+Resumo!$C$11)-(AR$4*(Resumo!$B$6+Resumo!$B$7)+Resumo!$B$9+Resumo!$B$10*CEILING(AR$3/100,1)+(Resumo!$B$12+Resumo!$B$13)*CEILING(AR$3,1))</f>
        <v>152.447191466667</v>
      </c>
      <c r="AS73" s="12" t="n">
        <f aca="false">(AF73+AS$4*(Resumo!$C$7+Resumo!$C$8)+Resumo!$C$10*CEILING(AS$3/100,1)+Resumo!$C$9)*(1+Resumo!$C$11)-(AS$4*(Resumo!$B$6+Resumo!$B$7)+Resumo!$B$9+Resumo!$B$10*CEILING(AS$3/100,1)+(Resumo!$B$12+Resumo!$B$13)*CEILING(AS$3,1))</f>
        <v>62.11023</v>
      </c>
      <c r="AT73" s="12" t="n">
        <f aca="false">(AG73+AT$4*(Resumo!$C$7+Resumo!$C$8)+Resumo!$C$10*CEILING(AT$3/100,1)+Resumo!$C$9)*(1+Resumo!$C$11)-(AT$4*(Resumo!$B$6+Resumo!$B$7)+Resumo!$B$9+Resumo!$B$10*CEILING(AT$3/100,1)+(Resumo!$B$12+Resumo!$B$13)*CEILING(AT$3,1))</f>
        <v>219.780987533333</v>
      </c>
      <c r="AU73" s="13" t="n">
        <f aca="false">1-AH73/H73</f>
        <v>0.557217548394097</v>
      </c>
      <c r="AV73" s="13" t="n">
        <f aca="false">1-AI73/I73</f>
        <v>0.460864514591281</v>
      </c>
      <c r="AW73" s="13" t="n">
        <f aca="false">1-AJ73/J73</f>
        <v>0.430201800130762</v>
      </c>
      <c r="AX73" s="13" t="n">
        <f aca="false">1-AK73/K73</f>
        <v>0.445684685816301</v>
      </c>
      <c r="AY73" s="13" t="n">
        <f aca="false">1-AL73/L73</f>
        <v>0.440170514183345</v>
      </c>
      <c r="AZ73" s="13" t="n">
        <f aca="false">1-AM73/M73</f>
        <v>0.446015975009406</v>
      </c>
      <c r="BA73" s="13" t="n">
        <f aca="false">1-AN73/N73</f>
        <v>0.436535594122846</v>
      </c>
      <c r="BB73" s="13" t="n">
        <f aca="false">1-AO73/O73</f>
        <v>0.416287256952118</v>
      </c>
      <c r="BC73" s="13" t="n">
        <f aca="false">1-AP73/P73</f>
        <v>0.492016873415523</v>
      </c>
      <c r="BD73" s="13" t="n">
        <f aca="false">1-AQ73/Q73</f>
        <v>0.436980280195502</v>
      </c>
      <c r="BE73" s="13" t="n">
        <f aca="false">1-AR73/R73</f>
        <v>0.492096646787717</v>
      </c>
      <c r="BF73" s="13" t="n">
        <f aca="false">1-AS73/S73</f>
        <v>0.824135034119546</v>
      </c>
      <c r="BG73" s="13" t="n">
        <f aca="false">1-AT73/T73</f>
        <v>0.502082040024166</v>
      </c>
    </row>
    <row r="74" customFormat="false" ht="15" hidden="false" customHeight="false" outlineLevel="0" collapsed="false">
      <c r="A74" s="4" t="s">
        <v>197</v>
      </c>
      <c r="B74" s="4" t="s">
        <v>260</v>
      </c>
      <c r="C74" s="34" t="n">
        <v>28500000</v>
      </c>
      <c r="D74" s="34" t="n">
        <v>28539999</v>
      </c>
      <c r="E74" s="4" t="s">
        <v>201</v>
      </c>
      <c r="F74" s="4" t="s">
        <v>242</v>
      </c>
      <c r="G74" s="4" t="n">
        <f aca="false">COUNTIFS(Pedidos!$E$2:$E$2224,"&gt;="&amp;C74,Pedidos!$E$2:$E$2224,"&lt;="&amp;D74)</f>
        <v>2</v>
      </c>
      <c r="H74" s="7" t="n">
        <v>124.04</v>
      </c>
      <c r="I74" s="7" t="n">
        <v>138.29</v>
      </c>
      <c r="J74" s="7" t="n">
        <v>143.04</v>
      </c>
      <c r="K74" s="7" t="n">
        <v>152.54</v>
      </c>
      <c r="L74" s="7" t="n">
        <v>162.04</v>
      </c>
      <c r="M74" s="7" t="n">
        <v>171.54</v>
      </c>
      <c r="N74" s="7" t="n">
        <v>181.04</v>
      </c>
      <c r="O74" s="7" t="n">
        <v>200.04</v>
      </c>
      <c r="P74" s="7" t="n">
        <v>236.82</v>
      </c>
      <c r="Q74" s="7" t="n">
        <v>264.84</v>
      </c>
      <c r="R74" s="7" t="n">
        <v>300.15</v>
      </c>
      <c r="S74" s="7" t="n">
        <v>353.17</v>
      </c>
      <c r="T74" s="7" t="n">
        <v>441.4</v>
      </c>
      <c r="U74" s="7" t="n">
        <v>52.71</v>
      </c>
      <c r="V74" s="7" t="n">
        <v>76.5</v>
      </c>
      <c r="W74" s="7" t="n">
        <v>87.4</v>
      </c>
      <c r="X74" s="7" t="n">
        <v>94</v>
      </c>
      <c r="Y74" s="7" t="n">
        <v>103.6</v>
      </c>
      <c r="Z74" s="7" t="n">
        <v>113.9</v>
      </c>
      <c r="AA74" s="7" t="n">
        <v>124.16</v>
      </c>
      <c r="AB74" s="7" t="n">
        <v>144.41</v>
      </c>
      <c r="AC74" s="7" t="n">
        <v>161.81</v>
      </c>
      <c r="AD74" s="7" t="n">
        <v>197.37</v>
      </c>
      <c r="AE74" s="7" t="n">
        <v>215.7</v>
      </c>
      <c r="AF74" s="7" t="n">
        <v>143.51</v>
      </c>
      <c r="AG74" s="7" t="n">
        <v>304.65</v>
      </c>
      <c r="AH74" s="12" t="n">
        <f aca="false">(U74+AH$4*(Resumo!$C$7+Resumo!$C$8)+Resumo!$C$10*CEILING(AH$3/100,1)+Resumo!$C$9)*(1+Resumo!$C$11)-(AH$4*(Resumo!$B$6+Resumo!$B$7)+Resumo!$B$9+Resumo!$B$10*CEILING(AH$3/100,1)+(Resumo!$B$12+Resumo!$B$13)*CEILING(AH$3,1))</f>
        <v>54.9227352971963</v>
      </c>
      <c r="AI74" s="12" t="n">
        <f aca="false">(V74+AI$4*(Resumo!$C$7+Resumo!$C$8)+Resumo!$C$10*CEILING(AI$3/100,1)+Resumo!$C$9)*(1+Resumo!$C$11)-(AI$4*(Resumo!$B$6+Resumo!$B$7)+Resumo!$B$9+Resumo!$B$10*CEILING(AI$3/100,1)+(Resumo!$B$12+Resumo!$B$13)*CEILING(AI$3,1))</f>
        <v>74.5570462771717</v>
      </c>
      <c r="AJ74" s="12" t="n">
        <f aca="false">(W74+AJ$4*(Resumo!$C$7+Resumo!$C$8)+Resumo!$C$10*CEILING(AJ$3/100,1)+Resumo!$C$9)*(1+Resumo!$C$11)-(AJ$4*(Resumo!$B$6+Resumo!$B$7)+Resumo!$B$9+Resumo!$B$10*CEILING(AJ$3/100,1)+(Resumo!$B$12+Resumo!$B$13)*CEILING(AJ$3,1))</f>
        <v>81.5039345092958</v>
      </c>
      <c r="AK74" s="12" t="n">
        <f aca="false">(X74+AK$4*(Resumo!$C$7+Resumo!$C$8)+Resumo!$C$10*CEILING(AK$3/100,1)+Resumo!$C$9)*(1+Resumo!$C$11)-(AK$4*(Resumo!$B$6+Resumo!$B$7)+Resumo!$B$9+Resumo!$B$10*CEILING(AK$3/100,1)+(Resumo!$B$12+Resumo!$B$13)*CEILING(AK$3,1))</f>
        <v>84.5552580255814</v>
      </c>
      <c r="AL74" s="12" t="n">
        <f aca="false">(Y74+AL$4*(Resumo!$C$7+Resumo!$C$8)+Resumo!$C$10*CEILING(AL$3/100,1)+Resumo!$C$9)*(1+Resumo!$C$11)-(AL$4*(Resumo!$B$6+Resumo!$B$7)+Resumo!$B$9+Resumo!$B$10*CEILING(AL$3/100,1)+(Resumo!$B$12+Resumo!$B$13)*CEILING(AL$3,1))</f>
        <v>90.7147698817308</v>
      </c>
      <c r="AM74" s="12" t="n">
        <f aca="false">(Z74+AM$4*(Resumo!$C$7+Resumo!$C$8)+Resumo!$C$10*CEILING(AM$3/100,1)+Resumo!$C$9)*(1+Resumo!$C$11)-(AM$4*(Resumo!$B$6+Resumo!$B$7)+Resumo!$B$9+Resumo!$B$10*CEILING(AM$3/100,1)+(Resumo!$B$12+Resumo!$B$13)*CEILING(AM$3,1))</f>
        <v>95.0304196468864</v>
      </c>
      <c r="AN74" s="12" t="n">
        <f aca="false">(AA74+AN$4*(Resumo!$C$7+Resumo!$C$8)+Resumo!$C$10*CEILING(AN$3/100,1)+Resumo!$C$9)*(1+Resumo!$C$11)-(AN$4*(Resumo!$B$6+Resumo!$B$7)+Resumo!$B$9+Resumo!$B$10*CEILING(AN$3/100,1)+(Resumo!$B$12+Resumo!$B$13)*CEILING(AN$3,1))</f>
        <v>102.00959604</v>
      </c>
      <c r="AO74" s="12" t="n">
        <f aca="false">(AB74+AO$4*(Resumo!$C$7+Resumo!$C$8)+Resumo!$C$10*CEILING(AO$3/100,1)+Resumo!$C$9)*(1+Resumo!$C$11)-(AO$4*(Resumo!$B$6+Resumo!$B$7)+Resumo!$B$9+Resumo!$B$10*CEILING(AO$3/100,1)+(Resumo!$B$12+Resumo!$B$13)*CEILING(AO$3,1))</f>
        <v>116.765897119298</v>
      </c>
      <c r="AP74" s="12" t="n">
        <f aca="false">(AC74+AP$4*(Resumo!$C$7+Resumo!$C$8)+Resumo!$C$10*CEILING(AP$3/100,1)+Resumo!$C$9)*(1+Resumo!$C$11)-(AP$4*(Resumo!$B$6+Resumo!$B$7)+Resumo!$B$9+Resumo!$B$10*CEILING(AP$3/100,1)+(Resumo!$B$12+Resumo!$B$13)*CEILING(AP$3,1))</f>
        <v>120.300564037736</v>
      </c>
      <c r="AQ74" s="12" t="n">
        <f aca="false">(AD74+AQ$4*(Resumo!$C$7+Resumo!$C$8)+Resumo!$C$10*CEILING(AQ$3/100,1)+Resumo!$C$9)*(1+Resumo!$C$11)-(AQ$4*(Resumo!$B$6+Resumo!$B$7)+Resumo!$B$9+Resumo!$B$10*CEILING(AQ$3/100,1)+(Resumo!$B$12+Resumo!$B$13)*CEILING(AQ$3,1))</f>
        <v>149.110142593023</v>
      </c>
      <c r="AR74" s="12" t="n">
        <f aca="false">(AE74+AR$4*(Resumo!$C$7+Resumo!$C$8)+Resumo!$C$10*CEILING(AR$3/100,1)+Resumo!$C$9)*(1+Resumo!$C$11)-(AR$4*(Resumo!$B$6+Resumo!$B$7)+Resumo!$B$9+Resumo!$B$10*CEILING(AR$3/100,1)+(Resumo!$B$12+Resumo!$B$13)*CEILING(AR$3,1))</f>
        <v>152.447191466667</v>
      </c>
      <c r="AS74" s="12" t="n">
        <f aca="false">(AF74+AS$4*(Resumo!$C$7+Resumo!$C$8)+Resumo!$C$10*CEILING(AS$3/100,1)+Resumo!$C$9)*(1+Resumo!$C$11)-(AS$4*(Resumo!$B$6+Resumo!$B$7)+Resumo!$B$9+Resumo!$B$10*CEILING(AS$3/100,1)+(Resumo!$B$12+Resumo!$B$13)*CEILING(AS$3,1))</f>
        <v>62.11023</v>
      </c>
      <c r="AT74" s="12" t="n">
        <f aca="false">(AG74+AT$4*(Resumo!$C$7+Resumo!$C$8)+Resumo!$C$10*CEILING(AT$3/100,1)+Resumo!$C$9)*(1+Resumo!$C$11)-(AT$4*(Resumo!$B$6+Resumo!$B$7)+Resumo!$B$9+Resumo!$B$10*CEILING(AT$3/100,1)+(Resumo!$B$12+Resumo!$B$13)*CEILING(AT$3,1))</f>
        <v>219.780987533333</v>
      </c>
      <c r="AU74" s="13" t="n">
        <f aca="false">1-AH74/H74</f>
        <v>0.557217548394097</v>
      </c>
      <c r="AV74" s="13" t="n">
        <f aca="false">1-AI74/I74</f>
        <v>0.460864514591281</v>
      </c>
      <c r="AW74" s="13" t="n">
        <f aca="false">1-AJ74/J74</f>
        <v>0.430201800130762</v>
      </c>
      <c r="AX74" s="13" t="n">
        <f aca="false">1-AK74/K74</f>
        <v>0.445684685816301</v>
      </c>
      <c r="AY74" s="13" t="n">
        <f aca="false">1-AL74/L74</f>
        <v>0.440170514183345</v>
      </c>
      <c r="AZ74" s="13" t="n">
        <f aca="false">1-AM74/M74</f>
        <v>0.446015975009406</v>
      </c>
      <c r="BA74" s="13" t="n">
        <f aca="false">1-AN74/N74</f>
        <v>0.436535594122846</v>
      </c>
      <c r="BB74" s="13" t="n">
        <f aca="false">1-AO74/O74</f>
        <v>0.416287256952118</v>
      </c>
      <c r="BC74" s="13" t="n">
        <f aca="false">1-AP74/P74</f>
        <v>0.492016873415523</v>
      </c>
      <c r="BD74" s="13" t="n">
        <f aca="false">1-AQ74/Q74</f>
        <v>0.436980280195502</v>
      </c>
      <c r="BE74" s="13" t="n">
        <f aca="false">1-AR74/R74</f>
        <v>0.492096646787717</v>
      </c>
      <c r="BF74" s="13" t="n">
        <f aca="false">1-AS74/S74</f>
        <v>0.824135034119546</v>
      </c>
      <c r="BG74" s="13" t="n">
        <f aca="false">1-AT74/T74</f>
        <v>0.502082040024166</v>
      </c>
    </row>
    <row r="75" customFormat="false" ht="15" hidden="false" customHeight="false" outlineLevel="0" collapsed="false">
      <c r="A75" s="4" t="s">
        <v>197</v>
      </c>
      <c r="B75" s="4" t="s">
        <v>261</v>
      </c>
      <c r="C75" s="34" t="n">
        <v>28540000</v>
      </c>
      <c r="D75" s="34" t="n">
        <v>28544999</v>
      </c>
      <c r="E75" s="4" t="s">
        <v>201</v>
      </c>
      <c r="F75" s="4" t="s">
        <v>204</v>
      </c>
      <c r="G75" s="4" t="n">
        <f aca="false">COUNTIFS(Pedidos!$E$2:$E$2224,"&gt;="&amp;C75,Pedidos!$E$2:$E$2224,"&lt;="&amp;D75)</f>
        <v>3</v>
      </c>
      <c r="H75" s="7" t="n">
        <v>106.53</v>
      </c>
      <c r="I75" s="7" t="n">
        <v>120.78</v>
      </c>
      <c r="J75" s="7" t="n">
        <v>125.63</v>
      </c>
      <c r="K75" s="7" t="n">
        <v>135.03</v>
      </c>
      <c r="L75" s="7" t="n">
        <v>144.53</v>
      </c>
      <c r="M75" s="7" t="n">
        <v>166.05</v>
      </c>
      <c r="N75" s="7" t="n">
        <v>166.05</v>
      </c>
      <c r="O75" s="7" t="n">
        <v>197.35</v>
      </c>
      <c r="P75" s="7" t="n">
        <v>236.82</v>
      </c>
      <c r="Q75" s="7" t="n">
        <v>264.84</v>
      </c>
      <c r="R75" s="7" t="n">
        <v>300.15</v>
      </c>
      <c r="S75" s="7" t="n">
        <v>353.12</v>
      </c>
      <c r="T75" s="7" t="n">
        <v>441.4</v>
      </c>
      <c r="U75" s="7" t="n">
        <v>52.71</v>
      </c>
      <c r="V75" s="7" t="n">
        <v>76.5</v>
      </c>
      <c r="W75" s="7" t="n">
        <v>87.4</v>
      </c>
      <c r="X75" s="7" t="n">
        <v>94</v>
      </c>
      <c r="Y75" s="7" t="n">
        <v>103.6</v>
      </c>
      <c r="Z75" s="7" t="n">
        <v>113.9</v>
      </c>
      <c r="AA75" s="7" t="n">
        <v>124.16</v>
      </c>
      <c r="AB75" s="7" t="n">
        <v>144.41</v>
      </c>
      <c r="AC75" s="7" t="n">
        <v>161.81</v>
      </c>
      <c r="AD75" s="7" t="n">
        <v>197.37</v>
      </c>
      <c r="AE75" s="7" t="n">
        <v>215.7</v>
      </c>
      <c r="AF75" s="7" t="n">
        <v>143.51</v>
      </c>
      <c r="AG75" s="7" t="n">
        <v>304.65</v>
      </c>
      <c r="AH75" s="12" t="n">
        <f aca="false">(U75+AH$4*(Resumo!$C$7+Resumo!$C$8)+Resumo!$C$10*CEILING(AH$3/100,1)+Resumo!$C$9)*(1+Resumo!$C$11)-(AH$4*(Resumo!$B$6+Resumo!$B$7)+Resumo!$B$9+Resumo!$B$10*CEILING(AH$3/100,1)+(Resumo!$B$12+Resumo!$B$13)*CEILING(AH$3,1))</f>
        <v>54.9227352971963</v>
      </c>
      <c r="AI75" s="12" t="n">
        <f aca="false">(V75+AI$4*(Resumo!$C$7+Resumo!$C$8)+Resumo!$C$10*CEILING(AI$3/100,1)+Resumo!$C$9)*(1+Resumo!$C$11)-(AI$4*(Resumo!$B$6+Resumo!$B$7)+Resumo!$B$9+Resumo!$B$10*CEILING(AI$3/100,1)+(Resumo!$B$12+Resumo!$B$13)*CEILING(AI$3,1))</f>
        <v>74.5570462771717</v>
      </c>
      <c r="AJ75" s="12" t="n">
        <f aca="false">(W75+AJ$4*(Resumo!$C$7+Resumo!$C$8)+Resumo!$C$10*CEILING(AJ$3/100,1)+Resumo!$C$9)*(1+Resumo!$C$11)-(AJ$4*(Resumo!$B$6+Resumo!$B$7)+Resumo!$B$9+Resumo!$B$10*CEILING(AJ$3/100,1)+(Resumo!$B$12+Resumo!$B$13)*CEILING(AJ$3,1))</f>
        <v>81.5039345092958</v>
      </c>
      <c r="AK75" s="12" t="n">
        <f aca="false">(X75+AK$4*(Resumo!$C$7+Resumo!$C$8)+Resumo!$C$10*CEILING(AK$3/100,1)+Resumo!$C$9)*(1+Resumo!$C$11)-(AK$4*(Resumo!$B$6+Resumo!$B$7)+Resumo!$B$9+Resumo!$B$10*CEILING(AK$3/100,1)+(Resumo!$B$12+Resumo!$B$13)*CEILING(AK$3,1))</f>
        <v>84.5552580255814</v>
      </c>
      <c r="AL75" s="12" t="n">
        <f aca="false">(Y75+AL$4*(Resumo!$C$7+Resumo!$C$8)+Resumo!$C$10*CEILING(AL$3/100,1)+Resumo!$C$9)*(1+Resumo!$C$11)-(AL$4*(Resumo!$B$6+Resumo!$B$7)+Resumo!$B$9+Resumo!$B$10*CEILING(AL$3/100,1)+(Resumo!$B$12+Resumo!$B$13)*CEILING(AL$3,1))</f>
        <v>90.7147698817308</v>
      </c>
      <c r="AM75" s="12" t="n">
        <f aca="false">(Z75+AM$4*(Resumo!$C$7+Resumo!$C$8)+Resumo!$C$10*CEILING(AM$3/100,1)+Resumo!$C$9)*(1+Resumo!$C$11)-(AM$4*(Resumo!$B$6+Resumo!$B$7)+Resumo!$B$9+Resumo!$B$10*CEILING(AM$3/100,1)+(Resumo!$B$12+Resumo!$B$13)*CEILING(AM$3,1))</f>
        <v>95.0304196468864</v>
      </c>
      <c r="AN75" s="12" t="n">
        <f aca="false">(AA75+AN$4*(Resumo!$C$7+Resumo!$C$8)+Resumo!$C$10*CEILING(AN$3/100,1)+Resumo!$C$9)*(1+Resumo!$C$11)-(AN$4*(Resumo!$B$6+Resumo!$B$7)+Resumo!$B$9+Resumo!$B$10*CEILING(AN$3/100,1)+(Resumo!$B$12+Resumo!$B$13)*CEILING(AN$3,1))</f>
        <v>102.00959604</v>
      </c>
      <c r="AO75" s="12" t="n">
        <f aca="false">(AB75+AO$4*(Resumo!$C$7+Resumo!$C$8)+Resumo!$C$10*CEILING(AO$3/100,1)+Resumo!$C$9)*(1+Resumo!$C$11)-(AO$4*(Resumo!$B$6+Resumo!$B$7)+Resumo!$B$9+Resumo!$B$10*CEILING(AO$3/100,1)+(Resumo!$B$12+Resumo!$B$13)*CEILING(AO$3,1))</f>
        <v>116.765897119298</v>
      </c>
      <c r="AP75" s="12" t="n">
        <f aca="false">(AC75+AP$4*(Resumo!$C$7+Resumo!$C$8)+Resumo!$C$10*CEILING(AP$3/100,1)+Resumo!$C$9)*(1+Resumo!$C$11)-(AP$4*(Resumo!$B$6+Resumo!$B$7)+Resumo!$B$9+Resumo!$B$10*CEILING(AP$3/100,1)+(Resumo!$B$12+Resumo!$B$13)*CEILING(AP$3,1))</f>
        <v>120.300564037736</v>
      </c>
      <c r="AQ75" s="12" t="n">
        <f aca="false">(AD75+AQ$4*(Resumo!$C$7+Resumo!$C$8)+Resumo!$C$10*CEILING(AQ$3/100,1)+Resumo!$C$9)*(1+Resumo!$C$11)-(AQ$4*(Resumo!$B$6+Resumo!$B$7)+Resumo!$B$9+Resumo!$B$10*CEILING(AQ$3/100,1)+(Resumo!$B$12+Resumo!$B$13)*CEILING(AQ$3,1))</f>
        <v>149.110142593023</v>
      </c>
      <c r="AR75" s="12" t="n">
        <f aca="false">(AE75+AR$4*(Resumo!$C$7+Resumo!$C$8)+Resumo!$C$10*CEILING(AR$3/100,1)+Resumo!$C$9)*(1+Resumo!$C$11)-(AR$4*(Resumo!$B$6+Resumo!$B$7)+Resumo!$B$9+Resumo!$B$10*CEILING(AR$3/100,1)+(Resumo!$B$12+Resumo!$B$13)*CEILING(AR$3,1))</f>
        <v>152.447191466667</v>
      </c>
      <c r="AS75" s="12" t="n">
        <f aca="false">(AF75+AS$4*(Resumo!$C$7+Resumo!$C$8)+Resumo!$C$10*CEILING(AS$3/100,1)+Resumo!$C$9)*(1+Resumo!$C$11)-(AS$4*(Resumo!$B$6+Resumo!$B$7)+Resumo!$B$9+Resumo!$B$10*CEILING(AS$3/100,1)+(Resumo!$B$12+Resumo!$B$13)*CEILING(AS$3,1))</f>
        <v>62.11023</v>
      </c>
      <c r="AT75" s="12" t="n">
        <f aca="false">(AG75+AT$4*(Resumo!$C$7+Resumo!$C$8)+Resumo!$C$10*CEILING(AT$3/100,1)+Resumo!$C$9)*(1+Resumo!$C$11)-(AT$4*(Resumo!$B$6+Resumo!$B$7)+Resumo!$B$9+Resumo!$B$10*CEILING(AT$3/100,1)+(Resumo!$B$12+Resumo!$B$13)*CEILING(AT$3,1))</f>
        <v>219.780987533333</v>
      </c>
      <c r="AU75" s="13" t="n">
        <f aca="false">1-AH75/H75</f>
        <v>0.484438793793333</v>
      </c>
      <c r="AV75" s="13" t="n">
        <f aca="false">1-AI75/I75</f>
        <v>0.382703706928534</v>
      </c>
      <c r="AW75" s="13" t="n">
        <f aca="false">1-AJ75/J75</f>
        <v>0.351238282979418</v>
      </c>
      <c r="AX75" s="13" t="n">
        <f aca="false">1-AK75/K75</f>
        <v>0.373803910052719</v>
      </c>
      <c r="AY75" s="13" t="n">
        <f aca="false">1-AL75/L75</f>
        <v>0.372346434084752</v>
      </c>
      <c r="AZ75" s="13" t="n">
        <f aca="false">1-AM75/M75</f>
        <v>0.427699972015137</v>
      </c>
      <c r="BA75" s="13" t="n">
        <f aca="false">1-AN75/N75</f>
        <v>0.385669400542005</v>
      </c>
      <c r="BB75" s="13" t="n">
        <f aca="false">1-AO75/O75</f>
        <v>0.408330898812778</v>
      </c>
      <c r="BC75" s="13" t="n">
        <f aca="false">1-AP75/P75</f>
        <v>0.492016873415523</v>
      </c>
      <c r="BD75" s="13" t="n">
        <f aca="false">1-AQ75/Q75</f>
        <v>0.436980280195502</v>
      </c>
      <c r="BE75" s="13" t="n">
        <f aca="false">1-AR75/R75</f>
        <v>0.492096646787717</v>
      </c>
      <c r="BF75" s="13" t="n">
        <f aca="false">1-AS75/S75</f>
        <v>0.82411013253285</v>
      </c>
      <c r="BG75" s="13" t="n">
        <f aca="false">1-AT75/T75</f>
        <v>0.502082040024166</v>
      </c>
    </row>
    <row r="76" customFormat="false" ht="15" hidden="false" customHeight="false" outlineLevel="0" collapsed="false">
      <c r="A76" s="4" t="s">
        <v>197</v>
      </c>
      <c r="B76" s="4" t="s">
        <v>262</v>
      </c>
      <c r="C76" s="34" t="n">
        <v>28545000</v>
      </c>
      <c r="D76" s="34" t="n">
        <v>28549999</v>
      </c>
      <c r="E76" s="4" t="s">
        <v>201</v>
      </c>
      <c r="F76" s="4" t="s">
        <v>204</v>
      </c>
      <c r="G76" s="4" t="n">
        <f aca="false">COUNTIFS(Pedidos!$E$2:$E$2224,"&gt;="&amp;C76,Pedidos!$E$2:$E$2224,"&lt;="&amp;D76)</f>
        <v>0</v>
      </c>
      <c r="H76" s="7" t="n">
        <v>106.53</v>
      </c>
      <c r="I76" s="7" t="n">
        <v>120.78</v>
      </c>
      <c r="J76" s="7" t="n">
        <v>125.63</v>
      </c>
      <c r="K76" s="7" t="n">
        <v>135.03</v>
      </c>
      <c r="L76" s="7" t="n">
        <v>144.53</v>
      </c>
      <c r="M76" s="7" t="n">
        <v>166.05</v>
      </c>
      <c r="N76" s="7" t="n">
        <v>166.05</v>
      </c>
      <c r="O76" s="7" t="n">
        <v>197.35</v>
      </c>
      <c r="P76" s="7" t="n">
        <v>236.82</v>
      </c>
      <c r="Q76" s="7" t="n">
        <v>264.84</v>
      </c>
      <c r="R76" s="7" t="n">
        <v>300.15</v>
      </c>
      <c r="S76" s="7" t="n">
        <v>353.12</v>
      </c>
      <c r="T76" s="7" t="n">
        <v>441.4</v>
      </c>
      <c r="U76" s="7" t="n">
        <v>52.71</v>
      </c>
      <c r="V76" s="7" t="n">
        <v>76.5</v>
      </c>
      <c r="W76" s="7" t="n">
        <v>87.4</v>
      </c>
      <c r="X76" s="7" t="n">
        <v>94</v>
      </c>
      <c r="Y76" s="7" t="n">
        <v>103.6</v>
      </c>
      <c r="Z76" s="7" t="n">
        <v>113.9</v>
      </c>
      <c r="AA76" s="7" t="n">
        <v>124.16</v>
      </c>
      <c r="AB76" s="7" t="n">
        <v>144.41</v>
      </c>
      <c r="AC76" s="7" t="n">
        <v>161.81</v>
      </c>
      <c r="AD76" s="7" t="n">
        <v>197.37</v>
      </c>
      <c r="AE76" s="7" t="n">
        <v>215.7</v>
      </c>
      <c r="AF76" s="7" t="n">
        <v>143.51</v>
      </c>
      <c r="AG76" s="7" t="n">
        <v>304.65</v>
      </c>
      <c r="AH76" s="12" t="n">
        <f aca="false">(U76+AH$4*(Resumo!$C$7+Resumo!$C$8)+Resumo!$C$10*CEILING(AH$3/100,1)+Resumo!$C$9)*(1+Resumo!$C$11)-(AH$4*(Resumo!$B$6+Resumo!$B$7)+Resumo!$B$9+Resumo!$B$10*CEILING(AH$3/100,1)+(Resumo!$B$12+Resumo!$B$13)*CEILING(AH$3,1))</f>
        <v>54.9227352971963</v>
      </c>
      <c r="AI76" s="12" t="n">
        <f aca="false">(V76+AI$4*(Resumo!$C$7+Resumo!$C$8)+Resumo!$C$10*CEILING(AI$3/100,1)+Resumo!$C$9)*(1+Resumo!$C$11)-(AI$4*(Resumo!$B$6+Resumo!$B$7)+Resumo!$B$9+Resumo!$B$10*CEILING(AI$3/100,1)+(Resumo!$B$12+Resumo!$B$13)*CEILING(AI$3,1))</f>
        <v>74.5570462771717</v>
      </c>
      <c r="AJ76" s="12" t="n">
        <f aca="false">(W76+AJ$4*(Resumo!$C$7+Resumo!$C$8)+Resumo!$C$10*CEILING(AJ$3/100,1)+Resumo!$C$9)*(1+Resumo!$C$11)-(AJ$4*(Resumo!$B$6+Resumo!$B$7)+Resumo!$B$9+Resumo!$B$10*CEILING(AJ$3/100,1)+(Resumo!$B$12+Resumo!$B$13)*CEILING(AJ$3,1))</f>
        <v>81.5039345092958</v>
      </c>
      <c r="AK76" s="12" t="n">
        <f aca="false">(X76+AK$4*(Resumo!$C$7+Resumo!$C$8)+Resumo!$C$10*CEILING(AK$3/100,1)+Resumo!$C$9)*(1+Resumo!$C$11)-(AK$4*(Resumo!$B$6+Resumo!$B$7)+Resumo!$B$9+Resumo!$B$10*CEILING(AK$3/100,1)+(Resumo!$B$12+Resumo!$B$13)*CEILING(AK$3,1))</f>
        <v>84.5552580255814</v>
      </c>
      <c r="AL76" s="12" t="n">
        <f aca="false">(Y76+AL$4*(Resumo!$C$7+Resumo!$C$8)+Resumo!$C$10*CEILING(AL$3/100,1)+Resumo!$C$9)*(1+Resumo!$C$11)-(AL$4*(Resumo!$B$6+Resumo!$B$7)+Resumo!$B$9+Resumo!$B$10*CEILING(AL$3/100,1)+(Resumo!$B$12+Resumo!$B$13)*CEILING(AL$3,1))</f>
        <v>90.7147698817308</v>
      </c>
      <c r="AM76" s="12" t="n">
        <f aca="false">(Z76+AM$4*(Resumo!$C$7+Resumo!$C$8)+Resumo!$C$10*CEILING(AM$3/100,1)+Resumo!$C$9)*(1+Resumo!$C$11)-(AM$4*(Resumo!$B$6+Resumo!$B$7)+Resumo!$B$9+Resumo!$B$10*CEILING(AM$3/100,1)+(Resumo!$B$12+Resumo!$B$13)*CEILING(AM$3,1))</f>
        <v>95.0304196468864</v>
      </c>
      <c r="AN76" s="12" t="n">
        <f aca="false">(AA76+AN$4*(Resumo!$C$7+Resumo!$C$8)+Resumo!$C$10*CEILING(AN$3/100,1)+Resumo!$C$9)*(1+Resumo!$C$11)-(AN$4*(Resumo!$B$6+Resumo!$B$7)+Resumo!$B$9+Resumo!$B$10*CEILING(AN$3/100,1)+(Resumo!$B$12+Resumo!$B$13)*CEILING(AN$3,1))</f>
        <v>102.00959604</v>
      </c>
      <c r="AO76" s="12" t="n">
        <f aca="false">(AB76+AO$4*(Resumo!$C$7+Resumo!$C$8)+Resumo!$C$10*CEILING(AO$3/100,1)+Resumo!$C$9)*(1+Resumo!$C$11)-(AO$4*(Resumo!$B$6+Resumo!$B$7)+Resumo!$B$9+Resumo!$B$10*CEILING(AO$3/100,1)+(Resumo!$B$12+Resumo!$B$13)*CEILING(AO$3,1))</f>
        <v>116.765897119298</v>
      </c>
      <c r="AP76" s="12" t="n">
        <f aca="false">(AC76+AP$4*(Resumo!$C$7+Resumo!$C$8)+Resumo!$C$10*CEILING(AP$3/100,1)+Resumo!$C$9)*(1+Resumo!$C$11)-(AP$4*(Resumo!$B$6+Resumo!$B$7)+Resumo!$B$9+Resumo!$B$10*CEILING(AP$3/100,1)+(Resumo!$B$12+Resumo!$B$13)*CEILING(AP$3,1))</f>
        <v>120.300564037736</v>
      </c>
      <c r="AQ76" s="12" t="n">
        <f aca="false">(AD76+AQ$4*(Resumo!$C$7+Resumo!$C$8)+Resumo!$C$10*CEILING(AQ$3/100,1)+Resumo!$C$9)*(1+Resumo!$C$11)-(AQ$4*(Resumo!$B$6+Resumo!$B$7)+Resumo!$B$9+Resumo!$B$10*CEILING(AQ$3/100,1)+(Resumo!$B$12+Resumo!$B$13)*CEILING(AQ$3,1))</f>
        <v>149.110142593023</v>
      </c>
      <c r="AR76" s="12" t="n">
        <f aca="false">(AE76+AR$4*(Resumo!$C$7+Resumo!$C$8)+Resumo!$C$10*CEILING(AR$3/100,1)+Resumo!$C$9)*(1+Resumo!$C$11)-(AR$4*(Resumo!$B$6+Resumo!$B$7)+Resumo!$B$9+Resumo!$B$10*CEILING(AR$3/100,1)+(Resumo!$B$12+Resumo!$B$13)*CEILING(AR$3,1))</f>
        <v>152.447191466667</v>
      </c>
      <c r="AS76" s="12" t="n">
        <f aca="false">(AF76+AS$4*(Resumo!$C$7+Resumo!$C$8)+Resumo!$C$10*CEILING(AS$3/100,1)+Resumo!$C$9)*(1+Resumo!$C$11)-(AS$4*(Resumo!$B$6+Resumo!$B$7)+Resumo!$B$9+Resumo!$B$10*CEILING(AS$3/100,1)+(Resumo!$B$12+Resumo!$B$13)*CEILING(AS$3,1))</f>
        <v>62.11023</v>
      </c>
      <c r="AT76" s="12" t="n">
        <f aca="false">(AG76+AT$4*(Resumo!$C$7+Resumo!$C$8)+Resumo!$C$10*CEILING(AT$3/100,1)+Resumo!$C$9)*(1+Resumo!$C$11)-(AT$4*(Resumo!$B$6+Resumo!$B$7)+Resumo!$B$9+Resumo!$B$10*CEILING(AT$3/100,1)+(Resumo!$B$12+Resumo!$B$13)*CEILING(AT$3,1))</f>
        <v>219.780987533333</v>
      </c>
      <c r="AU76" s="13" t="n">
        <f aca="false">1-AH76/H76</f>
        <v>0.484438793793333</v>
      </c>
      <c r="AV76" s="13" t="n">
        <f aca="false">1-AI76/I76</f>
        <v>0.382703706928534</v>
      </c>
      <c r="AW76" s="13" t="n">
        <f aca="false">1-AJ76/J76</f>
        <v>0.351238282979418</v>
      </c>
      <c r="AX76" s="13" t="n">
        <f aca="false">1-AK76/K76</f>
        <v>0.373803910052719</v>
      </c>
      <c r="AY76" s="13" t="n">
        <f aca="false">1-AL76/L76</f>
        <v>0.372346434084752</v>
      </c>
      <c r="AZ76" s="13" t="n">
        <f aca="false">1-AM76/M76</f>
        <v>0.427699972015137</v>
      </c>
      <c r="BA76" s="13" t="n">
        <f aca="false">1-AN76/N76</f>
        <v>0.385669400542005</v>
      </c>
      <c r="BB76" s="13" t="n">
        <f aca="false">1-AO76/O76</f>
        <v>0.408330898812778</v>
      </c>
      <c r="BC76" s="13" t="n">
        <f aca="false">1-AP76/P76</f>
        <v>0.492016873415523</v>
      </c>
      <c r="BD76" s="13" t="n">
        <f aca="false">1-AQ76/Q76</f>
        <v>0.436980280195502</v>
      </c>
      <c r="BE76" s="13" t="n">
        <f aca="false">1-AR76/R76</f>
        <v>0.492096646787717</v>
      </c>
      <c r="BF76" s="13" t="n">
        <f aca="false">1-AS76/S76</f>
        <v>0.82411013253285</v>
      </c>
      <c r="BG76" s="13" t="n">
        <f aca="false">1-AT76/T76</f>
        <v>0.502082040024166</v>
      </c>
    </row>
    <row r="77" customFormat="false" ht="15" hidden="false" customHeight="false" outlineLevel="0" collapsed="false">
      <c r="A77" s="4" t="s">
        <v>197</v>
      </c>
      <c r="B77" s="4" t="s">
        <v>263</v>
      </c>
      <c r="C77" s="34" t="n">
        <v>28550000</v>
      </c>
      <c r="D77" s="34" t="n">
        <v>28569999</v>
      </c>
      <c r="E77" s="4" t="s">
        <v>201</v>
      </c>
      <c r="F77" s="4" t="s">
        <v>204</v>
      </c>
      <c r="G77" s="4" t="n">
        <f aca="false">COUNTIFS(Pedidos!$E$2:$E$2224,"&gt;="&amp;C77,Pedidos!$E$2:$E$2224,"&lt;="&amp;D77)</f>
        <v>0</v>
      </c>
      <c r="H77" s="7" t="n">
        <v>106.53</v>
      </c>
      <c r="I77" s="7" t="n">
        <v>120.78</v>
      </c>
      <c r="J77" s="7" t="n">
        <v>125.63</v>
      </c>
      <c r="K77" s="7" t="n">
        <v>135.03</v>
      </c>
      <c r="L77" s="7" t="n">
        <v>144.53</v>
      </c>
      <c r="M77" s="7" t="n">
        <v>166.05</v>
      </c>
      <c r="N77" s="7" t="n">
        <v>166.05</v>
      </c>
      <c r="O77" s="7" t="n">
        <v>197.35</v>
      </c>
      <c r="P77" s="7" t="n">
        <v>236.82</v>
      </c>
      <c r="Q77" s="7" t="n">
        <v>264.84</v>
      </c>
      <c r="R77" s="7" t="n">
        <v>300.15</v>
      </c>
      <c r="S77" s="7" t="n">
        <v>353.12</v>
      </c>
      <c r="T77" s="7" t="n">
        <v>441.4</v>
      </c>
      <c r="U77" s="7" t="n">
        <v>52.71</v>
      </c>
      <c r="V77" s="7" t="n">
        <v>76.5</v>
      </c>
      <c r="W77" s="7" t="n">
        <v>87.4</v>
      </c>
      <c r="X77" s="7" t="n">
        <v>94</v>
      </c>
      <c r="Y77" s="7" t="n">
        <v>103.6</v>
      </c>
      <c r="Z77" s="7" t="n">
        <v>113.9</v>
      </c>
      <c r="AA77" s="7" t="n">
        <v>124.16</v>
      </c>
      <c r="AB77" s="7" t="n">
        <v>144.41</v>
      </c>
      <c r="AC77" s="7" t="n">
        <v>161.81</v>
      </c>
      <c r="AD77" s="7" t="n">
        <v>197.37</v>
      </c>
      <c r="AE77" s="7" t="n">
        <v>215.7</v>
      </c>
      <c r="AF77" s="7" t="n">
        <v>143.51</v>
      </c>
      <c r="AG77" s="7" t="n">
        <v>304.65</v>
      </c>
      <c r="AH77" s="12" t="n">
        <f aca="false">(U77+AH$4*(Resumo!$C$7+Resumo!$C$8)+Resumo!$C$10*CEILING(AH$3/100,1)+Resumo!$C$9)*(1+Resumo!$C$11)-(AH$4*(Resumo!$B$6+Resumo!$B$7)+Resumo!$B$9+Resumo!$B$10*CEILING(AH$3/100,1)+(Resumo!$B$12+Resumo!$B$13)*CEILING(AH$3,1))</f>
        <v>54.9227352971963</v>
      </c>
      <c r="AI77" s="12" t="n">
        <f aca="false">(V77+AI$4*(Resumo!$C$7+Resumo!$C$8)+Resumo!$C$10*CEILING(AI$3/100,1)+Resumo!$C$9)*(1+Resumo!$C$11)-(AI$4*(Resumo!$B$6+Resumo!$B$7)+Resumo!$B$9+Resumo!$B$10*CEILING(AI$3/100,1)+(Resumo!$B$12+Resumo!$B$13)*CEILING(AI$3,1))</f>
        <v>74.5570462771717</v>
      </c>
      <c r="AJ77" s="12" t="n">
        <f aca="false">(W77+AJ$4*(Resumo!$C$7+Resumo!$C$8)+Resumo!$C$10*CEILING(AJ$3/100,1)+Resumo!$C$9)*(1+Resumo!$C$11)-(AJ$4*(Resumo!$B$6+Resumo!$B$7)+Resumo!$B$9+Resumo!$B$10*CEILING(AJ$3/100,1)+(Resumo!$B$12+Resumo!$B$13)*CEILING(AJ$3,1))</f>
        <v>81.5039345092958</v>
      </c>
      <c r="AK77" s="12" t="n">
        <f aca="false">(X77+AK$4*(Resumo!$C$7+Resumo!$C$8)+Resumo!$C$10*CEILING(AK$3/100,1)+Resumo!$C$9)*(1+Resumo!$C$11)-(AK$4*(Resumo!$B$6+Resumo!$B$7)+Resumo!$B$9+Resumo!$B$10*CEILING(AK$3/100,1)+(Resumo!$B$12+Resumo!$B$13)*CEILING(AK$3,1))</f>
        <v>84.5552580255814</v>
      </c>
      <c r="AL77" s="12" t="n">
        <f aca="false">(Y77+AL$4*(Resumo!$C$7+Resumo!$C$8)+Resumo!$C$10*CEILING(AL$3/100,1)+Resumo!$C$9)*(1+Resumo!$C$11)-(AL$4*(Resumo!$B$6+Resumo!$B$7)+Resumo!$B$9+Resumo!$B$10*CEILING(AL$3/100,1)+(Resumo!$B$12+Resumo!$B$13)*CEILING(AL$3,1))</f>
        <v>90.7147698817308</v>
      </c>
      <c r="AM77" s="12" t="n">
        <f aca="false">(Z77+AM$4*(Resumo!$C$7+Resumo!$C$8)+Resumo!$C$10*CEILING(AM$3/100,1)+Resumo!$C$9)*(1+Resumo!$C$11)-(AM$4*(Resumo!$B$6+Resumo!$B$7)+Resumo!$B$9+Resumo!$B$10*CEILING(AM$3/100,1)+(Resumo!$B$12+Resumo!$B$13)*CEILING(AM$3,1))</f>
        <v>95.0304196468864</v>
      </c>
      <c r="AN77" s="12" t="n">
        <f aca="false">(AA77+AN$4*(Resumo!$C$7+Resumo!$C$8)+Resumo!$C$10*CEILING(AN$3/100,1)+Resumo!$C$9)*(1+Resumo!$C$11)-(AN$4*(Resumo!$B$6+Resumo!$B$7)+Resumo!$B$9+Resumo!$B$10*CEILING(AN$3/100,1)+(Resumo!$B$12+Resumo!$B$13)*CEILING(AN$3,1))</f>
        <v>102.00959604</v>
      </c>
      <c r="AO77" s="12" t="n">
        <f aca="false">(AB77+AO$4*(Resumo!$C$7+Resumo!$C$8)+Resumo!$C$10*CEILING(AO$3/100,1)+Resumo!$C$9)*(1+Resumo!$C$11)-(AO$4*(Resumo!$B$6+Resumo!$B$7)+Resumo!$B$9+Resumo!$B$10*CEILING(AO$3/100,1)+(Resumo!$B$12+Resumo!$B$13)*CEILING(AO$3,1))</f>
        <v>116.765897119298</v>
      </c>
      <c r="AP77" s="12" t="n">
        <f aca="false">(AC77+AP$4*(Resumo!$C$7+Resumo!$C$8)+Resumo!$C$10*CEILING(AP$3/100,1)+Resumo!$C$9)*(1+Resumo!$C$11)-(AP$4*(Resumo!$B$6+Resumo!$B$7)+Resumo!$B$9+Resumo!$B$10*CEILING(AP$3/100,1)+(Resumo!$B$12+Resumo!$B$13)*CEILING(AP$3,1))</f>
        <v>120.300564037736</v>
      </c>
      <c r="AQ77" s="12" t="n">
        <f aca="false">(AD77+AQ$4*(Resumo!$C$7+Resumo!$C$8)+Resumo!$C$10*CEILING(AQ$3/100,1)+Resumo!$C$9)*(1+Resumo!$C$11)-(AQ$4*(Resumo!$B$6+Resumo!$B$7)+Resumo!$B$9+Resumo!$B$10*CEILING(AQ$3/100,1)+(Resumo!$B$12+Resumo!$B$13)*CEILING(AQ$3,1))</f>
        <v>149.110142593023</v>
      </c>
      <c r="AR77" s="12" t="n">
        <f aca="false">(AE77+AR$4*(Resumo!$C$7+Resumo!$C$8)+Resumo!$C$10*CEILING(AR$3/100,1)+Resumo!$C$9)*(1+Resumo!$C$11)-(AR$4*(Resumo!$B$6+Resumo!$B$7)+Resumo!$B$9+Resumo!$B$10*CEILING(AR$3/100,1)+(Resumo!$B$12+Resumo!$B$13)*CEILING(AR$3,1))</f>
        <v>152.447191466667</v>
      </c>
      <c r="AS77" s="12" t="n">
        <f aca="false">(AF77+AS$4*(Resumo!$C$7+Resumo!$C$8)+Resumo!$C$10*CEILING(AS$3/100,1)+Resumo!$C$9)*(1+Resumo!$C$11)-(AS$4*(Resumo!$B$6+Resumo!$B$7)+Resumo!$B$9+Resumo!$B$10*CEILING(AS$3/100,1)+(Resumo!$B$12+Resumo!$B$13)*CEILING(AS$3,1))</f>
        <v>62.11023</v>
      </c>
      <c r="AT77" s="12" t="n">
        <f aca="false">(AG77+AT$4*(Resumo!$C$7+Resumo!$C$8)+Resumo!$C$10*CEILING(AT$3/100,1)+Resumo!$C$9)*(1+Resumo!$C$11)-(AT$4*(Resumo!$B$6+Resumo!$B$7)+Resumo!$B$9+Resumo!$B$10*CEILING(AT$3/100,1)+(Resumo!$B$12+Resumo!$B$13)*CEILING(AT$3,1))</f>
        <v>219.780987533333</v>
      </c>
      <c r="AU77" s="13" t="n">
        <f aca="false">1-AH77/H77</f>
        <v>0.484438793793333</v>
      </c>
      <c r="AV77" s="13" t="n">
        <f aca="false">1-AI77/I77</f>
        <v>0.382703706928534</v>
      </c>
      <c r="AW77" s="13" t="n">
        <f aca="false">1-AJ77/J77</f>
        <v>0.351238282979418</v>
      </c>
      <c r="AX77" s="13" t="n">
        <f aca="false">1-AK77/K77</f>
        <v>0.373803910052719</v>
      </c>
      <c r="AY77" s="13" t="n">
        <f aca="false">1-AL77/L77</f>
        <v>0.372346434084752</v>
      </c>
      <c r="AZ77" s="13" t="n">
        <f aca="false">1-AM77/M77</f>
        <v>0.427699972015137</v>
      </c>
      <c r="BA77" s="13" t="n">
        <f aca="false">1-AN77/N77</f>
        <v>0.385669400542005</v>
      </c>
      <c r="BB77" s="13" t="n">
        <f aca="false">1-AO77/O77</f>
        <v>0.408330898812778</v>
      </c>
      <c r="BC77" s="13" t="n">
        <f aca="false">1-AP77/P77</f>
        <v>0.492016873415523</v>
      </c>
      <c r="BD77" s="13" t="n">
        <f aca="false">1-AQ77/Q77</f>
        <v>0.436980280195502</v>
      </c>
      <c r="BE77" s="13" t="n">
        <f aca="false">1-AR77/R77</f>
        <v>0.492096646787717</v>
      </c>
      <c r="BF77" s="13" t="n">
        <f aca="false">1-AS77/S77</f>
        <v>0.82411013253285</v>
      </c>
      <c r="BG77" s="13" t="n">
        <f aca="false">1-AT77/T77</f>
        <v>0.502082040024166</v>
      </c>
    </row>
    <row r="78" customFormat="false" ht="15" hidden="false" customHeight="false" outlineLevel="0" collapsed="false">
      <c r="A78" s="4" t="s">
        <v>197</v>
      </c>
      <c r="B78" s="4" t="s">
        <v>264</v>
      </c>
      <c r="C78" s="34" t="n">
        <v>28570000</v>
      </c>
      <c r="D78" s="34" t="n">
        <v>28599999</v>
      </c>
      <c r="E78" s="4" t="s">
        <v>201</v>
      </c>
      <c r="F78" s="4" t="s">
        <v>242</v>
      </c>
      <c r="G78" s="4" t="n">
        <f aca="false">COUNTIFS(Pedidos!$E$2:$E$2224,"&gt;="&amp;C78,Pedidos!$E$2:$E$2224,"&lt;="&amp;D78)</f>
        <v>1</v>
      </c>
      <c r="H78" s="7" t="n">
        <v>124.04</v>
      </c>
      <c r="I78" s="7" t="n">
        <v>138.29</v>
      </c>
      <c r="J78" s="7" t="n">
        <v>143.04</v>
      </c>
      <c r="K78" s="7" t="n">
        <v>152.54</v>
      </c>
      <c r="L78" s="7" t="n">
        <v>162.04</v>
      </c>
      <c r="M78" s="7" t="n">
        <v>171.54</v>
      </c>
      <c r="N78" s="7" t="n">
        <v>181.04</v>
      </c>
      <c r="O78" s="7" t="n">
        <v>200.04</v>
      </c>
      <c r="P78" s="7" t="n">
        <v>236.82</v>
      </c>
      <c r="Q78" s="7" t="n">
        <v>264.84</v>
      </c>
      <c r="R78" s="7" t="n">
        <v>300.15</v>
      </c>
      <c r="S78" s="7" t="n">
        <v>353.17</v>
      </c>
      <c r="T78" s="7" t="n">
        <v>441.4</v>
      </c>
      <c r="U78" s="7" t="n">
        <v>52.71</v>
      </c>
      <c r="V78" s="7" t="n">
        <v>76.5</v>
      </c>
      <c r="W78" s="7" t="n">
        <v>87.4</v>
      </c>
      <c r="X78" s="7" t="n">
        <v>94</v>
      </c>
      <c r="Y78" s="7" t="n">
        <v>103.6</v>
      </c>
      <c r="Z78" s="7" t="n">
        <v>113.9</v>
      </c>
      <c r="AA78" s="7" t="n">
        <v>124.16</v>
      </c>
      <c r="AB78" s="7" t="n">
        <v>144.41</v>
      </c>
      <c r="AC78" s="7" t="n">
        <v>161.81</v>
      </c>
      <c r="AD78" s="7" t="n">
        <v>197.37</v>
      </c>
      <c r="AE78" s="7" t="n">
        <v>215.7</v>
      </c>
      <c r="AF78" s="7" t="n">
        <v>143.51</v>
      </c>
      <c r="AG78" s="7" t="n">
        <v>304.65</v>
      </c>
      <c r="AH78" s="12" t="n">
        <f aca="false">(U78+AH$4*(Resumo!$C$7+Resumo!$C$8)+Resumo!$C$10*CEILING(AH$3/100,1)+Resumo!$C$9)*(1+Resumo!$C$11)-(AH$4*(Resumo!$B$6+Resumo!$B$7)+Resumo!$B$9+Resumo!$B$10*CEILING(AH$3/100,1)+(Resumo!$B$12+Resumo!$B$13)*CEILING(AH$3,1))</f>
        <v>54.9227352971963</v>
      </c>
      <c r="AI78" s="12" t="n">
        <f aca="false">(V78+AI$4*(Resumo!$C$7+Resumo!$C$8)+Resumo!$C$10*CEILING(AI$3/100,1)+Resumo!$C$9)*(1+Resumo!$C$11)-(AI$4*(Resumo!$B$6+Resumo!$B$7)+Resumo!$B$9+Resumo!$B$10*CEILING(AI$3/100,1)+(Resumo!$B$12+Resumo!$B$13)*CEILING(AI$3,1))</f>
        <v>74.5570462771717</v>
      </c>
      <c r="AJ78" s="12" t="n">
        <f aca="false">(W78+AJ$4*(Resumo!$C$7+Resumo!$C$8)+Resumo!$C$10*CEILING(AJ$3/100,1)+Resumo!$C$9)*(1+Resumo!$C$11)-(AJ$4*(Resumo!$B$6+Resumo!$B$7)+Resumo!$B$9+Resumo!$B$10*CEILING(AJ$3/100,1)+(Resumo!$B$12+Resumo!$B$13)*CEILING(AJ$3,1))</f>
        <v>81.5039345092958</v>
      </c>
      <c r="AK78" s="12" t="n">
        <f aca="false">(X78+AK$4*(Resumo!$C$7+Resumo!$C$8)+Resumo!$C$10*CEILING(AK$3/100,1)+Resumo!$C$9)*(1+Resumo!$C$11)-(AK$4*(Resumo!$B$6+Resumo!$B$7)+Resumo!$B$9+Resumo!$B$10*CEILING(AK$3/100,1)+(Resumo!$B$12+Resumo!$B$13)*CEILING(AK$3,1))</f>
        <v>84.5552580255814</v>
      </c>
      <c r="AL78" s="12" t="n">
        <f aca="false">(Y78+AL$4*(Resumo!$C$7+Resumo!$C$8)+Resumo!$C$10*CEILING(AL$3/100,1)+Resumo!$C$9)*(1+Resumo!$C$11)-(AL$4*(Resumo!$B$6+Resumo!$B$7)+Resumo!$B$9+Resumo!$B$10*CEILING(AL$3/100,1)+(Resumo!$B$12+Resumo!$B$13)*CEILING(AL$3,1))</f>
        <v>90.7147698817308</v>
      </c>
      <c r="AM78" s="12" t="n">
        <f aca="false">(Z78+AM$4*(Resumo!$C$7+Resumo!$C$8)+Resumo!$C$10*CEILING(AM$3/100,1)+Resumo!$C$9)*(1+Resumo!$C$11)-(AM$4*(Resumo!$B$6+Resumo!$B$7)+Resumo!$B$9+Resumo!$B$10*CEILING(AM$3/100,1)+(Resumo!$B$12+Resumo!$B$13)*CEILING(AM$3,1))</f>
        <v>95.0304196468864</v>
      </c>
      <c r="AN78" s="12" t="n">
        <f aca="false">(AA78+AN$4*(Resumo!$C$7+Resumo!$C$8)+Resumo!$C$10*CEILING(AN$3/100,1)+Resumo!$C$9)*(1+Resumo!$C$11)-(AN$4*(Resumo!$B$6+Resumo!$B$7)+Resumo!$B$9+Resumo!$B$10*CEILING(AN$3/100,1)+(Resumo!$B$12+Resumo!$B$13)*CEILING(AN$3,1))</f>
        <v>102.00959604</v>
      </c>
      <c r="AO78" s="12" t="n">
        <f aca="false">(AB78+AO$4*(Resumo!$C$7+Resumo!$C$8)+Resumo!$C$10*CEILING(AO$3/100,1)+Resumo!$C$9)*(1+Resumo!$C$11)-(AO$4*(Resumo!$B$6+Resumo!$B$7)+Resumo!$B$9+Resumo!$B$10*CEILING(AO$3/100,1)+(Resumo!$B$12+Resumo!$B$13)*CEILING(AO$3,1))</f>
        <v>116.765897119298</v>
      </c>
      <c r="AP78" s="12" t="n">
        <f aca="false">(AC78+AP$4*(Resumo!$C$7+Resumo!$C$8)+Resumo!$C$10*CEILING(AP$3/100,1)+Resumo!$C$9)*(1+Resumo!$C$11)-(AP$4*(Resumo!$B$6+Resumo!$B$7)+Resumo!$B$9+Resumo!$B$10*CEILING(AP$3/100,1)+(Resumo!$B$12+Resumo!$B$13)*CEILING(AP$3,1))</f>
        <v>120.300564037736</v>
      </c>
      <c r="AQ78" s="12" t="n">
        <f aca="false">(AD78+AQ$4*(Resumo!$C$7+Resumo!$C$8)+Resumo!$C$10*CEILING(AQ$3/100,1)+Resumo!$C$9)*(1+Resumo!$C$11)-(AQ$4*(Resumo!$B$6+Resumo!$B$7)+Resumo!$B$9+Resumo!$B$10*CEILING(AQ$3/100,1)+(Resumo!$B$12+Resumo!$B$13)*CEILING(AQ$3,1))</f>
        <v>149.110142593023</v>
      </c>
      <c r="AR78" s="12" t="n">
        <f aca="false">(AE78+AR$4*(Resumo!$C$7+Resumo!$C$8)+Resumo!$C$10*CEILING(AR$3/100,1)+Resumo!$C$9)*(1+Resumo!$C$11)-(AR$4*(Resumo!$B$6+Resumo!$B$7)+Resumo!$B$9+Resumo!$B$10*CEILING(AR$3/100,1)+(Resumo!$B$12+Resumo!$B$13)*CEILING(AR$3,1))</f>
        <v>152.447191466667</v>
      </c>
      <c r="AS78" s="12" t="n">
        <f aca="false">(AF78+AS$4*(Resumo!$C$7+Resumo!$C$8)+Resumo!$C$10*CEILING(AS$3/100,1)+Resumo!$C$9)*(1+Resumo!$C$11)-(AS$4*(Resumo!$B$6+Resumo!$B$7)+Resumo!$B$9+Resumo!$B$10*CEILING(AS$3/100,1)+(Resumo!$B$12+Resumo!$B$13)*CEILING(AS$3,1))</f>
        <v>62.11023</v>
      </c>
      <c r="AT78" s="12" t="n">
        <f aca="false">(AG78+AT$4*(Resumo!$C$7+Resumo!$C$8)+Resumo!$C$10*CEILING(AT$3/100,1)+Resumo!$C$9)*(1+Resumo!$C$11)-(AT$4*(Resumo!$B$6+Resumo!$B$7)+Resumo!$B$9+Resumo!$B$10*CEILING(AT$3/100,1)+(Resumo!$B$12+Resumo!$B$13)*CEILING(AT$3,1))</f>
        <v>219.780987533333</v>
      </c>
      <c r="AU78" s="13" t="n">
        <f aca="false">1-AH78/H78</f>
        <v>0.557217548394097</v>
      </c>
      <c r="AV78" s="13" t="n">
        <f aca="false">1-AI78/I78</f>
        <v>0.460864514591281</v>
      </c>
      <c r="AW78" s="13" t="n">
        <f aca="false">1-AJ78/J78</f>
        <v>0.430201800130762</v>
      </c>
      <c r="AX78" s="13" t="n">
        <f aca="false">1-AK78/K78</f>
        <v>0.445684685816301</v>
      </c>
      <c r="AY78" s="13" t="n">
        <f aca="false">1-AL78/L78</f>
        <v>0.440170514183345</v>
      </c>
      <c r="AZ78" s="13" t="n">
        <f aca="false">1-AM78/M78</f>
        <v>0.446015975009406</v>
      </c>
      <c r="BA78" s="13" t="n">
        <f aca="false">1-AN78/N78</f>
        <v>0.436535594122846</v>
      </c>
      <c r="BB78" s="13" t="n">
        <f aca="false">1-AO78/O78</f>
        <v>0.416287256952118</v>
      </c>
      <c r="BC78" s="13" t="n">
        <f aca="false">1-AP78/P78</f>
        <v>0.492016873415523</v>
      </c>
      <c r="BD78" s="13" t="n">
        <f aca="false">1-AQ78/Q78</f>
        <v>0.436980280195502</v>
      </c>
      <c r="BE78" s="13" t="n">
        <f aca="false">1-AR78/R78</f>
        <v>0.492096646787717</v>
      </c>
      <c r="BF78" s="13" t="n">
        <f aca="false">1-AS78/S78</f>
        <v>0.824135034119546</v>
      </c>
      <c r="BG78" s="13" t="n">
        <f aca="false">1-AT78/T78</f>
        <v>0.502082040024166</v>
      </c>
    </row>
    <row r="79" customFormat="false" ht="15" hidden="false" customHeight="false" outlineLevel="0" collapsed="false">
      <c r="A79" s="4" t="s">
        <v>197</v>
      </c>
      <c r="B79" s="4" t="s">
        <v>157</v>
      </c>
      <c r="C79" s="34" t="n">
        <v>28600000</v>
      </c>
      <c r="D79" s="34" t="n">
        <v>28636999</v>
      </c>
      <c r="E79" s="4" t="s">
        <v>201</v>
      </c>
      <c r="F79" s="4" t="s">
        <v>204</v>
      </c>
      <c r="G79" s="4" t="n">
        <f aca="false">COUNTIFS(Pedidos!$E$2:$E$2224,"&gt;="&amp;C79,Pedidos!$E$2:$E$2224,"&lt;="&amp;D79)</f>
        <v>18</v>
      </c>
      <c r="H79" s="7" t="n">
        <v>106.53</v>
      </c>
      <c r="I79" s="7" t="n">
        <v>120.78</v>
      </c>
      <c r="J79" s="7" t="n">
        <v>125.63</v>
      </c>
      <c r="K79" s="7" t="n">
        <v>135.03</v>
      </c>
      <c r="L79" s="7" t="n">
        <v>144.53</v>
      </c>
      <c r="M79" s="7" t="n">
        <v>166.05</v>
      </c>
      <c r="N79" s="7" t="n">
        <v>166.05</v>
      </c>
      <c r="O79" s="7" t="n">
        <v>197.35</v>
      </c>
      <c r="P79" s="7" t="n">
        <v>236.82</v>
      </c>
      <c r="Q79" s="7" t="n">
        <v>264.84</v>
      </c>
      <c r="R79" s="7" t="n">
        <v>300.15</v>
      </c>
      <c r="S79" s="7" t="n">
        <v>353.12</v>
      </c>
      <c r="T79" s="7" t="n">
        <v>441.4</v>
      </c>
      <c r="U79" s="7" t="n">
        <v>52.71</v>
      </c>
      <c r="V79" s="7" t="n">
        <v>76.5</v>
      </c>
      <c r="W79" s="7" t="n">
        <v>87.4</v>
      </c>
      <c r="X79" s="7" t="n">
        <v>94</v>
      </c>
      <c r="Y79" s="7" t="n">
        <v>103.6</v>
      </c>
      <c r="Z79" s="7" t="n">
        <v>113.9</v>
      </c>
      <c r="AA79" s="7" t="n">
        <v>124.16</v>
      </c>
      <c r="AB79" s="7" t="n">
        <v>144.41</v>
      </c>
      <c r="AC79" s="7" t="n">
        <v>161.81</v>
      </c>
      <c r="AD79" s="7" t="n">
        <v>197.37</v>
      </c>
      <c r="AE79" s="7" t="n">
        <v>215.7</v>
      </c>
      <c r="AF79" s="7" t="n">
        <v>143.51</v>
      </c>
      <c r="AG79" s="7" t="n">
        <v>304.65</v>
      </c>
      <c r="AH79" s="12" t="n">
        <f aca="false">(U79+AH$4*(Resumo!$C$7+Resumo!$C$8)+Resumo!$C$10*CEILING(AH$3/100,1)+Resumo!$C$9)*(1+Resumo!$C$11)-(AH$4*(Resumo!$B$6+Resumo!$B$7)+Resumo!$B$9+Resumo!$B$10*CEILING(AH$3/100,1)+(Resumo!$B$12+Resumo!$B$13)*CEILING(AH$3,1))</f>
        <v>54.9227352971963</v>
      </c>
      <c r="AI79" s="12" t="n">
        <f aca="false">(V79+AI$4*(Resumo!$C$7+Resumo!$C$8)+Resumo!$C$10*CEILING(AI$3/100,1)+Resumo!$C$9)*(1+Resumo!$C$11)-(AI$4*(Resumo!$B$6+Resumo!$B$7)+Resumo!$B$9+Resumo!$B$10*CEILING(AI$3/100,1)+(Resumo!$B$12+Resumo!$B$13)*CEILING(AI$3,1))</f>
        <v>74.5570462771717</v>
      </c>
      <c r="AJ79" s="12" t="n">
        <f aca="false">(W79+AJ$4*(Resumo!$C$7+Resumo!$C$8)+Resumo!$C$10*CEILING(AJ$3/100,1)+Resumo!$C$9)*(1+Resumo!$C$11)-(AJ$4*(Resumo!$B$6+Resumo!$B$7)+Resumo!$B$9+Resumo!$B$10*CEILING(AJ$3/100,1)+(Resumo!$B$12+Resumo!$B$13)*CEILING(AJ$3,1))</f>
        <v>81.5039345092958</v>
      </c>
      <c r="AK79" s="12" t="n">
        <f aca="false">(X79+AK$4*(Resumo!$C$7+Resumo!$C$8)+Resumo!$C$10*CEILING(AK$3/100,1)+Resumo!$C$9)*(1+Resumo!$C$11)-(AK$4*(Resumo!$B$6+Resumo!$B$7)+Resumo!$B$9+Resumo!$B$10*CEILING(AK$3/100,1)+(Resumo!$B$12+Resumo!$B$13)*CEILING(AK$3,1))</f>
        <v>84.5552580255814</v>
      </c>
      <c r="AL79" s="12" t="n">
        <f aca="false">(Y79+AL$4*(Resumo!$C$7+Resumo!$C$8)+Resumo!$C$10*CEILING(AL$3/100,1)+Resumo!$C$9)*(1+Resumo!$C$11)-(AL$4*(Resumo!$B$6+Resumo!$B$7)+Resumo!$B$9+Resumo!$B$10*CEILING(AL$3/100,1)+(Resumo!$B$12+Resumo!$B$13)*CEILING(AL$3,1))</f>
        <v>90.7147698817308</v>
      </c>
      <c r="AM79" s="12" t="n">
        <f aca="false">(Z79+AM$4*(Resumo!$C$7+Resumo!$C$8)+Resumo!$C$10*CEILING(AM$3/100,1)+Resumo!$C$9)*(1+Resumo!$C$11)-(AM$4*(Resumo!$B$6+Resumo!$B$7)+Resumo!$B$9+Resumo!$B$10*CEILING(AM$3/100,1)+(Resumo!$B$12+Resumo!$B$13)*CEILING(AM$3,1))</f>
        <v>95.0304196468864</v>
      </c>
      <c r="AN79" s="12" t="n">
        <f aca="false">(AA79+AN$4*(Resumo!$C$7+Resumo!$C$8)+Resumo!$C$10*CEILING(AN$3/100,1)+Resumo!$C$9)*(1+Resumo!$C$11)-(AN$4*(Resumo!$B$6+Resumo!$B$7)+Resumo!$B$9+Resumo!$B$10*CEILING(AN$3/100,1)+(Resumo!$B$12+Resumo!$B$13)*CEILING(AN$3,1))</f>
        <v>102.00959604</v>
      </c>
      <c r="AO79" s="12" t="n">
        <f aca="false">(AB79+AO$4*(Resumo!$C$7+Resumo!$C$8)+Resumo!$C$10*CEILING(AO$3/100,1)+Resumo!$C$9)*(1+Resumo!$C$11)-(AO$4*(Resumo!$B$6+Resumo!$B$7)+Resumo!$B$9+Resumo!$B$10*CEILING(AO$3/100,1)+(Resumo!$B$12+Resumo!$B$13)*CEILING(AO$3,1))</f>
        <v>116.765897119298</v>
      </c>
      <c r="AP79" s="12" t="n">
        <f aca="false">(AC79+AP$4*(Resumo!$C$7+Resumo!$C$8)+Resumo!$C$10*CEILING(AP$3/100,1)+Resumo!$C$9)*(1+Resumo!$C$11)-(AP$4*(Resumo!$B$6+Resumo!$B$7)+Resumo!$B$9+Resumo!$B$10*CEILING(AP$3/100,1)+(Resumo!$B$12+Resumo!$B$13)*CEILING(AP$3,1))</f>
        <v>120.300564037736</v>
      </c>
      <c r="AQ79" s="12" t="n">
        <f aca="false">(AD79+AQ$4*(Resumo!$C$7+Resumo!$C$8)+Resumo!$C$10*CEILING(AQ$3/100,1)+Resumo!$C$9)*(1+Resumo!$C$11)-(AQ$4*(Resumo!$B$6+Resumo!$B$7)+Resumo!$B$9+Resumo!$B$10*CEILING(AQ$3/100,1)+(Resumo!$B$12+Resumo!$B$13)*CEILING(AQ$3,1))</f>
        <v>149.110142593023</v>
      </c>
      <c r="AR79" s="12" t="n">
        <f aca="false">(AE79+AR$4*(Resumo!$C$7+Resumo!$C$8)+Resumo!$C$10*CEILING(AR$3/100,1)+Resumo!$C$9)*(1+Resumo!$C$11)-(AR$4*(Resumo!$B$6+Resumo!$B$7)+Resumo!$B$9+Resumo!$B$10*CEILING(AR$3/100,1)+(Resumo!$B$12+Resumo!$B$13)*CEILING(AR$3,1))</f>
        <v>152.447191466667</v>
      </c>
      <c r="AS79" s="12" t="n">
        <f aca="false">(AF79+AS$4*(Resumo!$C$7+Resumo!$C$8)+Resumo!$C$10*CEILING(AS$3/100,1)+Resumo!$C$9)*(1+Resumo!$C$11)-(AS$4*(Resumo!$B$6+Resumo!$B$7)+Resumo!$B$9+Resumo!$B$10*CEILING(AS$3/100,1)+(Resumo!$B$12+Resumo!$B$13)*CEILING(AS$3,1))</f>
        <v>62.11023</v>
      </c>
      <c r="AT79" s="12" t="n">
        <f aca="false">(AG79+AT$4*(Resumo!$C$7+Resumo!$C$8)+Resumo!$C$10*CEILING(AT$3/100,1)+Resumo!$C$9)*(1+Resumo!$C$11)-(AT$4*(Resumo!$B$6+Resumo!$B$7)+Resumo!$B$9+Resumo!$B$10*CEILING(AT$3/100,1)+(Resumo!$B$12+Resumo!$B$13)*CEILING(AT$3,1))</f>
        <v>219.780987533333</v>
      </c>
      <c r="AU79" s="13" t="n">
        <f aca="false">1-AH79/H79</f>
        <v>0.484438793793333</v>
      </c>
      <c r="AV79" s="13" t="n">
        <f aca="false">1-AI79/I79</f>
        <v>0.382703706928534</v>
      </c>
      <c r="AW79" s="13" t="n">
        <f aca="false">1-AJ79/J79</f>
        <v>0.351238282979418</v>
      </c>
      <c r="AX79" s="13" t="n">
        <f aca="false">1-AK79/K79</f>
        <v>0.373803910052719</v>
      </c>
      <c r="AY79" s="13" t="n">
        <f aca="false">1-AL79/L79</f>
        <v>0.372346434084752</v>
      </c>
      <c r="AZ79" s="13" t="n">
        <f aca="false">1-AM79/M79</f>
        <v>0.427699972015137</v>
      </c>
      <c r="BA79" s="13" t="n">
        <f aca="false">1-AN79/N79</f>
        <v>0.385669400542005</v>
      </c>
      <c r="BB79" s="13" t="n">
        <f aca="false">1-AO79/O79</f>
        <v>0.408330898812778</v>
      </c>
      <c r="BC79" s="13" t="n">
        <f aca="false">1-AP79/P79</f>
        <v>0.492016873415523</v>
      </c>
      <c r="BD79" s="13" t="n">
        <f aca="false">1-AQ79/Q79</f>
        <v>0.436980280195502</v>
      </c>
      <c r="BE79" s="13" t="n">
        <f aca="false">1-AR79/R79</f>
        <v>0.492096646787717</v>
      </c>
      <c r="BF79" s="13" t="n">
        <f aca="false">1-AS79/S79</f>
        <v>0.82411013253285</v>
      </c>
      <c r="BG79" s="13" t="n">
        <f aca="false">1-AT79/T79</f>
        <v>0.502082040024166</v>
      </c>
    </row>
    <row r="80" customFormat="false" ht="15" hidden="false" customHeight="false" outlineLevel="0" collapsed="false">
      <c r="A80" s="4" t="s">
        <v>197</v>
      </c>
      <c r="B80" s="4" t="s">
        <v>265</v>
      </c>
      <c r="C80" s="34" t="n">
        <v>28637000</v>
      </c>
      <c r="D80" s="34" t="n">
        <v>28639999</v>
      </c>
      <c r="E80" s="4" t="s">
        <v>201</v>
      </c>
      <c r="F80" s="4" t="s">
        <v>204</v>
      </c>
      <c r="G80" s="4" t="n">
        <f aca="false">COUNTIFS(Pedidos!$E$2:$E$2224,"&gt;="&amp;C80,Pedidos!$E$2:$E$2224,"&lt;="&amp;D80)</f>
        <v>3</v>
      </c>
      <c r="H80" s="7" t="n">
        <v>106.53</v>
      </c>
      <c r="I80" s="7" t="n">
        <v>120.78</v>
      </c>
      <c r="J80" s="7" t="n">
        <v>125.63</v>
      </c>
      <c r="K80" s="7" t="n">
        <v>135.03</v>
      </c>
      <c r="L80" s="7" t="n">
        <v>144.53</v>
      </c>
      <c r="M80" s="7" t="n">
        <v>166.05</v>
      </c>
      <c r="N80" s="7" t="n">
        <v>166.05</v>
      </c>
      <c r="O80" s="7" t="n">
        <v>197.35</v>
      </c>
      <c r="P80" s="7" t="n">
        <v>236.82</v>
      </c>
      <c r="Q80" s="7" t="n">
        <v>264.84</v>
      </c>
      <c r="R80" s="7" t="n">
        <v>300.15</v>
      </c>
      <c r="S80" s="7" t="n">
        <v>353.12</v>
      </c>
      <c r="T80" s="7" t="n">
        <v>441.4</v>
      </c>
      <c r="U80" s="7" t="n">
        <v>52.71</v>
      </c>
      <c r="V80" s="7" t="n">
        <v>76.5</v>
      </c>
      <c r="W80" s="7" t="n">
        <v>87.4</v>
      </c>
      <c r="X80" s="7" t="n">
        <v>94</v>
      </c>
      <c r="Y80" s="7" t="n">
        <v>103.6</v>
      </c>
      <c r="Z80" s="7" t="n">
        <v>113.9</v>
      </c>
      <c r="AA80" s="7" t="n">
        <v>124.16</v>
      </c>
      <c r="AB80" s="7" t="n">
        <v>144.41</v>
      </c>
      <c r="AC80" s="7" t="n">
        <v>161.81</v>
      </c>
      <c r="AD80" s="7" t="n">
        <v>197.37</v>
      </c>
      <c r="AE80" s="7" t="n">
        <v>215.7</v>
      </c>
      <c r="AF80" s="7" t="n">
        <v>143.51</v>
      </c>
      <c r="AG80" s="7" t="n">
        <v>304.65</v>
      </c>
      <c r="AH80" s="12" t="n">
        <f aca="false">(U80+AH$4*(Resumo!$C$7+Resumo!$C$8)+Resumo!$C$10*CEILING(AH$3/100,1)+Resumo!$C$9)*(1+Resumo!$C$11)-(AH$4*(Resumo!$B$6+Resumo!$B$7)+Resumo!$B$9+Resumo!$B$10*CEILING(AH$3/100,1)+(Resumo!$B$12+Resumo!$B$13)*CEILING(AH$3,1))</f>
        <v>54.9227352971963</v>
      </c>
      <c r="AI80" s="12" t="n">
        <f aca="false">(V80+AI$4*(Resumo!$C$7+Resumo!$C$8)+Resumo!$C$10*CEILING(AI$3/100,1)+Resumo!$C$9)*(1+Resumo!$C$11)-(AI$4*(Resumo!$B$6+Resumo!$B$7)+Resumo!$B$9+Resumo!$B$10*CEILING(AI$3/100,1)+(Resumo!$B$12+Resumo!$B$13)*CEILING(AI$3,1))</f>
        <v>74.5570462771717</v>
      </c>
      <c r="AJ80" s="12" t="n">
        <f aca="false">(W80+AJ$4*(Resumo!$C$7+Resumo!$C$8)+Resumo!$C$10*CEILING(AJ$3/100,1)+Resumo!$C$9)*(1+Resumo!$C$11)-(AJ$4*(Resumo!$B$6+Resumo!$B$7)+Resumo!$B$9+Resumo!$B$10*CEILING(AJ$3/100,1)+(Resumo!$B$12+Resumo!$B$13)*CEILING(AJ$3,1))</f>
        <v>81.5039345092958</v>
      </c>
      <c r="AK80" s="12" t="n">
        <f aca="false">(X80+AK$4*(Resumo!$C$7+Resumo!$C$8)+Resumo!$C$10*CEILING(AK$3/100,1)+Resumo!$C$9)*(1+Resumo!$C$11)-(AK$4*(Resumo!$B$6+Resumo!$B$7)+Resumo!$B$9+Resumo!$B$10*CEILING(AK$3/100,1)+(Resumo!$B$12+Resumo!$B$13)*CEILING(AK$3,1))</f>
        <v>84.5552580255814</v>
      </c>
      <c r="AL80" s="12" t="n">
        <f aca="false">(Y80+AL$4*(Resumo!$C$7+Resumo!$C$8)+Resumo!$C$10*CEILING(AL$3/100,1)+Resumo!$C$9)*(1+Resumo!$C$11)-(AL$4*(Resumo!$B$6+Resumo!$B$7)+Resumo!$B$9+Resumo!$B$10*CEILING(AL$3/100,1)+(Resumo!$B$12+Resumo!$B$13)*CEILING(AL$3,1))</f>
        <v>90.7147698817308</v>
      </c>
      <c r="AM80" s="12" t="n">
        <f aca="false">(Z80+AM$4*(Resumo!$C$7+Resumo!$C$8)+Resumo!$C$10*CEILING(AM$3/100,1)+Resumo!$C$9)*(1+Resumo!$C$11)-(AM$4*(Resumo!$B$6+Resumo!$B$7)+Resumo!$B$9+Resumo!$B$10*CEILING(AM$3/100,1)+(Resumo!$B$12+Resumo!$B$13)*CEILING(AM$3,1))</f>
        <v>95.0304196468864</v>
      </c>
      <c r="AN80" s="12" t="n">
        <f aca="false">(AA80+AN$4*(Resumo!$C$7+Resumo!$C$8)+Resumo!$C$10*CEILING(AN$3/100,1)+Resumo!$C$9)*(1+Resumo!$C$11)-(AN$4*(Resumo!$B$6+Resumo!$B$7)+Resumo!$B$9+Resumo!$B$10*CEILING(AN$3/100,1)+(Resumo!$B$12+Resumo!$B$13)*CEILING(AN$3,1))</f>
        <v>102.00959604</v>
      </c>
      <c r="AO80" s="12" t="n">
        <f aca="false">(AB80+AO$4*(Resumo!$C$7+Resumo!$C$8)+Resumo!$C$10*CEILING(AO$3/100,1)+Resumo!$C$9)*(1+Resumo!$C$11)-(AO$4*(Resumo!$B$6+Resumo!$B$7)+Resumo!$B$9+Resumo!$B$10*CEILING(AO$3/100,1)+(Resumo!$B$12+Resumo!$B$13)*CEILING(AO$3,1))</f>
        <v>116.765897119298</v>
      </c>
      <c r="AP80" s="12" t="n">
        <f aca="false">(AC80+AP$4*(Resumo!$C$7+Resumo!$C$8)+Resumo!$C$10*CEILING(AP$3/100,1)+Resumo!$C$9)*(1+Resumo!$C$11)-(AP$4*(Resumo!$B$6+Resumo!$B$7)+Resumo!$B$9+Resumo!$B$10*CEILING(AP$3/100,1)+(Resumo!$B$12+Resumo!$B$13)*CEILING(AP$3,1))</f>
        <v>120.300564037736</v>
      </c>
      <c r="AQ80" s="12" t="n">
        <f aca="false">(AD80+AQ$4*(Resumo!$C$7+Resumo!$C$8)+Resumo!$C$10*CEILING(AQ$3/100,1)+Resumo!$C$9)*(1+Resumo!$C$11)-(AQ$4*(Resumo!$B$6+Resumo!$B$7)+Resumo!$B$9+Resumo!$B$10*CEILING(AQ$3/100,1)+(Resumo!$B$12+Resumo!$B$13)*CEILING(AQ$3,1))</f>
        <v>149.110142593023</v>
      </c>
      <c r="AR80" s="12" t="n">
        <f aca="false">(AE80+AR$4*(Resumo!$C$7+Resumo!$C$8)+Resumo!$C$10*CEILING(AR$3/100,1)+Resumo!$C$9)*(1+Resumo!$C$11)-(AR$4*(Resumo!$B$6+Resumo!$B$7)+Resumo!$B$9+Resumo!$B$10*CEILING(AR$3/100,1)+(Resumo!$B$12+Resumo!$B$13)*CEILING(AR$3,1))</f>
        <v>152.447191466667</v>
      </c>
      <c r="AS80" s="12" t="n">
        <f aca="false">(AF80+AS$4*(Resumo!$C$7+Resumo!$C$8)+Resumo!$C$10*CEILING(AS$3/100,1)+Resumo!$C$9)*(1+Resumo!$C$11)-(AS$4*(Resumo!$B$6+Resumo!$B$7)+Resumo!$B$9+Resumo!$B$10*CEILING(AS$3/100,1)+(Resumo!$B$12+Resumo!$B$13)*CEILING(AS$3,1))</f>
        <v>62.11023</v>
      </c>
      <c r="AT80" s="12" t="n">
        <f aca="false">(AG80+AT$4*(Resumo!$C$7+Resumo!$C$8)+Resumo!$C$10*CEILING(AT$3/100,1)+Resumo!$C$9)*(1+Resumo!$C$11)-(AT$4*(Resumo!$B$6+Resumo!$B$7)+Resumo!$B$9+Resumo!$B$10*CEILING(AT$3/100,1)+(Resumo!$B$12+Resumo!$B$13)*CEILING(AT$3,1))</f>
        <v>219.780987533333</v>
      </c>
      <c r="AU80" s="13" t="n">
        <f aca="false">1-AH80/H80</f>
        <v>0.484438793793333</v>
      </c>
      <c r="AV80" s="13" t="n">
        <f aca="false">1-AI80/I80</f>
        <v>0.382703706928534</v>
      </c>
      <c r="AW80" s="13" t="n">
        <f aca="false">1-AJ80/J80</f>
        <v>0.351238282979418</v>
      </c>
      <c r="AX80" s="13" t="n">
        <f aca="false">1-AK80/K80</f>
        <v>0.373803910052719</v>
      </c>
      <c r="AY80" s="13" t="n">
        <f aca="false">1-AL80/L80</f>
        <v>0.372346434084752</v>
      </c>
      <c r="AZ80" s="13" t="n">
        <f aca="false">1-AM80/M80</f>
        <v>0.427699972015137</v>
      </c>
      <c r="BA80" s="13" t="n">
        <f aca="false">1-AN80/N80</f>
        <v>0.385669400542005</v>
      </c>
      <c r="BB80" s="13" t="n">
        <f aca="false">1-AO80/O80</f>
        <v>0.408330898812778</v>
      </c>
      <c r="BC80" s="13" t="n">
        <f aca="false">1-AP80/P80</f>
        <v>0.492016873415523</v>
      </c>
      <c r="BD80" s="13" t="n">
        <f aca="false">1-AQ80/Q80</f>
        <v>0.436980280195502</v>
      </c>
      <c r="BE80" s="13" t="n">
        <f aca="false">1-AR80/R80</f>
        <v>0.492096646787717</v>
      </c>
      <c r="BF80" s="13" t="n">
        <f aca="false">1-AS80/S80</f>
        <v>0.82411013253285</v>
      </c>
      <c r="BG80" s="13" t="n">
        <f aca="false">1-AT80/T80</f>
        <v>0.502082040024166</v>
      </c>
    </row>
    <row r="81" customFormat="false" ht="15" hidden="false" customHeight="false" outlineLevel="0" collapsed="false">
      <c r="A81" s="4" t="s">
        <v>197</v>
      </c>
      <c r="B81" s="4" t="s">
        <v>266</v>
      </c>
      <c r="C81" s="34" t="n">
        <v>28640000</v>
      </c>
      <c r="D81" s="34" t="n">
        <v>28649999</v>
      </c>
      <c r="E81" s="4" t="s">
        <v>201</v>
      </c>
      <c r="F81" s="4" t="s">
        <v>204</v>
      </c>
      <c r="G81" s="4" t="n">
        <f aca="false">COUNTIFS(Pedidos!$E$2:$E$2224,"&gt;="&amp;C81,Pedidos!$E$2:$E$2224,"&lt;="&amp;D81)</f>
        <v>0</v>
      </c>
      <c r="H81" s="7" t="n">
        <v>106.53</v>
      </c>
      <c r="I81" s="7" t="n">
        <v>120.78</v>
      </c>
      <c r="J81" s="7" t="n">
        <v>125.63</v>
      </c>
      <c r="K81" s="7" t="n">
        <v>135.03</v>
      </c>
      <c r="L81" s="7" t="n">
        <v>144.53</v>
      </c>
      <c r="M81" s="7" t="n">
        <v>166.05</v>
      </c>
      <c r="N81" s="7" t="n">
        <v>166.05</v>
      </c>
      <c r="O81" s="7" t="n">
        <v>197.35</v>
      </c>
      <c r="P81" s="7" t="n">
        <v>236.82</v>
      </c>
      <c r="Q81" s="7" t="n">
        <v>264.84</v>
      </c>
      <c r="R81" s="7" t="n">
        <v>300.15</v>
      </c>
      <c r="S81" s="7" t="n">
        <v>353.12</v>
      </c>
      <c r="T81" s="7" t="n">
        <v>441.4</v>
      </c>
      <c r="U81" s="7" t="n">
        <v>52.71</v>
      </c>
      <c r="V81" s="7" t="n">
        <v>76.5</v>
      </c>
      <c r="W81" s="7" t="n">
        <v>87.4</v>
      </c>
      <c r="X81" s="7" t="n">
        <v>94</v>
      </c>
      <c r="Y81" s="7" t="n">
        <v>103.6</v>
      </c>
      <c r="Z81" s="7" t="n">
        <v>113.9</v>
      </c>
      <c r="AA81" s="7" t="n">
        <v>124.16</v>
      </c>
      <c r="AB81" s="7" t="n">
        <v>144.41</v>
      </c>
      <c r="AC81" s="7" t="n">
        <v>161.81</v>
      </c>
      <c r="AD81" s="7" t="n">
        <v>197.37</v>
      </c>
      <c r="AE81" s="7" t="n">
        <v>215.7</v>
      </c>
      <c r="AF81" s="7" t="n">
        <v>143.51</v>
      </c>
      <c r="AG81" s="7" t="n">
        <v>304.65</v>
      </c>
      <c r="AH81" s="12" t="n">
        <f aca="false">(U81+AH$4*(Resumo!$C$7+Resumo!$C$8)+Resumo!$C$10*CEILING(AH$3/100,1)+Resumo!$C$9)*(1+Resumo!$C$11)-(AH$4*(Resumo!$B$6+Resumo!$B$7)+Resumo!$B$9+Resumo!$B$10*CEILING(AH$3/100,1)+(Resumo!$B$12+Resumo!$B$13)*CEILING(AH$3,1))</f>
        <v>54.9227352971963</v>
      </c>
      <c r="AI81" s="12" t="n">
        <f aca="false">(V81+AI$4*(Resumo!$C$7+Resumo!$C$8)+Resumo!$C$10*CEILING(AI$3/100,1)+Resumo!$C$9)*(1+Resumo!$C$11)-(AI$4*(Resumo!$B$6+Resumo!$B$7)+Resumo!$B$9+Resumo!$B$10*CEILING(AI$3/100,1)+(Resumo!$B$12+Resumo!$B$13)*CEILING(AI$3,1))</f>
        <v>74.5570462771717</v>
      </c>
      <c r="AJ81" s="12" t="n">
        <f aca="false">(W81+AJ$4*(Resumo!$C$7+Resumo!$C$8)+Resumo!$C$10*CEILING(AJ$3/100,1)+Resumo!$C$9)*(1+Resumo!$C$11)-(AJ$4*(Resumo!$B$6+Resumo!$B$7)+Resumo!$B$9+Resumo!$B$10*CEILING(AJ$3/100,1)+(Resumo!$B$12+Resumo!$B$13)*CEILING(AJ$3,1))</f>
        <v>81.5039345092958</v>
      </c>
      <c r="AK81" s="12" t="n">
        <f aca="false">(X81+AK$4*(Resumo!$C$7+Resumo!$C$8)+Resumo!$C$10*CEILING(AK$3/100,1)+Resumo!$C$9)*(1+Resumo!$C$11)-(AK$4*(Resumo!$B$6+Resumo!$B$7)+Resumo!$B$9+Resumo!$B$10*CEILING(AK$3/100,1)+(Resumo!$B$12+Resumo!$B$13)*CEILING(AK$3,1))</f>
        <v>84.5552580255814</v>
      </c>
      <c r="AL81" s="12" t="n">
        <f aca="false">(Y81+AL$4*(Resumo!$C$7+Resumo!$C$8)+Resumo!$C$10*CEILING(AL$3/100,1)+Resumo!$C$9)*(1+Resumo!$C$11)-(AL$4*(Resumo!$B$6+Resumo!$B$7)+Resumo!$B$9+Resumo!$B$10*CEILING(AL$3/100,1)+(Resumo!$B$12+Resumo!$B$13)*CEILING(AL$3,1))</f>
        <v>90.7147698817308</v>
      </c>
      <c r="AM81" s="12" t="n">
        <f aca="false">(Z81+AM$4*(Resumo!$C$7+Resumo!$C$8)+Resumo!$C$10*CEILING(AM$3/100,1)+Resumo!$C$9)*(1+Resumo!$C$11)-(AM$4*(Resumo!$B$6+Resumo!$B$7)+Resumo!$B$9+Resumo!$B$10*CEILING(AM$3/100,1)+(Resumo!$B$12+Resumo!$B$13)*CEILING(AM$3,1))</f>
        <v>95.0304196468864</v>
      </c>
      <c r="AN81" s="12" t="n">
        <f aca="false">(AA81+AN$4*(Resumo!$C$7+Resumo!$C$8)+Resumo!$C$10*CEILING(AN$3/100,1)+Resumo!$C$9)*(1+Resumo!$C$11)-(AN$4*(Resumo!$B$6+Resumo!$B$7)+Resumo!$B$9+Resumo!$B$10*CEILING(AN$3/100,1)+(Resumo!$B$12+Resumo!$B$13)*CEILING(AN$3,1))</f>
        <v>102.00959604</v>
      </c>
      <c r="AO81" s="12" t="n">
        <f aca="false">(AB81+AO$4*(Resumo!$C$7+Resumo!$C$8)+Resumo!$C$10*CEILING(AO$3/100,1)+Resumo!$C$9)*(1+Resumo!$C$11)-(AO$4*(Resumo!$B$6+Resumo!$B$7)+Resumo!$B$9+Resumo!$B$10*CEILING(AO$3/100,1)+(Resumo!$B$12+Resumo!$B$13)*CEILING(AO$3,1))</f>
        <v>116.765897119298</v>
      </c>
      <c r="AP81" s="12" t="n">
        <f aca="false">(AC81+AP$4*(Resumo!$C$7+Resumo!$C$8)+Resumo!$C$10*CEILING(AP$3/100,1)+Resumo!$C$9)*(1+Resumo!$C$11)-(AP$4*(Resumo!$B$6+Resumo!$B$7)+Resumo!$B$9+Resumo!$B$10*CEILING(AP$3/100,1)+(Resumo!$B$12+Resumo!$B$13)*CEILING(AP$3,1))</f>
        <v>120.300564037736</v>
      </c>
      <c r="AQ81" s="12" t="n">
        <f aca="false">(AD81+AQ$4*(Resumo!$C$7+Resumo!$C$8)+Resumo!$C$10*CEILING(AQ$3/100,1)+Resumo!$C$9)*(1+Resumo!$C$11)-(AQ$4*(Resumo!$B$6+Resumo!$B$7)+Resumo!$B$9+Resumo!$B$10*CEILING(AQ$3/100,1)+(Resumo!$B$12+Resumo!$B$13)*CEILING(AQ$3,1))</f>
        <v>149.110142593023</v>
      </c>
      <c r="AR81" s="12" t="n">
        <f aca="false">(AE81+AR$4*(Resumo!$C$7+Resumo!$C$8)+Resumo!$C$10*CEILING(AR$3/100,1)+Resumo!$C$9)*(1+Resumo!$C$11)-(AR$4*(Resumo!$B$6+Resumo!$B$7)+Resumo!$B$9+Resumo!$B$10*CEILING(AR$3/100,1)+(Resumo!$B$12+Resumo!$B$13)*CEILING(AR$3,1))</f>
        <v>152.447191466667</v>
      </c>
      <c r="AS81" s="12" t="n">
        <f aca="false">(AF81+AS$4*(Resumo!$C$7+Resumo!$C$8)+Resumo!$C$10*CEILING(AS$3/100,1)+Resumo!$C$9)*(1+Resumo!$C$11)-(AS$4*(Resumo!$B$6+Resumo!$B$7)+Resumo!$B$9+Resumo!$B$10*CEILING(AS$3/100,1)+(Resumo!$B$12+Resumo!$B$13)*CEILING(AS$3,1))</f>
        <v>62.11023</v>
      </c>
      <c r="AT81" s="12" t="n">
        <f aca="false">(AG81+AT$4*(Resumo!$C$7+Resumo!$C$8)+Resumo!$C$10*CEILING(AT$3/100,1)+Resumo!$C$9)*(1+Resumo!$C$11)-(AT$4*(Resumo!$B$6+Resumo!$B$7)+Resumo!$B$9+Resumo!$B$10*CEILING(AT$3/100,1)+(Resumo!$B$12+Resumo!$B$13)*CEILING(AT$3,1))</f>
        <v>219.780987533333</v>
      </c>
      <c r="AU81" s="13" t="n">
        <f aca="false">1-AH81/H81</f>
        <v>0.484438793793333</v>
      </c>
      <c r="AV81" s="13" t="n">
        <f aca="false">1-AI81/I81</f>
        <v>0.382703706928534</v>
      </c>
      <c r="AW81" s="13" t="n">
        <f aca="false">1-AJ81/J81</f>
        <v>0.351238282979418</v>
      </c>
      <c r="AX81" s="13" t="n">
        <f aca="false">1-AK81/K81</f>
        <v>0.373803910052719</v>
      </c>
      <c r="AY81" s="13" t="n">
        <f aca="false">1-AL81/L81</f>
        <v>0.372346434084752</v>
      </c>
      <c r="AZ81" s="13" t="n">
        <f aca="false">1-AM81/M81</f>
        <v>0.427699972015137</v>
      </c>
      <c r="BA81" s="13" t="n">
        <f aca="false">1-AN81/N81</f>
        <v>0.385669400542005</v>
      </c>
      <c r="BB81" s="13" t="n">
        <f aca="false">1-AO81/O81</f>
        <v>0.408330898812778</v>
      </c>
      <c r="BC81" s="13" t="n">
        <f aca="false">1-AP81/P81</f>
        <v>0.492016873415523</v>
      </c>
      <c r="BD81" s="13" t="n">
        <f aca="false">1-AQ81/Q81</f>
        <v>0.436980280195502</v>
      </c>
      <c r="BE81" s="13" t="n">
        <f aca="false">1-AR81/R81</f>
        <v>0.492096646787717</v>
      </c>
      <c r="BF81" s="13" t="n">
        <f aca="false">1-AS81/S81</f>
        <v>0.82411013253285</v>
      </c>
      <c r="BG81" s="13" t="n">
        <f aca="false">1-AT81/T81</f>
        <v>0.502082040024166</v>
      </c>
    </row>
    <row r="82" customFormat="false" ht="15" hidden="false" customHeight="false" outlineLevel="0" collapsed="false">
      <c r="A82" s="4" t="s">
        <v>197</v>
      </c>
      <c r="B82" s="4" t="s">
        <v>267</v>
      </c>
      <c r="C82" s="34" t="n">
        <v>28650000</v>
      </c>
      <c r="D82" s="34" t="n">
        <v>28659999</v>
      </c>
      <c r="E82" s="4" t="s">
        <v>201</v>
      </c>
      <c r="F82" s="4" t="s">
        <v>204</v>
      </c>
      <c r="G82" s="4" t="n">
        <f aca="false">COUNTIFS(Pedidos!$E$2:$E$2224,"&gt;="&amp;C82,Pedidos!$E$2:$E$2224,"&lt;="&amp;D82)</f>
        <v>2</v>
      </c>
      <c r="H82" s="7" t="n">
        <v>106.53</v>
      </c>
      <c r="I82" s="7" t="n">
        <v>120.78</v>
      </c>
      <c r="J82" s="7" t="n">
        <v>125.63</v>
      </c>
      <c r="K82" s="7" t="n">
        <v>135.03</v>
      </c>
      <c r="L82" s="7" t="n">
        <v>144.53</v>
      </c>
      <c r="M82" s="7" t="n">
        <v>166.05</v>
      </c>
      <c r="N82" s="7" t="n">
        <v>166.05</v>
      </c>
      <c r="O82" s="7" t="n">
        <v>197.35</v>
      </c>
      <c r="P82" s="7" t="n">
        <v>236.82</v>
      </c>
      <c r="Q82" s="7" t="n">
        <v>264.84</v>
      </c>
      <c r="R82" s="7" t="n">
        <v>300.15</v>
      </c>
      <c r="S82" s="7" t="n">
        <v>353.12</v>
      </c>
      <c r="T82" s="7" t="n">
        <v>441.4</v>
      </c>
      <c r="U82" s="7" t="n">
        <v>52.71</v>
      </c>
      <c r="V82" s="7" t="n">
        <v>76.5</v>
      </c>
      <c r="W82" s="7" t="n">
        <v>87.4</v>
      </c>
      <c r="X82" s="7" t="n">
        <v>94</v>
      </c>
      <c r="Y82" s="7" t="n">
        <v>103.6</v>
      </c>
      <c r="Z82" s="7" t="n">
        <v>113.9</v>
      </c>
      <c r="AA82" s="7" t="n">
        <v>124.16</v>
      </c>
      <c r="AB82" s="7" t="n">
        <v>144.41</v>
      </c>
      <c r="AC82" s="7" t="n">
        <v>161.81</v>
      </c>
      <c r="AD82" s="7" t="n">
        <v>197.37</v>
      </c>
      <c r="AE82" s="7" t="n">
        <v>215.7</v>
      </c>
      <c r="AF82" s="7" t="n">
        <v>143.51</v>
      </c>
      <c r="AG82" s="7" t="n">
        <v>304.65</v>
      </c>
      <c r="AH82" s="12" t="n">
        <f aca="false">(U82+AH$4*(Resumo!$C$7+Resumo!$C$8)+Resumo!$C$10*CEILING(AH$3/100,1)+Resumo!$C$9)*(1+Resumo!$C$11)-(AH$4*(Resumo!$B$6+Resumo!$B$7)+Resumo!$B$9+Resumo!$B$10*CEILING(AH$3/100,1)+(Resumo!$B$12+Resumo!$B$13)*CEILING(AH$3,1))</f>
        <v>54.9227352971963</v>
      </c>
      <c r="AI82" s="12" t="n">
        <f aca="false">(V82+AI$4*(Resumo!$C$7+Resumo!$C$8)+Resumo!$C$10*CEILING(AI$3/100,1)+Resumo!$C$9)*(1+Resumo!$C$11)-(AI$4*(Resumo!$B$6+Resumo!$B$7)+Resumo!$B$9+Resumo!$B$10*CEILING(AI$3/100,1)+(Resumo!$B$12+Resumo!$B$13)*CEILING(AI$3,1))</f>
        <v>74.5570462771717</v>
      </c>
      <c r="AJ82" s="12" t="n">
        <f aca="false">(W82+AJ$4*(Resumo!$C$7+Resumo!$C$8)+Resumo!$C$10*CEILING(AJ$3/100,1)+Resumo!$C$9)*(1+Resumo!$C$11)-(AJ$4*(Resumo!$B$6+Resumo!$B$7)+Resumo!$B$9+Resumo!$B$10*CEILING(AJ$3/100,1)+(Resumo!$B$12+Resumo!$B$13)*CEILING(AJ$3,1))</f>
        <v>81.5039345092958</v>
      </c>
      <c r="AK82" s="12" t="n">
        <f aca="false">(X82+AK$4*(Resumo!$C$7+Resumo!$C$8)+Resumo!$C$10*CEILING(AK$3/100,1)+Resumo!$C$9)*(1+Resumo!$C$11)-(AK$4*(Resumo!$B$6+Resumo!$B$7)+Resumo!$B$9+Resumo!$B$10*CEILING(AK$3/100,1)+(Resumo!$B$12+Resumo!$B$13)*CEILING(AK$3,1))</f>
        <v>84.5552580255814</v>
      </c>
      <c r="AL82" s="12" t="n">
        <f aca="false">(Y82+AL$4*(Resumo!$C$7+Resumo!$C$8)+Resumo!$C$10*CEILING(AL$3/100,1)+Resumo!$C$9)*(1+Resumo!$C$11)-(AL$4*(Resumo!$B$6+Resumo!$B$7)+Resumo!$B$9+Resumo!$B$10*CEILING(AL$3/100,1)+(Resumo!$B$12+Resumo!$B$13)*CEILING(AL$3,1))</f>
        <v>90.7147698817308</v>
      </c>
      <c r="AM82" s="12" t="n">
        <f aca="false">(Z82+AM$4*(Resumo!$C$7+Resumo!$C$8)+Resumo!$C$10*CEILING(AM$3/100,1)+Resumo!$C$9)*(1+Resumo!$C$11)-(AM$4*(Resumo!$B$6+Resumo!$B$7)+Resumo!$B$9+Resumo!$B$10*CEILING(AM$3/100,1)+(Resumo!$B$12+Resumo!$B$13)*CEILING(AM$3,1))</f>
        <v>95.0304196468864</v>
      </c>
      <c r="AN82" s="12" t="n">
        <f aca="false">(AA82+AN$4*(Resumo!$C$7+Resumo!$C$8)+Resumo!$C$10*CEILING(AN$3/100,1)+Resumo!$C$9)*(1+Resumo!$C$11)-(AN$4*(Resumo!$B$6+Resumo!$B$7)+Resumo!$B$9+Resumo!$B$10*CEILING(AN$3/100,1)+(Resumo!$B$12+Resumo!$B$13)*CEILING(AN$3,1))</f>
        <v>102.00959604</v>
      </c>
      <c r="AO82" s="12" t="n">
        <f aca="false">(AB82+AO$4*(Resumo!$C$7+Resumo!$C$8)+Resumo!$C$10*CEILING(AO$3/100,1)+Resumo!$C$9)*(1+Resumo!$C$11)-(AO$4*(Resumo!$B$6+Resumo!$B$7)+Resumo!$B$9+Resumo!$B$10*CEILING(AO$3/100,1)+(Resumo!$B$12+Resumo!$B$13)*CEILING(AO$3,1))</f>
        <v>116.765897119298</v>
      </c>
      <c r="AP82" s="12" t="n">
        <f aca="false">(AC82+AP$4*(Resumo!$C$7+Resumo!$C$8)+Resumo!$C$10*CEILING(AP$3/100,1)+Resumo!$C$9)*(1+Resumo!$C$11)-(AP$4*(Resumo!$B$6+Resumo!$B$7)+Resumo!$B$9+Resumo!$B$10*CEILING(AP$3/100,1)+(Resumo!$B$12+Resumo!$B$13)*CEILING(AP$3,1))</f>
        <v>120.300564037736</v>
      </c>
      <c r="AQ82" s="12" t="n">
        <f aca="false">(AD82+AQ$4*(Resumo!$C$7+Resumo!$C$8)+Resumo!$C$10*CEILING(AQ$3/100,1)+Resumo!$C$9)*(1+Resumo!$C$11)-(AQ$4*(Resumo!$B$6+Resumo!$B$7)+Resumo!$B$9+Resumo!$B$10*CEILING(AQ$3/100,1)+(Resumo!$B$12+Resumo!$B$13)*CEILING(AQ$3,1))</f>
        <v>149.110142593023</v>
      </c>
      <c r="AR82" s="12" t="n">
        <f aca="false">(AE82+AR$4*(Resumo!$C$7+Resumo!$C$8)+Resumo!$C$10*CEILING(AR$3/100,1)+Resumo!$C$9)*(1+Resumo!$C$11)-(AR$4*(Resumo!$B$6+Resumo!$B$7)+Resumo!$B$9+Resumo!$B$10*CEILING(AR$3/100,1)+(Resumo!$B$12+Resumo!$B$13)*CEILING(AR$3,1))</f>
        <v>152.447191466667</v>
      </c>
      <c r="AS82" s="12" t="n">
        <f aca="false">(AF82+AS$4*(Resumo!$C$7+Resumo!$C$8)+Resumo!$C$10*CEILING(AS$3/100,1)+Resumo!$C$9)*(1+Resumo!$C$11)-(AS$4*(Resumo!$B$6+Resumo!$B$7)+Resumo!$B$9+Resumo!$B$10*CEILING(AS$3/100,1)+(Resumo!$B$12+Resumo!$B$13)*CEILING(AS$3,1))</f>
        <v>62.11023</v>
      </c>
      <c r="AT82" s="12" t="n">
        <f aca="false">(AG82+AT$4*(Resumo!$C$7+Resumo!$C$8)+Resumo!$C$10*CEILING(AT$3/100,1)+Resumo!$C$9)*(1+Resumo!$C$11)-(AT$4*(Resumo!$B$6+Resumo!$B$7)+Resumo!$B$9+Resumo!$B$10*CEILING(AT$3/100,1)+(Resumo!$B$12+Resumo!$B$13)*CEILING(AT$3,1))</f>
        <v>219.780987533333</v>
      </c>
      <c r="AU82" s="13" t="n">
        <f aca="false">1-AH82/H82</f>
        <v>0.484438793793333</v>
      </c>
      <c r="AV82" s="13" t="n">
        <f aca="false">1-AI82/I82</f>
        <v>0.382703706928534</v>
      </c>
      <c r="AW82" s="13" t="n">
        <f aca="false">1-AJ82/J82</f>
        <v>0.351238282979418</v>
      </c>
      <c r="AX82" s="13" t="n">
        <f aca="false">1-AK82/K82</f>
        <v>0.373803910052719</v>
      </c>
      <c r="AY82" s="13" t="n">
        <f aca="false">1-AL82/L82</f>
        <v>0.372346434084752</v>
      </c>
      <c r="AZ82" s="13" t="n">
        <f aca="false">1-AM82/M82</f>
        <v>0.427699972015137</v>
      </c>
      <c r="BA82" s="13" t="n">
        <f aca="false">1-AN82/N82</f>
        <v>0.385669400542005</v>
      </c>
      <c r="BB82" s="13" t="n">
        <f aca="false">1-AO82/O82</f>
        <v>0.408330898812778</v>
      </c>
      <c r="BC82" s="13" t="n">
        <f aca="false">1-AP82/P82</f>
        <v>0.492016873415523</v>
      </c>
      <c r="BD82" s="13" t="n">
        <f aca="false">1-AQ82/Q82</f>
        <v>0.436980280195502</v>
      </c>
      <c r="BE82" s="13" t="n">
        <f aca="false">1-AR82/R82</f>
        <v>0.492096646787717</v>
      </c>
      <c r="BF82" s="13" t="n">
        <f aca="false">1-AS82/S82</f>
        <v>0.82411013253285</v>
      </c>
      <c r="BG82" s="13" t="n">
        <f aca="false">1-AT82/T82</f>
        <v>0.502082040024166</v>
      </c>
    </row>
    <row r="83" customFormat="false" ht="15" hidden="false" customHeight="false" outlineLevel="0" collapsed="false">
      <c r="A83" s="4" t="s">
        <v>197</v>
      </c>
      <c r="B83" s="4" t="s">
        <v>268</v>
      </c>
      <c r="C83" s="34" t="n">
        <v>28660000</v>
      </c>
      <c r="D83" s="34" t="n">
        <v>28679999</v>
      </c>
      <c r="E83" s="4" t="s">
        <v>201</v>
      </c>
      <c r="F83" s="4" t="s">
        <v>204</v>
      </c>
      <c r="G83" s="4" t="n">
        <f aca="false">COUNTIFS(Pedidos!$E$2:$E$2224,"&gt;="&amp;C83,Pedidos!$E$2:$E$2224,"&lt;="&amp;D83)</f>
        <v>4</v>
      </c>
      <c r="H83" s="7" t="n">
        <v>106.53</v>
      </c>
      <c r="I83" s="7" t="n">
        <v>120.78</v>
      </c>
      <c r="J83" s="7" t="n">
        <v>125.63</v>
      </c>
      <c r="K83" s="7" t="n">
        <v>135.03</v>
      </c>
      <c r="L83" s="7" t="n">
        <v>144.53</v>
      </c>
      <c r="M83" s="7" t="n">
        <v>166.05</v>
      </c>
      <c r="N83" s="7" t="n">
        <v>166.05</v>
      </c>
      <c r="O83" s="7" t="n">
        <v>197.35</v>
      </c>
      <c r="P83" s="7" t="n">
        <v>236.82</v>
      </c>
      <c r="Q83" s="7" t="n">
        <v>264.84</v>
      </c>
      <c r="R83" s="7" t="n">
        <v>300.15</v>
      </c>
      <c r="S83" s="7" t="n">
        <v>353.12</v>
      </c>
      <c r="T83" s="7" t="n">
        <v>441.4</v>
      </c>
      <c r="U83" s="7" t="n">
        <v>52.71</v>
      </c>
      <c r="V83" s="7" t="n">
        <v>76.5</v>
      </c>
      <c r="W83" s="7" t="n">
        <v>87.4</v>
      </c>
      <c r="X83" s="7" t="n">
        <v>94</v>
      </c>
      <c r="Y83" s="7" t="n">
        <v>103.6</v>
      </c>
      <c r="Z83" s="7" t="n">
        <v>113.9</v>
      </c>
      <c r="AA83" s="7" t="n">
        <v>124.16</v>
      </c>
      <c r="AB83" s="7" t="n">
        <v>144.41</v>
      </c>
      <c r="AC83" s="7" t="n">
        <v>161.81</v>
      </c>
      <c r="AD83" s="7" t="n">
        <v>197.37</v>
      </c>
      <c r="AE83" s="7" t="n">
        <v>215.7</v>
      </c>
      <c r="AF83" s="7" t="n">
        <v>143.51</v>
      </c>
      <c r="AG83" s="7" t="n">
        <v>304.65</v>
      </c>
      <c r="AH83" s="12" t="n">
        <f aca="false">(U83+AH$4*(Resumo!$C$7+Resumo!$C$8)+Resumo!$C$10*CEILING(AH$3/100,1)+Resumo!$C$9)*(1+Resumo!$C$11)-(AH$4*(Resumo!$B$6+Resumo!$B$7)+Resumo!$B$9+Resumo!$B$10*CEILING(AH$3/100,1)+(Resumo!$B$12+Resumo!$B$13)*CEILING(AH$3,1))</f>
        <v>54.9227352971963</v>
      </c>
      <c r="AI83" s="12" t="n">
        <f aca="false">(V83+AI$4*(Resumo!$C$7+Resumo!$C$8)+Resumo!$C$10*CEILING(AI$3/100,1)+Resumo!$C$9)*(1+Resumo!$C$11)-(AI$4*(Resumo!$B$6+Resumo!$B$7)+Resumo!$B$9+Resumo!$B$10*CEILING(AI$3/100,1)+(Resumo!$B$12+Resumo!$B$13)*CEILING(AI$3,1))</f>
        <v>74.5570462771717</v>
      </c>
      <c r="AJ83" s="12" t="n">
        <f aca="false">(W83+AJ$4*(Resumo!$C$7+Resumo!$C$8)+Resumo!$C$10*CEILING(AJ$3/100,1)+Resumo!$C$9)*(1+Resumo!$C$11)-(AJ$4*(Resumo!$B$6+Resumo!$B$7)+Resumo!$B$9+Resumo!$B$10*CEILING(AJ$3/100,1)+(Resumo!$B$12+Resumo!$B$13)*CEILING(AJ$3,1))</f>
        <v>81.5039345092958</v>
      </c>
      <c r="AK83" s="12" t="n">
        <f aca="false">(X83+AK$4*(Resumo!$C$7+Resumo!$C$8)+Resumo!$C$10*CEILING(AK$3/100,1)+Resumo!$C$9)*(1+Resumo!$C$11)-(AK$4*(Resumo!$B$6+Resumo!$B$7)+Resumo!$B$9+Resumo!$B$10*CEILING(AK$3/100,1)+(Resumo!$B$12+Resumo!$B$13)*CEILING(AK$3,1))</f>
        <v>84.5552580255814</v>
      </c>
      <c r="AL83" s="12" t="n">
        <f aca="false">(Y83+AL$4*(Resumo!$C$7+Resumo!$C$8)+Resumo!$C$10*CEILING(AL$3/100,1)+Resumo!$C$9)*(1+Resumo!$C$11)-(AL$4*(Resumo!$B$6+Resumo!$B$7)+Resumo!$B$9+Resumo!$B$10*CEILING(AL$3/100,1)+(Resumo!$B$12+Resumo!$B$13)*CEILING(AL$3,1))</f>
        <v>90.7147698817308</v>
      </c>
      <c r="AM83" s="12" t="n">
        <f aca="false">(Z83+AM$4*(Resumo!$C$7+Resumo!$C$8)+Resumo!$C$10*CEILING(AM$3/100,1)+Resumo!$C$9)*(1+Resumo!$C$11)-(AM$4*(Resumo!$B$6+Resumo!$B$7)+Resumo!$B$9+Resumo!$B$10*CEILING(AM$3/100,1)+(Resumo!$B$12+Resumo!$B$13)*CEILING(AM$3,1))</f>
        <v>95.0304196468864</v>
      </c>
      <c r="AN83" s="12" t="n">
        <f aca="false">(AA83+AN$4*(Resumo!$C$7+Resumo!$C$8)+Resumo!$C$10*CEILING(AN$3/100,1)+Resumo!$C$9)*(1+Resumo!$C$11)-(AN$4*(Resumo!$B$6+Resumo!$B$7)+Resumo!$B$9+Resumo!$B$10*CEILING(AN$3/100,1)+(Resumo!$B$12+Resumo!$B$13)*CEILING(AN$3,1))</f>
        <v>102.00959604</v>
      </c>
      <c r="AO83" s="12" t="n">
        <f aca="false">(AB83+AO$4*(Resumo!$C$7+Resumo!$C$8)+Resumo!$C$10*CEILING(AO$3/100,1)+Resumo!$C$9)*(1+Resumo!$C$11)-(AO$4*(Resumo!$B$6+Resumo!$B$7)+Resumo!$B$9+Resumo!$B$10*CEILING(AO$3/100,1)+(Resumo!$B$12+Resumo!$B$13)*CEILING(AO$3,1))</f>
        <v>116.765897119298</v>
      </c>
      <c r="AP83" s="12" t="n">
        <f aca="false">(AC83+AP$4*(Resumo!$C$7+Resumo!$C$8)+Resumo!$C$10*CEILING(AP$3/100,1)+Resumo!$C$9)*(1+Resumo!$C$11)-(AP$4*(Resumo!$B$6+Resumo!$B$7)+Resumo!$B$9+Resumo!$B$10*CEILING(AP$3/100,1)+(Resumo!$B$12+Resumo!$B$13)*CEILING(AP$3,1))</f>
        <v>120.300564037736</v>
      </c>
      <c r="AQ83" s="12" t="n">
        <f aca="false">(AD83+AQ$4*(Resumo!$C$7+Resumo!$C$8)+Resumo!$C$10*CEILING(AQ$3/100,1)+Resumo!$C$9)*(1+Resumo!$C$11)-(AQ$4*(Resumo!$B$6+Resumo!$B$7)+Resumo!$B$9+Resumo!$B$10*CEILING(AQ$3/100,1)+(Resumo!$B$12+Resumo!$B$13)*CEILING(AQ$3,1))</f>
        <v>149.110142593023</v>
      </c>
      <c r="AR83" s="12" t="n">
        <f aca="false">(AE83+AR$4*(Resumo!$C$7+Resumo!$C$8)+Resumo!$C$10*CEILING(AR$3/100,1)+Resumo!$C$9)*(1+Resumo!$C$11)-(AR$4*(Resumo!$B$6+Resumo!$B$7)+Resumo!$B$9+Resumo!$B$10*CEILING(AR$3/100,1)+(Resumo!$B$12+Resumo!$B$13)*CEILING(AR$3,1))</f>
        <v>152.447191466667</v>
      </c>
      <c r="AS83" s="12" t="n">
        <f aca="false">(AF83+AS$4*(Resumo!$C$7+Resumo!$C$8)+Resumo!$C$10*CEILING(AS$3/100,1)+Resumo!$C$9)*(1+Resumo!$C$11)-(AS$4*(Resumo!$B$6+Resumo!$B$7)+Resumo!$B$9+Resumo!$B$10*CEILING(AS$3/100,1)+(Resumo!$B$12+Resumo!$B$13)*CEILING(AS$3,1))</f>
        <v>62.11023</v>
      </c>
      <c r="AT83" s="12" t="n">
        <f aca="false">(AG83+AT$4*(Resumo!$C$7+Resumo!$C$8)+Resumo!$C$10*CEILING(AT$3/100,1)+Resumo!$C$9)*(1+Resumo!$C$11)-(AT$4*(Resumo!$B$6+Resumo!$B$7)+Resumo!$B$9+Resumo!$B$10*CEILING(AT$3/100,1)+(Resumo!$B$12+Resumo!$B$13)*CEILING(AT$3,1))</f>
        <v>219.780987533333</v>
      </c>
      <c r="AU83" s="13" t="n">
        <f aca="false">1-AH83/H83</f>
        <v>0.484438793793333</v>
      </c>
      <c r="AV83" s="13" t="n">
        <f aca="false">1-AI83/I83</f>
        <v>0.382703706928534</v>
      </c>
      <c r="AW83" s="13" t="n">
        <f aca="false">1-AJ83/J83</f>
        <v>0.351238282979418</v>
      </c>
      <c r="AX83" s="13" t="n">
        <f aca="false">1-AK83/K83</f>
        <v>0.373803910052719</v>
      </c>
      <c r="AY83" s="13" t="n">
        <f aca="false">1-AL83/L83</f>
        <v>0.372346434084752</v>
      </c>
      <c r="AZ83" s="13" t="n">
        <f aca="false">1-AM83/M83</f>
        <v>0.427699972015137</v>
      </c>
      <c r="BA83" s="13" t="n">
        <f aca="false">1-AN83/N83</f>
        <v>0.385669400542005</v>
      </c>
      <c r="BB83" s="13" t="n">
        <f aca="false">1-AO83/O83</f>
        <v>0.408330898812778</v>
      </c>
      <c r="BC83" s="13" t="n">
        <f aca="false">1-AP83/P83</f>
        <v>0.492016873415523</v>
      </c>
      <c r="BD83" s="13" t="n">
        <f aca="false">1-AQ83/Q83</f>
        <v>0.436980280195502</v>
      </c>
      <c r="BE83" s="13" t="n">
        <f aca="false">1-AR83/R83</f>
        <v>0.492096646787717</v>
      </c>
      <c r="BF83" s="13" t="n">
        <f aca="false">1-AS83/S83</f>
        <v>0.82411013253285</v>
      </c>
      <c r="BG83" s="13" t="n">
        <f aca="false">1-AT83/T83</f>
        <v>0.502082040024166</v>
      </c>
    </row>
    <row r="84" customFormat="false" ht="15" hidden="false" customHeight="false" outlineLevel="0" collapsed="false">
      <c r="A84" s="4" t="s">
        <v>197</v>
      </c>
      <c r="B84" s="4" t="s">
        <v>269</v>
      </c>
      <c r="C84" s="34" t="n">
        <v>28680000</v>
      </c>
      <c r="D84" s="34" t="n">
        <v>28699999</v>
      </c>
      <c r="E84" s="4" t="s">
        <v>201</v>
      </c>
      <c r="F84" s="4" t="s">
        <v>204</v>
      </c>
      <c r="G84" s="4" t="n">
        <f aca="false">COUNTIFS(Pedidos!$E$2:$E$2224,"&gt;="&amp;C84,Pedidos!$E$2:$E$2224,"&lt;="&amp;D84)</f>
        <v>7</v>
      </c>
      <c r="H84" s="7" t="n">
        <v>106.53</v>
      </c>
      <c r="I84" s="7" t="n">
        <v>120.78</v>
      </c>
      <c r="J84" s="7" t="n">
        <v>125.63</v>
      </c>
      <c r="K84" s="7" t="n">
        <v>135.03</v>
      </c>
      <c r="L84" s="7" t="n">
        <v>144.53</v>
      </c>
      <c r="M84" s="7" t="n">
        <v>166.05</v>
      </c>
      <c r="N84" s="7" t="n">
        <v>166.05</v>
      </c>
      <c r="O84" s="7" t="n">
        <v>197.35</v>
      </c>
      <c r="P84" s="7" t="n">
        <v>236.82</v>
      </c>
      <c r="Q84" s="7" t="n">
        <v>264.84</v>
      </c>
      <c r="R84" s="7" t="n">
        <v>300.15</v>
      </c>
      <c r="S84" s="7" t="n">
        <v>353.12</v>
      </c>
      <c r="T84" s="7" t="n">
        <v>441.4</v>
      </c>
      <c r="U84" s="7" t="n">
        <v>52.71</v>
      </c>
      <c r="V84" s="7" t="n">
        <v>76.5</v>
      </c>
      <c r="W84" s="7" t="n">
        <v>87.4</v>
      </c>
      <c r="X84" s="7" t="n">
        <v>94</v>
      </c>
      <c r="Y84" s="7" t="n">
        <v>103.6</v>
      </c>
      <c r="Z84" s="7" t="n">
        <v>113.9</v>
      </c>
      <c r="AA84" s="7" t="n">
        <v>124.16</v>
      </c>
      <c r="AB84" s="7" t="n">
        <v>144.41</v>
      </c>
      <c r="AC84" s="7" t="n">
        <v>161.81</v>
      </c>
      <c r="AD84" s="7" t="n">
        <v>197.37</v>
      </c>
      <c r="AE84" s="7" t="n">
        <v>215.7</v>
      </c>
      <c r="AF84" s="7" t="n">
        <v>143.51</v>
      </c>
      <c r="AG84" s="7" t="n">
        <v>304.65</v>
      </c>
      <c r="AH84" s="12" t="n">
        <f aca="false">(U84+AH$4*(Resumo!$C$7+Resumo!$C$8)+Resumo!$C$10*CEILING(AH$3/100,1)+Resumo!$C$9)*(1+Resumo!$C$11)-(AH$4*(Resumo!$B$6+Resumo!$B$7)+Resumo!$B$9+Resumo!$B$10*CEILING(AH$3/100,1)+(Resumo!$B$12+Resumo!$B$13)*CEILING(AH$3,1))</f>
        <v>54.9227352971963</v>
      </c>
      <c r="AI84" s="12" t="n">
        <f aca="false">(V84+AI$4*(Resumo!$C$7+Resumo!$C$8)+Resumo!$C$10*CEILING(AI$3/100,1)+Resumo!$C$9)*(1+Resumo!$C$11)-(AI$4*(Resumo!$B$6+Resumo!$B$7)+Resumo!$B$9+Resumo!$B$10*CEILING(AI$3/100,1)+(Resumo!$B$12+Resumo!$B$13)*CEILING(AI$3,1))</f>
        <v>74.5570462771717</v>
      </c>
      <c r="AJ84" s="12" t="n">
        <f aca="false">(W84+AJ$4*(Resumo!$C$7+Resumo!$C$8)+Resumo!$C$10*CEILING(AJ$3/100,1)+Resumo!$C$9)*(1+Resumo!$C$11)-(AJ$4*(Resumo!$B$6+Resumo!$B$7)+Resumo!$B$9+Resumo!$B$10*CEILING(AJ$3/100,1)+(Resumo!$B$12+Resumo!$B$13)*CEILING(AJ$3,1))</f>
        <v>81.5039345092958</v>
      </c>
      <c r="AK84" s="12" t="n">
        <f aca="false">(X84+AK$4*(Resumo!$C$7+Resumo!$C$8)+Resumo!$C$10*CEILING(AK$3/100,1)+Resumo!$C$9)*(1+Resumo!$C$11)-(AK$4*(Resumo!$B$6+Resumo!$B$7)+Resumo!$B$9+Resumo!$B$10*CEILING(AK$3/100,1)+(Resumo!$B$12+Resumo!$B$13)*CEILING(AK$3,1))</f>
        <v>84.5552580255814</v>
      </c>
      <c r="AL84" s="12" t="n">
        <f aca="false">(Y84+AL$4*(Resumo!$C$7+Resumo!$C$8)+Resumo!$C$10*CEILING(AL$3/100,1)+Resumo!$C$9)*(1+Resumo!$C$11)-(AL$4*(Resumo!$B$6+Resumo!$B$7)+Resumo!$B$9+Resumo!$B$10*CEILING(AL$3/100,1)+(Resumo!$B$12+Resumo!$B$13)*CEILING(AL$3,1))</f>
        <v>90.7147698817308</v>
      </c>
      <c r="AM84" s="12" t="n">
        <f aca="false">(Z84+AM$4*(Resumo!$C$7+Resumo!$C$8)+Resumo!$C$10*CEILING(AM$3/100,1)+Resumo!$C$9)*(1+Resumo!$C$11)-(AM$4*(Resumo!$B$6+Resumo!$B$7)+Resumo!$B$9+Resumo!$B$10*CEILING(AM$3/100,1)+(Resumo!$B$12+Resumo!$B$13)*CEILING(AM$3,1))</f>
        <v>95.0304196468864</v>
      </c>
      <c r="AN84" s="12" t="n">
        <f aca="false">(AA84+AN$4*(Resumo!$C$7+Resumo!$C$8)+Resumo!$C$10*CEILING(AN$3/100,1)+Resumo!$C$9)*(1+Resumo!$C$11)-(AN$4*(Resumo!$B$6+Resumo!$B$7)+Resumo!$B$9+Resumo!$B$10*CEILING(AN$3/100,1)+(Resumo!$B$12+Resumo!$B$13)*CEILING(AN$3,1))</f>
        <v>102.00959604</v>
      </c>
      <c r="AO84" s="12" t="n">
        <f aca="false">(AB84+AO$4*(Resumo!$C$7+Resumo!$C$8)+Resumo!$C$10*CEILING(AO$3/100,1)+Resumo!$C$9)*(1+Resumo!$C$11)-(AO$4*(Resumo!$B$6+Resumo!$B$7)+Resumo!$B$9+Resumo!$B$10*CEILING(AO$3/100,1)+(Resumo!$B$12+Resumo!$B$13)*CEILING(AO$3,1))</f>
        <v>116.765897119298</v>
      </c>
      <c r="AP84" s="12" t="n">
        <f aca="false">(AC84+AP$4*(Resumo!$C$7+Resumo!$C$8)+Resumo!$C$10*CEILING(AP$3/100,1)+Resumo!$C$9)*(1+Resumo!$C$11)-(AP$4*(Resumo!$B$6+Resumo!$B$7)+Resumo!$B$9+Resumo!$B$10*CEILING(AP$3/100,1)+(Resumo!$B$12+Resumo!$B$13)*CEILING(AP$3,1))</f>
        <v>120.300564037736</v>
      </c>
      <c r="AQ84" s="12" t="n">
        <f aca="false">(AD84+AQ$4*(Resumo!$C$7+Resumo!$C$8)+Resumo!$C$10*CEILING(AQ$3/100,1)+Resumo!$C$9)*(1+Resumo!$C$11)-(AQ$4*(Resumo!$B$6+Resumo!$B$7)+Resumo!$B$9+Resumo!$B$10*CEILING(AQ$3/100,1)+(Resumo!$B$12+Resumo!$B$13)*CEILING(AQ$3,1))</f>
        <v>149.110142593023</v>
      </c>
      <c r="AR84" s="12" t="n">
        <f aca="false">(AE84+AR$4*(Resumo!$C$7+Resumo!$C$8)+Resumo!$C$10*CEILING(AR$3/100,1)+Resumo!$C$9)*(1+Resumo!$C$11)-(AR$4*(Resumo!$B$6+Resumo!$B$7)+Resumo!$B$9+Resumo!$B$10*CEILING(AR$3/100,1)+(Resumo!$B$12+Resumo!$B$13)*CEILING(AR$3,1))</f>
        <v>152.447191466667</v>
      </c>
      <c r="AS84" s="12" t="n">
        <f aca="false">(AF84+AS$4*(Resumo!$C$7+Resumo!$C$8)+Resumo!$C$10*CEILING(AS$3/100,1)+Resumo!$C$9)*(1+Resumo!$C$11)-(AS$4*(Resumo!$B$6+Resumo!$B$7)+Resumo!$B$9+Resumo!$B$10*CEILING(AS$3/100,1)+(Resumo!$B$12+Resumo!$B$13)*CEILING(AS$3,1))</f>
        <v>62.11023</v>
      </c>
      <c r="AT84" s="12" t="n">
        <f aca="false">(AG84+AT$4*(Resumo!$C$7+Resumo!$C$8)+Resumo!$C$10*CEILING(AT$3/100,1)+Resumo!$C$9)*(1+Resumo!$C$11)-(AT$4*(Resumo!$B$6+Resumo!$B$7)+Resumo!$B$9+Resumo!$B$10*CEILING(AT$3/100,1)+(Resumo!$B$12+Resumo!$B$13)*CEILING(AT$3,1))</f>
        <v>219.780987533333</v>
      </c>
      <c r="AU84" s="13" t="n">
        <f aca="false">1-AH84/H84</f>
        <v>0.484438793793333</v>
      </c>
      <c r="AV84" s="13" t="n">
        <f aca="false">1-AI84/I84</f>
        <v>0.382703706928534</v>
      </c>
      <c r="AW84" s="13" t="n">
        <f aca="false">1-AJ84/J84</f>
        <v>0.351238282979418</v>
      </c>
      <c r="AX84" s="13" t="n">
        <f aca="false">1-AK84/K84</f>
        <v>0.373803910052719</v>
      </c>
      <c r="AY84" s="13" t="n">
        <f aca="false">1-AL84/L84</f>
        <v>0.372346434084752</v>
      </c>
      <c r="AZ84" s="13" t="n">
        <f aca="false">1-AM84/M84</f>
        <v>0.427699972015137</v>
      </c>
      <c r="BA84" s="13" t="n">
        <f aca="false">1-AN84/N84</f>
        <v>0.385669400542005</v>
      </c>
      <c r="BB84" s="13" t="n">
        <f aca="false">1-AO84/O84</f>
        <v>0.408330898812778</v>
      </c>
      <c r="BC84" s="13" t="n">
        <f aca="false">1-AP84/P84</f>
        <v>0.492016873415523</v>
      </c>
      <c r="BD84" s="13" t="n">
        <f aca="false">1-AQ84/Q84</f>
        <v>0.436980280195502</v>
      </c>
      <c r="BE84" s="13" t="n">
        <f aca="false">1-AR84/R84</f>
        <v>0.492096646787717</v>
      </c>
      <c r="BF84" s="13" t="n">
        <f aca="false">1-AS84/S84</f>
        <v>0.82411013253285</v>
      </c>
      <c r="BG84" s="13" t="n">
        <f aca="false">1-AT84/T84</f>
        <v>0.502082040024166</v>
      </c>
    </row>
    <row r="85" customFormat="false" ht="15" hidden="false" customHeight="false" outlineLevel="0" collapsed="false">
      <c r="A85" s="4" t="s">
        <v>197</v>
      </c>
      <c r="B85" s="4" t="s">
        <v>270</v>
      </c>
      <c r="C85" s="34" t="n">
        <v>28735000</v>
      </c>
      <c r="D85" s="34" t="n">
        <v>28739999</v>
      </c>
      <c r="E85" s="4" t="s">
        <v>201</v>
      </c>
      <c r="F85" s="4" t="s">
        <v>242</v>
      </c>
      <c r="G85" s="4" t="n">
        <f aca="false">COUNTIFS(Pedidos!$E$2:$E$2224,"&gt;="&amp;C85,Pedidos!$E$2:$E$2224,"&lt;="&amp;D85)</f>
        <v>1</v>
      </c>
      <c r="H85" s="7" t="n">
        <v>124.04</v>
      </c>
      <c r="I85" s="7" t="n">
        <v>138.29</v>
      </c>
      <c r="J85" s="7" t="n">
        <v>143.04</v>
      </c>
      <c r="K85" s="7" t="n">
        <v>152.54</v>
      </c>
      <c r="L85" s="7" t="n">
        <v>162.04</v>
      </c>
      <c r="M85" s="7" t="n">
        <v>171.54</v>
      </c>
      <c r="N85" s="7" t="n">
        <v>181.04</v>
      </c>
      <c r="O85" s="7" t="n">
        <v>200.04</v>
      </c>
      <c r="P85" s="7" t="n">
        <v>236.82</v>
      </c>
      <c r="Q85" s="7" t="n">
        <v>264.84</v>
      </c>
      <c r="R85" s="7" t="n">
        <v>300.15</v>
      </c>
      <c r="S85" s="7" t="n">
        <v>353.17</v>
      </c>
      <c r="T85" s="7" t="n">
        <v>441.4</v>
      </c>
      <c r="U85" s="7" t="n">
        <v>52.71</v>
      </c>
      <c r="V85" s="7" t="n">
        <v>76.5</v>
      </c>
      <c r="W85" s="7" t="n">
        <v>87.4</v>
      </c>
      <c r="X85" s="7" t="n">
        <v>94</v>
      </c>
      <c r="Y85" s="7" t="n">
        <v>103.6</v>
      </c>
      <c r="Z85" s="7" t="n">
        <v>113.9</v>
      </c>
      <c r="AA85" s="7" t="n">
        <v>124.16</v>
      </c>
      <c r="AB85" s="7" t="n">
        <v>144.41</v>
      </c>
      <c r="AC85" s="7" t="n">
        <v>161.81</v>
      </c>
      <c r="AD85" s="7" t="n">
        <v>197.37</v>
      </c>
      <c r="AE85" s="7" t="n">
        <v>215.7</v>
      </c>
      <c r="AF85" s="7" t="n">
        <v>143.51</v>
      </c>
      <c r="AG85" s="7" t="n">
        <v>304.65</v>
      </c>
      <c r="AH85" s="12" t="n">
        <f aca="false">(U85+AH$4*(Resumo!$C$7+Resumo!$C$8)+Resumo!$C$10*CEILING(AH$3/100,1)+Resumo!$C$9)*(1+Resumo!$C$11)-(AH$4*(Resumo!$B$6+Resumo!$B$7)+Resumo!$B$9+Resumo!$B$10*CEILING(AH$3/100,1)+(Resumo!$B$12+Resumo!$B$13)*CEILING(AH$3,1))</f>
        <v>54.9227352971963</v>
      </c>
      <c r="AI85" s="12" t="n">
        <f aca="false">(V85+AI$4*(Resumo!$C$7+Resumo!$C$8)+Resumo!$C$10*CEILING(AI$3/100,1)+Resumo!$C$9)*(1+Resumo!$C$11)-(AI$4*(Resumo!$B$6+Resumo!$B$7)+Resumo!$B$9+Resumo!$B$10*CEILING(AI$3/100,1)+(Resumo!$B$12+Resumo!$B$13)*CEILING(AI$3,1))</f>
        <v>74.5570462771717</v>
      </c>
      <c r="AJ85" s="12" t="n">
        <f aca="false">(W85+AJ$4*(Resumo!$C$7+Resumo!$C$8)+Resumo!$C$10*CEILING(AJ$3/100,1)+Resumo!$C$9)*(1+Resumo!$C$11)-(AJ$4*(Resumo!$B$6+Resumo!$B$7)+Resumo!$B$9+Resumo!$B$10*CEILING(AJ$3/100,1)+(Resumo!$B$12+Resumo!$B$13)*CEILING(AJ$3,1))</f>
        <v>81.5039345092958</v>
      </c>
      <c r="AK85" s="12" t="n">
        <f aca="false">(X85+AK$4*(Resumo!$C$7+Resumo!$C$8)+Resumo!$C$10*CEILING(AK$3/100,1)+Resumo!$C$9)*(1+Resumo!$C$11)-(AK$4*(Resumo!$B$6+Resumo!$B$7)+Resumo!$B$9+Resumo!$B$10*CEILING(AK$3/100,1)+(Resumo!$B$12+Resumo!$B$13)*CEILING(AK$3,1))</f>
        <v>84.5552580255814</v>
      </c>
      <c r="AL85" s="12" t="n">
        <f aca="false">(Y85+AL$4*(Resumo!$C$7+Resumo!$C$8)+Resumo!$C$10*CEILING(AL$3/100,1)+Resumo!$C$9)*(1+Resumo!$C$11)-(AL$4*(Resumo!$B$6+Resumo!$B$7)+Resumo!$B$9+Resumo!$B$10*CEILING(AL$3/100,1)+(Resumo!$B$12+Resumo!$B$13)*CEILING(AL$3,1))</f>
        <v>90.7147698817308</v>
      </c>
      <c r="AM85" s="12" t="n">
        <f aca="false">(Z85+AM$4*(Resumo!$C$7+Resumo!$C$8)+Resumo!$C$10*CEILING(AM$3/100,1)+Resumo!$C$9)*(1+Resumo!$C$11)-(AM$4*(Resumo!$B$6+Resumo!$B$7)+Resumo!$B$9+Resumo!$B$10*CEILING(AM$3/100,1)+(Resumo!$B$12+Resumo!$B$13)*CEILING(AM$3,1))</f>
        <v>95.0304196468864</v>
      </c>
      <c r="AN85" s="12" t="n">
        <f aca="false">(AA85+AN$4*(Resumo!$C$7+Resumo!$C$8)+Resumo!$C$10*CEILING(AN$3/100,1)+Resumo!$C$9)*(1+Resumo!$C$11)-(AN$4*(Resumo!$B$6+Resumo!$B$7)+Resumo!$B$9+Resumo!$B$10*CEILING(AN$3/100,1)+(Resumo!$B$12+Resumo!$B$13)*CEILING(AN$3,1))</f>
        <v>102.00959604</v>
      </c>
      <c r="AO85" s="12" t="n">
        <f aca="false">(AB85+AO$4*(Resumo!$C$7+Resumo!$C$8)+Resumo!$C$10*CEILING(AO$3/100,1)+Resumo!$C$9)*(1+Resumo!$C$11)-(AO$4*(Resumo!$B$6+Resumo!$B$7)+Resumo!$B$9+Resumo!$B$10*CEILING(AO$3/100,1)+(Resumo!$B$12+Resumo!$B$13)*CEILING(AO$3,1))</f>
        <v>116.765897119298</v>
      </c>
      <c r="AP85" s="12" t="n">
        <f aca="false">(AC85+AP$4*(Resumo!$C$7+Resumo!$C$8)+Resumo!$C$10*CEILING(AP$3/100,1)+Resumo!$C$9)*(1+Resumo!$C$11)-(AP$4*(Resumo!$B$6+Resumo!$B$7)+Resumo!$B$9+Resumo!$B$10*CEILING(AP$3/100,1)+(Resumo!$B$12+Resumo!$B$13)*CEILING(AP$3,1))</f>
        <v>120.300564037736</v>
      </c>
      <c r="AQ85" s="12" t="n">
        <f aca="false">(AD85+AQ$4*(Resumo!$C$7+Resumo!$C$8)+Resumo!$C$10*CEILING(AQ$3/100,1)+Resumo!$C$9)*(1+Resumo!$C$11)-(AQ$4*(Resumo!$B$6+Resumo!$B$7)+Resumo!$B$9+Resumo!$B$10*CEILING(AQ$3/100,1)+(Resumo!$B$12+Resumo!$B$13)*CEILING(AQ$3,1))</f>
        <v>149.110142593023</v>
      </c>
      <c r="AR85" s="12" t="n">
        <f aca="false">(AE85+AR$4*(Resumo!$C$7+Resumo!$C$8)+Resumo!$C$10*CEILING(AR$3/100,1)+Resumo!$C$9)*(1+Resumo!$C$11)-(AR$4*(Resumo!$B$6+Resumo!$B$7)+Resumo!$B$9+Resumo!$B$10*CEILING(AR$3/100,1)+(Resumo!$B$12+Resumo!$B$13)*CEILING(AR$3,1))</f>
        <v>152.447191466667</v>
      </c>
      <c r="AS85" s="12" t="n">
        <f aca="false">(AF85+AS$4*(Resumo!$C$7+Resumo!$C$8)+Resumo!$C$10*CEILING(AS$3/100,1)+Resumo!$C$9)*(1+Resumo!$C$11)-(AS$4*(Resumo!$B$6+Resumo!$B$7)+Resumo!$B$9+Resumo!$B$10*CEILING(AS$3/100,1)+(Resumo!$B$12+Resumo!$B$13)*CEILING(AS$3,1))</f>
        <v>62.11023</v>
      </c>
      <c r="AT85" s="12" t="n">
        <f aca="false">(AG85+AT$4*(Resumo!$C$7+Resumo!$C$8)+Resumo!$C$10*CEILING(AT$3/100,1)+Resumo!$C$9)*(1+Resumo!$C$11)-(AT$4*(Resumo!$B$6+Resumo!$B$7)+Resumo!$B$9+Resumo!$B$10*CEILING(AT$3/100,1)+(Resumo!$B$12+Resumo!$B$13)*CEILING(AT$3,1))</f>
        <v>219.780987533333</v>
      </c>
      <c r="AU85" s="13" t="n">
        <f aca="false">1-AH85/H85</f>
        <v>0.557217548394097</v>
      </c>
      <c r="AV85" s="13" t="n">
        <f aca="false">1-AI85/I85</f>
        <v>0.460864514591281</v>
      </c>
      <c r="AW85" s="13" t="n">
        <f aca="false">1-AJ85/J85</f>
        <v>0.430201800130762</v>
      </c>
      <c r="AX85" s="13" t="n">
        <f aca="false">1-AK85/K85</f>
        <v>0.445684685816301</v>
      </c>
      <c r="AY85" s="13" t="n">
        <f aca="false">1-AL85/L85</f>
        <v>0.440170514183345</v>
      </c>
      <c r="AZ85" s="13" t="n">
        <f aca="false">1-AM85/M85</f>
        <v>0.446015975009406</v>
      </c>
      <c r="BA85" s="13" t="n">
        <f aca="false">1-AN85/N85</f>
        <v>0.436535594122846</v>
      </c>
      <c r="BB85" s="13" t="n">
        <f aca="false">1-AO85/O85</f>
        <v>0.416287256952118</v>
      </c>
      <c r="BC85" s="13" t="n">
        <f aca="false">1-AP85/P85</f>
        <v>0.492016873415523</v>
      </c>
      <c r="BD85" s="13" t="n">
        <f aca="false">1-AQ85/Q85</f>
        <v>0.436980280195502</v>
      </c>
      <c r="BE85" s="13" t="n">
        <f aca="false">1-AR85/R85</f>
        <v>0.492096646787717</v>
      </c>
      <c r="BF85" s="13" t="n">
        <f aca="false">1-AS85/S85</f>
        <v>0.824135034119546</v>
      </c>
      <c r="BG85" s="13" t="n">
        <f aca="false">1-AT85/T85</f>
        <v>0.502082040024166</v>
      </c>
    </row>
    <row r="86" customFormat="false" ht="15" hidden="false" customHeight="false" outlineLevel="0" collapsed="false">
      <c r="A86" s="4" t="s">
        <v>197</v>
      </c>
      <c r="B86" s="4" t="s">
        <v>271</v>
      </c>
      <c r="C86" s="34" t="n">
        <v>28740000</v>
      </c>
      <c r="D86" s="34" t="n">
        <v>28749999</v>
      </c>
      <c r="E86" s="4" t="s">
        <v>201</v>
      </c>
      <c r="F86" s="4" t="s">
        <v>242</v>
      </c>
      <c r="G86" s="4" t="n">
        <f aca="false">COUNTIFS(Pedidos!$E$2:$E$2224,"&gt;="&amp;C86,Pedidos!$E$2:$E$2224,"&lt;="&amp;D86)</f>
        <v>2</v>
      </c>
      <c r="H86" s="7" t="n">
        <v>124.04</v>
      </c>
      <c r="I86" s="7" t="n">
        <v>138.29</v>
      </c>
      <c r="J86" s="7" t="n">
        <v>143.04</v>
      </c>
      <c r="K86" s="7" t="n">
        <v>152.54</v>
      </c>
      <c r="L86" s="7" t="n">
        <v>162.04</v>
      </c>
      <c r="M86" s="7" t="n">
        <v>171.54</v>
      </c>
      <c r="N86" s="7" t="n">
        <v>181.04</v>
      </c>
      <c r="O86" s="7" t="n">
        <v>200.04</v>
      </c>
      <c r="P86" s="7" t="n">
        <v>236.82</v>
      </c>
      <c r="Q86" s="7" t="n">
        <v>264.84</v>
      </c>
      <c r="R86" s="7" t="n">
        <v>300.15</v>
      </c>
      <c r="S86" s="7" t="n">
        <v>353.17</v>
      </c>
      <c r="T86" s="7" t="n">
        <v>441.4</v>
      </c>
      <c r="U86" s="7" t="n">
        <v>52.71</v>
      </c>
      <c r="V86" s="7" t="n">
        <v>76.5</v>
      </c>
      <c r="W86" s="7" t="n">
        <v>87.4</v>
      </c>
      <c r="X86" s="7" t="n">
        <v>94</v>
      </c>
      <c r="Y86" s="7" t="n">
        <v>103.6</v>
      </c>
      <c r="Z86" s="7" t="n">
        <v>113.9</v>
      </c>
      <c r="AA86" s="7" t="n">
        <v>124.16</v>
      </c>
      <c r="AB86" s="7" t="n">
        <v>144.41</v>
      </c>
      <c r="AC86" s="7" t="n">
        <v>161.81</v>
      </c>
      <c r="AD86" s="7" t="n">
        <v>197.37</v>
      </c>
      <c r="AE86" s="7" t="n">
        <v>215.7</v>
      </c>
      <c r="AF86" s="7" t="n">
        <v>143.51</v>
      </c>
      <c r="AG86" s="7" t="n">
        <v>304.65</v>
      </c>
      <c r="AH86" s="12" t="n">
        <f aca="false">(U86+AH$4*(Resumo!$C$7+Resumo!$C$8)+Resumo!$C$10*CEILING(AH$3/100,1)+Resumo!$C$9)*(1+Resumo!$C$11)-(AH$4*(Resumo!$B$6+Resumo!$B$7)+Resumo!$B$9+Resumo!$B$10*CEILING(AH$3/100,1)+(Resumo!$B$12+Resumo!$B$13)*CEILING(AH$3,1))</f>
        <v>54.9227352971963</v>
      </c>
      <c r="AI86" s="12" t="n">
        <f aca="false">(V86+AI$4*(Resumo!$C$7+Resumo!$C$8)+Resumo!$C$10*CEILING(AI$3/100,1)+Resumo!$C$9)*(1+Resumo!$C$11)-(AI$4*(Resumo!$B$6+Resumo!$B$7)+Resumo!$B$9+Resumo!$B$10*CEILING(AI$3/100,1)+(Resumo!$B$12+Resumo!$B$13)*CEILING(AI$3,1))</f>
        <v>74.5570462771717</v>
      </c>
      <c r="AJ86" s="12" t="n">
        <f aca="false">(W86+AJ$4*(Resumo!$C$7+Resumo!$C$8)+Resumo!$C$10*CEILING(AJ$3/100,1)+Resumo!$C$9)*(1+Resumo!$C$11)-(AJ$4*(Resumo!$B$6+Resumo!$B$7)+Resumo!$B$9+Resumo!$B$10*CEILING(AJ$3/100,1)+(Resumo!$B$12+Resumo!$B$13)*CEILING(AJ$3,1))</f>
        <v>81.5039345092958</v>
      </c>
      <c r="AK86" s="12" t="n">
        <f aca="false">(X86+AK$4*(Resumo!$C$7+Resumo!$C$8)+Resumo!$C$10*CEILING(AK$3/100,1)+Resumo!$C$9)*(1+Resumo!$C$11)-(AK$4*(Resumo!$B$6+Resumo!$B$7)+Resumo!$B$9+Resumo!$B$10*CEILING(AK$3/100,1)+(Resumo!$B$12+Resumo!$B$13)*CEILING(AK$3,1))</f>
        <v>84.5552580255814</v>
      </c>
      <c r="AL86" s="12" t="n">
        <f aca="false">(Y86+AL$4*(Resumo!$C$7+Resumo!$C$8)+Resumo!$C$10*CEILING(AL$3/100,1)+Resumo!$C$9)*(1+Resumo!$C$11)-(AL$4*(Resumo!$B$6+Resumo!$B$7)+Resumo!$B$9+Resumo!$B$10*CEILING(AL$3/100,1)+(Resumo!$B$12+Resumo!$B$13)*CEILING(AL$3,1))</f>
        <v>90.7147698817308</v>
      </c>
      <c r="AM86" s="12" t="n">
        <f aca="false">(Z86+AM$4*(Resumo!$C$7+Resumo!$C$8)+Resumo!$C$10*CEILING(AM$3/100,1)+Resumo!$C$9)*(1+Resumo!$C$11)-(AM$4*(Resumo!$B$6+Resumo!$B$7)+Resumo!$B$9+Resumo!$B$10*CEILING(AM$3/100,1)+(Resumo!$B$12+Resumo!$B$13)*CEILING(AM$3,1))</f>
        <v>95.0304196468864</v>
      </c>
      <c r="AN86" s="12" t="n">
        <f aca="false">(AA86+AN$4*(Resumo!$C$7+Resumo!$C$8)+Resumo!$C$10*CEILING(AN$3/100,1)+Resumo!$C$9)*(1+Resumo!$C$11)-(AN$4*(Resumo!$B$6+Resumo!$B$7)+Resumo!$B$9+Resumo!$B$10*CEILING(AN$3/100,1)+(Resumo!$B$12+Resumo!$B$13)*CEILING(AN$3,1))</f>
        <v>102.00959604</v>
      </c>
      <c r="AO86" s="12" t="n">
        <f aca="false">(AB86+AO$4*(Resumo!$C$7+Resumo!$C$8)+Resumo!$C$10*CEILING(AO$3/100,1)+Resumo!$C$9)*(1+Resumo!$C$11)-(AO$4*(Resumo!$B$6+Resumo!$B$7)+Resumo!$B$9+Resumo!$B$10*CEILING(AO$3/100,1)+(Resumo!$B$12+Resumo!$B$13)*CEILING(AO$3,1))</f>
        <v>116.765897119298</v>
      </c>
      <c r="AP86" s="12" t="n">
        <f aca="false">(AC86+AP$4*(Resumo!$C$7+Resumo!$C$8)+Resumo!$C$10*CEILING(AP$3/100,1)+Resumo!$C$9)*(1+Resumo!$C$11)-(AP$4*(Resumo!$B$6+Resumo!$B$7)+Resumo!$B$9+Resumo!$B$10*CEILING(AP$3/100,1)+(Resumo!$B$12+Resumo!$B$13)*CEILING(AP$3,1))</f>
        <v>120.300564037736</v>
      </c>
      <c r="AQ86" s="12" t="n">
        <f aca="false">(AD86+AQ$4*(Resumo!$C$7+Resumo!$C$8)+Resumo!$C$10*CEILING(AQ$3/100,1)+Resumo!$C$9)*(1+Resumo!$C$11)-(AQ$4*(Resumo!$B$6+Resumo!$B$7)+Resumo!$B$9+Resumo!$B$10*CEILING(AQ$3/100,1)+(Resumo!$B$12+Resumo!$B$13)*CEILING(AQ$3,1))</f>
        <v>149.110142593023</v>
      </c>
      <c r="AR86" s="12" t="n">
        <f aca="false">(AE86+AR$4*(Resumo!$C$7+Resumo!$C$8)+Resumo!$C$10*CEILING(AR$3/100,1)+Resumo!$C$9)*(1+Resumo!$C$11)-(AR$4*(Resumo!$B$6+Resumo!$B$7)+Resumo!$B$9+Resumo!$B$10*CEILING(AR$3/100,1)+(Resumo!$B$12+Resumo!$B$13)*CEILING(AR$3,1))</f>
        <v>152.447191466667</v>
      </c>
      <c r="AS86" s="12" t="n">
        <f aca="false">(AF86+AS$4*(Resumo!$C$7+Resumo!$C$8)+Resumo!$C$10*CEILING(AS$3/100,1)+Resumo!$C$9)*(1+Resumo!$C$11)-(AS$4*(Resumo!$B$6+Resumo!$B$7)+Resumo!$B$9+Resumo!$B$10*CEILING(AS$3/100,1)+(Resumo!$B$12+Resumo!$B$13)*CEILING(AS$3,1))</f>
        <v>62.11023</v>
      </c>
      <c r="AT86" s="12" t="n">
        <f aca="false">(AG86+AT$4*(Resumo!$C$7+Resumo!$C$8)+Resumo!$C$10*CEILING(AT$3/100,1)+Resumo!$C$9)*(1+Resumo!$C$11)-(AT$4*(Resumo!$B$6+Resumo!$B$7)+Resumo!$B$9+Resumo!$B$10*CEILING(AT$3/100,1)+(Resumo!$B$12+Resumo!$B$13)*CEILING(AT$3,1))</f>
        <v>219.780987533333</v>
      </c>
      <c r="AU86" s="13" t="n">
        <f aca="false">1-AH86/H86</f>
        <v>0.557217548394097</v>
      </c>
      <c r="AV86" s="13" t="n">
        <f aca="false">1-AI86/I86</f>
        <v>0.460864514591281</v>
      </c>
      <c r="AW86" s="13" t="n">
        <f aca="false">1-AJ86/J86</f>
        <v>0.430201800130762</v>
      </c>
      <c r="AX86" s="13" t="n">
        <f aca="false">1-AK86/K86</f>
        <v>0.445684685816301</v>
      </c>
      <c r="AY86" s="13" t="n">
        <f aca="false">1-AL86/L86</f>
        <v>0.440170514183345</v>
      </c>
      <c r="AZ86" s="13" t="n">
        <f aca="false">1-AM86/M86</f>
        <v>0.446015975009406</v>
      </c>
      <c r="BA86" s="13" t="n">
        <f aca="false">1-AN86/N86</f>
        <v>0.436535594122846</v>
      </c>
      <c r="BB86" s="13" t="n">
        <f aca="false">1-AO86/O86</f>
        <v>0.416287256952118</v>
      </c>
      <c r="BC86" s="13" t="n">
        <f aca="false">1-AP86/P86</f>
        <v>0.492016873415523</v>
      </c>
      <c r="BD86" s="13" t="n">
        <f aca="false">1-AQ86/Q86</f>
        <v>0.436980280195502</v>
      </c>
      <c r="BE86" s="13" t="n">
        <f aca="false">1-AR86/R86</f>
        <v>0.492096646787717</v>
      </c>
      <c r="BF86" s="13" t="n">
        <f aca="false">1-AS86/S86</f>
        <v>0.824135034119546</v>
      </c>
      <c r="BG86" s="13" t="n">
        <f aca="false">1-AT86/T86</f>
        <v>0.502082040024166</v>
      </c>
    </row>
    <row r="87" customFormat="false" ht="15" hidden="false" customHeight="false" outlineLevel="0" collapsed="false">
      <c r="A87" s="4" t="s">
        <v>197</v>
      </c>
      <c r="B87" s="4" t="s">
        <v>272</v>
      </c>
      <c r="C87" s="34" t="n">
        <v>28750000</v>
      </c>
      <c r="D87" s="34" t="n">
        <v>28769999</v>
      </c>
      <c r="E87" s="4" t="s">
        <v>201</v>
      </c>
      <c r="F87" s="4" t="s">
        <v>242</v>
      </c>
      <c r="G87" s="4" t="n">
        <f aca="false">COUNTIFS(Pedidos!$E$2:$E$2224,"&gt;="&amp;C87,Pedidos!$E$2:$E$2224,"&lt;="&amp;D87)</f>
        <v>1</v>
      </c>
      <c r="H87" s="7" t="n">
        <v>124.04</v>
      </c>
      <c r="I87" s="7" t="n">
        <v>138.29</v>
      </c>
      <c r="J87" s="7" t="n">
        <v>143.04</v>
      </c>
      <c r="K87" s="7" t="n">
        <v>152.54</v>
      </c>
      <c r="L87" s="7" t="n">
        <v>162.04</v>
      </c>
      <c r="M87" s="7" t="n">
        <v>171.54</v>
      </c>
      <c r="N87" s="7" t="n">
        <v>181.04</v>
      </c>
      <c r="O87" s="7" t="n">
        <v>200.04</v>
      </c>
      <c r="P87" s="7" t="n">
        <v>236.82</v>
      </c>
      <c r="Q87" s="7" t="n">
        <v>264.84</v>
      </c>
      <c r="R87" s="7" t="n">
        <v>300.15</v>
      </c>
      <c r="S87" s="7" t="n">
        <v>353.17</v>
      </c>
      <c r="T87" s="7" t="n">
        <v>441.4</v>
      </c>
      <c r="U87" s="7" t="n">
        <v>52.71</v>
      </c>
      <c r="V87" s="7" t="n">
        <v>76.5</v>
      </c>
      <c r="W87" s="7" t="n">
        <v>87.4</v>
      </c>
      <c r="X87" s="7" t="n">
        <v>94</v>
      </c>
      <c r="Y87" s="7" t="n">
        <v>103.6</v>
      </c>
      <c r="Z87" s="7" t="n">
        <v>113.9</v>
      </c>
      <c r="AA87" s="7" t="n">
        <v>124.16</v>
      </c>
      <c r="AB87" s="7" t="n">
        <v>144.41</v>
      </c>
      <c r="AC87" s="7" t="n">
        <v>161.81</v>
      </c>
      <c r="AD87" s="7" t="n">
        <v>197.37</v>
      </c>
      <c r="AE87" s="7" t="n">
        <v>215.7</v>
      </c>
      <c r="AF87" s="7" t="n">
        <v>143.51</v>
      </c>
      <c r="AG87" s="7" t="n">
        <v>304.65</v>
      </c>
      <c r="AH87" s="12" t="n">
        <f aca="false">(U87+AH$4*(Resumo!$C$7+Resumo!$C$8)+Resumo!$C$10*CEILING(AH$3/100,1)+Resumo!$C$9)*(1+Resumo!$C$11)-(AH$4*(Resumo!$B$6+Resumo!$B$7)+Resumo!$B$9+Resumo!$B$10*CEILING(AH$3/100,1)+(Resumo!$B$12+Resumo!$B$13)*CEILING(AH$3,1))</f>
        <v>54.9227352971963</v>
      </c>
      <c r="AI87" s="12" t="n">
        <f aca="false">(V87+AI$4*(Resumo!$C$7+Resumo!$C$8)+Resumo!$C$10*CEILING(AI$3/100,1)+Resumo!$C$9)*(1+Resumo!$C$11)-(AI$4*(Resumo!$B$6+Resumo!$B$7)+Resumo!$B$9+Resumo!$B$10*CEILING(AI$3/100,1)+(Resumo!$B$12+Resumo!$B$13)*CEILING(AI$3,1))</f>
        <v>74.5570462771717</v>
      </c>
      <c r="AJ87" s="12" t="n">
        <f aca="false">(W87+AJ$4*(Resumo!$C$7+Resumo!$C$8)+Resumo!$C$10*CEILING(AJ$3/100,1)+Resumo!$C$9)*(1+Resumo!$C$11)-(AJ$4*(Resumo!$B$6+Resumo!$B$7)+Resumo!$B$9+Resumo!$B$10*CEILING(AJ$3/100,1)+(Resumo!$B$12+Resumo!$B$13)*CEILING(AJ$3,1))</f>
        <v>81.5039345092958</v>
      </c>
      <c r="AK87" s="12" t="n">
        <f aca="false">(X87+AK$4*(Resumo!$C$7+Resumo!$C$8)+Resumo!$C$10*CEILING(AK$3/100,1)+Resumo!$C$9)*(1+Resumo!$C$11)-(AK$4*(Resumo!$B$6+Resumo!$B$7)+Resumo!$B$9+Resumo!$B$10*CEILING(AK$3/100,1)+(Resumo!$B$12+Resumo!$B$13)*CEILING(AK$3,1))</f>
        <v>84.5552580255814</v>
      </c>
      <c r="AL87" s="12" t="n">
        <f aca="false">(Y87+AL$4*(Resumo!$C$7+Resumo!$C$8)+Resumo!$C$10*CEILING(AL$3/100,1)+Resumo!$C$9)*(1+Resumo!$C$11)-(AL$4*(Resumo!$B$6+Resumo!$B$7)+Resumo!$B$9+Resumo!$B$10*CEILING(AL$3/100,1)+(Resumo!$B$12+Resumo!$B$13)*CEILING(AL$3,1))</f>
        <v>90.7147698817308</v>
      </c>
      <c r="AM87" s="12" t="n">
        <f aca="false">(Z87+AM$4*(Resumo!$C$7+Resumo!$C$8)+Resumo!$C$10*CEILING(AM$3/100,1)+Resumo!$C$9)*(1+Resumo!$C$11)-(AM$4*(Resumo!$B$6+Resumo!$B$7)+Resumo!$B$9+Resumo!$B$10*CEILING(AM$3/100,1)+(Resumo!$B$12+Resumo!$B$13)*CEILING(AM$3,1))</f>
        <v>95.0304196468864</v>
      </c>
      <c r="AN87" s="12" t="n">
        <f aca="false">(AA87+AN$4*(Resumo!$C$7+Resumo!$C$8)+Resumo!$C$10*CEILING(AN$3/100,1)+Resumo!$C$9)*(1+Resumo!$C$11)-(AN$4*(Resumo!$B$6+Resumo!$B$7)+Resumo!$B$9+Resumo!$B$10*CEILING(AN$3/100,1)+(Resumo!$B$12+Resumo!$B$13)*CEILING(AN$3,1))</f>
        <v>102.00959604</v>
      </c>
      <c r="AO87" s="12" t="n">
        <f aca="false">(AB87+AO$4*(Resumo!$C$7+Resumo!$C$8)+Resumo!$C$10*CEILING(AO$3/100,1)+Resumo!$C$9)*(1+Resumo!$C$11)-(AO$4*(Resumo!$B$6+Resumo!$B$7)+Resumo!$B$9+Resumo!$B$10*CEILING(AO$3/100,1)+(Resumo!$B$12+Resumo!$B$13)*CEILING(AO$3,1))</f>
        <v>116.765897119298</v>
      </c>
      <c r="AP87" s="12" t="n">
        <f aca="false">(AC87+AP$4*(Resumo!$C$7+Resumo!$C$8)+Resumo!$C$10*CEILING(AP$3/100,1)+Resumo!$C$9)*(1+Resumo!$C$11)-(AP$4*(Resumo!$B$6+Resumo!$B$7)+Resumo!$B$9+Resumo!$B$10*CEILING(AP$3/100,1)+(Resumo!$B$12+Resumo!$B$13)*CEILING(AP$3,1))</f>
        <v>120.300564037736</v>
      </c>
      <c r="AQ87" s="12" t="n">
        <f aca="false">(AD87+AQ$4*(Resumo!$C$7+Resumo!$C$8)+Resumo!$C$10*CEILING(AQ$3/100,1)+Resumo!$C$9)*(1+Resumo!$C$11)-(AQ$4*(Resumo!$B$6+Resumo!$B$7)+Resumo!$B$9+Resumo!$B$10*CEILING(AQ$3/100,1)+(Resumo!$B$12+Resumo!$B$13)*CEILING(AQ$3,1))</f>
        <v>149.110142593023</v>
      </c>
      <c r="AR87" s="12" t="n">
        <f aca="false">(AE87+AR$4*(Resumo!$C$7+Resumo!$C$8)+Resumo!$C$10*CEILING(AR$3/100,1)+Resumo!$C$9)*(1+Resumo!$C$11)-(AR$4*(Resumo!$B$6+Resumo!$B$7)+Resumo!$B$9+Resumo!$B$10*CEILING(AR$3/100,1)+(Resumo!$B$12+Resumo!$B$13)*CEILING(AR$3,1))</f>
        <v>152.447191466667</v>
      </c>
      <c r="AS87" s="12" t="n">
        <f aca="false">(AF87+AS$4*(Resumo!$C$7+Resumo!$C$8)+Resumo!$C$10*CEILING(AS$3/100,1)+Resumo!$C$9)*(1+Resumo!$C$11)-(AS$4*(Resumo!$B$6+Resumo!$B$7)+Resumo!$B$9+Resumo!$B$10*CEILING(AS$3/100,1)+(Resumo!$B$12+Resumo!$B$13)*CEILING(AS$3,1))</f>
        <v>62.11023</v>
      </c>
      <c r="AT87" s="12" t="n">
        <f aca="false">(AG87+AT$4*(Resumo!$C$7+Resumo!$C$8)+Resumo!$C$10*CEILING(AT$3/100,1)+Resumo!$C$9)*(1+Resumo!$C$11)-(AT$4*(Resumo!$B$6+Resumo!$B$7)+Resumo!$B$9+Resumo!$B$10*CEILING(AT$3/100,1)+(Resumo!$B$12+Resumo!$B$13)*CEILING(AT$3,1))</f>
        <v>219.780987533333</v>
      </c>
      <c r="AU87" s="13" t="n">
        <f aca="false">1-AH87/H87</f>
        <v>0.557217548394097</v>
      </c>
      <c r="AV87" s="13" t="n">
        <f aca="false">1-AI87/I87</f>
        <v>0.460864514591281</v>
      </c>
      <c r="AW87" s="13" t="n">
        <f aca="false">1-AJ87/J87</f>
        <v>0.430201800130762</v>
      </c>
      <c r="AX87" s="13" t="n">
        <f aca="false">1-AK87/K87</f>
        <v>0.445684685816301</v>
      </c>
      <c r="AY87" s="13" t="n">
        <f aca="false">1-AL87/L87</f>
        <v>0.440170514183345</v>
      </c>
      <c r="AZ87" s="13" t="n">
        <f aca="false">1-AM87/M87</f>
        <v>0.446015975009406</v>
      </c>
      <c r="BA87" s="13" t="n">
        <f aca="false">1-AN87/N87</f>
        <v>0.436535594122846</v>
      </c>
      <c r="BB87" s="13" t="n">
        <f aca="false">1-AO87/O87</f>
        <v>0.416287256952118</v>
      </c>
      <c r="BC87" s="13" t="n">
        <f aca="false">1-AP87/P87</f>
        <v>0.492016873415523</v>
      </c>
      <c r="BD87" s="13" t="n">
        <f aca="false">1-AQ87/Q87</f>
        <v>0.436980280195502</v>
      </c>
      <c r="BE87" s="13" t="n">
        <f aca="false">1-AR87/R87</f>
        <v>0.492096646787717</v>
      </c>
      <c r="BF87" s="13" t="n">
        <f aca="false">1-AS87/S87</f>
        <v>0.824135034119546</v>
      </c>
      <c r="BG87" s="13" t="n">
        <f aca="false">1-AT87/T87</f>
        <v>0.502082040024166</v>
      </c>
    </row>
    <row r="88" customFormat="false" ht="15" hidden="false" customHeight="false" outlineLevel="0" collapsed="false">
      <c r="A88" s="4" t="s">
        <v>197</v>
      </c>
      <c r="B88" s="4" t="s">
        <v>273</v>
      </c>
      <c r="C88" s="34" t="n">
        <v>28770000</v>
      </c>
      <c r="D88" s="34" t="n">
        <v>28799999</v>
      </c>
      <c r="E88" s="4" t="s">
        <v>201</v>
      </c>
      <c r="F88" s="4" t="s">
        <v>242</v>
      </c>
      <c r="G88" s="4" t="n">
        <f aca="false">COUNTIFS(Pedidos!$E$2:$E$2224,"&gt;="&amp;C88,Pedidos!$E$2:$E$2224,"&lt;="&amp;D88)</f>
        <v>2</v>
      </c>
      <c r="H88" s="7" t="n">
        <v>124.04</v>
      </c>
      <c r="I88" s="7" t="n">
        <v>138.29</v>
      </c>
      <c r="J88" s="7" t="n">
        <v>143.04</v>
      </c>
      <c r="K88" s="7" t="n">
        <v>152.54</v>
      </c>
      <c r="L88" s="7" t="n">
        <v>162.04</v>
      </c>
      <c r="M88" s="7" t="n">
        <v>171.54</v>
      </c>
      <c r="N88" s="7" t="n">
        <v>181.04</v>
      </c>
      <c r="O88" s="7" t="n">
        <v>200.04</v>
      </c>
      <c r="P88" s="7" t="n">
        <v>236.82</v>
      </c>
      <c r="Q88" s="7" t="n">
        <v>264.84</v>
      </c>
      <c r="R88" s="7" t="n">
        <v>300.15</v>
      </c>
      <c r="S88" s="7" t="n">
        <v>353.17</v>
      </c>
      <c r="T88" s="7" t="n">
        <v>441.4</v>
      </c>
      <c r="U88" s="7" t="n">
        <v>52.71</v>
      </c>
      <c r="V88" s="7" t="n">
        <v>76.5</v>
      </c>
      <c r="W88" s="7" t="n">
        <v>87.4</v>
      </c>
      <c r="X88" s="7" t="n">
        <v>94</v>
      </c>
      <c r="Y88" s="7" t="n">
        <v>103.6</v>
      </c>
      <c r="Z88" s="7" t="n">
        <v>113.9</v>
      </c>
      <c r="AA88" s="7" t="n">
        <v>124.16</v>
      </c>
      <c r="AB88" s="7" t="n">
        <v>144.41</v>
      </c>
      <c r="AC88" s="7" t="n">
        <v>161.81</v>
      </c>
      <c r="AD88" s="7" t="n">
        <v>197.37</v>
      </c>
      <c r="AE88" s="7" t="n">
        <v>215.7</v>
      </c>
      <c r="AF88" s="7" t="n">
        <v>143.51</v>
      </c>
      <c r="AG88" s="7" t="n">
        <v>304.65</v>
      </c>
      <c r="AH88" s="12" t="n">
        <f aca="false">(U88+AH$4*(Resumo!$C$7+Resumo!$C$8)+Resumo!$C$10*CEILING(AH$3/100,1)+Resumo!$C$9)*(1+Resumo!$C$11)-(AH$4*(Resumo!$B$6+Resumo!$B$7)+Resumo!$B$9+Resumo!$B$10*CEILING(AH$3/100,1)+(Resumo!$B$12+Resumo!$B$13)*CEILING(AH$3,1))</f>
        <v>54.9227352971963</v>
      </c>
      <c r="AI88" s="12" t="n">
        <f aca="false">(V88+AI$4*(Resumo!$C$7+Resumo!$C$8)+Resumo!$C$10*CEILING(AI$3/100,1)+Resumo!$C$9)*(1+Resumo!$C$11)-(AI$4*(Resumo!$B$6+Resumo!$B$7)+Resumo!$B$9+Resumo!$B$10*CEILING(AI$3/100,1)+(Resumo!$B$12+Resumo!$B$13)*CEILING(AI$3,1))</f>
        <v>74.5570462771717</v>
      </c>
      <c r="AJ88" s="12" t="n">
        <f aca="false">(W88+AJ$4*(Resumo!$C$7+Resumo!$C$8)+Resumo!$C$10*CEILING(AJ$3/100,1)+Resumo!$C$9)*(1+Resumo!$C$11)-(AJ$4*(Resumo!$B$6+Resumo!$B$7)+Resumo!$B$9+Resumo!$B$10*CEILING(AJ$3/100,1)+(Resumo!$B$12+Resumo!$B$13)*CEILING(AJ$3,1))</f>
        <v>81.5039345092958</v>
      </c>
      <c r="AK88" s="12" t="n">
        <f aca="false">(X88+AK$4*(Resumo!$C$7+Resumo!$C$8)+Resumo!$C$10*CEILING(AK$3/100,1)+Resumo!$C$9)*(1+Resumo!$C$11)-(AK$4*(Resumo!$B$6+Resumo!$B$7)+Resumo!$B$9+Resumo!$B$10*CEILING(AK$3/100,1)+(Resumo!$B$12+Resumo!$B$13)*CEILING(AK$3,1))</f>
        <v>84.5552580255814</v>
      </c>
      <c r="AL88" s="12" t="n">
        <f aca="false">(Y88+AL$4*(Resumo!$C$7+Resumo!$C$8)+Resumo!$C$10*CEILING(AL$3/100,1)+Resumo!$C$9)*(1+Resumo!$C$11)-(AL$4*(Resumo!$B$6+Resumo!$B$7)+Resumo!$B$9+Resumo!$B$10*CEILING(AL$3/100,1)+(Resumo!$B$12+Resumo!$B$13)*CEILING(AL$3,1))</f>
        <v>90.7147698817308</v>
      </c>
      <c r="AM88" s="12" t="n">
        <f aca="false">(Z88+AM$4*(Resumo!$C$7+Resumo!$C$8)+Resumo!$C$10*CEILING(AM$3/100,1)+Resumo!$C$9)*(1+Resumo!$C$11)-(AM$4*(Resumo!$B$6+Resumo!$B$7)+Resumo!$B$9+Resumo!$B$10*CEILING(AM$3/100,1)+(Resumo!$B$12+Resumo!$B$13)*CEILING(AM$3,1))</f>
        <v>95.0304196468864</v>
      </c>
      <c r="AN88" s="12" t="n">
        <f aca="false">(AA88+AN$4*(Resumo!$C$7+Resumo!$C$8)+Resumo!$C$10*CEILING(AN$3/100,1)+Resumo!$C$9)*(1+Resumo!$C$11)-(AN$4*(Resumo!$B$6+Resumo!$B$7)+Resumo!$B$9+Resumo!$B$10*CEILING(AN$3/100,1)+(Resumo!$B$12+Resumo!$B$13)*CEILING(AN$3,1))</f>
        <v>102.00959604</v>
      </c>
      <c r="AO88" s="12" t="n">
        <f aca="false">(AB88+AO$4*(Resumo!$C$7+Resumo!$C$8)+Resumo!$C$10*CEILING(AO$3/100,1)+Resumo!$C$9)*(1+Resumo!$C$11)-(AO$4*(Resumo!$B$6+Resumo!$B$7)+Resumo!$B$9+Resumo!$B$10*CEILING(AO$3/100,1)+(Resumo!$B$12+Resumo!$B$13)*CEILING(AO$3,1))</f>
        <v>116.765897119298</v>
      </c>
      <c r="AP88" s="12" t="n">
        <f aca="false">(AC88+AP$4*(Resumo!$C$7+Resumo!$C$8)+Resumo!$C$10*CEILING(AP$3/100,1)+Resumo!$C$9)*(1+Resumo!$C$11)-(AP$4*(Resumo!$B$6+Resumo!$B$7)+Resumo!$B$9+Resumo!$B$10*CEILING(AP$3/100,1)+(Resumo!$B$12+Resumo!$B$13)*CEILING(AP$3,1))</f>
        <v>120.300564037736</v>
      </c>
      <c r="AQ88" s="12" t="n">
        <f aca="false">(AD88+AQ$4*(Resumo!$C$7+Resumo!$C$8)+Resumo!$C$10*CEILING(AQ$3/100,1)+Resumo!$C$9)*(1+Resumo!$C$11)-(AQ$4*(Resumo!$B$6+Resumo!$B$7)+Resumo!$B$9+Resumo!$B$10*CEILING(AQ$3/100,1)+(Resumo!$B$12+Resumo!$B$13)*CEILING(AQ$3,1))</f>
        <v>149.110142593023</v>
      </c>
      <c r="AR88" s="12" t="n">
        <f aca="false">(AE88+AR$4*(Resumo!$C$7+Resumo!$C$8)+Resumo!$C$10*CEILING(AR$3/100,1)+Resumo!$C$9)*(1+Resumo!$C$11)-(AR$4*(Resumo!$B$6+Resumo!$B$7)+Resumo!$B$9+Resumo!$B$10*CEILING(AR$3/100,1)+(Resumo!$B$12+Resumo!$B$13)*CEILING(AR$3,1))</f>
        <v>152.447191466667</v>
      </c>
      <c r="AS88" s="12" t="n">
        <f aca="false">(AF88+AS$4*(Resumo!$C$7+Resumo!$C$8)+Resumo!$C$10*CEILING(AS$3/100,1)+Resumo!$C$9)*(1+Resumo!$C$11)-(AS$4*(Resumo!$B$6+Resumo!$B$7)+Resumo!$B$9+Resumo!$B$10*CEILING(AS$3/100,1)+(Resumo!$B$12+Resumo!$B$13)*CEILING(AS$3,1))</f>
        <v>62.11023</v>
      </c>
      <c r="AT88" s="12" t="n">
        <f aca="false">(AG88+AT$4*(Resumo!$C$7+Resumo!$C$8)+Resumo!$C$10*CEILING(AT$3/100,1)+Resumo!$C$9)*(1+Resumo!$C$11)-(AT$4*(Resumo!$B$6+Resumo!$B$7)+Resumo!$B$9+Resumo!$B$10*CEILING(AT$3/100,1)+(Resumo!$B$12+Resumo!$B$13)*CEILING(AT$3,1))</f>
        <v>219.780987533333</v>
      </c>
      <c r="AU88" s="13" t="n">
        <f aca="false">1-AH88/H88</f>
        <v>0.557217548394097</v>
      </c>
      <c r="AV88" s="13" t="n">
        <f aca="false">1-AI88/I88</f>
        <v>0.460864514591281</v>
      </c>
      <c r="AW88" s="13" t="n">
        <f aca="false">1-AJ88/J88</f>
        <v>0.430201800130762</v>
      </c>
      <c r="AX88" s="13" t="n">
        <f aca="false">1-AK88/K88</f>
        <v>0.445684685816301</v>
      </c>
      <c r="AY88" s="13" t="n">
        <f aca="false">1-AL88/L88</f>
        <v>0.440170514183345</v>
      </c>
      <c r="AZ88" s="13" t="n">
        <f aca="false">1-AM88/M88</f>
        <v>0.446015975009406</v>
      </c>
      <c r="BA88" s="13" t="n">
        <f aca="false">1-AN88/N88</f>
        <v>0.436535594122846</v>
      </c>
      <c r="BB88" s="13" t="n">
        <f aca="false">1-AO88/O88</f>
        <v>0.416287256952118</v>
      </c>
      <c r="BC88" s="13" t="n">
        <f aca="false">1-AP88/P88</f>
        <v>0.492016873415523</v>
      </c>
      <c r="BD88" s="13" t="n">
        <f aca="false">1-AQ88/Q88</f>
        <v>0.436980280195502</v>
      </c>
      <c r="BE88" s="13" t="n">
        <f aca="false">1-AR88/R88</f>
        <v>0.492096646787717</v>
      </c>
      <c r="BF88" s="13" t="n">
        <f aca="false">1-AS88/S88</f>
        <v>0.824135034119546</v>
      </c>
      <c r="BG88" s="13" t="n">
        <f aca="false">1-AT88/T88</f>
        <v>0.502082040024166</v>
      </c>
    </row>
    <row r="89" customFormat="false" ht="15" hidden="false" customHeight="false" outlineLevel="0" collapsed="false">
      <c r="A89" s="4" t="s">
        <v>197</v>
      </c>
      <c r="B89" s="4" t="s">
        <v>274</v>
      </c>
      <c r="C89" s="34" t="n">
        <v>28800000</v>
      </c>
      <c r="D89" s="34" t="n">
        <v>28819999</v>
      </c>
      <c r="E89" s="4" t="s">
        <v>201</v>
      </c>
      <c r="F89" s="4" t="s">
        <v>209</v>
      </c>
      <c r="G89" s="4" t="n">
        <f aca="false">COUNTIFS(Pedidos!$E$2:$E$2224,"&gt;="&amp;C89,Pedidos!$E$2:$E$2224,"&lt;="&amp;D89)</f>
        <v>4</v>
      </c>
      <c r="H89" s="7" t="n">
        <v>57.47</v>
      </c>
      <c r="I89" s="7" t="n">
        <v>100.58</v>
      </c>
      <c r="J89" s="7" t="n">
        <v>114.95</v>
      </c>
      <c r="K89" s="7" t="n">
        <v>114.95</v>
      </c>
      <c r="L89" s="7" t="n">
        <v>128.14</v>
      </c>
      <c r="M89" s="7" t="n">
        <v>149.5</v>
      </c>
      <c r="N89" s="7" t="n">
        <v>142.74</v>
      </c>
      <c r="O89" s="7" t="n">
        <v>178.42</v>
      </c>
      <c r="P89" s="7" t="n">
        <v>214.11</v>
      </c>
      <c r="Q89" s="7" t="n">
        <v>249.03</v>
      </c>
      <c r="R89" s="7" t="n">
        <v>282.23</v>
      </c>
      <c r="S89" s="7" t="n">
        <v>332.05</v>
      </c>
      <c r="T89" s="7" t="n">
        <v>415.05</v>
      </c>
      <c r="U89" s="7" t="n">
        <v>52.71</v>
      </c>
      <c r="V89" s="7" t="n">
        <v>76.5</v>
      </c>
      <c r="W89" s="7" t="n">
        <v>87.4</v>
      </c>
      <c r="X89" s="7" t="n">
        <v>94</v>
      </c>
      <c r="Y89" s="7" t="n">
        <v>103.6</v>
      </c>
      <c r="Z89" s="7" t="n">
        <v>113.9</v>
      </c>
      <c r="AA89" s="7" t="n">
        <v>124.16</v>
      </c>
      <c r="AB89" s="7" t="n">
        <v>144.41</v>
      </c>
      <c r="AC89" s="7" t="n">
        <v>161.81</v>
      </c>
      <c r="AD89" s="7" t="n">
        <v>197.37</v>
      </c>
      <c r="AE89" s="7" t="n">
        <v>215.7</v>
      </c>
      <c r="AF89" s="7" t="n">
        <v>143.51</v>
      </c>
      <c r="AG89" s="7" t="n">
        <v>304.65</v>
      </c>
      <c r="AH89" s="12" t="n">
        <f aca="false">(U89+AH$4*(Resumo!$C$7+Resumo!$C$8)+Resumo!$C$10*CEILING(AH$3/100,1)+Resumo!$C$9)*(1+Resumo!$C$11)-(AH$4*(Resumo!$B$6+Resumo!$B$7)+Resumo!$B$9+Resumo!$B$10*CEILING(AH$3/100,1)+(Resumo!$B$12+Resumo!$B$13)*CEILING(AH$3,1))</f>
        <v>54.9227352971963</v>
      </c>
      <c r="AI89" s="12" t="n">
        <f aca="false">(V89+AI$4*(Resumo!$C$7+Resumo!$C$8)+Resumo!$C$10*CEILING(AI$3/100,1)+Resumo!$C$9)*(1+Resumo!$C$11)-(AI$4*(Resumo!$B$6+Resumo!$B$7)+Resumo!$B$9+Resumo!$B$10*CEILING(AI$3/100,1)+(Resumo!$B$12+Resumo!$B$13)*CEILING(AI$3,1))</f>
        <v>74.5570462771717</v>
      </c>
      <c r="AJ89" s="12" t="n">
        <f aca="false">(W89+AJ$4*(Resumo!$C$7+Resumo!$C$8)+Resumo!$C$10*CEILING(AJ$3/100,1)+Resumo!$C$9)*(1+Resumo!$C$11)-(AJ$4*(Resumo!$B$6+Resumo!$B$7)+Resumo!$B$9+Resumo!$B$10*CEILING(AJ$3/100,1)+(Resumo!$B$12+Resumo!$B$13)*CEILING(AJ$3,1))</f>
        <v>81.5039345092958</v>
      </c>
      <c r="AK89" s="12" t="n">
        <f aca="false">(X89+AK$4*(Resumo!$C$7+Resumo!$C$8)+Resumo!$C$10*CEILING(AK$3/100,1)+Resumo!$C$9)*(1+Resumo!$C$11)-(AK$4*(Resumo!$B$6+Resumo!$B$7)+Resumo!$B$9+Resumo!$B$10*CEILING(AK$3/100,1)+(Resumo!$B$12+Resumo!$B$13)*CEILING(AK$3,1))</f>
        <v>84.5552580255814</v>
      </c>
      <c r="AL89" s="12" t="n">
        <f aca="false">(Y89+AL$4*(Resumo!$C$7+Resumo!$C$8)+Resumo!$C$10*CEILING(AL$3/100,1)+Resumo!$C$9)*(1+Resumo!$C$11)-(AL$4*(Resumo!$B$6+Resumo!$B$7)+Resumo!$B$9+Resumo!$B$10*CEILING(AL$3/100,1)+(Resumo!$B$12+Resumo!$B$13)*CEILING(AL$3,1))</f>
        <v>90.7147698817308</v>
      </c>
      <c r="AM89" s="12" t="n">
        <f aca="false">(Z89+AM$4*(Resumo!$C$7+Resumo!$C$8)+Resumo!$C$10*CEILING(AM$3/100,1)+Resumo!$C$9)*(1+Resumo!$C$11)-(AM$4*(Resumo!$B$6+Resumo!$B$7)+Resumo!$B$9+Resumo!$B$10*CEILING(AM$3/100,1)+(Resumo!$B$12+Resumo!$B$13)*CEILING(AM$3,1))</f>
        <v>95.0304196468864</v>
      </c>
      <c r="AN89" s="12" t="n">
        <f aca="false">(AA89+AN$4*(Resumo!$C$7+Resumo!$C$8)+Resumo!$C$10*CEILING(AN$3/100,1)+Resumo!$C$9)*(1+Resumo!$C$11)-(AN$4*(Resumo!$B$6+Resumo!$B$7)+Resumo!$B$9+Resumo!$B$10*CEILING(AN$3/100,1)+(Resumo!$B$12+Resumo!$B$13)*CEILING(AN$3,1))</f>
        <v>102.00959604</v>
      </c>
      <c r="AO89" s="12" t="n">
        <f aca="false">(AB89+AO$4*(Resumo!$C$7+Resumo!$C$8)+Resumo!$C$10*CEILING(AO$3/100,1)+Resumo!$C$9)*(1+Resumo!$C$11)-(AO$4*(Resumo!$B$6+Resumo!$B$7)+Resumo!$B$9+Resumo!$B$10*CEILING(AO$3/100,1)+(Resumo!$B$12+Resumo!$B$13)*CEILING(AO$3,1))</f>
        <v>116.765897119298</v>
      </c>
      <c r="AP89" s="12" t="n">
        <f aca="false">(AC89+AP$4*(Resumo!$C$7+Resumo!$C$8)+Resumo!$C$10*CEILING(AP$3/100,1)+Resumo!$C$9)*(1+Resumo!$C$11)-(AP$4*(Resumo!$B$6+Resumo!$B$7)+Resumo!$B$9+Resumo!$B$10*CEILING(AP$3/100,1)+(Resumo!$B$12+Resumo!$B$13)*CEILING(AP$3,1))</f>
        <v>120.300564037736</v>
      </c>
      <c r="AQ89" s="12" t="n">
        <f aca="false">(AD89+AQ$4*(Resumo!$C$7+Resumo!$C$8)+Resumo!$C$10*CEILING(AQ$3/100,1)+Resumo!$C$9)*(1+Resumo!$C$11)-(AQ$4*(Resumo!$B$6+Resumo!$B$7)+Resumo!$B$9+Resumo!$B$10*CEILING(AQ$3/100,1)+(Resumo!$B$12+Resumo!$B$13)*CEILING(AQ$3,1))</f>
        <v>149.110142593023</v>
      </c>
      <c r="AR89" s="12" t="n">
        <f aca="false">(AE89+AR$4*(Resumo!$C$7+Resumo!$C$8)+Resumo!$C$10*CEILING(AR$3/100,1)+Resumo!$C$9)*(1+Resumo!$C$11)-(AR$4*(Resumo!$B$6+Resumo!$B$7)+Resumo!$B$9+Resumo!$B$10*CEILING(AR$3/100,1)+(Resumo!$B$12+Resumo!$B$13)*CEILING(AR$3,1))</f>
        <v>152.447191466667</v>
      </c>
      <c r="AS89" s="12" t="n">
        <f aca="false">(AF89+AS$4*(Resumo!$C$7+Resumo!$C$8)+Resumo!$C$10*CEILING(AS$3/100,1)+Resumo!$C$9)*(1+Resumo!$C$11)-(AS$4*(Resumo!$B$6+Resumo!$B$7)+Resumo!$B$9+Resumo!$B$10*CEILING(AS$3/100,1)+(Resumo!$B$12+Resumo!$B$13)*CEILING(AS$3,1))</f>
        <v>62.11023</v>
      </c>
      <c r="AT89" s="12" t="n">
        <f aca="false">(AG89+AT$4*(Resumo!$C$7+Resumo!$C$8)+Resumo!$C$10*CEILING(AT$3/100,1)+Resumo!$C$9)*(1+Resumo!$C$11)-(AT$4*(Resumo!$B$6+Resumo!$B$7)+Resumo!$B$9+Resumo!$B$10*CEILING(AT$3/100,1)+(Resumo!$B$12+Resumo!$B$13)*CEILING(AT$3,1))</f>
        <v>219.780987533333</v>
      </c>
      <c r="AU89" s="13" t="n">
        <f aca="false">1-AH89/H89</f>
        <v>0.0443233809431657</v>
      </c>
      <c r="AV89" s="13" t="n">
        <f aca="false">1-AI89/I89</f>
        <v>0.258728909552876</v>
      </c>
      <c r="AW89" s="13" t="n">
        <f aca="false">1-AJ89/J89</f>
        <v>0.290961857248406</v>
      </c>
      <c r="AX89" s="13" t="n">
        <f aca="false">1-AK89/K89</f>
        <v>0.264417068068017</v>
      </c>
      <c r="AY89" s="13" t="n">
        <f aca="false">1-AL89/L89</f>
        <v>0.292065164025825</v>
      </c>
      <c r="AZ89" s="13" t="n">
        <f aca="false">1-AM89/M89</f>
        <v>0.364345019084372</v>
      </c>
      <c r="BA89" s="13" t="n">
        <f aca="false">1-AN89/N89</f>
        <v>0.285346812105927</v>
      </c>
      <c r="BB89" s="13" t="n">
        <f aca="false">1-AO89/O89</f>
        <v>0.345556007626397</v>
      </c>
      <c r="BC89" s="13" t="n">
        <f aca="false">1-AP89/P89</f>
        <v>0.438136639868592</v>
      </c>
      <c r="BD89" s="13" t="n">
        <f aca="false">1-AQ89/Q89</f>
        <v>0.401236226185507</v>
      </c>
      <c r="BE89" s="13" t="n">
        <f aca="false">1-AR89/R89</f>
        <v>0.459847672229506</v>
      </c>
      <c r="BF89" s="13" t="n">
        <f aca="false">1-AS89/S89</f>
        <v>0.812949164282488</v>
      </c>
      <c r="BG89" s="13" t="n">
        <f aca="false">1-AT89/T89</f>
        <v>0.47047105762358</v>
      </c>
    </row>
    <row r="90" customFormat="false" ht="15" hidden="false" customHeight="false" outlineLevel="0" collapsed="false">
      <c r="A90" s="4" t="s">
        <v>197</v>
      </c>
      <c r="B90" s="4" t="s">
        <v>275</v>
      </c>
      <c r="C90" s="34" t="n">
        <v>28820000</v>
      </c>
      <c r="D90" s="34" t="n">
        <v>28859999</v>
      </c>
      <c r="E90" s="4" t="s">
        <v>201</v>
      </c>
      <c r="F90" s="4" t="s">
        <v>209</v>
      </c>
      <c r="G90" s="4" t="n">
        <f aca="false">COUNTIFS(Pedidos!$E$2:$E$2224,"&gt;="&amp;C90,Pedidos!$E$2:$E$2224,"&lt;="&amp;D90)</f>
        <v>0</v>
      </c>
      <c r="H90" s="7" t="n">
        <v>57.47</v>
      </c>
      <c r="I90" s="7" t="n">
        <v>100.58</v>
      </c>
      <c r="J90" s="7" t="n">
        <v>114.95</v>
      </c>
      <c r="K90" s="7" t="n">
        <v>114.95</v>
      </c>
      <c r="L90" s="7" t="n">
        <v>128.14</v>
      </c>
      <c r="M90" s="7" t="n">
        <v>149.5</v>
      </c>
      <c r="N90" s="7" t="n">
        <v>142.74</v>
      </c>
      <c r="O90" s="7" t="n">
        <v>178.42</v>
      </c>
      <c r="P90" s="7" t="n">
        <v>214.11</v>
      </c>
      <c r="Q90" s="7" t="n">
        <v>249.03</v>
      </c>
      <c r="R90" s="7" t="n">
        <v>282.23</v>
      </c>
      <c r="S90" s="7" t="n">
        <v>332.05</v>
      </c>
      <c r="T90" s="7" t="n">
        <v>415.05</v>
      </c>
      <c r="U90" s="7" t="n">
        <v>52.71</v>
      </c>
      <c r="V90" s="7" t="n">
        <v>76.5</v>
      </c>
      <c r="W90" s="7" t="n">
        <v>87.4</v>
      </c>
      <c r="X90" s="7" t="n">
        <v>94</v>
      </c>
      <c r="Y90" s="7" t="n">
        <v>103.6</v>
      </c>
      <c r="Z90" s="7" t="n">
        <v>113.9</v>
      </c>
      <c r="AA90" s="7" t="n">
        <v>124.16</v>
      </c>
      <c r="AB90" s="7" t="n">
        <v>144.41</v>
      </c>
      <c r="AC90" s="7" t="n">
        <v>161.81</v>
      </c>
      <c r="AD90" s="7" t="n">
        <v>197.37</v>
      </c>
      <c r="AE90" s="7" t="n">
        <v>215.7</v>
      </c>
      <c r="AF90" s="7" t="n">
        <v>143.51</v>
      </c>
      <c r="AG90" s="7" t="n">
        <v>304.65</v>
      </c>
      <c r="AH90" s="12" t="n">
        <f aca="false">(U90+AH$4*(Resumo!$C$7+Resumo!$C$8)+Resumo!$C$10*CEILING(AH$3/100,1)+Resumo!$C$9)*(1+Resumo!$C$11)-(AH$4*(Resumo!$B$6+Resumo!$B$7)+Resumo!$B$9+Resumo!$B$10*CEILING(AH$3/100,1)+(Resumo!$B$12+Resumo!$B$13)*CEILING(AH$3,1))</f>
        <v>54.9227352971963</v>
      </c>
      <c r="AI90" s="12" t="n">
        <f aca="false">(V90+AI$4*(Resumo!$C$7+Resumo!$C$8)+Resumo!$C$10*CEILING(AI$3/100,1)+Resumo!$C$9)*(1+Resumo!$C$11)-(AI$4*(Resumo!$B$6+Resumo!$B$7)+Resumo!$B$9+Resumo!$B$10*CEILING(AI$3/100,1)+(Resumo!$B$12+Resumo!$B$13)*CEILING(AI$3,1))</f>
        <v>74.5570462771717</v>
      </c>
      <c r="AJ90" s="12" t="n">
        <f aca="false">(W90+AJ$4*(Resumo!$C$7+Resumo!$C$8)+Resumo!$C$10*CEILING(AJ$3/100,1)+Resumo!$C$9)*(1+Resumo!$C$11)-(AJ$4*(Resumo!$B$6+Resumo!$B$7)+Resumo!$B$9+Resumo!$B$10*CEILING(AJ$3/100,1)+(Resumo!$B$12+Resumo!$B$13)*CEILING(AJ$3,1))</f>
        <v>81.5039345092958</v>
      </c>
      <c r="AK90" s="12" t="n">
        <f aca="false">(X90+AK$4*(Resumo!$C$7+Resumo!$C$8)+Resumo!$C$10*CEILING(AK$3/100,1)+Resumo!$C$9)*(1+Resumo!$C$11)-(AK$4*(Resumo!$B$6+Resumo!$B$7)+Resumo!$B$9+Resumo!$B$10*CEILING(AK$3/100,1)+(Resumo!$B$12+Resumo!$B$13)*CEILING(AK$3,1))</f>
        <v>84.5552580255814</v>
      </c>
      <c r="AL90" s="12" t="n">
        <f aca="false">(Y90+AL$4*(Resumo!$C$7+Resumo!$C$8)+Resumo!$C$10*CEILING(AL$3/100,1)+Resumo!$C$9)*(1+Resumo!$C$11)-(AL$4*(Resumo!$B$6+Resumo!$B$7)+Resumo!$B$9+Resumo!$B$10*CEILING(AL$3/100,1)+(Resumo!$B$12+Resumo!$B$13)*CEILING(AL$3,1))</f>
        <v>90.7147698817308</v>
      </c>
      <c r="AM90" s="12" t="n">
        <f aca="false">(Z90+AM$4*(Resumo!$C$7+Resumo!$C$8)+Resumo!$C$10*CEILING(AM$3/100,1)+Resumo!$C$9)*(1+Resumo!$C$11)-(AM$4*(Resumo!$B$6+Resumo!$B$7)+Resumo!$B$9+Resumo!$B$10*CEILING(AM$3/100,1)+(Resumo!$B$12+Resumo!$B$13)*CEILING(AM$3,1))</f>
        <v>95.0304196468864</v>
      </c>
      <c r="AN90" s="12" t="n">
        <f aca="false">(AA90+AN$4*(Resumo!$C$7+Resumo!$C$8)+Resumo!$C$10*CEILING(AN$3/100,1)+Resumo!$C$9)*(1+Resumo!$C$11)-(AN$4*(Resumo!$B$6+Resumo!$B$7)+Resumo!$B$9+Resumo!$B$10*CEILING(AN$3/100,1)+(Resumo!$B$12+Resumo!$B$13)*CEILING(AN$3,1))</f>
        <v>102.00959604</v>
      </c>
      <c r="AO90" s="12" t="n">
        <f aca="false">(AB90+AO$4*(Resumo!$C$7+Resumo!$C$8)+Resumo!$C$10*CEILING(AO$3/100,1)+Resumo!$C$9)*(1+Resumo!$C$11)-(AO$4*(Resumo!$B$6+Resumo!$B$7)+Resumo!$B$9+Resumo!$B$10*CEILING(AO$3/100,1)+(Resumo!$B$12+Resumo!$B$13)*CEILING(AO$3,1))</f>
        <v>116.765897119298</v>
      </c>
      <c r="AP90" s="12" t="n">
        <f aca="false">(AC90+AP$4*(Resumo!$C$7+Resumo!$C$8)+Resumo!$C$10*CEILING(AP$3/100,1)+Resumo!$C$9)*(1+Resumo!$C$11)-(AP$4*(Resumo!$B$6+Resumo!$B$7)+Resumo!$B$9+Resumo!$B$10*CEILING(AP$3/100,1)+(Resumo!$B$12+Resumo!$B$13)*CEILING(AP$3,1))</f>
        <v>120.300564037736</v>
      </c>
      <c r="AQ90" s="12" t="n">
        <f aca="false">(AD90+AQ$4*(Resumo!$C$7+Resumo!$C$8)+Resumo!$C$10*CEILING(AQ$3/100,1)+Resumo!$C$9)*(1+Resumo!$C$11)-(AQ$4*(Resumo!$B$6+Resumo!$B$7)+Resumo!$B$9+Resumo!$B$10*CEILING(AQ$3/100,1)+(Resumo!$B$12+Resumo!$B$13)*CEILING(AQ$3,1))</f>
        <v>149.110142593023</v>
      </c>
      <c r="AR90" s="12" t="n">
        <f aca="false">(AE90+AR$4*(Resumo!$C$7+Resumo!$C$8)+Resumo!$C$10*CEILING(AR$3/100,1)+Resumo!$C$9)*(1+Resumo!$C$11)-(AR$4*(Resumo!$B$6+Resumo!$B$7)+Resumo!$B$9+Resumo!$B$10*CEILING(AR$3/100,1)+(Resumo!$B$12+Resumo!$B$13)*CEILING(AR$3,1))</f>
        <v>152.447191466667</v>
      </c>
      <c r="AS90" s="12" t="n">
        <f aca="false">(AF90+AS$4*(Resumo!$C$7+Resumo!$C$8)+Resumo!$C$10*CEILING(AS$3/100,1)+Resumo!$C$9)*(1+Resumo!$C$11)-(AS$4*(Resumo!$B$6+Resumo!$B$7)+Resumo!$B$9+Resumo!$B$10*CEILING(AS$3/100,1)+(Resumo!$B$12+Resumo!$B$13)*CEILING(AS$3,1))</f>
        <v>62.11023</v>
      </c>
      <c r="AT90" s="12" t="n">
        <f aca="false">(AG90+AT$4*(Resumo!$C$7+Resumo!$C$8)+Resumo!$C$10*CEILING(AT$3/100,1)+Resumo!$C$9)*(1+Resumo!$C$11)-(AT$4*(Resumo!$B$6+Resumo!$B$7)+Resumo!$B$9+Resumo!$B$10*CEILING(AT$3/100,1)+(Resumo!$B$12+Resumo!$B$13)*CEILING(AT$3,1))</f>
        <v>219.780987533333</v>
      </c>
      <c r="AU90" s="13" t="n">
        <f aca="false">1-AH90/H90</f>
        <v>0.0443233809431657</v>
      </c>
      <c r="AV90" s="13" t="n">
        <f aca="false">1-AI90/I90</f>
        <v>0.258728909552876</v>
      </c>
      <c r="AW90" s="13" t="n">
        <f aca="false">1-AJ90/J90</f>
        <v>0.290961857248406</v>
      </c>
      <c r="AX90" s="13" t="n">
        <f aca="false">1-AK90/K90</f>
        <v>0.264417068068017</v>
      </c>
      <c r="AY90" s="13" t="n">
        <f aca="false">1-AL90/L90</f>
        <v>0.292065164025825</v>
      </c>
      <c r="AZ90" s="13" t="n">
        <f aca="false">1-AM90/M90</f>
        <v>0.364345019084372</v>
      </c>
      <c r="BA90" s="13" t="n">
        <f aca="false">1-AN90/N90</f>
        <v>0.285346812105927</v>
      </c>
      <c r="BB90" s="13" t="n">
        <f aca="false">1-AO90/O90</f>
        <v>0.345556007626397</v>
      </c>
      <c r="BC90" s="13" t="n">
        <f aca="false">1-AP90/P90</f>
        <v>0.438136639868592</v>
      </c>
      <c r="BD90" s="13" t="n">
        <f aca="false">1-AQ90/Q90</f>
        <v>0.401236226185507</v>
      </c>
      <c r="BE90" s="13" t="n">
        <f aca="false">1-AR90/R90</f>
        <v>0.459847672229506</v>
      </c>
      <c r="BF90" s="13" t="n">
        <f aca="false">1-AS90/S90</f>
        <v>0.812949164282488</v>
      </c>
      <c r="BG90" s="13" t="n">
        <f aca="false">1-AT90/T90</f>
        <v>0.47047105762358</v>
      </c>
    </row>
    <row r="91" customFormat="false" ht="15" hidden="false" customHeight="false" outlineLevel="0" collapsed="false">
      <c r="A91" s="4" t="s">
        <v>197</v>
      </c>
      <c r="B91" s="4" t="s">
        <v>276</v>
      </c>
      <c r="C91" s="34" t="n">
        <v>28860000</v>
      </c>
      <c r="D91" s="34" t="n">
        <v>28889999</v>
      </c>
      <c r="E91" s="4" t="s">
        <v>201</v>
      </c>
      <c r="F91" s="4" t="s">
        <v>204</v>
      </c>
      <c r="G91" s="4" t="n">
        <f aca="false">COUNTIFS(Pedidos!$E$2:$E$2224,"&gt;="&amp;C91,Pedidos!$E$2:$E$2224,"&lt;="&amp;D91)</f>
        <v>7</v>
      </c>
      <c r="H91" s="7" t="n">
        <v>100.7</v>
      </c>
      <c r="I91" s="7" t="n">
        <v>114.95</v>
      </c>
      <c r="J91" s="7" t="n">
        <v>124.38</v>
      </c>
      <c r="K91" s="7" t="n">
        <v>129.29</v>
      </c>
      <c r="L91" s="7" t="n">
        <v>142.32</v>
      </c>
      <c r="M91" s="7" t="n">
        <v>166.05</v>
      </c>
      <c r="N91" s="7" t="n">
        <v>166.05</v>
      </c>
      <c r="O91" s="7" t="n">
        <v>197.35</v>
      </c>
      <c r="P91" s="7" t="n">
        <v>236.82</v>
      </c>
      <c r="Q91" s="7" t="n">
        <v>264.84</v>
      </c>
      <c r="R91" s="7" t="n">
        <v>300.15</v>
      </c>
      <c r="S91" s="7" t="n">
        <v>353.12</v>
      </c>
      <c r="T91" s="7" t="n">
        <v>441.4</v>
      </c>
      <c r="U91" s="7" t="n">
        <v>52.71</v>
      </c>
      <c r="V91" s="7" t="n">
        <v>76.5</v>
      </c>
      <c r="W91" s="7" t="n">
        <v>87.4</v>
      </c>
      <c r="X91" s="7" t="n">
        <v>94</v>
      </c>
      <c r="Y91" s="7" t="n">
        <v>103.6</v>
      </c>
      <c r="Z91" s="7" t="n">
        <v>113.9</v>
      </c>
      <c r="AA91" s="7" t="n">
        <v>124.16</v>
      </c>
      <c r="AB91" s="7" t="n">
        <v>144.41</v>
      </c>
      <c r="AC91" s="7" t="n">
        <v>161.81</v>
      </c>
      <c r="AD91" s="7" t="n">
        <v>197.37</v>
      </c>
      <c r="AE91" s="7" t="n">
        <v>215.7</v>
      </c>
      <c r="AF91" s="7" t="n">
        <v>143.51</v>
      </c>
      <c r="AG91" s="7" t="n">
        <v>304.65</v>
      </c>
      <c r="AH91" s="12" t="n">
        <f aca="false">(U91+AH$4*(Resumo!$C$7+Resumo!$C$8)+Resumo!$C$10*CEILING(AH$3/100,1)+Resumo!$C$9)*(1+Resumo!$C$11)-(AH$4*(Resumo!$B$6+Resumo!$B$7)+Resumo!$B$9+Resumo!$B$10*CEILING(AH$3/100,1)+(Resumo!$B$12+Resumo!$B$13)*CEILING(AH$3,1))</f>
        <v>54.9227352971963</v>
      </c>
      <c r="AI91" s="12" t="n">
        <f aca="false">(V91+AI$4*(Resumo!$C$7+Resumo!$C$8)+Resumo!$C$10*CEILING(AI$3/100,1)+Resumo!$C$9)*(1+Resumo!$C$11)-(AI$4*(Resumo!$B$6+Resumo!$B$7)+Resumo!$B$9+Resumo!$B$10*CEILING(AI$3/100,1)+(Resumo!$B$12+Resumo!$B$13)*CEILING(AI$3,1))</f>
        <v>74.5570462771717</v>
      </c>
      <c r="AJ91" s="12" t="n">
        <f aca="false">(W91+AJ$4*(Resumo!$C$7+Resumo!$C$8)+Resumo!$C$10*CEILING(AJ$3/100,1)+Resumo!$C$9)*(1+Resumo!$C$11)-(AJ$4*(Resumo!$B$6+Resumo!$B$7)+Resumo!$B$9+Resumo!$B$10*CEILING(AJ$3/100,1)+(Resumo!$B$12+Resumo!$B$13)*CEILING(AJ$3,1))</f>
        <v>81.5039345092958</v>
      </c>
      <c r="AK91" s="12" t="n">
        <f aca="false">(X91+AK$4*(Resumo!$C$7+Resumo!$C$8)+Resumo!$C$10*CEILING(AK$3/100,1)+Resumo!$C$9)*(1+Resumo!$C$11)-(AK$4*(Resumo!$B$6+Resumo!$B$7)+Resumo!$B$9+Resumo!$B$10*CEILING(AK$3/100,1)+(Resumo!$B$12+Resumo!$B$13)*CEILING(AK$3,1))</f>
        <v>84.5552580255814</v>
      </c>
      <c r="AL91" s="12" t="n">
        <f aca="false">(Y91+AL$4*(Resumo!$C$7+Resumo!$C$8)+Resumo!$C$10*CEILING(AL$3/100,1)+Resumo!$C$9)*(1+Resumo!$C$11)-(AL$4*(Resumo!$B$6+Resumo!$B$7)+Resumo!$B$9+Resumo!$B$10*CEILING(AL$3/100,1)+(Resumo!$B$12+Resumo!$B$13)*CEILING(AL$3,1))</f>
        <v>90.7147698817308</v>
      </c>
      <c r="AM91" s="12" t="n">
        <f aca="false">(Z91+AM$4*(Resumo!$C$7+Resumo!$C$8)+Resumo!$C$10*CEILING(AM$3/100,1)+Resumo!$C$9)*(1+Resumo!$C$11)-(AM$4*(Resumo!$B$6+Resumo!$B$7)+Resumo!$B$9+Resumo!$B$10*CEILING(AM$3/100,1)+(Resumo!$B$12+Resumo!$B$13)*CEILING(AM$3,1))</f>
        <v>95.0304196468864</v>
      </c>
      <c r="AN91" s="12" t="n">
        <f aca="false">(AA91+AN$4*(Resumo!$C$7+Resumo!$C$8)+Resumo!$C$10*CEILING(AN$3/100,1)+Resumo!$C$9)*(1+Resumo!$C$11)-(AN$4*(Resumo!$B$6+Resumo!$B$7)+Resumo!$B$9+Resumo!$B$10*CEILING(AN$3/100,1)+(Resumo!$B$12+Resumo!$B$13)*CEILING(AN$3,1))</f>
        <v>102.00959604</v>
      </c>
      <c r="AO91" s="12" t="n">
        <f aca="false">(AB91+AO$4*(Resumo!$C$7+Resumo!$C$8)+Resumo!$C$10*CEILING(AO$3/100,1)+Resumo!$C$9)*(1+Resumo!$C$11)-(AO$4*(Resumo!$B$6+Resumo!$B$7)+Resumo!$B$9+Resumo!$B$10*CEILING(AO$3/100,1)+(Resumo!$B$12+Resumo!$B$13)*CEILING(AO$3,1))</f>
        <v>116.765897119298</v>
      </c>
      <c r="AP91" s="12" t="n">
        <f aca="false">(AC91+AP$4*(Resumo!$C$7+Resumo!$C$8)+Resumo!$C$10*CEILING(AP$3/100,1)+Resumo!$C$9)*(1+Resumo!$C$11)-(AP$4*(Resumo!$B$6+Resumo!$B$7)+Resumo!$B$9+Resumo!$B$10*CEILING(AP$3/100,1)+(Resumo!$B$12+Resumo!$B$13)*CEILING(AP$3,1))</f>
        <v>120.300564037736</v>
      </c>
      <c r="AQ91" s="12" t="n">
        <f aca="false">(AD91+AQ$4*(Resumo!$C$7+Resumo!$C$8)+Resumo!$C$10*CEILING(AQ$3/100,1)+Resumo!$C$9)*(1+Resumo!$C$11)-(AQ$4*(Resumo!$B$6+Resumo!$B$7)+Resumo!$B$9+Resumo!$B$10*CEILING(AQ$3/100,1)+(Resumo!$B$12+Resumo!$B$13)*CEILING(AQ$3,1))</f>
        <v>149.110142593023</v>
      </c>
      <c r="AR91" s="12" t="n">
        <f aca="false">(AE91+AR$4*(Resumo!$C$7+Resumo!$C$8)+Resumo!$C$10*CEILING(AR$3/100,1)+Resumo!$C$9)*(1+Resumo!$C$11)-(AR$4*(Resumo!$B$6+Resumo!$B$7)+Resumo!$B$9+Resumo!$B$10*CEILING(AR$3/100,1)+(Resumo!$B$12+Resumo!$B$13)*CEILING(AR$3,1))</f>
        <v>152.447191466667</v>
      </c>
      <c r="AS91" s="12" t="n">
        <f aca="false">(AF91+AS$4*(Resumo!$C$7+Resumo!$C$8)+Resumo!$C$10*CEILING(AS$3/100,1)+Resumo!$C$9)*(1+Resumo!$C$11)-(AS$4*(Resumo!$B$6+Resumo!$B$7)+Resumo!$B$9+Resumo!$B$10*CEILING(AS$3/100,1)+(Resumo!$B$12+Resumo!$B$13)*CEILING(AS$3,1))</f>
        <v>62.11023</v>
      </c>
      <c r="AT91" s="12" t="n">
        <f aca="false">(AG91+AT$4*(Resumo!$C$7+Resumo!$C$8)+Resumo!$C$10*CEILING(AT$3/100,1)+Resumo!$C$9)*(1+Resumo!$C$11)-(AT$4*(Resumo!$B$6+Resumo!$B$7)+Resumo!$B$9+Resumo!$B$10*CEILING(AT$3/100,1)+(Resumo!$B$12+Resumo!$B$13)*CEILING(AT$3,1))</f>
        <v>219.780987533333</v>
      </c>
      <c r="AU91" s="13" t="n">
        <f aca="false">1-AH91/H91</f>
        <v>0.454590513433999</v>
      </c>
      <c r="AV91" s="13" t="n">
        <f aca="false">1-AI91/I91</f>
        <v>0.351395856657923</v>
      </c>
      <c r="AW91" s="13" t="n">
        <f aca="false">1-AJ91/J91</f>
        <v>0.344718326826694</v>
      </c>
      <c r="AX91" s="13" t="n">
        <f aca="false">1-AK91/K91</f>
        <v>0.346003109091334</v>
      </c>
      <c r="AY91" s="13" t="n">
        <f aca="false">1-AL91/L91</f>
        <v>0.362599986778171</v>
      </c>
      <c r="AZ91" s="13" t="n">
        <f aca="false">1-AM91/M91</f>
        <v>0.427699972015137</v>
      </c>
      <c r="BA91" s="13" t="n">
        <f aca="false">1-AN91/N91</f>
        <v>0.385669400542005</v>
      </c>
      <c r="BB91" s="13" t="n">
        <f aca="false">1-AO91/O91</f>
        <v>0.408330898812778</v>
      </c>
      <c r="BC91" s="13" t="n">
        <f aca="false">1-AP91/P91</f>
        <v>0.492016873415523</v>
      </c>
      <c r="BD91" s="13" t="n">
        <f aca="false">1-AQ91/Q91</f>
        <v>0.436980280195502</v>
      </c>
      <c r="BE91" s="13" t="n">
        <f aca="false">1-AR91/R91</f>
        <v>0.492096646787717</v>
      </c>
      <c r="BF91" s="13" t="n">
        <f aca="false">1-AS91/S91</f>
        <v>0.82411013253285</v>
      </c>
      <c r="BG91" s="13" t="n">
        <f aca="false">1-AT91/T91</f>
        <v>0.502082040024166</v>
      </c>
    </row>
    <row r="92" customFormat="false" ht="15" hidden="false" customHeight="false" outlineLevel="0" collapsed="false">
      <c r="A92" s="4" t="s">
        <v>197</v>
      </c>
      <c r="B92" s="4" t="s">
        <v>158</v>
      </c>
      <c r="C92" s="34" t="n">
        <v>28890000</v>
      </c>
      <c r="D92" s="34" t="n">
        <v>28899999</v>
      </c>
      <c r="E92" s="4" t="s">
        <v>201</v>
      </c>
      <c r="F92" s="4" t="s">
        <v>204</v>
      </c>
      <c r="G92" s="4" t="n">
        <f aca="false">COUNTIFS(Pedidos!$E$2:$E$2224,"&gt;="&amp;C92,Pedidos!$E$2:$E$2224,"&lt;="&amp;D92)</f>
        <v>18</v>
      </c>
      <c r="H92" s="7" t="n">
        <v>100.7</v>
      </c>
      <c r="I92" s="7" t="n">
        <v>114.95</v>
      </c>
      <c r="J92" s="7" t="n">
        <v>124.38</v>
      </c>
      <c r="K92" s="7" t="n">
        <v>129.29</v>
      </c>
      <c r="L92" s="7" t="n">
        <v>142.32</v>
      </c>
      <c r="M92" s="7" t="n">
        <v>166.05</v>
      </c>
      <c r="N92" s="7" t="n">
        <v>166.05</v>
      </c>
      <c r="O92" s="7" t="n">
        <v>197.35</v>
      </c>
      <c r="P92" s="7" t="n">
        <v>236.82</v>
      </c>
      <c r="Q92" s="7" t="n">
        <v>264.84</v>
      </c>
      <c r="R92" s="7" t="n">
        <v>300.15</v>
      </c>
      <c r="S92" s="7" t="n">
        <v>353.12</v>
      </c>
      <c r="T92" s="7" t="n">
        <v>441.4</v>
      </c>
      <c r="U92" s="7" t="n">
        <v>52.71</v>
      </c>
      <c r="V92" s="7" t="n">
        <v>76.5</v>
      </c>
      <c r="W92" s="7" t="n">
        <v>87.4</v>
      </c>
      <c r="X92" s="7" t="n">
        <v>94</v>
      </c>
      <c r="Y92" s="7" t="n">
        <v>103.6</v>
      </c>
      <c r="Z92" s="7" t="n">
        <v>113.9</v>
      </c>
      <c r="AA92" s="7" t="n">
        <v>124.16</v>
      </c>
      <c r="AB92" s="7" t="n">
        <v>144.41</v>
      </c>
      <c r="AC92" s="7" t="n">
        <v>161.81</v>
      </c>
      <c r="AD92" s="7" t="n">
        <v>197.37</v>
      </c>
      <c r="AE92" s="7" t="n">
        <v>215.7</v>
      </c>
      <c r="AF92" s="7" t="n">
        <v>143.51</v>
      </c>
      <c r="AG92" s="7" t="n">
        <v>304.65</v>
      </c>
      <c r="AH92" s="12" t="n">
        <f aca="false">(U92+AH$4*(Resumo!$C$7+Resumo!$C$8)+Resumo!$C$10*CEILING(AH$3/100,1)+Resumo!$C$9)*(1+Resumo!$C$11)-(AH$4*(Resumo!$B$6+Resumo!$B$7)+Resumo!$B$9+Resumo!$B$10*CEILING(AH$3/100,1)+(Resumo!$B$12+Resumo!$B$13)*CEILING(AH$3,1))</f>
        <v>54.9227352971963</v>
      </c>
      <c r="AI92" s="12" t="n">
        <f aca="false">(V92+AI$4*(Resumo!$C$7+Resumo!$C$8)+Resumo!$C$10*CEILING(AI$3/100,1)+Resumo!$C$9)*(1+Resumo!$C$11)-(AI$4*(Resumo!$B$6+Resumo!$B$7)+Resumo!$B$9+Resumo!$B$10*CEILING(AI$3/100,1)+(Resumo!$B$12+Resumo!$B$13)*CEILING(AI$3,1))</f>
        <v>74.5570462771717</v>
      </c>
      <c r="AJ92" s="12" t="n">
        <f aca="false">(W92+AJ$4*(Resumo!$C$7+Resumo!$C$8)+Resumo!$C$10*CEILING(AJ$3/100,1)+Resumo!$C$9)*(1+Resumo!$C$11)-(AJ$4*(Resumo!$B$6+Resumo!$B$7)+Resumo!$B$9+Resumo!$B$10*CEILING(AJ$3/100,1)+(Resumo!$B$12+Resumo!$B$13)*CEILING(AJ$3,1))</f>
        <v>81.5039345092958</v>
      </c>
      <c r="AK92" s="12" t="n">
        <f aca="false">(X92+AK$4*(Resumo!$C$7+Resumo!$C$8)+Resumo!$C$10*CEILING(AK$3/100,1)+Resumo!$C$9)*(1+Resumo!$C$11)-(AK$4*(Resumo!$B$6+Resumo!$B$7)+Resumo!$B$9+Resumo!$B$10*CEILING(AK$3/100,1)+(Resumo!$B$12+Resumo!$B$13)*CEILING(AK$3,1))</f>
        <v>84.5552580255814</v>
      </c>
      <c r="AL92" s="12" t="n">
        <f aca="false">(Y92+AL$4*(Resumo!$C$7+Resumo!$C$8)+Resumo!$C$10*CEILING(AL$3/100,1)+Resumo!$C$9)*(1+Resumo!$C$11)-(AL$4*(Resumo!$B$6+Resumo!$B$7)+Resumo!$B$9+Resumo!$B$10*CEILING(AL$3/100,1)+(Resumo!$B$12+Resumo!$B$13)*CEILING(AL$3,1))</f>
        <v>90.7147698817308</v>
      </c>
      <c r="AM92" s="12" t="n">
        <f aca="false">(Z92+AM$4*(Resumo!$C$7+Resumo!$C$8)+Resumo!$C$10*CEILING(AM$3/100,1)+Resumo!$C$9)*(1+Resumo!$C$11)-(AM$4*(Resumo!$B$6+Resumo!$B$7)+Resumo!$B$9+Resumo!$B$10*CEILING(AM$3/100,1)+(Resumo!$B$12+Resumo!$B$13)*CEILING(AM$3,1))</f>
        <v>95.0304196468864</v>
      </c>
      <c r="AN92" s="12" t="n">
        <f aca="false">(AA92+AN$4*(Resumo!$C$7+Resumo!$C$8)+Resumo!$C$10*CEILING(AN$3/100,1)+Resumo!$C$9)*(1+Resumo!$C$11)-(AN$4*(Resumo!$B$6+Resumo!$B$7)+Resumo!$B$9+Resumo!$B$10*CEILING(AN$3/100,1)+(Resumo!$B$12+Resumo!$B$13)*CEILING(AN$3,1))</f>
        <v>102.00959604</v>
      </c>
      <c r="AO92" s="12" t="n">
        <f aca="false">(AB92+AO$4*(Resumo!$C$7+Resumo!$C$8)+Resumo!$C$10*CEILING(AO$3/100,1)+Resumo!$C$9)*(1+Resumo!$C$11)-(AO$4*(Resumo!$B$6+Resumo!$B$7)+Resumo!$B$9+Resumo!$B$10*CEILING(AO$3/100,1)+(Resumo!$B$12+Resumo!$B$13)*CEILING(AO$3,1))</f>
        <v>116.765897119298</v>
      </c>
      <c r="AP92" s="12" t="n">
        <f aca="false">(AC92+AP$4*(Resumo!$C$7+Resumo!$C$8)+Resumo!$C$10*CEILING(AP$3/100,1)+Resumo!$C$9)*(1+Resumo!$C$11)-(AP$4*(Resumo!$B$6+Resumo!$B$7)+Resumo!$B$9+Resumo!$B$10*CEILING(AP$3/100,1)+(Resumo!$B$12+Resumo!$B$13)*CEILING(AP$3,1))</f>
        <v>120.300564037736</v>
      </c>
      <c r="AQ92" s="12" t="n">
        <f aca="false">(AD92+AQ$4*(Resumo!$C$7+Resumo!$C$8)+Resumo!$C$10*CEILING(AQ$3/100,1)+Resumo!$C$9)*(1+Resumo!$C$11)-(AQ$4*(Resumo!$B$6+Resumo!$B$7)+Resumo!$B$9+Resumo!$B$10*CEILING(AQ$3/100,1)+(Resumo!$B$12+Resumo!$B$13)*CEILING(AQ$3,1))</f>
        <v>149.110142593023</v>
      </c>
      <c r="AR92" s="12" t="n">
        <f aca="false">(AE92+AR$4*(Resumo!$C$7+Resumo!$C$8)+Resumo!$C$10*CEILING(AR$3/100,1)+Resumo!$C$9)*(1+Resumo!$C$11)-(AR$4*(Resumo!$B$6+Resumo!$B$7)+Resumo!$B$9+Resumo!$B$10*CEILING(AR$3/100,1)+(Resumo!$B$12+Resumo!$B$13)*CEILING(AR$3,1))</f>
        <v>152.447191466667</v>
      </c>
      <c r="AS92" s="12" t="n">
        <f aca="false">(AF92+AS$4*(Resumo!$C$7+Resumo!$C$8)+Resumo!$C$10*CEILING(AS$3/100,1)+Resumo!$C$9)*(1+Resumo!$C$11)-(AS$4*(Resumo!$B$6+Resumo!$B$7)+Resumo!$B$9+Resumo!$B$10*CEILING(AS$3/100,1)+(Resumo!$B$12+Resumo!$B$13)*CEILING(AS$3,1))</f>
        <v>62.11023</v>
      </c>
      <c r="AT92" s="12" t="n">
        <f aca="false">(AG92+AT$4*(Resumo!$C$7+Resumo!$C$8)+Resumo!$C$10*CEILING(AT$3/100,1)+Resumo!$C$9)*(1+Resumo!$C$11)-(AT$4*(Resumo!$B$6+Resumo!$B$7)+Resumo!$B$9+Resumo!$B$10*CEILING(AT$3/100,1)+(Resumo!$B$12+Resumo!$B$13)*CEILING(AT$3,1))</f>
        <v>219.780987533333</v>
      </c>
      <c r="AU92" s="13" t="n">
        <f aca="false">1-AH92/H92</f>
        <v>0.454590513433999</v>
      </c>
      <c r="AV92" s="13" t="n">
        <f aca="false">1-AI92/I92</f>
        <v>0.351395856657923</v>
      </c>
      <c r="AW92" s="13" t="n">
        <f aca="false">1-AJ92/J92</f>
        <v>0.344718326826694</v>
      </c>
      <c r="AX92" s="13" t="n">
        <f aca="false">1-AK92/K92</f>
        <v>0.346003109091334</v>
      </c>
      <c r="AY92" s="13" t="n">
        <f aca="false">1-AL92/L92</f>
        <v>0.362599986778171</v>
      </c>
      <c r="AZ92" s="13" t="n">
        <f aca="false">1-AM92/M92</f>
        <v>0.427699972015137</v>
      </c>
      <c r="BA92" s="13" t="n">
        <f aca="false">1-AN92/N92</f>
        <v>0.385669400542005</v>
      </c>
      <c r="BB92" s="13" t="n">
        <f aca="false">1-AO92/O92</f>
        <v>0.408330898812778</v>
      </c>
      <c r="BC92" s="13" t="n">
        <f aca="false">1-AP92/P92</f>
        <v>0.492016873415523</v>
      </c>
      <c r="BD92" s="13" t="n">
        <f aca="false">1-AQ92/Q92</f>
        <v>0.436980280195502</v>
      </c>
      <c r="BE92" s="13" t="n">
        <f aca="false">1-AR92/R92</f>
        <v>0.492096646787717</v>
      </c>
      <c r="BF92" s="13" t="n">
        <f aca="false">1-AS92/S92</f>
        <v>0.82411013253285</v>
      </c>
      <c r="BG92" s="13" t="n">
        <f aca="false">1-AT92/T92</f>
        <v>0.502082040024166</v>
      </c>
    </row>
    <row r="93" customFormat="false" ht="15" hidden="false" customHeight="false" outlineLevel="0" collapsed="false">
      <c r="A93" s="4" t="s">
        <v>197</v>
      </c>
      <c r="B93" s="4" t="s">
        <v>152</v>
      </c>
      <c r="C93" s="34" t="n">
        <v>28900000</v>
      </c>
      <c r="D93" s="34" t="n">
        <v>28929999</v>
      </c>
      <c r="E93" s="4" t="s">
        <v>201</v>
      </c>
      <c r="F93" s="4" t="s">
        <v>204</v>
      </c>
      <c r="G93" s="4" t="n">
        <f aca="false">COUNTIFS(Pedidos!$E$2:$E$2224,"&gt;="&amp;C93,Pedidos!$E$2:$E$2224,"&lt;="&amp;D93)</f>
        <v>28</v>
      </c>
      <c r="H93" s="7" t="n">
        <v>100.7</v>
      </c>
      <c r="I93" s="7" t="n">
        <v>114.95</v>
      </c>
      <c r="J93" s="7" t="n">
        <v>124.38</v>
      </c>
      <c r="K93" s="7" t="n">
        <v>129.29</v>
      </c>
      <c r="L93" s="7" t="n">
        <v>142.32</v>
      </c>
      <c r="M93" s="7" t="n">
        <v>166.05</v>
      </c>
      <c r="N93" s="7" t="n">
        <v>166.05</v>
      </c>
      <c r="O93" s="7" t="n">
        <v>197.35</v>
      </c>
      <c r="P93" s="7" t="n">
        <v>236.82</v>
      </c>
      <c r="Q93" s="7" t="n">
        <v>264.84</v>
      </c>
      <c r="R93" s="7" t="n">
        <v>300.15</v>
      </c>
      <c r="S93" s="7" t="n">
        <v>353.12</v>
      </c>
      <c r="T93" s="7" t="n">
        <v>441.4</v>
      </c>
      <c r="U93" s="7" t="n">
        <v>52.71</v>
      </c>
      <c r="V93" s="7" t="n">
        <v>76.5</v>
      </c>
      <c r="W93" s="7" t="n">
        <v>87.4</v>
      </c>
      <c r="X93" s="7" t="n">
        <v>94</v>
      </c>
      <c r="Y93" s="7" t="n">
        <v>103.6</v>
      </c>
      <c r="Z93" s="7" t="n">
        <v>113.9</v>
      </c>
      <c r="AA93" s="7" t="n">
        <v>124.16</v>
      </c>
      <c r="AB93" s="7" t="n">
        <v>144.41</v>
      </c>
      <c r="AC93" s="7" t="n">
        <v>161.81</v>
      </c>
      <c r="AD93" s="7" t="n">
        <v>197.37</v>
      </c>
      <c r="AE93" s="7" t="n">
        <v>215.7</v>
      </c>
      <c r="AF93" s="7" t="n">
        <v>143.51</v>
      </c>
      <c r="AG93" s="7" t="n">
        <v>304.65</v>
      </c>
      <c r="AH93" s="12" t="n">
        <f aca="false">(U93+AH$4*(Resumo!$C$7+Resumo!$C$8)+Resumo!$C$10*CEILING(AH$3/100,1)+Resumo!$C$9)*(1+Resumo!$C$11)-(AH$4*(Resumo!$B$6+Resumo!$B$7)+Resumo!$B$9+Resumo!$B$10*CEILING(AH$3/100,1)+(Resumo!$B$12+Resumo!$B$13)*CEILING(AH$3,1))</f>
        <v>54.9227352971963</v>
      </c>
      <c r="AI93" s="12" t="n">
        <f aca="false">(V93+AI$4*(Resumo!$C$7+Resumo!$C$8)+Resumo!$C$10*CEILING(AI$3/100,1)+Resumo!$C$9)*(1+Resumo!$C$11)-(AI$4*(Resumo!$B$6+Resumo!$B$7)+Resumo!$B$9+Resumo!$B$10*CEILING(AI$3/100,1)+(Resumo!$B$12+Resumo!$B$13)*CEILING(AI$3,1))</f>
        <v>74.5570462771717</v>
      </c>
      <c r="AJ93" s="12" t="n">
        <f aca="false">(W93+AJ$4*(Resumo!$C$7+Resumo!$C$8)+Resumo!$C$10*CEILING(AJ$3/100,1)+Resumo!$C$9)*(1+Resumo!$C$11)-(AJ$4*(Resumo!$B$6+Resumo!$B$7)+Resumo!$B$9+Resumo!$B$10*CEILING(AJ$3/100,1)+(Resumo!$B$12+Resumo!$B$13)*CEILING(AJ$3,1))</f>
        <v>81.5039345092958</v>
      </c>
      <c r="AK93" s="12" t="n">
        <f aca="false">(X93+AK$4*(Resumo!$C$7+Resumo!$C$8)+Resumo!$C$10*CEILING(AK$3/100,1)+Resumo!$C$9)*(1+Resumo!$C$11)-(AK$4*(Resumo!$B$6+Resumo!$B$7)+Resumo!$B$9+Resumo!$B$10*CEILING(AK$3/100,1)+(Resumo!$B$12+Resumo!$B$13)*CEILING(AK$3,1))</f>
        <v>84.5552580255814</v>
      </c>
      <c r="AL93" s="12" t="n">
        <f aca="false">(Y93+AL$4*(Resumo!$C$7+Resumo!$C$8)+Resumo!$C$10*CEILING(AL$3/100,1)+Resumo!$C$9)*(1+Resumo!$C$11)-(AL$4*(Resumo!$B$6+Resumo!$B$7)+Resumo!$B$9+Resumo!$B$10*CEILING(AL$3/100,1)+(Resumo!$B$12+Resumo!$B$13)*CEILING(AL$3,1))</f>
        <v>90.7147698817308</v>
      </c>
      <c r="AM93" s="12" t="n">
        <f aca="false">(Z93+AM$4*(Resumo!$C$7+Resumo!$C$8)+Resumo!$C$10*CEILING(AM$3/100,1)+Resumo!$C$9)*(1+Resumo!$C$11)-(AM$4*(Resumo!$B$6+Resumo!$B$7)+Resumo!$B$9+Resumo!$B$10*CEILING(AM$3/100,1)+(Resumo!$B$12+Resumo!$B$13)*CEILING(AM$3,1))</f>
        <v>95.0304196468864</v>
      </c>
      <c r="AN93" s="12" t="n">
        <f aca="false">(AA93+AN$4*(Resumo!$C$7+Resumo!$C$8)+Resumo!$C$10*CEILING(AN$3/100,1)+Resumo!$C$9)*(1+Resumo!$C$11)-(AN$4*(Resumo!$B$6+Resumo!$B$7)+Resumo!$B$9+Resumo!$B$10*CEILING(AN$3/100,1)+(Resumo!$B$12+Resumo!$B$13)*CEILING(AN$3,1))</f>
        <v>102.00959604</v>
      </c>
      <c r="AO93" s="12" t="n">
        <f aca="false">(AB93+AO$4*(Resumo!$C$7+Resumo!$C$8)+Resumo!$C$10*CEILING(AO$3/100,1)+Resumo!$C$9)*(1+Resumo!$C$11)-(AO$4*(Resumo!$B$6+Resumo!$B$7)+Resumo!$B$9+Resumo!$B$10*CEILING(AO$3/100,1)+(Resumo!$B$12+Resumo!$B$13)*CEILING(AO$3,1))</f>
        <v>116.765897119298</v>
      </c>
      <c r="AP93" s="12" t="n">
        <f aca="false">(AC93+AP$4*(Resumo!$C$7+Resumo!$C$8)+Resumo!$C$10*CEILING(AP$3/100,1)+Resumo!$C$9)*(1+Resumo!$C$11)-(AP$4*(Resumo!$B$6+Resumo!$B$7)+Resumo!$B$9+Resumo!$B$10*CEILING(AP$3/100,1)+(Resumo!$B$12+Resumo!$B$13)*CEILING(AP$3,1))</f>
        <v>120.300564037736</v>
      </c>
      <c r="AQ93" s="12" t="n">
        <f aca="false">(AD93+AQ$4*(Resumo!$C$7+Resumo!$C$8)+Resumo!$C$10*CEILING(AQ$3/100,1)+Resumo!$C$9)*(1+Resumo!$C$11)-(AQ$4*(Resumo!$B$6+Resumo!$B$7)+Resumo!$B$9+Resumo!$B$10*CEILING(AQ$3/100,1)+(Resumo!$B$12+Resumo!$B$13)*CEILING(AQ$3,1))</f>
        <v>149.110142593023</v>
      </c>
      <c r="AR93" s="12" t="n">
        <f aca="false">(AE93+AR$4*(Resumo!$C$7+Resumo!$C$8)+Resumo!$C$10*CEILING(AR$3/100,1)+Resumo!$C$9)*(1+Resumo!$C$11)-(AR$4*(Resumo!$B$6+Resumo!$B$7)+Resumo!$B$9+Resumo!$B$10*CEILING(AR$3/100,1)+(Resumo!$B$12+Resumo!$B$13)*CEILING(AR$3,1))</f>
        <v>152.447191466667</v>
      </c>
      <c r="AS93" s="12" t="n">
        <f aca="false">(AF93+AS$4*(Resumo!$C$7+Resumo!$C$8)+Resumo!$C$10*CEILING(AS$3/100,1)+Resumo!$C$9)*(1+Resumo!$C$11)-(AS$4*(Resumo!$B$6+Resumo!$B$7)+Resumo!$B$9+Resumo!$B$10*CEILING(AS$3/100,1)+(Resumo!$B$12+Resumo!$B$13)*CEILING(AS$3,1))</f>
        <v>62.11023</v>
      </c>
      <c r="AT93" s="12" t="n">
        <f aca="false">(AG93+AT$4*(Resumo!$C$7+Resumo!$C$8)+Resumo!$C$10*CEILING(AT$3/100,1)+Resumo!$C$9)*(1+Resumo!$C$11)-(AT$4*(Resumo!$B$6+Resumo!$B$7)+Resumo!$B$9+Resumo!$B$10*CEILING(AT$3/100,1)+(Resumo!$B$12+Resumo!$B$13)*CEILING(AT$3,1))</f>
        <v>219.780987533333</v>
      </c>
      <c r="AU93" s="13" t="n">
        <f aca="false">1-AH93/H93</f>
        <v>0.454590513433999</v>
      </c>
      <c r="AV93" s="13" t="n">
        <f aca="false">1-AI93/I93</f>
        <v>0.351395856657923</v>
      </c>
      <c r="AW93" s="13" t="n">
        <f aca="false">1-AJ93/J93</f>
        <v>0.344718326826694</v>
      </c>
      <c r="AX93" s="13" t="n">
        <f aca="false">1-AK93/K93</f>
        <v>0.346003109091334</v>
      </c>
      <c r="AY93" s="13" t="n">
        <f aca="false">1-AL93/L93</f>
        <v>0.362599986778171</v>
      </c>
      <c r="AZ93" s="13" t="n">
        <f aca="false">1-AM93/M93</f>
        <v>0.427699972015137</v>
      </c>
      <c r="BA93" s="13" t="n">
        <f aca="false">1-AN93/N93</f>
        <v>0.385669400542005</v>
      </c>
      <c r="BB93" s="13" t="n">
        <f aca="false">1-AO93/O93</f>
        <v>0.408330898812778</v>
      </c>
      <c r="BC93" s="13" t="n">
        <f aca="false">1-AP93/P93</f>
        <v>0.492016873415523</v>
      </c>
      <c r="BD93" s="13" t="n">
        <f aca="false">1-AQ93/Q93</f>
        <v>0.436980280195502</v>
      </c>
      <c r="BE93" s="13" t="n">
        <f aca="false">1-AR93/R93</f>
        <v>0.492096646787717</v>
      </c>
      <c r="BF93" s="13" t="n">
        <f aca="false">1-AS93/S93</f>
        <v>0.82411013253285</v>
      </c>
      <c r="BG93" s="13" t="n">
        <f aca="false">1-AT93/T93</f>
        <v>0.502082040024166</v>
      </c>
    </row>
    <row r="94" customFormat="false" ht="15" hidden="false" customHeight="false" outlineLevel="0" collapsed="false">
      <c r="A94" s="4" t="s">
        <v>197</v>
      </c>
      <c r="B94" s="4" t="s">
        <v>277</v>
      </c>
      <c r="C94" s="34" t="n">
        <v>28930000</v>
      </c>
      <c r="D94" s="34" t="n">
        <v>28939999</v>
      </c>
      <c r="E94" s="4" t="s">
        <v>201</v>
      </c>
      <c r="F94" s="4" t="s">
        <v>204</v>
      </c>
      <c r="G94" s="4" t="n">
        <f aca="false">COUNTIFS(Pedidos!$E$2:$E$2224,"&gt;="&amp;C94,Pedidos!$E$2:$E$2224,"&lt;="&amp;D94)</f>
        <v>6</v>
      </c>
      <c r="H94" s="7" t="n">
        <v>100.7</v>
      </c>
      <c r="I94" s="7" t="n">
        <v>114.95</v>
      </c>
      <c r="J94" s="7" t="n">
        <v>124.38</v>
      </c>
      <c r="K94" s="7" t="n">
        <v>129.29</v>
      </c>
      <c r="L94" s="7" t="n">
        <v>142.32</v>
      </c>
      <c r="M94" s="7" t="n">
        <v>166.05</v>
      </c>
      <c r="N94" s="7" t="n">
        <v>166.05</v>
      </c>
      <c r="O94" s="7" t="n">
        <v>197.35</v>
      </c>
      <c r="P94" s="7" t="n">
        <v>236.82</v>
      </c>
      <c r="Q94" s="7" t="n">
        <v>264.84</v>
      </c>
      <c r="R94" s="7" t="n">
        <v>300.15</v>
      </c>
      <c r="S94" s="7" t="n">
        <v>353.12</v>
      </c>
      <c r="T94" s="7" t="n">
        <v>441.4</v>
      </c>
      <c r="U94" s="7" t="n">
        <v>52.71</v>
      </c>
      <c r="V94" s="7" t="n">
        <v>76.5</v>
      </c>
      <c r="W94" s="7" t="n">
        <v>87.4</v>
      </c>
      <c r="X94" s="7" t="n">
        <v>94</v>
      </c>
      <c r="Y94" s="7" t="n">
        <v>103.6</v>
      </c>
      <c r="Z94" s="7" t="n">
        <v>113.9</v>
      </c>
      <c r="AA94" s="7" t="n">
        <v>124.16</v>
      </c>
      <c r="AB94" s="7" t="n">
        <v>144.41</v>
      </c>
      <c r="AC94" s="7" t="n">
        <v>161.81</v>
      </c>
      <c r="AD94" s="7" t="n">
        <v>197.37</v>
      </c>
      <c r="AE94" s="7" t="n">
        <v>215.7</v>
      </c>
      <c r="AF94" s="7" t="n">
        <v>143.51</v>
      </c>
      <c r="AG94" s="7" t="n">
        <v>304.65</v>
      </c>
      <c r="AH94" s="12" t="n">
        <f aca="false">(U94+AH$4*(Resumo!$C$7+Resumo!$C$8)+Resumo!$C$10*CEILING(AH$3/100,1)+Resumo!$C$9)*(1+Resumo!$C$11)-(AH$4*(Resumo!$B$6+Resumo!$B$7)+Resumo!$B$9+Resumo!$B$10*CEILING(AH$3/100,1)+(Resumo!$B$12+Resumo!$B$13)*CEILING(AH$3,1))</f>
        <v>54.9227352971963</v>
      </c>
      <c r="AI94" s="12" t="n">
        <f aca="false">(V94+AI$4*(Resumo!$C$7+Resumo!$C$8)+Resumo!$C$10*CEILING(AI$3/100,1)+Resumo!$C$9)*(1+Resumo!$C$11)-(AI$4*(Resumo!$B$6+Resumo!$B$7)+Resumo!$B$9+Resumo!$B$10*CEILING(AI$3/100,1)+(Resumo!$B$12+Resumo!$B$13)*CEILING(AI$3,1))</f>
        <v>74.5570462771717</v>
      </c>
      <c r="AJ94" s="12" t="n">
        <f aca="false">(W94+AJ$4*(Resumo!$C$7+Resumo!$C$8)+Resumo!$C$10*CEILING(AJ$3/100,1)+Resumo!$C$9)*(1+Resumo!$C$11)-(AJ$4*(Resumo!$B$6+Resumo!$B$7)+Resumo!$B$9+Resumo!$B$10*CEILING(AJ$3/100,1)+(Resumo!$B$12+Resumo!$B$13)*CEILING(AJ$3,1))</f>
        <v>81.5039345092958</v>
      </c>
      <c r="AK94" s="12" t="n">
        <f aca="false">(X94+AK$4*(Resumo!$C$7+Resumo!$C$8)+Resumo!$C$10*CEILING(AK$3/100,1)+Resumo!$C$9)*(1+Resumo!$C$11)-(AK$4*(Resumo!$B$6+Resumo!$B$7)+Resumo!$B$9+Resumo!$B$10*CEILING(AK$3/100,1)+(Resumo!$B$12+Resumo!$B$13)*CEILING(AK$3,1))</f>
        <v>84.5552580255814</v>
      </c>
      <c r="AL94" s="12" t="n">
        <f aca="false">(Y94+AL$4*(Resumo!$C$7+Resumo!$C$8)+Resumo!$C$10*CEILING(AL$3/100,1)+Resumo!$C$9)*(1+Resumo!$C$11)-(AL$4*(Resumo!$B$6+Resumo!$B$7)+Resumo!$B$9+Resumo!$B$10*CEILING(AL$3/100,1)+(Resumo!$B$12+Resumo!$B$13)*CEILING(AL$3,1))</f>
        <v>90.7147698817308</v>
      </c>
      <c r="AM94" s="12" t="n">
        <f aca="false">(Z94+AM$4*(Resumo!$C$7+Resumo!$C$8)+Resumo!$C$10*CEILING(AM$3/100,1)+Resumo!$C$9)*(1+Resumo!$C$11)-(AM$4*(Resumo!$B$6+Resumo!$B$7)+Resumo!$B$9+Resumo!$B$10*CEILING(AM$3/100,1)+(Resumo!$B$12+Resumo!$B$13)*CEILING(AM$3,1))</f>
        <v>95.0304196468864</v>
      </c>
      <c r="AN94" s="12" t="n">
        <f aca="false">(AA94+AN$4*(Resumo!$C$7+Resumo!$C$8)+Resumo!$C$10*CEILING(AN$3/100,1)+Resumo!$C$9)*(1+Resumo!$C$11)-(AN$4*(Resumo!$B$6+Resumo!$B$7)+Resumo!$B$9+Resumo!$B$10*CEILING(AN$3/100,1)+(Resumo!$B$12+Resumo!$B$13)*CEILING(AN$3,1))</f>
        <v>102.00959604</v>
      </c>
      <c r="AO94" s="12" t="n">
        <f aca="false">(AB94+AO$4*(Resumo!$C$7+Resumo!$C$8)+Resumo!$C$10*CEILING(AO$3/100,1)+Resumo!$C$9)*(1+Resumo!$C$11)-(AO$4*(Resumo!$B$6+Resumo!$B$7)+Resumo!$B$9+Resumo!$B$10*CEILING(AO$3/100,1)+(Resumo!$B$12+Resumo!$B$13)*CEILING(AO$3,1))</f>
        <v>116.765897119298</v>
      </c>
      <c r="AP94" s="12" t="n">
        <f aca="false">(AC94+AP$4*(Resumo!$C$7+Resumo!$C$8)+Resumo!$C$10*CEILING(AP$3/100,1)+Resumo!$C$9)*(1+Resumo!$C$11)-(AP$4*(Resumo!$B$6+Resumo!$B$7)+Resumo!$B$9+Resumo!$B$10*CEILING(AP$3/100,1)+(Resumo!$B$12+Resumo!$B$13)*CEILING(AP$3,1))</f>
        <v>120.300564037736</v>
      </c>
      <c r="AQ94" s="12" t="n">
        <f aca="false">(AD94+AQ$4*(Resumo!$C$7+Resumo!$C$8)+Resumo!$C$10*CEILING(AQ$3/100,1)+Resumo!$C$9)*(1+Resumo!$C$11)-(AQ$4*(Resumo!$B$6+Resumo!$B$7)+Resumo!$B$9+Resumo!$B$10*CEILING(AQ$3/100,1)+(Resumo!$B$12+Resumo!$B$13)*CEILING(AQ$3,1))</f>
        <v>149.110142593023</v>
      </c>
      <c r="AR94" s="12" t="n">
        <f aca="false">(AE94+AR$4*(Resumo!$C$7+Resumo!$C$8)+Resumo!$C$10*CEILING(AR$3/100,1)+Resumo!$C$9)*(1+Resumo!$C$11)-(AR$4*(Resumo!$B$6+Resumo!$B$7)+Resumo!$B$9+Resumo!$B$10*CEILING(AR$3/100,1)+(Resumo!$B$12+Resumo!$B$13)*CEILING(AR$3,1))</f>
        <v>152.447191466667</v>
      </c>
      <c r="AS94" s="12" t="n">
        <f aca="false">(AF94+AS$4*(Resumo!$C$7+Resumo!$C$8)+Resumo!$C$10*CEILING(AS$3/100,1)+Resumo!$C$9)*(1+Resumo!$C$11)-(AS$4*(Resumo!$B$6+Resumo!$B$7)+Resumo!$B$9+Resumo!$B$10*CEILING(AS$3/100,1)+(Resumo!$B$12+Resumo!$B$13)*CEILING(AS$3,1))</f>
        <v>62.11023</v>
      </c>
      <c r="AT94" s="12" t="n">
        <f aca="false">(AG94+AT$4*(Resumo!$C$7+Resumo!$C$8)+Resumo!$C$10*CEILING(AT$3/100,1)+Resumo!$C$9)*(1+Resumo!$C$11)-(AT$4*(Resumo!$B$6+Resumo!$B$7)+Resumo!$B$9+Resumo!$B$10*CEILING(AT$3/100,1)+(Resumo!$B$12+Resumo!$B$13)*CEILING(AT$3,1))</f>
        <v>219.780987533333</v>
      </c>
      <c r="AU94" s="13" t="n">
        <f aca="false">1-AH94/H94</f>
        <v>0.454590513433999</v>
      </c>
      <c r="AV94" s="13" t="n">
        <f aca="false">1-AI94/I94</f>
        <v>0.351395856657923</v>
      </c>
      <c r="AW94" s="13" t="n">
        <f aca="false">1-AJ94/J94</f>
        <v>0.344718326826694</v>
      </c>
      <c r="AX94" s="13" t="n">
        <f aca="false">1-AK94/K94</f>
        <v>0.346003109091334</v>
      </c>
      <c r="AY94" s="13" t="n">
        <f aca="false">1-AL94/L94</f>
        <v>0.362599986778171</v>
      </c>
      <c r="AZ94" s="13" t="n">
        <f aca="false">1-AM94/M94</f>
        <v>0.427699972015137</v>
      </c>
      <c r="BA94" s="13" t="n">
        <f aca="false">1-AN94/N94</f>
        <v>0.385669400542005</v>
      </c>
      <c r="BB94" s="13" t="n">
        <f aca="false">1-AO94/O94</f>
        <v>0.408330898812778</v>
      </c>
      <c r="BC94" s="13" t="n">
        <f aca="false">1-AP94/P94</f>
        <v>0.492016873415523</v>
      </c>
      <c r="BD94" s="13" t="n">
        <f aca="false">1-AQ94/Q94</f>
        <v>0.436980280195502</v>
      </c>
      <c r="BE94" s="13" t="n">
        <f aca="false">1-AR94/R94</f>
        <v>0.492096646787717</v>
      </c>
      <c r="BF94" s="13" t="n">
        <f aca="false">1-AS94/S94</f>
        <v>0.82411013253285</v>
      </c>
      <c r="BG94" s="13" t="n">
        <f aca="false">1-AT94/T94</f>
        <v>0.502082040024166</v>
      </c>
    </row>
    <row r="95" customFormat="false" ht="15" hidden="false" customHeight="false" outlineLevel="0" collapsed="false">
      <c r="A95" s="4" t="s">
        <v>197</v>
      </c>
      <c r="B95" s="4" t="s">
        <v>278</v>
      </c>
      <c r="C95" s="34" t="n">
        <v>28940000</v>
      </c>
      <c r="D95" s="34" t="n">
        <v>28949999</v>
      </c>
      <c r="E95" s="4" t="s">
        <v>201</v>
      </c>
      <c r="F95" s="4" t="s">
        <v>204</v>
      </c>
      <c r="G95" s="4" t="n">
        <f aca="false">COUNTIFS(Pedidos!$E$2:$E$2224,"&gt;="&amp;C95,Pedidos!$E$2:$E$2224,"&lt;="&amp;D95)</f>
        <v>14</v>
      </c>
      <c r="H95" s="7" t="n">
        <v>100.7</v>
      </c>
      <c r="I95" s="7" t="n">
        <v>114.95</v>
      </c>
      <c r="J95" s="7" t="n">
        <v>124.38</v>
      </c>
      <c r="K95" s="7" t="n">
        <v>129.29</v>
      </c>
      <c r="L95" s="7" t="n">
        <v>142.32</v>
      </c>
      <c r="M95" s="7" t="n">
        <v>166.05</v>
      </c>
      <c r="N95" s="7" t="n">
        <v>166.05</v>
      </c>
      <c r="O95" s="7" t="n">
        <v>197.35</v>
      </c>
      <c r="P95" s="7" t="n">
        <v>236.82</v>
      </c>
      <c r="Q95" s="7" t="n">
        <v>264.84</v>
      </c>
      <c r="R95" s="7" t="n">
        <v>300.15</v>
      </c>
      <c r="S95" s="7" t="n">
        <v>353.12</v>
      </c>
      <c r="T95" s="7" t="n">
        <v>441.4</v>
      </c>
      <c r="U95" s="7" t="n">
        <v>52.71</v>
      </c>
      <c r="V95" s="7" t="n">
        <v>76.5</v>
      </c>
      <c r="W95" s="7" t="n">
        <v>87.4</v>
      </c>
      <c r="X95" s="7" t="n">
        <v>94</v>
      </c>
      <c r="Y95" s="7" t="n">
        <v>103.6</v>
      </c>
      <c r="Z95" s="7" t="n">
        <v>113.9</v>
      </c>
      <c r="AA95" s="7" t="n">
        <v>124.16</v>
      </c>
      <c r="AB95" s="7" t="n">
        <v>144.41</v>
      </c>
      <c r="AC95" s="7" t="n">
        <v>161.81</v>
      </c>
      <c r="AD95" s="7" t="n">
        <v>197.37</v>
      </c>
      <c r="AE95" s="7" t="n">
        <v>215.7</v>
      </c>
      <c r="AF95" s="7" t="n">
        <v>143.51</v>
      </c>
      <c r="AG95" s="7" t="n">
        <v>304.65</v>
      </c>
      <c r="AH95" s="12" t="n">
        <f aca="false">(U95+AH$4*(Resumo!$C$7+Resumo!$C$8)+Resumo!$C$10*CEILING(AH$3/100,1)+Resumo!$C$9)*(1+Resumo!$C$11)-(AH$4*(Resumo!$B$6+Resumo!$B$7)+Resumo!$B$9+Resumo!$B$10*CEILING(AH$3/100,1)+(Resumo!$B$12+Resumo!$B$13)*CEILING(AH$3,1))</f>
        <v>54.9227352971963</v>
      </c>
      <c r="AI95" s="12" t="n">
        <f aca="false">(V95+AI$4*(Resumo!$C$7+Resumo!$C$8)+Resumo!$C$10*CEILING(AI$3/100,1)+Resumo!$C$9)*(1+Resumo!$C$11)-(AI$4*(Resumo!$B$6+Resumo!$B$7)+Resumo!$B$9+Resumo!$B$10*CEILING(AI$3/100,1)+(Resumo!$B$12+Resumo!$B$13)*CEILING(AI$3,1))</f>
        <v>74.5570462771717</v>
      </c>
      <c r="AJ95" s="12" t="n">
        <f aca="false">(W95+AJ$4*(Resumo!$C$7+Resumo!$C$8)+Resumo!$C$10*CEILING(AJ$3/100,1)+Resumo!$C$9)*(1+Resumo!$C$11)-(AJ$4*(Resumo!$B$6+Resumo!$B$7)+Resumo!$B$9+Resumo!$B$10*CEILING(AJ$3/100,1)+(Resumo!$B$12+Resumo!$B$13)*CEILING(AJ$3,1))</f>
        <v>81.5039345092958</v>
      </c>
      <c r="AK95" s="12" t="n">
        <f aca="false">(X95+AK$4*(Resumo!$C$7+Resumo!$C$8)+Resumo!$C$10*CEILING(AK$3/100,1)+Resumo!$C$9)*(1+Resumo!$C$11)-(AK$4*(Resumo!$B$6+Resumo!$B$7)+Resumo!$B$9+Resumo!$B$10*CEILING(AK$3/100,1)+(Resumo!$B$12+Resumo!$B$13)*CEILING(AK$3,1))</f>
        <v>84.5552580255814</v>
      </c>
      <c r="AL95" s="12" t="n">
        <f aca="false">(Y95+AL$4*(Resumo!$C$7+Resumo!$C$8)+Resumo!$C$10*CEILING(AL$3/100,1)+Resumo!$C$9)*(1+Resumo!$C$11)-(AL$4*(Resumo!$B$6+Resumo!$B$7)+Resumo!$B$9+Resumo!$B$10*CEILING(AL$3/100,1)+(Resumo!$B$12+Resumo!$B$13)*CEILING(AL$3,1))</f>
        <v>90.7147698817308</v>
      </c>
      <c r="AM95" s="12" t="n">
        <f aca="false">(Z95+AM$4*(Resumo!$C$7+Resumo!$C$8)+Resumo!$C$10*CEILING(AM$3/100,1)+Resumo!$C$9)*(1+Resumo!$C$11)-(AM$4*(Resumo!$B$6+Resumo!$B$7)+Resumo!$B$9+Resumo!$B$10*CEILING(AM$3/100,1)+(Resumo!$B$12+Resumo!$B$13)*CEILING(AM$3,1))</f>
        <v>95.0304196468864</v>
      </c>
      <c r="AN95" s="12" t="n">
        <f aca="false">(AA95+AN$4*(Resumo!$C$7+Resumo!$C$8)+Resumo!$C$10*CEILING(AN$3/100,1)+Resumo!$C$9)*(1+Resumo!$C$11)-(AN$4*(Resumo!$B$6+Resumo!$B$7)+Resumo!$B$9+Resumo!$B$10*CEILING(AN$3/100,1)+(Resumo!$B$12+Resumo!$B$13)*CEILING(AN$3,1))</f>
        <v>102.00959604</v>
      </c>
      <c r="AO95" s="12" t="n">
        <f aca="false">(AB95+AO$4*(Resumo!$C$7+Resumo!$C$8)+Resumo!$C$10*CEILING(AO$3/100,1)+Resumo!$C$9)*(1+Resumo!$C$11)-(AO$4*(Resumo!$B$6+Resumo!$B$7)+Resumo!$B$9+Resumo!$B$10*CEILING(AO$3/100,1)+(Resumo!$B$12+Resumo!$B$13)*CEILING(AO$3,1))</f>
        <v>116.765897119298</v>
      </c>
      <c r="AP95" s="12" t="n">
        <f aca="false">(AC95+AP$4*(Resumo!$C$7+Resumo!$C$8)+Resumo!$C$10*CEILING(AP$3/100,1)+Resumo!$C$9)*(1+Resumo!$C$11)-(AP$4*(Resumo!$B$6+Resumo!$B$7)+Resumo!$B$9+Resumo!$B$10*CEILING(AP$3/100,1)+(Resumo!$B$12+Resumo!$B$13)*CEILING(AP$3,1))</f>
        <v>120.300564037736</v>
      </c>
      <c r="AQ95" s="12" t="n">
        <f aca="false">(AD95+AQ$4*(Resumo!$C$7+Resumo!$C$8)+Resumo!$C$10*CEILING(AQ$3/100,1)+Resumo!$C$9)*(1+Resumo!$C$11)-(AQ$4*(Resumo!$B$6+Resumo!$B$7)+Resumo!$B$9+Resumo!$B$10*CEILING(AQ$3/100,1)+(Resumo!$B$12+Resumo!$B$13)*CEILING(AQ$3,1))</f>
        <v>149.110142593023</v>
      </c>
      <c r="AR95" s="12" t="n">
        <f aca="false">(AE95+AR$4*(Resumo!$C$7+Resumo!$C$8)+Resumo!$C$10*CEILING(AR$3/100,1)+Resumo!$C$9)*(1+Resumo!$C$11)-(AR$4*(Resumo!$B$6+Resumo!$B$7)+Resumo!$B$9+Resumo!$B$10*CEILING(AR$3/100,1)+(Resumo!$B$12+Resumo!$B$13)*CEILING(AR$3,1))</f>
        <v>152.447191466667</v>
      </c>
      <c r="AS95" s="12" t="n">
        <f aca="false">(AF95+AS$4*(Resumo!$C$7+Resumo!$C$8)+Resumo!$C$10*CEILING(AS$3/100,1)+Resumo!$C$9)*(1+Resumo!$C$11)-(AS$4*(Resumo!$B$6+Resumo!$B$7)+Resumo!$B$9+Resumo!$B$10*CEILING(AS$3/100,1)+(Resumo!$B$12+Resumo!$B$13)*CEILING(AS$3,1))</f>
        <v>62.11023</v>
      </c>
      <c r="AT95" s="12" t="n">
        <f aca="false">(AG95+AT$4*(Resumo!$C$7+Resumo!$C$8)+Resumo!$C$10*CEILING(AT$3/100,1)+Resumo!$C$9)*(1+Resumo!$C$11)-(AT$4*(Resumo!$B$6+Resumo!$B$7)+Resumo!$B$9+Resumo!$B$10*CEILING(AT$3/100,1)+(Resumo!$B$12+Resumo!$B$13)*CEILING(AT$3,1))</f>
        <v>219.780987533333</v>
      </c>
      <c r="AU95" s="13" t="n">
        <f aca="false">1-AH95/H95</f>
        <v>0.454590513433999</v>
      </c>
      <c r="AV95" s="13" t="n">
        <f aca="false">1-AI95/I95</f>
        <v>0.351395856657923</v>
      </c>
      <c r="AW95" s="13" t="n">
        <f aca="false">1-AJ95/J95</f>
        <v>0.344718326826694</v>
      </c>
      <c r="AX95" s="13" t="n">
        <f aca="false">1-AK95/K95</f>
        <v>0.346003109091334</v>
      </c>
      <c r="AY95" s="13" t="n">
        <f aca="false">1-AL95/L95</f>
        <v>0.362599986778171</v>
      </c>
      <c r="AZ95" s="13" t="n">
        <f aca="false">1-AM95/M95</f>
        <v>0.427699972015137</v>
      </c>
      <c r="BA95" s="13" t="n">
        <f aca="false">1-AN95/N95</f>
        <v>0.385669400542005</v>
      </c>
      <c r="BB95" s="13" t="n">
        <f aca="false">1-AO95/O95</f>
        <v>0.408330898812778</v>
      </c>
      <c r="BC95" s="13" t="n">
        <f aca="false">1-AP95/P95</f>
        <v>0.492016873415523</v>
      </c>
      <c r="BD95" s="13" t="n">
        <f aca="false">1-AQ95/Q95</f>
        <v>0.436980280195502</v>
      </c>
      <c r="BE95" s="13" t="n">
        <f aca="false">1-AR95/R95</f>
        <v>0.492096646787717</v>
      </c>
      <c r="BF95" s="13" t="n">
        <f aca="false">1-AS95/S95</f>
        <v>0.82411013253285</v>
      </c>
      <c r="BG95" s="13" t="n">
        <f aca="false">1-AT95/T95</f>
        <v>0.502082040024166</v>
      </c>
    </row>
    <row r="96" customFormat="false" ht="15" hidden="false" customHeight="false" outlineLevel="0" collapsed="false">
      <c r="A96" s="4" t="s">
        <v>197</v>
      </c>
      <c r="B96" s="4" t="s">
        <v>279</v>
      </c>
      <c r="C96" s="34" t="n">
        <v>28950000</v>
      </c>
      <c r="D96" s="34" t="n">
        <v>28959999</v>
      </c>
      <c r="E96" s="4" t="s">
        <v>201</v>
      </c>
      <c r="F96" s="4" t="s">
        <v>204</v>
      </c>
      <c r="G96" s="4" t="n">
        <f aca="false">COUNTIFS(Pedidos!$E$2:$E$2224,"&gt;="&amp;C96,Pedidos!$E$2:$E$2224,"&lt;="&amp;D96)</f>
        <v>5</v>
      </c>
      <c r="H96" s="7" t="n">
        <v>100.7</v>
      </c>
      <c r="I96" s="7" t="n">
        <v>114.95</v>
      </c>
      <c r="J96" s="7" t="n">
        <v>124.38</v>
      </c>
      <c r="K96" s="7" t="n">
        <v>129.29</v>
      </c>
      <c r="L96" s="7" t="n">
        <v>142.32</v>
      </c>
      <c r="M96" s="7" t="n">
        <v>166.05</v>
      </c>
      <c r="N96" s="7" t="n">
        <v>166.05</v>
      </c>
      <c r="O96" s="7" t="n">
        <v>197.35</v>
      </c>
      <c r="P96" s="7" t="n">
        <v>236.82</v>
      </c>
      <c r="Q96" s="7" t="n">
        <v>264.84</v>
      </c>
      <c r="R96" s="7" t="n">
        <v>300.15</v>
      </c>
      <c r="S96" s="7" t="n">
        <v>353.12</v>
      </c>
      <c r="T96" s="7" t="n">
        <v>441.4</v>
      </c>
      <c r="U96" s="7" t="n">
        <v>52.71</v>
      </c>
      <c r="V96" s="7" t="n">
        <v>76.5</v>
      </c>
      <c r="W96" s="7" t="n">
        <v>87.4</v>
      </c>
      <c r="X96" s="7" t="n">
        <v>94</v>
      </c>
      <c r="Y96" s="7" t="n">
        <v>103.6</v>
      </c>
      <c r="Z96" s="7" t="n">
        <v>113.9</v>
      </c>
      <c r="AA96" s="7" t="n">
        <v>124.16</v>
      </c>
      <c r="AB96" s="7" t="n">
        <v>144.41</v>
      </c>
      <c r="AC96" s="7" t="n">
        <v>161.81</v>
      </c>
      <c r="AD96" s="7" t="n">
        <v>197.37</v>
      </c>
      <c r="AE96" s="7" t="n">
        <v>215.7</v>
      </c>
      <c r="AF96" s="7" t="n">
        <v>143.51</v>
      </c>
      <c r="AG96" s="7" t="n">
        <v>304.65</v>
      </c>
      <c r="AH96" s="12" t="n">
        <f aca="false">(U96+AH$4*(Resumo!$C$7+Resumo!$C$8)+Resumo!$C$10*CEILING(AH$3/100,1)+Resumo!$C$9)*(1+Resumo!$C$11)-(AH$4*(Resumo!$B$6+Resumo!$B$7)+Resumo!$B$9+Resumo!$B$10*CEILING(AH$3/100,1)+(Resumo!$B$12+Resumo!$B$13)*CEILING(AH$3,1))</f>
        <v>54.9227352971963</v>
      </c>
      <c r="AI96" s="12" t="n">
        <f aca="false">(V96+AI$4*(Resumo!$C$7+Resumo!$C$8)+Resumo!$C$10*CEILING(AI$3/100,1)+Resumo!$C$9)*(1+Resumo!$C$11)-(AI$4*(Resumo!$B$6+Resumo!$B$7)+Resumo!$B$9+Resumo!$B$10*CEILING(AI$3/100,1)+(Resumo!$B$12+Resumo!$B$13)*CEILING(AI$3,1))</f>
        <v>74.5570462771717</v>
      </c>
      <c r="AJ96" s="12" t="n">
        <f aca="false">(W96+AJ$4*(Resumo!$C$7+Resumo!$C$8)+Resumo!$C$10*CEILING(AJ$3/100,1)+Resumo!$C$9)*(1+Resumo!$C$11)-(AJ$4*(Resumo!$B$6+Resumo!$B$7)+Resumo!$B$9+Resumo!$B$10*CEILING(AJ$3/100,1)+(Resumo!$B$12+Resumo!$B$13)*CEILING(AJ$3,1))</f>
        <v>81.5039345092958</v>
      </c>
      <c r="AK96" s="12" t="n">
        <f aca="false">(X96+AK$4*(Resumo!$C$7+Resumo!$C$8)+Resumo!$C$10*CEILING(AK$3/100,1)+Resumo!$C$9)*(1+Resumo!$C$11)-(AK$4*(Resumo!$B$6+Resumo!$B$7)+Resumo!$B$9+Resumo!$B$10*CEILING(AK$3/100,1)+(Resumo!$B$12+Resumo!$B$13)*CEILING(AK$3,1))</f>
        <v>84.5552580255814</v>
      </c>
      <c r="AL96" s="12" t="n">
        <f aca="false">(Y96+AL$4*(Resumo!$C$7+Resumo!$C$8)+Resumo!$C$10*CEILING(AL$3/100,1)+Resumo!$C$9)*(1+Resumo!$C$11)-(AL$4*(Resumo!$B$6+Resumo!$B$7)+Resumo!$B$9+Resumo!$B$10*CEILING(AL$3/100,1)+(Resumo!$B$12+Resumo!$B$13)*CEILING(AL$3,1))</f>
        <v>90.7147698817308</v>
      </c>
      <c r="AM96" s="12" t="n">
        <f aca="false">(Z96+AM$4*(Resumo!$C$7+Resumo!$C$8)+Resumo!$C$10*CEILING(AM$3/100,1)+Resumo!$C$9)*(1+Resumo!$C$11)-(AM$4*(Resumo!$B$6+Resumo!$B$7)+Resumo!$B$9+Resumo!$B$10*CEILING(AM$3/100,1)+(Resumo!$B$12+Resumo!$B$13)*CEILING(AM$3,1))</f>
        <v>95.0304196468864</v>
      </c>
      <c r="AN96" s="12" t="n">
        <f aca="false">(AA96+AN$4*(Resumo!$C$7+Resumo!$C$8)+Resumo!$C$10*CEILING(AN$3/100,1)+Resumo!$C$9)*(1+Resumo!$C$11)-(AN$4*(Resumo!$B$6+Resumo!$B$7)+Resumo!$B$9+Resumo!$B$10*CEILING(AN$3/100,1)+(Resumo!$B$12+Resumo!$B$13)*CEILING(AN$3,1))</f>
        <v>102.00959604</v>
      </c>
      <c r="AO96" s="12" t="n">
        <f aca="false">(AB96+AO$4*(Resumo!$C$7+Resumo!$C$8)+Resumo!$C$10*CEILING(AO$3/100,1)+Resumo!$C$9)*(1+Resumo!$C$11)-(AO$4*(Resumo!$B$6+Resumo!$B$7)+Resumo!$B$9+Resumo!$B$10*CEILING(AO$3/100,1)+(Resumo!$B$12+Resumo!$B$13)*CEILING(AO$3,1))</f>
        <v>116.765897119298</v>
      </c>
      <c r="AP96" s="12" t="n">
        <f aca="false">(AC96+AP$4*(Resumo!$C$7+Resumo!$C$8)+Resumo!$C$10*CEILING(AP$3/100,1)+Resumo!$C$9)*(1+Resumo!$C$11)-(AP$4*(Resumo!$B$6+Resumo!$B$7)+Resumo!$B$9+Resumo!$B$10*CEILING(AP$3/100,1)+(Resumo!$B$12+Resumo!$B$13)*CEILING(AP$3,1))</f>
        <v>120.300564037736</v>
      </c>
      <c r="AQ96" s="12" t="n">
        <f aca="false">(AD96+AQ$4*(Resumo!$C$7+Resumo!$C$8)+Resumo!$C$10*CEILING(AQ$3/100,1)+Resumo!$C$9)*(1+Resumo!$C$11)-(AQ$4*(Resumo!$B$6+Resumo!$B$7)+Resumo!$B$9+Resumo!$B$10*CEILING(AQ$3/100,1)+(Resumo!$B$12+Resumo!$B$13)*CEILING(AQ$3,1))</f>
        <v>149.110142593023</v>
      </c>
      <c r="AR96" s="12" t="n">
        <f aca="false">(AE96+AR$4*(Resumo!$C$7+Resumo!$C$8)+Resumo!$C$10*CEILING(AR$3/100,1)+Resumo!$C$9)*(1+Resumo!$C$11)-(AR$4*(Resumo!$B$6+Resumo!$B$7)+Resumo!$B$9+Resumo!$B$10*CEILING(AR$3/100,1)+(Resumo!$B$12+Resumo!$B$13)*CEILING(AR$3,1))</f>
        <v>152.447191466667</v>
      </c>
      <c r="AS96" s="12" t="n">
        <f aca="false">(AF96+AS$4*(Resumo!$C$7+Resumo!$C$8)+Resumo!$C$10*CEILING(AS$3/100,1)+Resumo!$C$9)*(1+Resumo!$C$11)-(AS$4*(Resumo!$B$6+Resumo!$B$7)+Resumo!$B$9+Resumo!$B$10*CEILING(AS$3/100,1)+(Resumo!$B$12+Resumo!$B$13)*CEILING(AS$3,1))</f>
        <v>62.11023</v>
      </c>
      <c r="AT96" s="12" t="n">
        <f aca="false">(AG96+AT$4*(Resumo!$C$7+Resumo!$C$8)+Resumo!$C$10*CEILING(AT$3/100,1)+Resumo!$C$9)*(1+Resumo!$C$11)-(AT$4*(Resumo!$B$6+Resumo!$B$7)+Resumo!$B$9+Resumo!$B$10*CEILING(AT$3/100,1)+(Resumo!$B$12+Resumo!$B$13)*CEILING(AT$3,1))</f>
        <v>219.780987533333</v>
      </c>
      <c r="AU96" s="13" t="n">
        <f aca="false">1-AH96/H96</f>
        <v>0.454590513433999</v>
      </c>
      <c r="AV96" s="13" t="n">
        <f aca="false">1-AI96/I96</f>
        <v>0.351395856657923</v>
      </c>
      <c r="AW96" s="13" t="n">
        <f aca="false">1-AJ96/J96</f>
        <v>0.344718326826694</v>
      </c>
      <c r="AX96" s="13" t="n">
        <f aca="false">1-AK96/K96</f>
        <v>0.346003109091334</v>
      </c>
      <c r="AY96" s="13" t="n">
        <f aca="false">1-AL96/L96</f>
        <v>0.362599986778171</v>
      </c>
      <c r="AZ96" s="13" t="n">
        <f aca="false">1-AM96/M96</f>
        <v>0.427699972015137</v>
      </c>
      <c r="BA96" s="13" t="n">
        <f aca="false">1-AN96/N96</f>
        <v>0.385669400542005</v>
      </c>
      <c r="BB96" s="13" t="n">
        <f aca="false">1-AO96/O96</f>
        <v>0.408330898812778</v>
      </c>
      <c r="BC96" s="13" t="n">
        <f aca="false">1-AP96/P96</f>
        <v>0.492016873415523</v>
      </c>
      <c r="BD96" s="13" t="n">
        <f aca="false">1-AQ96/Q96</f>
        <v>0.436980280195502</v>
      </c>
      <c r="BE96" s="13" t="n">
        <f aca="false">1-AR96/R96</f>
        <v>0.492096646787717</v>
      </c>
      <c r="BF96" s="13" t="n">
        <f aca="false">1-AS96/S96</f>
        <v>0.82411013253285</v>
      </c>
      <c r="BG96" s="13" t="n">
        <f aca="false">1-AT96/T96</f>
        <v>0.502082040024166</v>
      </c>
    </row>
    <row r="97" customFormat="false" ht="15" hidden="false" customHeight="false" outlineLevel="0" collapsed="false">
      <c r="A97" s="4" t="s">
        <v>197</v>
      </c>
      <c r="B97" s="4" t="s">
        <v>280</v>
      </c>
      <c r="C97" s="34" t="n">
        <v>28960000</v>
      </c>
      <c r="D97" s="34" t="n">
        <v>28969999</v>
      </c>
      <c r="E97" s="4" t="s">
        <v>201</v>
      </c>
      <c r="F97" s="4" t="s">
        <v>204</v>
      </c>
      <c r="G97" s="4" t="n">
        <f aca="false">COUNTIFS(Pedidos!$E$2:$E$2224,"&gt;="&amp;C97,Pedidos!$E$2:$E$2224,"&lt;="&amp;D97)</f>
        <v>7</v>
      </c>
      <c r="H97" s="7" t="n">
        <v>100.7</v>
      </c>
      <c r="I97" s="7" t="n">
        <v>114.95</v>
      </c>
      <c r="J97" s="7" t="n">
        <v>124.38</v>
      </c>
      <c r="K97" s="7" t="n">
        <v>129.29</v>
      </c>
      <c r="L97" s="7" t="n">
        <v>142.32</v>
      </c>
      <c r="M97" s="7" t="n">
        <v>166.05</v>
      </c>
      <c r="N97" s="7" t="n">
        <v>166.05</v>
      </c>
      <c r="O97" s="7" t="n">
        <v>197.35</v>
      </c>
      <c r="P97" s="7" t="n">
        <v>236.82</v>
      </c>
      <c r="Q97" s="7" t="n">
        <v>264.84</v>
      </c>
      <c r="R97" s="7" t="n">
        <v>300.15</v>
      </c>
      <c r="S97" s="7" t="n">
        <v>353.12</v>
      </c>
      <c r="T97" s="7" t="n">
        <v>441.4</v>
      </c>
      <c r="U97" s="7" t="n">
        <v>52.71</v>
      </c>
      <c r="V97" s="7" t="n">
        <v>76.5</v>
      </c>
      <c r="W97" s="7" t="n">
        <v>87.4</v>
      </c>
      <c r="X97" s="7" t="n">
        <v>94</v>
      </c>
      <c r="Y97" s="7" t="n">
        <v>103.6</v>
      </c>
      <c r="Z97" s="7" t="n">
        <v>113.9</v>
      </c>
      <c r="AA97" s="7" t="n">
        <v>124.16</v>
      </c>
      <c r="AB97" s="7" t="n">
        <v>144.41</v>
      </c>
      <c r="AC97" s="7" t="n">
        <v>161.81</v>
      </c>
      <c r="AD97" s="7" t="n">
        <v>197.37</v>
      </c>
      <c r="AE97" s="7" t="n">
        <v>215.7</v>
      </c>
      <c r="AF97" s="7" t="n">
        <v>143.51</v>
      </c>
      <c r="AG97" s="7" t="n">
        <v>304.65</v>
      </c>
      <c r="AH97" s="12" t="n">
        <f aca="false">(U97+AH$4*(Resumo!$C$7+Resumo!$C$8)+Resumo!$C$10*CEILING(AH$3/100,1)+Resumo!$C$9)*(1+Resumo!$C$11)-(AH$4*(Resumo!$B$6+Resumo!$B$7)+Resumo!$B$9+Resumo!$B$10*CEILING(AH$3/100,1)+(Resumo!$B$12+Resumo!$B$13)*CEILING(AH$3,1))</f>
        <v>54.9227352971963</v>
      </c>
      <c r="AI97" s="12" t="n">
        <f aca="false">(V97+AI$4*(Resumo!$C$7+Resumo!$C$8)+Resumo!$C$10*CEILING(AI$3/100,1)+Resumo!$C$9)*(1+Resumo!$C$11)-(AI$4*(Resumo!$B$6+Resumo!$B$7)+Resumo!$B$9+Resumo!$B$10*CEILING(AI$3/100,1)+(Resumo!$B$12+Resumo!$B$13)*CEILING(AI$3,1))</f>
        <v>74.5570462771717</v>
      </c>
      <c r="AJ97" s="12" t="n">
        <f aca="false">(W97+AJ$4*(Resumo!$C$7+Resumo!$C$8)+Resumo!$C$10*CEILING(AJ$3/100,1)+Resumo!$C$9)*(1+Resumo!$C$11)-(AJ$4*(Resumo!$B$6+Resumo!$B$7)+Resumo!$B$9+Resumo!$B$10*CEILING(AJ$3/100,1)+(Resumo!$B$12+Resumo!$B$13)*CEILING(AJ$3,1))</f>
        <v>81.5039345092958</v>
      </c>
      <c r="AK97" s="12" t="n">
        <f aca="false">(X97+AK$4*(Resumo!$C$7+Resumo!$C$8)+Resumo!$C$10*CEILING(AK$3/100,1)+Resumo!$C$9)*(1+Resumo!$C$11)-(AK$4*(Resumo!$B$6+Resumo!$B$7)+Resumo!$B$9+Resumo!$B$10*CEILING(AK$3/100,1)+(Resumo!$B$12+Resumo!$B$13)*CEILING(AK$3,1))</f>
        <v>84.5552580255814</v>
      </c>
      <c r="AL97" s="12" t="n">
        <f aca="false">(Y97+AL$4*(Resumo!$C$7+Resumo!$C$8)+Resumo!$C$10*CEILING(AL$3/100,1)+Resumo!$C$9)*(1+Resumo!$C$11)-(AL$4*(Resumo!$B$6+Resumo!$B$7)+Resumo!$B$9+Resumo!$B$10*CEILING(AL$3/100,1)+(Resumo!$B$12+Resumo!$B$13)*CEILING(AL$3,1))</f>
        <v>90.7147698817308</v>
      </c>
      <c r="AM97" s="12" t="n">
        <f aca="false">(Z97+AM$4*(Resumo!$C$7+Resumo!$C$8)+Resumo!$C$10*CEILING(AM$3/100,1)+Resumo!$C$9)*(1+Resumo!$C$11)-(AM$4*(Resumo!$B$6+Resumo!$B$7)+Resumo!$B$9+Resumo!$B$10*CEILING(AM$3/100,1)+(Resumo!$B$12+Resumo!$B$13)*CEILING(AM$3,1))</f>
        <v>95.0304196468864</v>
      </c>
      <c r="AN97" s="12" t="n">
        <f aca="false">(AA97+AN$4*(Resumo!$C$7+Resumo!$C$8)+Resumo!$C$10*CEILING(AN$3/100,1)+Resumo!$C$9)*(1+Resumo!$C$11)-(AN$4*(Resumo!$B$6+Resumo!$B$7)+Resumo!$B$9+Resumo!$B$10*CEILING(AN$3/100,1)+(Resumo!$B$12+Resumo!$B$13)*CEILING(AN$3,1))</f>
        <v>102.00959604</v>
      </c>
      <c r="AO97" s="12" t="n">
        <f aca="false">(AB97+AO$4*(Resumo!$C$7+Resumo!$C$8)+Resumo!$C$10*CEILING(AO$3/100,1)+Resumo!$C$9)*(1+Resumo!$C$11)-(AO$4*(Resumo!$B$6+Resumo!$B$7)+Resumo!$B$9+Resumo!$B$10*CEILING(AO$3/100,1)+(Resumo!$B$12+Resumo!$B$13)*CEILING(AO$3,1))</f>
        <v>116.765897119298</v>
      </c>
      <c r="AP97" s="12" t="n">
        <f aca="false">(AC97+AP$4*(Resumo!$C$7+Resumo!$C$8)+Resumo!$C$10*CEILING(AP$3/100,1)+Resumo!$C$9)*(1+Resumo!$C$11)-(AP$4*(Resumo!$B$6+Resumo!$B$7)+Resumo!$B$9+Resumo!$B$10*CEILING(AP$3/100,1)+(Resumo!$B$12+Resumo!$B$13)*CEILING(AP$3,1))</f>
        <v>120.300564037736</v>
      </c>
      <c r="AQ97" s="12" t="n">
        <f aca="false">(AD97+AQ$4*(Resumo!$C$7+Resumo!$C$8)+Resumo!$C$10*CEILING(AQ$3/100,1)+Resumo!$C$9)*(1+Resumo!$C$11)-(AQ$4*(Resumo!$B$6+Resumo!$B$7)+Resumo!$B$9+Resumo!$B$10*CEILING(AQ$3/100,1)+(Resumo!$B$12+Resumo!$B$13)*CEILING(AQ$3,1))</f>
        <v>149.110142593023</v>
      </c>
      <c r="AR97" s="12" t="n">
        <f aca="false">(AE97+AR$4*(Resumo!$C$7+Resumo!$C$8)+Resumo!$C$10*CEILING(AR$3/100,1)+Resumo!$C$9)*(1+Resumo!$C$11)-(AR$4*(Resumo!$B$6+Resumo!$B$7)+Resumo!$B$9+Resumo!$B$10*CEILING(AR$3/100,1)+(Resumo!$B$12+Resumo!$B$13)*CEILING(AR$3,1))</f>
        <v>152.447191466667</v>
      </c>
      <c r="AS97" s="12" t="n">
        <f aca="false">(AF97+AS$4*(Resumo!$C$7+Resumo!$C$8)+Resumo!$C$10*CEILING(AS$3/100,1)+Resumo!$C$9)*(1+Resumo!$C$11)-(AS$4*(Resumo!$B$6+Resumo!$B$7)+Resumo!$B$9+Resumo!$B$10*CEILING(AS$3/100,1)+(Resumo!$B$12+Resumo!$B$13)*CEILING(AS$3,1))</f>
        <v>62.11023</v>
      </c>
      <c r="AT97" s="12" t="n">
        <f aca="false">(AG97+AT$4*(Resumo!$C$7+Resumo!$C$8)+Resumo!$C$10*CEILING(AT$3/100,1)+Resumo!$C$9)*(1+Resumo!$C$11)-(AT$4*(Resumo!$B$6+Resumo!$B$7)+Resumo!$B$9+Resumo!$B$10*CEILING(AT$3/100,1)+(Resumo!$B$12+Resumo!$B$13)*CEILING(AT$3,1))</f>
        <v>219.780987533333</v>
      </c>
      <c r="AU97" s="13" t="n">
        <f aca="false">1-AH97/H97</f>
        <v>0.454590513433999</v>
      </c>
      <c r="AV97" s="13" t="n">
        <f aca="false">1-AI97/I97</f>
        <v>0.351395856657923</v>
      </c>
      <c r="AW97" s="13" t="n">
        <f aca="false">1-AJ97/J97</f>
        <v>0.344718326826694</v>
      </c>
      <c r="AX97" s="13" t="n">
        <f aca="false">1-AK97/K97</f>
        <v>0.346003109091334</v>
      </c>
      <c r="AY97" s="13" t="n">
        <f aca="false">1-AL97/L97</f>
        <v>0.362599986778171</v>
      </c>
      <c r="AZ97" s="13" t="n">
        <f aca="false">1-AM97/M97</f>
        <v>0.427699972015137</v>
      </c>
      <c r="BA97" s="13" t="n">
        <f aca="false">1-AN97/N97</f>
        <v>0.385669400542005</v>
      </c>
      <c r="BB97" s="13" t="n">
        <f aca="false">1-AO97/O97</f>
        <v>0.408330898812778</v>
      </c>
      <c r="BC97" s="13" t="n">
        <f aca="false">1-AP97/P97</f>
        <v>0.492016873415523</v>
      </c>
      <c r="BD97" s="13" t="n">
        <f aca="false">1-AQ97/Q97</f>
        <v>0.436980280195502</v>
      </c>
      <c r="BE97" s="13" t="n">
        <f aca="false">1-AR97/R97</f>
        <v>0.492096646787717</v>
      </c>
      <c r="BF97" s="13" t="n">
        <f aca="false">1-AS97/S97</f>
        <v>0.82411013253285</v>
      </c>
      <c r="BG97" s="13" t="n">
        <f aca="false">1-AT97/T97</f>
        <v>0.502082040024166</v>
      </c>
    </row>
    <row r="98" customFormat="false" ht="15" hidden="false" customHeight="false" outlineLevel="0" collapsed="false">
      <c r="A98" s="4" t="s">
        <v>197</v>
      </c>
      <c r="B98" s="4" t="s">
        <v>153</v>
      </c>
      <c r="C98" s="34" t="n">
        <v>28970000</v>
      </c>
      <c r="D98" s="34" t="n">
        <v>28989999</v>
      </c>
      <c r="E98" s="4" t="s">
        <v>201</v>
      </c>
      <c r="F98" s="4" t="s">
        <v>204</v>
      </c>
      <c r="G98" s="4" t="n">
        <f aca="false">COUNTIFS(Pedidos!$E$2:$E$2224,"&gt;="&amp;C98,Pedidos!$E$2:$E$2224,"&lt;="&amp;D98)</f>
        <v>28</v>
      </c>
      <c r="H98" s="7" t="n">
        <v>100.7</v>
      </c>
      <c r="I98" s="7" t="n">
        <v>114.95</v>
      </c>
      <c r="J98" s="7" t="n">
        <v>124.38</v>
      </c>
      <c r="K98" s="7" t="n">
        <v>129.29</v>
      </c>
      <c r="L98" s="7" t="n">
        <v>142.32</v>
      </c>
      <c r="M98" s="7" t="n">
        <v>166.05</v>
      </c>
      <c r="N98" s="7" t="n">
        <v>166.05</v>
      </c>
      <c r="O98" s="7" t="n">
        <v>197.35</v>
      </c>
      <c r="P98" s="7" t="n">
        <v>236.82</v>
      </c>
      <c r="Q98" s="7" t="n">
        <v>264.84</v>
      </c>
      <c r="R98" s="7" t="n">
        <v>300.15</v>
      </c>
      <c r="S98" s="7" t="n">
        <v>353.12</v>
      </c>
      <c r="T98" s="7" t="n">
        <v>441.4</v>
      </c>
      <c r="U98" s="7" t="n">
        <v>52.71</v>
      </c>
      <c r="V98" s="7" t="n">
        <v>76.5</v>
      </c>
      <c r="W98" s="7" t="n">
        <v>87.4</v>
      </c>
      <c r="X98" s="7" t="n">
        <v>94</v>
      </c>
      <c r="Y98" s="7" t="n">
        <v>103.6</v>
      </c>
      <c r="Z98" s="7" t="n">
        <v>113.9</v>
      </c>
      <c r="AA98" s="7" t="n">
        <v>124.16</v>
      </c>
      <c r="AB98" s="7" t="n">
        <v>144.41</v>
      </c>
      <c r="AC98" s="7" t="n">
        <v>161.81</v>
      </c>
      <c r="AD98" s="7" t="n">
        <v>197.37</v>
      </c>
      <c r="AE98" s="7" t="n">
        <v>215.7</v>
      </c>
      <c r="AF98" s="7" t="n">
        <v>143.51</v>
      </c>
      <c r="AG98" s="7" t="n">
        <v>304.65</v>
      </c>
      <c r="AH98" s="12" t="n">
        <f aca="false">(U98+AH$4*(Resumo!$C$7+Resumo!$C$8)+Resumo!$C$10*CEILING(AH$3/100,1)+Resumo!$C$9)*(1+Resumo!$C$11)-(AH$4*(Resumo!$B$6+Resumo!$B$7)+Resumo!$B$9+Resumo!$B$10*CEILING(AH$3/100,1)+(Resumo!$B$12+Resumo!$B$13)*CEILING(AH$3,1))</f>
        <v>54.9227352971963</v>
      </c>
      <c r="AI98" s="12" t="n">
        <f aca="false">(V98+AI$4*(Resumo!$C$7+Resumo!$C$8)+Resumo!$C$10*CEILING(AI$3/100,1)+Resumo!$C$9)*(1+Resumo!$C$11)-(AI$4*(Resumo!$B$6+Resumo!$B$7)+Resumo!$B$9+Resumo!$B$10*CEILING(AI$3/100,1)+(Resumo!$B$12+Resumo!$B$13)*CEILING(AI$3,1))</f>
        <v>74.5570462771717</v>
      </c>
      <c r="AJ98" s="12" t="n">
        <f aca="false">(W98+AJ$4*(Resumo!$C$7+Resumo!$C$8)+Resumo!$C$10*CEILING(AJ$3/100,1)+Resumo!$C$9)*(1+Resumo!$C$11)-(AJ$4*(Resumo!$B$6+Resumo!$B$7)+Resumo!$B$9+Resumo!$B$10*CEILING(AJ$3/100,1)+(Resumo!$B$12+Resumo!$B$13)*CEILING(AJ$3,1))</f>
        <v>81.5039345092958</v>
      </c>
      <c r="AK98" s="12" t="n">
        <f aca="false">(X98+AK$4*(Resumo!$C$7+Resumo!$C$8)+Resumo!$C$10*CEILING(AK$3/100,1)+Resumo!$C$9)*(1+Resumo!$C$11)-(AK$4*(Resumo!$B$6+Resumo!$B$7)+Resumo!$B$9+Resumo!$B$10*CEILING(AK$3/100,1)+(Resumo!$B$12+Resumo!$B$13)*CEILING(AK$3,1))</f>
        <v>84.5552580255814</v>
      </c>
      <c r="AL98" s="12" t="n">
        <f aca="false">(Y98+AL$4*(Resumo!$C$7+Resumo!$C$8)+Resumo!$C$10*CEILING(AL$3/100,1)+Resumo!$C$9)*(1+Resumo!$C$11)-(AL$4*(Resumo!$B$6+Resumo!$B$7)+Resumo!$B$9+Resumo!$B$10*CEILING(AL$3/100,1)+(Resumo!$B$12+Resumo!$B$13)*CEILING(AL$3,1))</f>
        <v>90.7147698817308</v>
      </c>
      <c r="AM98" s="12" t="n">
        <f aca="false">(Z98+AM$4*(Resumo!$C$7+Resumo!$C$8)+Resumo!$C$10*CEILING(AM$3/100,1)+Resumo!$C$9)*(1+Resumo!$C$11)-(AM$4*(Resumo!$B$6+Resumo!$B$7)+Resumo!$B$9+Resumo!$B$10*CEILING(AM$3/100,1)+(Resumo!$B$12+Resumo!$B$13)*CEILING(AM$3,1))</f>
        <v>95.0304196468864</v>
      </c>
      <c r="AN98" s="12" t="n">
        <f aca="false">(AA98+AN$4*(Resumo!$C$7+Resumo!$C$8)+Resumo!$C$10*CEILING(AN$3/100,1)+Resumo!$C$9)*(1+Resumo!$C$11)-(AN$4*(Resumo!$B$6+Resumo!$B$7)+Resumo!$B$9+Resumo!$B$10*CEILING(AN$3/100,1)+(Resumo!$B$12+Resumo!$B$13)*CEILING(AN$3,1))</f>
        <v>102.00959604</v>
      </c>
      <c r="AO98" s="12" t="n">
        <f aca="false">(AB98+AO$4*(Resumo!$C$7+Resumo!$C$8)+Resumo!$C$10*CEILING(AO$3/100,1)+Resumo!$C$9)*(1+Resumo!$C$11)-(AO$4*(Resumo!$B$6+Resumo!$B$7)+Resumo!$B$9+Resumo!$B$10*CEILING(AO$3/100,1)+(Resumo!$B$12+Resumo!$B$13)*CEILING(AO$3,1))</f>
        <v>116.765897119298</v>
      </c>
      <c r="AP98" s="12" t="n">
        <f aca="false">(AC98+AP$4*(Resumo!$C$7+Resumo!$C$8)+Resumo!$C$10*CEILING(AP$3/100,1)+Resumo!$C$9)*(1+Resumo!$C$11)-(AP$4*(Resumo!$B$6+Resumo!$B$7)+Resumo!$B$9+Resumo!$B$10*CEILING(AP$3/100,1)+(Resumo!$B$12+Resumo!$B$13)*CEILING(AP$3,1))</f>
        <v>120.300564037736</v>
      </c>
      <c r="AQ98" s="12" t="n">
        <f aca="false">(AD98+AQ$4*(Resumo!$C$7+Resumo!$C$8)+Resumo!$C$10*CEILING(AQ$3/100,1)+Resumo!$C$9)*(1+Resumo!$C$11)-(AQ$4*(Resumo!$B$6+Resumo!$B$7)+Resumo!$B$9+Resumo!$B$10*CEILING(AQ$3/100,1)+(Resumo!$B$12+Resumo!$B$13)*CEILING(AQ$3,1))</f>
        <v>149.110142593023</v>
      </c>
      <c r="AR98" s="12" t="n">
        <f aca="false">(AE98+AR$4*(Resumo!$C$7+Resumo!$C$8)+Resumo!$C$10*CEILING(AR$3/100,1)+Resumo!$C$9)*(1+Resumo!$C$11)-(AR$4*(Resumo!$B$6+Resumo!$B$7)+Resumo!$B$9+Resumo!$B$10*CEILING(AR$3/100,1)+(Resumo!$B$12+Resumo!$B$13)*CEILING(AR$3,1))</f>
        <v>152.447191466667</v>
      </c>
      <c r="AS98" s="12" t="n">
        <f aca="false">(AF98+AS$4*(Resumo!$C$7+Resumo!$C$8)+Resumo!$C$10*CEILING(AS$3/100,1)+Resumo!$C$9)*(1+Resumo!$C$11)-(AS$4*(Resumo!$B$6+Resumo!$B$7)+Resumo!$B$9+Resumo!$B$10*CEILING(AS$3/100,1)+(Resumo!$B$12+Resumo!$B$13)*CEILING(AS$3,1))</f>
        <v>62.11023</v>
      </c>
      <c r="AT98" s="12" t="n">
        <f aca="false">(AG98+AT$4*(Resumo!$C$7+Resumo!$C$8)+Resumo!$C$10*CEILING(AT$3/100,1)+Resumo!$C$9)*(1+Resumo!$C$11)-(AT$4*(Resumo!$B$6+Resumo!$B$7)+Resumo!$B$9+Resumo!$B$10*CEILING(AT$3/100,1)+(Resumo!$B$12+Resumo!$B$13)*CEILING(AT$3,1))</f>
        <v>219.780987533333</v>
      </c>
      <c r="AU98" s="13" t="n">
        <f aca="false">1-AH98/H98</f>
        <v>0.454590513433999</v>
      </c>
      <c r="AV98" s="13" t="n">
        <f aca="false">1-AI98/I98</f>
        <v>0.351395856657923</v>
      </c>
      <c r="AW98" s="13" t="n">
        <f aca="false">1-AJ98/J98</f>
        <v>0.344718326826694</v>
      </c>
      <c r="AX98" s="13" t="n">
        <f aca="false">1-AK98/K98</f>
        <v>0.346003109091334</v>
      </c>
      <c r="AY98" s="13" t="n">
        <f aca="false">1-AL98/L98</f>
        <v>0.362599986778171</v>
      </c>
      <c r="AZ98" s="13" t="n">
        <f aca="false">1-AM98/M98</f>
        <v>0.427699972015137</v>
      </c>
      <c r="BA98" s="13" t="n">
        <f aca="false">1-AN98/N98</f>
        <v>0.385669400542005</v>
      </c>
      <c r="BB98" s="13" t="n">
        <f aca="false">1-AO98/O98</f>
        <v>0.408330898812778</v>
      </c>
      <c r="BC98" s="13" t="n">
        <f aca="false">1-AP98/P98</f>
        <v>0.492016873415523</v>
      </c>
      <c r="BD98" s="13" t="n">
        <f aca="false">1-AQ98/Q98</f>
        <v>0.436980280195502</v>
      </c>
      <c r="BE98" s="13" t="n">
        <f aca="false">1-AR98/R98</f>
        <v>0.492096646787717</v>
      </c>
      <c r="BF98" s="13" t="n">
        <f aca="false">1-AS98/S98</f>
        <v>0.82411013253285</v>
      </c>
      <c r="BG98" s="13" t="n">
        <f aca="false">1-AT98/T98</f>
        <v>0.502082040024166</v>
      </c>
    </row>
    <row r="99" customFormat="false" ht="15" hidden="false" customHeight="false" outlineLevel="0" collapsed="false">
      <c r="A99" s="4" t="s">
        <v>197</v>
      </c>
      <c r="B99" s="4" t="s">
        <v>281</v>
      </c>
      <c r="C99" s="34" t="n">
        <v>28990000</v>
      </c>
      <c r="D99" s="34" t="n">
        <v>28999999</v>
      </c>
      <c r="E99" s="4" t="s">
        <v>201</v>
      </c>
      <c r="F99" s="4" t="s">
        <v>204</v>
      </c>
      <c r="G99" s="4" t="n">
        <f aca="false">COUNTIFS(Pedidos!$E$2:$E$2224,"&gt;="&amp;C99,Pedidos!$E$2:$E$2224,"&lt;="&amp;D99)</f>
        <v>15</v>
      </c>
      <c r="H99" s="7" t="n">
        <v>100.7</v>
      </c>
      <c r="I99" s="7" t="n">
        <v>114.95</v>
      </c>
      <c r="J99" s="7" t="n">
        <v>124.38</v>
      </c>
      <c r="K99" s="7" t="n">
        <v>129.29</v>
      </c>
      <c r="L99" s="7" t="n">
        <v>142.32</v>
      </c>
      <c r="M99" s="7" t="n">
        <v>166.05</v>
      </c>
      <c r="N99" s="7" t="n">
        <v>166.05</v>
      </c>
      <c r="O99" s="7" t="n">
        <v>197.35</v>
      </c>
      <c r="P99" s="7" t="n">
        <v>236.82</v>
      </c>
      <c r="Q99" s="7" t="n">
        <v>264.84</v>
      </c>
      <c r="R99" s="7" t="n">
        <v>300.15</v>
      </c>
      <c r="S99" s="7" t="n">
        <v>353.12</v>
      </c>
      <c r="T99" s="7" t="n">
        <v>441.4</v>
      </c>
      <c r="U99" s="7" t="n">
        <v>52.71</v>
      </c>
      <c r="V99" s="7" t="n">
        <v>76.5</v>
      </c>
      <c r="W99" s="7" t="n">
        <v>87.4</v>
      </c>
      <c r="X99" s="7" t="n">
        <v>94</v>
      </c>
      <c r="Y99" s="7" t="n">
        <v>103.6</v>
      </c>
      <c r="Z99" s="7" t="n">
        <v>113.9</v>
      </c>
      <c r="AA99" s="7" t="n">
        <v>124.16</v>
      </c>
      <c r="AB99" s="7" t="n">
        <v>144.41</v>
      </c>
      <c r="AC99" s="7" t="n">
        <v>161.81</v>
      </c>
      <c r="AD99" s="7" t="n">
        <v>197.37</v>
      </c>
      <c r="AE99" s="7" t="n">
        <v>215.7</v>
      </c>
      <c r="AF99" s="7" t="n">
        <v>143.51</v>
      </c>
      <c r="AG99" s="7" t="n">
        <v>304.65</v>
      </c>
      <c r="AH99" s="12" t="n">
        <f aca="false">(U99+AH$4*(Resumo!$C$7+Resumo!$C$8)+Resumo!$C$10*CEILING(AH$3/100,1)+Resumo!$C$9)*(1+Resumo!$C$11)-(AH$4*(Resumo!$B$6+Resumo!$B$7)+Resumo!$B$9+Resumo!$B$10*CEILING(AH$3/100,1)+(Resumo!$B$12+Resumo!$B$13)*CEILING(AH$3,1))</f>
        <v>54.9227352971963</v>
      </c>
      <c r="AI99" s="12" t="n">
        <f aca="false">(V99+AI$4*(Resumo!$C$7+Resumo!$C$8)+Resumo!$C$10*CEILING(AI$3/100,1)+Resumo!$C$9)*(1+Resumo!$C$11)-(AI$4*(Resumo!$B$6+Resumo!$B$7)+Resumo!$B$9+Resumo!$B$10*CEILING(AI$3/100,1)+(Resumo!$B$12+Resumo!$B$13)*CEILING(AI$3,1))</f>
        <v>74.5570462771717</v>
      </c>
      <c r="AJ99" s="12" t="n">
        <f aca="false">(W99+AJ$4*(Resumo!$C$7+Resumo!$C$8)+Resumo!$C$10*CEILING(AJ$3/100,1)+Resumo!$C$9)*(1+Resumo!$C$11)-(AJ$4*(Resumo!$B$6+Resumo!$B$7)+Resumo!$B$9+Resumo!$B$10*CEILING(AJ$3/100,1)+(Resumo!$B$12+Resumo!$B$13)*CEILING(AJ$3,1))</f>
        <v>81.5039345092958</v>
      </c>
      <c r="AK99" s="12" t="n">
        <f aca="false">(X99+AK$4*(Resumo!$C$7+Resumo!$C$8)+Resumo!$C$10*CEILING(AK$3/100,1)+Resumo!$C$9)*(1+Resumo!$C$11)-(AK$4*(Resumo!$B$6+Resumo!$B$7)+Resumo!$B$9+Resumo!$B$10*CEILING(AK$3/100,1)+(Resumo!$B$12+Resumo!$B$13)*CEILING(AK$3,1))</f>
        <v>84.5552580255814</v>
      </c>
      <c r="AL99" s="12" t="n">
        <f aca="false">(Y99+AL$4*(Resumo!$C$7+Resumo!$C$8)+Resumo!$C$10*CEILING(AL$3/100,1)+Resumo!$C$9)*(1+Resumo!$C$11)-(AL$4*(Resumo!$B$6+Resumo!$B$7)+Resumo!$B$9+Resumo!$B$10*CEILING(AL$3/100,1)+(Resumo!$B$12+Resumo!$B$13)*CEILING(AL$3,1))</f>
        <v>90.7147698817308</v>
      </c>
      <c r="AM99" s="12" t="n">
        <f aca="false">(Z99+AM$4*(Resumo!$C$7+Resumo!$C$8)+Resumo!$C$10*CEILING(AM$3/100,1)+Resumo!$C$9)*(1+Resumo!$C$11)-(AM$4*(Resumo!$B$6+Resumo!$B$7)+Resumo!$B$9+Resumo!$B$10*CEILING(AM$3/100,1)+(Resumo!$B$12+Resumo!$B$13)*CEILING(AM$3,1))</f>
        <v>95.0304196468864</v>
      </c>
      <c r="AN99" s="12" t="n">
        <f aca="false">(AA99+AN$4*(Resumo!$C$7+Resumo!$C$8)+Resumo!$C$10*CEILING(AN$3/100,1)+Resumo!$C$9)*(1+Resumo!$C$11)-(AN$4*(Resumo!$B$6+Resumo!$B$7)+Resumo!$B$9+Resumo!$B$10*CEILING(AN$3/100,1)+(Resumo!$B$12+Resumo!$B$13)*CEILING(AN$3,1))</f>
        <v>102.00959604</v>
      </c>
      <c r="AO99" s="12" t="n">
        <f aca="false">(AB99+AO$4*(Resumo!$C$7+Resumo!$C$8)+Resumo!$C$10*CEILING(AO$3/100,1)+Resumo!$C$9)*(1+Resumo!$C$11)-(AO$4*(Resumo!$B$6+Resumo!$B$7)+Resumo!$B$9+Resumo!$B$10*CEILING(AO$3/100,1)+(Resumo!$B$12+Resumo!$B$13)*CEILING(AO$3,1))</f>
        <v>116.765897119298</v>
      </c>
      <c r="AP99" s="12" t="n">
        <f aca="false">(AC99+AP$4*(Resumo!$C$7+Resumo!$C$8)+Resumo!$C$10*CEILING(AP$3/100,1)+Resumo!$C$9)*(1+Resumo!$C$11)-(AP$4*(Resumo!$B$6+Resumo!$B$7)+Resumo!$B$9+Resumo!$B$10*CEILING(AP$3/100,1)+(Resumo!$B$12+Resumo!$B$13)*CEILING(AP$3,1))</f>
        <v>120.300564037736</v>
      </c>
      <c r="AQ99" s="12" t="n">
        <f aca="false">(AD99+AQ$4*(Resumo!$C$7+Resumo!$C$8)+Resumo!$C$10*CEILING(AQ$3/100,1)+Resumo!$C$9)*(1+Resumo!$C$11)-(AQ$4*(Resumo!$B$6+Resumo!$B$7)+Resumo!$B$9+Resumo!$B$10*CEILING(AQ$3/100,1)+(Resumo!$B$12+Resumo!$B$13)*CEILING(AQ$3,1))</f>
        <v>149.110142593023</v>
      </c>
      <c r="AR99" s="12" t="n">
        <f aca="false">(AE99+AR$4*(Resumo!$C$7+Resumo!$C$8)+Resumo!$C$10*CEILING(AR$3/100,1)+Resumo!$C$9)*(1+Resumo!$C$11)-(AR$4*(Resumo!$B$6+Resumo!$B$7)+Resumo!$B$9+Resumo!$B$10*CEILING(AR$3/100,1)+(Resumo!$B$12+Resumo!$B$13)*CEILING(AR$3,1))</f>
        <v>152.447191466667</v>
      </c>
      <c r="AS99" s="12" t="n">
        <f aca="false">(AF99+AS$4*(Resumo!$C$7+Resumo!$C$8)+Resumo!$C$10*CEILING(AS$3/100,1)+Resumo!$C$9)*(1+Resumo!$C$11)-(AS$4*(Resumo!$B$6+Resumo!$B$7)+Resumo!$B$9+Resumo!$B$10*CEILING(AS$3/100,1)+(Resumo!$B$12+Resumo!$B$13)*CEILING(AS$3,1))</f>
        <v>62.11023</v>
      </c>
      <c r="AT99" s="12" t="n">
        <f aca="false">(AG99+AT$4*(Resumo!$C$7+Resumo!$C$8)+Resumo!$C$10*CEILING(AT$3/100,1)+Resumo!$C$9)*(1+Resumo!$C$11)-(AT$4*(Resumo!$B$6+Resumo!$B$7)+Resumo!$B$9+Resumo!$B$10*CEILING(AT$3/100,1)+(Resumo!$B$12+Resumo!$B$13)*CEILING(AT$3,1))</f>
        <v>219.780987533333</v>
      </c>
      <c r="AU99" s="13" t="n">
        <f aca="false">1-AH99/H99</f>
        <v>0.454590513433999</v>
      </c>
      <c r="AV99" s="13" t="n">
        <f aca="false">1-AI99/I99</f>
        <v>0.351395856657923</v>
      </c>
      <c r="AW99" s="13" t="n">
        <f aca="false">1-AJ99/J99</f>
        <v>0.344718326826694</v>
      </c>
      <c r="AX99" s="13" t="n">
        <f aca="false">1-AK99/K99</f>
        <v>0.346003109091334</v>
      </c>
      <c r="AY99" s="13" t="n">
        <f aca="false">1-AL99/L99</f>
        <v>0.362599986778171</v>
      </c>
      <c r="AZ99" s="13" t="n">
        <f aca="false">1-AM99/M99</f>
        <v>0.427699972015137</v>
      </c>
      <c r="BA99" s="13" t="n">
        <f aca="false">1-AN99/N99</f>
        <v>0.385669400542005</v>
      </c>
      <c r="BB99" s="13" t="n">
        <f aca="false">1-AO99/O99</f>
        <v>0.408330898812778</v>
      </c>
      <c r="BC99" s="13" t="n">
        <f aca="false">1-AP99/P99</f>
        <v>0.492016873415523</v>
      </c>
      <c r="BD99" s="13" t="n">
        <f aca="false">1-AQ99/Q99</f>
        <v>0.436980280195502</v>
      </c>
      <c r="BE99" s="13" t="n">
        <f aca="false">1-AR99/R99</f>
        <v>0.492096646787717</v>
      </c>
      <c r="BF99" s="13" t="n">
        <f aca="false">1-AS99/S99</f>
        <v>0.82411013253285</v>
      </c>
      <c r="BG99" s="13" t="n">
        <f aca="false">1-AT99/T99</f>
        <v>0.502082040024166</v>
      </c>
    </row>
    <row r="101" customFormat="false" ht="15" hidden="false" customHeight="false" outlineLevel="0" collapsed="false">
      <c r="B101" s="20" t="s">
        <v>282</v>
      </c>
    </row>
    <row r="102" customFormat="false" ht="15" hidden="false" customHeight="false" outlineLevel="0" collapsed="false">
      <c r="B102" s="20" t="s">
        <v>283</v>
      </c>
    </row>
  </sheetData>
  <mergeCells count="4">
    <mergeCell ref="H5:T5"/>
    <mergeCell ref="U5:AG5"/>
    <mergeCell ref="AH5:AT5"/>
    <mergeCell ref="AU5:BG5"/>
  </mergeCells>
  <conditionalFormatting sqref="AU7:BG99">
    <cfRule type="colorScale" priority="2">
      <colorScale>
        <cfvo type="num" val="0"/>
        <cfvo type="num" val="0.3"/>
        <cfvo type="num" val="0.6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15" min="3" style="0" width="10"/>
  </cols>
  <sheetData>
    <row r="1" customFormat="false" ht="17.35" hidden="false" customHeight="false" outlineLevel="0" collapsed="false">
      <c r="A1" s="1" t="s">
        <v>284</v>
      </c>
    </row>
    <row r="2" customFormat="false" ht="15" hidden="false" customHeight="false" outlineLevel="0" collapsed="false">
      <c r="A2" s="20" t="s">
        <v>285</v>
      </c>
    </row>
    <row r="4" customFormat="false" ht="15" hidden="false" customHeight="false" outlineLevel="0" collapsed="false">
      <c r="A4" s="2" t="s">
        <v>286</v>
      </c>
    </row>
    <row r="5" customFormat="false" ht="30" hidden="false" customHeight="true" outlineLevel="0" collapsed="false">
      <c r="A5" s="35" t="s">
        <v>122</v>
      </c>
      <c r="B5" s="35" t="s">
        <v>123</v>
      </c>
      <c r="C5" s="35" t="s">
        <v>167</v>
      </c>
      <c r="D5" s="35" t="s">
        <v>168</v>
      </c>
      <c r="E5" s="35" t="s">
        <v>169</v>
      </c>
      <c r="F5" s="35" t="s">
        <v>170</v>
      </c>
      <c r="G5" s="35" t="s">
        <v>171</v>
      </c>
      <c r="H5" s="35" t="s">
        <v>172</v>
      </c>
      <c r="I5" s="35" t="s">
        <v>173</v>
      </c>
      <c r="J5" s="35" t="s">
        <v>174</v>
      </c>
      <c r="K5" s="35" t="s">
        <v>175</v>
      </c>
      <c r="L5" s="35" t="s">
        <v>176</v>
      </c>
      <c r="M5" s="35" t="s">
        <v>177</v>
      </c>
      <c r="N5" s="35" t="s">
        <v>178</v>
      </c>
      <c r="O5" s="35" t="s">
        <v>179</v>
      </c>
    </row>
    <row r="6" customFormat="false" ht="15" hidden="false" customHeight="false" outlineLevel="0" collapsed="false">
      <c r="A6" s="4" t="s">
        <v>139</v>
      </c>
      <c r="B6" s="4" t="s">
        <v>198</v>
      </c>
      <c r="C6" s="7" t="n">
        <v>46.98</v>
      </c>
      <c r="D6" s="7" t="n">
        <v>82.21</v>
      </c>
      <c r="E6" s="7" t="n">
        <v>93.97</v>
      </c>
      <c r="F6" s="7" t="n">
        <v>93.97</v>
      </c>
      <c r="G6" s="7" t="n">
        <v>112.3</v>
      </c>
      <c r="H6" s="7" t="n">
        <v>131.02</v>
      </c>
      <c r="I6" s="7" t="n">
        <v>134.39</v>
      </c>
      <c r="J6" s="7" t="n">
        <v>167.99</v>
      </c>
      <c r="K6" s="7" t="n">
        <v>201.59</v>
      </c>
      <c r="L6" s="7" t="n">
        <v>239.25</v>
      </c>
      <c r="M6" s="7" t="n">
        <v>271.15</v>
      </c>
      <c r="N6" s="7" t="n">
        <v>319</v>
      </c>
      <c r="O6" s="7" t="n">
        <v>398.74</v>
      </c>
    </row>
    <row r="7" customFormat="false" ht="15" hidden="false" customHeight="false" outlineLevel="0" collapsed="false">
      <c r="A7" s="4" t="s">
        <v>140</v>
      </c>
      <c r="B7" s="4" t="s">
        <v>207</v>
      </c>
      <c r="C7" s="7" t="n">
        <v>57.47</v>
      </c>
      <c r="D7" s="7" t="n">
        <v>100.58</v>
      </c>
      <c r="E7" s="7" t="n">
        <v>114.95</v>
      </c>
      <c r="F7" s="7" t="n">
        <v>114.95</v>
      </c>
      <c r="G7" s="7" t="n">
        <v>128.14</v>
      </c>
      <c r="H7" s="7" t="n">
        <v>149.5</v>
      </c>
      <c r="I7" s="7" t="n">
        <v>142.74</v>
      </c>
      <c r="J7" s="7" t="n">
        <v>178.42</v>
      </c>
      <c r="K7" s="7" t="n">
        <v>214.11</v>
      </c>
      <c r="L7" s="7" t="n">
        <v>249.03</v>
      </c>
      <c r="M7" s="7" t="n">
        <v>282.23</v>
      </c>
      <c r="N7" s="7" t="n">
        <v>332.05</v>
      </c>
      <c r="O7" s="7" t="n">
        <v>415.05</v>
      </c>
    </row>
    <row r="8" customFormat="false" ht="15" hidden="false" customHeight="false" outlineLevel="0" collapsed="false">
      <c r="A8" s="4" t="s">
        <v>141</v>
      </c>
      <c r="B8" s="4" t="s">
        <v>207</v>
      </c>
      <c r="C8" s="7" t="n">
        <v>46.98</v>
      </c>
      <c r="D8" s="7" t="n">
        <v>82.21</v>
      </c>
      <c r="E8" s="7" t="n">
        <v>93.97</v>
      </c>
      <c r="F8" s="7" t="n">
        <v>93.97</v>
      </c>
      <c r="G8" s="7" t="n">
        <v>112.3</v>
      </c>
      <c r="H8" s="7" t="n">
        <v>131.02</v>
      </c>
      <c r="I8" s="7" t="n">
        <v>134.39</v>
      </c>
      <c r="J8" s="7" t="n">
        <v>167.99</v>
      </c>
      <c r="K8" s="7" t="n">
        <v>201.59</v>
      </c>
      <c r="L8" s="7" t="n">
        <v>239.25</v>
      </c>
      <c r="M8" s="7" t="n">
        <v>271.15</v>
      </c>
      <c r="N8" s="7" t="n">
        <v>319</v>
      </c>
      <c r="O8" s="7" t="n">
        <v>398.74</v>
      </c>
    </row>
    <row r="9" customFormat="false" ht="15" hidden="false" customHeight="false" outlineLevel="0" collapsed="false">
      <c r="A9" s="4" t="s">
        <v>142</v>
      </c>
      <c r="B9" s="4" t="s">
        <v>207</v>
      </c>
      <c r="C9" s="7" t="n">
        <v>46.98</v>
      </c>
      <c r="D9" s="7" t="n">
        <v>82.21</v>
      </c>
      <c r="E9" s="7" t="n">
        <v>93.97</v>
      </c>
      <c r="F9" s="7" t="n">
        <v>93.97</v>
      </c>
      <c r="G9" s="7" t="n">
        <v>112.3</v>
      </c>
      <c r="H9" s="7" t="n">
        <v>131.02</v>
      </c>
      <c r="I9" s="7" t="n">
        <v>134.39</v>
      </c>
      <c r="J9" s="7" t="n">
        <v>167.99</v>
      </c>
      <c r="K9" s="7" t="n">
        <v>201.59</v>
      </c>
      <c r="L9" s="7" t="n">
        <v>239.25</v>
      </c>
      <c r="M9" s="7" t="n">
        <v>271.15</v>
      </c>
      <c r="N9" s="7" t="n">
        <v>319</v>
      </c>
      <c r="O9" s="7" t="n">
        <v>398.74</v>
      </c>
    </row>
    <row r="10" customFormat="false" ht="15" hidden="false" customHeight="false" outlineLevel="0" collapsed="false">
      <c r="A10" s="4" t="s">
        <v>143</v>
      </c>
      <c r="B10" s="4" t="s">
        <v>207</v>
      </c>
      <c r="C10" s="7" t="n">
        <v>57.47</v>
      </c>
      <c r="D10" s="7" t="n">
        <v>100.58</v>
      </c>
      <c r="E10" s="7" t="n">
        <v>114.95</v>
      </c>
      <c r="F10" s="7" t="n">
        <v>114.95</v>
      </c>
      <c r="G10" s="7" t="n">
        <v>128.14</v>
      </c>
      <c r="H10" s="7" t="n">
        <v>149.5</v>
      </c>
      <c r="I10" s="7" t="n">
        <v>142.74</v>
      </c>
      <c r="J10" s="7" t="n">
        <v>178.42</v>
      </c>
      <c r="K10" s="7" t="n">
        <v>214.11</v>
      </c>
      <c r="L10" s="7" t="n">
        <v>249.03</v>
      </c>
      <c r="M10" s="7" t="n">
        <v>282.23</v>
      </c>
      <c r="N10" s="7" t="n">
        <v>332.05</v>
      </c>
      <c r="O10" s="7" t="n">
        <v>415.05</v>
      </c>
    </row>
    <row r="11" customFormat="false" ht="15" hidden="false" customHeight="false" outlineLevel="0" collapsed="false">
      <c r="A11" s="4" t="s">
        <v>144</v>
      </c>
      <c r="B11" s="4" t="s">
        <v>201</v>
      </c>
      <c r="C11" s="7" t="n">
        <v>124.04</v>
      </c>
      <c r="D11" s="7" t="n">
        <v>138.29</v>
      </c>
      <c r="E11" s="7" t="n">
        <v>143.04</v>
      </c>
      <c r="F11" s="7" t="n">
        <v>152.54</v>
      </c>
      <c r="G11" s="7" t="n">
        <v>162.04</v>
      </c>
      <c r="H11" s="7" t="n">
        <v>171.54</v>
      </c>
      <c r="I11" s="7" t="n">
        <v>181.04</v>
      </c>
      <c r="J11" s="7" t="n">
        <v>200.04</v>
      </c>
      <c r="K11" s="7" t="n">
        <v>236.82</v>
      </c>
      <c r="L11" s="7" t="n">
        <v>264.84</v>
      </c>
      <c r="M11" s="7" t="n">
        <v>300.15</v>
      </c>
      <c r="N11" s="7" t="n">
        <v>353.17</v>
      </c>
      <c r="O11" s="7" t="n">
        <v>441.4</v>
      </c>
    </row>
    <row r="12" customFormat="false" ht="15" hidden="false" customHeight="false" outlineLevel="0" collapsed="false">
      <c r="A12" s="4" t="s">
        <v>145</v>
      </c>
      <c r="B12" s="4" t="s">
        <v>207</v>
      </c>
      <c r="C12" s="7" t="n">
        <v>46.98</v>
      </c>
      <c r="D12" s="7" t="n">
        <v>82.21</v>
      </c>
      <c r="E12" s="7" t="n">
        <v>93.97</v>
      </c>
      <c r="F12" s="7" t="n">
        <v>93.97</v>
      </c>
      <c r="G12" s="7" t="n">
        <v>112.3</v>
      </c>
      <c r="H12" s="7" t="n">
        <v>131.02</v>
      </c>
      <c r="I12" s="7" t="n">
        <v>134.39</v>
      </c>
      <c r="J12" s="7" t="n">
        <v>167.99</v>
      </c>
      <c r="K12" s="7" t="n">
        <v>201.59</v>
      </c>
      <c r="L12" s="7" t="n">
        <v>239.25</v>
      </c>
      <c r="M12" s="7" t="n">
        <v>271.15</v>
      </c>
      <c r="N12" s="7" t="n">
        <v>319</v>
      </c>
      <c r="O12" s="7" t="n">
        <v>398.74</v>
      </c>
    </row>
    <row r="13" customFormat="false" ht="15" hidden="false" customHeight="false" outlineLevel="0" collapsed="false">
      <c r="A13" s="4" t="s">
        <v>146</v>
      </c>
      <c r="B13" s="4" t="s">
        <v>201</v>
      </c>
      <c r="C13" s="7" t="n">
        <v>124.04</v>
      </c>
      <c r="D13" s="7" t="n">
        <v>138.29</v>
      </c>
      <c r="E13" s="7" t="n">
        <v>143.04</v>
      </c>
      <c r="F13" s="7" t="n">
        <v>152.54</v>
      </c>
      <c r="G13" s="7" t="n">
        <v>162.04</v>
      </c>
      <c r="H13" s="7" t="n">
        <v>171.54</v>
      </c>
      <c r="I13" s="7" t="n">
        <v>181.04</v>
      </c>
      <c r="J13" s="7" t="n">
        <v>200.04</v>
      </c>
      <c r="K13" s="7" t="n">
        <v>236.82</v>
      </c>
      <c r="L13" s="7" t="n">
        <v>264.84</v>
      </c>
      <c r="M13" s="7" t="n">
        <v>300.15</v>
      </c>
      <c r="N13" s="7" t="n">
        <v>353.17</v>
      </c>
      <c r="O13" s="7" t="n">
        <v>441.4</v>
      </c>
    </row>
    <row r="14" customFormat="false" ht="15" hidden="false" customHeight="false" outlineLevel="0" collapsed="false">
      <c r="A14" s="4" t="s">
        <v>147</v>
      </c>
      <c r="B14" s="4" t="s">
        <v>207</v>
      </c>
      <c r="C14" s="7" t="n">
        <v>46.98</v>
      </c>
      <c r="D14" s="7" t="n">
        <v>82.21</v>
      </c>
      <c r="E14" s="7" t="n">
        <v>93.97</v>
      </c>
      <c r="F14" s="7" t="n">
        <v>93.97</v>
      </c>
      <c r="G14" s="7" t="n">
        <v>112.3</v>
      </c>
      <c r="H14" s="7" t="n">
        <v>131.02</v>
      </c>
      <c r="I14" s="7" t="n">
        <v>134.39</v>
      </c>
      <c r="J14" s="7" t="n">
        <v>167.99</v>
      </c>
      <c r="K14" s="7" t="n">
        <v>201.59</v>
      </c>
      <c r="L14" s="7" t="n">
        <v>239.25</v>
      </c>
      <c r="M14" s="7" t="n">
        <v>271.15</v>
      </c>
      <c r="N14" s="7" t="n">
        <v>319</v>
      </c>
      <c r="O14" s="7" t="n">
        <v>398.74</v>
      </c>
    </row>
    <row r="15" customFormat="false" ht="15" hidden="false" customHeight="false" outlineLevel="0" collapsed="false">
      <c r="A15" s="4" t="s">
        <v>148</v>
      </c>
      <c r="B15" s="4" t="s">
        <v>201</v>
      </c>
      <c r="C15" s="7" t="n">
        <v>77.35</v>
      </c>
      <c r="D15" s="7" t="n">
        <v>108.83</v>
      </c>
      <c r="E15" s="7" t="n">
        <v>124.38</v>
      </c>
      <c r="F15" s="7" t="n">
        <v>124.38</v>
      </c>
      <c r="G15" s="7" t="n">
        <v>142.32</v>
      </c>
      <c r="H15" s="7" t="n">
        <v>166.05</v>
      </c>
      <c r="I15" s="7" t="n">
        <v>157.88</v>
      </c>
      <c r="J15" s="7" t="n">
        <v>197.35</v>
      </c>
      <c r="K15" s="7" t="n">
        <v>236.82</v>
      </c>
      <c r="L15" s="7" t="n">
        <v>264.84</v>
      </c>
      <c r="M15" s="7" t="n">
        <v>300.15</v>
      </c>
      <c r="N15" s="7" t="n">
        <v>353.12</v>
      </c>
      <c r="O15" s="7" t="n">
        <v>441.4</v>
      </c>
    </row>
    <row r="16" customFormat="false" ht="15" hidden="false" customHeight="false" outlineLevel="0" collapsed="false">
      <c r="A16" s="4" t="s">
        <v>149</v>
      </c>
      <c r="B16" s="4" t="s">
        <v>201</v>
      </c>
      <c r="C16" s="7" t="n">
        <v>77.35</v>
      </c>
      <c r="D16" s="7" t="n">
        <v>108.83</v>
      </c>
      <c r="E16" s="7" t="n">
        <v>124.38</v>
      </c>
      <c r="F16" s="7" t="n">
        <v>124.38</v>
      </c>
      <c r="G16" s="7" t="n">
        <v>142.32</v>
      </c>
      <c r="H16" s="7" t="n">
        <v>166.05</v>
      </c>
      <c r="I16" s="7" t="n">
        <v>157.88</v>
      </c>
      <c r="J16" s="7" t="n">
        <v>197.35</v>
      </c>
      <c r="K16" s="7" t="n">
        <v>236.82</v>
      </c>
      <c r="L16" s="7" t="n">
        <v>264.84</v>
      </c>
      <c r="M16" s="7" t="n">
        <v>300.15</v>
      </c>
      <c r="N16" s="7" t="n">
        <v>353.12</v>
      </c>
      <c r="O16" s="7" t="n">
        <v>441.4</v>
      </c>
    </row>
    <row r="17" customFormat="false" ht="15" hidden="false" customHeight="false" outlineLevel="0" collapsed="false">
      <c r="A17" s="4" t="s">
        <v>150</v>
      </c>
      <c r="B17" s="4" t="s">
        <v>201</v>
      </c>
      <c r="C17" s="7" t="n">
        <v>89.03</v>
      </c>
      <c r="D17" s="7" t="n">
        <v>108.83</v>
      </c>
      <c r="E17" s="7" t="n">
        <v>124.38</v>
      </c>
      <c r="F17" s="7" t="n">
        <v>124.38</v>
      </c>
      <c r="G17" s="7" t="n">
        <v>142.32</v>
      </c>
      <c r="H17" s="7" t="n">
        <v>166.05</v>
      </c>
      <c r="I17" s="7" t="n">
        <v>166.05</v>
      </c>
      <c r="J17" s="7" t="n">
        <v>197.35</v>
      </c>
      <c r="K17" s="7" t="n">
        <v>236.82</v>
      </c>
      <c r="L17" s="7" t="n">
        <v>264.84</v>
      </c>
      <c r="M17" s="7" t="n">
        <v>300.15</v>
      </c>
      <c r="N17" s="7" t="n">
        <v>353.12</v>
      </c>
      <c r="O17" s="7" t="n">
        <v>441.4</v>
      </c>
    </row>
    <row r="18" customFormat="false" ht="15" hidden="false" customHeight="false" outlineLevel="0" collapsed="false">
      <c r="A18" s="4" t="s">
        <v>151</v>
      </c>
      <c r="B18" s="4" t="s">
        <v>201</v>
      </c>
      <c r="C18" s="7" t="n">
        <v>57.47</v>
      </c>
      <c r="D18" s="7" t="n">
        <v>100.58</v>
      </c>
      <c r="E18" s="7" t="n">
        <v>114.95</v>
      </c>
      <c r="F18" s="7" t="n">
        <v>114.95</v>
      </c>
      <c r="G18" s="7" t="n">
        <v>128.14</v>
      </c>
      <c r="H18" s="7" t="n">
        <v>149.5</v>
      </c>
      <c r="I18" s="7" t="n">
        <v>142.74</v>
      </c>
      <c r="J18" s="7" t="n">
        <v>178.42</v>
      </c>
      <c r="K18" s="7" t="n">
        <v>214.11</v>
      </c>
      <c r="L18" s="7" t="n">
        <v>249.03</v>
      </c>
      <c r="M18" s="7" t="n">
        <v>282.23</v>
      </c>
      <c r="N18" s="7" t="n">
        <v>332.05</v>
      </c>
      <c r="O18" s="7" t="n">
        <v>415.05</v>
      </c>
    </row>
    <row r="19" customFormat="false" ht="15" hidden="false" customHeight="false" outlineLevel="0" collapsed="false">
      <c r="A19" s="4" t="s">
        <v>152</v>
      </c>
      <c r="B19" s="4" t="s">
        <v>201</v>
      </c>
      <c r="C19" s="7" t="n">
        <v>100.7</v>
      </c>
      <c r="D19" s="7" t="n">
        <v>114.95</v>
      </c>
      <c r="E19" s="7" t="n">
        <v>124.38</v>
      </c>
      <c r="F19" s="7" t="n">
        <v>129.29</v>
      </c>
      <c r="G19" s="7" t="n">
        <v>142.32</v>
      </c>
      <c r="H19" s="7" t="n">
        <v>166.05</v>
      </c>
      <c r="I19" s="7" t="n">
        <v>166.05</v>
      </c>
      <c r="J19" s="7" t="n">
        <v>197.35</v>
      </c>
      <c r="K19" s="7" t="n">
        <v>236.82</v>
      </c>
      <c r="L19" s="7" t="n">
        <v>264.84</v>
      </c>
      <c r="M19" s="7" t="n">
        <v>300.15</v>
      </c>
      <c r="N19" s="7" t="n">
        <v>353.12</v>
      </c>
      <c r="O19" s="7" t="n">
        <v>441.4</v>
      </c>
    </row>
    <row r="20" customFormat="false" ht="15" hidden="false" customHeight="false" outlineLevel="0" collapsed="false">
      <c r="A20" s="4" t="s">
        <v>153</v>
      </c>
      <c r="B20" s="4" t="s">
        <v>201</v>
      </c>
      <c r="C20" s="7" t="n">
        <v>100.7</v>
      </c>
      <c r="D20" s="7" t="n">
        <v>114.95</v>
      </c>
      <c r="E20" s="7" t="n">
        <v>124.38</v>
      </c>
      <c r="F20" s="7" t="n">
        <v>129.29</v>
      </c>
      <c r="G20" s="7" t="n">
        <v>142.32</v>
      </c>
      <c r="H20" s="7" t="n">
        <v>166.05</v>
      </c>
      <c r="I20" s="7" t="n">
        <v>166.05</v>
      </c>
      <c r="J20" s="7" t="n">
        <v>197.35</v>
      </c>
      <c r="K20" s="7" t="n">
        <v>236.82</v>
      </c>
      <c r="L20" s="7" t="n">
        <v>264.84</v>
      </c>
      <c r="M20" s="7" t="n">
        <v>300.15</v>
      </c>
      <c r="N20" s="7" t="n">
        <v>353.12</v>
      </c>
      <c r="O20" s="7" t="n">
        <v>441.4</v>
      </c>
    </row>
    <row r="21" customFormat="false" ht="15" hidden="false" customHeight="false" outlineLevel="0" collapsed="false">
      <c r="A21" s="4" t="s">
        <v>154</v>
      </c>
      <c r="B21" s="4" t="s">
        <v>201</v>
      </c>
      <c r="C21" s="7" t="n">
        <v>57.47</v>
      </c>
      <c r="D21" s="7" t="n">
        <v>100.58</v>
      </c>
      <c r="E21" s="7" t="n">
        <v>114.95</v>
      </c>
      <c r="F21" s="7" t="n">
        <v>114.95</v>
      </c>
      <c r="G21" s="7" t="n">
        <v>128.14</v>
      </c>
      <c r="H21" s="7" t="n">
        <v>149.5</v>
      </c>
      <c r="I21" s="7" t="n">
        <v>142.74</v>
      </c>
      <c r="J21" s="7" t="n">
        <v>178.42</v>
      </c>
      <c r="K21" s="7" t="n">
        <v>214.11</v>
      </c>
      <c r="L21" s="7" t="n">
        <v>249.03</v>
      </c>
      <c r="M21" s="7" t="n">
        <v>282.23</v>
      </c>
      <c r="N21" s="7" t="n">
        <v>332.05</v>
      </c>
      <c r="O21" s="7" t="n">
        <v>415.05</v>
      </c>
    </row>
    <row r="22" customFormat="false" ht="15" hidden="false" customHeight="false" outlineLevel="0" collapsed="false">
      <c r="A22" s="4" t="s">
        <v>155</v>
      </c>
      <c r="B22" s="4" t="s">
        <v>207</v>
      </c>
      <c r="C22" s="7" t="n">
        <v>46.98</v>
      </c>
      <c r="D22" s="7" t="n">
        <v>82.21</v>
      </c>
      <c r="E22" s="7" t="n">
        <v>93.97</v>
      </c>
      <c r="F22" s="7" t="n">
        <v>93.97</v>
      </c>
      <c r="G22" s="7" t="n">
        <v>112.3</v>
      </c>
      <c r="H22" s="7" t="n">
        <v>131.02</v>
      </c>
      <c r="I22" s="7" t="n">
        <v>134.39</v>
      </c>
      <c r="J22" s="7" t="n">
        <v>167.99</v>
      </c>
      <c r="K22" s="7" t="n">
        <v>201.59</v>
      </c>
      <c r="L22" s="7" t="n">
        <v>239.25</v>
      </c>
      <c r="M22" s="7" t="n">
        <v>271.15</v>
      </c>
      <c r="N22" s="7" t="n">
        <v>319</v>
      </c>
      <c r="O22" s="7" t="n">
        <v>398.74</v>
      </c>
    </row>
    <row r="23" customFormat="false" ht="15" hidden="false" customHeight="false" outlineLevel="0" collapsed="false">
      <c r="A23" s="4" t="s">
        <v>156</v>
      </c>
      <c r="B23" s="4" t="s">
        <v>201</v>
      </c>
      <c r="C23" s="7" t="n">
        <v>89.03</v>
      </c>
      <c r="D23" s="7" t="n">
        <v>103.28</v>
      </c>
      <c r="E23" s="7" t="n">
        <v>108.03</v>
      </c>
      <c r="F23" s="7" t="n">
        <v>117.23</v>
      </c>
      <c r="G23" s="7" t="n">
        <v>127.03</v>
      </c>
      <c r="H23" s="7" t="n">
        <v>136.53</v>
      </c>
      <c r="I23" s="7" t="n">
        <v>146.03</v>
      </c>
      <c r="J23" s="7" t="n">
        <v>167.99</v>
      </c>
      <c r="K23" s="7" t="n">
        <v>201.59</v>
      </c>
      <c r="L23" s="7" t="n">
        <v>239.25</v>
      </c>
      <c r="M23" s="7" t="n">
        <v>271.15</v>
      </c>
      <c r="N23" s="7" t="n">
        <v>319</v>
      </c>
      <c r="O23" s="7" t="n">
        <v>398.74</v>
      </c>
    </row>
    <row r="24" customFormat="false" ht="15" hidden="false" customHeight="false" outlineLevel="0" collapsed="false">
      <c r="A24" s="4" t="s">
        <v>157</v>
      </c>
      <c r="B24" s="4" t="s">
        <v>201</v>
      </c>
      <c r="C24" s="7" t="n">
        <v>106.53</v>
      </c>
      <c r="D24" s="7" t="n">
        <v>120.78</v>
      </c>
      <c r="E24" s="7" t="n">
        <v>125.63</v>
      </c>
      <c r="F24" s="7" t="n">
        <v>135.03</v>
      </c>
      <c r="G24" s="7" t="n">
        <v>144.53</v>
      </c>
      <c r="H24" s="7" t="n">
        <v>166.05</v>
      </c>
      <c r="I24" s="7" t="n">
        <v>166.05</v>
      </c>
      <c r="J24" s="7" t="n">
        <v>197.35</v>
      </c>
      <c r="K24" s="7" t="n">
        <v>236.82</v>
      </c>
      <c r="L24" s="7" t="n">
        <v>264.84</v>
      </c>
      <c r="M24" s="7" t="n">
        <v>300.15</v>
      </c>
      <c r="N24" s="7" t="n">
        <v>353.12</v>
      </c>
      <c r="O24" s="7" t="n">
        <v>441.4</v>
      </c>
    </row>
    <row r="25" customFormat="false" ht="15" hidden="false" customHeight="false" outlineLevel="0" collapsed="false">
      <c r="A25" s="4" t="s">
        <v>158</v>
      </c>
      <c r="B25" s="4" t="s">
        <v>201</v>
      </c>
      <c r="C25" s="7" t="n">
        <v>100.7</v>
      </c>
      <c r="D25" s="7" t="n">
        <v>114.95</v>
      </c>
      <c r="E25" s="7" t="n">
        <v>124.38</v>
      </c>
      <c r="F25" s="7" t="n">
        <v>129.29</v>
      </c>
      <c r="G25" s="7" t="n">
        <v>142.32</v>
      </c>
      <c r="H25" s="7" t="n">
        <v>166.05</v>
      </c>
      <c r="I25" s="7" t="n">
        <v>166.05</v>
      </c>
      <c r="J25" s="7" t="n">
        <v>197.35</v>
      </c>
      <c r="K25" s="7" t="n">
        <v>236.82</v>
      </c>
      <c r="L25" s="7" t="n">
        <v>264.84</v>
      </c>
      <c r="M25" s="7" t="n">
        <v>300.15</v>
      </c>
      <c r="N25" s="7" t="n">
        <v>353.12</v>
      </c>
      <c r="O25" s="7" t="n">
        <v>441.4</v>
      </c>
    </row>
    <row r="27" customFormat="false" ht="15" hidden="false" customHeight="false" outlineLevel="0" collapsed="false">
      <c r="A27" s="2" t="s">
        <v>287</v>
      </c>
    </row>
    <row r="28" customFormat="false" ht="30" hidden="false" customHeight="true" outlineLevel="0" collapsed="false">
      <c r="A28" s="36" t="s">
        <v>122</v>
      </c>
      <c r="B28" s="36" t="s">
        <v>123</v>
      </c>
      <c r="C28" s="36" t="s">
        <v>167</v>
      </c>
      <c r="D28" s="36" t="s">
        <v>168</v>
      </c>
      <c r="E28" s="36" t="s">
        <v>169</v>
      </c>
      <c r="F28" s="36" t="s">
        <v>170</v>
      </c>
      <c r="G28" s="36" t="s">
        <v>171</v>
      </c>
      <c r="H28" s="36" t="s">
        <v>172</v>
      </c>
      <c r="I28" s="36" t="s">
        <v>173</v>
      </c>
      <c r="J28" s="36" t="s">
        <v>174</v>
      </c>
      <c r="K28" s="36" t="s">
        <v>175</v>
      </c>
      <c r="L28" s="36" t="s">
        <v>176</v>
      </c>
      <c r="M28" s="36" t="s">
        <v>177</v>
      </c>
      <c r="N28" s="36" t="s">
        <v>178</v>
      </c>
      <c r="O28" s="36" t="s">
        <v>179</v>
      </c>
    </row>
    <row r="29" customFormat="false" ht="15" hidden="false" customHeight="false" outlineLevel="0" collapsed="false">
      <c r="A29" s="4" t="s">
        <v>139</v>
      </c>
      <c r="B29" s="4" t="s">
        <v>198</v>
      </c>
      <c r="C29" s="7" t="n">
        <v>39.83</v>
      </c>
      <c r="D29" s="7" t="n">
        <v>54.1</v>
      </c>
      <c r="E29" s="7" t="n">
        <v>62.05</v>
      </c>
      <c r="F29" s="7" t="n">
        <v>71</v>
      </c>
      <c r="G29" s="7" t="n">
        <v>79.81</v>
      </c>
      <c r="H29" s="7" t="n">
        <v>88.2</v>
      </c>
      <c r="I29" s="7" t="n">
        <v>97.6</v>
      </c>
      <c r="J29" s="7" t="n">
        <v>119.8</v>
      </c>
      <c r="K29" s="7" t="n">
        <v>135.94</v>
      </c>
      <c r="L29" s="7" t="n">
        <v>174.85</v>
      </c>
      <c r="M29" s="7" t="n">
        <v>192.1</v>
      </c>
      <c r="N29" s="7" t="n">
        <v>218</v>
      </c>
      <c r="O29" s="7" t="n">
        <v>272.9</v>
      </c>
    </row>
    <row r="30" customFormat="false" ht="15" hidden="false" customHeight="false" outlineLevel="0" collapsed="false">
      <c r="A30" s="4" t="s">
        <v>140</v>
      </c>
      <c r="B30" s="4" t="s">
        <v>207</v>
      </c>
      <c r="C30" s="7" t="n">
        <v>48.69</v>
      </c>
      <c r="D30" s="7" t="n">
        <v>70</v>
      </c>
      <c r="E30" s="7" t="n">
        <v>79.65</v>
      </c>
      <c r="F30" s="7" t="n">
        <v>82.25</v>
      </c>
      <c r="G30" s="7" t="n">
        <v>91.6</v>
      </c>
      <c r="H30" s="7" t="n">
        <v>100.9</v>
      </c>
      <c r="I30" s="7" t="n">
        <v>110.55</v>
      </c>
      <c r="J30" s="7" t="n">
        <v>127.92</v>
      </c>
      <c r="K30" s="7" t="n">
        <v>144.44</v>
      </c>
      <c r="L30" s="7" t="n">
        <v>183.45</v>
      </c>
      <c r="M30" s="7" t="n">
        <v>201.15</v>
      </c>
      <c r="N30" s="7" t="n">
        <v>227.7</v>
      </c>
      <c r="O30" s="7" t="n">
        <v>285.09</v>
      </c>
    </row>
    <row r="31" customFormat="false" ht="15" hidden="false" customHeight="false" outlineLevel="0" collapsed="false">
      <c r="A31" s="4" t="s">
        <v>141</v>
      </c>
      <c r="B31" s="4" t="s">
        <v>207</v>
      </c>
      <c r="C31" s="7" t="n">
        <v>48.69</v>
      </c>
      <c r="D31" s="7" t="n">
        <v>70</v>
      </c>
      <c r="E31" s="7" t="n">
        <v>79.65</v>
      </c>
      <c r="F31" s="7" t="n">
        <v>82.25</v>
      </c>
      <c r="G31" s="7" t="n">
        <v>91.6</v>
      </c>
      <c r="H31" s="7" t="n">
        <v>100.9</v>
      </c>
      <c r="I31" s="7" t="n">
        <v>110.55</v>
      </c>
      <c r="J31" s="7" t="n">
        <v>127.92</v>
      </c>
      <c r="K31" s="7" t="n">
        <v>144.44</v>
      </c>
      <c r="L31" s="7" t="n">
        <v>183.45</v>
      </c>
      <c r="M31" s="7" t="n">
        <v>201.15</v>
      </c>
      <c r="N31" s="7" t="n">
        <v>227.7</v>
      </c>
      <c r="O31" s="7" t="n">
        <v>285.09</v>
      </c>
    </row>
    <row r="32" customFormat="false" ht="15" hidden="false" customHeight="false" outlineLevel="0" collapsed="false">
      <c r="A32" s="4" t="s">
        <v>142</v>
      </c>
      <c r="B32" s="4" t="s">
        <v>207</v>
      </c>
      <c r="C32" s="7" t="n">
        <v>48.69</v>
      </c>
      <c r="D32" s="7" t="n">
        <v>70</v>
      </c>
      <c r="E32" s="7" t="n">
        <v>79.65</v>
      </c>
      <c r="F32" s="7" t="n">
        <v>82.25</v>
      </c>
      <c r="G32" s="7" t="n">
        <v>91.6</v>
      </c>
      <c r="H32" s="7" t="n">
        <v>100.9</v>
      </c>
      <c r="I32" s="7" t="n">
        <v>110.55</v>
      </c>
      <c r="J32" s="7" t="n">
        <v>127.92</v>
      </c>
      <c r="K32" s="7" t="n">
        <v>144.44</v>
      </c>
      <c r="L32" s="7" t="n">
        <v>183.45</v>
      </c>
      <c r="M32" s="7" t="n">
        <v>201.15</v>
      </c>
      <c r="N32" s="7" t="n">
        <v>227.7</v>
      </c>
      <c r="O32" s="7" t="n">
        <v>285.09</v>
      </c>
    </row>
    <row r="33" customFormat="false" ht="15" hidden="false" customHeight="false" outlineLevel="0" collapsed="false">
      <c r="A33" s="4" t="s">
        <v>143</v>
      </c>
      <c r="B33" s="4" t="s">
        <v>207</v>
      </c>
      <c r="C33" s="7" t="n">
        <v>48.69</v>
      </c>
      <c r="D33" s="7" t="n">
        <v>70</v>
      </c>
      <c r="E33" s="7" t="n">
        <v>79.65</v>
      </c>
      <c r="F33" s="7" t="n">
        <v>82.25</v>
      </c>
      <c r="G33" s="7" t="n">
        <v>91.6</v>
      </c>
      <c r="H33" s="7" t="n">
        <v>100.9</v>
      </c>
      <c r="I33" s="7" t="n">
        <v>110.55</v>
      </c>
      <c r="J33" s="7" t="n">
        <v>127.92</v>
      </c>
      <c r="K33" s="7" t="n">
        <v>144.44</v>
      </c>
      <c r="L33" s="7" t="n">
        <v>183.45</v>
      </c>
      <c r="M33" s="7" t="n">
        <v>201.15</v>
      </c>
      <c r="N33" s="7" t="n">
        <v>227.7</v>
      </c>
      <c r="O33" s="7" t="n">
        <v>285.09</v>
      </c>
    </row>
    <row r="34" customFormat="false" ht="15" hidden="false" customHeight="false" outlineLevel="0" collapsed="false">
      <c r="A34" s="4" t="s">
        <v>144</v>
      </c>
      <c r="B34" s="4" t="s">
        <v>201</v>
      </c>
      <c r="C34" s="7" t="n">
        <v>52.71</v>
      </c>
      <c r="D34" s="7" t="n">
        <v>76.5</v>
      </c>
      <c r="E34" s="7" t="n">
        <v>87.4</v>
      </c>
      <c r="F34" s="7" t="n">
        <v>94</v>
      </c>
      <c r="G34" s="7" t="n">
        <v>103.6</v>
      </c>
      <c r="H34" s="7" t="n">
        <v>113.9</v>
      </c>
      <c r="I34" s="7" t="n">
        <v>124.16</v>
      </c>
      <c r="J34" s="7" t="n">
        <v>144.41</v>
      </c>
      <c r="K34" s="7" t="n">
        <v>161.81</v>
      </c>
      <c r="L34" s="7" t="n">
        <v>197.37</v>
      </c>
      <c r="M34" s="7" t="n">
        <v>215.7</v>
      </c>
      <c r="N34" s="7" t="n">
        <v>143.51</v>
      </c>
      <c r="O34" s="7" t="n">
        <v>304.65</v>
      </c>
    </row>
    <row r="35" customFormat="false" ht="15" hidden="false" customHeight="false" outlineLevel="0" collapsed="false">
      <c r="A35" s="4" t="s">
        <v>145</v>
      </c>
      <c r="B35" s="4" t="s">
        <v>207</v>
      </c>
      <c r="C35" s="7" t="n">
        <v>48.69</v>
      </c>
      <c r="D35" s="7" t="n">
        <v>70</v>
      </c>
      <c r="E35" s="7" t="n">
        <v>79.65</v>
      </c>
      <c r="F35" s="7" t="n">
        <v>82.25</v>
      </c>
      <c r="G35" s="7" t="n">
        <v>91.6</v>
      </c>
      <c r="H35" s="7" t="n">
        <v>100.9</v>
      </c>
      <c r="I35" s="7" t="n">
        <v>110.55</v>
      </c>
      <c r="J35" s="7" t="n">
        <v>127.92</v>
      </c>
      <c r="K35" s="7" t="n">
        <v>144.44</v>
      </c>
      <c r="L35" s="7" t="n">
        <v>183.45</v>
      </c>
      <c r="M35" s="7" t="n">
        <v>201.15</v>
      </c>
      <c r="N35" s="7" t="n">
        <v>227.7</v>
      </c>
      <c r="O35" s="7" t="n">
        <v>285.09</v>
      </c>
    </row>
    <row r="36" customFormat="false" ht="15" hidden="false" customHeight="false" outlineLevel="0" collapsed="false">
      <c r="A36" s="4" t="s">
        <v>146</v>
      </c>
      <c r="B36" s="4" t="s">
        <v>201</v>
      </c>
      <c r="C36" s="7" t="n">
        <v>52.71</v>
      </c>
      <c r="D36" s="7" t="n">
        <v>76.5</v>
      </c>
      <c r="E36" s="7" t="n">
        <v>87.4</v>
      </c>
      <c r="F36" s="7" t="n">
        <v>94</v>
      </c>
      <c r="G36" s="7" t="n">
        <v>103.6</v>
      </c>
      <c r="H36" s="7" t="n">
        <v>113.9</v>
      </c>
      <c r="I36" s="7" t="n">
        <v>124.16</v>
      </c>
      <c r="J36" s="7" t="n">
        <v>144.41</v>
      </c>
      <c r="K36" s="7" t="n">
        <v>161.81</v>
      </c>
      <c r="L36" s="7" t="n">
        <v>197.37</v>
      </c>
      <c r="M36" s="7" t="n">
        <v>215.7</v>
      </c>
      <c r="N36" s="7" t="n">
        <v>143.51</v>
      </c>
      <c r="O36" s="7" t="n">
        <v>304.65</v>
      </c>
    </row>
    <row r="37" customFormat="false" ht="15" hidden="false" customHeight="false" outlineLevel="0" collapsed="false">
      <c r="A37" s="4" t="s">
        <v>147</v>
      </c>
      <c r="B37" s="4" t="s">
        <v>207</v>
      </c>
      <c r="C37" s="7" t="n">
        <v>48.69</v>
      </c>
      <c r="D37" s="7" t="n">
        <v>70</v>
      </c>
      <c r="E37" s="7" t="n">
        <v>79.65</v>
      </c>
      <c r="F37" s="7" t="n">
        <v>82.25</v>
      </c>
      <c r="G37" s="7" t="n">
        <v>91.6</v>
      </c>
      <c r="H37" s="7" t="n">
        <v>100.9</v>
      </c>
      <c r="I37" s="7" t="n">
        <v>110.55</v>
      </c>
      <c r="J37" s="7" t="n">
        <v>127.92</v>
      </c>
      <c r="K37" s="7" t="n">
        <v>144.44</v>
      </c>
      <c r="L37" s="7" t="n">
        <v>183.45</v>
      </c>
      <c r="M37" s="7" t="n">
        <v>201.15</v>
      </c>
      <c r="N37" s="7" t="n">
        <v>227.7</v>
      </c>
      <c r="O37" s="7" t="n">
        <v>285.09</v>
      </c>
    </row>
    <row r="38" customFormat="false" ht="15" hidden="false" customHeight="false" outlineLevel="0" collapsed="false">
      <c r="A38" s="4" t="s">
        <v>148</v>
      </c>
      <c r="B38" s="4" t="s">
        <v>201</v>
      </c>
      <c r="C38" s="7" t="n">
        <v>52.71</v>
      </c>
      <c r="D38" s="7" t="n">
        <v>76.5</v>
      </c>
      <c r="E38" s="7" t="n">
        <v>87.4</v>
      </c>
      <c r="F38" s="7" t="n">
        <v>94</v>
      </c>
      <c r="G38" s="7" t="n">
        <v>103.6</v>
      </c>
      <c r="H38" s="7" t="n">
        <v>113.9</v>
      </c>
      <c r="I38" s="7" t="n">
        <v>124.16</v>
      </c>
      <c r="J38" s="7" t="n">
        <v>144.41</v>
      </c>
      <c r="K38" s="7" t="n">
        <v>161.81</v>
      </c>
      <c r="L38" s="7" t="n">
        <v>197.37</v>
      </c>
      <c r="M38" s="7" t="n">
        <v>215.7</v>
      </c>
      <c r="N38" s="7" t="n">
        <v>143.51</v>
      </c>
      <c r="O38" s="7" t="n">
        <v>304.65</v>
      </c>
    </row>
    <row r="39" customFormat="false" ht="15" hidden="false" customHeight="false" outlineLevel="0" collapsed="false">
      <c r="A39" s="4" t="s">
        <v>149</v>
      </c>
      <c r="B39" s="4" t="s">
        <v>201</v>
      </c>
      <c r="C39" s="7" t="n">
        <v>52.71</v>
      </c>
      <c r="D39" s="7" t="n">
        <v>76.5</v>
      </c>
      <c r="E39" s="7" t="n">
        <v>87.4</v>
      </c>
      <c r="F39" s="7" t="n">
        <v>94</v>
      </c>
      <c r="G39" s="7" t="n">
        <v>103.6</v>
      </c>
      <c r="H39" s="7" t="n">
        <v>113.9</v>
      </c>
      <c r="I39" s="7" t="n">
        <v>124.16</v>
      </c>
      <c r="J39" s="7" t="n">
        <v>144.41</v>
      </c>
      <c r="K39" s="7" t="n">
        <v>161.81</v>
      </c>
      <c r="L39" s="7" t="n">
        <v>197.37</v>
      </c>
      <c r="M39" s="7" t="n">
        <v>215.7</v>
      </c>
      <c r="N39" s="7" t="n">
        <v>143.51</v>
      </c>
      <c r="O39" s="7" t="n">
        <v>304.65</v>
      </c>
    </row>
    <row r="40" customFormat="false" ht="15" hidden="false" customHeight="false" outlineLevel="0" collapsed="false">
      <c r="A40" s="4" t="s">
        <v>150</v>
      </c>
      <c r="B40" s="4" t="s">
        <v>201</v>
      </c>
      <c r="C40" s="7" t="n">
        <v>52.71</v>
      </c>
      <c r="D40" s="7" t="n">
        <v>76.5</v>
      </c>
      <c r="E40" s="7" t="n">
        <v>87.4</v>
      </c>
      <c r="F40" s="7" t="n">
        <v>94</v>
      </c>
      <c r="G40" s="7" t="n">
        <v>103.6</v>
      </c>
      <c r="H40" s="7" t="n">
        <v>113.9</v>
      </c>
      <c r="I40" s="7" t="n">
        <v>124.16</v>
      </c>
      <c r="J40" s="7" t="n">
        <v>144.41</v>
      </c>
      <c r="K40" s="7" t="n">
        <v>161.81</v>
      </c>
      <c r="L40" s="7" t="n">
        <v>197.37</v>
      </c>
      <c r="M40" s="7" t="n">
        <v>215.7</v>
      </c>
      <c r="N40" s="7" t="n">
        <v>143.51</v>
      </c>
      <c r="O40" s="7" t="n">
        <v>304.65</v>
      </c>
    </row>
    <row r="41" customFormat="false" ht="15" hidden="false" customHeight="false" outlineLevel="0" collapsed="false">
      <c r="A41" s="4" t="s">
        <v>151</v>
      </c>
      <c r="B41" s="4" t="s">
        <v>201</v>
      </c>
      <c r="C41" s="7" t="n">
        <v>52.71</v>
      </c>
      <c r="D41" s="7" t="n">
        <v>76.5</v>
      </c>
      <c r="E41" s="7" t="n">
        <v>87.4</v>
      </c>
      <c r="F41" s="7" t="n">
        <v>94</v>
      </c>
      <c r="G41" s="7" t="n">
        <v>103.6</v>
      </c>
      <c r="H41" s="7" t="n">
        <v>113.9</v>
      </c>
      <c r="I41" s="7" t="n">
        <v>124.16</v>
      </c>
      <c r="J41" s="7" t="n">
        <v>144.41</v>
      </c>
      <c r="K41" s="7" t="n">
        <v>161.81</v>
      </c>
      <c r="L41" s="7" t="n">
        <v>197.37</v>
      </c>
      <c r="M41" s="7" t="n">
        <v>215.7</v>
      </c>
      <c r="N41" s="7" t="n">
        <v>143.51</v>
      </c>
      <c r="O41" s="7" t="n">
        <v>304.65</v>
      </c>
    </row>
    <row r="42" customFormat="false" ht="15" hidden="false" customHeight="false" outlineLevel="0" collapsed="false">
      <c r="A42" s="4" t="s">
        <v>152</v>
      </c>
      <c r="B42" s="4" t="s">
        <v>201</v>
      </c>
      <c r="C42" s="7" t="n">
        <v>52.71</v>
      </c>
      <c r="D42" s="7" t="n">
        <v>76.5</v>
      </c>
      <c r="E42" s="7" t="n">
        <v>87.4</v>
      </c>
      <c r="F42" s="7" t="n">
        <v>94</v>
      </c>
      <c r="G42" s="7" t="n">
        <v>103.6</v>
      </c>
      <c r="H42" s="7" t="n">
        <v>113.9</v>
      </c>
      <c r="I42" s="7" t="n">
        <v>124.16</v>
      </c>
      <c r="J42" s="7" t="n">
        <v>144.41</v>
      </c>
      <c r="K42" s="7" t="n">
        <v>161.81</v>
      </c>
      <c r="L42" s="7" t="n">
        <v>197.37</v>
      </c>
      <c r="M42" s="7" t="n">
        <v>215.7</v>
      </c>
      <c r="N42" s="7" t="n">
        <v>143.51</v>
      </c>
      <c r="O42" s="7" t="n">
        <v>304.65</v>
      </c>
    </row>
    <row r="43" customFormat="false" ht="15" hidden="false" customHeight="false" outlineLevel="0" collapsed="false">
      <c r="A43" s="4" t="s">
        <v>153</v>
      </c>
      <c r="B43" s="4" t="s">
        <v>201</v>
      </c>
      <c r="C43" s="7" t="n">
        <v>52.71</v>
      </c>
      <c r="D43" s="7" t="n">
        <v>76.5</v>
      </c>
      <c r="E43" s="7" t="n">
        <v>87.4</v>
      </c>
      <c r="F43" s="7" t="n">
        <v>94</v>
      </c>
      <c r="G43" s="7" t="n">
        <v>103.6</v>
      </c>
      <c r="H43" s="7" t="n">
        <v>113.9</v>
      </c>
      <c r="I43" s="7" t="n">
        <v>124.16</v>
      </c>
      <c r="J43" s="7" t="n">
        <v>144.41</v>
      </c>
      <c r="K43" s="7" t="n">
        <v>161.81</v>
      </c>
      <c r="L43" s="7" t="n">
        <v>197.37</v>
      </c>
      <c r="M43" s="7" t="n">
        <v>215.7</v>
      </c>
      <c r="N43" s="7" t="n">
        <v>143.51</v>
      </c>
      <c r="O43" s="7" t="n">
        <v>304.65</v>
      </c>
    </row>
    <row r="44" customFormat="false" ht="15" hidden="false" customHeight="false" outlineLevel="0" collapsed="false">
      <c r="A44" s="4" t="s">
        <v>154</v>
      </c>
      <c r="B44" s="4" t="s">
        <v>201</v>
      </c>
      <c r="C44" s="7" t="n">
        <v>52.71</v>
      </c>
      <c r="D44" s="7" t="n">
        <v>76.5</v>
      </c>
      <c r="E44" s="7" t="n">
        <v>87.4</v>
      </c>
      <c r="F44" s="7" t="n">
        <v>94</v>
      </c>
      <c r="G44" s="7" t="n">
        <v>103.6</v>
      </c>
      <c r="H44" s="7" t="n">
        <v>113.9</v>
      </c>
      <c r="I44" s="7" t="n">
        <v>124.16</v>
      </c>
      <c r="J44" s="7" t="n">
        <v>144.41</v>
      </c>
      <c r="K44" s="7" t="n">
        <v>161.81</v>
      </c>
      <c r="L44" s="7" t="n">
        <v>197.37</v>
      </c>
      <c r="M44" s="7" t="n">
        <v>215.7</v>
      </c>
      <c r="N44" s="7" t="n">
        <v>143.51</v>
      </c>
      <c r="O44" s="7" t="n">
        <v>304.65</v>
      </c>
    </row>
    <row r="45" customFormat="false" ht="15" hidden="false" customHeight="false" outlineLevel="0" collapsed="false">
      <c r="A45" s="4" t="s">
        <v>155</v>
      </c>
      <c r="B45" s="4" t="s">
        <v>207</v>
      </c>
      <c r="C45" s="7" t="n">
        <v>48.69</v>
      </c>
      <c r="D45" s="7" t="n">
        <v>70</v>
      </c>
      <c r="E45" s="7" t="n">
        <v>79.65</v>
      </c>
      <c r="F45" s="7" t="n">
        <v>82.25</v>
      </c>
      <c r="G45" s="7" t="n">
        <v>91.6</v>
      </c>
      <c r="H45" s="7" t="n">
        <v>100.9</v>
      </c>
      <c r="I45" s="7" t="n">
        <v>110.55</v>
      </c>
      <c r="J45" s="7" t="n">
        <v>127.92</v>
      </c>
      <c r="K45" s="7" t="n">
        <v>144.44</v>
      </c>
      <c r="L45" s="7" t="n">
        <v>183.45</v>
      </c>
      <c r="M45" s="7" t="n">
        <v>201.15</v>
      </c>
      <c r="N45" s="7" t="n">
        <v>227.7</v>
      </c>
      <c r="O45" s="7" t="n">
        <v>285.09</v>
      </c>
    </row>
    <row r="46" customFormat="false" ht="15" hidden="false" customHeight="false" outlineLevel="0" collapsed="false">
      <c r="A46" s="4" t="s">
        <v>156</v>
      </c>
      <c r="B46" s="4" t="s">
        <v>201</v>
      </c>
      <c r="C46" s="7" t="n">
        <v>52.71</v>
      </c>
      <c r="D46" s="7" t="n">
        <v>76.5</v>
      </c>
      <c r="E46" s="7" t="n">
        <v>87.4</v>
      </c>
      <c r="F46" s="7" t="n">
        <v>94</v>
      </c>
      <c r="G46" s="7" t="n">
        <v>103.6</v>
      </c>
      <c r="H46" s="7" t="n">
        <v>113.9</v>
      </c>
      <c r="I46" s="7" t="n">
        <v>124.16</v>
      </c>
      <c r="J46" s="7" t="n">
        <v>144.41</v>
      </c>
      <c r="K46" s="7" t="n">
        <v>161.81</v>
      </c>
      <c r="L46" s="7" t="n">
        <v>197.37</v>
      </c>
      <c r="M46" s="7" t="n">
        <v>215.7</v>
      </c>
      <c r="N46" s="7" t="n">
        <v>143.51</v>
      </c>
      <c r="O46" s="7" t="n">
        <v>304.65</v>
      </c>
    </row>
    <row r="47" customFormat="false" ht="15" hidden="false" customHeight="false" outlineLevel="0" collapsed="false">
      <c r="A47" s="4" t="s">
        <v>157</v>
      </c>
      <c r="B47" s="4" t="s">
        <v>201</v>
      </c>
      <c r="C47" s="7" t="n">
        <v>52.71</v>
      </c>
      <c r="D47" s="7" t="n">
        <v>76.5</v>
      </c>
      <c r="E47" s="7" t="n">
        <v>87.4</v>
      </c>
      <c r="F47" s="7" t="n">
        <v>94</v>
      </c>
      <c r="G47" s="7" t="n">
        <v>103.6</v>
      </c>
      <c r="H47" s="7" t="n">
        <v>113.9</v>
      </c>
      <c r="I47" s="7" t="n">
        <v>124.16</v>
      </c>
      <c r="J47" s="7" t="n">
        <v>144.41</v>
      </c>
      <c r="K47" s="7" t="n">
        <v>161.81</v>
      </c>
      <c r="L47" s="7" t="n">
        <v>197.37</v>
      </c>
      <c r="M47" s="7" t="n">
        <v>215.7</v>
      </c>
      <c r="N47" s="7" t="n">
        <v>143.51</v>
      </c>
      <c r="O47" s="7" t="n">
        <v>304.65</v>
      </c>
    </row>
    <row r="48" customFormat="false" ht="15" hidden="false" customHeight="false" outlineLevel="0" collapsed="false">
      <c r="A48" s="4" t="s">
        <v>158</v>
      </c>
      <c r="B48" s="4" t="s">
        <v>201</v>
      </c>
      <c r="C48" s="7" t="n">
        <v>52.71</v>
      </c>
      <c r="D48" s="7" t="n">
        <v>76.5</v>
      </c>
      <c r="E48" s="7" t="n">
        <v>87.4</v>
      </c>
      <c r="F48" s="7" t="n">
        <v>94</v>
      </c>
      <c r="G48" s="7" t="n">
        <v>103.6</v>
      </c>
      <c r="H48" s="7" t="n">
        <v>113.9</v>
      </c>
      <c r="I48" s="7" t="n">
        <v>124.16</v>
      </c>
      <c r="J48" s="7" t="n">
        <v>144.41</v>
      </c>
      <c r="K48" s="7" t="n">
        <v>161.81</v>
      </c>
      <c r="L48" s="7" t="n">
        <v>197.37</v>
      </c>
      <c r="M48" s="7" t="n">
        <v>215.7</v>
      </c>
      <c r="N48" s="7" t="n">
        <v>143.51</v>
      </c>
      <c r="O48" s="7" t="n">
        <v>304.65</v>
      </c>
    </row>
    <row r="50" customFormat="false" ht="15" hidden="false" customHeight="false" outlineLevel="0" collapsed="false">
      <c r="A50" s="2" t="s">
        <v>288</v>
      </c>
    </row>
    <row r="51" customFormat="false" ht="30" hidden="false" customHeight="true" outlineLevel="0" collapsed="false">
      <c r="A51" s="3" t="s">
        <v>122</v>
      </c>
      <c r="B51" s="3" t="s">
        <v>123</v>
      </c>
      <c r="C51" s="3" t="s">
        <v>167</v>
      </c>
      <c r="D51" s="3" t="s">
        <v>168</v>
      </c>
      <c r="E51" s="3" t="s">
        <v>169</v>
      </c>
      <c r="F51" s="3" t="s">
        <v>170</v>
      </c>
      <c r="G51" s="3" t="s">
        <v>171</v>
      </c>
      <c r="H51" s="3" t="s">
        <v>172</v>
      </c>
      <c r="I51" s="3" t="s">
        <v>173</v>
      </c>
      <c r="J51" s="3" t="s">
        <v>174</v>
      </c>
      <c r="K51" s="3" t="s">
        <v>175</v>
      </c>
      <c r="L51" s="3" t="s">
        <v>176</v>
      </c>
      <c r="M51" s="3" t="s">
        <v>177</v>
      </c>
      <c r="N51" s="3" t="s">
        <v>178</v>
      </c>
      <c r="O51" s="3" t="s">
        <v>179</v>
      </c>
    </row>
    <row r="52" customFormat="false" ht="15" hidden="false" customHeight="false" outlineLevel="0" collapsed="false">
      <c r="A52" s="4" t="s">
        <v>139</v>
      </c>
      <c r="B52" s="4" t="s">
        <v>198</v>
      </c>
      <c r="C52" s="13" t="n">
        <f aca="false">C6/C29-1</f>
        <v>0.179512929952297</v>
      </c>
      <c r="D52" s="13" t="n">
        <f aca="false">D6/D29-1</f>
        <v>0.519593345656192</v>
      </c>
      <c r="E52" s="13" t="n">
        <f aca="false">E6/E29-1</f>
        <v>0.514423851732474</v>
      </c>
      <c r="F52" s="13" t="n">
        <f aca="false">F6/F29-1</f>
        <v>0.323521126760563</v>
      </c>
      <c r="G52" s="13" t="n">
        <f aca="false">G6/G29-1</f>
        <v>0.407091843127428</v>
      </c>
      <c r="H52" s="13" t="n">
        <f aca="false">H6/H29-1</f>
        <v>0.485487528344671</v>
      </c>
      <c r="I52" s="13" t="n">
        <f aca="false">I6/I29-1</f>
        <v>0.376946721311475</v>
      </c>
      <c r="J52" s="13" t="n">
        <f aca="false">J6/J29-1</f>
        <v>0.402253756260434</v>
      </c>
      <c r="K52" s="13" t="n">
        <f aca="false">K6/K29-1</f>
        <v>0.482933647197293</v>
      </c>
      <c r="L52" s="13" t="n">
        <f aca="false">L6/L29-1</f>
        <v>0.368315699170718</v>
      </c>
      <c r="M52" s="13" t="n">
        <f aca="false">M6/M29-1</f>
        <v>0.411504424778761</v>
      </c>
      <c r="N52" s="13" t="n">
        <f aca="false">N6/N29-1</f>
        <v>0.463302752293578</v>
      </c>
      <c r="O52" s="13" t="n">
        <f aca="false">O6/O29-1</f>
        <v>0.461121289849762</v>
      </c>
    </row>
    <row r="53" customFormat="false" ht="15" hidden="false" customHeight="false" outlineLevel="0" collapsed="false">
      <c r="A53" s="4" t="s">
        <v>140</v>
      </c>
      <c r="B53" s="4" t="s">
        <v>207</v>
      </c>
      <c r="C53" s="13" t="n">
        <f aca="false">C7/C30-1</f>
        <v>0.180324501951119</v>
      </c>
      <c r="D53" s="13" t="n">
        <f aca="false">D7/D30-1</f>
        <v>0.436857142857143</v>
      </c>
      <c r="E53" s="13" t="n">
        <f aca="false">E7/E30-1</f>
        <v>0.443188951663528</v>
      </c>
      <c r="F53" s="13" t="n">
        <f aca="false">F7/F30-1</f>
        <v>0.397568389057751</v>
      </c>
      <c r="G53" s="13" t="n">
        <f aca="false">G7/G30-1</f>
        <v>0.398908296943231</v>
      </c>
      <c r="H53" s="13" t="n">
        <f aca="false">H7/H30-1</f>
        <v>0.481665014866204</v>
      </c>
      <c r="I53" s="13" t="n">
        <f aca="false">I7/I30-1</f>
        <v>0.291180461329715</v>
      </c>
      <c r="J53" s="13" t="n">
        <f aca="false">J7/J30-1</f>
        <v>0.394777986241401</v>
      </c>
      <c r="K53" s="13" t="n">
        <f aca="false">K7/K30-1</f>
        <v>0.482345610634173</v>
      </c>
      <c r="L53" s="13" t="n">
        <f aca="false">L7/L30-1</f>
        <v>0.357481602616517</v>
      </c>
      <c r="M53" s="13" t="n">
        <f aca="false">M7/M30-1</f>
        <v>0.40308227690778</v>
      </c>
      <c r="N53" s="13" t="n">
        <f aca="false">N7/N30-1</f>
        <v>0.458278436539306</v>
      </c>
      <c r="O53" s="13" t="n">
        <f aca="false">O7/O30-1</f>
        <v>0.455856045459329</v>
      </c>
    </row>
    <row r="54" customFormat="false" ht="15" hidden="false" customHeight="false" outlineLevel="0" collapsed="false">
      <c r="A54" s="4" t="s">
        <v>141</v>
      </c>
      <c r="B54" s="4" t="s">
        <v>207</v>
      </c>
      <c r="C54" s="13" t="n">
        <f aca="false">C8/C31-1</f>
        <v>-0.0351201478743068</v>
      </c>
      <c r="D54" s="13" t="n">
        <f aca="false">D8/D31-1</f>
        <v>0.174428571428571</v>
      </c>
      <c r="E54" s="13" t="n">
        <f aca="false">E8/E31-1</f>
        <v>0.179786566227244</v>
      </c>
      <c r="F54" s="13" t="n">
        <f aca="false">F8/F31-1</f>
        <v>0.142492401215806</v>
      </c>
      <c r="G54" s="13" t="n">
        <f aca="false">G8/G31-1</f>
        <v>0.225982532751092</v>
      </c>
      <c r="H54" s="13" t="n">
        <f aca="false">H8/H31-1</f>
        <v>0.298513379583746</v>
      </c>
      <c r="I54" s="13" t="n">
        <f aca="false">I8/I31-1</f>
        <v>0.215649027589326</v>
      </c>
      <c r="J54" s="13" t="n">
        <f aca="false">J8/J31-1</f>
        <v>0.313242651657286</v>
      </c>
      <c r="K54" s="13" t="n">
        <f aca="false">K8/K31-1</f>
        <v>0.395666020492938</v>
      </c>
      <c r="L54" s="13" t="n">
        <f aca="false">L8/L31-1</f>
        <v>0.304170073589534</v>
      </c>
      <c r="M54" s="13" t="n">
        <f aca="false">M8/M31-1</f>
        <v>0.347999005717126</v>
      </c>
      <c r="N54" s="13" t="n">
        <f aca="false">N8/N31-1</f>
        <v>0.400966183574879</v>
      </c>
      <c r="O54" s="13" t="n">
        <f aca="false">O8/O31-1</f>
        <v>0.398646041600898</v>
      </c>
    </row>
    <row r="55" customFormat="false" ht="15" hidden="false" customHeight="false" outlineLevel="0" collapsed="false">
      <c r="A55" s="4" t="s">
        <v>142</v>
      </c>
      <c r="B55" s="4" t="s">
        <v>207</v>
      </c>
      <c r="C55" s="13" t="n">
        <f aca="false">C9/C32-1</f>
        <v>-0.0351201478743068</v>
      </c>
      <c r="D55" s="13" t="n">
        <f aca="false">D9/D32-1</f>
        <v>0.174428571428571</v>
      </c>
      <c r="E55" s="13" t="n">
        <f aca="false">E9/E32-1</f>
        <v>0.179786566227244</v>
      </c>
      <c r="F55" s="13" t="n">
        <f aca="false">F9/F32-1</f>
        <v>0.142492401215806</v>
      </c>
      <c r="G55" s="13" t="n">
        <f aca="false">G9/G32-1</f>
        <v>0.225982532751092</v>
      </c>
      <c r="H55" s="13" t="n">
        <f aca="false">H9/H32-1</f>
        <v>0.298513379583746</v>
      </c>
      <c r="I55" s="13" t="n">
        <f aca="false">I9/I32-1</f>
        <v>0.215649027589326</v>
      </c>
      <c r="J55" s="13" t="n">
        <f aca="false">J9/J32-1</f>
        <v>0.313242651657286</v>
      </c>
      <c r="K55" s="13" t="n">
        <f aca="false">K9/K32-1</f>
        <v>0.395666020492938</v>
      </c>
      <c r="L55" s="13" t="n">
        <f aca="false">L9/L32-1</f>
        <v>0.304170073589534</v>
      </c>
      <c r="M55" s="13" t="n">
        <f aca="false">M9/M32-1</f>
        <v>0.347999005717126</v>
      </c>
      <c r="N55" s="13" t="n">
        <f aca="false">N9/N32-1</f>
        <v>0.400966183574879</v>
      </c>
      <c r="O55" s="13" t="n">
        <f aca="false">O9/O32-1</f>
        <v>0.398646041600898</v>
      </c>
    </row>
    <row r="56" customFormat="false" ht="15" hidden="false" customHeight="false" outlineLevel="0" collapsed="false">
      <c r="A56" s="4" t="s">
        <v>143</v>
      </c>
      <c r="B56" s="4" t="s">
        <v>207</v>
      </c>
      <c r="C56" s="13" t="n">
        <f aca="false">C10/C33-1</f>
        <v>0.180324501951119</v>
      </c>
      <c r="D56" s="13" t="n">
        <f aca="false">D10/D33-1</f>
        <v>0.436857142857143</v>
      </c>
      <c r="E56" s="13" t="n">
        <f aca="false">E10/E33-1</f>
        <v>0.443188951663528</v>
      </c>
      <c r="F56" s="13" t="n">
        <f aca="false">F10/F33-1</f>
        <v>0.397568389057751</v>
      </c>
      <c r="G56" s="13" t="n">
        <f aca="false">G10/G33-1</f>
        <v>0.398908296943231</v>
      </c>
      <c r="H56" s="13" t="n">
        <f aca="false">H10/H33-1</f>
        <v>0.481665014866204</v>
      </c>
      <c r="I56" s="13" t="n">
        <f aca="false">I10/I33-1</f>
        <v>0.291180461329715</v>
      </c>
      <c r="J56" s="13" t="n">
        <f aca="false">J10/J33-1</f>
        <v>0.394777986241401</v>
      </c>
      <c r="K56" s="13" t="n">
        <f aca="false">K10/K33-1</f>
        <v>0.482345610634173</v>
      </c>
      <c r="L56" s="13" t="n">
        <f aca="false">L10/L33-1</f>
        <v>0.357481602616517</v>
      </c>
      <c r="M56" s="13" t="n">
        <f aca="false">M10/M33-1</f>
        <v>0.40308227690778</v>
      </c>
      <c r="N56" s="13" t="n">
        <f aca="false">N10/N33-1</f>
        <v>0.458278436539306</v>
      </c>
      <c r="O56" s="13" t="n">
        <f aca="false">O10/O33-1</f>
        <v>0.455856045459329</v>
      </c>
    </row>
    <row r="57" customFormat="false" ht="15" hidden="false" customHeight="false" outlineLevel="0" collapsed="false">
      <c r="A57" s="4" t="s">
        <v>144</v>
      </c>
      <c r="B57" s="4" t="s">
        <v>201</v>
      </c>
      <c r="C57" s="13" t="n">
        <f aca="false">C11/C34-1</f>
        <v>1.35325365205843</v>
      </c>
      <c r="D57" s="13" t="n">
        <f aca="false">D11/D34-1</f>
        <v>0.807712418300653</v>
      </c>
      <c r="E57" s="13" t="n">
        <f aca="false">E11/E34-1</f>
        <v>0.636613272311213</v>
      </c>
      <c r="F57" s="13" t="n">
        <f aca="false">F11/F34-1</f>
        <v>0.622765957446809</v>
      </c>
      <c r="G57" s="13" t="n">
        <f aca="false">G11/G34-1</f>
        <v>0.564092664092664</v>
      </c>
      <c r="H57" s="13" t="n">
        <f aca="false">H11/H34-1</f>
        <v>0.506057945566286</v>
      </c>
      <c r="I57" s="13" t="n">
        <f aca="false">I11/I34-1</f>
        <v>0.458118556701031</v>
      </c>
      <c r="J57" s="13" t="n">
        <f aca="false">J11/J34-1</f>
        <v>0.385222630011772</v>
      </c>
      <c r="K57" s="13" t="n">
        <f aca="false">K11/K34-1</f>
        <v>0.463568382671034</v>
      </c>
      <c r="L57" s="13" t="n">
        <f aca="false">L11/L34-1</f>
        <v>0.341845265237878</v>
      </c>
      <c r="M57" s="13" t="n">
        <f aca="false">M11/M34-1</f>
        <v>0.391515994436718</v>
      </c>
      <c r="N57" s="13" t="n">
        <f aca="false">N11/N34-1</f>
        <v>1.46094348825866</v>
      </c>
      <c r="O57" s="13" t="n">
        <f aca="false">O11/O34-1</f>
        <v>0.448875759067783</v>
      </c>
    </row>
    <row r="58" customFormat="false" ht="15" hidden="false" customHeight="false" outlineLevel="0" collapsed="false">
      <c r="A58" s="4" t="s">
        <v>145</v>
      </c>
      <c r="B58" s="4" t="s">
        <v>207</v>
      </c>
      <c r="C58" s="13" t="n">
        <f aca="false">C12/C35-1</f>
        <v>-0.0351201478743068</v>
      </c>
      <c r="D58" s="13" t="n">
        <f aca="false">D12/D35-1</f>
        <v>0.174428571428571</v>
      </c>
      <c r="E58" s="13" t="n">
        <f aca="false">E12/E35-1</f>
        <v>0.179786566227244</v>
      </c>
      <c r="F58" s="13" t="n">
        <f aca="false">F12/F35-1</f>
        <v>0.142492401215806</v>
      </c>
      <c r="G58" s="13" t="n">
        <f aca="false">G12/G35-1</f>
        <v>0.225982532751092</v>
      </c>
      <c r="H58" s="13" t="n">
        <f aca="false">H12/H35-1</f>
        <v>0.298513379583746</v>
      </c>
      <c r="I58" s="13" t="n">
        <f aca="false">I12/I35-1</f>
        <v>0.215649027589326</v>
      </c>
      <c r="J58" s="13" t="n">
        <f aca="false">J12/J35-1</f>
        <v>0.313242651657286</v>
      </c>
      <c r="K58" s="13" t="n">
        <f aca="false">K12/K35-1</f>
        <v>0.395666020492938</v>
      </c>
      <c r="L58" s="13" t="n">
        <f aca="false">L12/L35-1</f>
        <v>0.304170073589534</v>
      </c>
      <c r="M58" s="13" t="n">
        <f aca="false">M12/M35-1</f>
        <v>0.347999005717126</v>
      </c>
      <c r="N58" s="13" t="n">
        <f aca="false">N12/N35-1</f>
        <v>0.400966183574879</v>
      </c>
      <c r="O58" s="13" t="n">
        <f aca="false">O12/O35-1</f>
        <v>0.398646041600898</v>
      </c>
    </row>
    <row r="59" customFormat="false" ht="15" hidden="false" customHeight="false" outlineLevel="0" collapsed="false">
      <c r="A59" s="4" t="s">
        <v>146</v>
      </c>
      <c r="B59" s="4" t="s">
        <v>201</v>
      </c>
      <c r="C59" s="13" t="n">
        <f aca="false">C13/C36-1</f>
        <v>1.35325365205843</v>
      </c>
      <c r="D59" s="13" t="n">
        <f aca="false">D13/D36-1</f>
        <v>0.807712418300653</v>
      </c>
      <c r="E59" s="13" t="n">
        <f aca="false">E13/E36-1</f>
        <v>0.636613272311213</v>
      </c>
      <c r="F59" s="13" t="n">
        <f aca="false">F13/F36-1</f>
        <v>0.622765957446809</v>
      </c>
      <c r="G59" s="13" t="n">
        <f aca="false">G13/G36-1</f>
        <v>0.564092664092664</v>
      </c>
      <c r="H59" s="13" t="n">
        <f aca="false">H13/H36-1</f>
        <v>0.506057945566286</v>
      </c>
      <c r="I59" s="13" t="n">
        <f aca="false">I13/I36-1</f>
        <v>0.458118556701031</v>
      </c>
      <c r="J59" s="13" t="n">
        <f aca="false">J13/J36-1</f>
        <v>0.385222630011772</v>
      </c>
      <c r="K59" s="13" t="n">
        <f aca="false">K13/K36-1</f>
        <v>0.463568382671034</v>
      </c>
      <c r="L59" s="13" t="n">
        <f aca="false">L13/L36-1</f>
        <v>0.341845265237878</v>
      </c>
      <c r="M59" s="13" t="n">
        <f aca="false">M13/M36-1</f>
        <v>0.391515994436718</v>
      </c>
      <c r="N59" s="13" t="n">
        <f aca="false">N13/N36-1</f>
        <v>1.46094348825866</v>
      </c>
      <c r="O59" s="13" t="n">
        <f aca="false">O13/O36-1</f>
        <v>0.448875759067783</v>
      </c>
    </row>
    <row r="60" customFormat="false" ht="15" hidden="false" customHeight="false" outlineLevel="0" collapsed="false">
      <c r="A60" s="4" t="s">
        <v>147</v>
      </c>
      <c r="B60" s="4" t="s">
        <v>207</v>
      </c>
      <c r="C60" s="13" t="n">
        <f aca="false">C14/C37-1</f>
        <v>-0.0351201478743068</v>
      </c>
      <c r="D60" s="13" t="n">
        <f aca="false">D14/D37-1</f>
        <v>0.174428571428571</v>
      </c>
      <c r="E60" s="13" t="n">
        <f aca="false">E14/E37-1</f>
        <v>0.179786566227244</v>
      </c>
      <c r="F60" s="13" t="n">
        <f aca="false">F14/F37-1</f>
        <v>0.142492401215806</v>
      </c>
      <c r="G60" s="13" t="n">
        <f aca="false">G14/G37-1</f>
        <v>0.225982532751092</v>
      </c>
      <c r="H60" s="13" t="n">
        <f aca="false">H14/H37-1</f>
        <v>0.298513379583746</v>
      </c>
      <c r="I60" s="13" t="n">
        <f aca="false">I14/I37-1</f>
        <v>0.215649027589326</v>
      </c>
      <c r="J60" s="13" t="n">
        <f aca="false">J14/J37-1</f>
        <v>0.313242651657286</v>
      </c>
      <c r="K60" s="13" t="n">
        <f aca="false">K14/K37-1</f>
        <v>0.395666020492938</v>
      </c>
      <c r="L60" s="13" t="n">
        <f aca="false">L14/L37-1</f>
        <v>0.304170073589534</v>
      </c>
      <c r="M60" s="13" t="n">
        <f aca="false">M14/M37-1</f>
        <v>0.347999005717126</v>
      </c>
      <c r="N60" s="13" t="n">
        <f aca="false">N14/N37-1</f>
        <v>0.400966183574879</v>
      </c>
      <c r="O60" s="13" t="n">
        <f aca="false">O14/O37-1</f>
        <v>0.398646041600898</v>
      </c>
    </row>
    <row r="61" customFormat="false" ht="15" hidden="false" customHeight="false" outlineLevel="0" collapsed="false">
      <c r="A61" s="4" t="s">
        <v>148</v>
      </c>
      <c r="B61" s="4" t="s">
        <v>201</v>
      </c>
      <c r="C61" s="13" t="n">
        <f aca="false">C15/C38-1</f>
        <v>0.46746347941567</v>
      </c>
      <c r="D61" s="13" t="n">
        <f aca="false">D15/D38-1</f>
        <v>0.422614379084967</v>
      </c>
      <c r="E61" s="13" t="n">
        <f aca="false">E15/E38-1</f>
        <v>0.423112128146453</v>
      </c>
      <c r="F61" s="13" t="n">
        <f aca="false">F15/F38-1</f>
        <v>0.323191489361702</v>
      </c>
      <c r="G61" s="13" t="n">
        <f aca="false">G15/G38-1</f>
        <v>0.373745173745174</v>
      </c>
      <c r="H61" s="13" t="n">
        <f aca="false">H15/H38-1</f>
        <v>0.457857769973661</v>
      </c>
      <c r="I61" s="13" t="n">
        <f aca="false">I15/I38-1</f>
        <v>0.271585051546392</v>
      </c>
      <c r="J61" s="13" t="n">
        <f aca="false">J15/J38-1</f>
        <v>0.366595111141888</v>
      </c>
      <c r="K61" s="13" t="n">
        <f aca="false">K15/K38-1</f>
        <v>0.463568382671034</v>
      </c>
      <c r="L61" s="13" t="n">
        <f aca="false">L15/L38-1</f>
        <v>0.341845265237878</v>
      </c>
      <c r="M61" s="13" t="n">
        <f aca="false">M15/M38-1</f>
        <v>0.391515994436718</v>
      </c>
      <c r="N61" s="13" t="n">
        <f aca="false">N15/N38-1</f>
        <v>1.4605950804822</v>
      </c>
      <c r="O61" s="13" t="n">
        <f aca="false">O15/O38-1</f>
        <v>0.448875759067783</v>
      </c>
    </row>
    <row r="62" customFormat="false" ht="15" hidden="false" customHeight="false" outlineLevel="0" collapsed="false">
      <c r="A62" s="4" t="s">
        <v>149</v>
      </c>
      <c r="B62" s="4" t="s">
        <v>201</v>
      </c>
      <c r="C62" s="13" t="n">
        <f aca="false">C16/C39-1</f>
        <v>0.46746347941567</v>
      </c>
      <c r="D62" s="13" t="n">
        <f aca="false">D16/D39-1</f>
        <v>0.422614379084967</v>
      </c>
      <c r="E62" s="13" t="n">
        <f aca="false">E16/E39-1</f>
        <v>0.423112128146453</v>
      </c>
      <c r="F62" s="13" t="n">
        <f aca="false">F16/F39-1</f>
        <v>0.323191489361702</v>
      </c>
      <c r="G62" s="13" t="n">
        <f aca="false">G16/G39-1</f>
        <v>0.373745173745174</v>
      </c>
      <c r="H62" s="13" t="n">
        <f aca="false">H16/H39-1</f>
        <v>0.457857769973661</v>
      </c>
      <c r="I62" s="13" t="n">
        <f aca="false">I16/I39-1</f>
        <v>0.271585051546392</v>
      </c>
      <c r="J62" s="13" t="n">
        <f aca="false">J16/J39-1</f>
        <v>0.366595111141888</v>
      </c>
      <c r="K62" s="13" t="n">
        <f aca="false">K16/K39-1</f>
        <v>0.463568382671034</v>
      </c>
      <c r="L62" s="13" t="n">
        <f aca="false">L16/L39-1</f>
        <v>0.341845265237878</v>
      </c>
      <c r="M62" s="13" t="n">
        <f aca="false">M16/M39-1</f>
        <v>0.391515994436718</v>
      </c>
      <c r="N62" s="13" t="n">
        <f aca="false">N16/N39-1</f>
        <v>1.4605950804822</v>
      </c>
      <c r="O62" s="13" t="n">
        <f aca="false">O16/O39-1</f>
        <v>0.448875759067783</v>
      </c>
    </row>
    <row r="63" customFormat="false" ht="15" hidden="false" customHeight="false" outlineLevel="0" collapsed="false">
      <c r="A63" s="4" t="s">
        <v>150</v>
      </c>
      <c r="B63" s="4" t="s">
        <v>201</v>
      </c>
      <c r="C63" s="13" t="n">
        <f aca="false">C17/C40-1</f>
        <v>0.689053310567255</v>
      </c>
      <c r="D63" s="13" t="n">
        <f aca="false">D17/D40-1</f>
        <v>0.422614379084967</v>
      </c>
      <c r="E63" s="13" t="n">
        <f aca="false">E17/E40-1</f>
        <v>0.423112128146453</v>
      </c>
      <c r="F63" s="13" t="n">
        <f aca="false">F17/F40-1</f>
        <v>0.323191489361702</v>
      </c>
      <c r="G63" s="13" t="n">
        <f aca="false">G17/G40-1</f>
        <v>0.373745173745174</v>
      </c>
      <c r="H63" s="13" t="n">
        <f aca="false">H17/H40-1</f>
        <v>0.457857769973661</v>
      </c>
      <c r="I63" s="13" t="n">
        <f aca="false">I17/I40-1</f>
        <v>0.337387242268041</v>
      </c>
      <c r="J63" s="13" t="n">
        <f aca="false">J17/J40-1</f>
        <v>0.366595111141888</v>
      </c>
      <c r="K63" s="13" t="n">
        <f aca="false">K17/K40-1</f>
        <v>0.463568382671034</v>
      </c>
      <c r="L63" s="13" t="n">
        <f aca="false">L17/L40-1</f>
        <v>0.341845265237878</v>
      </c>
      <c r="M63" s="13" t="n">
        <f aca="false">M17/M40-1</f>
        <v>0.391515994436718</v>
      </c>
      <c r="N63" s="13" t="n">
        <f aca="false">N17/N40-1</f>
        <v>1.4605950804822</v>
      </c>
      <c r="O63" s="13" t="n">
        <f aca="false">O17/O40-1</f>
        <v>0.448875759067783</v>
      </c>
    </row>
    <row r="64" customFormat="false" ht="15" hidden="false" customHeight="false" outlineLevel="0" collapsed="false">
      <c r="A64" s="4" t="s">
        <v>151</v>
      </c>
      <c r="B64" s="4" t="s">
        <v>201</v>
      </c>
      <c r="C64" s="13" t="n">
        <f aca="false">C18/C41-1</f>
        <v>0.0903054448871181</v>
      </c>
      <c r="D64" s="13" t="n">
        <f aca="false">D18/D41-1</f>
        <v>0.314771241830065</v>
      </c>
      <c r="E64" s="13" t="n">
        <f aca="false">E18/E41-1</f>
        <v>0.315217391304348</v>
      </c>
      <c r="F64" s="13" t="n">
        <f aca="false">F18/F41-1</f>
        <v>0.222872340425532</v>
      </c>
      <c r="G64" s="13" t="n">
        <f aca="false">G18/G41-1</f>
        <v>0.236872586872587</v>
      </c>
      <c r="H64" s="13" t="n">
        <f aca="false">H18/H41-1</f>
        <v>0.312554872695347</v>
      </c>
      <c r="I64" s="13" t="n">
        <f aca="false">I18/I41-1</f>
        <v>0.149645618556701</v>
      </c>
      <c r="J64" s="13" t="n">
        <f aca="false">J18/J41-1</f>
        <v>0.235510006232255</v>
      </c>
      <c r="K64" s="13" t="n">
        <f aca="false">K18/K41-1</f>
        <v>0.323218589703974</v>
      </c>
      <c r="L64" s="13" t="n">
        <f aca="false">L18/L41-1</f>
        <v>0.261741906064751</v>
      </c>
      <c r="M64" s="13" t="n">
        <f aca="false">M18/M41-1</f>
        <v>0.308437644877144</v>
      </c>
      <c r="N64" s="13" t="n">
        <f aca="false">N18/N41-1</f>
        <v>1.31377604348129</v>
      </c>
      <c r="O64" s="13" t="n">
        <f aca="false">O18/O41-1</f>
        <v>0.362383062530773</v>
      </c>
    </row>
    <row r="65" customFormat="false" ht="15" hidden="false" customHeight="false" outlineLevel="0" collapsed="false">
      <c r="A65" s="4" t="s">
        <v>152</v>
      </c>
      <c r="B65" s="4" t="s">
        <v>201</v>
      </c>
      <c r="C65" s="13" t="n">
        <f aca="false">C19/C42-1</f>
        <v>0.910453424397647</v>
      </c>
      <c r="D65" s="13" t="n">
        <f aca="false">D19/D42-1</f>
        <v>0.502614379084967</v>
      </c>
      <c r="E65" s="13" t="n">
        <f aca="false">E19/E42-1</f>
        <v>0.423112128146453</v>
      </c>
      <c r="F65" s="13" t="n">
        <f aca="false">F19/F42-1</f>
        <v>0.375425531914894</v>
      </c>
      <c r="G65" s="13" t="n">
        <f aca="false">G19/G42-1</f>
        <v>0.373745173745174</v>
      </c>
      <c r="H65" s="13" t="n">
        <f aca="false">H19/H42-1</f>
        <v>0.457857769973661</v>
      </c>
      <c r="I65" s="13" t="n">
        <f aca="false">I19/I42-1</f>
        <v>0.337387242268041</v>
      </c>
      <c r="J65" s="13" t="n">
        <f aca="false">J19/J42-1</f>
        <v>0.366595111141888</v>
      </c>
      <c r="K65" s="13" t="n">
        <f aca="false">K19/K42-1</f>
        <v>0.463568382671034</v>
      </c>
      <c r="L65" s="13" t="n">
        <f aca="false">L19/L42-1</f>
        <v>0.341845265237878</v>
      </c>
      <c r="M65" s="13" t="n">
        <f aca="false">M19/M42-1</f>
        <v>0.391515994436718</v>
      </c>
      <c r="N65" s="13" t="n">
        <f aca="false">N19/N42-1</f>
        <v>1.4605950804822</v>
      </c>
      <c r="O65" s="13" t="n">
        <f aca="false">O19/O42-1</f>
        <v>0.448875759067783</v>
      </c>
    </row>
    <row r="66" customFormat="false" ht="15" hidden="false" customHeight="false" outlineLevel="0" collapsed="false">
      <c r="A66" s="4" t="s">
        <v>153</v>
      </c>
      <c r="B66" s="4" t="s">
        <v>201</v>
      </c>
      <c r="C66" s="13" t="n">
        <f aca="false">C20/C43-1</f>
        <v>0.910453424397647</v>
      </c>
      <c r="D66" s="13" t="n">
        <f aca="false">D20/D43-1</f>
        <v>0.502614379084967</v>
      </c>
      <c r="E66" s="13" t="n">
        <f aca="false">E20/E43-1</f>
        <v>0.423112128146453</v>
      </c>
      <c r="F66" s="13" t="n">
        <f aca="false">F20/F43-1</f>
        <v>0.375425531914894</v>
      </c>
      <c r="G66" s="13" t="n">
        <f aca="false">G20/G43-1</f>
        <v>0.373745173745174</v>
      </c>
      <c r="H66" s="13" t="n">
        <f aca="false">H20/H43-1</f>
        <v>0.457857769973661</v>
      </c>
      <c r="I66" s="13" t="n">
        <f aca="false">I20/I43-1</f>
        <v>0.337387242268041</v>
      </c>
      <c r="J66" s="13" t="n">
        <f aca="false">J20/J43-1</f>
        <v>0.366595111141888</v>
      </c>
      <c r="K66" s="13" t="n">
        <f aca="false">K20/K43-1</f>
        <v>0.463568382671034</v>
      </c>
      <c r="L66" s="13" t="n">
        <f aca="false">L20/L43-1</f>
        <v>0.341845265237878</v>
      </c>
      <c r="M66" s="13" t="n">
        <f aca="false">M20/M43-1</f>
        <v>0.391515994436718</v>
      </c>
      <c r="N66" s="13" t="n">
        <f aca="false">N20/N43-1</f>
        <v>1.4605950804822</v>
      </c>
      <c r="O66" s="13" t="n">
        <f aca="false">O20/O43-1</f>
        <v>0.448875759067783</v>
      </c>
    </row>
    <row r="67" customFormat="false" ht="15" hidden="false" customHeight="false" outlineLevel="0" collapsed="false">
      <c r="A67" s="4" t="s">
        <v>154</v>
      </c>
      <c r="B67" s="4" t="s">
        <v>201</v>
      </c>
      <c r="C67" s="13" t="n">
        <f aca="false">C21/C44-1</f>
        <v>0.0903054448871181</v>
      </c>
      <c r="D67" s="13" t="n">
        <f aca="false">D21/D44-1</f>
        <v>0.314771241830065</v>
      </c>
      <c r="E67" s="13" t="n">
        <f aca="false">E21/E44-1</f>
        <v>0.315217391304348</v>
      </c>
      <c r="F67" s="13" t="n">
        <f aca="false">F21/F44-1</f>
        <v>0.222872340425532</v>
      </c>
      <c r="G67" s="13" t="n">
        <f aca="false">G21/G44-1</f>
        <v>0.236872586872587</v>
      </c>
      <c r="H67" s="13" t="n">
        <f aca="false">H21/H44-1</f>
        <v>0.312554872695347</v>
      </c>
      <c r="I67" s="13" t="n">
        <f aca="false">I21/I44-1</f>
        <v>0.149645618556701</v>
      </c>
      <c r="J67" s="13" t="n">
        <f aca="false">J21/J44-1</f>
        <v>0.235510006232255</v>
      </c>
      <c r="K67" s="13" t="n">
        <f aca="false">K21/K44-1</f>
        <v>0.323218589703974</v>
      </c>
      <c r="L67" s="13" t="n">
        <f aca="false">L21/L44-1</f>
        <v>0.261741906064751</v>
      </c>
      <c r="M67" s="13" t="n">
        <f aca="false">M21/M44-1</f>
        <v>0.308437644877144</v>
      </c>
      <c r="N67" s="13" t="n">
        <f aca="false">N21/N44-1</f>
        <v>1.31377604348129</v>
      </c>
      <c r="O67" s="13" t="n">
        <f aca="false">O21/O44-1</f>
        <v>0.362383062530773</v>
      </c>
    </row>
    <row r="68" customFormat="false" ht="15" hidden="false" customHeight="false" outlineLevel="0" collapsed="false">
      <c r="A68" s="4" t="s">
        <v>155</v>
      </c>
      <c r="B68" s="4" t="s">
        <v>207</v>
      </c>
      <c r="C68" s="13" t="n">
        <f aca="false">C22/C45-1</f>
        <v>-0.0351201478743068</v>
      </c>
      <c r="D68" s="13" t="n">
        <f aca="false">D22/D45-1</f>
        <v>0.174428571428571</v>
      </c>
      <c r="E68" s="13" t="n">
        <f aca="false">E22/E45-1</f>
        <v>0.179786566227244</v>
      </c>
      <c r="F68" s="13" t="n">
        <f aca="false">F22/F45-1</f>
        <v>0.142492401215806</v>
      </c>
      <c r="G68" s="13" t="n">
        <f aca="false">G22/G45-1</f>
        <v>0.225982532751092</v>
      </c>
      <c r="H68" s="13" t="n">
        <f aca="false">H22/H45-1</f>
        <v>0.298513379583746</v>
      </c>
      <c r="I68" s="13" t="n">
        <f aca="false">I22/I45-1</f>
        <v>0.215649027589326</v>
      </c>
      <c r="J68" s="13" t="n">
        <f aca="false">J22/J45-1</f>
        <v>0.313242651657286</v>
      </c>
      <c r="K68" s="13" t="n">
        <f aca="false">K22/K45-1</f>
        <v>0.395666020492938</v>
      </c>
      <c r="L68" s="13" t="n">
        <f aca="false">L22/L45-1</f>
        <v>0.304170073589534</v>
      </c>
      <c r="M68" s="13" t="n">
        <f aca="false">M22/M45-1</f>
        <v>0.347999005717126</v>
      </c>
      <c r="N68" s="13" t="n">
        <f aca="false">N22/N45-1</f>
        <v>0.400966183574879</v>
      </c>
      <c r="O68" s="13" t="n">
        <f aca="false">O22/O45-1</f>
        <v>0.398646041600898</v>
      </c>
    </row>
    <row r="69" customFormat="false" ht="15" hidden="false" customHeight="false" outlineLevel="0" collapsed="false">
      <c r="A69" s="4" t="s">
        <v>156</v>
      </c>
      <c r="B69" s="4" t="s">
        <v>201</v>
      </c>
      <c r="C69" s="13" t="n">
        <f aca="false">C23/C46-1</f>
        <v>0.689053310567255</v>
      </c>
      <c r="D69" s="13" t="n">
        <f aca="false">D23/D46-1</f>
        <v>0.350065359477124</v>
      </c>
      <c r="E69" s="13" t="n">
        <f aca="false">E23/E46-1</f>
        <v>0.23604118993135</v>
      </c>
      <c r="F69" s="13" t="n">
        <f aca="false">F23/F46-1</f>
        <v>0.247127659574468</v>
      </c>
      <c r="G69" s="13" t="n">
        <f aca="false">G23/G46-1</f>
        <v>0.226158301158301</v>
      </c>
      <c r="H69" s="13" t="n">
        <f aca="false">H23/H46-1</f>
        <v>0.198683055311677</v>
      </c>
      <c r="I69" s="13" t="n">
        <f aca="false">I23/I46-1</f>
        <v>0.17614368556701</v>
      </c>
      <c r="J69" s="13" t="n">
        <f aca="false">J23/J46-1</f>
        <v>0.163285091060176</v>
      </c>
      <c r="K69" s="13" t="n">
        <f aca="false">K23/K46-1</f>
        <v>0.245843890983252</v>
      </c>
      <c r="L69" s="13" t="n">
        <f aca="false">L23/L46-1</f>
        <v>0.21219030247758</v>
      </c>
      <c r="M69" s="13" t="n">
        <f aca="false">M23/M46-1</f>
        <v>0.257070004636069</v>
      </c>
      <c r="N69" s="13" t="n">
        <f aca="false">N23/N46-1</f>
        <v>1.22284161382482</v>
      </c>
      <c r="O69" s="13" t="n">
        <f aca="false">O23/O46-1</f>
        <v>0.308846216970294</v>
      </c>
    </row>
    <row r="70" customFormat="false" ht="15" hidden="false" customHeight="false" outlineLevel="0" collapsed="false">
      <c r="A70" s="4" t="s">
        <v>157</v>
      </c>
      <c r="B70" s="4" t="s">
        <v>201</v>
      </c>
      <c r="C70" s="13" t="n">
        <f aca="false">C24/C47-1</f>
        <v>1.02105862265225</v>
      </c>
      <c r="D70" s="13" t="n">
        <f aca="false">D24/D47-1</f>
        <v>0.578823529411765</v>
      </c>
      <c r="E70" s="13" t="n">
        <f aca="false">E24/E47-1</f>
        <v>0.43741418764302</v>
      </c>
      <c r="F70" s="13" t="n">
        <f aca="false">F24/F47-1</f>
        <v>0.436489361702128</v>
      </c>
      <c r="G70" s="13" t="n">
        <f aca="false">G24/G47-1</f>
        <v>0.39507722007722</v>
      </c>
      <c r="H70" s="13" t="n">
        <f aca="false">H24/H47-1</f>
        <v>0.457857769973661</v>
      </c>
      <c r="I70" s="13" t="n">
        <f aca="false">I24/I47-1</f>
        <v>0.337387242268041</v>
      </c>
      <c r="J70" s="13" t="n">
        <f aca="false">J24/J47-1</f>
        <v>0.366595111141888</v>
      </c>
      <c r="K70" s="13" t="n">
        <f aca="false">K24/K47-1</f>
        <v>0.463568382671034</v>
      </c>
      <c r="L70" s="13" t="n">
        <f aca="false">L24/L47-1</f>
        <v>0.341845265237878</v>
      </c>
      <c r="M70" s="13" t="n">
        <f aca="false">M24/M47-1</f>
        <v>0.391515994436718</v>
      </c>
      <c r="N70" s="13" t="n">
        <f aca="false">N24/N47-1</f>
        <v>1.4605950804822</v>
      </c>
      <c r="O70" s="13" t="n">
        <f aca="false">O24/O47-1</f>
        <v>0.448875759067783</v>
      </c>
    </row>
    <row r="71" customFormat="false" ht="15" hidden="false" customHeight="false" outlineLevel="0" collapsed="false">
      <c r="A71" s="4" t="s">
        <v>158</v>
      </c>
      <c r="B71" s="4" t="s">
        <v>201</v>
      </c>
      <c r="C71" s="13" t="n">
        <f aca="false">C25/C48-1</f>
        <v>0.910453424397647</v>
      </c>
      <c r="D71" s="13" t="n">
        <f aca="false">D25/D48-1</f>
        <v>0.502614379084967</v>
      </c>
      <c r="E71" s="13" t="n">
        <f aca="false">E25/E48-1</f>
        <v>0.423112128146453</v>
      </c>
      <c r="F71" s="13" t="n">
        <f aca="false">F25/F48-1</f>
        <v>0.375425531914894</v>
      </c>
      <c r="G71" s="13" t="n">
        <f aca="false">G25/G48-1</f>
        <v>0.373745173745174</v>
      </c>
      <c r="H71" s="13" t="n">
        <f aca="false">H25/H48-1</f>
        <v>0.457857769973661</v>
      </c>
      <c r="I71" s="13" t="n">
        <f aca="false">I25/I48-1</f>
        <v>0.337387242268041</v>
      </c>
      <c r="J71" s="13" t="n">
        <f aca="false">J25/J48-1</f>
        <v>0.366595111141888</v>
      </c>
      <c r="K71" s="13" t="n">
        <f aca="false">K25/K48-1</f>
        <v>0.463568382671034</v>
      </c>
      <c r="L71" s="13" t="n">
        <f aca="false">L25/L48-1</f>
        <v>0.341845265237878</v>
      </c>
      <c r="M71" s="13" t="n">
        <f aca="false">M25/M48-1</f>
        <v>0.391515994436718</v>
      </c>
      <c r="N71" s="13" t="n">
        <f aca="false">N25/N48-1</f>
        <v>1.4605950804822</v>
      </c>
      <c r="O71" s="13" t="n">
        <f aca="false">O25/O48-1</f>
        <v>0.448875759067783</v>
      </c>
    </row>
  </sheetData>
  <conditionalFormatting sqref="C52:O71">
    <cfRule type="colorScale" priority="2">
      <colorScale>
        <cfvo type="num" val="-0.3"/>
        <cfvo type="num" val="0"/>
        <cfvo type="num" val="0.6"/>
        <color rgb="FF63BE7B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true" outlineLevel="0" max="5" min="5" style="0" width="12"/>
    <col collapsed="false" customWidth="true" hidden="false" outlineLevel="0" max="6" min="6" style="0" width="22"/>
    <col collapsed="false" customWidth="true" hidden="false" outlineLevel="0" max="10" min="7" style="0" width="12"/>
    <col collapsed="false" customWidth="true" hidden="false" outlineLevel="0" max="11" min="11" style="0" width="20"/>
    <col collapsed="false" customWidth="true" hidden="false" outlineLevel="0" max="36" min="12" style="0" width="12"/>
  </cols>
  <sheetData>
    <row r="1" customFormat="false" ht="48" hidden="false" customHeight="true" outlineLevel="0" collapsed="false">
      <c r="A1" s="3" t="s">
        <v>289</v>
      </c>
      <c r="B1" s="3" t="s">
        <v>290</v>
      </c>
      <c r="C1" s="3" t="s">
        <v>291</v>
      </c>
      <c r="D1" s="3" t="s">
        <v>292</v>
      </c>
      <c r="E1" s="3" t="s">
        <v>293</v>
      </c>
      <c r="F1" s="3" t="s">
        <v>122</v>
      </c>
      <c r="G1" s="3" t="s">
        <v>123</v>
      </c>
      <c r="H1" s="3" t="s">
        <v>163</v>
      </c>
      <c r="I1" s="3" t="s">
        <v>294</v>
      </c>
      <c r="J1" s="3" t="s">
        <v>295</v>
      </c>
      <c r="K1" s="3" t="s">
        <v>296</v>
      </c>
      <c r="L1" s="3" t="s">
        <v>297</v>
      </c>
      <c r="M1" s="36" t="s">
        <v>164</v>
      </c>
      <c r="N1" s="36" t="s">
        <v>298</v>
      </c>
      <c r="O1" s="36" t="s">
        <v>299</v>
      </c>
      <c r="P1" s="36" t="s">
        <v>300</v>
      </c>
      <c r="Q1" s="36" t="s">
        <v>301</v>
      </c>
      <c r="R1" s="36" t="s">
        <v>302</v>
      </c>
      <c r="S1" s="36" t="s">
        <v>303</v>
      </c>
      <c r="T1" s="36" t="s">
        <v>304</v>
      </c>
      <c r="U1" s="35" t="s">
        <v>165</v>
      </c>
      <c r="V1" s="35" t="s">
        <v>305</v>
      </c>
      <c r="W1" s="35" t="s">
        <v>306</v>
      </c>
      <c r="X1" s="35" t="s">
        <v>307</v>
      </c>
      <c r="Y1" s="35" t="s">
        <v>308</v>
      </c>
      <c r="Z1" s="35" t="s">
        <v>309</v>
      </c>
      <c r="AA1" s="35" t="s">
        <v>310</v>
      </c>
      <c r="AB1" s="35" t="s">
        <v>311</v>
      </c>
      <c r="AC1" s="35" t="s">
        <v>312</v>
      </c>
      <c r="AD1" s="35" t="s">
        <v>313</v>
      </c>
      <c r="AE1" s="3" t="s">
        <v>314</v>
      </c>
      <c r="AF1" s="3" t="s">
        <v>315</v>
      </c>
      <c r="AG1" s="3" t="s">
        <v>316</v>
      </c>
      <c r="AH1" s="3" t="s">
        <v>317</v>
      </c>
      <c r="AI1" s="3" t="s">
        <v>318</v>
      </c>
      <c r="AJ1" s="3" t="s">
        <v>319</v>
      </c>
    </row>
    <row r="2" customFormat="false" ht="15" hidden="false" customHeight="false" outlineLevel="0" collapsed="false">
      <c r="A2" s="37" t="n">
        <v>352923342</v>
      </c>
      <c r="B2" s="38" t="n">
        <v>46204.4207638889</v>
      </c>
      <c r="C2" s="37" t="s">
        <v>320</v>
      </c>
      <c r="D2" s="37" t="s">
        <v>321</v>
      </c>
      <c r="E2" s="37" t="n">
        <v>28913240</v>
      </c>
      <c r="F2" s="37" t="s">
        <v>152</v>
      </c>
      <c r="G2" s="37" t="s">
        <v>201</v>
      </c>
      <c r="H2" s="37" t="s">
        <v>168</v>
      </c>
      <c r="I2" s="37" t="n">
        <v>33</v>
      </c>
      <c r="J2" s="39" t="n">
        <v>389.99</v>
      </c>
      <c r="K2" s="37" t="s">
        <v>322</v>
      </c>
      <c r="L2" s="39" t="n">
        <v>109.05</v>
      </c>
      <c r="M2" s="39" t="n">
        <v>76.5</v>
      </c>
      <c r="N2" s="39" t="n">
        <f aca="false">J2*Resumo!$C$7</f>
        <v>0.77998</v>
      </c>
      <c r="O2" s="39" t="n">
        <f aca="false">J2*Resumo!$C$8</f>
        <v>0.77998</v>
      </c>
      <c r="P2" s="39" t="n">
        <f aca="false">Resumo!$C$10*CEILING(I2/100,1)</f>
        <v>1</v>
      </c>
      <c r="Q2" s="39" t="n">
        <f aca="false">Resumo!$C$9</f>
        <v>11.9</v>
      </c>
      <c r="R2" s="39" t="n">
        <f aca="false">SUM(M2:Q2)*Resumo!$C$11</f>
        <v>5.0027978</v>
      </c>
      <c r="S2" s="39" t="n">
        <f aca="false">SUM(M2:R2)</f>
        <v>95.9627578</v>
      </c>
      <c r="T2" s="39" t="n">
        <f aca="false">S2/(1-Resumo!$C$5)</f>
        <v>109.048588409091</v>
      </c>
      <c r="U2" s="39" t="n">
        <v>114.95</v>
      </c>
      <c r="V2" s="39" t="n">
        <f aca="false">J2*Resumo!$B$6</f>
        <v>0.38999</v>
      </c>
      <c r="W2" s="39" t="n">
        <f aca="false">J2*Resumo!$B$7</f>
        <v>0.77998</v>
      </c>
      <c r="X2" s="39" t="n">
        <f aca="false">Resumo!$B$9</f>
        <v>1</v>
      </c>
      <c r="Y2" s="39" t="n">
        <f aca="false">Resumo!$B$10*CEILING(I2/100,1)</f>
        <v>4.5</v>
      </c>
      <c r="Z2" s="39" t="n">
        <f aca="false">Resumo!$B$12*CEILING(I2,1)</f>
        <v>1.98</v>
      </c>
      <c r="AA2" s="39" t="n">
        <f aca="false">Resumo!$B$13*CEILING(I2,1)</f>
        <v>14.85</v>
      </c>
      <c r="AB2" s="39" t="n">
        <f aca="false">SUM(U2:AA2)</f>
        <v>138.44997</v>
      </c>
      <c r="AC2" s="39" t="n">
        <f aca="false">AB2/(1-Resumo!$B$5)</f>
        <v>157.329511363636</v>
      </c>
      <c r="AD2" s="39" t="n">
        <f aca="false">(AB2-AA2)/(1-Resumo!$B$5)</f>
        <v>140.454511363636</v>
      </c>
      <c r="AE2" s="39" t="n">
        <f aca="false">AC2-T2</f>
        <v>48.2809229545455</v>
      </c>
      <c r="AF2" s="40" t="n">
        <f aca="false">AC2/T2-1</f>
        <v>0.442746886125859</v>
      </c>
      <c r="AG2" s="37" t="str">
        <f aca="false">IF(AC2&lt;T2,"SIM","NÃO")</f>
        <v>NÃO</v>
      </c>
      <c r="AH2" s="37" t="n">
        <v>13</v>
      </c>
      <c r="AI2" s="37" t="n">
        <v>10</v>
      </c>
      <c r="AJ2" s="37" t="s">
        <v>323</v>
      </c>
    </row>
    <row r="3" customFormat="false" ht="15" hidden="false" customHeight="false" outlineLevel="0" collapsed="false">
      <c r="A3" s="37" t="n">
        <v>352954180</v>
      </c>
      <c r="B3" s="38" t="n">
        <v>46204.4749768519</v>
      </c>
      <c r="C3" s="37" t="s">
        <v>320</v>
      </c>
      <c r="D3" s="37" t="s">
        <v>324</v>
      </c>
      <c r="E3" s="37" t="n">
        <v>21032000</v>
      </c>
      <c r="F3" s="37" t="s">
        <v>139</v>
      </c>
      <c r="G3" s="37" t="s">
        <v>198</v>
      </c>
      <c r="H3" s="37" t="s">
        <v>170</v>
      </c>
      <c r="I3" s="37" t="n">
        <v>49.6</v>
      </c>
      <c r="J3" s="39" t="n">
        <v>799.99</v>
      </c>
      <c r="K3" s="37" t="s">
        <v>322</v>
      </c>
      <c r="L3" s="39" t="n">
        <v>104.42</v>
      </c>
      <c r="M3" s="39" t="n">
        <v>71</v>
      </c>
      <c r="N3" s="39" t="n">
        <f aca="false">J3*Resumo!$C$7</f>
        <v>1.59998</v>
      </c>
      <c r="O3" s="39" t="n">
        <f aca="false">J3*Resumo!$C$8</f>
        <v>1.59998</v>
      </c>
      <c r="P3" s="39" t="n">
        <f aca="false">Resumo!$C$10*CEILING(I3/100,1)</f>
        <v>1</v>
      </c>
      <c r="Q3" s="39" t="n">
        <f aca="false">Resumo!$C$9</f>
        <v>11.9</v>
      </c>
      <c r="R3" s="39" t="n">
        <f aca="false">SUM(M3:Q3)*Resumo!$C$11</f>
        <v>4.7904978</v>
      </c>
      <c r="S3" s="39" t="n">
        <f aca="false">SUM(M3:R3)</f>
        <v>91.8904578</v>
      </c>
      <c r="T3" s="39" t="n">
        <f aca="false">S3/(1-Resumo!$C$5)</f>
        <v>104.420974772727</v>
      </c>
      <c r="U3" s="39" t="n">
        <v>93.97</v>
      </c>
      <c r="V3" s="39" t="n">
        <f aca="false">J3*Resumo!$B$6</f>
        <v>0.79999</v>
      </c>
      <c r="W3" s="39" t="n">
        <f aca="false">J3*Resumo!$B$7</f>
        <v>1.59998</v>
      </c>
      <c r="X3" s="39" t="n">
        <f aca="false">Resumo!$B$9</f>
        <v>1</v>
      </c>
      <c r="Y3" s="39" t="n">
        <f aca="false">Resumo!$B$10*CEILING(I3/100,1)</f>
        <v>4.5</v>
      </c>
      <c r="Z3" s="39" t="n">
        <f aca="false">Resumo!$B$12*CEILING(I3,1)</f>
        <v>3</v>
      </c>
      <c r="AA3" s="39" t="n">
        <f aca="false">Resumo!$B$13*CEILING(I3,1)</f>
        <v>22.5</v>
      </c>
      <c r="AB3" s="39" t="n">
        <f aca="false">SUM(U3:AA3)</f>
        <v>127.36997</v>
      </c>
      <c r="AC3" s="39" t="n">
        <f aca="false">AB3/(1-Resumo!$B$5)</f>
        <v>144.738602272727</v>
      </c>
      <c r="AD3" s="39" t="n">
        <f aca="false">(AB3-AA3)/(1-Resumo!$B$5)</f>
        <v>119.170420454545</v>
      </c>
      <c r="AE3" s="39" t="n">
        <f aca="false">AC3-T3</f>
        <v>40.3176275</v>
      </c>
      <c r="AF3" s="40" t="n">
        <f aca="false">AC3/T3-1</f>
        <v>0.386106599634331</v>
      </c>
      <c r="AG3" s="37" t="str">
        <f aca="false">IF(AC3&lt;T3,"SIM","NÃO")</f>
        <v>NÃO</v>
      </c>
      <c r="AH3" s="37" t="n">
        <v>8</v>
      </c>
      <c r="AI3" s="37" t="n">
        <v>5</v>
      </c>
      <c r="AJ3" s="37" t="s">
        <v>323</v>
      </c>
    </row>
    <row r="4" customFormat="false" ht="15" hidden="false" customHeight="false" outlineLevel="0" collapsed="false">
      <c r="A4" s="37" t="n">
        <v>353020070</v>
      </c>
      <c r="B4" s="38" t="n">
        <v>46204.5868055556</v>
      </c>
      <c r="C4" s="37" t="s">
        <v>325</v>
      </c>
      <c r="D4" s="37" t="s">
        <v>326</v>
      </c>
      <c r="E4" s="37" t="n">
        <v>26545580</v>
      </c>
      <c r="F4" s="37" t="s">
        <v>224</v>
      </c>
      <c r="G4" s="37" t="s">
        <v>207</v>
      </c>
      <c r="H4" s="37" t="s">
        <v>171</v>
      </c>
      <c r="I4" s="37" t="n">
        <v>58.5</v>
      </c>
      <c r="J4" s="39" t="n">
        <v>843.2</v>
      </c>
      <c r="K4" s="37" t="s">
        <v>322</v>
      </c>
      <c r="L4" s="39" t="n">
        <v>129.33</v>
      </c>
      <c r="M4" s="39" t="n">
        <v>91.6</v>
      </c>
      <c r="N4" s="39" t="n">
        <f aca="false">J4*Resumo!$C$7</f>
        <v>1.6864</v>
      </c>
      <c r="O4" s="39" t="n">
        <f aca="false">J4*Resumo!$C$8</f>
        <v>1.6864</v>
      </c>
      <c r="P4" s="39" t="n">
        <f aca="false">Resumo!$C$10*CEILING(I4/100,1)</f>
        <v>1</v>
      </c>
      <c r="Q4" s="39" t="n">
        <f aca="false">Resumo!$C$9</f>
        <v>11.9</v>
      </c>
      <c r="R4" s="39" t="n">
        <f aca="false">SUM(M4:Q4)*Resumo!$C$11</f>
        <v>5.933004</v>
      </c>
      <c r="S4" s="39" t="n">
        <f aca="false">SUM(M4:R4)</f>
        <v>113.805804</v>
      </c>
      <c r="T4" s="39" t="n">
        <f aca="false">S4/(1-Resumo!$C$5)</f>
        <v>129.324777272727</v>
      </c>
      <c r="U4" s="39" t="n">
        <v>112.3</v>
      </c>
      <c r="V4" s="39" t="n">
        <f aca="false">J4*Resumo!$B$6</f>
        <v>0.8432</v>
      </c>
      <c r="W4" s="39" t="n">
        <f aca="false">J4*Resumo!$B$7</f>
        <v>1.6864</v>
      </c>
      <c r="X4" s="39" t="n">
        <f aca="false">Resumo!$B$9</f>
        <v>1</v>
      </c>
      <c r="Y4" s="39" t="n">
        <f aca="false">Resumo!$B$10*CEILING(I4/100,1)</f>
        <v>4.5</v>
      </c>
      <c r="Z4" s="39" t="n">
        <f aca="false">Resumo!$B$12*CEILING(I4,1)</f>
        <v>3.54</v>
      </c>
      <c r="AA4" s="39" t="n">
        <f aca="false">Resumo!$B$13*CEILING(I4,1)</f>
        <v>26.55</v>
      </c>
      <c r="AB4" s="39" t="n">
        <f aca="false">SUM(U4:AA4)</f>
        <v>150.4196</v>
      </c>
      <c r="AC4" s="39" t="n">
        <f aca="false">AB4/(1-Resumo!$B$5)</f>
        <v>170.931363636364</v>
      </c>
      <c r="AD4" s="39" t="n">
        <f aca="false">(AB4-AA4)/(1-Resumo!$B$5)</f>
        <v>140.760909090909</v>
      </c>
      <c r="AE4" s="39" t="n">
        <f aca="false">AC4-T4</f>
        <v>41.6065863636364</v>
      </c>
      <c r="AF4" s="40" t="n">
        <f aca="false">AC4/T4-1</f>
        <v>0.321721693561429</v>
      </c>
      <c r="AG4" s="37" t="str">
        <f aca="false">IF(AC4&lt;T4,"SIM","NÃO")</f>
        <v>NÃO</v>
      </c>
      <c r="AH4" s="37" t="n">
        <v>10</v>
      </c>
      <c r="AI4" s="37" t="n">
        <v>5</v>
      </c>
      <c r="AJ4" s="37" t="s">
        <v>327</v>
      </c>
    </row>
    <row r="5" customFormat="false" ht="15" hidden="false" customHeight="false" outlineLevel="0" collapsed="false">
      <c r="A5" s="37" t="n">
        <v>353076911</v>
      </c>
      <c r="B5" s="38" t="n">
        <v>46204.690162037</v>
      </c>
      <c r="C5" s="37" t="s">
        <v>325</v>
      </c>
      <c r="D5" s="37" t="s">
        <v>328</v>
      </c>
      <c r="E5" s="37" t="n">
        <v>22471150</v>
      </c>
      <c r="F5" s="37" t="s">
        <v>139</v>
      </c>
      <c r="G5" s="37" t="s">
        <v>198</v>
      </c>
      <c r="H5" s="37" t="s">
        <v>169</v>
      </c>
      <c r="I5" s="37" t="n">
        <v>35.4</v>
      </c>
      <c r="J5" s="39" t="n">
        <v>543.69</v>
      </c>
      <c r="K5" s="37" t="s">
        <v>322</v>
      </c>
      <c r="L5" s="39" t="n">
        <v>92.47</v>
      </c>
      <c r="M5" s="39" t="n">
        <v>62.05</v>
      </c>
      <c r="N5" s="39" t="n">
        <f aca="false">J5*Resumo!$C$7</f>
        <v>1.08738</v>
      </c>
      <c r="O5" s="39" t="n">
        <f aca="false">J5*Resumo!$C$8</f>
        <v>1.08738</v>
      </c>
      <c r="P5" s="39" t="n">
        <f aca="false">Resumo!$C$10*CEILING(I5/100,1)</f>
        <v>1</v>
      </c>
      <c r="Q5" s="39" t="n">
        <f aca="false">Resumo!$C$9</f>
        <v>11.9</v>
      </c>
      <c r="R5" s="39" t="n">
        <f aca="false">SUM(M5:Q5)*Resumo!$C$11</f>
        <v>4.2418618</v>
      </c>
      <c r="S5" s="39" t="n">
        <f aca="false">SUM(M5:R5)</f>
        <v>81.3666218</v>
      </c>
      <c r="T5" s="39" t="n">
        <f aca="false">S5/(1-Resumo!$C$5)</f>
        <v>92.4620702272727</v>
      </c>
      <c r="U5" s="39" t="n">
        <v>93.97</v>
      </c>
      <c r="V5" s="39" t="n">
        <f aca="false">J5*Resumo!$B$6</f>
        <v>0.54369</v>
      </c>
      <c r="W5" s="39" t="n">
        <f aca="false">J5*Resumo!$B$7</f>
        <v>1.08738</v>
      </c>
      <c r="X5" s="39" t="n">
        <f aca="false">Resumo!$B$9</f>
        <v>1</v>
      </c>
      <c r="Y5" s="39" t="n">
        <f aca="false">Resumo!$B$10*CEILING(I5/100,1)</f>
        <v>4.5</v>
      </c>
      <c r="Z5" s="39" t="n">
        <f aca="false">Resumo!$B$12*CEILING(I5,1)</f>
        <v>2.16</v>
      </c>
      <c r="AA5" s="39" t="n">
        <f aca="false">Resumo!$B$13*CEILING(I5,1)</f>
        <v>16.2</v>
      </c>
      <c r="AB5" s="39" t="n">
        <f aca="false">SUM(U5:AA5)</f>
        <v>119.46107</v>
      </c>
      <c r="AC5" s="39" t="n">
        <f aca="false">AB5/(1-Resumo!$B$5)</f>
        <v>135.751215909091</v>
      </c>
      <c r="AD5" s="39" t="n">
        <f aca="false">(AB5-AA5)/(1-Resumo!$B$5)</f>
        <v>117.342125</v>
      </c>
      <c r="AE5" s="39" t="n">
        <f aca="false">AC5-T5</f>
        <v>43.2891456818182</v>
      </c>
      <c r="AF5" s="40" t="n">
        <f aca="false">AC5/T5-1</f>
        <v>0.468182743209329</v>
      </c>
      <c r="AG5" s="37" t="str">
        <f aca="false">IF(AC5&lt;T5,"SIM","NÃO")</f>
        <v>NÃO</v>
      </c>
      <c r="AH5" s="37" t="n">
        <v>8</v>
      </c>
      <c r="AI5" s="37" t="n">
        <v>5</v>
      </c>
      <c r="AJ5" s="37" t="s">
        <v>323</v>
      </c>
    </row>
    <row r="6" customFormat="false" ht="15" hidden="false" customHeight="false" outlineLevel="0" collapsed="false">
      <c r="A6" s="37" t="n">
        <v>353103464</v>
      </c>
      <c r="B6" s="38" t="n">
        <v>46204.7498032407</v>
      </c>
      <c r="C6" s="37" t="s">
        <v>320</v>
      </c>
      <c r="D6" s="37" t="s">
        <v>329</v>
      </c>
      <c r="E6" s="37" t="n">
        <v>26325100</v>
      </c>
      <c r="F6" s="37" t="s">
        <v>222</v>
      </c>
      <c r="G6" s="37" t="s">
        <v>207</v>
      </c>
      <c r="H6" s="37" t="s">
        <v>168</v>
      </c>
      <c r="I6" s="37" t="n">
        <v>27</v>
      </c>
      <c r="J6" s="39" t="n">
        <v>329.99</v>
      </c>
      <c r="K6" s="37" t="s">
        <v>322</v>
      </c>
      <c r="L6" s="39" t="n">
        <v>100.97</v>
      </c>
      <c r="M6" s="39" t="n">
        <v>70</v>
      </c>
      <c r="N6" s="39" t="n">
        <f aca="false">J6*Resumo!$C$7</f>
        <v>0.65998</v>
      </c>
      <c r="O6" s="39" t="n">
        <f aca="false">J6*Resumo!$C$8</f>
        <v>0.65998</v>
      </c>
      <c r="P6" s="39" t="n">
        <f aca="false">Resumo!$C$10*CEILING(I6/100,1)</f>
        <v>1</v>
      </c>
      <c r="Q6" s="39" t="n">
        <f aca="false">Resumo!$C$9</f>
        <v>11.9</v>
      </c>
      <c r="R6" s="39" t="n">
        <f aca="false">SUM(M6:Q6)*Resumo!$C$11</f>
        <v>4.6320978</v>
      </c>
      <c r="S6" s="39" t="n">
        <f aca="false">SUM(M6:R6)</f>
        <v>88.8520578</v>
      </c>
      <c r="T6" s="39" t="n">
        <f aca="false">S6/(1-Resumo!$C$5)</f>
        <v>100.9682475</v>
      </c>
      <c r="U6" s="39" t="n">
        <v>82.21</v>
      </c>
      <c r="V6" s="39" t="n">
        <f aca="false">J6*Resumo!$B$6</f>
        <v>0.32999</v>
      </c>
      <c r="W6" s="39" t="n">
        <f aca="false">J6*Resumo!$B$7</f>
        <v>0.65998</v>
      </c>
      <c r="X6" s="39" t="n">
        <f aca="false">Resumo!$B$9</f>
        <v>1</v>
      </c>
      <c r="Y6" s="39" t="n">
        <f aca="false">Resumo!$B$10*CEILING(I6/100,1)</f>
        <v>4.5</v>
      </c>
      <c r="Z6" s="39" t="n">
        <f aca="false">Resumo!$B$12*CEILING(I6,1)</f>
        <v>1.62</v>
      </c>
      <c r="AA6" s="39" t="n">
        <f aca="false">Resumo!$B$13*CEILING(I6,1)</f>
        <v>12.15</v>
      </c>
      <c r="AB6" s="39" t="n">
        <f aca="false">SUM(U6:AA6)</f>
        <v>102.46997</v>
      </c>
      <c r="AC6" s="39" t="n">
        <f aca="false">AB6/(1-Resumo!$B$5)</f>
        <v>116.443147727273</v>
      </c>
      <c r="AD6" s="39" t="n">
        <f aca="false">(AB6-AA6)/(1-Resumo!$B$5)</f>
        <v>102.636329545455</v>
      </c>
      <c r="AE6" s="39" t="n">
        <f aca="false">AC6-T6</f>
        <v>15.4749002272727</v>
      </c>
      <c r="AF6" s="40" t="n">
        <f aca="false">AC6/T6-1</f>
        <v>0.153265017571715</v>
      </c>
      <c r="AG6" s="37" t="str">
        <f aca="false">IF(AC6&lt;T6,"SIM","NÃO")</f>
        <v>NÃO</v>
      </c>
      <c r="AH6" s="37" t="n">
        <v>10</v>
      </c>
      <c r="AI6" s="37" t="n">
        <v>5</v>
      </c>
      <c r="AJ6" s="37" t="s">
        <v>327</v>
      </c>
    </row>
    <row r="7" customFormat="false" ht="15" hidden="false" customHeight="false" outlineLevel="0" collapsed="false">
      <c r="A7" s="37" t="n">
        <v>353135681</v>
      </c>
      <c r="B7" s="38" t="n">
        <v>46204.8063773148</v>
      </c>
      <c r="C7" s="37" t="s">
        <v>320</v>
      </c>
      <c r="D7" s="37" t="s">
        <v>330</v>
      </c>
      <c r="E7" s="37" t="n">
        <v>21044020</v>
      </c>
      <c r="F7" s="37" t="s">
        <v>139</v>
      </c>
      <c r="G7" s="37" t="s">
        <v>198</v>
      </c>
      <c r="H7" s="37" t="s">
        <v>171</v>
      </c>
      <c r="I7" s="37" t="n">
        <v>55</v>
      </c>
      <c r="J7" s="39" t="n">
        <v>739.98</v>
      </c>
      <c r="K7" s="37" t="s">
        <v>322</v>
      </c>
      <c r="L7" s="39" t="n">
        <v>114.69</v>
      </c>
      <c r="M7" s="39" t="n">
        <v>79.81</v>
      </c>
      <c r="N7" s="39" t="n">
        <f aca="false">J7*Resumo!$C$7</f>
        <v>1.47996</v>
      </c>
      <c r="O7" s="39" t="n">
        <f aca="false">J7*Resumo!$C$8</f>
        <v>1.47996</v>
      </c>
      <c r="P7" s="39" t="n">
        <f aca="false">Resumo!$C$10*CEILING(I7/100,1)</f>
        <v>1</v>
      </c>
      <c r="Q7" s="39" t="n">
        <f aca="false">Resumo!$C$9</f>
        <v>11.9</v>
      </c>
      <c r="R7" s="39" t="n">
        <f aca="false">SUM(M7:Q7)*Resumo!$C$11</f>
        <v>5.2618456</v>
      </c>
      <c r="S7" s="39" t="n">
        <f aca="false">SUM(M7:R7)</f>
        <v>100.9317656</v>
      </c>
      <c r="T7" s="39" t="n">
        <f aca="false">S7/(1-Resumo!$C$5)</f>
        <v>114.695188181818</v>
      </c>
      <c r="U7" s="39" t="n">
        <v>112.3</v>
      </c>
      <c r="V7" s="39" t="n">
        <f aca="false">J7*Resumo!$B$6</f>
        <v>0.73998</v>
      </c>
      <c r="W7" s="39" t="n">
        <f aca="false">J7*Resumo!$B$7</f>
        <v>1.47996</v>
      </c>
      <c r="X7" s="39" t="n">
        <f aca="false">Resumo!$B$9</f>
        <v>1</v>
      </c>
      <c r="Y7" s="39" t="n">
        <f aca="false">Resumo!$B$10*CEILING(I7/100,1)</f>
        <v>4.5</v>
      </c>
      <c r="Z7" s="39" t="n">
        <f aca="false">Resumo!$B$12*CEILING(I7,1)</f>
        <v>3.3</v>
      </c>
      <c r="AA7" s="39" t="n">
        <f aca="false">Resumo!$B$13*CEILING(I7,1)</f>
        <v>24.75</v>
      </c>
      <c r="AB7" s="39" t="n">
        <f aca="false">SUM(U7:AA7)</f>
        <v>148.06994</v>
      </c>
      <c r="AC7" s="39" t="n">
        <f aca="false">AB7/(1-Resumo!$B$5)</f>
        <v>168.261295454545</v>
      </c>
      <c r="AD7" s="39" t="n">
        <f aca="false">(AB7-AA7)/(1-Resumo!$B$5)</f>
        <v>140.136295454545</v>
      </c>
      <c r="AE7" s="39" t="n">
        <f aca="false">AC7-T7</f>
        <v>53.5661072727273</v>
      </c>
      <c r="AF7" s="40" t="n">
        <f aca="false">AC7/T7-1</f>
        <v>0.467030118018663</v>
      </c>
      <c r="AG7" s="37" t="str">
        <f aca="false">IF(AC7&lt;T7,"SIM","NÃO")</f>
        <v>NÃO</v>
      </c>
      <c r="AH7" s="37" t="n">
        <v>8</v>
      </c>
      <c r="AI7" s="37" t="n">
        <v>5</v>
      </c>
      <c r="AJ7" s="37" t="s">
        <v>323</v>
      </c>
    </row>
    <row r="8" customFormat="false" ht="15" hidden="false" customHeight="false" outlineLevel="0" collapsed="false">
      <c r="A8" s="37" t="n">
        <v>353198915</v>
      </c>
      <c r="B8" s="38" t="n">
        <v>46204.9109722222</v>
      </c>
      <c r="C8" s="37" t="s">
        <v>320</v>
      </c>
      <c r="D8" s="37" t="s">
        <v>331</v>
      </c>
      <c r="E8" s="37" t="n">
        <v>28025537</v>
      </c>
      <c r="F8" s="37" t="s">
        <v>144</v>
      </c>
      <c r="G8" s="37" t="s">
        <v>201</v>
      </c>
      <c r="H8" s="37" t="s">
        <v>168</v>
      </c>
      <c r="I8" s="37" t="n">
        <v>35</v>
      </c>
      <c r="J8" s="39" t="n">
        <v>459.99</v>
      </c>
      <c r="K8" s="37" t="s">
        <v>322</v>
      </c>
      <c r="L8" s="39" t="n">
        <v>109.39</v>
      </c>
      <c r="M8" s="39" t="n">
        <v>76.5</v>
      </c>
      <c r="N8" s="39" t="n">
        <f aca="false">J8*Resumo!$C$7</f>
        <v>0.91998</v>
      </c>
      <c r="O8" s="39" t="n">
        <f aca="false">J8*Resumo!$C$8</f>
        <v>0.91998</v>
      </c>
      <c r="P8" s="39" t="n">
        <f aca="false">Resumo!$C$10*CEILING(I8/100,1)</f>
        <v>1</v>
      </c>
      <c r="Q8" s="39" t="n">
        <f aca="false">Resumo!$C$9</f>
        <v>11.9</v>
      </c>
      <c r="R8" s="39" t="n">
        <f aca="false">SUM(M8:Q8)*Resumo!$C$11</f>
        <v>5.0181978</v>
      </c>
      <c r="S8" s="39" t="n">
        <f aca="false">SUM(M8:R8)</f>
        <v>96.2581578</v>
      </c>
      <c r="T8" s="39" t="n">
        <f aca="false">S8/(1-Resumo!$C$5)</f>
        <v>109.384270227273</v>
      </c>
      <c r="U8" s="39" t="n">
        <v>138.29</v>
      </c>
      <c r="V8" s="39" t="n">
        <f aca="false">J8*Resumo!$B$6</f>
        <v>0.45999</v>
      </c>
      <c r="W8" s="39" t="n">
        <f aca="false">J8*Resumo!$B$7</f>
        <v>0.91998</v>
      </c>
      <c r="X8" s="39" t="n">
        <f aca="false">Resumo!$B$9</f>
        <v>1</v>
      </c>
      <c r="Y8" s="39" t="n">
        <f aca="false">Resumo!$B$10*CEILING(I8/100,1)</f>
        <v>4.5</v>
      </c>
      <c r="Z8" s="39" t="n">
        <f aca="false">Resumo!$B$12*CEILING(I8,1)</f>
        <v>2.1</v>
      </c>
      <c r="AA8" s="39" t="n">
        <f aca="false">Resumo!$B$13*CEILING(I8,1)</f>
        <v>15.75</v>
      </c>
      <c r="AB8" s="39" t="n">
        <f aca="false">SUM(U8:AA8)</f>
        <v>163.01997</v>
      </c>
      <c r="AC8" s="39" t="n">
        <f aca="false">AB8/(1-Resumo!$B$5)</f>
        <v>185.249965909091</v>
      </c>
      <c r="AD8" s="39" t="n">
        <f aca="false">(AB8-AA8)/(1-Resumo!$B$5)</f>
        <v>167.352238636364</v>
      </c>
      <c r="AE8" s="39" t="n">
        <f aca="false">AC8-T8</f>
        <v>75.8656956818182</v>
      </c>
      <c r="AF8" s="40" t="n">
        <f aca="false">AC8/T8-1</f>
        <v>0.693570433154498</v>
      </c>
      <c r="AG8" s="37" t="str">
        <f aca="false">IF(AC8&lt;T8,"SIM","NÃO")</f>
        <v>NÃO</v>
      </c>
      <c r="AH8" s="37" t="n">
        <v>13</v>
      </c>
      <c r="AI8" s="37" t="n">
        <v>11</v>
      </c>
      <c r="AJ8" s="37" t="s">
        <v>323</v>
      </c>
    </row>
    <row r="9" customFormat="false" ht="15" hidden="false" customHeight="false" outlineLevel="0" collapsed="false">
      <c r="A9" s="37" t="n">
        <v>353403729</v>
      </c>
      <c r="B9" s="38" t="n">
        <v>46205.4576736111</v>
      </c>
      <c r="C9" s="37" t="s">
        <v>320</v>
      </c>
      <c r="D9" s="37" t="s">
        <v>332</v>
      </c>
      <c r="E9" s="37" t="n">
        <v>25555570</v>
      </c>
      <c r="F9" s="37" t="s">
        <v>147</v>
      </c>
      <c r="G9" s="37" t="s">
        <v>207</v>
      </c>
      <c r="H9" s="37" t="s">
        <v>170</v>
      </c>
      <c r="I9" s="37" t="n">
        <v>46.8</v>
      </c>
      <c r="J9" s="39" t="n">
        <v>556.99</v>
      </c>
      <c r="K9" s="37" t="s">
        <v>322</v>
      </c>
      <c r="L9" s="39" t="n">
        <v>116.74</v>
      </c>
      <c r="M9" s="39" t="n">
        <v>82.25</v>
      </c>
      <c r="N9" s="39" t="n">
        <f aca="false">J9*Resumo!$C$7</f>
        <v>1.11398</v>
      </c>
      <c r="O9" s="39" t="n">
        <f aca="false">J9*Resumo!$C$8</f>
        <v>1.11398</v>
      </c>
      <c r="P9" s="39" t="n">
        <f aca="false">Resumo!$C$10*CEILING(I9/100,1)</f>
        <v>1</v>
      </c>
      <c r="Q9" s="39" t="n">
        <f aca="false">Resumo!$C$9</f>
        <v>11.9</v>
      </c>
      <c r="R9" s="39" t="n">
        <f aca="false">SUM(M9:Q9)*Resumo!$C$11</f>
        <v>5.3557878</v>
      </c>
      <c r="S9" s="39" t="n">
        <f aca="false">SUM(M9:R9)</f>
        <v>102.7337478</v>
      </c>
      <c r="T9" s="39" t="n">
        <f aca="false">S9/(1-Resumo!$C$5)</f>
        <v>116.742895227273</v>
      </c>
      <c r="U9" s="39" t="n">
        <v>93.97</v>
      </c>
      <c r="V9" s="39" t="n">
        <f aca="false">J9*Resumo!$B$6</f>
        <v>0.55699</v>
      </c>
      <c r="W9" s="39" t="n">
        <f aca="false">J9*Resumo!$B$7</f>
        <v>1.11398</v>
      </c>
      <c r="X9" s="39" t="n">
        <f aca="false">Resumo!$B$9</f>
        <v>1</v>
      </c>
      <c r="Y9" s="39" t="n">
        <f aca="false">Resumo!$B$10*CEILING(I9/100,1)</f>
        <v>4.5</v>
      </c>
      <c r="Z9" s="39" t="n">
        <f aca="false">Resumo!$B$12*CEILING(I9,1)</f>
        <v>2.82</v>
      </c>
      <c r="AA9" s="39" t="n">
        <f aca="false">Resumo!$B$13*CEILING(I9,1)</f>
        <v>21.15</v>
      </c>
      <c r="AB9" s="39" t="n">
        <f aca="false">SUM(U9:AA9)</f>
        <v>125.11097</v>
      </c>
      <c r="AC9" s="39" t="n">
        <f aca="false">AB9/(1-Resumo!$B$5)</f>
        <v>142.171556818182</v>
      </c>
      <c r="AD9" s="39" t="n">
        <f aca="false">(AB9-AA9)/(1-Resumo!$B$5)</f>
        <v>118.137465909091</v>
      </c>
      <c r="AE9" s="39" t="n">
        <f aca="false">AC9-T9</f>
        <v>25.4286615909091</v>
      </c>
      <c r="AF9" s="40" t="n">
        <f aca="false">AC9/T9-1</f>
        <v>0.217817637136762</v>
      </c>
      <c r="AG9" s="37" t="str">
        <f aca="false">IF(AC9&lt;T9,"SIM","NÃO")</f>
        <v>NÃO</v>
      </c>
      <c r="AH9" s="37" t="n">
        <v>10</v>
      </c>
      <c r="AI9" s="37" t="n">
        <v>5</v>
      </c>
      <c r="AJ9" s="37" t="s">
        <v>323</v>
      </c>
    </row>
    <row r="10" customFormat="false" ht="15" hidden="false" customHeight="false" outlineLevel="0" collapsed="false">
      <c r="A10" s="37" t="n">
        <v>353405224</v>
      </c>
      <c r="B10" s="38" t="n">
        <v>46205.4605902778</v>
      </c>
      <c r="C10" s="37" t="s">
        <v>320</v>
      </c>
      <c r="D10" s="37" t="s">
        <v>333</v>
      </c>
      <c r="E10" s="37" t="n">
        <v>25947790</v>
      </c>
      <c r="F10" s="37" t="s">
        <v>220</v>
      </c>
      <c r="G10" s="37" t="s">
        <v>201</v>
      </c>
      <c r="H10" s="37" t="s">
        <v>170</v>
      </c>
      <c r="I10" s="37" t="n">
        <v>44.5</v>
      </c>
      <c r="J10" s="39" t="n">
        <v>735.99</v>
      </c>
      <c r="K10" s="37" t="s">
        <v>322</v>
      </c>
      <c r="L10" s="39" t="n">
        <v>131.68</v>
      </c>
      <c r="M10" s="39" t="n">
        <v>94</v>
      </c>
      <c r="N10" s="39" t="n">
        <f aca="false">J10*Resumo!$C$7</f>
        <v>1.47198</v>
      </c>
      <c r="O10" s="39" t="n">
        <f aca="false">J10*Resumo!$C$8</f>
        <v>1.47198</v>
      </c>
      <c r="P10" s="39" t="n">
        <f aca="false">Resumo!$C$10*CEILING(I10/100,1)</f>
        <v>1</v>
      </c>
      <c r="Q10" s="39" t="n">
        <f aca="false">Resumo!$C$9</f>
        <v>11.9</v>
      </c>
      <c r="R10" s="39" t="n">
        <f aca="false">SUM(M10:Q10)*Resumo!$C$11</f>
        <v>6.0414178</v>
      </c>
      <c r="S10" s="39" t="n">
        <f aca="false">SUM(M10:R10)</f>
        <v>115.8853778</v>
      </c>
      <c r="T10" s="39" t="n">
        <f aca="false">S10/(1-Resumo!$C$5)</f>
        <v>131.687929318182</v>
      </c>
      <c r="U10" s="39" t="n">
        <v>117.23</v>
      </c>
      <c r="V10" s="39" t="n">
        <f aca="false">J10*Resumo!$B$6</f>
        <v>0.73599</v>
      </c>
      <c r="W10" s="39" t="n">
        <f aca="false">J10*Resumo!$B$7</f>
        <v>1.47198</v>
      </c>
      <c r="X10" s="39" t="n">
        <f aca="false">Resumo!$B$9</f>
        <v>1</v>
      </c>
      <c r="Y10" s="39" t="n">
        <f aca="false">Resumo!$B$10*CEILING(I10/100,1)</f>
        <v>4.5</v>
      </c>
      <c r="Z10" s="39" t="n">
        <f aca="false">Resumo!$B$12*CEILING(I10,1)</f>
        <v>2.7</v>
      </c>
      <c r="AA10" s="39" t="n">
        <f aca="false">Resumo!$B$13*CEILING(I10,1)</f>
        <v>20.25</v>
      </c>
      <c r="AB10" s="39" t="n">
        <f aca="false">SUM(U10:AA10)</f>
        <v>147.88797</v>
      </c>
      <c r="AC10" s="39" t="n">
        <f aca="false">AB10/(1-Resumo!$B$5)</f>
        <v>168.054511363636</v>
      </c>
      <c r="AD10" s="39" t="n">
        <f aca="false">(AB10-AA10)/(1-Resumo!$B$5)</f>
        <v>145.043147727273</v>
      </c>
      <c r="AE10" s="39" t="n">
        <f aca="false">AC10-T10</f>
        <v>36.3665820454545</v>
      </c>
      <c r="AF10" s="40" t="n">
        <f aca="false">AC10/T10-1</f>
        <v>0.276157292727918</v>
      </c>
      <c r="AG10" s="37" t="str">
        <f aca="false">IF(AC10&lt;T10,"SIM","NÃO")</f>
        <v>NÃO</v>
      </c>
      <c r="AH10" s="37" t="n">
        <v>13</v>
      </c>
      <c r="AI10" s="37" t="n">
        <v>6</v>
      </c>
      <c r="AJ10" s="37" t="s">
        <v>327</v>
      </c>
    </row>
    <row r="11" customFormat="false" ht="15" hidden="false" customHeight="false" outlineLevel="0" collapsed="false">
      <c r="A11" s="37" t="n">
        <v>353490842</v>
      </c>
      <c r="B11" s="38" t="n">
        <v>46205.6204976852</v>
      </c>
      <c r="C11" s="37" t="s">
        <v>320</v>
      </c>
      <c r="D11" s="37" t="s">
        <v>334</v>
      </c>
      <c r="E11" s="37" t="n">
        <v>22790725</v>
      </c>
      <c r="F11" s="37" t="s">
        <v>139</v>
      </c>
      <c r="G11" s="37" t="s">
        <v>198</v>
      </c>
      <c r="H11" s="37" t="s">
        <v>168</v>
      </c>
      <c r="I11" s="37" t="n">
        <v>29</v>
      </c>
      <c r="J11" s="39" t="n">
        <v>339.99</v>
      </c>
      <c r="K11" s="37" t="s">
        <v>322</v>
      </c>
      <c r="L11" s="39" t="n">
        <v>81.95</v>
      </c>
      <c r="M11" s="39" t="n">
        <v>54.1</v>
      </c>
      <c r="N11" s="39" t="n">
        <f aca="false">J11*Resumo!$C$7</f>
        <v>0.67998</v>
      </c>
      <c r="O11" s="39" t="n">
        <f aca="false">J11*Resumo!$C$8</f>
        <v>0.67998</v>
      </c>
      <c r="P11" s="39" t="n">
        <f aca="false">Resumo!$C$10*CEILING(I11/100,1)</f>
        <v>1</v>
      </c>
      <c r="Q11" s="39" t="n">
        <f aca="false">Resumo!$C$9</f>
        <v>11.9</v>
      </c>
      <c r="R11" s="39" t="n">
        <f aca="false">SUM(M11:Q11)*Resumo!$C$11</f>
        <v>3.7597978</v>
      </c>
      <c r="S11" s="39" t="n">
        <f aca="false">SUM(M11:R11)</f>
        <v>72.1197578</v>
      </c>
      <c r="T11" s="39" t="n">
        <f aca="false">S11/(1-Resumo!$C$5)</f>
        <v>81.9542702272727</v>
      </c>
      <c r="U11" s="39" t="n">
        <v>82.21</v>
      </c>
      <c r="V11" s="39" t="n">
        <f aca="false">J11*Resumo!$B$6</f>
        <v>0.33999</v>
      </c>
      <c r="W11" s="39" t="n">
        <f aca="false">J11*Resumo!$B$7</f>
        <v>0.67998</v>
      </c>
      <c r="X11" s="39" t="n">
        <f aca="false">Resumo!$B$9</f>
        <v>1</v>
      </c>
      <c r="Y11" s="39" t="n">
        <f aca="false">Resumo!$B$10*CEILING(I11/100,1)</f>
        <v>4.5</v>
      </c>
      <c r="Z11" s="39" t="n">
        <f aca="false">Resumo!$B$12*CEILING(I11,1)</f>
        <v>1.74</v>
      </c>
      <c r="AA11" s="39" t="n">
        <f aca="false">Resumo!$B$13*CEILING(I11,1)</f>
        <v>13.05</v>
      </c>
      <c r="AB11" s="39" t="n">
        <f aca="false">SUM(U11:AA11)</f>
        <v>103.51997</v>
      </c>
      <c r="AC11" s="39" t="n">
        <f aca="false">AB11/(1-Resumo!$B$5)</f>
        <v>117.636329545455</v>
      </c>
      <c r="AD11" s="39" t="n">
        <f aca="false">(AB11-AA11)/(1-Resumo!$B$5)</f>
        <v>102.806784090909</v>
      </c>
      <c r="AE11" s="39" t="n">
        <f aca="false">AC11-T11</f>
        <v>35.6820593181818</v>
      </c>
      <c r="AF11" s="40" t="n">
        <f aca="false">AC11/T11-1</f>
        <v>0.43538987314791</v>
      </c>
      <c r="AG11" s="37" t="str">
        <f aca="false">IF(AC11&lt;T11,"SIM","NÃO")</f>
        <v>NÃO</v>
      </c>
      <c r="AH11" s="37" t="n">
        <v>8</v>
      </c>
      <c r="AI11" s="37" t="n">
        <v>5</v>
      </c>
      <c r="AJ11" s="37" t="s">
        <v>323</v>
      </c>
    </row>
    <row r="12" customFormat="false" ht="15" hidden="false" customHeight="false" outlineLevel="0" collapsed="false">
      <c r="A12" s="37" t="n">
        <v>353510997</v>
      </c>
      <c r="B12" s="38" t="n">
        <v>46205.661087963</v>
      </c>
      <c r="C12" s="37" t="s">
        <v>320</v>
      </c>
      <c r="D12" s="37" t="s">
        <v>335</v>
      </c>
      <c r="E12" s="37" t="n">
        <v>25811005</v>
      </c>
      <c r="F12" s="37" t="s">
        <v>214</v>
      </c>
      <c r="G12" s="37" t="s">
        <v>201</v>
      </c>
      <c r="H12" s="37" t="s">
        <v>170</v>
      </c>
      <c r="I12" s="37" t="n">
        <v>48.3</v>
      </c>
      <c r="J12" s="39" t="n">
        <v>459.99</v>
      </c>
      <c r="K12" s="37" t="s">
        <v>322</v>
      </c>
      <c r="L12" s="39" t="n">
        <v>130.36</v>
      </c>
      <c r="M12" s="39" t="n">
        <v>94</v>
      </c>
      <c r="N12" s="39" t="n">
        <f aca="false">J12*Resumo!$C$7</f>
        <v>0.91998</v>
      </c>
      <c r="O12" s="39" t="n">
        <f aca="false">J12*Resumo!$C$8</f>
        <v>0.91998</v>
      </c>
      <c r="P12" s="39" t="n">
        <f aca="false">Resumo!$C$10*CEILING(I12/100,1)</f>
        <v>1</v>
      </c>
      <c r="Q12" s="39" t="n">
        <f aca="false">Resumo!$C$9</f>
        <v>11.9</v>
      </c>
      <c r="R12" s="39" t="n">
        <f aca="false">SUM(M12:Q12)*Resumo!$C$11</f>
        <v>5.9806978</v>
      </c>
      <c r="S12" s="39" t="n">
        <f aca="false">SUM(M12:R12)</f>
        <v>114.7206578</v>
      </c>
      <c r="T12" s="39" t="n">
        <f aca="false">S12/(1-Resumo!$C$5)</f>
        <v>130.364383863636</v>
      </c>
      <c r="U12" s="39" t="n">
        <v>124.38</v>
      </c>
      <c r="V12" s="39" t="n">
        <f aca="false">J12*Resumo!$B$6</f>
        <v>0.45999</v>
      </c>
      <c r="W12" s="39" t="n">
        <f aca="false">J12*Resumo!$B$7</f>
        <v>0.91998</v>
      </c>
      <c r="X12" s="39" t="n">
        <f aca="false">Resumo!$B$9</f>
        <v>1</v>
      </c>
      <c r="Y12" s="39" t="n">
        <f aca="false">Resumo!$B$10*CEILING(I12/100,1)</f>
        <v>4.5</v>
      </c>
      <c r="Z12" s="39" t="n">
        <f aca="false">Resumo!$B$12*CEILING(I12,1)</f>
        <v>2.94</v>
      </c>
      <c r="AA12" s="39" t="n">
        <f aca="false">Resumo!$B$13*CEILING(I12,1)</f>
        <v>22.05</v>
      </c>
      <c r="AB12" s="39" t="n">
        <f aca="false">SUM(U12:AA12)</f>
        <v>156.24997</v>
      </c>
      <c r="AC12" s="39" t="n">
        <f aca="false">AB12/(1-Resumo!$B$5)</f>
        <v>177.556784090909</v>
      </c>
      <c r="AD12" s="39" t="n">
        <f aca="false">(AB12-AA12)/(1-Resumo!$B$5)</f>
        <v>152.499965909091</v>
      </c>
      <c r="AE12" s="39" t="n">
        <f aca="false">AC12-T12</f>
        <v>47.1924002272727</v>
      </c>
      <c r="AF12" s="40" t="n">
        <f aca="false">AC12/T12-1</f>
        <v>0.362003783768402</v>
      </c>
      <c r="AG12" s="37" t="str">
        <f aca="false">IF(AC12&lt;T12,"SIM","NÃO")</f>
        <v>NÃO</v>
      </c>
      <c r="AH12" s="37" t="n">
        <v>13</v>
      </c>
      <c r="AI12" s="37" t="n">
        <v>8</v>
      </c>
      <c r="AJ12" s="37" t="s">
        <v>327</v>
      </c>
    </row>
    <row r="13" customFormat="false" ht="15" hidden="false" customHeight="false" outlineLevel="0" collapsed="false">
      <c r="A13" s="37" t="n">
        <v>353586941</v>
      </c>
      <c r="B13" s="38" t="n">
        <v>46205.8112847222</v>
      </c>
      <c r="C13" s="37" t="s">
        <v>320</v>
      </c>
      <c r="D13" s="37" t="s">
        <v>336</v>
      </c>
      <c r="E13" s="37" t="n">
        <v>24467575</v>
      </c>
      <c r="F13" s="37" t="s">
        <v>140</v>
      </c>
      <c r="G13" s="37" t="s">
        <v>207</v>
      </c>
      <c r="H13" s="37" t="s">
        <v>169</v>
      </c>
      <c r="I13" s="37" t="n">
        <v>40</v>
      </c>
      <c r="J13" s="39" t="n">
        <v>599.99</v>
      </c>
      <c r="K13" s="37" t="s">
        <v>322</v>
      </c>
      <c r="L13" s="39" t="n">
        <v>113.83</v>
      </c>
      <c r="M13" s="39" t="n">
        <v>79.65</v>
      </c>
      <c r="N13" s="39" t="n">
        <f aca="false">J13*Resumo!$C$7</f>
        <v>1.19998</v>
      </c>
      <c r="O13" s="39" t="n">
        <f aca="false">J13*Resumo!$C$8</f>
        <v>1.19998</v>
      </c>
      <c r="P13" s="39" t="n">
        <f aca="false">Resumo!$C$10*CEILING(I13/100,1)</f>
        <v>1</v>
      </c>
      <c r="Q13" s="39" t="n">
        <f aca="false">Resumo!$C$9</f>
        <v>11.9</v>
      </c>
      <c r="R13" s="39" t="n">
        <f aca="false">SUM(M13:Q13)*Resumo!$C$11</f>
        <v>5.2222478</v>
      </c>
      <c r="S13" s="39" t="n">
        <f aca="false">SUM(M13:R13)</f>
        <v>100.1722078</v>
      </c>
      <c r="T13" s="39" t="n">
        <f aca="false">S13/(1-Resumo!$C$5)</f>
        <v>113.832054318182</v>
      </c>
      <c r="U13" s="39" t="n">
        <v>114.95</v>
      </c>
      <c r="V13" s="39" t="n">
        <f aca="false">J13*Resumo!$B$6</f>
        <v>0.59999</v>
      </c>
      <c r="W13" s="39" t="n">
        <f aca="false">J13*Resumo!$B$7</f>
        <v>1.19998</v>
      </c>
      <c r="X13" s="39" t="n">
        <f aca="false">Resumo!$B$9</f>
        <v>1</v>
      </c>
      <c r="Y13" s="39" t="n">
        <f aca="false">Resumo!$B$10*CEILING(I13/100,1)</f>
        <v>4.5</v>
      </c>
      <c r="Z13" s="39" t="n">
        <f aca="false">Resumo!$B$12*CEILING(I13,1)</f>
        <v>2.4</v>
      </c>
      <c r="AA13" s="39" t="n">
        <f aca="false">Resumo!$B$13*CEILING(I13,1)</f>
        <v>18</v>
      </c>
      <c r="AB13" s="39" t="n">
        <f aca="false">SUM(U13:AA13)</f>
        <v>142.64997</v>
      </c>
      <c r="AC13" s="39" t="n">
        <f aca="false">AB13/(1-Resumo!$B$5)</f>
        <v>162.102238636364</v>
      </c>
      <c r="AD13" s="39" t="n">
        <f aca="false">(AB13-AA13)/(1-Resumo!$B$5)</f>
        <v>141.647693181818</v>
      </c>
      <c r="AE13" s="39" t="n">
        <f aca="false">AC13-T13</f>
        <v>48.2701843181818</v>
      </c>
      <c r="AF13" s="40" t="n">
        <f aca="false">AC13/T13-1</f>
        <v>0.424047379337086</v>
      </c>
      <c r="AG13" s="37" t="str">
        <f aca="false">IF(AC13&lt;T13,"SIM","NÃO")</f>
        <v>NÃO</v>
      </c>
      <c r="AH13" s="37" t="n">
        <v>10</v>
      </c>
      <c r="AI13" s="37" t="n">
        <v>7</v>
      </c>
      <c r="AJ13" s="37" t="s">
        <v>323</v>
      </c>
    </row>
    <row r="14" customFormat="false" ht="15" hidden="false" customHeight="false" outlineLevel="0" collapsed="false">
      <c r="A14" s="37" t="n">
        <v>353747011</v>
      </c>
      <c r="B14" s="38" t="n">
        <v>46206.297962963</v>
      </c>
      <c r="C14" s="37" t="s">
        <v>320</v>
      </c>
      <c r="D14" s="37" t="s">
        <v>337</v>
      </c>
      <c r="E14" s="37" t="n">
        <v>26116340</v>
      </c>
      <c r="F14" s="37" t="s">
        <v>145</v>
      </c>
      <c r="G14" s="37" t="s">
        <v>207</v>
      </c>
      <c r="H14" s="37" t="s">
        <v>170</v>
      </c>
      <c r="I14" s="37" t="n">
        <v>45.3</v>
      </c>
      <c r="J14" s="39" t="n">
        <v>699.99</v>
      </c>
      <c r="K14" s="37" t="s">
        <v>322</v>
      </c>
      <c r="L14" s="39" t="n">
        <v>117.43</v>
      </c>
      <c r="M14" s="39" t="n">
        <v>82.25</v>
      </c>
      <c r="N14" s="39" t="n">
        <f aca="false">J14*Resumo!$C$7</f>
        <v>1.39998</v>
      </c>
      <c r="O14" s="39" t="n">
        <f aca="false">J14*Resumo!$C$8</f>
        <v>1.39998</v>
      </c>
      <c r="P14" s="39" t="n">
        <f aca="false">Resumo!$C$10*CEILING(I14/100,1)</f>
        <v>1</v>
      </c>
      <c r="Q14" s="39" t="n">
        <f aca="false">Resumo!$C$9</f>
        <v>11.9</v>
      </c>
      <c r="R14" s="39" t="n">
        <f aca="false">SUM(M14:Q14)*Resumo!$C$11</f>
        <v>5.3872478</v>
      </c>
      <c r="S14" s="39" t="n">
        <f aca="false">SUM(M14:R14)</f>
        <v>103.3372078</v>
      </c>
      <c r="T14" s="39" t="n">
        <f aca="false">S14/(1-Resumo!$C$5)</f>
        <v>117.428645227273</v>
      </c>
      <c r="U14" s="39" t="n">
        <v>93.97</v>
      </c>
      <c r="V14" s="39" t="n">
        <f aca="false">J14*Resumo!$B$6</f>
        <v>0.69999</v>
      </c>
      <c r="W14" s="39" t="n">
        <f aca="false">J14*Resumo!$B$7</f>
        <v>1.39998</v>
      </c>
      <c r="X14" s="39" t="n">
        <f aca="false">Resumo!$B$9</f>
        <v>1</v>
      </c>
      <c r="Y14" s="39" t="n">
        <f aca="false">Resumo!$B$10*CEILING(I14/100,1)</f>
        <v>4.5</v>
      </c>
      <c r="Z14" s="39" t="n">
        <f aca="false">Resumo!$B$12*CEILING(I14,1)</f>
        <v>2.76</v>
      </c>
      <c r="AA14" s="39" t="n">
        <f aca="false">Resumo!$B$13*CEILING(I14,1)</f>
        <v>20.7</v>
      </c>
      <c r="AB14" s="39" t="n">
        <f aca="false">SUM(U14:AA14)</f>
        <v>125.02997</v>
      </c>
      <c r="AC14" s="39" t="n">
        <f aca="false">AB14/(1-Resumo!$B$5)</f>
        <v>142.079511363636</v>
      </c>
      <c r="AD14" s="39" t="n">
        <f aca="false">(AB14-AA14)/(1-Resumo!$B$5)</f>
        <v>118.556784090909</v>
      </c>
      <c r="AE14" s="39" t="n">
        <f aca="false">AC14-T14</f>
        <v>24.6508661363636</v>
      </c>
      <c r="AF14" s="40" t="n">
        <f aca="false">AC14/T14-1</f>
        <v>0.209922085779446</v>
      </c>
      <c r="AG14" s="37" t="str">
        <f aca="false">IF(AC14&lt;T14,"SIM","NÃO")</f>
        <v>NÃO</v>
      </c>
      <c r="AH14" s="37" t="n">
        <v>10</v>
      </c>
      <c r="AI14" s="37" t="n">
        <v>5</v>
      </c>
      <c r="AJ14" s="37" t="s">
        <v>323</v>
      </c>
    </row>
    <row r="15" customFormat="false" ht="15" hidden="false" customHeight="false" outlineLevel="0" collapsed="false">
      <c r="A15" s="37" t="n">
        <v>353787271</v>
      </c>
      <c r="B15" s="38" t="n">
        <v>46206.4154398148</v>
      </c>
      <c r="C15" s="37" t="s">
        <v>325</v>
      </c>
      <c r="D15" s="37" t="s">
        <v>338</v>
      </c>
      <c r="E15" s="37" t="n">
        <v>24350042</v>
      </c>
      <c r="F15" s="37" t="s">
        <v>143</v>
      </c>
      <c r="G15" s="37" t="s">
        <v>207</v>
      </c>
      <c r="H15" s="37" t="s">
        <v>172</v>
      </c>
      <c r="I15" s="37" t="n">
        <v>69</v>
      </c>
      <c r="J15" s="39" t="n">
        <v>640.19</v>
      </c>
      <c r="K15" s="37" t="s">
        <v>322</v>
      </c>
      <c r="L15" s="39" t="n">
        <v>139.5</v>
      </c>
      <c r="M15" s="39" t="n">
        <v>100.9</v>
      </c>
      <c r="N15" s="39" t="n">
        <f aca="false">J15*Resumo!$C$7</f>
        <v>1.28038</v>
      </c>
      <c r="O15" s="39" t="n">
        <f aca="false">J15*Resumo!$C$8</f>
        <v>1.28038</v>
      </c>
      <c r="P15" s="39" t="n">
        <f aca="false">Resumo!$C$10*CEILING(I15/100,1)</f>
        <v>1</v>
      </c>
      <c r="Q15" s="39" t="n">
        <f aca="false">Resumo!$C$9</f>
        <v>11.9</v>
      </c>
      <c r="R15" s="39" t="n">
        <f aca="false">SUM(M15:Q15)*Resumo!$C$11</f>
        <v>6.3998418</v>
      </c>
      <c r="S15" s="39" t="n">
        <f aca="false">SUM(M15:R15)</f>
        <v>122.7606018</v>
      </c>
      <c r="T15" s="39" t="n">
        <f aca="false">S15/(1-Resumo!$C$5)</f>
        <v>139.500683863636</v>
      </c>
      <c r="U15" s="39" t="n">
        <v>149.5</v>
      </c>
      <c r="V15" s="39" t="n">
        <f aca="false">J15*Resumo!$B$6</f>
        <v>0.64019</v>
      </c>
      <c r="W15" s="39" t="n">
        <f aca="false">J15*Resumo!$B$7</f>
        <v>1.28038</v>
      </c>
      <c r="X15" s="39" t="n">
        <f aca="false">Resumo!$B$9</f>
        <v>1</v>
      </c>
      <c r="Y15" s="39" t="n">
        <f aca="false">Resumo!$B$10*CEILING(I15/100,1)</f>
        <v>4.5</v>
      </c>
      <c r="Z15" s="39" t="n">
        <f aca="false">Resumo!$B$12*CEILING(I15,1)</f>
        <v>4.14</v>
      </c>
      <c r="AA15" s="39" t="n">
        <f aca="false">Resumo!$B$13*CEILING(I15,1)</f>
        <v>31.05</v>
      </c>
      <c r="AB15" s="39" t="n">
        <f aca="false">SUM(U15:AA15)</f>
        <v>192.11057</v>
      </c>
      <c r="AC15" s="39" t="n">
        <f aca="false">AB15/(1-Resumo!$B$5)</f>
        <v>218.307465909091</v>
      </c>
      <c r="AD15" s="39" t="n">
        <f aca="false">(AB15-AA15)/(1-Resumo!$B$5)</f>
        <v>183.023375</v>
      </c>
      <c r="AE15" s="39" t="n">
        <f aca="false">AC15-T15</f>
        <v>78.8067820454546</v>
      </c>
      <c r="AF15" s="40" t="n">
        <f aca="false">AC15/T15-1</f>
        <v>0.564920399404559</v>
      </c>
      <c r="AG15" s="37" t="str">
        <f aca="false">IF(AC15&lt;T15,"SIM","NÃO")</f>
        <v>NÃO</v>
      </c>
      <c r="AH15" s="37" t="n">
        <v>10</v>
      </c>
      <c r="AI15" s="37" t="n">
        <v>7</v>
      </c>
      <c r="AJ15" s="37" t="s">
        <v>323</v>
      </c>
    </row>
    <row r="16" customFormat="false" ht="15" hidden="false" customHeight="false" outlineLevel="0" collapsed="false">
      <c r="A16" s="37" t="n">
        <v>353842495</v>
      </c>
      <c r="B16" s="38" t="n">
        <v>46206.5290393519</v>
      </c>
      <c r="C16" s="37" t="s">
        <v>320</v>
      </c>
      <c r="D16" s="37" t="s">
        <v>339</v>
      </c>
      <c r="E16" s="37" t="n">
        <v>25945865</v>
      </c>
      <c r="F16" s="37" t="s">
        <v>220</v>
      </c>
      <c r="G16" s="37" t="s">
        <v>201</v>
      </c>
      <c r="H16" s="37" t="s">
        <v>172</v>
      </c>
      <c r="I16" s="37" t="n">
        <v>69.45</v>
      </c>
      <c r="J16" s="39" t="n">
        <v>849.99</v>
      </c>
      <c r="K16" s="37" t="s">
        <v>322</v>
      </c>
      <c r="L16" s="39" t="n">
        <v>156.09</v>
      </c>
      <c r="M16" s="39" t="n">
        <v>113.9</v>
      </c>
      <c r="N16" s="39" t="n">
        <f aca="false">J16*Resumo!$C$7</f>
        <v>1.69998</v>
      </c>
      <c r="O16" s="39" t="n">
        <f aca="false">J16*Resumo!$C$8</f>
        <v>1.69998</v>
      </c>
      <c r="P16" s="39" t="n">
        <f aca="false">Resumo!$C$10*CEILING(I16/100,1)</f>
        <v>1</v>
      </c>
      <c r="Q16" s="39" t="n">
        <f aca="false">Resumo!$C$9</f>
        <v>11.9</v>
      </c>
      <c r="R16" s="39" t="n">
        <f aca="false">SUM(M16:Q16)*Resumo!$C$11</f>
        <v>7.1609978</v>
      </c>
      <c r="S16" s="39" t="n">
        <f aca="false">SUM(M16:R16)</f>
        <v>137.3609578</v>
      </c>
      <c r="T16" s="39" t="n">
        <f aca="false">S16/(1-Resumo!$C$5)</f>
        <v>156.0919975</v>
      </c>
      <c r="U16" s="39" t="n">
        <v>136.53</v>
      </c>
      <c r="V16" s="39" t="n">
        <f aca="false">J16*Resumo!$B$6</f>
        <v>0.84999</v>
      </c>
      <c r="W16" s="39" t="n">
        <f aca="false">J16*Resumo!$B$7</f>
        <v>1.69998</v>
      </c>
      <c r="X16" s="39" t="n">
        <f aca="false">Resumo!$B$9</f>
        <v>1</v>
      </c>
      <c r="Y16" s="39" t="n">
        <f aca="false">Resumo!$B$10*CEILING(I16/100,1)</f>
        <v>4.5</v>
      </c>
      <c r="Z16" s="39" t="n">
        <f aca="false">Resumo!$B$12*CEILING(I16,1)</f>
        <v>4.2</v>
      </c>
      <c r="AA16" s="39" t="n">
        <f aca="false">Resumo!$B$13*CEILING(I16,1)</f>
        <v>31.5</v>
      </c>
      <c r="AB16" s="39" t="n">
        <f aca="false">SUM(U16:AA16)</f>
        <v>180.27997</v>
      </c>
      <c r="AC16" s="39" t="n">
        <f aca="false">AB16/(1-Resumo!$B$5)</f>
        <v>204.863602272727</v>
      </c>
      <c r="AD16" s="39" t="n">
        <f aca="false">(AB16-AA16)/(1-Resumo!$B$5)</f>
        <v>169.068147727273</v>
      </c>
      <c r="AE16" s="39" t="n">
        <f aca="false">AC16-T16</f>
        <v>48.7716047727273</v>
      </c>
      <c r="AF16" s="40" t="n">
        <f aca="false">AC16/T16-1</f>
        <v>0.312454229261351</v>
      </c>
      <c r="AG16" s="37" t="str">
        <f aca="false">IF(AC16&lt;T16,"SIM","NÃO")</f>
        <v>NÃO</v>
      </c>
      <c r="AH16" s="37" t="n">
        <v>13</v>
      </c>
      <c r="AI16" s="37" t="n">
        <v>6</v>
      </c>
      <c r="AJ16" s="37" t="s">
        <v>327</v>
      </c>
    </row>
    <row r="17" customFormat="false" ht="15" hidden="false" customHeight="false" outlineLevel="0" collapsed="false">
      <c r="A17" s="37" t="n">
        <v>353850359</v>
      </c>
      <c r="B17" s="38" t="n">
        <v>46206.5460532407</v>
      </c>
      <c r="C17" s="37" t="s">
        <v>325</v>
      </c>
      <c r="D17" s="37" t="s">
        <v>340</v>
      </c>
      <c r="E17" s="37" t="n">
        <v>23078415</v>
      </c>
      <c r="F17" s="37" t="s">
        <v>139</v>
      </c>
      <c r="G17" s="37" t="s">
        <v>198</v>
      </c>
      <c r="H17" s="37" t="s">
        <v>169</v>
      </c>
      <c r="I17" s="37" t="n">
        <v>35.3</v>
      </c>
      <c r="J17" s="39" t="n">
        <v>529.95</v>
      </c>
      <c r="K17" s="37" t="s">
        <v>322</v>
      </c>
      <c r="L17" s="39" t="n">
        <v>92.4</v>
      </c>
      <c r="M17" s="39" t="n">
        <v>62.05</v>
      </c>
      <c r="N17" s="39" t="n">
        <f aca="false">J17*Resumo!$C$7</f>
        <v>1.0599</v>
      </c>
      <c r="O17" s="39" t="n">
        <f aca="false">J17*Resumo!$C$8</f>
        <v>1.0599</v>
      </c>
      <c r="P17" s="39" t="n">
        <f aca="false">Resumo!$C$10*CEILING(I17/100,1)</f>
        <v>1</v>
      </c>
      <c r="Q17" s="39" t="n">
        <f aca="false">Resumo!$C$9</f>
        <v>11.9</v>
      </c>
      <c r="R17" s="39" t="n">
        <f aca="false">SUM(M17:Q17)*Resumo!$C$11</f>
        <v>4.238839</v>
      </c>
      <c r="S17" s="39" t="n">
        <f aca="false">SUM(M17:R17)</f>
        <v>81.308639</v>
      </c>
      <c r="T17" s="39" t="n">
        <f aca="false">S17/(1-Resumo!$C$5)</f>
        <v>92.3961806818182</v>
      </c>
      <c r="U17" s="39" t="n">
        <v>93.97</v>
      </c>
      <c r="V17" s="39" t="n">
        <f aca="false">J17*Resumo!$B$6</f>
        <v>0.52995</v>
      </c>
      <c r="W17" s="39" t="n">
        <f aca="false">J17*Resumo!$B$7</f>
        <v>1.0599</v>
      </c>
      <c r="X17" s="39" t="n">
        <f aca="false">Resumo!$B$9</f>
        <v>1</v>
      </c>
      <c r="Y17" s="39" t="n">
        <f aca="false">Resumo!$B$10*CEILING(I17/100,1)</f>
        <v>4.5</v>
      </c>
      <c r="Z17" s="39" t="n">
        <f aca="false">Resumo!$B$12*CEILING(I17,1)</f>
        <v>2.16</v>
      </c>
      <c r="AA17" s="39" t="n">
        <f aca="false">Resumo!$B$13*CEILING(I17,1)</f>
        <v>16.2</v>
      </c>
      <c r="AB17" s="39" t="n">
        <f aca="false">SUM(U17:AA17)</f>
        <v>119.41985</v>
      </c>
      <c r="AC17" s="39" t="n">
        <f aca="false">AB17/(1-Resumo!$B$5)</f>
        <v>135.704375</v>
      </c>
      <c r="AD17" s="39" t="n">
        <f aca="false">(AB17-AA17)/(1-Resumo!$B$5)</f>
        <v>117.295284090909</v>
      </c>
      <c r="AE17" s="39" t="n">
        <f aca="false">AC17-T17</f>
        <v>43.3081943181818</v>
      </c>
      <c r="AF17" s="40" t="n">
        <f aca="false">AC17/T17-1</f>
        <v>0.468722776186181</v>
      </c>
      <c r="AG17" s="37" t="str">
        <f aca="false">IF(AC17&lt;T17,"SIM","NÃO")</f>
        <v>NÃO</v>
      </c>
      <c r="AH17" s="37" t="n">
        <v>8</v>
      </c>
      <c r="AI17" s="37" t="n">
        <v>5</v>
      </c>
      <c r="AJ17" s="37" t="s">
        <v>323</v>
      </c>
    </row>
    <row r="18" customFormat="false" ht="15" hidden="false" customHeight="false" outlineLevel="0" collapsed="false">
      <c r="A18" s="37" t="n">
        <v>353962486</v>
      </c>
      <c r="B18" s="38" t="n">
        <v>46206.8274884259</v>
      </c>
      <c r="C18" s="37" t="s">
        <v>341</v>
      </c>
      <c r="D18" s="37" t="s">
        <v>342</v>
      </c>
      <c r="E18" s="37" t="n">
        <v>20785224</v>
      </c>
      <c r="F18" s="37" t="s">
        <v>139</v>
      </c>
      <c r="G18" s="37" t="s">
        <v>198</v>
      </c>
      <c r="H18" s="37" t="s">
        <v>168</v>
      </c>
      <c r="I18" s="37" t="n">
        <v>33.3</v>
      </c>
      <c r="J18" s="39" t="n">
        <v>459.99</v>
      </c>
      <c r="K18" s="37" t="s">
        <v>322</v>
      </c>
      <c r="L18" s="39" t="n">
        <v>82.53</v>
      </c>
      <c r="M18" s="39" t="n">
        <v>54.1</v>
      </c>
      <c r="N18" s="39" t="n">
        <f aca="false">J18*Resumo!$C$7</f>
        <v>0.91998</v>
      </c>
      <c r="O18" s="39" t="n">
        <f aca="false">J18*Resumo!$C$8</f>
        <v>0.91998</v>
      </c>
      <c r="P18" s="39" t="n">
        <f aca="false">Resumo!$C$10*CEILING(I18/100,1)</f>
        <v>1</v>
      </c>
      <c r="Q18" s="39" t="n">
        <f aca="false">Resumo!$C$9</f>
        <v>11.9</v>
      </c>
      <c r="R18" s="39" t="n">
        <f aca="false">SUM(M18:Q18)*Resumo!$C$11</f>
        <v>3.7861978</v>
      </c>
      <c r="S18" s="39" t="n">
        <f aca="false">SUM(M18:R18)</f>
        <v>72.6261578</v>
      </c>
      <c r="T18" s="39" t="n">
        <f aca="false">S18/(1-Resumo!$C$5)</f>
        <v>82.5297247727273</v>
      </c>
      <c r="U18" s="39" t="n">
        <v>82.21</v>
      </c>
      <c r="V18" s="39" t="n">
        <f aca="false">J18*Resumo!$B$6</f>
        <v>0.45999</v>
      </c>
      <c r="W18" s="39" t="n">
        <f aca="false">J18*Resumo!$B$7</f>
        <v>0.91998</v>
      </c>
      <c r="X18" s="39" t="n">
        <f aca="false">Resumo!$B$9</f>
        <v>1</v>
      </c>
      <c r="Y18" s="39" t="n">
        <f aca="false">Resumo!$B$10*CEILING(I18/100,1)</f>
        <v>4.5</v>
      </c>
      <c r="Z18" s="39" t="n">
        <f aca="false">Resumo!$B$12*CEILING(I18,1)</f>
        <v>2.04</v>
      </c>
      <c r="AA18" s="39" t="n">
        <f aca="false">Resumo!$B$13*CEILING(I18,1)</f>
        <v>15.3</v>
      </c>
      <c r="AB18" s="39" t="n">
        <f aca="false">SUM(U18:AA18)</f>
        <v>106.42997</v>
      </c>
      <c r="AC18" s="39" t="n">
        <f aca="false">AB18/(1-Resumo!$B$5)</f>
        <v>120.943147727273</v>
      </c>
      <c r="AD18" s="39" t="n">
        <f aca="false">(AB18-AA18)/(1-Resumo!$B$5)</f>
        <v>103.556784090909</v>
      </c>
      <c r="AE18" s="39" t="n">
        <f aca="false">AC18-T18</f>
        <v>38.4134229545455</v>
      </c>
      <c r="AF18" s="40" t="n">
        <f aca="false">AC18/T18-1</f>
        <v>0.465449546334117</v>
      </c>
      <c r="AG18" s="37" t="str">
        <f aca="false">IF(AC18&lt;T18,"SIM","NÃO")</f>
        <v>NÃO</v>
      </c>
      <c r="AH18" s="37" t="n">
        <v>8</v>
      </c>
      <c r="AI18" s="37" t="n">
        <v>5</v>
      </c>
      <c r="AJ18" s="37" t="s">
        <v>323</v>
      </c>
    </row>
    <row r="19" customFormat="false" ht="15" hidden="false" customHeight="false" outlineLevel="0" collapsed="false">
      <c r="A19" s="37" t="n">
        <v>353996568</v>
      </c>
      <c r="B19" s="38" t="n">
        <v>46206.9037847222</v>
      </c>
      <c r="C19" s="37" t="s">
        <v>320</v>
      </c>
      <c r="D19" s="37" t="s">
        <v>343</v>
      </c>
      <c r="E19" s="37" t="n">
        <v>27948310</v>
      </c>
      <c r="F19" s="37" t="s">
        <v>146</v>
      </c>
      <c r="G19" s="37" t="s">
        <v>201</v>
      </c>
      <c r="H19" s="37" t="s">
        <v>176</v>
      </c>
      <c r="I19" s="37" t="n">
        <v>124.2</v>
      </c>
      <c r="J19" s="39" t="n">
        <v>1699.99</v>
      </c>
      <c r="K19" s="37" t="s">
        <v>322</v>
      </c>
      <c r="L19" s="39" t="n">
        <v>261.43</v>
      </c>
      <c r="M19" s="39" t="n">
        <v>197.37</v>
      </c>
      <c r="N19" s="39" t="n">
        <f aca="false">J19*Resumo!$C$7</f>
        <v>3.39998</v>
      </c>
      <c r="O19" s="39" t="n">
        <f aca="false">J19*Resumo!$C$8</f>
        <v>3.39998</v>
      </c>
      <c r="P19" s="39" t="n">
        <f aca="false">Resumo!$C$10*CEILING(I19/100,1)</f>
        <v>2</v>
      </c>
      <c r="Q19" s="39" t="n">
        <f aca="false">Resumo!$C$9</f>
        <v>11.9</v>
      </c>
      <c r="R19" s="39" t="n">
        <f aca="false">SUM(M19:Q19)*Resumo!$C$11</f>
        <v>11.9938478</v>
      </c>
      <c r="S19" s="39" t="n">
        <f aca="false">SUM(M19:R19)</f>
        <v>230.0638078</v>
      </c>
      <c r="T19" s="39" t="n">
        <f aca="false">S19/(1-Resumo!$C$5)</f>
        <v>261.436145227273</v>
      </c>
      <c r="U19" s="39" t="n">
        <v>264.84</v>
      </c>
      <c r="V19" s="39" t="n">
        <f aca="false">J19*Resumo!$B$6</f>
        <v>1.69999</v>
      </c>
      <c r="W19" s="39" t="n">
        <f aca="false">J19*Resumo!$B$7</f>
        <v>3.39998</v>
      </c>
      <c r="X19" s="39" t="n">
        <f aca="false">Resumo!$B$9</f>
        <v>1</v>
      </c>
      <c r="Y19" s="39" t="n">
        <f aca="false">Resumo!$B$10*CEILING(I19/100,1)</f>
        <v>9</v>
      </c>
      <c r="Z19" s="39" t="n">
        <f aca="false">Resumo!$B$12*CEILING(I19,1)</f>
        <v>7.5</v>
      </c>
      <c r="AA19" s="39" t="n">
        <f aca="false">Resumo!$B$13*CEILING(I19,1)</f>
        <v>56.25</v>
      </c>
      <c r="AB19" s="39" t="n">
        <f aca="false">SUM(U19:AA19)</f>
        <v>343.68997</v>
      </c>
      <c r="AC19" s="39" t="n">
        <f aca="false">AB19/(1-Resumo!$B$5)</f>
        <v>390.556784090909</v>
      </c>
      <c r="AD19" s="39" t="n">
        <f aca="false">(AB19-AA19)/(1-Resumo!$B$5)</f>
        <v>326.636329545455</v>
      </c>
      <c r="AE19" s="39" t="n">
        <f aca="false">AC19-T19</f>
        <v>129.120638863636</v>
      </c>
      <c r="AF19" s="40" t="n">
        <f aca="false">AC19/T19-1</f>
        <v>0.4938897746958</v>
      </c>
      <c r="AG19" s="37" t="str">
        <f aca="false">IF(AC19&lt;T19,"SIM","NÃO")</f>
        <v>NÃO</v>
      </c>
      <c r="AH19" s="37" t="n">
        <v>13</v>
      </c>
      <c r="AI19" s="37" t="n">
        <v>11</v>
      </c>
      <c r="AJ19" s="37" t="s">
        <v>323</v>
      </c>
    </row>
    <row r="20" customFormat="false" ht="15" hidden="false" customHeight="false" outlineLevel="0" collapsed="false">
      <c r="A20" s="37" t="n">
        <v>354004078</v>
      </c>
      <c r="B20" s="38" t="n">
        <v>46206.9302893519</v>
      </c>
      <c r="C20" s="37" t="s">
        <v>341</v>
      </c>
      <c r="D20" s="37" t="s">
        <v>344</v>
      </c>
      <c r="E20" s="37" t="n">
        <v>21361190</v>
      </c>
      <c r="F20" s="37" t="s">
        <v>139</v>
      </c>
      <c r="G20" s="37" t="s">
        <v>198</v>
      </c>
      <c r="H20" s="37" t="s">
        <v>170</v>
      </c>
      <c r="I20" s="37" t="n">
        <v>45.3</v>
      </c>
      <c r="J20" s="39" t="n">
        <v>699.99</v>
      </c>
      <c r="K20" s="37" t="s">
        <v>322</v>
      </c>
      <c r="L20" s="39" t="n">
        <v>103.94</v>
      </c>
      <c r="M20" s="39" t="n">
        <v>71</v>
      </c>
      <c r="N20" s="39" t="n">
        <f aca="false">J20*Resumo!$C$7</f>
        <v>1.39998</v>
      </c>
      <c r="O20" s="39" t="n">
        <f aca="false">J20*Resumo!$C$8</f>
        <v>1.39998</v>
      </c>
      <c r="P20" s="39" t="n">
        <f aca="false">Resumo!$C$10*CEILING(I20/100,1)</f>
        <v>1</v>
      </c>
      <c r="Q20" s="39" t="n">
        <f aca="false">Resumo!$C$9</f>
        <v>11.9</v>
      </c>
      <c r="R20" s="39" t="n">
        <f aca="false">SUM(M20:Q20)*Resumo!$C$11</f>
        <v>4.7684978</v>
      </c>
      <c r="S20" s="39" t="n">
        <f aca="false">SUM(M20:R20)</f>
        <v>91.4684578</v>
      </c>
      <c r="T20" s="39" t="n">
        <f aca="false">S20/(1-Resumo!$C$5)</f>
        <v>103.941429318182</v>
      </c>
      <c r="U20" s="39" t="n">
        <v>93.97</v>
      </c>
      <c r="V20" s="39" t="n">
        <f aca="false">J20*Resumo!$B$6</f>
        <v>0.69999</v>
      </c>
      <c r="W20" s="39" t="n">
        <f aca="false">J20*Resumo!$B$7</f>
        <v>1.39998</v>
      </c>
      <c r="X20" s="39" t="n">
        <f aca="false">Resumo!$B$9</f>
        <v>1</v>
      </c>
      <c r="Y20" s="39" t="n">
        <f aca="false">Resumo!$B$10*CEILING(I20/100,1)</f>
        <v>4.5</v>
      </c>
      <c r="Z20" s="39" t="n">
        <f aca="false">Resumo!$B$12*CEILING(I20,1)</f>
        <v>2.76</v>
      </c>
      <c r="AA20" s="39" t="n">
        <f aca="false">Resumo!$B$13*CEILING(I20,1)</f>
        <v>20.7</v>
      </c>
      <c r="AB20" s="39" t="n">
        <f aca="false">SUM(U20:AA20)</f>
        <v>125.02997</v>
      </c>
      <c r="AC20" s="39" t="n">
        <f aca="false">AB20/(1-Resumo!$B$5)</f>
        <v>142.079511363636</v>
      </c>
      <c r="AD20" s="39" t="n">
        <f aca="false">(AB20-AA20)/(1-Resumo!$B$5)</f>
        <v>118.556784090909</v>
      </c>
      <c r="AE20" s="39" t="n">
        <f aca="false">AC20-T20</f>
        <v>38.1380820454545</v>
      </c>
      <c r="AF20" s="40" t="n">
        <f aca="false">AC20/T20-1</f>
        <v>0.366918968650196</v>
      </c>
      <c r="AG20" s="37" t="str">
        <f aca="false">IF(AC20&lt;T20,"SIM","NÃO")</f>
        <v>NÃO</v>
      </c>
      <c r="AH20" s="37" t="n">
        <v>8</v>
      </c>
      <c r="AI20" s="37" t="n">
        <v>5</v>
      </c>
      <c r="AJ20" s="37" t="s">
        <v>323</v>
      </c>
    </row>
    <row r="21" customFormat="false" ht="15" hidden="false" customHeight="false" outlineLevel="0" collapsed="false">
      <c r="A21" s="37" t="n">
        <v>354009973</v>
      </c>
      <c r="B21" s="38" t="n">
        <v>46206.9387152778</v>
      </c>
      <c r="C21" s="37" t="s">
        <v>320</v>
      </c>
      <c r="D21" s="37" t="s">
        <v>345</v>
      </c>
      <c r="E21" s="37" t="n">
        <v>22050002</v>
      </c>
      <c r="F21" s="37" t="s">
        <v>139</v>
      </c>
      <c r="G21" s="37" t="s">
        <v>198</v>
      </c>
      <c r="H21" s="37" t="s">
        <v>168</v>
      </c>
      <c r="I21" s="37" t="n">
        <v>27.5</v>
      </c>
      <c r="J21" s="39" t="n">
        <v>332.99</v>
      </c>
      <c r="K21" s="37" t="s">
        <v>322</v>
      </c>
      <c r="L21" s="39" t="n">
        <v>81.93</v>
      </c>
      <c r="M21" s="39" t="n">
        <v>54.1</v>
      </c>
      <c r="N21" s="39" t="n">
        <f aca="false">J21*Resumo!$C$7</f>
        <v>0.66598</v>
      </c>
      <c r="O21" s="39" t="n">
        <f aca="false">J21*Resumo!$C$8</f>
        <v>0.66598</v>
      </c>
      <c r="P21" s="39" t="n">
        <f aca="false">Resumo!$C$10*CEILING(I21/100,1)</f>
        <v>1</v>
      </c>
      <c r="Q21" s="39" t="n">
        <f aca="false">Resumo!$C$9</f>
        <v>11.9</v>
      </c>
      <c r="R21" s="39" t="n">
        <f aca="false">SUM(M21:Q21)*Resumo!$C$11</f>
        <v>3.7582578</v>
      </c>
      <c r="S21" s="39" t="n">
        <f aca="false">SUM(M21:R21)</f>
        <v>72.0902178</v>
      </c>
      <c r="T21" s="39" t="n">
        <f aca="false">S21/(1-Resumo!$C$5)</f>
        <v>81.9207020454545</v>
      </c>
      <c r="U21" s="39" t="n">
        <v>82.21</v>
      </c>
      <c r="V21" s="39" t="n">
        <f aca="false">J21*Resumo!$B$6</f>
        <v>0.33299</v>
      </c>
      <c r="W21" s="39" t="n">
        <f aca="false">J21*Resumo!$B$7</f>
        <v>0.66598</v>
      </c>
      <c r="X21" s="39" t="n">
        <f aca="false">Resumo!$B$9</f>
        <v>1</v>
      </c>
      <c r="Y21" s="39" t="n">
        <f aca="false">Resumo!$B$10*CEILING(I21/100,1)</f>
        <v>4.5</v>
      </c>
      <c r="Z21" s="39" t="n">
        <f aca="false">Resumo!$B$12*CEILING(I21,1)</f>
        <v>1.68</v>
      </c>
      <c r="AA21" s="39" t="n">
        <f aca="false">Resumo!$B$13*CEILING(I21,1)</f>
        <v>12.6</v>
      </c>
      <c r="AB21" s="39" t="n">
        <f aca="false">SUM(U21:AA21)</f>
        <v>102.98897</v>
      </c>
      <c r="AC21" s="39" t="n">
        <f aca="false">AB21/(1-Resumo!$B$5)</f>
        <v>117.032920454545</v>
      </c>
      <c r="AD21" s="39" t="n">
        <f aca="false">(AB21-AA21)/(1-Resumo!$B$5)</f>
        <v>102.714738636364</v>
      </c>
      <c r="AE21" s="39" t="n">
        <f aca="false">AC21-T21</f>
        <v>35.1122184090909</v>
      </c>
      <c r="AF21" s="40" t="n">
        <f aca="false">AC21/T21-1</f>
        <v>0.428612274216212</v>
      </c>
      <c r="AG21" s="37" t="str">
        <f aca="false">IF(AC21&lt;T21,"SIM","NÃO")</f>
        <v>NÃO</v>
      </c>
      <c r="AH21" s="37" t="n">
        <v>8</v>
      </c>
      <c r="AI21" s="37" t="n">
        <v>5</v>
      </c>
      <c r="AJ21" s="37" t="s">
        <v>323</v>
      </c>
    </row>
    <row r="22" customFormat="false" ht="15" hidden="false" customHeight="false" outlineLevel="0" collapsed="false">
      <c r="A22" s="37" t="n">
        <v>354011389</v>
      </c>
      <c r="B22" s="38" t="n">
        <v>46206.9400694444</v>
      </c>
      <c r="C22" s="37" t="s">
        <v>346</v>
      </c>
      <c r="D22" s="37" t="s">
        <v>347</v>
      </c>
      <c r="E22" s="37" t="n">
        <v>25530460</v>
      </c>
      <c r="F22" s="37" t="s">
        <v>147</v>
      </c>
      <c r="G22" s="37" t="s">
        <v>207</v>
      </c>
      <c r="H22" s="37" t="s">
        <v>174</v>
      </c>
      <c r="I22" s="37" t="n">
        <v>93.8</v>
      </c>
      <c r="J22" s="39" t="n">
        <v>999.99</v>
      </c>
      <c r="K22" s="37" t="s">
        <v>322</v>
      </c>
      <c r="L22" s="39" t="n">
        <v>173.63</v>
      </c>
      <c r="M22" s="39" t="n">
        <v>127.92</v>
      </c>
      <c r="N22" s="39" t="n">
        <f aca="false">J22*Resumo!$C$7</f>
        <v>1.99998</v>
      </c>
      <c r="O22" s="39" t="n">
        <f aca="false">J22*Resumo!$C$8</f>
        <v>1.99998</v>
      </c>
      <c r="P22" s="39" t="n">
        <f aca="false">Resumo!$C$10*CEILING(I22/100,1)</f>
        <v>1</v>
      </c>
      <c r="Q22" s="39" t="n">
        <f aca="false">Resumo!$C$9</f>
        <v>11.9</v>
      </c>
      <c r="R22" s="39" t="n">
        <f aca="false">SUM(M22:Q22)*Resumo!$C$11</f>
        <v>7.9650978</v>
      </c>
      <c r="S22" s="39" t="n">
        <f aca="false">SUM(M22:R22)</f>
        <v>152.7850578</v>
      </c>
      <c r="T22" s="39" t="n">
        <f aca="false">S22/(1-Resumo!$C$5)</f>
        <v>173.619383863636</v>
      </c>
      <c r="U22" s="39" t="n">
        <v>167.99</v>
      </c>
      <c r="V22" s="39" t="n">
        <f aca="false">J22*Resumo!$B$6</f>
        <v>0.99999</v>
      </c>
      <c r="W22" s="39" t="n">
        <f aca="false">J22*Resumo!$B$7</f>
        <v>1.99998</v>
      </c>
      <c r="X22" s="39" t="n">
        <f aca="false">Resumo!$B$9</f>
        <v>1</v>
      </c>
      <c r="Y22" s="39" t="n">
        <f aca="false">Resumo!$B$10*CEILING(I22/100,1)</f>
        <v>4.5</v>
      </c>
      <c r="Z22" s="39" t="n">
        <f aca="false">Resumo!$B$12*CEILING(I22,1)</f>
        <v>5.64</v>
      </c>
      <c r="AA22" s="39" t="n">
        <f aca="false">Resumo!$B$13*CEILING(I22,1)</f>
        <v>42.3</v>
      </c>
      <c r="AB22" s="39" t="n">
        <f aca="false">SUM(U22:AA22)</f>
        <v>224.42997</v>
      </c>
      <c r="AC22" s="39" t="n">
        <f aca="false">AB22/(1-Resumo!$B$5)</f>
        <v>255.034056818182</v>
      </c>
      <c r="AD22" s="39" t="n">
        <f aca="false">(AB22-AA22)/(1-Resumo!$B$5)</f>
        <v>206.965875</v>
      </c>
      <c r="AE22" s="39" t="n">
        <f aca="false">AC22-T22</f>
        <v>81.4146729545455</v>
      </c>
      <c r="AF22" s="40" t="n">
        <f aca="false">AC22/T22-1</f>
        <v>0.468926171391611</v>
      </c>
      <c r="AG22" s="37" t="str">
        <f aca="false">IF(AC22&lt;T22,"SIM","NÃO")</f>
        <v>NÃO</v>
      </c>
      <c r="AH22" s="37" t="n">
        <v>10</v>
      </c>
      <c r="AI22" s="37" t="n">
        <v>5</v>
      </c>
      <c r="AJ22" s="37" t="s">
        <v>323</v>
      </c>
    </row>
    <row r="23" customFormat="false" ht="15" hidden="false" customHeight="false" outlineLevel="0" collapsed="false">
      <c r="A23" s="37" t="n">
        <v>354023158</v>
      </c>
      <c r="B23" s="38" t="n">
        <v>46206.9758333333</v>
      </c>
      <c r="C23" s="37" t="s">
        <v>325</v>
      </c>
      <c r="D23" s="37" t="s">
        <v>348</v>
      </c>
      <c r="E23" s="37" t="n">
        <v>26445140</v>
      </c>
      <c r="F23" s="37" t="s">
        <v>223</v>
      </c>
      <c r="G23" s="37" t="s">
        <v>201</v>
      </c>
      <c r="H23" s="37" t="s">
        <v>174</v>
      </c>
      <c r="I23" s="37" t="n">
        <v>94.8</v>
      </c>
      <c r="J23" s="39" t="n">
        <v>1112.28</v>
      </c>
      <c r="K23" s="37" t="s">
        <v>322</v>
      </c>
      <c r="L23" s="39" t="n">
        <v>193.92</v>
      </c>
      <c r="M23" s="39" t="n">
        <v>144.41</v>
      </c>
      <c r="N23" s="39" t="n">
        <f aca="false">J23*Resumo!$C$7</f>
        <v>2.22456</v>
      </c>
      <c r="O23" s="39" t="n">
        <f aca="false">J23*Resumo!$C$8</f>
        <v>2.22456</v>
      </c>
      <c r="P23" s="39" t="n">
        <f aca="false">Resumo!$C$10*CEILING(I23/100,1)</f>
        <v>1</v>
      </c>
      <c r="Q23" s="39" t="n">
        <f aca="false">Resumo!$C$9</f>
        <v>11.9</v>
      </c>
      <c r="R23" s="39" t="n">
        <f aca="false">SUM(M23:Q23)*Resumo!$C$11</f>
        <v>8.8967516</v>
      </c>
      <c r="S23" s="39" t="n">
        <f aca="false">SUM(M23:R23)</f>
        <v>170.6558716</v>
      </c>
      <c r="T23" s="39" t="n">
        <f aca="false">S23/(1-Resumo!$C$5)</f>
        <v>193.927126818182</v>
      </c>
      <c r="U23" s="39" t="n">
        <v>167.99</v>
      </c>
      <c r="V23" s="39" t="n">
        <f aca="false">J23*Resumo!$B$6</f>
        <v>1.11228</v>
      </c>
      <c r="W23" s="39" t="n">
        <f aca="false">J23*Resumo!$B$7</f>
        <v>2.22456</v>
      </c>
      <c r="X23" s="39" t="n">
        <f aca="false">Resumo!$B$9</f>
        <v>1</v>
      </c>
      <c r="Y23" s="39" t="n">
        <f aca="false">Resumo!$B$10*CEILING(I23/100,1)</f>
        <v>4.5</v>
      </c>
      <c r="Z23" s="39" t="n">
        <f aca="false">Resumo!$B$12*CEILING(I23,1)</f>
        <v>5.7</v>
      </c>
      <c r="AA23" s="39" t="n">
        <f aca="false">Resumo!$B$13*CEILING(I23,1)</f>
        <v>42.75</v>
      </c>
      <c r="AB23" s="39" t="n">
        <f aca="false">SUM(U23:AA23)</f>
        <v>225.27684</v>
      </c>
      <c r="AC23" s="39" t="n">
        <f aca="false">AB23/(1-Resumo!$B$5)</f>
        <v>255.996409090909</v>
      </c>
      <c r="AD23" s="39" t="n">
        <f aca="false">(AB23-AA23)/(1-Resumo!$B$5)</f>
        <v>207.416863636364</v>
      </c>
      <c r="AE23" s="39" t="n">
        <f aca="false">AC23-T23</f>
        <v>62.0692822727273</v>
      </c>
      <c r="AF23" s="40" t="n">
        <f aca="false">AC23/T23-1</f>
        <v>0.320064981578988</v>
      </c>
      <c r="AG23" s="37" t="str">
        <f aca="false">IF(AC23&lt;T23,"SIM","NÃO")</f>
        <v>NÃO</v>
      </c>
      <c r="AH23" s="37" t="n">
        <v>13</v>
      </c>
      <c r="AI23" s="37" t="n">
        <v>5</v>
      </c>
      <c r="AJ23" s="37" t="s">
        <v>327</v>
      </c>
    </row>
    <row r="24" customFormat="false" ht="15" hidden="false" customHeight="false" outlineLevel="0" collapsed="false">
      <c r="A24" s="37" t="n">
        <v>354081082</v>
      </c>
      <c r="B24" s="38" t="n">
        <v>46207.2326157407</v>
      </c>
      <c r="C24" s="37" t="s">
        <v>325</v>
      </c>
      <c r="D24" s="37" t="s">
        <v>349</v>
      </c>
      <c r="E24" s="37" t="n">
        <v>27120320</v>
      </c>
      <c r="F24" s="37" t="s">
        <v>230</v>
      </c>
      <c r="G24" s="37" t="s">
        <v>201</v>
      </c>
      <c r="H24" s="37" t="s">
        <v>176</v>
      </c>
      <c r="I24" s="37" t="n">
        <v>124.2</v>
      </c>
      <c r="J24" s="39" t="n">
        <v>1716.89</v>
      </c>
      <c r="K24" s="37" t="s">
        <v>322</v>
      </c>
      <c r="L24" s="39" t="n">
        <v>261.51</v>
      </c>
      <c r="M24" s="39" t="n">
        <v>197.37</v>
      </c>
      <c r="N24" s="39" t="n">
        <f aca="false">J24*Resumo!$C$7</f>
        <v>3.43378</v>
      </c>
      <c r="O24" s="39" t="n">
        <f aca="false">J24*Resumo!$C$8</f>
        <v>3.43378</v>
      </c>
      <c r="P24" s="39" t="n">
        <f aca="false">Resumo!$C$10*CEILING(I24/100,1)</f>
        <v>2</v>
      </c>
      <c r="Q24" s="39" t="n">
        <f aca="false">Resumo!$C$9</f>
        <v>11.9</v>
      </c>
      <c r="R24" s="39" t="n">
        <f aca="false">SUM(M24:Q24)*Resumo!$C$11</f>
        <v>11.9975658</v>
      </c>
      <c r="S24" s="39" t="n">
        <f aca="false">SUM(M24:R24)</f>
        <v>230.1351258</v>
      </c>
      <c r="T24" s="39" t="n">
        <f aca="false">S24/(1-Resumo!$C$5)</f>
        <v>261.517188409091</v>
      </c>
      <c r="U24" s="39" t="n">
        <v>264.84</v>
      </c>
      <c r="V24" s="39" t="n">
        <f aca="false">J24*Resumo!$B$6</f>
        <v>1.71689</v>
      </c>
      <c r="W24" s="39" t="n">
        <f aca="false">J24*Resumo!$B$7</f>
        <v>3.43378</v>
      </c>
      <c r="X24" s="39" t="n">
        <f aca="false">Resumo!$B$9</f>
        <v>1</v>
      </c>
      <c r="Y24" s="39" t="n">
        <f aca="false">Resumo!$B$10*CEILING(I24/100,1)</f>
        <v>9</v>
      </c>
      <c r="Z24" s="39" t="n">
        <f aca="false">Resumo!$B$12*CEILING(I24,1)</f>
        <v>7.5</v>
      </c>
      <c r="AA24" s="39" t="n">
        <f aca="false">Resumo!$B$13*CEILING(I24,1)</f>
        <v>56.25</v>
      </c>
      <c r="AB24" s="39" t="n">
        <f aca="false">SUM(U24:AA24)</f>
        <v>343.74067</v>
      </c>
      <c r="AC24" s="39" t="n">
        <f aca="false">AB24/(1-Resumo!$B$5)</f>
        <v>390.614397727273</v>
      </c>
      <c r="AD24" s="39" t="n">
        <f aca="false">(AB24-AA24)/(1-Resumo!$B$5)</f>
        <v>326.693943181818</v>
      </c>
      <c r="AE24" s="39" t="n">
        <f aca="false">AC24-T24</f>
        <v>129.097209318182</v>
      </c>
      <c r="AF24" s="40" t="n">
        <f aca="false">AC24/T24-1</f>
        <v>0.49364712929016</v>
      </c>
      <c r="AG24" s="37" t="str">
        <f aca="false">IF(AC24&lt;T24,"SIM","NÃO")</f>
        <v>NÃO</v>
      </c>
      <c r="AH24" s="37" t="n">
        <v>13</v>
      </c>
      <c r="AI24" s="37" t="n">
        <v>10</v>
      </c>
      <c r="AJ24" s="37" t="s">
        <v>327</v>
      </c>
    </row>
    <row r="25" customFormat="false" ht="15" hidden="false" customHeight="false" outlineLevel="0" collapsed="false">
      <c r="A25" s="37" t="n">
        <v>354110656</v>
      </c>
      <c r="B25" s="38" t="n">
        <v>46207.3634606482</v>
      </c>
      <c r="C25" s="37" t="s">
        <v>320</v>
      </c>
      <c r="D25" s="37" t="s">
        <v>350</v>
      </c>
      <c r="E25" s="37" t="n">
        <v>21535590</v>
      </c>
      <c r="F25" s="37" t="s">
        <v>139</v>
      </c>
      <c r="G25" s="37" t="s">
        <v>198</v>
      </c>
      <c r="H25" s="37" t="s">
        <v>169</v>
      </c>
      <c r="I25" s="37" t="n">
        <v>38.6</v>
      </c>
      <c r="J25" s="39" t="n">
        <v>599.99</v>
      </c>
      <c r="K25" s="37" t="s">
        <v>322</v>
      </c>
      <c r="L25" s="39" t="n">
        <v>92.73</v>
      </c>
      <c r="M25" s="39" t="n">
        <v>62.05</v>
      </c>
      <c r="N25" s="39" t="n">
        <f aca="false">J25*Resumo!$C$7</f>
        <v>1.19998</v>
      </c>
      <c r="O25" s="39" t="n">
        <f aca="false">J25*Resumo!$C$8</f>
        <v>1.19998</v>
      </c>
      <c r="P25" s="39" t="n">
        <f aca="false">Resumo!$C$10*CEILING(I25/100,1)</f>
        <v>1</v>
      </c>
      <c r="Q25" s="39" t="n">
        <f aca="false">Resumo!$C$9</f>
        <v>11.9</v>
      </c>
      <c r="R25" s="39" t="n">
        <f aca="false">SUM(M25:Q25)*Resumo!$C$11</f>
        <v>4.2542478</v>
      </c>
      <c r="S25" s="39" t="n">
        <f aca="false">SUM(M25:R25)</f>
        <v>81.6042078</v>
      </c>
      <c r="T25" s="39" t="n">
        <f aca="false">S25/(1-Resumo!$C$5)</f>
        <v>92.7320543181818</v>
      </c>
      <c r="U25" s="39" t="n">
        <v>93.97</v>
      </c>
      <c r="V25" s="39" t="n">
        <f aca="false">J25*Resumo!$B$6</f>
        <v>0.59999</v>
      </c>
      <c r="W25" s="39" t="n">
        <f aca="false">J25*Resumo!$B$7</f>
        <v>1.19998</v>
      </c>
      <c r="X25" s="39" t="n">
        <f aca="false">Resumo!$B$9</f>
        <v>1</v>
      </c>
      <c r="Y25" s="39" t="n">
        <f aca="false">Resumo!$B$10*CEILING(I25/100,1)</f>
        <v>4.5</v>
      </c>
      <c r="Z25" s="39" t="n">
        <f aca="false">Resumo!$B$12*CEILING(I25,1)</f>
        <v>2.34</v>
      </c>
      <c r="AA25" s="39" t="n">
        <f aca="false">Resumo!$B$13*CEILING(I25,1)</f>
        <v>17.55</v>
      </c>
      <c r="AB25" s="39" t="n">
        <f aca="false">SUM(U25:AA25)</f>
        <v>121.15997</v>
      </c>
      <c r="AC25" s="39" t="n">
        <f aca="false">AB25/(1-Resumo!$B$5)</f>
        <v>137.681784090909</v>
      </c>
      <c r="AD25" s="39" t="n">
        <f aca="false">(AB25-AA25)/(1-Resumo!$B$5)</f>
        <v>117.738602272727</v>
      </c>
      <c r="AE25" s="39" t="n">
        <f aca="false">AC25-T25</f>
        <v>44.9497297727273</v>
      </c>
      <c r="AF25" s="40" t="n">
        <f aca="false">AC25/T25-1</f>
        <v>0.484726992227477</v>
      </c>
      <c r="AG25" s="37" t="str">
        <f aca="false">IF(AC25&lt;T25,"SIM","NÃO")</f>
        <v>NÃO</v>
      </c>
      <c r="AH25" s="37" t="n">
        <v>8</v>
      </c>
      <c r="AI25" s="37" t="n">
        <v>5</v>
      </c>
      <c r="AJ25" s="37" t="s">
        <v>323</v>
      </c>
    </row>
    <row r="26" customFormat="false" ht="15" hidden="false" customHeight="false" outlineLevel="0" collapsed="false">
      <c r="A26" s="37" t="n">
        <v>354114485</v>
      </c>
      <c r="B26" s="38" t="n">
        <v>46207.376099537</v>
      </c>
      <c r="C26" s="37" t="s">
        <v>320</v>
      </c>
      <c r="D26" s="37" t="s">
        <v>351</v>
      </c>
      <c r="E26" s="37" t="n">
        <v>21041140</v>
      </c>
      <c r="F26" s="37" t="s">
        <v>139</v>
      </c>
      <c r="G26" s="37" t="s">
        <v>198</v>
      </c>
      <c r="H26" s="37" t="s">
        <v>172</v>
      </c>
      <c r="I26" s="37" t="n">
        <v>63.9</v>
      </c>
      <c r="J26" s="39" t="n">
        <v>799.99</v>
      </c>
      <c r="K26" s="37" t="s">
        <v>322</v>
      </c>
      <c r="L26" s="39" t="n">
        <v>125.05</v>
      </c>
      <c r="M26" s="39" t="n">
        <v>88.2</v>
      </c>
      <c r="N26" s="39" t="n">
        <f aca="false">J26*Resumo!$C$7</f>
        <v>1.59998</v>
      </c>
      <c r="O26" s="39" t="n">
        <f aca="false">J26*Resumo!$C$8</f>
        <v>1.59998</v>
      </c>
      <c r="P26" s="39" t="n">
        <f aca="false">Resumo!$C$10*CEILING(I26/100,1)</f>
        <v>1</v>
      </c>
      <c r="Q26" s="39" t="n">
        <f aca="false">Resumo!$C$9</f>
        <v>11.9</v>
      </c>
      <c r="R26" s="39" t="n">
        <f aca="false">SUM(M26:Q26)*Resumo!$C$11</f>
        <v>5.7364978</v>
      </c>
      <c r="S26" s="39" t="n">
        <f aca="false">SUM(M26:R26)</f>
        <v>110.0364578</v>
      </c>
      <c r="T26" s="39" t="n">
        <f aca="false">S26/(1-Resumo!$C$5)</f>
        <v>125.041429318182</v>
      </c>
      <c r="U26" s="39" t="n">
        <v>131.02</v>
      </c>
      <c r="V26" s="39" t="n">
        <f aca="false">J26*Resumo!$B$6</f>
        <v>0.79999</v>
      </c>
      <c r="W26" s="39" t="n">
        <f aca="false">J26*Resumo!$B$7</f>
        <v>1.59998</v>
      </c>
      <c r="X26" s="39" t="n">
        <f aca="false">Resumo!$B$9</f>
        <v>1</v>
      </c>
      <c r="Y26" s="39" t="n">
        <f aca="false">Resumo!$B$10*CEILING(I26/100,1)</f>
        <v>4.5</v>
      </c>
      <c r="Z26" s="39" t="n">
        <f aca="false">Resumo!$B$12*CEILING(I26,1)</f>
        <v>3.84</v>
      </c>
      <c r="AA26" s="39" t="n">
        <f aca="false">Resumo!$B$13*CEILING(I26,1)</f>
        <v>28.8</v>
      </c>
      <c r="AB26" s="39" t="n">
        <f aca="false">SUM(U26:AA26)</f>
        <v>171.55997</v>
      </c>
      <c r="AC26" s="39" t="n">
        <f aca="false">AB26/(1-Resumo!$B$5)</f>
        <v>194.954511363636</v>
      </c>
      <c r="AD26" s="39" t="n">
        <f aca="false">(AB26-AA26)/(1-Resumo!$B$5)</f>
        <v>162.227238636364</v>
      </c>
      <c r="AE26" s="39" t="n">
        <f aca="false">AC26-T26</f>
        <v>69.9130820454546</v>
      </c>
      <c r="AF26" s="40" t="n">
        <f aca="false">AC26/T26-1</f>
        <v>0.559119344897706</v>
      </c>
      <c r="AG26" s="37" t="str">
        <f aca="false">IF(AC26&lt;T26,"SIM","NÃO")</f>
        <v>NÃO</v>
      </c>
      <c r="AH26" s="37" t="n">
        <v>8</v>
      </c>
      <c r="AI26" s="37" t="n">
        <v>5</v>
      </c>
      <c r="AJ26" s="37" t="s">
        <v>323</v>
      </c>
    </row>
    <row r="27" customFormat="false" ht="15" hidden="false" customHeight="false" outlineLevel="0" collapsed="false">
      <c r="A27" s="37" t="n">
        <v>354120832</v>
      </c>
      <c r="B27" s="38" t="n">
        <v>46207.3978356482</v>
      </c>
      <c r="C27" s="37" t="s">
        <v>352</v>
      </c>
      <c r="D27" s="37" t="s">
        <v>353</v>
      </c>
      <c r="E27" s="37" t="n">
        <v>26430020</v>
      </c>
      <c r="F27" s="37" t="s">
        <v>223</v>
      </c>
      <c r="G27" s="37" t="s">
        <v>201</v>
      </c>
      <c r="H27" s="37" t="s">
        <v>174</v>
      </c>
      <c r="I27" s="37" t="n">
        <v>87.7</v>
      </c>
      <c r="J27" s="39" t="n">
        <v>1003.18</v>
      </c>
      <c r="K27" s="37" t="s">
        <v>322</v>
      </c>
      <c r="L27" s="39" t="n">
        <v>193.41</v>
      </c>
      <c r="M27" s="39" t="n">
        <v>144.41</v>
      </c>
      <c r="N27" s="39" t="n">
        <f aca="false">J27*Resumo!$C$7</f>
        <v>2.00636</v>
      </c>
      <c r="O27" s="39" t="n">
        <f aca="false">J27*Resumo!$C$8</f>
        <v>2.00636</v>
      </c>
      <c r="P27" s="39" t="n">
        <f aca="false">Resumo!$C$10*CEILING(I27/100,1)</f>
        <v>1</v>
      </c>
      <c r="Q27" s="39" t="n">
        <f aca="false">Resumo!$C$9</f>
        <v>11.9</v>
      </c>
      <c r="R27" s="39" t="n">
        <f aca="false">SUM(M27:Q27)*Resumo!$C$11</f>
        <v>8.8727496</v>
      </c>
      <c r="S27" s="39" t="n">
        <f aca="false">SUM(M27:R27)</f>
        <v>170.1954696</v>
      </c>
      <c r="T27" s="39" t="n">
        <f aca="false">S27/(1-Resumo!$C$5)</f>
        <v>193.403942727273</v>
      </c>
      <c r="U27" s="39" t="n">
        <v>167.99</v>
      </c>
      <c r="V27" s="39" t="n">
        <f aca="false">J27*Resumo!$B$6</f>
        <v>1.00318</v>
      </c>
      <c r="W27" s="39" t="n">
        <f aca="false">J27*Resumo!$B$7</f>
        <v>2.00636</v>
      </c>
      <c r="X27" s="39" t="n">
        <f aca="false">Resumo!$B$9</f>
        <v>1</v>
      </c>
      <c r="Y27" s="39" t="n">
        <f aca="false">Resumo!$B$10*CEILING(I27/100,1)</f>
        <v>4.5</v>
      </c>
      <c r="Z27" s="39" t="n">
        <f aca="false">Resumo!$B$12*CEILING(I27,1)</f>
        <v>5.28</v>
      </c>
      <c r="AA27" s="39" t="n">
        <f aca="false">Resumo!$B$13*CEILING(I27,1)</f>
        <v>39.6</v>
      </c>
      <c r="AB27" s="39" t="n">
        <f aca="false">SUM(U27:AA27)</f>
        <v>221.37954</v>
      </c>
      <c r="AC27" s="39" t="n">
        <f aca="false">AB27/(1-Resumo!$B$5)</f>
        <v>251.567659090909</v>
      </c>
      <c r="AD27" s="39" t="n">
        <f aca="false">(AB27-AA27)/(1-Resumo!$B$5)</f>
        <v>206.567659090909</v>
      </c>
      <c r="AE27" s="39" t="n">
        <f aca="false">AC27-T27</f>
        <v>58.1637163636364</v>
      </c>
      <c r="AF27" s="40" t="n">
        <f aca="false">AC27/T27-1</f>
        <v>0.300736973318355</v>
      </c>
      <c r="AG27" s="37" t="str">
        <f aca="false">IF(AC27&lt;T27,"SIM","NÃO")</f>
        <v>NÃO</v>
      </c>
      <c r="AH27" s="37" t="n">
        <v>13</v>
      </c>
      <c r="AI27" s="37" t="n">
        <v>5</v>
      </c>
      <c r="AJ27" s="37" t="s">
        <v>327</v>
      </c>
    </row>
    <row r="28" customFormat="false" ht="15" hidden="false" customHeight="false" outlineLevel="0" collapsed="false">
      <c r="A28" s="37" t="n">
        <v>354123089</v>
      </c>
      <c r="B28" s="38" t="n">
        <v>46207.4017824074</v>
      </c>
      <c r="C28" s="37" t="s">
        <v>320</v>
      </c>
      <c r="D28" s="37" t="s">
        <v>354</v>
      </c>
      <c r="E28" s="37" t="n">
        <v>21021380</v>
      </c>
      <c r="F28" s="37" t="s">
        <v>139</v>
      </c>
      <c r="G28" s="37" t="s">
        <v>198</v>
      </c>
      <c r="H28" s="37" t="s">
        <v>172</v>
      </c>
      <c r="I28" s="37" t="n">
        <v>63.9</v>
      </c>
      <c r="J28" s="39" t="n">
        <v>799.99</v>
      </c>
      <c r="K28" s="37" t="s">
        <v>322</v>
      </c>
      <c r="L28" s="39" t="n">
        <v>125.05</v>
      </c>
      <c r="M28" s="39" t="n">
        <v>88.2</v>
      </c>
      <c r="N28" s="39" t="n">
        <f aca="false">J28*Resumo!$C$7</f>
        <v>1.59998</v>
      </c>
      <c r="O28" s="39" t="n">
        <f aca="false">J28*Resumo!$C$8</f>
        <v>1.59998</v>
      </c>
      <c r="P28" s="39" t="n">
        <f aca="false">Resumo!$C$10*CEILING(I28/100,1)</f>
        <v>1</v>
      </c>
      <c r="Q28" s="39" t="n">
        <f aca="false">Resumo!$C$9</f>
        <v>11.9</v>
      </c>
      <c r="R28" s="39" t="n">
        <f aca="false">SUM(M28:Q28)*Resumo!$C$11</f>
        <v>5.7364978</v>
      </c>
      <c r="S28" s="39" t="n">
        <f aca="false">SUM(M28:R28)</f>
        <v>110.0364578</v>
      </c>
      <c r="T28" s="39" t="n">
        <f aca="false">S28/(1-Resumo!$C$5)</f>
        <v>125.041429318182</v>
      </c>
      <c r="U28" s="39" t="n">
        <v>131.02</v>
      </c>
      <c r="V28" s="39" t="n">
        <f aca="false">J28*Resumo!$B$6</f>
        <v>0.79999</v>
      </c>
      <c r="W28" s="39" t="n">
        <f aca="false">J28*Resumo!$B$7</f>
        <v>1.59998</v>
      </c>
      <c r="X28" s="39" t="n">
        <f aca="false">Resumo!$B$9</f>
        <v>1</v>
      </c>
      <c r="Y28" s="39" t="n">
        <f aca="false">Resumo!$B$10*CEILING(I28/100,1)</f>
        <v>4.5</v>
      </c>
      <c r="Z28" s="39" t="n">
        <f aca="false">Resumo!$B$12*CEILING(I28,1)</f>
        <v>3.84</v>
      </c>
      <c r="AA28" s="39" t="n">
        <f aca="false">Resumo!$B$13*CEILING(I28,1)</f>
        <v>28.8</v>
      </c>
      <c r="AB28" s="39" t="n">
        <f aca="false">SUM(U28:AA28)</f>
        <v>171.55997</v>
      </c>
      <c r="AC28" s="39" t="n">
        <f aca="false">AB28/(1-Resumo!$B$5)</f>
        <v>194.954511363636</v>
      </c>
      <c r="AD28" s="39" t="n">
        <f aca="false">(AB28-AA28)/(1-Resumo!$B$5)</f>
        <v>162.227238636364</v>
      </c>
      <c r="AE28" s="39" t="n">
        <f aca="false">AC28-T28</f>
        <v>69.9130820454546</v>
      </c>
      <c r="AF28" s="40" t="n">
        <f aca="false">AC28/T28-1</f>
        <v>0.559119344897706</v>
      </c>
      <c r="AG28" s="37" t="str">
        <f aca="false">IF(AC28&lt;T28,"SIM","NÃO")</f>
        <v>NÃO</v>
      </c>
      <c r="AH28" s="37" t="n">
        <v>8</v>
      </c>
      <c r="AI28" s="37" t="n">
        <v>5</v>
      </c>
      <c r="AJ28" s="37" t="s">
        <v>323</v>
      </c>
    </row>
    <row r="29" customFormat="false" ht="15" hidden="false" customHeight="false" outlineLevel="0" collapsed="false">
      <c r="A29" s="37" t="n">
        <v>354122836</v>
      </c>
      <c r="B29" s="38" t="n">
        <v>46207.4090856482</v>
      </c>
      <c r="C29" s="37" t="s">
        <v>355</v>
      </c>
      <c r="D29" s="37" t="s">
        <v>324</v>
      </c>
      <c r="E29" s="37" t="n">
        <v>21032000</v>
      </c>
      <c r="F29" s="37" t="s">
        <v>139</v>
      </c>
      <c r="G29" s="37" t="s">
        <v>198</v>
      </c>
      <c r="H29" s="37" t="s">
        <v>172</v>
      </c>
      <c r="I29" s="37" t="n">
        <v>65.1</v>
      </c>
      <c r="J29" s="39" t="n">
        <v>879.99</v>
      </c>
      <c r="K29" s="37" t="s">
        <v>322</v>
      </c>
      <c r="L29" s="39" t="n">
        <v>125.42</v>
      </c>
      <c r="M29" s="39" t="n">
        <v>88.2</v>
      </c>
      <c r="N29" s="39" t="n">
        <f aca="false">J29*Resumo!$C$7</f>
        <v>1.75998</v>
      </c>
      <c r="O29" s="39" t="n">
        <f aca="false">J29*Resumo!$C$8</f>
        <v>1.75998</v>
      </c>
      <c r="P29" s="39" t="n">
        <f aca="false">Resumo!$C$10*CEILING(I29/100,1)</f>
        <v>1</v>
      </c>
      <c r="Q29" s="39" t="n">
        <f aca="false">Resumo!$C$9</f>
        <v>11.9</v>
      </c>
      <c r="R29" s="39" t="n">
        <f aca="false">SUM(M29:Q29)*Resumo!$C$11</f>
        <v>5.7540978</v>
      </c>
      <c r="S29" s="39" t="n">
        <f aca="false">SUM(M29:R29)</f>
        <v>110.3740578</v>
      </c>
      <c r="T29" s="39" t="n">
        <f aca="false">S29/(1-Resumo!$C$5)</f>
        <v>125.425065681818</v>
      </c>
      <c r="U29" s="39" t="n">
        <v>131.02</v>
      </c>
      <c r="V29" s="39" t="n">
        <f aca="false">J29*Resumo!$B$6</f>
        <v>0.87999</v>
      </c>
      <c r="W29" s="39" t="n">
        <f aca="false">J29*Resumo!$B$7</f>
        <v>1.75998</v>
      </c>
      <c r="X29" s="39" t="n">
        <f aca="false">Resumo!$B$9</f>
        <v>1</v>
      </c>
      <c r="Y29" s="39" t="n">
        <f aca="false">Resumo!$B$10*CEILING(I29/100,1)</f>
        <v>4.5</v>
      </c>
      <c r="Z29" s="39" t="n">
        <f aca="false">Resumo!$B$12*CEILING(I29,1)</f>
        <v>3.96</v>
      </c>
      <c r="AA29" s="39" t="n">
        <f aca="false">Resumo!$B$13*CEILING(I29,1)</f>
        <v>29.7</v>
      </c>
      <c r="AB29" s="39" t="n">
        <f aca="false">SUM(U29:AA29)</f>
        <v>172.81997</v>
      </c>
      <c r="AC29" s="39" t="n">
        <f aca="false">AB29/(1-Resumo!$B$5)</f>
        <v>196.386329545455</v>
      </c>
      <c r="AD29" s="39" t="n">
        <f aca="false">(AB29-AA29)/(1-Resumo!$B$5)</f>
        <v>162.636329545455</v>
      </c>
      <c r="AE29" s="39" t="n">
        <f aca="false">AC29-T29</f>
        <v>70.9612638636364</v>
      </c>
      <c r="AF29" s="40" t="n">
        <f aca="false">AC29/T29-1</f>
        <v>0.565766208515712</v>
      </c>
      <c r="AG29" s="37" t="str">
        <f aca="false">IF(AC29&lt;T29,"SIM","NÃO")</f>
        <v>NÃO</v>
      </c>
      <c r="AH29" s="37" t="n">
        <v>8</v>
      </c>
      <c r="AI29" s="37" t="n">
        <v>5</v>
      </c>
      <c r="AJ29" s="37" t="s">
        <v>323</v>
      </c>
    </row>
    <row r="30" customFormat="false" ht="15" hidden="false" customHeight="false" outlineLevel="0" collapsed="false">
      <c r="A30" s="37" t="n">
        <v>354143988</v>
      </c>
      <c r="B30" s="38" t="n">
        <v>46207.4546064815</v>
      </c>
      <c r="C30" s="37" t="s">
        <v>320</v>
      </c>
      <c r="D30" s="37" t="s">
        <v>356</v>
      </c>
      <c r="E30" s="37" t="n">
        <v>26060015</v>
      </c>
      <c r="F30" s="37" t="s">
        <v>142</v>
      </c>
      <c r="G30" s="37" t="s">
        <v>207</v>
      </c>
      <c r="H30" s="37" t="s">
        <v>169</v>
      </c>
      <c r="I30" s="37" t="n">
        <v>37.6</v>
      </c>
      <c r="J30" s="39" t="n">
        <v>413.99</v>
      </c>
      <c r="K30" s="37" t="s">
        <v>322</v>
      </c>
      <c r="L30" s="39" t="n">
        <v>112.94</v>
      </c>
      <c r="M30" s="39" t="n">
        <v>79.65</v>
      </c>
      <c r="N30" s="39" t="n">
        <f aca="false">J30*Resumo!$C$7</f>
        <v>0.82798</v>
      </c>
      <c r="O30" s="39" t="n">
        <f aca="false">J30*Resumo!$C$8</f>
        <v>0.82798</v>
      </c>
      <c r="P30" s="39" t="n">
        <f aca="false">Resumo!$C$10*CEILING(I30/100,1)</f>
        <v>1</v>
      </c>
      <c r="Q30" s="39" t="n">
        <f aca="false">Resumo!$C$9</f>
        <v>11.9</v>
      </c>
      <c r="R30" s="39" t="n">
        <f aca="false">SUM(M30:Q30)*Resumo!$C$11</f>
        <v>5.1813278</v>
      </c>
      <c r="S30" s="39" t="n">
        <f aca="false">SUM(M30:R30)</f>
        <v>99.3872878</v>
      </c>
      <c r="T30" s="39" t="n">
        <f aca="false">S30/(1-Resumo!$C$5)</f>
        <v>112.940099772727</v>
      </c>
      <c r="U30" s="39" t="n">
        <v>93.97</v>
      </c>
      <c r="V30" s="39" t="n">
        <f aca="false">J30*Resumo!$B$6</f>
        <v>0.41399</v>
      </c>
      <c r="W30" s="39" t="n">
        <f aca="false">J30*Resumo!$B$7</f>
        <v>0.82798</v>
      </c>
      <c r="X30" s="39" t="n">
        <f aca="false">Resumo!$B$9</f>
        <v>1</v>
      </c>
      <c r="Y30" s="39" t="n">
        <f aca="false">Resumo!$B$10*CEILING(I30/100,1)</f>
        <v>4.5</v>
      </c>
      <c r="Z30" s="39" t="n">
        <f aca="false">Resumo!$B$12*CEILING(I30,1)</f>
        <v>2.28</v>
      </c>
      <c r="AA30" s="39" t="n">
        <f aca="false">Resumo!$B$13*CEILING(I30,1)</f>
        <v>17.1</v>
      </c>
      <c r="AB30" s="39" t="n">
        <f aca="false">SUM(U30:AA30)</f>
        <v>120.09197</v>
      </c>
      <c r="AC30" s="39" t="n">
        <f aca="false">AB30/(1-Resumo!$B$5)</f>
        <v>136.468147727273</v>
      </c>
      <c r="AD30" s="39" t="n">
        <f aca="false">(AB30-AA30)/(1-Resumo!$B$5)</f>
        <v>117.036329545455</v>
      </c>
      <c r="AE30" s="39" t="n">
        <f aca="false">AC30-T30</f>
        <v>23.5280479545455</v>
      </c>
      <c r="AF30" s="40" t="n">
        <f aca="false">AC30/T30-1</f>
        <v>0.208323243931001</v>
      </c>
      <c r="AG30" s="37" t="str">
        <f aca="false">IF(AC30&lt;T30,"SIM","NÃO")</f>
        <v>NÃO</v>
      </c>
      <c r="AH30" s="37" t="n">
        <v>10</v>
      </c>
      <c r="AI30" s="37" t="n">
        <v>5</v>
      </c>
      <c r="AJ30" s="37" t="s">
        <v>323</v>
      </c>
    </row>
    <row r="31" customFormat="false" ht="15" hidden="false" customHeight="false" outlineLevel="0" collapsed="false">
      <c r="A31" s="37" t="n">
        <v>354155653</v>
      </c>
      <c r="B31" s="38" t="n">
        <v>46207.4801851852</v>
      </c>
      <c r="C31" s="37" t="s">
        <v>320</v>
      </c>
      <c r="D31" s="37" t="s">
        <v>357</v>
      </c>
      <c r="E31" s="37" t="n">
        <v>24745630</v>
      </c>
      <c r="F31" s="37" t="s">
        <v>140</v>
      </c>
      <c r="G31" s="37" t="s">
        <v>207</v>
      </c>
      <c r="H31" s="37" t="s">
        <v>176</v>
      </c>
      <c r="I31" s="37" t="n">
        <v>127.8</v>
      </c>
      <c r="J31" s="39" t="n">
        <v>1387.09</v>
      </c>
      <c r="K31" s="37" t="s">
        <v>322</v>
      </c>
      <c r="L31" s="39" t="n">
        <v>243.24</v>
      </c>
      <c r="M31" s="39" t="n">
        <v>183.45</v>
      </c>
      <c r="N31" s="39" t="n">
        <f aca="false">J31*Resumo!$C$7</f>
        <v>2.77418</v>
      </c>
      <c r="O31" s="39" t="n">
        <f aca="false">J31*Resumo!$C$8</f>
        <v>2.77418</v>
      </c>
      <c r="P31" s="39" t="n">
        <f aca="false">Resumo!$C$10*CEILING(I31/100,1)</f>
        <v>2</v>
      </c>
      <c r="Q31" s="39" t="n">
        <f aca="false">Resumo!$C$9</f>
        <v>11.9</v>
      </c>
      <c r="R31" s="39" t="n">
        <f aca="false">SUM(M31:Q31)*Resumo!$C$11</f>
        <v>11.1594098</v>
      </c>
      <c r="S31" s="39" t="n">
        <f aca="false">SUM(M31:R31)</f>
        <v>214.0577698</v>
      </c>
      <c r="T31" s="39" t="n">
        <f aca="false">S31/(1-Resumo!$C$5)</f>
        <v>243.247465681818</v>
      </c>
      <c r="U31" s="39" t="n">
        <v>249.03</v>
      </c>
      <c r="V31" s="39" t="n">
        <f aca="false">J31*Resumo!$B$6</f>
        <v>1.38709</v>
      </c>
      <c r="W31" s="39" t="n">
        <f aca="false">J31*Resumo!$B$7</f>
        <v>2.77418</v>
      </c>
      <c r="X31" s="39" t="n">
        <f aca="false">Resumo!$B$9</f>
        <v>1</v>
      </c>
      <c r="Y31" s="39" t="n">
        <f aca="false">Resumo!$B$10*CEILING(I31/100,1)</f>
        <v>9</v>
      </c>
      <c r="Z31" s="39" t="n">
        <f aca="false">Resumo!$B$12*CEILING(I31,1)</f>
        <v>7.68</v>
      </c>
      <c r="AA31" s="39" t="n">
        <f aca="false">Resumo!$B$13*CEILING(I31,1)</f>
        <v>57.6</v>
      </c>
      <c r="AB31" s="39" t="n">
        <f aca="false">SUM(U31:AA31)</f>
        <v>328.47127</v>
      </c>
      <c r="AC31" s="39" t="n">
        <f aca="false">AB31/(1-Resumo!$B$5)</f>
        <v>373.262806818182</v>
      </c>
      <c r="AD31" s="39" t="n">
        <f aca="false">(AB31-AA31)/(1-Resumo!$B$5)</f>
        <v>307.808261363636</v>
      </c>
      <c r="AE31" s="39" t="n">
        <f aca="false">AC31-T31</f>
        <v>130.015341136364</v>
      </c>
      <c r="AF31" s="40" t="n">
        <f aca="false">AC31/T31-1</f>
        <v>0.534498235251632</v>
      </c>
      <c r="AG31" s="37" t="str">
        <f aca="false">IF(AC31&lt;T31,"SIM","NÃO")</f>
        <v>NÃO</v>
      </c>
      <c r="AH31" s="37" t="n">
        <v>10</v>
      </c>
      <c r="AI31" s="37" t="n">
        <v>7</v>
      </c>
      <c r="AJ31" s="37" t="s">
        <v>323</v>
      </c>
    </row>
    <row r="32" customFormat="false" ht="15" hidden="false" customHeight="false" outlineLevel="0" collapsed="false">
      <c r="A32" s="37" t="n">
        <v>354173280</v>
      </c>
      <c r="B32" s="38" t="n">
        <v>46207.5155092593</v>
      </c>
      <c r="C32" s="37" t="s">
        <v>325</v>
      </c>
      <c r="D32" s="37" t="s">
        <v>358</v>
      </c>
      <c r="E32" s="37" t="n">
        <v>21770220</v>
      </c>
      <c r="F32" s="37" t="s">
        <v>139</v>
      </c>
      <c r="G32" s="37" t="s">
        <v>198</v>
      </c>
      <c r="H32" s="37" t="s">
        <v>176</v>
      </c>
      <c r="I32" s="37" t="n">
        <v>124.2</v>
      </c>
      <c r="J32" s="39" t="n">
        <v>1520.94</v>
      </c>
      <c r="K32" s="37" t="s">
        <v>322</v>
      </c>
      <c r="L32" s="39" t="n">
        <v>233.58</v>
      </c>
      <c r="M32" s="39" t="n">
        <v>174.85</v>
      </c>
      <c r="N32" s="39" t="n">
        <f aca="false">J32*Resumo!$C$7</f>
        <v>3.04188</v>
      </c>
      <c r="O32" s="39" t="n">
        <f aca="false">J32*Resumo!$C$8</f>
        <v>3.04188</v>
      </c>
      <c r="P32" s="39" t="n">
        <f aca="false">Resumo!$C$10*CEILING(I32/100,1)</f>
        <v>2</v>
      </c>
      <c r="Q32" s="39" t="n">
        <f aca="false">Resumo!$C$9</f>
        <v>11.9</v>
      </c>
      <c r="R32" s="39" t="n">
        <f aca="false">SUM(M32:Q32)*Resumo!$C$11</f>
        <v>10.7158568</v>
      </c>
      <c r="S32" s="39" t="n">
        <f aca="false">SUM(M32:R32)</f>
        <v>205.5496168</v>
      </c>
      <c r="T32" s="39" t="n">
        <f aca="false">S32/(1-Resumo!$C$5)</f>
        <v>233.57911</v>
      </c>
      <c r="U32" s="39" t="n">
        <v>239.25</v>
      </c>
      <c r="V32" s="39" t="n">
        <f aca="false">J32*Resumo!$B$6</f>
        <v>1.52094</v>
      </c>
      <c r="W32" s="39" t="n">
        <f aca="false">J32*Resumo!$B$7</f>
        <v>3.04188</v>
      </c>
      <c r="X32" s="39" t="n">
        <f aca="false">Resumo!$B$9</f>
        <v>1</v>
      </c>
      <c r="Y32" s="39" t="n">
        <f aca="false">Resumo!$B$10*CEILING(I32/100,1)</f>
        <v>9</v>
      </c>
      <c r="Z32" s="39" t="n">
        <f aca="false">Resumo!$B$12*CEILING(I32,1)</f>
        <v>7.5</v>
      </c>
      <c r="AA32" s="39" t="n">
        <f aca="false">Resumo!$B$13*CEILING(I32,1)</f>
        <v>56.25</v>
      </c>
      <c r="AB32" s="39" t="n">
        <f aca="false">SUM(U32:AA32)</f>
        <v>317.56282</v>
      </c>
      <c r="AC32" s="39" t="n">
        <f aca="false">AB32/(1-Resumo!$B$5)</f>
        <v>360.866840909091</v>
      </c>
      <c r="AD32" s="39" t="n">
        <f aca="false">(AB32-AA32)/(1-Resumo!$B$5)</f>
        <v>296.946386363636</v>
      </c>
      <c r="AE32" s="39" t="n">
        <f aca="false">AC32-T32</f>
        <v>127.287730909091</v>
      </c>
      <c r="AF32" s="40" t="n">
        <f aca="false">AC32/T32-1</f>
        <v>0.544944840782598</v>
      </c>
      <c r="AG32" s="37" t="str">
        <f aca="false">IF(AC32&lt;T32,"SIM","NÃO")</f>
        <v>NÃO</v>
      </c>
      <c r="AH32" s="37" t="n">
        <v>8</v>
      </c>
      <c r="AI32" s="37" t="n">
        <v>5</v>
      </c>
      <c r="AJ32" s="37" t="s">
        <v>323</v>
      </c>
    </row>
    <row r="33" customFormat="false" ht="15" hidden="false" customHeight="false" outlineLevel="0" collapsed="false">
      <c r="A33" s="37" t="n">
        <v>354213591</v>
      </c>
      <c r="B33" s="38" t="n">
        <v>46207.5971759259</v>
      </c>
      <c r="C33" s="37" t="s">
        <v>359</v>
      </c>
      <c r="D33" s="37" t="s">
        <v>360</v>
      </c>
      <c r="E33" s="37" t="n">
        <v>21741060</v>
      </c>
      <c r="F33" s="37" t="s">
        <v>139</v>
      </c>
      <c r="G33" s="37" t="s">
        <v>198</v>
      </c>
      <c r="H33" s="37" t="s">
        <v>168</v>
      </c>
      <c r="I33" s="37" t="n">
        <v>21.75</v>
      </c>
      <c r="J33" s="39" t="n">
        <v>341.99</v>
      </c>
      <c r="K33" s="37" t="s">
        <v>322</v>
      </c>
      <c r="L33" s="39" t="n">
        <v>81.95</v>
      </c>
      <c r="M33" s="39" t="n">
        <v>54.1</v>
      </c>
      <c r="N33" s="39" t="n">
        <f aca="false">J33*Resumo!$C$7</f>
        <v>0.68398</v>
      </c>
      <c r="O33" s="39" t="n">
        <f aca="false">J33*Resumo!$C$8</f>
        <v>0.68398</v>
      </c>
      <c r="P33" s="39" t="n">
        <f aca="false">Resumo!$C$10*CEILING(I33/100,1)</f>
        <v>1</v>
      </c>
      <c r="Q33" s="39" t="n">
        <f aca="false">Resumo!$C$9</f>
        <v>11.9</v>
      </c>
      <c r="R33" s="39" t="n">
        <f aca="false">SUM(M33:Q33)*Resumo!$C$11</f>
        <v>3.7602378</v>
      </c>
      <c r="S33" s="39" t="n">
        <f aca="false">SUM(M33:R33)</f>
        <v>72.1281978</v>
      </c>
      <c r="T33" s="39" t="n">
        <f aca="false">S33/(1-Resumo!$C$5)</f>
        <v>81.9638611363636</v>
      </c>
      <c r="U33" s="39" t="n">
        <v>82.21</v>
      </c>
      <c r="V33" s="39" t="n">
        <f aca="false">J33*Resumo!$B$6</f>
        <v>0.34199</v>
      </c>
      <c r="W33" s="39" t="n">
        <f aca="false">J33*Resumo!$B$7</f>
        <v>0.68398</v>
      </c>
      <c r="X33" s="39" t="n">
        <f aca="false">Resumo!$B$9</f>
        <v>1</v>
      </c>
      <c r="Y33" s="39" t="n">
        <f aca="false">Resumo!$B$10*CEILING(I33/100,1)</f>
        <v>4.5</v>
      </c>
      <c r="Z33" s="39" t="n">
        <f aca="false">Resumo!$B$12*CEILING(I33,1)</f>
        <v>1.32</v>
      </c>
      <c r="AA33" s="39" t="n">
        <f aca="false">Resumo!$B$13*CEILING(I33,1)</f>
        <v>9.9</v>
      </c>
      <c r="AB33" s="39" t="n">
        <f aca="false">SUM(U33:AA33)</f>
        <v>99.95597</v>
      </c>
      <c r="AC33" s="39" t="n">
        <f aca="false">AB33/(1-Resumo!$B$5)</f>
        <v>113.586329545455</v>
      </c>
      <c r="AD33" s="39" t="n">
        <f aca="false">(AB33-AA33)/(1-Resumo!$B$5)</f>
        <v>102.336329545455</v>
      </c>
      <c r="AE33" s="39" t="n">
        <f aca="false">AC33-T33</f>
        <v>31.6224684090909</v>
      </c>
      <c r="AF33" s="40" t="n">
        <f aca="false">AC33/T33-1</f>
        <v>0.385809891953241</v>
      </c>
      <c r="AG33" s="37" t="str">
        <f aca="false">IF(AC33&lt;T33,"SIM","NÃO")</f>
        <v>NÃO</v>
      </c>
      <c r="AH33" s="37" t="n">
        <v>8</v>
      </c>
      <c r="AI33" s="37" t="n">
        <v>5</v>
      </c>
      <c r="AJ33" s="37" t="s">
        <v>323</v>
      </c>
    </row>
    <row r="34" customFormat="false" ht="15" hidden="false" customHeight="false" outlineLevel="0" collapsed="false">
      <c r="A34" s="37" t="n">
        <v>354230865</v>
      </c>
      <c r="B34" s="38" t="n">
        <v>46207.6318865741</v>
      </c>
      <c r="C34" s="37" t="s">
        <v>320</v>
      </c>
      <c r="D34" s="37" t="s">
        <v>361</v>
      </c>
      <c r="E34" s="37" t="n">
        <v>26298608</v>
      </c>
      <c r="F34" s="37" t="s">
        <v>142</v>
      </c>
      <c r="G34" s="37" t="s">
        <v>207</v>
      </c>
      <c r="H34" s="37" t="s">
        <v>168</v>
      </c>
      <c r="I34" s="37" t="n">
        <v>33</v>
      </c>
      <c r="J34" s="39" t="n">
        <v>399.99</v>
      </c>
      <c r="K34" s="37" t="s">
        <v>322</v>
      </c>
      <c r="L34" s="39" t="n">
        <v>101.31</v>
      </c>
      <c r="M34" s="39" t="n">
        <v>70</v>
      </c>
      <c r="N34" s="39" t="n">
        <f aca="false">J34*Resumo!$C$7</f>
        <v>0.79998</v>
      </c>
      <c r="O34" s="39" t="n">
        <f aca="false">J34*Resumo!$C$8</f>
        <v>0.79998</v>
      </c>
      <c r="P34" s="39" t="n">
        <f aca="false">Resumo!$C$10*CEILING(I34/100,1)</f>
        <v>1</v>
      </c>
      <c r="Q34" s="39" t="n">
        <f aca="false">Resumo!$C$9</f>
        <v>11.9</v>
      </c>
      <c r="R34" s="39" t="n">
        <f aca="false">SUM(M34:Q34)*Resumo!$C$11</f>
        <v>4.6474978</v>
      </c>
      <c r="S34" s="39" t="n">
        <f aca="false">SUM(M34:R34)</f>
        <v>89.1474578</v>
      </c>
      <c r="T34" s="39" t="n">
        <f aca="false">S34/(1-Resumo!$C$5)</f>
        <v>101.303929318182</v>
      </c>
      <c r="U34" s="39" t="n">
        <v>82.21</v>
      </c>
      <c r="V34" s="39" t="n">
        <f aca="false">J34*Resumo!$B$6</f>
        <v>0.39999</v>
      </c>
      <c r="W34" s="39" t="n">
        <f aca="false">J34*Resumo!$B$7</f>
        <v>0.79998</v>
      </c>
      <c r="X34" s="39" t="n">
        <f aca="false">Resumo!$B$9</f>
        <v>1</v>
      </c>
      <c r="Y34" s="39" t="n">
        <f aca="false">Resumo!$B$10*CEILING(I34/100,1)</f>
        <v>4.5</v>
      </c>
      <c r="Z34" s="39" t="n">
        <f aca="false">Resumo!$B$12*CEILING(I34,1)</f>
        <v>1.98</v>
      </c>
      <c r="AA34" s="39" t="n">
        <f aca="false">Resumo!$B$13*CEILING(I34,1)</f>
        <v>14.85</v>
      </c>
      <c r="AB34" s="39" t="n">
        <f aca="false">SUM(U34:AA34)</f>
        <v>105.73997</v>
      </c>
      <c r="AC34" s="39" t="n">
        <f aca="false">AB34/(1-Resumo!$B$5)</f>
        <v>120.159056818182</v>
      </c>
      <c r="AD34" s="39" t="n">
        <f aca="false">(AB34-AA34)/(1-Resumo!$B$5)</f>
        <v>103.284056818182</v>
      </c>
      <c r="AE34" s="39" t="n">
        <f aca="false">AC34-T34</f>
        <v>18.8551275</v>
      </c>
      <c r="AF34" s="40" t="n">
        <f aca="false">AC34/T34-1</f>
        <v>0.186124345096019</v>
      </c>
      <c r="AG34" s="37" t="str">
        <f aca="false">IF(AC34&lt;T34,"SIM","NÃO")</f>
        <v>NÃO</v>
      </c>
      <c r="AH34" s="37" t="n">
        <v>10</v>
      </c>
      <c r="AI34" s="37" t="n">
        <v>5</v>
      </c>
      <c r="AJ34" s="37" t="s">
        <v>323</v>
      </c>
    </row>
    <row r="35" customFormat="false" ht="15" hidden="false" customHeight="false" outlineLevel="0" collapsed="false">
      <c r="A35" s="37" t="n">
        <v>354280350</v>
      </c>
      <c r="B35" s="38" t="n">
        <v>46207.7331597222</v>
      </c>
      <c r="C35" s="37" t="s">
        <v>320</v>
      </c>
      <c r="D35" s="37" t="s">
        <v>362</v>
      </c>
      <c r="E35" s="37" t="n">
        <v>26143290</v>
      </c>
      <c r="F35" s="37" t="s">
        <v>145</v>
      </c>
      <c r="G35" s="37" t="s">
        <v>207</v>
      </c>
      <c r="H35" s="37" t="s">
        <v>168</v>
      </c>
      <c r="I35" s="37" t="n">
        <v>33</v>
      </c>
      <c r="J35" s="39" t="n">
        <v>419.99</v>
      </c>
      <c r="K35" s="37" t="s">
        <v>322</v>
      </c>
      <c r="L35" s="39" t="n">
        <v>101.4</v>
      </c>
      <c r="M35" s="39" t="n">
        <v>70</v>
      </c>
      <c r="N35" s="39" t="n">
        <f aca="false">J35*Resumo!$C$7</f>
        <v>0.83998</v>
      </c>
      <c r="O35" s="39" t="n">
        <f aca="false">J35*Resumo!$C$8</f>
        <v>0.83998</v>
      </c>
      <c r="P35" s="39" t="n">
        <f aca="false">Resumo!$C$10*CEILING(I35/100,1)</f>
        <v>1</v>
      </c>
      <c r="Q35" s="39" t="n">
        <f aca="false">Resumo!$C$9</f>
        <v>11.9</v>
      </c>
      <c r="R35" s="39" t="n">
        <f aca="false">SUM(M35:Q35)*Resumo!$C$11</f>
        <v>4.6518978</v>
      </c>
      <c r="S35" s="39" t="n">
        <f aca="false">SUM(M35:R35)</f>
        <v>89.2318578</v>
      </c>
      <c r="T35" s="39" t="n">
        <f aca="false">S35/(1-Resumo!$C$5)</f>
        <v>101.399838409091</v>
      </c>
      <c r="U35" s="39" t="n">
        <v>82.21</v>
      </c>
      <c r="V35" s="39" t="n">
        <f aca="false">J35*Resumo!$B$6</f>
        <v>0.41999</v>
      </c>
      <c r="W35" s="39" t="n">
        <f aca="false">J35*Resumo!$B$7</f>
        <v>0.83998</v>
      </c>
      <c r="X35" s="39" t="n">
        <f aca="false">Resumo!$B$9</f>
        <v>1</v>
      </c>
      <c r="Y35" s="39" t="n">
        <f aca="false">Resumo!$B$10*CEILING(I35/100,1)</f>
        <v>4.5</v>
      </c>
      <c r="Z35" s="39" t="n">
        <f aca="false">Resumo!$B$12*CEILING(I35,1)</f>
        <v>1.98</v>
      </c>
      <c r="AA35" s="39" t="n">
        <f aca="false">Resumo!$B$13*CEILING(I35,1)</f>
        <v>14.85</v>
      </c>
      <c r="AB35" s="39" t="n">
        <f aca="false">SUM(U35:AA35)</f>
        <v>105.79997</v>
      </c>
      <c r="AC35" s="39" t="n">
        <f aca="false">AB35/(1-Resumo!$B$5)</f>
        <v>120.227238636364</v>
      </c>
      <c r="AD35" s="39" t="n">
        <f aca="false">(AB35-AA35)/(1-Resumo!$B$5)</f>
        <v>103.352238636364</v>
      </c>
      <c r="AE35" s="39" t="n">
        <f aca="false">AC35-T35</f>
        <v>18.8274002272727</v>
      </c>
      <c r="AF35" s="40" t="n">
        <f aca="false">AC35/T35-1</f>
        <v>0.185674854345574</v>
      </c>
      <c r="AG35" s="37" t="str">
        <f aca="false">IF(AC35&lt;T35,"SIM","NÃO")</f>
        <v>NÃO</v>
      </c>
      <c r="AH35" s="37" t="n">
        <v>10</v>
      </c>
      <c r="AI35" s="37" t="n">
        <v>5</v>
      </c>
      <c r="AJ35" s="37" t="s">
        <v>323</v>
      </c>
    </row>
    <row r="36" customFormat="false" ht="15" hidden="false" customHeight="false" outlineLevel="0" collapsed="false">
      <c r="A36" s="37" t="n">
        <v>354337425</v>
      </c>
      <c r="B36" s="38" t="n">
        <v>46207.8455439815</v>
      </c>
      <c r="C36" s="37" t="s">
        <v>320</v>
      </c>
      <c r="D36" s="37" t="s">
        <v>363</v>
      </c>
      <c r="E36" s="37" t="n">
        <v>23893770</v>
      </c>
      <c r="F36" s="37" t="s">
        <v>205</v>
      </c>
      <c r="G36" s="37" t="s">
        <v>201</v>
      </c>
      <c r="H36" s="37" t="s">
        <v>168</v>
      </c>
      <c r="I36" s="37" t="n">
        <v>27</v>
      </c>
      <c r="J36" s="39" t="n">
        <v>314.99</v>
      </c>
      <c r="K36" s="37" t="s">
        <v>322</v>
      </c>
      <c r="L36" s="39" t="n">
        <v>108.69</v>
      </c>
      <c r="M36" s="39" t="n">
        <v>76.5</v>
      </c>
      <c r="N36" s="39" t="n">
        <f aca="false">J36*Resumo!$C$7</f>
        <v>0.62998</v>
      </c>
      <c r="O36" s="39" t="n">
        <f aca="false">J36*Resumo!$C$8</f>
        <v>0.62998</v>
      </c>
      <c r="P36" s="39" t="n">
        <f aca="false">Resumo!$C$10*CEILING(I36/100,1)</f>
        <v>1</v>
      </c>
      <c r="Q36" s="39" t="n">
        <f aca="false">Resumo!$C$9</f>
        <v>11.9</v>
      </c>
      <c r="R36" s="39" t="n">
        <f aca="false">SUM(M36:Q36)*Resumo!$C$11</f>
        <v>4.9862978</v>
      </c>
      <c r="S36" s="39" t="n">
        <f aca="false">SUM(M36:R36)</f>
        <v>95.6462578</v>
      </c>
      <c r="T36" s="39" t="n">
        <f aca="false">S36/(1-Resumo!$C$5)</f>
        <v>108.688929318182</v>
      </c>
      <c r="U36" s="39" t="n">
        <v>92.21</v>
      </c>
      <c r="V36" s="39" t="n">
        <f aca="false">J36*Resumo!$B$6</f>
        <v>0.31499</v>
      </c>
      <c r="W36" s="39" t="n">
        <f aca="false">J36*Resumo!$B$7</f>
        <v>0.62998</v>
      </c>
      <c r="X36" s="39" t="n">
        <f aca="false">Resumo!$B$9</f>
        <v>1</v>
      </c>
      <c r="Y36" s="39" t="n">
        <f aca="false">Resumo!$B$10*CEILING(I36/100,1)</f>
        <v>4.5</v>
      </c>
      <c r="Z36" s="39" t="n">
        <f aca="false">Resumo!$B$12*CEILING(I36,1)</f>
        <v>1.62</v>
      </c>
      <c r="AA36" s="39" t="n">
        <f aca="false">Resumo!$B$13*CEILING(I36,1)</f>
        <v>12.15</v>
      </c>
      <c r="AB36" s="39" t="n">
        <f aca="false">SUM(U36:AA36)</f>
        <v>112.42497</v>
      </c>
      <c r="AC36" s="39" t="n">
        <f aca="false">AB36/(1-Resumo!$B$5)</f>
        <v>127.755647727273</v>
      </c>
      <c r="AD36" s="39" t="n">
        <f aca="false">(AB36-AA36)/(1-Resumo!$B$5)</f>
        <v>113.948829545455</v>
      </c>
      <c r="AE36" s="39" t="n">
        <f aca="false">AC36-T36</f>
        <v>19.0667184090909</v>
      </c>
      <c r="AF36" s="40" t="n">
        <f aca="false">AC36/T36-1</f>
        <v>0.175424659426665</v>
      </c>
      <c r="AG36" s="37" t="str">
        <f aca="false">IF(AC36&lt;T36,"SIM","NÃO")</f>
        <v>NÃO</v>
      </c>
      <c r="AH36" s="37" t="n">
        <v>13</v>
      </c>
      <c r="AI36" s="37" t="n">
        <v>5</v>
      </c>
      <c r="AJ36" s="37" t="s">
        <v>327</v>
      </c>
    </row>
    <row r="37" customFormat="false" ht="15" hidden="false" customHeight="false" outlineLevel="0" collapsed="false">
      <c r="A37" s="37" t="n">
        <v>354354780</v>
      </c>
      <c r="B37" s="38" t="n">
        <v>46207.8796064815</v>
      </c>
      <c r="C37" s="37" t="s">
        <v>320</v>
      </c>
      <c r="D37" s="37" t="s">
        <v>364</v>
      </c>
      <c r="E37" s="37" t="n">
        <v>23036076</v>
      </c>
      <c r="F37" s="37" t="s">
        <v>139</v>
      </c>
      <c r="G37" s="37" t="s">
        <v>198</v>
      </c>
      <c r="H37" s="37" t="s">
        <v>167</v>
      </c>
      <c r="I37" s="37" t="n">
        <v>19.9</v>
      </c>
      <c r="J37" s="39" t="n">
        <v>260.99</v>
      </c>
      <c r="K37" s="37" t="s">
        <v>365</v>
      </c>
      <c r="L37" s="39" t="n">
        <v>68.68</v>
      </c>
      <c r="M37" s="39" t="n">
        <v>39.83</v>
      </c>
      <c r="N37" s="39" t="n">
        <f aca="false">J37*Resumo!$C$7</f>
        <v>0.52198</v>
      </c>
      <c r="O37" s="39" t="n">
        <f aca="false">J37*Resumo!$C$8</f>
        <v>0.52198</v>
      </c>
      <c r="P37" s="39" t="n">
        <f aca="false">Resumo!$C$10*CEILING(I37/100,1)</f>
        <v>1</v>
      </c>
      <c r="Q37" s="39" t="n">
        <f aca="false">Resumo!$C$9</f>
        <v>11.9</v>
      </c>
      <c r="R37" s="39" t="n">
        <f aca="false">SUM(M37:Q37)*Resumo!$C$11</f>
        <v>2.9575678</v>
      </c>
      <c r="S37" s="39" t="n">
        <f aca="false">SUM(M37:R37)</f>
        <v>56.7315278</v>
      </c>
      <c r="T37" s="39" t="n">
        <f aca="false">S37/(1-Resumo!$C$5)</f>
        <v>64.4676452272727</v>
      </c>
      <c r="U37" s="39" t="n">
        <v>46.98</v>
      </c>
      <c r="V37" s="39" t="n">
        <f aca="false">J37*Resumo!$B$6</f>
        <v>0.26099</v>
      </c>
      <c r="W37" s="39" t="n">
        <f aca="false">J37*Resumo!$B$7</f>
        <v>0.52198</v>
      </c>
      <c r="X37" s="39" t="n">
        <f aca="false">Resumo!$B$9</f>
        <v>1</v>
      </c>
      <c r="Y37" s="39" t="n">
        <f aca="false">Resumo!$B$10*CEILING(I37/100,1)</f>
        <v>4.5</v>
      </c>
      <c r="Z37" s="39" t="n">
        <f aca="false">Resumo!$B$12*CEILING(I37,1)</f>
        <v>1.2</v>
      </c>
      <c r="AA37" s="39" t="n">
        <f aca="false">Resumo!$B$13*CEILING(I37,1)</f>
        <v>9</v>
      </c>
      <c r="AB37" s="39" t="n">
        <f aca="false">SUM(U37:AA37)</f>
        <v>63.46297</v>
      </c>
      <c r="AC37" s="39" t="n">
        <f aca="false">AB37/(1-Resumo!$B$5)</f>
        <v>72.1170113636364</v>
      </c>
      <c r="AD37" s="39" t="n">
        <f aca="false">(AB37-AA37)/(1-Resumo!$B$5)</f>
        <v>61.8897386363636</v>
      </c>
      <c r="AE37" s="39" t="n">
        <f aca="false">AC37-T37</f>
        <v>7.64936613636364</v>
      </c>
      <c r="AF37" s="40" t="n">
        <f aca="false">AC37/T37-1</f>
        <v>0.1186543437316</v>
      </c>
      <c r="AG37" s="37" t="str">
        <f aca="false">IF(AC37&lt;T37,"SIM","NÃO")</f>
        <v>NÃO</v>
      </c>
      <c r="AH37" s="37" t="n">
        <v>8</v>
      </c>
      <c r="AI37" s="37" t="n">
        <v>5</v>
      </c>
      <c r="AJ37" s="37" t="s">
        <v>323</v>
      </c>
    </row>
    <row r="38" customFormat="false" ht="15" hidden="false" customHeight="false" outlineLevel="0" collapsed="false">
      <c r="A38" s="37" t="n">
        <v>354382002</v>
      </c>
      <c r="B38" s="38" t="n">
        <v>46207.9394560185</v>
      </c>
      <c r="C38" s="37" t="s">
        <v>320</v>
      </c>
      <c r="D38" s="37" t="s">
        <v>366</v>
      </c>
      <c r="E38" s="37" t="n">
        <v>21381009</v>
      </c>
      <c r="F38" s="37" t="s">
        <v>139</v>
      </c>
      <c r="G38" s="37" t="s">
        <v>198</v>
      </c>
      <c r="H38" s="37" t="s">
        <v>170</v>
      </c>
      <c r="I38" s="37" t="n">
        <v>49.6</v>
      </c>
      <c r="J38" s="39" t="n">
        <v>799.99</v>
      </c>
      <c r="K38" s="37" t="s">
        <v>322</v>
      </c>
      <c r="L38" s="39" t="n">
        <v>104.42</v>
      </c>
      <c r="M38" s="39" t="n">
        <v>71</v>
      </c>
      <c r="N38" s="39" t="n">
        <f aca="false">J38*Resumo!$C$7</f>
        <v>1.59998</v>
      </c>
      <c r="O38" s="39" t="n">
        <f aca="false">J38*Resumo!$C$8</f>
        <v>1.59998</v>
      </c>
      <c r="P38" s="39" t="n">
        <f aca="false">Resumo!$C$10*CEILING(I38/100,1)</f>
        <v>1</v>
      </c>
      <c r="Q38" s="39" t="n">
        <f aca="false">Resumo!$C$9</f>
        <v>11.9</v>
      </c>
      <c r="R38" s="39" t="n">
        <f aca="false">SUM(M38:Q38)*Resumo!$C$11</f>
        <v>4.7904978</v>
      </c>
      <c r="S38" s="39" t="n">
        <f aca="false">SUM(M38:R38)</f>
        <v>91.8904578</v>
      </c>
      <c r="T38" s="39" t="n">
        <f aca="false">S38/(1-Resumo!$C$5)</f>
        <v>104.420974772727</v>
      </c>
      <c r="U38" s="39" t="n">
        <v>93.97</v>
      </c>
      <c r="V38" s="39" t="n">
        <f aca="false">J38*Resumo!$B$6</f>
        <v>0.79999</v>
      </c>
      <c r="W38" s="39" t="n">
        <f aca="false">J38*Resumo!$B$7</f>
        <v>1.59998</v>
      </c>
      <c r="X38" s="39" t="n">
        <f aca="false">Resumo!$B$9</f>
        <v>1</v>
      </c>
      <c r="Y38" s="39" t="n">
        <f aca="false">Resumo!$B$10*CEILING(I38/100,1)</f>
        <v>4.5</v>
      </c>
      <c r="Z38" s="39" t="n">
        <f aca="false">Resumo!$B$12*CEILING(I38,1)</f>
        <v>3</v>
      </c>
      <c r="AA38" s="39" t="n">
        <f aca="false">Resumo!$B$13*CEILING(I38,1)</f>
        <v>22.5</v>
      </c>
      <c r="AB38" s="39" t="n">
        <f aca="false">SUM(U38:AA38)</f>
        <v>127.36997</v>
      </c>
      <c r="AC38" s="39" t="n">
        <f aca="false">AB38/(1-Resumo!$B$5)</f>
        <v>144.738602272727</v>
      </c>
      <c r="AD38" s="39" t="n">
        <f aca="false">(AB38-AA38)/(1-Resumo!$B$5)</f>
        <v>119.170420454545</v>
      </c>
      <c r="AE38" s="39" t="n">
        <f aca="false">AC38-T38</f>
        <v>40.3176275</v>
      </c>
      <c r="AF38" s="40" t="n">
        <f aca="false">AC38/T38-1</f>
        <v>0.386106599634331</v>
      </c>
      <c r="AG38" s="37" t="str">
        <f aca="false">IF(AC38&lt;T38,"SIM","NÃO")</f>
        <v>NÃO</v>
      </c>
      <c r="AH38" s="37" t="n">
        <v>8</v>
      </c>
      <c r="AI38" s="37" t="n">
        <v>5</v>
      </c>
      <c r="AJ38" s="37" t="s">
        <v>323</v>
      </c>
    </row>
    <row r="39" customFormat="false" ht="15" hidden="false" customHeight="false" outlineLevel="0" collapsed="false">
      <c r="A39" s="37" t="n">
        <v>354392222</v>
      </c>
      <c r="B39" s="38" t="n">
        <v>46207.9641435185</v>
      </c>
      <c r="C39" s="37" t="s">
        <v>320</v>
      </c>
      <c r="D39" s="37" t="s">
        <v>367</v>
      </c>
      <c r="E39" s="37" t="n">
        <v>20541170</v>
      </c>
      <c r="F39" s="37" t="s">
        <v>139</v>
      </c>
      <c r="G39" s="37" t="s">
        <v>198</v>
      </c>
      <c r="H39" s="37" t="s">
        <v>173</v>
      </c>
      <c r="I39" s="37" t="n">
        <v>71.9</v>
      </c>
      <c r="J39" s="39" t="n">
        <v>735.99</v>
      </c>
      <c r="K39" s="37" t="s">
        <v>322</v>
      </c>
      <c r="L39" s="39" t="n">
        <v>136</v>
      </c>
      <c r="M39" s="39" t="n">
        <v>97.6</v>
      </c>
      <c r="N39" s="39" t="n">
        <f aca="false">J39*Resumo!$C$7</f>
        <v>1.47198</v>
      </c>
      <c r="O39" s="39" t="n">
        <f aca="false">J39*Resumo!$C$8</f>
        <v>1.47198</v>
      </c>
      <c r="P39" s="39" t="n">
        <f aca="false">Resumo!$C$10*CEILING(I39/100,1)</f>
        <v>1</v>
      </c>
      <c r="Q39" s="39" t="n">
        <f aca="false">Resumo!$C$9</f>
        <v>11.9</v>
      </c>
      <c r="R39" s="39" t="n">
        <f aca="false">SUM(M39:Q39)*Resumo!$C$11</f>
        <v>6.2394178</v>
      </c>
      <c r="S39" s="39" t="n">
        <f aca="false">SUM(M39:R39)</f>
        <v>119.6833778</v>
      </c>
      <c r="T39" s="39" t="n">
        <f aca="false">S39/(1-Resumo!$C$5)</f>
        <v>136.003838409091</v>
      </c>
      <c r="U39" s="39" t="n">
        <v>134.39</v>
      </c>
      <c r="V39" s="39" t="n">
        <f aca="false">J39*Resumo!$B$6</f>
        <v>0.73599</v>
      </c>
      <c r="W39" s="39" t="n">
        <f aca="false">J39*Resumo!$B$7</f>
        <v>1.47198</v>
      </c>
      <c r="X39" s="39" t="n">
        <f aca="false">Resumo!$B$9</f>
        <v>1</v>
      </c>
      <c r="Y39" s="39" t="n">
        <f aca="false">Resumo!$B$10*CEILING(I39/100,1)</f>
        <v>4.5</v>
      </c>
      <c r="Z39" s="39" t="n">
        <f aca="false">Resumo!$B$12*CEILING(I39,1)</f>
        <v>4.32</v>
      </c>
      <c r="AA39" s="39" t="n">
        <f aca="false">Resumo!$B$13*CEILING(I39,1)</f>
        <v>32.4</v>
      </c>
      <c r="AB39" s="39" t="n">
        <f aca="false">SUM(U39:AA39)</f>
        <v>178.81797</v>
      </c>
      <c r="AC39" s="39" t="n">
        <f aca="false">AB39/(1-Resumo!$B$5)</f>
        <v>203.202238636364</v>
      </c>
      <c r="AD39" s="39" t="n">
        <f aca="false">(AB39-AA39)/(1-Resumo!$B$5)</f>
        <v>166.384056818182</v>
      </c>
      <c r="AE39" s="39" t="n">
        <f aca="false">AC39-T39</f>
        <v>67.1984002272727</v>
      </c>
      <c r="AF39" s="40" t="n">
        <f aca="false">AC39/T39-1</f>
        <v>0.494091938972665</v>
      </c>
      <c r="AG39" s="37" t="str">
        <f aca="false">IF(AC39&lt;T39,"SIM","NÃO")</f>
        <v>NÃO</v>
      </c>
      <c r="AH39" s="37" t="n">
        <v>8</v>
      </c>
      <c r="AI39" s="37" t="n">
        <v>5</v>
      </c>
      <c r="AJ39" s="37" t="s">
        <v>323</v>
      </c>
    </row>
    <row r="40" customFormat="false" ht="15" hidden="false" customHeight="false" outlineLevel="0" collapsed="false">
      <c r="A40" s="37" t="n">
        <v>354599020</v>
      </c>
      <c r="B40" s="38" t="n">
        <v>46208.5555092593</v>
      </c>
      <c r="C40" s="37" t="s">
        <v>352</v>
      </c>
      <c r="D40" s="37" t="s">
        <v>368</v>
      </c>
      <c r="E40" s="37" t="n">
        <v>21380090</v>
      </c>
      <c r="F40" s="37" t="s">
        <v>139</v>
      </c>
      <c r="G40" s="37" t="s">
        <v>198</v>
      </c>
      <c r="H40" s="37" t="s">
        <v>168</v>
      </c>
      <c r="I40" s="37" t="n">
        <v>27.5</v>
      </c>
      <c r="J40" s="39" t="n">
        <v>377.99</v>
      </c>
      <c r="K40" s="37" t="s">
        <v>322</v>
      </c>
      <c r="L40" s="39" t="n">
        <v>82.15</v>
      </c>
      <c r="M40" s="39" t="n">
        <v>54.1</v>
      </c>
      <c r="N40" s="39" t="n">
        <f aca="false">J40*Resumo!$C$7</f>
        <v>0.75598</v>
      </c>
      <c r="O40" s="39" t="n">
        <f aca="false">J40*Resumo!$C$8</f>
        <v>0.75598</v>
      </c>
      <c r="P40" s="39" t="n">
        <f aca="false">Resumo!$C$10*CEILING(I40/100,1)</f>
        <v>1</v>
      </c>
      <c r="Q40" s="39" t="n">
        <f aca="false">Resumo!$C$9</f>
        <v>11.9</v>
      </c>
      <c r="R40" s="39" t="n">
        <f aca="false">SUM(M40:Q40)*Resumo!$C$11</f>
        <v>3.7681578</v>
      </c>
      <c r="S40" s="39" t="n">
        <f aca="false">SUM(M40:R40)</f>
        <v>72.2801178</v>
      </c>
      <c r="T40" s="39" t="n">
        <f aca="false">S40/(1-Resumo!$C$5)</f>
        <v>82.1364975</v>
      </c>
      <c r="U40" s="39" t="n">
        <v>82.21</v>
      </c>
      <c r="V40" s="39" t="n">
        <f aca="false">J40*Resumo!$B$6</f>
        <v>0.37799</v>
      </c>
      <c r="W40" s="39" t="n">
        <f aca="false">J40*Resumo!$B$7</f>
        <v>0.75598</v>
      </c>
      <c r="X40" s="39" t="n">
        <f aca="false">Resumo!$B$9</f>
        <v>1</v>
      </c>
      <c r="Y40" s="39" t="n">
        <f aca="false">Resumo!$B$10*CEILING(I40/100,1)</f>
        <v>4.5</v>
      </c>
      <c r="Z40" s="39" t="n">
        <f aca="false">Resumo!$B$12*CEILING(I40,1)</f>
        <v>1.68</v>
      </c>
      <c r="AA40" s="39" t="n">
        <f aca="false">Resumo!$B$13*CEILING(I40,1)</f>
        <v>12.6</v>
      </c>
      <c r="AB40" s="39" t="n">
        <f aca="false">SUM(U40:AA40)</f>
        <v>103.12397</v>
      </c>
      <c r="AC40" s="39" t="n">
        <f aca="false">AB40/(1-Resumo!$B$5)</f>
        <v>117.186329545455</v>
      </c>
      <c r="AD40" s="39" t="n">
        <f aca="false">(AB40-AA40)/(1-Resumo!$B$5)</f>
        <v>102.868147727273</v>
      </c>
      <c r="AE40" s="39" t="n">
        <f aca="false">AC40-T40</f>
        <v>35.0498320454545</v>
      </c>
      <c r="AF40" s="40" t="n">
        <f aca="false">AC40/T40-1</f>
        <v>0.426726645428904</v>
      </c>
      <c r="AG40" s="37" t="str">
        <f aca="false">IF(AC40&lt;T40,"SIM","NÃO")</f>
        <v>NÃO</v>
      </c>
      <c r="AH40" s="37" t="n">
        <v>8</v>
      </c>
      <c r="AI40" s="37" t="n">
        <v>5</v>
      </c>
      <c r="AJ40" s="37" t="s">
        <v>323</v>
      </c>
    </row>
    <row r="41" customFormat="false" ht="15" hidden="false" customHeight="false" outlineLevel="0" collapsed="false">
      <c r="A41" s="37" t="n">
        <v>354635098</v>
      </c>
      <c r="B41" s="38" t="n">
        <v>46208.6180324074</v>
      </c>
      <c r="C41" s="37" t="s">
        <v>320</v>
      </c>
      <c r="D41" s="37" t="s">
        <v>369</v>
      </c>
      <c r="E41" s="37" t="n">
        <v>23056630</v>
      </c>
      <c r="F41" s="37" t="s">
        <v>139</v>
      </c>
      <c r="G41" s="37" t="s">
        <v>198</v>
      </c>
      <c r="H41" s="37" t="s">
        <v>170</v>
      </c>
      <c r="I41" s="37" t="n">
        <v>46.8</v>
      </c>
      <c r="J41" s="39" t="n">
        <v>556.99</v>
      </c>
      <c r="K41" s="37" t="s">
        <v>322</v>
      </c>
      <c r="L41" s="39" t="n">
        <v>103.25</v>
      </c>
      <c r="M41" s="39" t="n">
        <v>71</v>
      </c>
      <c r="N41" s="39" t="n">
        <f aca="false">J41*Resumo!$C$7</f>
        <v>1.11398</v>
      </c>
      <c r="O41" s="39" t="n">
        <f aca="false">J41*Resumo!$C$8</f>
        <v>1.11398</v>
      </c>
      <c r="P41" s="39" t="n">
        <f aca="false">Resumo!$C$10*CEILING(I41/100,1)</f>
        <v>1</v>
      </c>
      <c r="Q41" s="39" t="n">
        <f aca="false">Resumo!$C$9</f>
        <v>11.9</v>
      </c>
      <c r="R41" s="39" t="n">
        <f aca="false">SUM(M41:Q41)*Resumo!$C$11</f>
        <v>4.7370378</v>
      </c>
      <c r="S41" s="39" t="n">
        <f aca="false">SUM(M41:R41)</f>
        <v>90.8649978</v>
      </c>
      <c r="T41" s="39" t="n">
        <f aca="false">S41/(1-Resumo!$C$5)</f>
        <v>103.255679318182</v>
      </c>
      <c r="U41" s="39" t="n">
        <v>93.97</v>
      </c>
      <c r="V41" s="39" t="n">
        <f aca="false">J41*Resumo!$B$6</f>
        <v>0.55699</v>
      </c>
      <c r="W41" s="39" t="n">
        <f aca="false">J41*Resumo!$B$7</f>
        <v>1.11398</v>
      </c>
      <c r="X41" s="39" t="n">
        <f aca="false">Resumo!$B$9</f>
        <v>1</v>
      </c>
      <c r="Y41" s="39" t="n">
        <f aca="false">Resumo!$B$10*CEILING(I41/100,1)</f>
        <v>4.5</v>
      </c>
      <c r="Z41" s="39" t="n">
        <f aca="false">Resumo!$B$12*CEILING(I41,1)</f>
        <v>2.82</v>
      </c>
      <c r="AA41" s="39" t="n">
        <f aca="false">Resumo!$B$13*CEILING(I41,1)</f>
        <v>21.15</v>
      </c>
      <c r="AB41" s="39" t="n">
        <f aca="false">SUM(U41:AA41)</f>
        <v>125.11097</v>
      </c>
      <c r="AC41" s="39" t="n">
        <f aca="false">AB41/(1-Resumo!$B$5)</f>
        <v>142.171556818182</v>
      </c>
      <c r="AD41" s="39" t="n">
        <f aca="false">(AB41-AA41)/(1-Resumo!$B$5)</f>
        <v>118.137465909091</v>
      </c>
      <c r="AE41" s="39" t="n">
        <f aca="false">AC41-T41</f>
        <v>38.9158775</v>
      </c>
      <c r="AF41" s="40" t="n">
        <f aca="false">AC41/T41-1</f>
        <v>0.376888494240408</v>
      </c>
      <c r="AG41" s="37" t="str">
        <f aca="false">IF(AC41&lt;T41,"SIM","NÃO")</f>
        <v>NÃO</v>
      </c>
      <c r="AH41" s="37" t="n">
        <v>8</v>
      </c>
      <c r="AI41" s="37" t="n">
        <v>5</v>
      </c>
      <c r="AJ41" s="37" t="s">
        <v>323</v>
      </c>
    </row>
    <row r="42" customFormat="false" ht="15" hidden="false" customHeight="false" outlineLevel="0" collapsed="false">
      <c r="A42" s="37" t="n">
        <v>354655135</v>
      </c>
      <c r="B42" s="38" t="n">
        <v>46208.6562384259</v>
      </c>
      <c r="C42" s="37" t="s">
        <v>320</v>
      </c>
      <c r="D42" s="37" t="s">
        <v>370</v>
      </c>
      <c r="E42" s="37" t="n">
        <v>24310005</v>
      </c>
      <c r="F42" s="37" t="s">
        <v>143</v>
      </c>
      <c r="G42" s="37" t="s">
        <v>207</v>
      </c>
      <c r="H42" s="37" t="s">
        <v>168</v>
      </c>
      <c r="I42" s="37" t="n">
        <v>27.5</v>
      </c>
      <c r="J42" s="39" t="n">
        <v>332.99</v>
      </c>
      <c r="K42" s="37" t="s">
        <v>322</v>
      </c>
      <c r="L42" s="39" t="n">
        <v>100.99</v>
      </c>
      <c r="M42" s="39" t="n">
        <v>70</v>
      </c>
      <c r="N42" s="39" t="n">
        <f aca="false">J42*Resumo!$C$7</f>
        <v>0.66598</v>
      </c>
      <c r="O42" s="39" t="n">
        <f aca="false">J42*Resumo!$C$8</f>
        <v>0.66598</v>
      </c>
      <c r="P42" s="39" t="n">
        <f aca="false">Resumo!$C$10*CEILING(I42/100,1)</f>
        <v>1</v>
      </c>
      <c r="Q42" s="39" t="n">
        <f aca="false">Resumo!$C$9</f>
        <v>11.9</v>
      </c>
      <c r="R42" s="39" t="n">
        <f aca="false">SUM(M42:Q42)*Resumo!$C$11</f>
        <v>4.6327578</v>
      </c>
      <c r="S42" s="39" t="n">
        <f aca="false">SUM(M42:R42)</f>
        <v>88.8647178</v>
      </c>
      <c r="T42" s="39" t="n">
        <f aca="false">S42/(1-Resumo!$C$5)</f>
        <v>100.982633863636</v>
      </c>
      <c r="U42" s="39" t="n">
        <v>100.58</v>
      </c>
      <c r="V42" s="39" t="n">
        <f aca="false">J42*Resumo!$B$6</f>
        <v>0.33299</v>
      </c>
      <c r="W42" s="39" t="n">
        <f aca="false">J42*Resumo!$B$7</f>
        <v>0.66598</v>
      </c>
      <c r="X42" s="39" t="n">
        <f aca="false">Resumo!$B$9</f>
        <v>1</v>
      </c>
      <c r="Y42" s="39" t="n">
        <f aca="false">Resumo!$B$10*CEILING(I42/100,1)</f>
        <v>4.5</v>
      </c>
      <c r="Z42" s="39" t="n">
        <f aca="false">Resumo!$B$12*CEILING(I42,1)</f>
        <v>1.68</v>
      </c>
      <c r="AA42" s="39" t="n">
        <f aca="false">Resumo!$B$13*CEILING(I42,1)</f>
        <v>12.6</v>
      </c>
      <c r="AB42" s="39" t="n">
        <f aca="false">SUM(U42:AA42)</f>
        <v>121.35897</v>
      </c>
      <c r="AC42" s="39" t="n">
        <f aca="false">AB42/(1-Resumo!$B$5)</f>
        <v>137.907920454545</v>
      </c>
      <c r="AD42" s="39" t="n">
        <f aca="false">(AB42-AA42)/(1-Resumo!$B$5)</f>
        <v>123.589738636364</v>
      </c>
      <c r="AE42" s="39" t="n">
        <f aca="false">AC42-T42</f>
        <v>36.9252865909091</v>
      </c>
      <c r="AF42" s="40" t="n">
        <f aca="false">AC42/T42-1</f>
        <v>0.365659769191323</v>
      </c>
      <c r="AG42" s="37" t="str">
        <f aca="false">IF(AC42&lt;T42,"SIM","NÃO")</f>
        <v>NÃO</v>
      </c>
      <c r="AH42" s="37" t="n">
        <v>10</v>
      </c>
      <c r="AI42" s="37" t="n">
        <v>7</v>
      </c>
      <c r="AJ42" s="37" t="s">
        <v>323</v>
      </c>
    </row>
    <row r="43" customFormat="false" ht="15" hidden="false" customHeight="false" outlineLevel="0" collapsed="false">
      <c r="A43" s="37" t="n">
        <v>354689680</v>
      </c>
      <c r="B43" s="38" t="n">
        <v>46208.7254050926</v>
      </c>
      <c r="C43" s="37" t="s">
        <v>320</v>
      </c>
      <c r="D43" s="37" t="s">
        <v>371</v>
      </c>
      <c r="E43" s="37" t="n">
        <v>23820810</v>
      </c>
      <c r="F43" s="37" t="s">
        <v>200</v>
      </c>
      <c r="G43" s="37" t="s">
        <v>201</v>
      </c>
      <c r="H43" s="37" t="s">
        <v>172</v>
      </c>
      <c r="I43" s="37" t="n">
        <v>63.9</v>
      </c>
      <c r="J43" s="39" t="n">
        <v>799.99</v>
      </c>
      <c r="K43" s="37" t="s">
        <v>322</v>
      </c>
      <c r="L43" s="39" t="n">
        <v>155.85</v>
      </c>
      <c r="M43" s="39" t="n">
        <v>113.9</v>
      </c>
      <c r="N43" s="39" t="n">
        <f aca="false">J43*Resumo!$C$7</f>
        <v>1.59998</v>
      </c>
      <c r="O43" s="39" t="n">
        <f aca="false">J43*Resumo!$C$8</f>
        <v>1.59998</v>
      </c>
      <c r="P43" s="39" t="n">
        <f aca="false">Resumo!$C$10*CEILING(I43/100,1)</f>
        <v>1</v>
      </c>
      <c r="Q43" s="39" t="n">
        <f aca="false">Resumo!$C$9</f>
        <v>11.9</v>
      </c>
      <c r="R43" s="39" t="n">
        <f aca="false">SUM(M43:Q43)*Resumo!$C$11</f>
        <v>7.1499978</v>
      </c>
      <c r="S43" s="39" t="n">
        <f aca="false">SUM(M43:R43)</f>
        <v>137.1499578</v>
      </c>
      <c r="T43" s="39" t="n">
        <f aca="false">S43/(1-Resumo!$C$5)</f>
        <v>155.852224772727</v>
      </c>
      <c r="U43" s="39" t="n">
        <v>141.02</v>
      </c>
      <c r="V43" s="39" t="n">
        <f aca="false">J43*Resumo!$B$6</f>
        <v>0.79999</v>
      </c>
      <c r="W43" s="39" t="n">
        <f aca="false">J43*Resumo!$B$7</f>
        <v>1.59998</v>
      </c>
      <c r="X43" s="39" t="n">
        <f aca="false">Resumo!$B$9</f>
        <v>1</v>
      </c>
      <c r="Y43" s="39" t="n">
        <f aca="false">Resumo!$B$10*CEILING(I43/100,1)</f>
        <v>4.5</v>
      </c>
      <c r="Z43" s="39" t="n">
        <f aca="false">Resumo!$B$12*CEILING(I43,1)</f>
        <v>3.84</v>
      </c>
      <c r="AA43" s="39" t="n">
        <f aca="false">Resumo!$B$13*CEILING(I43,1)</f>
        <v>28.8</v>
      </c>
      <c r="AB43" s="39" t="n">
        <f aca="false">SUM(U43:AA43)</f>
        <v>181.55997</v>
      </c>
      <c r="AC43" s="39" t="n">
        <f aca="false">AB43/(1-Resumo!$B$5)</f>
        <v>206.318147727273</v>
      </c>
      <c r="AD43" s="39" t="n">
        <f aca="false">(AB43-AA43)/(1-Resumo!$B$5)</f>
        <v>173.590875</v>
      </c>
      <c r="AE43" s="39" t="n">
        <f aca="false">AC43-T43</f>
        <v>50.4659229545455</v>
      </c>
      <c r="AF43" s="40" t="n">
        <f aca="false">AC43/T43-1</f>
        <v>0.323806240354527</v>
      </c>
      <c r="AG43" s="37" t="str">
        <f aca="false">IF(AC43&lt;T43,"SIM","NÃO")</f>
        <v>NÃO</v>
      </c>
      <c r="AH43" s="37" t="n">
        <v>13</v>
      </c>
      <c r="AI43" s="37" t="n">
        <v>5</v>
      </c>
      <c r="AJ43" s="37" t="s">
        <v>327</v>
      </c>
    </row>
    <row r="44" customFormat="false" ht="15" hidden="false" customHeight="false" outlineLevel="0" collapsed="false">
      <c r="A44" s="37" t="n">
        <v>354727575</v>
      </c>
      <c r="B44" s="38" t="n">
        <v>46208.7990509259</v>
      </c>
      <c r="C44" s="37" t="s">
        <v>325</v>
      </c>
      <c r="D44" s="37" t="s">
        <v>372</v>
      </c>
      <c r="E44" s="37" t="n">
        <v>22753031</v>
      </c>
      <c r="F44" s="37" t="s">
        <v>139</v>
      </c>
      <c r="G44" s="37" t="s">
        <v>198</v>
      </c>
      <c r="H44" s="37" t="s">
        <v>170</v>
      </c>
      <c r="I44" s="37" t="n">
        <v>44.6</v>
      </c>
      <c r="J44" s="39" t="n">
        <v>484.68</v>
      </c>
      <c r="K44" s="37" t="s">
        <v>322</v>
      </c>
      <c r="L44" s="39" t="n">
        <v>102.91</v>
      </c>
      <c r="M44" s="39" t="n">
        <v>71</v>
      </c>
      <c r="N44" s="39" t="n">
        <f aca="false">J44*Resumo!$C$7</f>
        <v>0.96936</v>
      </c>
      <c r="O44" s="39" t="n">
        <f aca="false">J44*Resumo!$C$8</f>
        <v>0.96936</v>
      </c>
      <c r="P44" s="39" t="n">
        <f aca="false">Resumo!$C$10*CEILING(I44/100,1)</f>
        <v>1</v>
      </c>
      <c r="Q44" s="39" t="n">
        <f aca="false">Resumo!$C$9</f>
        <v>11.9</v>
      </c>
      <c r="R44" s="39" t="n">
        <f aca="false">SUM(M44:Q44)*Resumo!$C$11</f>
        <v>4.7211296</v>
      </c>
      <c r="S44" s="39" t="n">
        <f aca="false">SUM(M44:R44)</f>
        <v>90.5598496</v>
      </c>
      <c r="T44" s="39" t="n">
        <f aca="false">S44/(1-Resumo!$C$5)</f>
        <v>102.90892</v>
      </c>
      <c r="U44" s="39" t="n">
        <v>93.97</v>
      </c>
      <c r="V44" s="39" t="n">
        <f aca="false">J44*Resumo!$B$6</f>
        <v>0.48468</v>
      </c>
      <c r="W44" s="39" t="n">
        <f aca="false">J44*Resumo!$B$7</f>
        <v>0.96936</v>
      </c>
      <c r="X44" s="39" t="n">
        <f aca="false">Resumo!$B$9</f>
        <v>1</v>
      </c>
      <c r="Y44" s="39" t="n">
        <f aca="false">Resumo!$B$10*CEILING(I44/100,1)</f>
        <v>4.5</v>
      </c>
      <c r="Z44" s="39" t="n">
        <f aca="false">Resumo!$B$12*CEILING(I44,1)</f>
        <v>2.7</v>
      </c>
      <c r="AA44" s="39" t="n">
        <f aca="false">Resumo!$B$13*CEILING(I44,1)</f>
        <v>20.25</v>
      </c>
      <c r="AB44" s="39" t="n">
        <f aca="false">SUM(U44:AA44)</f>
        <v>123.87404</v>
      </c>
      <c r="AC44" s="39" t="n">
        <f aca="false">AB44/(1-Resumo!$B$5)</f>
        <v>140.765954545455</v>
      </c>
      <c r="AD44" s="39" t="n">
        <f aca="false">(AB44-AA44)/(1-Resumo!$B$5)</f>
        <v>117.754590909091</v>
      </c>
      <c r="AE44" s="39" t="n">
        <f aca="false">AC44-T44</f>
        <v>37.8570345454546</v>
      </c>
      <c r="AF44" s="40" t="n">
        <f aca="false">AC44/T44-1</f>
        <v>0.367869321196399</v>
      </c>
      <c r="AG44" s="37" t="str">
        <f aca="false">IF(AC44&lt;T44,"SIM","NÃO")</f>
        <v>NÃO</v>
      </c>
      <c r="AH44" s="37" t="n">
        <v>8</v>
      </c>
      <c r="AI44" s="37" t="n">
        <v>5</v>
      </c>
      <c r="AJ44" s="37" t="s">
        <v>323</v>
      </c>
    </row>
    <row r="45" customFormat="false" ht="15" hidden="false" customHeight="false" outlineLevel="0" collapsed="false">
      <c r="A45" s="37" t="n">
        <v>354814832</v>
      </c>
      <c r="B45" s="38" t="n">
        <v>46208.9671875</v>
      </c>
      <c r="C45" s="37" t="s">
        <v>320</v>
      </c>
      <c r="D45" s="37" t="s">
        <v>373</v>
      </c>
      <c r="E45" s="37" t="n">
        <v>28735560</v>
      </c>
      <c r="F45" s="37" t="s">
        <v>270</v>
      </c>
      <c r="G45" s="37" t="s">
        <v>201</v>
      </c>
      <c r="H45" s="37" t="s">
        <v>171</v>
      </c>
      <c r="I45" s="37" t="n">
        <v>58.6</v>
      </c>
      <c r="J45" s="39" t="n">
        <v>644.99</v>
      </c>
      <c r="K45" s="37" t="s">
        <v>322</v>
      </c>
      <c r="L45" s="39" t="n">
        <v>142.76</v>
      </c>
      <c r="M45" s="39" t="n">
        <v>103.6</v>
      </c>
      <c r="N45" s="39" t="n">
        <f aca="false">J45*Resumo!$C$7</f>
        <v>1.28998</v>
      </c>
      <c r="O45" s="39" t="n">
        <f aca="false">J45*Resumo!$C$8</f>
        <v>1.28998</v>
      </c>
      <c r="P45" s="39" t="n">
        <f aca="false">Resumo!$C$10*CEILING(I45/100,1)</f>
        <v>1</v>
      </c>
      <c r="Q45" s="39" t="n">
        <f aca="false">Resumo!$C$9</f>
        <v>11.9</v>
      </c>
      <c r="R45" s="39" t="n">
        <f aca="false">SUM(M45:Q45)*Resumo!$C$11</f>
        <v>6.5493978</v>
      </c>
      <c r="S45" s="39" t="n">
        <f aca="false">SUM(M45:R45)</f>
        <v>125.6293578</v>
      </c>
      <c r="T45" s="39" t="n">
        <f aca="false">S45/(1-Resumo!$C$5)</f>
        <v>142.760633863636</v>
      </c>
      <c r="U45" s="39" t="n">
        <v>162.04</v>
      </c>
      <c r="V45" s="39" t="n">
        <f aca="false">J45*Resumo!$B$6</f>
        <v>0.64499</v>
      </c>
      <c r="W45" s="39" t="n">
        <f aca="false">J45*Resumo!$B$7</f>
        <v>1.28998</v>
      </c>
      <c r="X45" s="39" t="n">
        <f aca="false">Resumo!$B$9</f>
        <v>1</v>
      </c>
      <c r="Y45" s="39" t="n">
        <f aca="false">Resumo!$B$10*CEILING(I45/100,1)</f>
        <v>4.5</v>
      </c>
      <c r="Z45" s="39" t="n">
        <f aca="false">Resumo!$B$12*CEILING(I45,1)</f>
        <v>3.54</v>
      </c>
      <c r="AA45" s="39" t="n">
        <f aca="false">Resumo!$B$13*CEILING(I45,1)</f>
        <v>26.55</v>
      </c>
      <c r="AB45" s="39" t="n">
        <f aca="false">SUM(U45:AA45)</f>
        <v>199.56497</v>
      </c>
      <c r="AC45" s="39" t="n">
        <f aca="false">AB45/(1-Resumo!$B$5)</f>
        <v>226.778375</v>
      </c>
      <c r="AD45" s="39" t="n">
        <f aca="false">(AB45-AA45)/(1-Resumo!$B$5)</f>
        <v>196.607920454545</v>
      </c>
      <c r="AE45" s="39" t="n">
        <f aca="false">AC45-T45</f>
        <v>84.0177411363637</v>
      </c>
      <c r="AF45" s="40" t="n">
        <f aca="false">AC45/T45-1</f>
        <v>0.588521771461289</v>
      </c>
      <c r="AG45" s="37" t="str">
        <f aca="false">IF(AC45&lt;T45,"SIM","NÃO")</f>
        <v>NÃO</v>
      </c>
      <c r="AH45" s="37" t="n">
        <v>13</v>
      </c>
      <c r="AI45" s="37" t="n">
        <v>11</v>
      </c>
      <c r="AJ45" s="37" t="s">
        <v>327</v>
      </c>
    </row>
    <row r="46" customFormat="false" ht="15" hidden="false" customHeight="false" outlineLevel="0" collapsed="false">
      <c r="A46" s="37" t="n">
        <v>355044341</v>
      </c>
      <c r="B46" s="38" t="n">
        <v>46209.5015162037</v>
      </c>
      <c r="C46" s="37" t="s">
        <v>352</v>
      </c>
      <c r="D46" s="37" t="s">
        <v>374</v>
      </c>
      <c r="E46" s="37" t="n">
        <v>20950072</v>
      </c>
      <c r="F46" s="37" t="s">
        <v>139</v>
      </c>
      <c r="G46" s="37" t="s">
        <v>198</v>
      </c>
      <c r="H46" s="37" t="s">
        <v>170</v>
      </c>
      <c r="I46" s="37" t="n">
        <v>49.6</v>
      </c>
      <c r="J46" s="39" t="n">
        <v>775.39</v>
      </c>
      <c r="K46" s="37" t="s">
        <v>322</v>
      </c>
      <c r="L46" s="39" t="n">
        <v>104.31</v>
      </c>
      <c r="M46" s="39" t="n">
        <v>71</v>
      </c>
      <c r="N46" s="39" t="n">
        <f aca="false">J46*Resumo!$C$7</f>
        <v>1.55078</v>
      </c>
      <c r="O46" s="39" t="n">
        <f aca="false">J46*Resumo!$C$8</f>
        <v>1.55078</v>
      </c>
      <c r="P46" s="39" t="n">
        <f aca="false">Resumo!$C$10*CEILING(I46/100,1)</f>
        <v>1</v>
      </c>
      <c r="Q46" s="39" t="n">
        <f aca="false">Resumo!$C$9</f>
        <v>11.9</v>
      </c>
      <c r="R46" s="39" t="n">
        <f aca="false">SUM(M46:Q46)*Resumo!$C$11</f>
        <v>4.7850858</v>
      </c>
      <c r="S46" s="39" t="n">
        <f aca="false">SUM(M46:R46)</f>
        <v>91.7866458</v>
      </c>
      <c r="T46" s="39" t="n">
        <f aca="false">S46/(1-Resumo!$C$5)</f>
        <v>104.303006590909</v>
      </c>
      <c r="U46" s="39" t="n">
        <v>93.97</v>
      </c>
      <c r="V46" s="39" t="n">
        <f aca="false">J46*Resumo!$B$6</f>
        <v>0.77539</v>
      </c>
      <c r="W46" s="39" t="n">
        <f aca="false">J46*Resumo!$B$7</f>
        <v>1.55078</v>
      </c>
      <c r="X46" s="39" t="n">
        <f aca="false">Resumo!$B$9</f>
        <v>1</v>
      </c>
      <c r="Y46" s="39" t="n">
        <f aca="false">Resumo!$B$10*CEILING(I46/100,1)</f>
        <v>4.5</v>
      </c>
      <c r="Z46" s="39" t="n">
        <f aca="false">Resumo!$B$12*CEILING(I46,1)</f>
        <v>3</v>
      </c>
      <c r="AA46" s="39" t="n">
        <f aca="false">Resumo!$B$13*CEILING(I46,1)</f>
        <v>22.5</v>
      </c>
      <c r="AB46" s="39" t="n">
        <f aca="false">SUM(U46:AA46)</f>
        <v>127.29617</v>
      </c>
      <c r="AC46" s="39" t="n">
        <f aca="false">AB46/(1-Resumo!$B$5)</f>
        <v>144.654738636364</v>
      </c>
      <c r="AD46" s="39" t="n">
        <f aca="false">(AB46-AA46)/(1-Resumo!$B$5)</f>
        <v>119.086556818182</v>
      </c>
      <c r="AE46" s="39" t="n">
        <f aca="false">AC46-T46</f>
        <v>40.3517320454546</v>
      </c>
      <c r="AF46" s="40" t="n">
        <f aca="false">AC46/T46-1</f>
        <v>0.386870267352116</v>
      </c>
      <c r="AG46" s="37" t="str">
        <f aca="false">IF(AC46&lt;T46,"SIM","NÃO")</f>
        <v>NÃO</v>
      </c>
      <c r="AH46" s="37" t="n">
        <v>8</v>
      </c>
      <c r="AI46" s="37" t="n">
        <v>5</v>
      </c>
      <c r="AJ46" s="37" t="s">
        <v>323</v>
      </c>
    </row>
    <row r="47" customFormat="false" ht="15" hidden="false" customHeight="false" outlineLevel="0" collapsed="false">
      <c r="A47" s="37" t="n">
        <v>355079304</v>
      </c>
      <c r="B47" s="38" t="n">
        <v>46209.5547222222</v>
      </c>
      <c r="C47" s="37" t="s">
        <v>352</v>
      </c>
      <c r="D47" s="37" t="s">
        <v>375</v>
      </c>
      <c r="E47" s="37" t="n">
        <v>26140110</v>
      </c>
      <c r="F47" s="37" t="s">
        <v>145</v>
      </c>
      <c r="G47" s="37" t="s">
        <v>207</v>
      </c>
      <c r="H47" s="37" t="s">
        <v>170</v>
      </c>
      <c r="I47" s="37" t="n">
        <v>49.6</v>
      </c>
      <c r="J47" s="39" t="n">
        <v>819.99</v>
      </c>
      <c r="K47" s="37" t="s">
        <v>322</v>
      </c>
      <c r="L47" s="39" t="n">
        <v>118</v>
      </c>
      <c r="M47" s="39" t="n">
        <v>82.25</v>
      </c>
      <c r="N47" s="39" t="n">
        <f aca="false">J47*Resumo!$C$7</f>
        <v>1.63998</v>
      </c>
      <c r="O47" s="39" t="n">
        <f aca="false">J47*Resumo!$C$8</f>
        <v>1.63998</v>
      </c>
      <c r="P47" s="39" t="n">
        <f aca="false">Resumo!$C$10*CEILING(I47/100,1)</f>
        <v>1</v>
      </c>
      <c r="Q47" s="39" t="n">
        <f aca="false">Resumo!$C$9</f>
        <v>11.9</v>
      </c>
      <c r="R47" s="39" t="n">
        <f aca="false">SUM(M47:Q47)*Resumo!$C$11</f>
        <v>5.4136478</v>
      </c>
      <c r="S47" s="39" t="n">
        <f aca="false">SUM(M47:R47)</f>
        <v>103.8436078</v>
      </c>
      <c r="T47" s="39" t="n">
        <f aca="false">S47/(1-Resumo!$C$5)</f>
        <v>118.004099772727</v>
      </c>
      <c r="U47" s="39" t="n">
        <v>93.97</v>
      </c>
      <c r="V47" s="39" t="n">
        <f aca="false">J47*Resumo!$B$6</f>
        <v>0.81999</v>
      </c>
      <c r="W47" s="39" t="n">
        <f aca="false">J47*Resumo!$B$7</f>
        <v>1.63998</v>
      </c>
      <c r="X47" s="39" t="n">
        <f aca="false">Resumo!$B$9</f>
        <v>1</v>
      </c>
      <c r="Y47" s="39" t="n">
        <f aca="false">Resumo!$B$10*CEILING(I47/100,1)</f>
        <v>4.5</v>
      </c>
      <c r="Z47" s="39" t="n">
        <f aca="false">Resumo!$B$12*CEILING(I47,1)</f>
        <v>3</v>
      </c>
      <c r="AA47" s="39" t="n">
        <f aca="false">Resumo!$B$13*CEILING(I47,1)</f>
        <v>22.5</v>
      </c>
      <c r="AB47" s="39" t="n">
        <f aca="false">SUM(U47:AA47)</f>
        <v>127.42997</v>
      </c>
      <c r="AC47" s="39" t="n">
        <f aca="false">AB47/(1-Resumo!$B$5)</f>
        <v>144.806784090909</v>
      </c>
      <c r="AD47" s="39" t="n">
        <f aca="false">(AB47-AA47)/(1-Resumo!$B$5)</f>
        <v>119.238602272727</v>
      </c>
      <c r="AE47" s="39" t="n">
        <f aca="false">AC47-T47</f>
        <v>26.8026843181818</v>
      </c>
      <c r="AF47" s="40" t="n">
        <f aca="false">AC47/T47-1</f>
        <v>0.227133501037702</v>
      </c>
      <c r="AG47" s="37" t="str">
        <f aca="false">IF(AC47&lt;T47,"SIM","NÃO")</f>
        <v>NÃO</v>
      </c>
      <c r="AH47" s="37" t="n">
        <v>10</v>
      </c>
      <c r="AI47" s="37" t="n">
        <v>5</v>
      </c>
      <c r="AJ47" s="37" t="s">
        <v>323</v>
      </c>
    </row>
    <row r="48" customFormat="false" ht="15" hidden="false" customHeight="false" outlineLevel="0" collapsed="false">
      <c r="A48" s="37" t="n">
        <v>355104596</v>
      </c>
      <c r="B48" s="38" t="n">
        <v>46209.5906712963</v>
      </c>
      <c r="C48" s="37" t="s">
        <v>320</v>
      </c>
      <c r="D48" s="37" t="s">
        <v>376</v>
      </c>
      <c r="E48" s="37" t="n">
        <v>27525524</v>
      </c>
      <c r="F48" s="37" t="s">
        <v>236</v>
      </c>
      <c r="G48" s="37" t="s">
        <v>201</v>
      </c>
      <c r="H48" s="37" t="s">
        <v>170</v>
      </c>
      <c r="I48" s="37" t="n">
        <v>49.6</v>
      </c>
      <c r="J48" s="39" t="n">
        <v>799.99</v>
      </c>
      <c r="K48" s="37" t="s">
        <v>322</v>
      </c>
      <c r="L48" s="39" t="n">
        <v>132</v>
      </c>
      <c r="M48" s="39" t="n">
        <v>94</v>
      </c>
      <c r="N48" s="39" t="n">
        <f aca="false">J48*Resumo!$C$7</f>
        <v>1.59998</v>
      </c>
      <c r="O48" s="39" t="n">
        <f aca="false">J48*Resumo!$C$8</f>
        <v>1.59998</v>
      </c>
      <c r="P48" s="39" t="n">
        <f aca="false">Resumo!$C$10*CEILING(I48/100,1)</f>
        <v>1</v>
      </c>
      <c r="Q48" s="39" t="n">
        <f aca="false">Resumo!$C$9</f>
        <v>11.9</v>
      </c>
      <c r="R48" s="39" t="n">
        <f aca="false">SUM(M48:Q48)*Resumo!$C$11</f>
        <v>6.0554978</v>
      </c>
      <c r="S48" s="39" t="n">
        <f aca="false">SUM(M48:R48)</f>
        <v>116.1554578</v>
      </c>
      <c r="T48" s="39" t="n">
        <f aca="false">S48/(1-Resumo!$C$5)</f>
        <v>131.994838409091</v>
      </c>
      <c r="U48" s="39" t="n">
        <v>124.38</v>
      </c>
      <c r="V48" s="39" t="n">
        <f aca="false">J48*Resumo!$B$6</f>
        <v>0.79999</v>
      </c>
      <c r="W48" s="39" t="n">
        <f aca="false">J48*Resumo!$B$7</f>
        <v>1.59998</v>
      </c>
      <c r="X48" s="39" t="n">
        <f aca="false">Resumo!$B$9</f>
        <v>1</v>
      </c>
      <c r="Y48" s="39" t="n">
        <f aca="false">Resumo!$B$10*CEILING(I48/100,1)</f>
        <v>4.5</v>
      </c>
      <c r="Z48" s="39" t="n">
        <f aca="false">Resumo!$B$12*CEILING(I48,1)</f>
        <v>3</v>
      </c>
      <c r="AA48" s="39" t="n">
        <f aca="false">Resumo!$B$13*CEILING(I48,1)</f>
        <v>22.5</v>
      </c>
      <c r="AB48" s="39" t="n">
        <f aca="false">SUM(U48:AA48)</f>
        <v>157.77997</v>
      </c>
      <c r="AC48" s="39" t="n">
        <f aca="false">AB48/(1-Resumo!$B$5)</f>
        <v>179.295420454545</v>
      </c>
      <c r="AD48" s="39" t="n">
        <f aca="false">(AB48-AA48)/(1-Resumo!$B$5)</f>
        <v>153.727238636364</v>
      </c>
      <c r="AE48" s="39" t="n">
        <f aca="false">AC48-T48</f>
        <v>47.3005820454546</v>
      </c>
      <c r="AF48" s="40" t="n">
        <f aca="false">AC48/T48-1</f>
        <v>0.358351755383465</v>
      </c>
      <c r="AG48" s="37" t="str">
        <f aca="false">IF(AC48&lt;T48,"SIM","NÃO")</f>
        <v>NÃO</v>
      </c>
      <c r="AH48" s="37" t="n">
        <v>13</v>
      </c>
      <c r="AI48" s="37" t="n">
        <v>10</v>
      </c>
      <c r="AJ48" s="37" t="s">
        <v>327</v>
      </c>
    </row>
    <row r="49" customFormat="false" ht="15" hidden="false" customHeight="false" outlineLevel="0" collapsed="false">
      <c r="A49" s="37" t="n">
        <v>355229082</v>
      </c>
      <c r="B49" s="38" t="n">
        <v>46209.7972106482</v>
      </c>
      <c r="C49" s="37" t="s">
        <v>320</v>
      </c>
      <c r="D49" s="37" t="s">
        <v>377</v>
      </c>
      <c r="E49" s="37" t="n">
        <v>21730290</v>
      </c>
      <c r="F49" s="37" t="s">
        <v>139</v>
      </c>
      <c r="G49" s="37" t="s">
        <v>198</v>
      </c>
      <c r="H49" s="37" t="s">
        <v>167</v>
      </c>
      <c r="I49" s="37" t="n">
        <v>10.2</v>
      </c>
      <c r="J49" s="39" t="n">
        <v>219.99</v>
      </c>
      <c r="K49" s="37" t="s">
        <v>322</v>
      </c>
      <c r="L49" s="39" t="n">
        <v>64.27</v>
      </c>
      <c r="M49" s="39" t="n">
        <v>39.83</v>
      </c>
      <c r="N49" s="39" t="n">
        <f aca="false">J49*Resumo!$C$7</f>
        <v>0.43998</v>
      </c>
      <c r="O49" s="39" t="n">
        <f aca="false">J49*Resumo!$C$8</f>
        <v>0.43998</v>
      </c>
      <c r="P49" s="39" t="n">
        <f aca="false">Resumo!$C$10*CEILING(I49/100,1)</f>
        <v>1</v>
      </c>
      <c r="Q49" s="39" t="n">
        <f aca="false">Resumo!$C$9</f>
        <v>11.9</v>
      </c>
      <c r="R49" s="39" t="n">
        <f aca="false">SUM(M49:Q49)*Resumo!$C$11</f>
        <v>2.9485478</v>
      </c>
      <c r="S49" s="39" t="n">
        <f aca="false">SUM(M49:R49)</f>
        <v>56.5585078</v>
      </c>
      <c r="T49" s="39" t="n">
        <f aca="false">S49/(1-Resumo!$C$5)</f>
        <v>64.2710315909091</v>
      </c>
      <c r="U49" s="39" t="n">
        <v>46.98</v>
      </c>
      <c r="V49" s="39" t="n">
        <f aca="false">J49*Resumo!$B$6</f>
        <v>0.21999</v>
      </c>
      <c r="W49" s="39" t="n">
        <f aca="false">J49*Resumo!$B$7</f>
        <v>0.43998</v>
      </c>
      <c r="X49" s="39" t="n">
        <f aca="false">Resumo!$B$9</f>
        <v>1</v>
      </c>
      <c r="Y49" s="39" t="n">
        <f aca="false">Resumo!$B$10*CEILING(I49/100,1)</f>
        <v>4.5</v>
      </c>
      <c r="Z49" s="39" t="n">
        <f aca="false">Resumo!$B$12*CEILING(I49,1)</f>
        <v>0.66</v>
      </c>
      <c r="AA49" s="39" t="n">
        <f aca="false">Resumo!$B$13*CEILING(I49,1)</f>
        <v>4.95</v>
      </c>
      <c r="AB49" s="39" t="n">
        <f aca="false">SUM(U49:AA49)</f>
        <v>58.74997</v>
      </c>
      <c r="AC49" s="39" t="n">
        <f aca="false">AB49/(1-Resumo!$B$5)</f>
        <v>66.7613295454545</v>
      </c>
      <c r="AD49" s="39" t="n">
        <f aca="false">(AB49-AA49)/(1-Resumo!$B$5)</f>
        <v>61.1363295454545</v>
      </c>
      <c r="AE49" s="39" t="n">
        <f aca="false">AC49-T49</f>
        <v>2.49029795454545</v>
      </c>
      <c r="AF49" s="40" t="n">
        <f aca="false">AC49/T49-1</f>
        <v>0.0387468178571713</v>
      </c>
      <c r="AG49" s="37" t="str">
        <f aca="false">IF(AC49&lt;T49,"SIM","NÃO")</f>
        <v>NÃO</v>
      </c>
      <c r="AH49" s="37" t="n">
        <v>8</v>
      </c>
      <c r="AI49" s="37" t="n">
        <v>5</v>
      </c>
      <c r="AJ49" s="37" t="s">
        <v>323</v>
      </c>
    </row>
    <row r="50" customFormat="false" ht="15" hidden="false" customHeight="false" outlineLevel="0" collapsed="false">
      <c r="A50" s="37" t="n">
        <v>355230866</v>
      </c>
      <c r="B50" s="38" t="n">
        <v>46209.802974537</v>
      </c>
      <c r="C50" s="37" t="s">
        <v>352</v>
      </c>
      <c r="D50" s="37" t="s">
        <v>378</v>
      </c>
      <c r="E50" s="37" t="n">
        <v>23520400</v>
      </c>
      <c r="F50" s="37" t="s">
        <v>139</v>
      </c>
      <c r="G50" s="37" t="s">
        <v>198</v>
      </c>
      <c r="H50" s="37" t="s">
        <v>176</v>
      </c>
      <c r="I50" s="37" t="n">
        <v>124.2</v>
      </c>
      <c r="J50" s="39" t="n">
        <v>1687.99</v>
      </c>
      <c r="K50" s="37" t="s">
        <v>322</v>
      </c>
      <c r="L50" s="39" t="n">
        <v>234.39</v>
      </c>
      <c r="M50" s="39" t="n">
        <v>174.85</v>
      </c>
      <c r="N50" s="39" t="n">
        <f aca="false">J50*Resumo!$C$7</f>
        <v>3.37598</v>
      </c>
      <c r="O50" s="39" t="n">
        <f aca="false">J50*Resumo!$C$8</f>
        <v>3.37598</v>
      </c>
      <c r="P50" s="39" t="n">
        <f aca="false">Resumo!$C$10*CEILING(I50/100,1)</f>
        <v>2</v>
      </c>
      <c r="Q50" s="39" t="n">
        <f aca="false">Resumo!$C$9</f>
        <v>11.9</v>
      </c>
      <c r="R50" s="39" t="n">
        <f aca="false">SUM(M50:Q50)*Resumo!$C$11</f>
        <v>10.7526078</v>
      </c>
      <c r="S50" s="39" t="n">
        <f aca="false">SUM(M50:R50)</f>
        <v>206.2545678</v>
      </c>
      <c r="T50" s="39" t="n">
        <f aca="false">S50/(1-Resumo!$C$5)</f>
        <v>234.380190681818</v>
      </c>
      <c r="U50" s="39" t="n">
        <v>239.25</v>
      </c>
      <c r="V50" s="39" t="n">
        <f aca="false">J50*Resumo!$B$6</f>
        <v>1.68799</v>
      </c>
      <c r="W50" s="39" t="n">
        <f aca="false">J50*Resumo!$B$7</f>
        <v>3.37598</v>
      </c>
      <c r="X50" s="39" t="n">
        <f aca="false">Resumo!$B$9</f>
        <v>1</v>
      </c>
      <c r="Y50" s="39" t="n">
        <f aca="false">Resumo!$B$10*CEILING(I50/100,1)</f>
        <v>9</v>
      </c>
      <c r="Z50" s="39" t="n">
        <f aca="false">Resumo!$B$12*CEILING(I50,1)</f>
        <v>7.5</v>
      </c>
      <c r="AA50" s="39" t="n">
        <f aca="false">Resumo!$B$13*CEILING(I50,1)</f>
        <v>56.25</v>
      </c>
      <c r="AB50" s="39" t="n">
        <f aca="false">SUM(U50:AA50)</f>
        <v>318.06397</v>
      </c>
      <c r="AC50" s="39" t="n">
        <f aca="false">AB50/(1-Resumo!$B$5)</f>
        <v>361.436329545455</v>
      </c>
      <c r="AD50" s="39" t="n">
        <f aca="false">(AB50-AA50)/(1-Resumo!$B$5)</f>
        <v>297.515875</v>
      </c>
      <c r="AE50" s="39" t="n">
        <f aca="false">AC50-T50</f>
        <v>127.056138863636</v>
      </c>
      <c r="AF50" s="40" t="n">
        <f aca="false">AC50/T50-1</f>
        <v>0.542094186774175</v>
      </c>
      <c r="AG50" s="37" t="str">
        <f aca="false">IF(AC50&lt;T50,"SIM","NÃO")</f>
        <v>NÃO</v>
      </c>
      <c r="AH50" s="37" t="n">
        <v>8</v>
      </c>
      <c r="AI50" s="37" t="n">
        <v>5</v>
      </c>
      <c r="AJ50" s="37" t="s">
        <v>323</v>
      </c>
    </row>
    <row r="51" customFormat="false" ht="15" hidden="false" customHeight="false" outlineLevel="0" collapsed="false">
      <c r="A51" s="37" t="n">
        <v>355276780</v>
      </c>
      <c r="B51" s="38" t="n">
        <v>46209.8668518519</v>
      </c>
      <c r="C51" s="37" t="s">
        <v>320</v>
      </c>
      <c r="D51" s="37" t="s">
        <v>379</v>
      </c>
      <c r="E51" s="37" t="n">
        <v>25085135</v>
      </c>
      <c r="F51" s="37" t="s">
        <v>141</v>
      </c>
      <c r="G51" s="37" t="s">
        <v>207</v>
      </c>
      <c r="H51" s="37" t="s">
        <v>169</v>
      </c>
      <c r="I51" s="37" t="n">
        <v>39.8</v>
      </c>
      <c r="J51" s="39" t="n">
        <v>449.99</v>
      </c>
      <c r="K51" s="37" t="s">
        <v>322</v>
      </c>
      <c r="L51" s="39" t="n">
        <v>113.11</v>
      </c>
      <c r="M51" s="39" t="n">
        <v>79.65</v>
      </c>
      <c r="N51" s="39" t="n">
        <f aca="false">J51*Resumo!$C$7</f>
        <v>0.89998</v>
      </c>
      <c r="O51" s="39" t="n">
        <f aca="false">J51*Resumo!$C$8</f>
        <v>0.89998</v>
      </c>
      <c r="P51" s="39" t="n">
        <f aca="false">Resumo!$C$10*CEILING(I51/100,1)</f>
        <v>1</v>
      </c>
      <c r="Q51" s="39" t="n">
        <f aca="false">Resumo!$C$9</f>
        <v>11.9</v>
      </c>
      <c r="R51" s="39" t="n">
        <f aca="false">SUM(M51:Q51)*Resumo!$C$11</f>
        <v>5.1892478</v>
      </c>
      <c r="S51" s="39" t="n">
        <f aca="false">SUM(M51:R51)</f>
        <v>99.5392078</v>
      </c>
      <c r="T51" s="39" t="n">
        <f aca="false">S51/(1-Resumo!$C$5)</f>
        <v>113.112736136364</v>
      </c>
      <c r="U51" s="39" t="n">
        <v>93.97</v>
      </c>
      <c r="V51" s="39" t="n">
        <f aca="false">J51*Resumo!$B$6</f>
        <v>0.44999</v>
      </c>
      <c r="W51" s="39" t="n">
        <f aca="false">J51*Resumo!$B$7</f>
        <v>0.89998</v>
      </c>
      <c r="X51" s="39" t="n">
        <f aca="false">Resumo!$B$9</f>
        <v>1</v>
      </c>
      <c r="Y51" s="39" t="n">
        <f aca="false">Resumo!$B$10*CEILING(I51/100,1)</f>
        <v>4.5</v>
      </c>
      <c r="Z51" s="39" t="n">
        <f aca="false">Resumo!$B$12*CEILING(I51,1)</f>
        <v>2.4</v>
      </c>
      <c r="AA51" s="39" t="n">
        <f aca="false">Resumo!$B$13*CEILING(I51,1)</f>
        <v>18</v>
      </c>
      <c r="AB51" s="39" t="n">
        <f aca="false">SUM(U51:AA51)</f>
        <v>121.21997</v>
      </c>
      <c r="AC51" s="39" t="n">
        <f aca="false">AB51/(1-Resumo!$B$5)</f>
        <v>137.749965909091</v>
      </c>
      <c r="AD51" s="39" t="n">
        <f aca="false">(AB51-AA51)/(1-Resumo!$B$5)</f>
        <v>117.295420454545</v>
      </c>
      <c r="AE51" s="39" t="n">
        <f aca="false">AC51-T51</f>
        <v>24.6372297727273</v>
      </c>
      <c r="AF51" s="40" t="n">
        <f aca="false">AC51/T51-1</f>
        <v>0.217811279386131</v>
      </c>
      <c r="AG51" s="37" t="str">
        <f aca="false">IF(AC51&lt;T51,"SIM","NÃO")</f>
        <v>NÃO</v>
      </c>
      <c r="AH51" s="37" t="n">
        <v>10</v>
      </c>
      <c r="AI51" s="37" t="n">
        <v>5</v>
      </c>
      <c r="AJ51" s="37" t="s">
        <v>323</v>
      </c>
    </row>
    <row r="52" customFormat="false" ht="15" hidden="false" customHeight="false" outlineLevel="0" collapsed="false">
      <c r="A52" s="37" t="n">
        <v>355304878</v>
      </c>
      <c r="B52" s="38" t="n">
        <v>46209.9061805556</v>
      </c>
      <c r="C52" s="37" t="s">
        <v>320</v>
      </c>
      <c r="D52" s="37" t="s">
        <v>380</v>
      </c>
      <c r="E52" s="37" t="n">
        <v>28920015</v>
      </c>
      <c r="F52" s="37" t="s">
        <v>152</v>
      </c>
      <c r="G52" s="37" t="s">
        <v>201</v>
      </c>
      <c r="H52" s="37" t="s">
        <v>168</v>
      </c>
      <c r="I52" s="37" t="n">
        <v>27.4</v>
      </c>
      <c r="J52" s="39" t="n">
        <v>359.99</v>
      </c>
      <c r="K52" s="37" t="s">
        <v>322</v>
      </c>
      <c r="L52" s="39" t="n">
        <v>108.91</v>
      </c>
      <c r="M52" s="39" t="n">
        <v>76.5</v>
      </c>
      <c r="N52" s="39" t="n">
        <f aca="false">J52*Resumo!$C$7</f>
        <v>0.71998</v>
      </c>
      <c r="O52" s="39" t="n">
        <f aca="false">J52*Resumo!$C$8</f>
        <v>0.71998</v>
      </c>
      <c r="P52" s="39" t="n">
        <f aca="false">Resumo!$C$10*CEILING(I52/100,1)</f>
        <v>1</v>
      </c>
      <c r="Q52" s="39" t="n">
        <f aca="false">Resumo!$C$9</f>
        <v>11.9</v>
      </c>
      <c r="R52" s="39" t="n">
        <f aca="false">SUM(M52:Q52)*Resumo!$C$11</f>
        <v>4.9961978</v>
      </c>
      <c r="S52" s="39" t="n">
        <f aca="false">SUM(M52:R52)</f>
        <v>95.8361578</v>
      </c>
      <c r="T52" s="39" t="n">
        <f aca="false">S52/(1-Resumo!$C$5)</f>
        <v>108.904724772727</v>
      </c>
      <c r="U52" s="39" t="n">
        <v>114.95</v>
      </c>
      <c r="V52" s="39" t="n">
        <f aca="false">J52*Resumo!$B$6</f>
        <v>0.35999</v>
      </c>
      <c r="W52" s="39" t="n">
        <f aca="false">J52*Resumo!$B$7</f>
        <v>0.71998</v>
      </c>
      <c r="X52" s="39" t="n">
        <f aca="false">Resumo!$B$9</f>
        <v>1</v>
      </c>
      <c r="Y52" s="39" t="n">
        <f aca="false">Resumo!$B$10*CEILING(I52/100,1)</f>
        <v>4.5</v>
      </c>
      <c r="Z52" s="39" t="n">
        <f aca="false">Resumo!$B$12*CEILING(I52,1)</f>
        <v>1.68</v>
      </c>
      <c r="AA52" s="39" t="n">
        <f aca="false">Resumo!$B$13*CEILING(I52,1)</f>
        <v>12.6</v>
      </c>
      <c r="AB52" s="39" t="n">
        <f aca="false">SUM(U52:AA52)</f>
        <v>135.80997</v>
      </c>
      <c r="AC52" s="39" t="n">
        <f aca="false">AB52/(1-Resumo!$B$5)</f>
        <v>154.329511363636</v>
      </c>
      <c r="AD52" s="39" t="n">
        <f aca="false">(AB52-AA52)/(1-Resumo!$B$5)</f>
        <v>140.011329545455</v>
      </c>
      <c r="AE52" s="39" t="n">
        <f aca="false">AC52-T52</f>
        <v>45.4247865909091</v>
      </c>
      <c r="AF52" s="40" t="n">
        <f aca="false">AC52/T52-1</f>
        <v>0.417105747117087</v>
      </c>
      <c r="AG52" s="37" t="str">
        <f aca="false">IF(AC52&lt;T52,"SIM","NÃO")</f>
        <v>NÃO</v>
      </c>
      <c r="AH52" s="37" t="n">
        <v>13</v>
      </c>
      <c r="AI52" s="37" t="n">
        <v>10</v>
      </c>
      <c r="AJ52" s="37" t="s">
        <v>323</v>
      </c>
    </row>
    <row r="53" customFormat="false" ht="15" hidden="false" customHeight="false" outlineLevel="0" collapsed="false">
      <c r="A53" s="37" t="n">
        <v>355337966</v>
      </c>
      <c r="B53" s="38" t="n">
        <v>46209.9533333333</v>
      </c>
      <c r="C53" s="37" t="s">
        <v>320</v>
      </c>
      <c r="D53" s="37" t="s">
        <v>381</v>
      </c>
      <c r="E53" s="37" t="n">
        <v>28976666</v>
      </c>
      <c r="F53" s="37" t="s">
        <v>153</v>
      </c>
      <c r="G53" s="37" t="s">
        <v>201</v>
      </c>
      <c r="H53" s="37" t="s">
        <v>170</v>
      </c>
      <c r="I53" s="37" t="n">
        <v>44.5</v>
      </c>
      <c r="J53" s="39" t="n">
        <v>735.99</v>
      </c>
      <c r="K53" s="37" t="s">
        <v>322</v>
      </c>
      <c r="L53" s="39" t="n">
        <v>131.68</v>
      </c>
      <c r="M53" s="39" t="n">
        <v>94</v>
      </c>
      <c r="N53" s="39" t="n">
        <f aca="false">J53*Resumo!$C$7</f>
        <v>1.47198</v>
      </c>
      <c r="O53" s="39" t="n">
        <f aca="false">J53*Resumo!$C$8</f>
        <v>1.47198</v>
      </c>
      <c r="P53" s="39" t="n">
        <f aca="false">Resumo!$C$10*CEILING(I53/100,1)</f>
        <v>1</v>
      </c>
      <c r="Q53" s="39" t="n">
        <f aca="false">Resumo!$C$9</f>
        <v>11.9</v>
      </c>
      <c r="R53" s="39" t="n">
        <f aca="false">SUM(M53:Q53)*Resumo!$C$11</f>
        <v>6.0414178</v>
      </c>
      <c r="S53" s="39" t="n">
        <f aca="false">SUM(M53:R53)</f>
        <v>115.8853778</v>
      </c>
      <c r="T53" s="39" t="n">
        <f aca="false">S53/(1-Resumo!$C$5)</f>
        <v>131.687929318182</v>
      </c>
      <c r="U53" s="39" t="n">
        <v>129.29</v>
      </c>
      <c r="V53" s="39" t="n">
        <f aca="false">J53*Resumo!$B$6</f>
        <v>0.73599</v>
      </c>
      <c r="W53" s="39" t="n">
        <f aca="false">J53*Resumo!$B$7</f>
        <v>1.47198</v>
      </c>
      <c r="X53" s="39" t="n">
        <f aca="false">Resumo!$B$9</f>
        <v>1</v>
      </c>
      <c r="Y53" s="39" t="n">
        <f aca="false">Resumo!$B$10*CEILING(I53/100,1)</f>
        <v>4.5</v>
      </c>
      <c r="Z53" s="39" t="n">
        <f aca="false">Resumo!$B$12*CEILING(I53,1)</f>
        <v>2.7</v>
      </c>
      <c r="AA53" s="39" t="n">
        <f aca="false">Resumo!$B$13*CEILING(I53,1)</f>
        <v>20.25</v>
      </c>
      <c r="AB53" s="39" t="n">
        <f aca="false">SUM(U53:AA53)</f>
        <v>159.94797</v>
      </c>
      <c r="AC53" s="39" t="n">
        <f aca="false">AB53/(1-Resumo!$B$5)</f>
        <v>181.759056818182</v>
      </c>
      <c r="AD53" s="39" t="n">
        <f aca="false">(AB53-AA53)/(1-Resumo!$B$5)</f>
        <v>158.747693181818</v>
      </c>
      <c r="AE53" s="39" t="n">
        <f aca="false">AC53-T53</f>
        <v>50.0711275</v>
      </c>
      <c r="AF53" s="40" t="n">
        <f aca="false">AC53/T53-1</f>
        <v>0.380225642238015</v>
      </c>
      <c r="AG53" s="37" t="str">
        <f aca="false">IF(AC53&lt;T53,"SIM","NÃO")</f>
        <v>NÃO</v>
      </c>
      <c r="AH53" s="37" t="n">
        <v>13</v>
      </c>
      <c r="AI53" s="37" t="n">
        <v>10</v>
      </c>
      <c r="AJ53" s="37" t="s">
        <v>323</v>
      </c>
    </row>
    <row r="54" customFormat="false" ht="15" hidden="false" customHeight="false" outlineLevel="0" collapsed="false">
      <c r="A54" s="37" t="n">
        <v>355352625</v>
      </c>
      <c r="B54" s="38" t="n">
        <v>46209.999212963</v>
      </c>
      <c r="C54" s="37" t="s">
        <v>320</v>
      </c>
      <c r="D54" s="37" t="s">
        <v>382</v>
      </c>
      <c r="E54" s="37" t="n">
        <v>21842553</v>
      </c>
      <c r="F54" s="37" t="s">
        <v>139</v>
      </c>
      <c r="G54" s="37" t="s">
        <v>198</v>
      </c>
      <c r="H54" s="37" t="s">
        <v>169</v>
      </c>
      <c r="I54" s="37" t="n">
        <v>39.9</v>
      </c>
      <c r="J54" s="39" t="n">
        <v>599.99</v>
      </c>
      <c r="K54" s="37" t="s">
        <v>322</v>
      </c>
      <c r="L54" s="39" t="n">
        <v>92.73</v>
      </c>
      <c r="M54" s="39" t="n">
        <v>62.05</v>
      </c>
      <c r="N54" s="39" t="n">
        <f aca="false">J54*Resumo!$C$7</f>
        <v>1.19998</v>
      </c>
      <c r="O54" s="39" t="n">
        <f aca="false">J54*Resumo!$C$8</f>
        <v>1.19998</v>
      </c>
      <c r="P54" s="39" t="n">
        <f aca="false">Resumo!$C$10*CEILING(I54/100,1)</f>
        <v>1</v>
      </c>
      <c r="Q54" s="39" t="n">
        <f aca="false">Resumo!$C$9</f>
        <v>11.9</v>
      </c>
      <c r="R54" s="39" t="n">
        <f aca="false">SUM(M54:Q54)*Resumo!$C$11</f>
        <v>4.2542478</v>
      </c>
      <c r="S54" s="39" t="n">
        <f aca="false">SUM(M54:R54)</f>
        <v>81.6042078</v>
      </c>
      <c r="T54" s="39" t="n">
        <f aca="false">S54/(1-Resumo!$C$5)</f>
        <v>92.7320543181818</v>
      </c>
      <c r="U54" s="39" t="n">
        <v>93.97</v>
      </c>
      <c r="V54" s="39" t="n">
        <f aca="false">J54*Resumo!$B$6</f>
        <v>0.59999</v>
      </c>
      <c r="W54" s="39" t="n">
        <f aca="false">J54*Resumo!$B$7</f>
        <v>1.19998</v>
      </c>
      <c r="X54" s="39" t="n">
        <f aca="false">Resumo!$B$9</f>
        <v>1</v>
      </c>
      <c r="Y54" s="39" t="n">
        <f aca="false">Resumo!$B$10*CEILING(I54/100,1)</f>
        <v>4.5</v>
      </c>
      <c r="Z54" s="39" t="n">
        <f aca="false">Resumo!$B$12*CEILING(I54,1)</f>
        <v>2.4</v>
      </c>
      <c r="AA54" s="39" t="n">
        <f aca="false">Resumo!$B$13*CEILING(I54,1)</f>
        <v>18</v>
      </c>
      <c r="AB54" s="39" t="n">
        <f aca="false">SUM(U54:AA54)</f>
        <v>121.66997</v>
      </c>
      <c r="AC54" s="39" t="n">
        <f aca="false">AB54/(1-Resumo!$B$5)</f>
        <v>138.261329545455</v>
      </c>
      <c r="AD54" s="39" t="n">
        <f aca="false">(AB54-AA54)/(1-Resumo!$B$5)</f>
        <v>117.806784090909</v>
      </c>
      <c r="AE54" s="39" t="n">
        <f aca="false">AC54-T54</f>
        <v>45.5292752272727</v>
      </c>
      <c r="AF54" s="40" t="n">
        <f aca="false">AC54/T54-1</f>
        <v>0.490976669955492</v>
      </c>
      <c r="AG54" s="37" t="str">
        <f aca="false">IF(AC54&lt;T54,"SIM","NÃO")</f>
        <v>NÃO</v>
      </c>
      <c r="AH54" s="37" t="n">
        <v>8</v>
      </c>
      <c r="AI54" s="37" t="n">
        <v>5</v>
      </c>
      <c r="AJ54" s="37" t="s">
        <v>323</v>
      </c>
    </row>
    <row r="55" customFormat="false" ht="15" hidden="false" customHeight="false" outlineLevel="0" collapsed="false">
      <c r="A55" s="37" t="n">
        <v>355365552</v>
      </c>
      <c r="B55" s="38" t="n">
        <v>46210.0137731481</v>
      </c>
      <c r="C55" s="37" t="s">
        <v>320</v>
      </c>
      <c r="D55" s="37" t="s">
        <v>383</v>
      </c>
      <c r="E55" s="37" t="n">
        <v>22735000</v>
      </c>
      <c r="F55" s="37" t="s">
        <v>139</v>
      </c>
      <c r="G55" s="37" t="s">
        <v>198</v>
      </c>
      <c r="H55" s="37" t="s">
        <v>169</v>
      </c>
      <c r="I55" s="37" t="n">
        <v>37.2</v>
      </c>
      <c r="J55" s="39" t="n">
        <v>360.99</v>
      </c>
      <c r="K55" s="37" t="s">
        <v>322</v>
      </c>
      <c r="L55" s="39" t="n">
        <v>91.58</v>
      </c>
      <c r="M55" s="39" t="n">
        <v>62.05</v>
      </c>
      <c r="N55" s="39" t="n">
        <f aca="false">J55*Resumo!$C$7</f>
        <v>0.72198</v>
      </c>
      <c r="O55" s="39" t="n">
        <f aca="false">J55*Resumo!$C$8</f>
        <v>0.72198</v>
      </c>
      <c r="P55" s="39" t="n">
        <f aca="false">Resumo!$C$10*CEILING(I55/100,1)</f>
        <v>1</v>
      </c>
      <c r="Q55" s="39" t="n">
        <f aca="false">Resumo!$C$9</f>
        <v>11.9</v>
      </c>
      <c r="R55" s="39" t="n">
        <f aca="false">SUM(M55:Q55)*Resumo!$C$11</f>
        <v>4.2016678</v>
      </c>
      <c r="S55" s="39" t="n">
        <f aca="false">SUM(M55:R55)</f>
        <v>80.5956278</v>
      </c>
      <c r="T55" s="39" t="n">
        <f aca="false">S55/(1-Resumo!$C$5)</f>
        <v>91.5859406818182</v>
      </c>
      <c r="U55" s="39" t="n">
        <v>93.97</v>
      </c>
      <c r="V55" s="39" t="n">
        <f aca="false">J55*Resumo!$B$6</f>
        <v>0.36099</v>
      </c>
      <c r="W55" s="39" t="n">
        <f aca="false">J55*Resumo!$B$7</f>
        <v>0.72198</v>
      </c>
      <c r="X55" s="39" t="n">
        <f aca="false">Resumo!$B$9</f>
        <v>1</v>
      </c>
      <c r="Y55" s="39" t="n">
        <f aca="false">Resumo!$B$10*CEILING(I55/100,1)</f>
        <v>4.5</v>
      </c>
      <c r="Z55" s="39" t="n">
        <f aca="false">Resumo!$B$12*CEILING(I55,1)</f>
        <v>2.28</v>
      </c>
      <c r="AA55" s="39" t="n">
        <f aca="false">Resumo!$B$13*CEILING(I55,1)</f>
        <v>17.1</v>
      </c>
      <c r="AB55" s="39" t="n">
        <f aca="false">SUM(U55:AA55)</f>
        <v>119.93297</v>
      </c>
      <c r="AC55" s="39" t="n">
        <f aca="false">AB55/(1-Resumo!$B$5)</f>
        <v>136.287465909091</v>
      </c>
      <c r="AD55" s="39" t="n">
        <f aca="false">(AB55-AA55)/(1-Resumo!$B$5)</f>
        <v>116.855647727273</v>
      </c>
      <c r="AE55" s="39" t="n">
        <f aca="false">AC55-T55</f>
        <v>44.7015252272727</v>
      </c>
      <c r="AF55" s="40" t="n">
        <f aca="false">AC55/T55-1</f>
        <v>0.488082831212837</v>
      </c>
      <c r="AG55" s="37" t="str">
        <f aca="false">IF(AC55&lt;T55,"SIM","NÃO")</f>
        <v>NÃO</v>
      </c>
      <c r="AH55" s="37" t="n">
        <v>8</v>
      </c>
      <c r="AI55" s="37" t="n">
        <v>5</v>
      </c>
      <c r="AJ55" s="37" t="s">
        <v>323</v>
      </c>
    </row>
    <row r="56" customFormat="false" ht="15" hidden="false" customHeight="false" outlineLevel="0" collapsed="false">
      <c r="A56" s="37" t="n">
        <v>355372214</v>
      </c>
      <c r="B56" s="38" t="n">
        <v>46210.022025463</v>
      </c>
      <c r="C56" s="37" t="s">
        <v>320</v>
      </c>
      <c r="D56" s="37" t="s">
        <v>384</v>
      </c>
      <c r="E56" s="37" t="n">
        <v>21241300</v>
      </c>
      <c r="F56" s="37" t="s">
        <v>139</v>
      </c>
      <c r="G56" s="37" t="s">
        <v>198</v>
      </c>
      <c r="H56" s="37" t="s">
        <v>169</v>
      </c>
      <c r="I56" s="37" t="n">
        <v>37.2</v>
      </c>
      <c r="J56" s="39" t="n">
        <v>360.99</v>
      </c>
      <c r="K56" s="37" t="s">
        <v>322</v>
      </c>
      <c r="L56" s="39" t="n">
        <v>91.58</v>
      </c>
      <c r="M56" s="39" t="n">
        <v>62.05</v>
      </c>
      <c r="N56" s="39" t="n">
        <f aca="false">J56*Resumo!$C$7</f>
        <v>0.72198</v>
      </c>
      <c r="O56" s="39" t="n">
        <f aca="false">J56*Resumo!$C$8</f>
        <v>0.72198</v>
      </c>
      <c r="P56" s="39" t="n">
        <f aca="false">Resumo!$C$10*CEILING(I56/100,1)</f>
        <v>1</v>
      </c>
      <c r="Q56" s="39" t="n">
        <f aca="false">Resumo!$C$9</f>
        <v>11.9</v>
      </c>
      <c r="R56" s="39" t="n">
        <f aca="false">SUM(M56:Q56)*Resumo!$C$11</f>
        <v>4.2016678</v>
      </c>
      <c r="S56" s="39" t="n">
        <f aca="false">SUM(M56:R56)</f>
        <v>80.5956278</v>
      </c>
      <c r="T56" s="39" t="n">
        <f aca="false">S56/(1-Resumo!$C$5)</f>
        <v>91.5859406818182</v>
      </c>
      <c r="U56" s="39" t="n">
        <v>93.97</v>
      </c>
      <c r="V56" s="39" t="n">
        <f aca="false">J56*Resumo!$B$6</f>
        <v>0.36099</v>
      </c>
      <c r="W56" s="39" t="n">
        <f aca="false">J56*Resumo!$B$7</f>
        <v>0.72198</v>
      </c>
      <c r="X56" s="39" t="n">
        <f aca="false">Resumo!$B$9</f>
        <v>1</v>
      </c>
      <c r="Y56" s="39" t="n">
        <f aca="false">Resumo!$B$10*CEILING(I56/100,1)</f>
        <v>4.5</v>
      </c>
      <c r="Z56" s="39" t="n">
        <f aca="false">Resumo!$B$12*CEILING(I56,1)</f>
        <v>2.28</v>
      </c>
      <c r="AA56" s="39" t="n">
        <f aca="false">Resumo!$B$13*CEILING(I56,1)</f>
        <v>17.1</v>
      </c>
      <c r="AB56" s="39" t="n">
        <f aca="false">SUM(U56:AA56)</f>
        <v>119.93297</v>
      </c>
      <c r="AC56" s="39" t="n">
        <f aca="false">AB56/(1-Resumo!$B$5)</f>
        <v>136.287465909091</v>
      </c>
      <c r="AD56" s="39" t="n">
        <f aca="false">(AB56-AA56)/(1-Resumo!$B$5)</f>
        <v>116.855647727273</v>
      </c>
      <c r="AE56" s="39" t="n">
        <f aca="false">AC56-T56</f>
        <v>44.7015252272727</v>
      </c>
      <c r="AF56" s="40" t="n">
        <f aca="false">AC56/T56-1</f>
        <v>0.488082831212837</v>
      </c>
      <c r="AG56" s="37" t="str">
        <f aca="false">IF(AC56&lt;T56,"SIM","NÃO")</f>
        <v>NÃO</v>
      </c>
      <c r="AH56" s="37" t="n">
        <v>8</v>
      </c>
      <c r="AI56" s="37" t="n">
        <v>5</v>
      </c>
      <c r="AJ56" s="37" t="s">
        <v>323</v>
      </c>
    </row>
    <row r="57" customFormat="false" ht="15" hidden="false" customHeight="false" outlineLevel="0" collapsed="false">
      <c r="A57" s="37" t="n">
        <v>355403193</v>
      </c>
      <c r="B57" s="38" t="n">
        <v>46210.0742592593</v>
      </c>
      <c r="C57" s="37" t="s">
        <v>320</v>
      </c>
      <c r="D57" s="37" t="s">
        <v>385</v>
      </c>
      <c r="E57" s="37" t="n">
        <v>20251440</v>
      </c>
      <c r="F57" s="37" t="s">
        <v>139</v>
      </c>
      <c r="G57" s="37" t="s">
        <v>198</v>
      </c>
      <c r="H57" s="37" t="s">
        <v>168</v>
      </c>
      <c r="I57" s="37" t="n">
        <v>27.4</v>
      </c>
      <c r="J57" s="39" t="n">
        <v>324.99</v>
      </c>
      <c r="K57" s="37" t="s">
        <v>322</v>
      </c>
      <c r="L57" s="39" t="n">
        <v>81.89</v>
      </c>
      <c r="M57" s="39" t="n">
        <v>54.1</v>
      </c>
      <c r="N57" s="39" t="n">
        <f aca="false">J57*Resumo!$C$7</f>
        <v>0.64998</v>
      </c>
      <c r="O57" s="39" t="n">
        <f aca="false">J57*Resumo!$C$8</f>
        <v>0.64998</v>
      </c>
      <c r="P57" s="39" t="n">
        <f aca="false">Resumo!$C$10*CEILING(I57/100,1)</f>
        <v>1</v>
      </c>
      <c r="Q57" s="39" t="n">
        <f aca="false">Resumo!$C$9</f>
        <v>11.9</v>
      </c>
      <c r="R57" s="39" t="n">
        <f aca="false">SUM(M57:Q57)*Resumo!$C$11</f>
        <v>3.7564978</v>
      </c>
      <c r="S57" s="39" t="n">
        <f aca="false">SUM(M57:R57)</f>
        <v>72.0564578</v>
      </c>
      <c r="T57" s="39" t="n">
        <f aca="false">S57/(1-Resumo!$C$5)</f>
        <v>81.8823384090909</v>
      </c>
      <c r="U57" s="39" t="n">
        <v>82.21</v>
      </c>
      <c r="V57" s="39" t="n">
        <f aca="false">J57*Resumo!$B$6</f>
        <v>0.32499</v>
      </c>
      <c r="W57" s="39" t="n">
        <f aca="false">J57*Resumo!$B$7</f>
        <v>0.64998</v>
      </c>
      <c r="X57" s="39" t="n">
        <f aca="false">Resumo!$B$9</f>
        <v>1</v>
      </c>
      <c r="Y57" s="39" t="n">
        <f aca="false">Resumo!$B$10*CEILING(I57/100,1)</f>
        <v>4.5</v>
      </c>
      <c r="Z57" s="39" t="n">
        <f aca="false">Resumo!$B$12*CEILING(I57,1)</f>
        <v>1.68</v>
      </c>
      <c r="AA57" s="39" t="n">
        <f aca="false">Resumo!$B$13*CEILING(I57,1)</f>
        <v>12.6</v>
      </c>
      <c r="AB57" s="39" t="n">
        <f aca="false">SUM(U57:AA57)</f>
        <v>102.96497</v>
      </c>
      <c r="AC57" s="39" t="n">
        <f aca="false">AB57/(1-Resumo!$B$5)</f>
        <v>117.005647727273</v>
      </c>
      <c r="AD57" s="39" t="n">
        <f aca="false">(AB57-AA57)/(1-Resumo!$B$5)</f>
        <v>102.687465909091</v>
      </c>
      <c r="AE57" s="39" t="n">
        <f aca="false">AC57-T57</f>
        <v>35.1233093181818</v>
      </c>
      <c r="AF57" s="40" t="n">
        <f aca="false">AC57/T57-1</f>
        <v>0.428948537628504</v>
      </c>
      <c r="AG57" s="37" t="str">
        <f aca="false">IF(AC57&lt;T57,"SIM","NÃO")</f>
        <v>NÃO</v>
      </c>
      <c r="AH57" s="37" t="n">
        <v>8</v>
      </c>
      <c r="AI57" s="37" t="n">
        <v>5</v>
      </c>
      <c r="AJ57" s="37" t="s">
        <v>323</v>
      </c>
    </row>
    <row r="58" customFormat="false" ht="15" hidden="false" customHeight="false" outlineLevel="0" collapsed="false">
      <c r="A58" s="37" t="n">
        <v>355422105</v>
      </c>
      <c r="B58" s="38" t="n">
        <v>46210.1184375</v>
      </c>
      <c r="C58" s="37" t="s">
        <v>320</v>
      </c>
      <c r="D58" s="37" t="s">
        <v>386</v>
      </c>
      <c r="E58" s="37" t="n">
        <v>26087230</v>
      </c>
      <c r="F58" s="37" t="s">
        <v>142</v>
      </c>
      <c r="G58" s="37" t="s">
        <v>207</v>
      </c>
      <c r="H58" s="37" t="s">
        <v>168</v>
      </c>
      <c r="I58" s="37" t="n">
        <v>27.4</v>
      </c>
      <c r="J58" s="39" t="n">
        <v>324.99</v>
      </c>
      <c r="K58" s="37" t="s">
        <v>322</v>
      </c>
      <c r="L58" s="39" t="n">
        <v>100.94</v>
      </c>
      <c r="M58" s="39" t="n">
        <v>70</v>
      </c>
      <c r="N58" s="39" t="n">
        <f aca="false">J58*Resumo!$C$7</f>
        <v>0.64998</v>
      </c>
      <c r="O58" s="39" t="n">
        <f aca="false">J58*Resumo!$C$8</f>
        <v>0.64998</v>
      </c>
      <c r="P58" s="39" t="n">
        <f aca="false">Resumo!$C$10*CEILING(I58/100,1)</f>
        <v>1</v>
      </c>
      <c r="Q58" s="39" t="n">
        <f aca="false">Resumo!$C$9</f>
        <v>11.9</v>
      </c>
      <c r="R58" s="39" t="n">
        <f aca="false">SUM(M58:Q58)*Resumo!$C$11</f>
        <v>4.6309978</v>
      </c>
      <c r="S58" s="39" t="n">
        <f aca="false">SUM(M58:R58)</f>
        <v>88.8309578</v>
      </c>
      <c r="T58" s="39" t="n">
        <f aca="false">S58/(1-Resumo!$C$5)</f>
        <v>100.944270227273</v>
      </c>
      <c r="U58" s="39" t="n">
        <v>82.21</v>
      </c>
      <c r="V58" s="39" t="n">
        <f aca="false">J58*Resumo!$B$6</f>
        <v>0.32499</v>
      </c>
      <c r="W58" s="39" t="n">
        <f aca="false">J58*Resumo!$B$7</f>
        <v>0.64998</v>
      </c>
      <c r="X58" s="39" t="n">
        <f aca="false">Resumo!$B$9</f>
        <v>1</v>
      </c>
      <c r="Y58" s="39" t="n">
        <f aca="false">Resumo!$B$10*CEILING(I58/100,1)</f>
        <v>4.5</v>
      </c>
      <c r="Z58" s="39" t="n">
        <f aca="false">Resumo!$B$12*CEILING(I58,1)</f>
        <v>1.68</v>
      </c>
      <c r="AA58" s="39" t="n">
        <f aca="false">Resumo!$B$13*CEILING(I58,1)</f>
        <v>12.6</v>
      </c>
      <c r="AB58" s="39" t="n">
        <f aca="false">SUM(U58:AA58)</f>
        <v>102.96497</v>
      </c>
      <c r="AC58" s="39" t="n">
        <f aca="false">AB58/(1-Resumo!$B$5)</f>
        <v>117.005647727273</v>
      </c>
      <c r="AD58" s="39" t="n">
        <f aca="false">(AB58-AA58)/(1-Resumo!$B$5)</f>
        <v>102.687465909091</v>
      </c>
      <c r="AE58" s="39" t="n">
        <f aca="false">AC58-T58</f>
        <v>16.0613775</v>
      </c>
      <c r="AF58" s="40" t="n">
        <f aca="false">AC58/T58-1</f>
        <v>0.159111334044402</v>
      </c>
      <c r="AG58" s="37" t="str">
        <f aca="false">IF(AC58&lt;T58,"SIM","NÃO")</f>
        <v>NÃO</v>
      </c>
      <c r="AH58" s="37" t="n">
        <v>10</v>
      </c>
      <c r="AI58" s="37" t="n">
        <v>5</v>
      </c>
      <c r="AJ58" s="37" t="s">
        <v>323</v>
      </c>
    </row>
    <row r="59" customFormat="false" ht="15" hidden="false" customHeight="false" outlineLevel="0" collapsed="false">
      <c r="A59" s="37" t="n">
        <v>355528816</v>
      </c>
      <c r="B59" s="38" t="n">
        <v>46210.3415972222</v>
      </c>
      <c r="C59" s="37" t="s">
        <v>320</v>
      </c>
      <c r="D59" s="37" t="s">
        <v>387</v>
      </c>
      <c r="E59" s="37" t="n">
        <v>25710093</v>
      </c>
      <c r="F59" s="37" t="s">
        <v>150</v>
      </c>
      <c r="G59" s="37" t="s">
        <v>201</v>
      </c>
      <c r="H59" s="37" t="s">
        <v>169</v>
      </c>
      <c r="I59" s="37" t="n">
        <v>37.2</v>
      </c>
      <c r="J59" s="39" t="n">
        <v>360.99</v>
      </c>
      <c r="K59" s="37" t="s">
        <v>322</v>
      </c>
      <c r="L59" s="39" t="n">
        <v>121.98</v>
      </c>
      <c r="M59" s="39" t="n">
        <v>87.4</v>
      </c>
      <c r="N59" s="39" t="n">
        <f aca="false">J59*Resumo!$C$7</f>
        <v>0.72198</v>
      </c>
      <c r="O59" s="39" t="n">
        <f aca="false">J59*Resumo!$C$8</f>
        <v>0.72198</v>
      </c>
      <c r="P59" s="39" t="n">
        <f aca="false">Resumo!$C$10*CEILING(I59/100,1)</f>
        <v>1</v>
      </c>
      <c r="Q59" s="39" t="n">
        <f aca="false">Resumo!$C$9</f>
        <v>11.9</v>
      </c>
      <c r="R59" s="39" t="n">
        <f aca="false">SUM(M59:Q59)*Resumo!$C$11</f>
        <v>5.5959178</v>
      </c>
      <c r="S59" s="39" t="n">
        <f aca="false">SUM(M59:R59)</f>
        <v>107.3398778</v>
      </c>
      <c r="T59" s="39" t="n">
        <f aca="false">S59/(1-Resumo!$C$5)</f>
        <v>121.977133863636</v>
      </c>
      <c r="U59" s="39" t="n">
        <v>124.38</v>
      </c>
      <c r="V59" s="39" t="n">
        <f aca="false">J59*Resumo!$B$6</f>
        <v>0.36099</v>
      </c>
      <c r="W59" s="39" t="n">
        <f aca="false">J59*Resumo!$B$7</f>
        <v>0.72198</v>
      </c>
      <c r="X59" s="39" t="n">
        <f aca="false">Resumo!$B$9</f>
        <v>1</v>
      </c>
      <c r="Y59" s="39" t="n">
        <f aca="false">Resumo!$B$10*CEILING(I59/100,1)</f>
        <v>4.5</v>
      </c>
      <c r="Z59" s="39" t="n">
        <f aca="false">Resumo!$B$12*CEILING(I59,1)</f>
        <v>2.28</v>
      </c>
      <c r="AA59" s="39" t="n">
        <f aca="false">Resumo!$B$13*CEILING(I59,1)</f>
        <v>17.1</v>
      </c>
      <c r="AB59" s="39" t="n">
        <f aca="false">SUM(U59:AA59)</f>
        <v>150.34297</v>
      </c>
      <c r="AC59" s="39" t="n">
        <f aca="false">AB59/(1-Resumo!$B$5)</f>
        <v>170.844284090909</v>
      </c>
      <c r="AD59" s="39" t="n">
        <f aca="false">(AB59-AA59)/(1-Resumo!$B$5)</f>
        <v>151.412465909091</v>
      </c>
      <c r="AE59" s="39" t="n">
        <f aca="false">AC59-T59</f>
        <v>48.8671502272727</v>
      </c>
      <c r="AF59" s="40" t="n">
        <f aca="false">AC59/T59-1</f>
        <v>0.400625499873636</v>
      </c>
      <c r="AG59" s="37" t="str">
        <f aca="false">IF(AC59&lt;T59,"SIM","NÃO")</f>
        <v>NÃO</v>
      </c>
      <c r="AH59" s="37" t="n">
        <v>13</v>
      </c>
      <c r="AI59" s="37" t="n">
        <v>8</v>
      </c>
      <c r="AJ59" s="37" t="s">
        <v>323</v>
      </c>
    </row>
    <row r="60" customFormat="false" ht="15" hidden="false" customHeight="false" outlineLevel="0" collapsed="false">
      <c r="A60" s="37" t="n">
        <v>355545763</v>
      </c>
      <c r="B60" s="38" t="n">
        <v>46210.3669907407</v>
      </c>
      <c r="C60" s="37" t="s">
        <v>325</v>
      </c>
      <c r="D60" s="37" t="s">
        <v>388</v>
      </c>
      <c r="E60" s="37" t="n">
        <v>21032060</v>
      </c>
      <c r="F60" s="37" t="s">
        <v>139</v>
      </c>
      <c r="G60" s="37" t="s">
        <v>198</v>
      </c>
      <c r="H60" s="37" t="s">
        <v>170</v>
      </c>
      <c r="I60" s="37" t="n">
        <v>43.5</v>
      </c>
      <c r="J60" s="39" t="n">
        <v>719.98</v>
      </c>
      <c r="K60" s="37" t="s">
        <v>322</v>
      </c>
      <c r="L60" s="39" t="n">
        <v>104.03</v>
      </c>
      <c r="M60" s="39" t="n">
        <v>71</v>
      </c>
      <c r="N60" s="39" t="n">
        <f aca="false">J60*Resumo!$C$7</f>
        <v>1.43996</v>
      </c>
      <c r="O60" s="39" t="n">
        <f aca="false">J60*Resumo!$C$8</f>
        <v>1.43996</v>
      </c>
      <c r="P60" s="39" t="n">
        <f aca="false">Resumo!$C$10*CEILING(I60/100,1)</f>
        <v>1</v>
      </c>
      <c r="Q60" s="39" t="n">
        <f aca="false">Resumo!$C$9</f>
        <v>11.9</v>
      </c>
      <c r="R60" s="39" t="n">
        <f aca="false">SUM(M60:Q60)*Resumo!$C$11</f>
        <v>4.7728956</v>
      </c>
      <c r="S60" s="39" t="n">
        <f aca="false">SUM(M60:R60)</f>
        <v>91.5528156</v>
      </c>
      <c r="T60" s="39" t="n">
        <f aca="false">S60/(1-Resumo!$C$5)</f>
        <v>104.037290454545</v>
      </c>
      <c r="U60" s="39" t="n">
        <v>93.97</v>
      </c>
      <c r="V60" s="39" t="n">
        <f aca="false">J60*Resumo!$B$6</f>
        <v>0.71998</v>
      </c>
      <c r="W60" s="39" t="n">
        <f aca="false">J60*Resumo!$B$7</f>
        <v>1.43996</v>
      </c>
      <c r="X60" s="39" t="n">
        <f aca="false">Resumo!$B$9</f>
        <v>1</v>
      </c>
      <c r="Y60" s="39" t="n">
        <f aca="false">Resumo!$B$10*CEILING(I60/100,1)</f>
        <v>4.5</v>
      </c>
      <c r="Z60" s="39" t="n">
        <f aca="false">Resumo!$B$12*CEILING(I60,1)</f>
        <v>2.64</v>
      </c>
      <c r="AA60" s="39" t="n">
        <f aca="false">Resumo!$B$13*CEILING(I60,1)</f>
        <v>19.8</v>
      </c>
      <c r="AB60" s="39" t="n">
        <f aca="false">SUM(U60:AA60)</f>
        <v>124.06994</v>
      </c>
      <c r="AC60" s="39" t="n">
        <f aca="false">AB60/(1-Resumo!$B$5)</f>
        <v>140.988568181818</v>
      </c>
      <c r="AD60" s="39" t="n">
        <f aca="false">(AB60-AA60)/(1-Resumo!$B$5)</f>
        <v>118.488568181818</v>
      </c>
      <c r="AE60" s="39" t="n">
        <f aca="false">AC60-T60</f>
        <v>36.9512777272727</v>
      </c>
      <c r="AF60" s="40" t="n">
        <f aca="false">AC60/T60-1</f>
        <v>0.35517339567217</v>
      </c>
      <c r="AG60" s="37" t="str">
        <f aca="false">IF(AC60&lt;T60,"SIM","NÃO")</f>
        <v>NÃO</v>
      </c>
      <c r="AH60" s="37" t="n">
        <v>8</v>
      </c>
      <c r="AI60" s="37" t="n">
        <v>5</v>
      </c>
      <c r="AJ60" s="37" t="s">
        <v>323</v>
      </c>
    </row>
    <row r="61" customFormat="false" ht="15" hidden="false" customHeight="false" outlineLevel="0" collapsed="false">
      <c r="A61" s="37" t="n">
        <v>355590261</v>
      </c>
      <c r="B61" s="38" t="n">
        <v>46210.4490740741</v>
      </c>
      <c r="C61" s="37" t="s">
        <v>341</v>
      </c>
      <c r="D61" s="37" t="s">
        <v>389</v>
      </c>
      <c r="E61" s="37" t="n">
        <v>22733010</v>
      </c>
      <c r="F61" s="37" t="s">
        <v>139</v>
      </c>
      <c r="G61" s="37" t="s">
        <v>198</v>
      </c>
      <c r="H61" s="37" t="s">
        <v>170</v>
      </c>
      <c r="I61" s="37" t="n">
        <v>49.6</v>
      </c>
      <c r="J61" s="39" t="n">
        <v>799.99</v>
      </c>
      <c r="K61" s="37" t="s">
        <v>322</v>
      </c>
      <c r="L61" s="39" t="n">
        <v>104.42</v>
      </c>
      <c r="M61" s="39" t="n">
        <v>71</v>
      </c>
      <c r="N61" s="39" t="n">
        <f aca="false">J61*Resumo!$C$7</f>
        <v>1.59998</v>
      </c>
      <c r="O61" s="39" t="n">
        <f aca="false">J61*Resumo!$C$8</f>
        <v>1.59998</v>
      </c>
      <c r="P61" s="39" t="n">
        <f aca="false">Resumo!$C$10*CEILING(I61/100,1)</f>
        <v>1</v>
      </c>
      <c r="Q61" s="39" t="n">
        <f aca="false">Resumo!$C$9</f>
        <v>11.9</v>
      </c>
      <c r="R61" s="39" t="n">
        <f aca="false">SUM(M61:Q61)*Resumo!$C$11</f>
        <v>4.7904978</v>
      </c>
      <c r="S61" s="39" t="n">
        <f aca="false">SUM(M61:R61)</f>
        <v>91.8904578</v>
      </c>
      <c r="T61" s="39" t="n">
        <f aca="false">S61/(1-Resumo!$C$5)</f>
        <v>104.420974772727</v>
      </c>
      <c r="U61" s="39" t="n">
        <v>93.97</v>
      </c>
      <c r="V61" s="39" t="n">
        <f aca="false">J61*Resumo!$B$6</f>
        <v>0.79999</v>
      </c>
      <c r="W61" s="39" t="n">
        <f aca="false">J61*Resumo!$B$7</f>
        <v>1.59998</v>
      </c>
      <c r="X61" s="39" t="n">
        <f aca="false">Resumo!$B$9</f>
        <v>1</v>
      </c>
      <c r="Y61" s="39" t="n">
        <f aca="false">Resumo!$B$10*CEILING(I61/100,1)</f>
        <v>4.5</v>
      </c>
      <c r="Z61" s="39" t="n">
        <f aca="false">Resumo!$B$12*CEILING(I61,1)</f>
        <v>3</v>
      </c>
      <c r="AA61" s="39" t="n">
        <f aca="false">Resumo!$B$13*CEILING(I61,1)</f>
        <v>22.5</v>
      </c>
      <c r="AB61" s="39" t="n">
        <f aca="false">SUM(U61:AA61)</f>
        <v>127.36997</v>
      </c>
      <c r="AC61" s="39" t="n">
        <f aca="false">AB61/(1-Resumo!$B$5)</f>
        <v>144.738602272727</v>
      </c>
      <c r="AD61" s="39" t="n">
        <f aca="false">(AB61-AA61)/(1-Resumo!$B$5)</f>
        <v>119.170420454545</v>
      </c>
      <c r="AE61" s="39" t="n">
        <f aca="false">AC61-T61</f>
        <v>40.3176275</v>
      </c>
      <c r="AF61" s="40" t="n">
        <f aca="false">AC61/T61-1</f>
        <v>0.386106599634331</v>
      </c>
      <c r="AG61" s="37" t="str">
        <f aca="false">IF(AC61&lt;T61,"SIM","NÃO")</f>
        <v>NÃO</v>
      </c>
      <c r="AH61" s="37" t="n">
        <v>8</v>
      </c>
      <c r="AI61" s="37" t="n">
        <v>5</v>
      </c>
      <c r="AJ61" s="37" t="s">
        <v>323</v>
      </c>
    </row>
    <row r="62" customFormat="false" ht="15" hidden="false" customHeight="false" outlineLevel="0" collapsed="false">
      <c r="A62" s="37" t="n">
        <v>355619727</v>
      </c>
      <c r="B62" s="38" t="n">
        <v>46210.4503472222</v>
      </c>
      <c r="C62" s="37" t="s">
        <v>320</v>
      </c>
      <c r="D62" s="37" t="s">
        <v>390</v>
      </c>
      <c r="E62" s="37" t="n">
        <v>20760020</v>
      </c>
      <c r="F62" s="37" t="s">
        <v>139</v>
      </c>
      <c r="G62" s="37" t="s">
        <v>198</v>
      </c>
      <c r="H62" s="37" t="s">
        <v>176</v>
      </c>
      <c r="I62" s="37" t="n">
        <v>124.2</v>
      </c>
      <c r="J62" s="39" t="n">
        <v>1599.99</v>
      </c>
      <c r="K62" s="37" t="s">
        <v>322</v>
      </c>
      <c r="L62" s="39" t="n">
        <v>233.95</v>
      </c>
      <c r="M62" s="39" t="n">
        <v>174.85</v>
      </c>
      <c r="N62" s="39" t="n">
        <f aca="false">J62*Resumo!$C$7</f>
        <v>3.19998</v>
      </c>
      <c r="O62" s="39" t="n">
        <f aca="false">J62*Resumo!$C$8</f>
        <v>3.19998</v>
      </c>
      <c r="P62" s="39" t="n">
        <f aca="false">Resumo!$C$10*CEILING(I62/100,1)</f>
        <v>2</v>
      </c>
      <c r="Q62" s="39" t="n">
        <f aca="false">Resumo!$C$9</f>
        <v>11.9</v>
      </c>
      <c r="R62" s="39" t="n">
        <f aca="false">SUM(M62:Q62)*Resumo!$C$11</f>
        <v>10.7332478</v>
      </c>
      <c r="S62" s="39" t="n">
        <f aca="false">SUM(M62:R62)</f>
        <v>205.8832078</v>
      </c>
      <c r="T62" s="39" t="n">
        <f aca="false">S62/(1-Resumo!$C$5)</f>
        <v>233.958190681818</v>
      </c>
      <c r="U62" s="39" t="n">
        <v>239.25</v>
      </c>
      <c r="V62" s="39" t="n">
        <f aca="false">J62*Resumo!$B$6</f>
        <v>1.59999</v>
      </c>
      <c r="W62" s="39" t="n">
        <f aca="false">J62*Resumo!$B$7</f>
        <v>3.19998</v>
      </c>
      <c r="X62" s="39" t="n">
        <f aca="false">Resumo!$B$9</f>
        <v>1</v>
      </c>
      <c r="Y62" s="39" t="n">
        <f aca="false">Resumo!$B$10*CEILING(I62/100,1)</f>
        <v>9</v>
      </c>
      <c r="Z62" s="39" t="n">
        <f aca="false">Resumo!$B$12*CEILING(I62,1)</f>
        <v>7.5</v>
      </c>
      <c r="AA62" s="39" t="n">
        <f aca="false">Resumo!$B$13*CEILING(I62,1)</f>
        <v>56.25</v>
      </c>
      <c r="AB62" s="39" t="n">
        <f aca="false">SUM(U62:AA62)</f>
        <v>317.79997</v>
      </c>
      <c r="AC62" s="39" t="n">
        <f aca="false">AB62/(1-Resumo!$B$5)</f>
        <v>361.136329545455</v>
      </c>
      <c r="AD62" s="39" t="n">
        <f aca="false">(AB62-AA62)/(1-Resumo!$B$5)</f>
        <v>297.215875</v>
      </c>
      <c r="AE62" s="39" t="n">
        <f aca="false">AC62-T62</f>
        <v>127.178138863636</v>
      </c>
      <c r="AF62" s="40" t="n">
        <f aca="false">AC62/T62-1</f>
        <v>0.543593445021114</v>
      </c>
      <c r="AG62" s="37" t="str">
        <f aca="false">IF(AC62&lt;T62,"SIM","NÃO")</f>
        <v>NÃO</v>
      </c>
      <c r="AH62" s="37" t="n">
        <v>8</v>
      </c>
      <c r="AI62" s="37" t="n">
        <v>5</v>
      </c>
      <c r="AJ62" s="37" t="s">
        <v>323</v>
      </c>
    </row>
    <row r="63" customFormat="false" ht="15" hidden="false" customHeight="false" outlineLevel="0" collapsed="false">
      <c r="A63" s="37" t="n">
        <v>355638083</v>
      </c>
      <c r="B63" s="38" t="n">
        <v>46210.4725231482</v>
      </c>
      <c r="C63" s="37" t="s">
        <v>320</v>
      </c>
      <c r="D63" s="37" t="s">
        <v>391</v>
      </c>
      <c r="E63" s="37" t="n">
        <v>22795135</v>
      </c>
      <c r="F63" s="37" t="s">
        <v>139</v>
      </c>
      <c r="G63" s="37" t="s">
        <v>198</v>
      </c>
      <c r="H63" s="37" t="s">
        <v>172</v>
      </c>
      <c r="I63" s="37" t="n">
        <v>62.8</v>
      </c>
      <c r="J63" s="39" t="n">
        <v>754.99</v>
      </c>
      <c r="K63" s="37" t="s">
        <v>322</v>
      </c>
      <c r="L63" s="39" t="n">
        <v>124.83</v>
      </c>
      <c r="M63" s="39" t="n">
        <v>88.2</v>
      </c>
      <c r="N63" s="39" t="n">
        <f aca="false">J63*Resumo!$C$7</f>
        <v>1.50998</v>
      </c>
      <c r="O63" s="39" t="n">
        <f aca="false">J63*Resumo!$C$8</f>
        <v>1.50998</v>
      </c>
      <c r="P63" s="39" t="n">
        <f aca="false">Resumo!$C$10*CEILING(I63/100,1)</f>
        <v>1</v>
      </c>
      <c r="Q63" s="39" t="n">
        <f aca="false">Resumo!$C$9</f>
        <v>11.9</v>
      </c>
      <c r="R63" s="39" t="n">
        <f aca="false">SUM(M63:Q63)*Resumo!$C$11</f>
        <v>5.7265978</v>
      </c>
      <c r="S63" s="39" t="n">
        <f aca="false">SUM(M63:R63)</f>
        <v>109.8465578</v>
      </c>
      <c r="T63" s="39" t="n">
        <f aca="false">S63/(1-Resumo!$C$5)</f>
        <v>124.825633863636</v>
      </c>
      <c r="U63" s="39" t="n">
        <v>131.02</v>
      </c>
      <c r="V63" s="39" t="n">
        <f aca="false">J63*Resumo!$B$6</f>
        <v>0.75499</v>
      </c>
      <c r="W63" s="39" t="n">
        <f aca="false">J63*Resumo!$B$7</f>
        <v>1.50998</v>
      </c>
      <c r="X63" s="39" t="n">
        <f aca="false">Resumo!$B$9</f>
        <v>1</v>
      </c>
      <c r="Y63" s="39" t="n">
        <f aca="false">Resumo!$B$10*CEILING(I63/100,1)</f>
        <v>4.5</v>
      </c>
      <c r="Z63" s="39" t="n">
        <f aca="false">Resumo!$B$12*CEILING(I63,1)</f>
        <v>3.78</v>
      </c>
      <c r="AA63" s="39" t="n">
        <f aca="false">Resumo!$B$13*CEILING(I63,1)</f>
        <v>28.35</v>
      </c>
      <c r="AB63" s="39" t="n">
        <f aca="false">SUM(U63:AA63)</f>
        <v>170.91497</v>
      </c>
      <c r="AC63" s="39" t="n">
        <f aca="false">AB63/(1-Resumo!$B$5)</f>
        <v>194.221556818182</v>
      </c>
      <c r="AD63" s="39" t="n">
        <f aca="false">(AB63-AA63)/(1-Resumo!$B$5)</f>
        <v>162.005647727273</v>
      </c>
      <c r="AE63" s="39" t="n">
        <f aca="false">AC63-T63</f>
        <v>69.3959229545455</v>
      </c>
      <c r="AF63" s="40" t="n">
        <f aca="false">AC63/T63-1</f>
        <v>0.555942884538891</v>
      </c>
      <c r="AG63" s="37" t="str">
        <f aca="false">IF(AC63&lt;T63,"SIM","NÃO")</f>
        <v>NÃO</v>
      </c>
      <c r="AH63" s="37" t="n">
        <v>8</v>
      </c>
      <c r="AI63" s="37" t="n">
        <v>5</v>
      </c>
      <c r="AJ63" s="37" t="s">
        <v>323</v>
      </c>
    </row>
    <row r="64" customFormat="false" ht="15" hidden="false" customHeight="false" outlineLevel="0" collapsed="false">
      <c r="A64" s="37" t="n">
        <v>355650394</v>
      </c>
      <c r="B64" s="38" t="n">
        <v>46210.4872569444</v>
      </c>
      <c r="C64" s="37" t="s">
        <v>320</v>
      </c>
      <c r="D64" s="37" t="s">
        <v>324</v>
      </c>
      <c r="E64" s="37" t="n">
        <v>21032000</v>
      </c>
      <c r="F64" s="37" t="s">
        <v>139</v>
      </c>
      <c r="G64" s="37" t="s">
        <v>198</v>
      </c>
      <c r="H64" s="37" t="s">
        <v>168</v>
      </c>
      <c r="I64" s="37" t="n">
        <v>27.4</v>
      </c>
      <c r="J64" s="39" t="n">
        <v>324.99</v>
      </c>
      <c r="K64" s="37" t="s">
        <v>322</v>
      </c>
      <c r="L64" s="39" t="n">
        <v>81.89</v>
      </c>
      <c r="M64" s="39" t="n">
        <v>54.1</v>
      </c>
      <c r="N64" s="39" t="n">
        <f aca="false">J64*Resumo!$C$7</f>
        <v>0.64998</v>
      </c>
      <c r="O64" s="39" t="n">
        <f aca="false">J64*Resumo!$C$8</f>
        <v>0.64998</v>
      </c>
      <c r="P64" s="39" t="n">
        <f aca="false">Resumo!$C$10*CEILING(I64/100,1)</f>
        <v>1</v>
      </c>
      <c r="Q64" s="39" t="n">
        <f aca="false">Resumo!$C$9</f>
        <v>11.9</v>
      </c>
      <c r="R64" s="39" t="n">
        <f aca="false">SUM(M64:Q64)*Resumo!$C$11</f>
        <v>3.7564978</v>
      </c>
      <c r="S64" s="39" t="n">
        <f aca="false">SUM(M64:R64)</f>
        <v>72.0564578</v>
      </c>
      <c r="T64" s="39" t="n">
        <f aca="false">S64/(1-Resumo!$C$5)</f>
        <v>81.8823384090909</v>
      </c>
      <c r="U64" s="39" t="n">
        <v>82.21</v>
      </c>
      <c r="V64" s="39" t="n">
        <f aca="false">J64*Resumo!$B$6</f>
        <v>0.32499</v>
      </c>
      <c r="W64" s="39" t="n">
        <f aca="false">J64*Resumo!$B$7</f>
        <v>0.64998</v>
      </c>
      <c r="X64" s="39" t="n">
        <f aca="false">Resumo!$B$9</f>
        <v>1</v>
      </c>
      <c r="Y64" s="39" t="n">
        <f aca="false">Resumo!$B$10*CEILING(I64/100,1)</f>
        <v>4.5</v>
      </c>
      <c r="Z64" s="39" t="n">
        <f aca="false">Resumo!$B$12*CEILING(I64,1)</f>
        <v>1.68</v>
      </c>
      <c r="AA64" s="39" t="n">
        <f aca="false">Resumo!$B$13*CEILING(I64,1)</f>
        <v>12.6</v>
      </c>
      <c r="AB64" s="39" t="n">
        <f aca="false">SUM(U64:AA64)</f>
        <v>102.96497</v>
      </c>
      <c r="AC64" s="39" t="n">
        <f aca="false">AB64/(1-Resumo!$B$5)</f>
        <v>117.005647727273</v>
      </c>
      <c r="AD64" s="39" t="n">
        <f aca="false">(AB64-AA64)/(1-Resumo!$B$5)</f>
        <v>102.687465909091</v>
      </c>
      <c r="AE64" s="39" t="n">
        <f aca="false">AC64-T64</f>
        <v>35.1233093181818</v>
      </c>
      <c r="AF64" s="40" t="n">
        <f aca="false">AC64/T64-1</f>
        <v>0.428948537628504</v>
      </c>
      <c r="AG64" s="37" t="str">
        <f aca="false">IF(AC64&lt;T64,"SIM","NÃO")</f>
        <v>NÃO</v>
      </c>
      <c r="AH64" s="37" t="n">
        <v>8</v>
      </c>
      <c r="AI64" s="37" t="n">
        <v>5</v>
      </c>
      <c r="AJ64" s="37" t="s">
        <v>323</v>
      </c>
    </row>
    <row r="65" customFormat="false" ht="15" hidden="false" customHeight="false" outlineLevel="0" collapsed="false">
      <c r="A65" s="37" t="n">
        <v>355698364</v>
      </c>
      <c r="B65" s="38" t="n">
        <v>46210.5409259259</v>
      </c>
      <c r="C65" s="37" t="s">
        <v>320</v>
      </c>
      <c r="D65" s="37" t="s">
        <v>392</v>
      </c>
      <c r="E65" s="37" t="n">
        <v>21715195</v>
      </c>
      <c r="F65" s="37" t="s">
        <v>139</v>
      </c>
      <c r="G65" s="37" t="s">
        <v>198</v>
      </c>
      <c r="H65" s="37" t="s">
        <v>169</v>
      </c>
      <c r="I65" s="37" t="n">
        <v>38.6</v>
      </c>
      <c r="J65" s="39" t="n">
        <v>533.99</v>
      </c>
      <c r="K65" s="37" t="s">
        <v>322</v>
      </c>
      <c r="L65" s="39" t="n">
        <v>92.42</v>
      </c>
      <c r="M65" s="39" t="n">
        <v>62.05</v>
      </c>
      <c r="N65" s="39" t="n">
        <f aca="false">J65*Resumo!$C$7</f>
        <v>1.06798</v>
      </c>
      <c r="O65" s="39" t="n">
        <f aca="false">J65*Resumo!$C$8</f>
        <v>1.06798</v>
      </c>
      <c r="P65" s="39" t="n">
        <f aca="false">Resumo!$C$10*CEILING(I65/100,1)</f>
        <v>1</v>
      </c>
      <c r="Q65" s="39" t="n">
        <f aca="false">Resumo!$C$9</f>
        <v>11.9</v>
      </c>
      <c r="R65" s="39" t="n">
        <f aca="false">SUM(M65:Q65)*Resumo!$C$11</f>
        <v>4.2397278</v>
      </c>
      <c r="S65" s="39" t="n">
        <f aca="false">SUM(M65:R65)</f>
        <v>81.3256878</v>
      </c>
      <c r="T65" s="39" t="n">
        <f aca="false">S65/(1-Resumo!$C$5)</f>
        <v>92.4155543181818</v>
      </c>
      <c r="U65" s="39" t="n">
        <v>93.97</v>
      </c>
      <c r="V65" s="39" t="n">
        <f aca="false">J65*Resumo!$B$6</f>
        <v>0.53399</v>
      </c>
      <c r="W65" s="39" t="n">
        <f aca="false">J65*Resumo!$B$7</f>
        <v>1.06798</v>
      </c>
      <c r="X65" s="39" t="n">
        <f aca="false">Resumo!$B$9</f>
        <v>1</v>
      </c>
      <c r="Y65" s="39" t="n">
        <f aca="false">Resumo!$B$10*CEILING(I65/100,1)</f>
        <v>4.5</v>
      </c>
      <c r="Z65" s="39" t="n">
        <f aca="false">Resumo!$B$12*CEILING(I65,1)</f>
        <v>2.34</v>
      </c>
      <c r="AA65" s="39" t="n">
        <f aca="false">Resumo!$B$13*CEILING(I65,1)</f>
        <v>17.55</v>
      </c>
      <c r="AB65" s="39" t="n">
        <f aca="false">SUM(U65:AA65)</f>
        <v>120.96197</v>
      </c>
      <c r="AC65" s="39" t="n">
        <f aca="false">AB65/(1-Resumo!$B$5)</f>
        <v>137.456784090909</v>
      </c>
      <c r="AD65" s="39" t="n">
        <f aca="false">(AB65-AA65)/(1-Resumo!$B$5)</f>
        <v>117.513602272727</v>
      </c>
      <c r="AE65" s="39" t="n">
        <f aca="false">AC65-T65</f>
        <v>45.0412297727273</v>
      </c>
      <c r="AF65" s="40" t="n">
        <f aca="false">AC65/T65-1</f>
        <v>0.487377153175457</v>
      </c>
      <c r="AG65" s="37" t="str">
        <f aca="false">IF(AC65&lt;T65,"SIM","NÃO")</f>
        <v>NÃO</v>
      </c>
      <c r="AH65" s="37" t="n">
        <v>8</v>
      </c>
      <c r="AI65" s="37" t="n">
        <v>5</v>
      </c>
      <c r="AJ65" s="37" t="s">
        <v>323</v>
      </c>
    </row>
    <row r="66" customFormat="false" ht="15" hidden="false" customHeight="false" outlineLevel="0" collapsed="false">
      <c r="A66" s="37" t="n">
        <v>355720491</v>
      </c>
      <c r="B66" s="38" t="n">
        <v>46210.5655439815</v>
      </c>
      <c r="C66" s="37" t="s">
        <v>325</v>
      </c>
      <c r="D66" s="37" t="s">
        <v>393</v>
      </c>
      <c r="E66" s="37" t="n">
        <v>20211220</v>
      </c>
      <c r="F66" s="37" t="s">
        <v>139</v>
      </c>
      <c r="G66" s="37" t="s">
        <v>198</v>
      </c>
      <c r="H66" s="37" t="s">
        <v>176</v>
      </c>
      <c r="I66" s="37" t="n">
        <v>124.2</v>
      </c>
      <c r="J66" s="39" t="n">
        <v>1589.99</v>
      </c>
      <c r="K66" s="37" t="s">
        <v>322</v>
      </c>
      <c r="L66" s="39" t="n">
        <v>233.91</v>
      </c>
      <c r="M66" s="39" t="n">
        <v>174.85</v>
      </c>
      <c r="N66" s="39" t="n">
        <f aca="false">J66*Resumo!$C$7</f>
        <v>3.17998</v>
      </c>
      <c r="O66" s="39" t="n">
        <f aca="false">J66*Resumo!$C$8</f>
        <v>3.17998</v>
      </c>
      <c r="P66" s="39" t="n">
        <f aca="false">Resumo!$C$10*CEILING(I66/100,1)</f>
        <v>2</v>
      </c>
      <c r="Q66" s="39" t="n">
        <f aca="false">Resumo!$C$9</f>
        <v>11.9</v>
      </c>
      <c r="R66" s="39" t="n">
        <f aca="false">SUM(M66:Q66)*Resumo!$C$11</f>
        <v>10.7310478</v>
      </c>
      <c r="S66" s="39" t="n">
        <f aca="false">SUM(M66:R66)</f>
        <v>205.8410078</v>
      </c>
      <c r="T66" s="39" t="n">
        <f aca="false">S66/(1-Resumo!$C$5)</f>
        <v>233.910236136364</v>
      </c>
      <c r="U66" s="39" t="n">
        <v>239.25</v>
      </c>
      <c r="V66" s="39" t="n">
        <f aca="false">J66*Resumo!$B$6</f>
        <v>1.58999</v>
      </c>
      <c r="W66" s="39" t="n">
        <f aca="false">J66*Resumo!$B$7</f>
        <v>3.17998</v>
      </c>
      <c r="X66" s="39" t="n">
        <f aca="false">Resumo!$B$9</f>
        <v>1</v>
      </c>
      <c r="Y66" s="39" t="n">
        <f aca="false">Resumo!$B$10*CEILING(I66/100,1)</f>
        <v>9</v>
      </c>
      <c r="Z66" s="39" t="n">
        <f aca="false">Resumo!$B$12*CEILING(I66,1)</f>
        <v>7.5</v>
      </c>
      <c r="AA66" s="39" t="n">
        <f aca="false">Resumo!$B$13*CEILING(I66,1)</f>
        <v>56.25</v>
      </c>
      <c r="AB66" s="39" t="n">
        <f aca="false">SUM(U66:AA66)</f>
        <v>317.76997</v>
      </c>
      <c r="AC66" s="39" t="n">
        <f aca="false">AB66/(1-Resumo!$B$5)</f>
        <v>361.102238636364</v>
      </c>
      <c r="AD66" s="39" t="n">
        <f aca="false">(AB66-AA66)/(1-Resumo!$B$5)</f>
        <v>297.181784090909</v>
      </c>
      <c r="AE66" s="39" t="n">
        <f aca="false">AC66-T66</f>
        <v>127.1920025</v>
      </c>
      <c r="AF66" s="40" t="n">
        <f aca="false">AC66/T66-1</f>
        <v>0.543764157571327</v>
      </c>
      <c r="AG66" s="37" t="str">
        <f aca="false">IF(AC66&lt;T66,"SIM","NÃO")</f>
        <v>NÃO</v>
      </c>
      <c r="AH66" s="37" t="n">
        <v>8</v>
      </c>
      <c r="AI66" s="37" t="n">
        <v>5</v>
      </c>
      <c r="AJ66" s="37" t="s">
        <v>323</v>
      </c>
    </row>
    <row r="67" customFormat="false" ht="15" hidden="false" customHeight="false" outlineLevel="0" collapsed="false">
      <c r="A67" s="37" t="n">
        <v>355770761</v>
      </c>
      <c r="B67" s="38" t="n">
        <v>46210.6278819444</v>
      </c>
      <c r="C67" s="37" t="s">
        <v>320</v>
      </c>
      <c r="D67" s="37" t="s">
        <v>394</v>
      </c>
      <c r="E67" s="37" t="n">
        <v>24110310</v>
      </c>
      <c r="F67" s="37" t="s">
        <v>143</v>
      </c>
      <c r="G67" s="37" t="s">
        <v>207</v>
      </c>
      <c r="H67" s="37" t="s">
        <v>170</v>
      </c>
      <c r="I67" s="37" t="n">
        <v>46.8</v>
      </c>
      <c r="J67" s="39" t="n">
        <v>506.99</v>
      </c>
      <c r="K67" s="37" t="s">
        <v>322</v>
      </c>
      <c r="L67" s="39" t="n">
        <v>116.49</v>
      </c>
      <c r="M67" s="39" t="n">
        <v>82.25</v>
      </c>
      <c r="N67" s="39" t="n">
        <f aca="false">J67*Resumo!$C$7</f>
        <v>1.01398</v>
      </c>
      <c r="O67" s="39" t="n">
        <f aca="false">J67*Resumo!$C$8</f>
        <v>1.01398</v>
      </c>
      <c r="P67" s="39" t="n">
        <f aca="false">Resumo!$C$10*CEILING(I67/100,1)</f>
        <v>1</v>
      </c>
      <c r="Q67" s="39" t="n">
        <f aca="false">Resumo!$C$9</f>
        <v>11.9</v>
      </c>
      <c r="R67" s="39" t="n">
        <f aca="false">SUM(M67:Q67)*Resumo!$C$11</f>
        <v>5.3447878</v>
      </c>
      <c r="S67" s="39" t="n">
        <f aca="false">SUM(M67:R67)</f>
        <v>102.5227478</v>
      </c>
      <c r="T67" s="39" t="n">
        <f aca="false">S67/(1-Resumo!$C$5)</f>
        <v>116.5031225</v>
      </c>
      <c r="U67" s="39" t="n">
        <v>114.95</v>
      </c>
      <c r="V67" s="39" t="n">
        <f aca="false">J67*Resumo!$B$6</f>
        <v>0.50699</v>
      </c>
      <c r="W67" s="39" t="n">
        <f aca="false">J67*Resumo!$B$7</f>
        <v>1.01398</v>
      </c>
      <c r="X67" s="39" t="n">
        <f aca="false">Resumo!$B$9</f>
        <v>1</v>
      </c>
      <c r="Y67" s="39" t="n">
        <f aca="false">Resumo!$B$10*CEILING(I67/100,1)</f>
        <v>4.5</v>
      </c>
      <c r="Z67" s="39" t="n">
        <f aca="false">Resumo!$B$12*CEILING(I67,1)</f>
        <v>2.82</v>
      </c>
      <c r="AA67" s="39" t="n">
        <f aca="false">Resumo!$B$13*CEILING(I67,1)</f>
        <v>21.15</v>
      </c>
      <c r="AB67" s="39" t="n">
        <f aca="false">SUM(U67:AA67)</f>
        <v>145.94097</v>
      </c>
      <c r="AC67" s="39" t="n">
        <f aca="false">AB67/(1-Resumo!$B$5)</f>
        <v>165.842011363636</v>
      </c>
      <c r="AD67" s="39" t="n">
        <f aca="false">(AB67-AA67)/(1-Resumo!$B$5)</f>
        <v>141.807920454545</v>
      </c>
      <c r="AE67" s="39" t="n">
        <f aca="false">AC67-T67</f>
        <v>49.3388888636363</v>
      </c>
      <c r="AF67" s="40" t="n">
        <f aca="false">AC67/T67-1</f>
        <v>0.423498424805192</v>
      </c>
      <c r="AG67" s="37" t="str">
        <f aca="false">IF(AC67&lt;T67,"SIM","NÃO")</f>
        <v>NÃO</v>
      </c>
      <c r="AH67" s="37" t="n">
        <v>10</v>
      </c>
      <c r="AI67" s="37" t="n">
        <v>7</v>
      </c>
      <c r="AJ67" s="37" t="s">
        <v>323</v>
      </c>
    </row>
    <row r="68" customFormat="false" ht="15" hidden="false" customHeight="false" outlineLevel="0" collapsed="false">
      <c r="A68" s="37" t="n">
        <v>355853086</v>
      </c>
      <c r="B68" s="38" t="n">
        <v>46210.7418981482</v>
      </c>
      <c r="C68" s="37" t="s">
        <v>325</v>
      </c>
      <c r="D68" s="37" t="s">
        <v>395</v>
      </c>
      <c r="E68" s="37" t="n">
        <v>28680040</v>
      </c>
      <c r="F68" s="37" t="s">
        <v>269</v>
      </c>
      <c r="G68" s="37" t="s">
        <v>201</v>
      </c>
      <c r="H68" s="37" t="s">
        <v>174</v>
      </c>
      <c r="I68" s="37" t="n">
        <v>97.5</v>
      </c>
      <c r="J68" s="39" t="n">
        <v>1259.98</v>
      </c>
      <c r="K68" s="37" t="s">
        <v>322</v>
      </c>
      <c r="L68" s="39" t="n">
        <v>194.64</v>
      </c>
      <c r="M68" s="39" t="n">
        <v>144.41</v>
      </c>
      <c r="N68" s="39" t="n">
        <f aca="false">J68*Resumo!$C$7</f>
        <v>2.51996</v>
      </c>
      <c r="O68" s="39" t="n">
        <f aca="false">J68*Resumo!$C$8</f>
        <v>2.51996</v>
      </c>
      <c r="P68" s="39" t="n">
        <f aca="false">Resumo!$C$10*CEILING(I68/100,1)</f>
        <v>1</v>
      </c>
      <c r="Q68" s="39" t="n">
        <f aca="false">Resumo!$C$9</f>
        <v>11.9</v>
      </c>
      <c r="R68" s="39" t="n">
        <f aca="false">SUM(M68:Q68)*Resumo!$C$11</f>
        <v>8.9292456</v>
      </c>
      <c r="S68" s="39" t="n">
        <f aca="false">SUM(M68:R68)</f>
        <v>171.2791656</v>
      </c>
      <c r="T68" s="39" t="n">
        <f aca="false">S68/(1-Resumo!$C$5)</f>
        <v>194.635415454545</v>
      </c>
      <c r="U68" s="39" t="n">
        <v>197.35</v>
      </c>
      <c r="V68" s="39" t="n">
        <f aca="false">J68*Resumo!$B$6</f>
        <v>1.25998</v>
      </c>
      <c r="W68" s="39" t="n">
        <f aca="false">J68*Resumo!$B$7</f>
        <v>2.51996</v>
      </c>
      <c r="X68" s="39" t="n">
        <f aca="false">Resumo!$B$9</f>
        <v>1</v>
      </c>
      <c r="Y68" s="39" t="n">
        <f aca="false">Resumo!$B$10*CEILING(I68/100,1)</f>
        <v>4.5</v>
      </c>
      <c r="Z68" s="39" t="n">
        <f aca="false">Resumo!$B$12*CEILING(I68,1)</f>
        <v>5.88</v>
      </c>
      <c r="AA68" s="39" t="n">
        <f aca="false">Resumo!$B$13*CEILING(I68,1)</f>
        <v>44.1</v>
      </c>
      <c r="AB68" s="39" t="n">
        <f aca="false">SUM(U68:AA68)</f>
        <v>256.60994</v>
      </c>
      <c r="AC68" s="39" t="n">
        <f aca="false">AB68/(1-Resumo!$B$5)</f>
        <v>291.602204545455</v>
      </c>
      <c r="AD68" s="39" t="n">
        <f aca="false">(AB68-AA68)/(1-Resumo!$B$5)</f>
        <v>241.488568181818</v>
      </c>
      <c r="AE68" s="39" t="n">
        <f aca="false">AC68-T68</f>
        <v>96.9667890909091</v>
      </c>
      <c r="AF68" s="40" t="n">
        <f aca="false">AC68/T68-1</f>
        <v>0.498197046331244</v>
      </c>
      <c r="AG68" s="37" t="str">
        <f aca="false">IF(AC68&lt;T68,"SIM","NÃO")</f>
        <v>NÃO</v>
      </c>
      <c r="AH68" s="37" t="n">
        <v>13</v>
      </c>
      <c r="AI68" s="37" t="n">
        <v>10</v>
      </c>
      <c r="AJ68" s="37" t="s">
        <v>327</v>
      </c>
    </row>
    <row r="69" customFormat="false" ht="15" hidden="false" customHeight="false" outlineLevel="0" collapsed="false">
      <c r="A69" s="37" t="n">
        <v>355868804</v>
      </c>
      <c r="B69" s="38" t="n">
        <v>46210.7628472222</v>
      </c>
      <c r="C69" s="37" t="s">
        <v>320</v>
      </c>
      <c r="D69" s="37" t="s">
        <v>396</v>
      </c>
      <c r="E69" s="37" t="n">
        <v>25561211</v>
      </c>
      <c r="F69" s="37" t="s">
        <v>147</v>
      </c>
      <c r="G69" s="37" t="s">
        <v>207</v>
      </c>
      <c r="H69" s="37" t="s">
        <v>170</v>
      </c>
      <c r="I69" s="37" t="n">
        <v>48.53</v>
      </c>
      <c r="J69" s="39" t="n">
        <v>529.99</v>
      </c>
      <c r="K69" s="37" t="s">
        <v>322</v>
      </c>
      <c r="L69" s="39" t="n">
        <v>116.61</v>
      </c>
      <c r="M69" s="39" t="n">
        <v>82.25</v>
      </c>
      <c r="N69" s="39" t="n">
        <f aca="false">J69*Resumo!$C$7</f>
        <v>1.05998</v>
      </c>
      <c r="O69" s="39" t="n">
        <f aca="false">J69*Resumo!$C$8</f>
        <v>1.05998</v>
      </c>
      <c r="P69" s="39" t="n">
        <f aca="false">Resumo!$C$10*CEILING(I69/100,1)</f>
        <v>1</v>
      </c>
      <c r="Q69" s="39" t="n">
        <f aca="false">Resumo!$C$9</f>
        <v>11.9</v>
      </c>
      <c r="R69" s="39" t="n">
        <f aca="false">SUM(M69:Q69)*Resumo!$C$11</f>
        <v>5.3498478</v>
      </c>
      <c r="S69" s="39" t="n">
        <f aca="false">SUM(M69:R69)</f>
        <v>102.6198078</v>
      </c>
      <c r="T69" s="39" t="n">
        <f aca="false">S69/(1-Resumo!$C$5)</f>
        <v>116.613417954545</v>
      </c>
      <c r="U69" s="39" t="n">
        <v>93.97</v>
      </c>
      <c r="V69" s="39" t="n">
        <f aca="false">J69*Resumo!$B$6</f>
        <v>0.52999</v>
      </c>
      <c r="W69" s="39" t="n">
        <f aca="false">J69*Resumo!$B$7</f>
        <v>1.05998</v>
      </c>
      <c r="X69" s="39" t="n">
        <f aca="false">Resumo!$B$9</f>
        <v>1</v>
      </c>
      <c r="Y69" s="39" t="n">
        <f aca="false">Resumo!$B$10*CEILING(I69/100,1)</f>
        <v>4.5</v>
      </c>
      <c r="Z69" s="39" t="n">
        <f aca="false">Resumo!$B$12*CEILING(I69,1)</f>
        <v>2.94</v>
      </c>
      <c r="AA69" s="39" t="n">
        <f aca="false">Resumo!$B$13*CEILING(I69,1)</f>
        <v>22.05</v>
      </c>
      <c r="AB69" s="39" t="n">
        <f aca="false">SUM(U69:AA69)</f>
        <v>126.04997</v>
      </c>
      <c r="AC69" s="39" t="n">
        <f aca="false">AB69/(1-Resumo!$B$5)</f>
        <v>143.238602272727</v>
      </c>
      <c r="AD69" s="39" t="n">
        <f aca="false">(AB69-AA69)/(1-Resumo!$B$5)</f>
        <v>118.181784090909</v>
      </c>
      <c r="AE69" s="39" t="n">
        <f aca="false">AC69-T69</f>
        <v>26.6251843181818</v>
      </c>
      <c r="AF69" s="40" t="n">
        <f aca="false">AC69/T69-1</f>
        <v>0.2283200748696</v>
      </c>
      <c r="AG69" s="37" t="str">
        <f aca="false">IF(AC69&lt;T69,"SIM","NÃO")</f>
        <v>NÃO</v>
      </c>
      <c r="AH69" s="37" t="n">
        <v>10</v>
      </c>
      <c r="AI69" s="37" t="n">
        <v>5</v>
      </c>
      <c r="AJ69" s="37" t="s">
        <v>323</v>
      </c>
    </row>
    <row r="70" customFormat="false" ht="15" hidden="false" customHeight="false" outlineLevel="0" collapsed="false">
      <c r="A70" s="37" t="n">
        <v>355908969</v>
      </c>
      <c r="B70" s="38" t="n">
        <v>46210.815462963</v>
      </c>
      <c r="C70" s="37" t="s">
        <v>320</v>
      </c>
      <c r="D70" s="37" t="s">
        <v>397</v>
      </c>
      <c r="E70" s="37" t="n">
        <v>25846220</v>
      </c>
      <c r="F70" s="37" t="s">
        <v>215</v>
      </c>
      <c r="G70" s="37" t="s">
        <v>201</v>
      </c>
      <c r="H70" s="37" t="s">
        <v>172</v>
      </c>
      <c r="I70" s="37" t="n">
        <v>63.9</v>
      </c>
      <c r="J70" s="39" t="n">
        <v>735.99</v>
      </c>
      <c r="K70" s="37" t="s">
        <v>322</v>
      </c>
      <c r="L70" s="39" t="n">
        <v>155.55</v>
      </c>
      <c r="M70" s="39" t="n">
        <v>113.9</v>
      </c>
      <c r="N70" s="39" t="n">
        <f aca="false">J70*Resumo!$C$7</f>
        <v>1.47198</v>
      </c>
      <c r="O70" s="39" t="n">
        <f aca="false">J70*Resumo!$C$8</f>
        <v>1.47198</v>
      </c>
      <c r="P70" s="39" t="n">
        <f aca="false">Resumo!$C$10*CEILING(I70/100,1)</f>
        <v>1</v>
      </c>
      <c r="Q70" s="39" t="n">
        <f aca="false">Resumo!$C$9</f>
        <v>11.9</v>
      </c>
      <c r="R70" s="39" t="n">
        <f aca="false">SUM(M70:Q70)*Resumo!$C$11</f>
        <v>7.1359178</v>
      </c>
      <c r="S70" s="39" t="n">
        <f aca="false">SUM(M70:R70)</f>
        <v>136.8798778</v>
      </c>
      <c r="T70" s="39" t="n">
        <f aca="false">S70/(1-Resumo!$C$5)</f>
        <v>155.545315681818</v>
      </c>
      <c r="U70" s="39" t="n">
        <v>166.05</v>
      </c>
      <c r="V70" s="39" t="n">
        <f aca="false">J70*Resumo!$B$6</f>
        <v>0.73599</v>
      </c>
      <c r="W70" s="39" t="n">
        <f aca="false">J70*Resumo!$B$7</f>
        <v>1.47198</v>
      </c>
      <c r="X70" s="39" t="n">
        <f aca="false">Resumo!$B$9</f>
        <v>1</v>
      </c>
      <c r="Y70" s="39" t="n">
        <f aca="false">Resumo!$B$10*CEILING(I70/100,1)</f>
        <v>4.5</v>
      </c>
      <c r="Z70" s="39" t="n">
        <f aca="false">Resumo!$B$12*CEILING(I70,1)</f>
        <v>3.84</v>
      </c>
      <c r="AA70" s="39" t="n">
        <f aca="false">Resumo!$B$13*CEILING(I70,1)</f>
        <v>28.8</v>
      </c>
      <c r="AB70" s="39" t="n">
        <f aca="false">SUM(U70:AA70)</f>
        <v>206.39797</v>
      </c>
      <c r="AC70" s="39" t="n">
        <f aca="false">AB70/(1-Resumo!$B$5)</f>
        <v>234.543147727273</v>
      </c>
      <c r="AD70" s="39" t="n">
        <f aca="false">(AB70-AA70)/(1-Resumo!$B$5)</f>
        <v>201.815875</v>
      </c>
      <c r="AE70" s="39" t="n">
        <f aca="false">AC70-T70</f>
        <v>78.9978320454546</v>
      </c>
      <c r="AF70" s="40" t="n">
        <f aca="false">AC70/T70-1</f>
        <v>0.507876638387823</v>
      </c>
      <c r="AG70" s="37" t="str">
        <f aca="false">IF(AC70&lt;T70,"SIM","NÃO")</f>
        <v>NÃO</v>
      </c>
      <c r="AH70" s="37" t="n">
        <v>13</v>
      </c>
      <c r="AI70" s="37" t="n">
        <v>8</v>
      </c>
      <c r="AJ70" s="37" t="s">
        <v>327</v>
      </c>
    </row>
    <row r="71" customFormat="false" ht="15" hidden="false" customHeight="false" outlineLevel="0" collapsed="false">
      <c r="A71" s="37" t="n">
        <v>355920640</v>
      </c>
      <c r="B71" s="38" t="n">
        <v>46210.8305439815</v>
      </c>
      <c r="C71" s="37" t="s">
        <v>320</v>
      </c>
      <c r="D71" s="37" t="s">
        <v>398</v>
      </c>
      <c r="E71" s="37" t="n">
        <v>21060090</v>
      </c>
      <c r="F71" s="37" t="s">
        <v>139</v>
      </c>
      <c r="G71" s="37" t="s">
        <v>198</v>
      </c>
      <c r="H71" s="37" t="s">
        <v>175</v>
      </c>
      <c r="I71" s="37" t="n">
        <v>117.5</v>
      </c>
      <c r="J71" s="39" t="n">
        <v>1349.99</v>
      </c>
      <c r="K71" s="37" t="s">
        <v>322</v>
      </c>
      <c r="L71" s="39" t="n">
        <v>186.11</v>
      </c>
      <c r="M71" s="39" t="n">
        <v>135.94</v>
      </c>
      <c r="N71" s="39" t="n">
        <f aca="false">J71*Resumo!$C$7</f>
        <v>2.69998</v>
      </c>
      <c r="O71" s="39" t="n">
        <f aca="false">J71*Resumo!$C$8</f>
        <v>2.69998</v>
      </c>
      <c r="P71" s="39" t="n">
        <f aca="false">Resumo!$C$10*CEILING(I71/100,1)</f>
        <v>2</v>
      </c>
      <c r="Q71" s="39" t="n">
        <f aca="false">Resumo!$C$9</f>
        <v>11.9</v>
      </c>
      <c r="R71" s="39" t="n">
        <f aca="false">SUM(M71:Q71)*Resumo!$C$11</f>
        <v>8.5381978</v>
      </c>
      <c r="S71" s="39" t="n">
        <f aca="false">SUM(M71:R71)</f>
        <v>163.7781578</v>
      </c>
      <c r="T71" s="39" t="n">
        <f aca="false">S71/(1-Resumo!$C$5)</f>
        <v>186.111542954545</v>
      </c>
      <c r="U71" s="39" t="n">
        <v>201.59</v>
      </c>
      <c r="V71" s="39" t="n">
        <f aca="false">J71*Resumo!$B$6</f>
        <v>1.34999</v>
      </c>
      <c r="W71" s="39" t="n">
        <f aca="false">J71*Resumo!$B$7</f>
        <v>2.69998</v>
      </c>
      <c r="X71" s="39" t="n">
        <f aca="false">Resumo!$B$9</f>
        <v>1</v>
      </c>
      <c r="Y71" s="39" t="n">
        <f aca="false">Resumo!$B$10*CEILING(I71/100,1)</f>
        <v>9</v>
      </c>
      <c r="Z71" s="39" t="n">
        <f aca="false">Resumo!$B$12*CEILING(I71,1)</f>
        <v>7.08</v>
      </c>
      <c r="AA71" s="39" t="n">
        <f aca="false">Resumo!$B$13*CEILING(I71,1)</f>
        <v>53.1</v>
      </c>
      <c r="AB71" s="39" t="n">
        <f aca="false">SUM(U71:AA71)</f>
        <v>275.81997</v>
      </c>
      <c r="AC71" s="39" t="n">
        <f aca="false">AB71/(1-Resumo!$B$5)</f>
        <v>313.431784090909</v>
      </c>
      <c r="AD71" s="39" t="n">
        <f aca="false">(AB71-AA71)/(1-Resumo!$B$5)</f>
        <v>253.090875</v>
      </c>
      <c r="AE71" s="39" t="n">
        <f aca="false">AC71-T71</f>
        <v>127.320241136364</v>
      </c>
      <c r="AF71" s="40" t="n">
        <f aca="false">AC71/T71-1</f>
        <v>0.684107170974663</v>
      </c>
      <c r="AG71" s="37" t="str">
        <f aca="false">IF(AC71&lt;T71,"SIM","NÃO")</f>
        <v>NÃO</v>
      </c>
      <c r="AH71" s="37" t="n">
        <v>8</v>
      </c>
      <c r="AI71" s="37" t="n">
        <v>5</v>
      </c>
      <c r="AJ71" s="37" t="s">
        <v>323</v>
      </c>
    </row>
    <row r="72" customFormat="false" ht="15" hidden="false" customHeight="false" outlineLevel="0" collapsed="false">
      <c r="A72" s="37" t="n">
        <v>355945705</v>
      </c>
      <c r="B72" s="38" t="n">
        <v>46210.8583796296</v>
      </c>
      <c r="C72" s="37" t="s">
        <v>320</v>
      </c>
      <c r="D72" s="37" t="s">
        <v>399</v>
      </c>
      <c r="E72" s="37" t="n">
        <v>23570084</v>
      </c>
      <c r="F72" s="37" t="s">
        <v>139</v>
      </c>
      <c r="G72" s="37" t="s">
        <v>198</v>
      </c>
      <c r="H72" s="37" t="s">
        <v>171</v>
      </c>
      <c r="I72" s="37" t="n">
        <v>51.3</v>
      </c>
      <c r="J72" s="39" t="n">
        <v>588.99</v>
      </c>
      <c r="K72" s="37" t="s">
        <v>322</v>
      </c>
      <c r="L72" s="39" t="n">
        <v>113.98</v>
      </c>
      <c r="M72" s="39" t="n">
        <v>79.81</v>
      </c>
      <c r="N72" s="39" t="n">
        <f aca="false">J72*Resumo!$C$7</f>
        <v>1.17798</v>
      </c>
      <c r="O72" s="39" t="n">
        <f aca="false">J72*Resumo!$C$8</f>
        <v>1.17798</v>
      </c>
      <c r="P72" s="39" t="n">
        <f aca="false">Resumo!$C$10*CEILING(I72/100,1)</f>
        <v>1</v>
      </c>
      <c r="Q72" s="39" t="n">
        <f aca="false">Resumo!$C$9</f>
        <v>11.9</v>
      </c>
      <c r="R72" s="39" t="n">
        <f aca="false">SUM(M72:Q72)*Resumo!$C$11</f>
        <v>5.2286278</v>
      </c>
      <c r="S72" s="39" t="n">
        <f aca="false">SUM(M72:R72)</f>
        <v>100.2945878</v>
      </c>
      <c r="T72" s="39" t="n">
        <f aca="false">S72/(1-Resumo!$C$5)</f>
        <v>113.9711225</v>
      </c>
      <c r="U72" s="39" t="n">
        <v>112.3</v>
      </c>
      <c r="V72" s="39" t="n">
        <f aca="false">J72*Resumo!$B$6</f>
        <v>0.58899</v>
      </c>
      <c r="W72" s="39" t="n">
        <f aca="false">J72*Resumo!$B$7</f>
        <v>1.17798</v>
      </c>
      <c r="X72" s="39" t="n">
        <f aca="false">Resumo!$B$9</f>
        <v>1</v>
      </c>
      <c r="Y72" s="39" t="n">
        <f aca="false">Resumo!$B$10*CEILING(I72/100,1)</f>
        <v>4.5</v>
      </c>
      <c r="Z72" s="39" t="n">
        <f aca="false">Resumo!$B$12*CEILING(I72,1)</f>
        <v>3.12</v>
      </c>
      <c r="AA72" s="39" t="n">
        <f aca="false">Resumo!$B$13*CEILING(I72,1)</f>
        <v>23.4</v>
      </c>
      <c r="AB72" s="39" t="n">
        <f aca="false">SUM(U72:AA72)</f>
        <v>146.08697</v>
      </c>
      <c r="AC72" s="39" t="n">
        <f aca="false">AB72/(1-Resumo!$B$5)</f>
        <v>166.007920454545</v>
      </c>
      <c r="AD72" s="39" t="n">
        <f aca="false">(AB72-AA72)/(1-Resumo!$B$5)</f>
        <v>139.417011363636</v>
      </c>
      <c r="AE72" s="39" t="n">
        <f aca="false">AC72-T72</f>
        <v>52.0367979545455</v>
      </c>
      <c r="AF72" s="40" t="n">
        <f aca="false">AC72/T72-1</f>
        <v>0.456578796567924</v>
      </c>
      <c r="AG72" s="37" t="str">
        <f aca="false">IF(AC72&lt;T72,"SIM","NÃO")</f>
        <v>NÃO</v>
      </c>
      <c r="AH72" s="37" t="n">
        <v>8</v>
      </c>
      <c r="AI72" s="37" t="n">
        <v>5</v>
      </c>
      <c r="AJ72" s="37" t="s">
        <v>323</v>
      </c>
    </row>
    <row r="73" customFormat="false" ht="15" hidden="false" customHeight="false" outlineLevel="0" collapsed="false">
      <c r="A73" s="37" t="n">
        <v>355975114</v>
      </c>
      <c r="B73" s="38" t="n">
        <v>46210.8920486111</v>
      </c>
      <c r="C73" s="37" t="s">
        <v>320</v>
      </c>
      <c r="D73" s="37" t="s">
        <v>400</v>
      </c>
      <c r="E73" s="37" t="n">
        <v>21852001</v>
      </c>
      <c r="F73" s="37" t="s">
        <v>139</v>
      </c>
      <c r="G73" s="37" t="s">
        <v>198</v>
      </c>
      <c r="H73" s="37" t="s">
        <v>173</v>
      </c>
      <c r="I73" s="37" t="n">
        <v>71.9</v>
      </c>
      <c r="J73" s="39" t="n">
        <v>736.99</v>
      </c>
      <c r="K73" s="37" t="s">
        <v>322</v>
      </c>
      <c r="L73" s="39" t="n">
        <v>136</v>
      </c>
      <c r="M73" s="39" t="n">
        <v>97.6</v>
      </c>
      <c r="N73" s="39" t="n">
        <f aca="false">J73*Resumo!$C$7</f>
        <v>1.47398</v>
      </c>
      <c r="O73" s="39" t="n">
        <f aca="false">J73*Resumo!$C$8</f>
        <v>1.47398</v>
      </c>
      <c r="P73" s="39" t="n">
        <f aca="false">Resumo!$C$10*CEILING(I73/100,1)</f>
        <v>1</v>
      </c>
      <c r="Q73" s="39" t="n">
        <f aca="false">Resumo!$C$9</f>
        <v>11.9</v>
      </c>
      <c r="R73" s="39" t="n">
        <f aca="false">SUM(M73:Q73)*Resumo!$C$11</f>
        <v>6.2396378</v>
      </c>
      <c r="S73" s="39" t="n">
        <f aca="false">SUM(M73:R73)</f>
        <v>119.6875978</v>
      </c>
      <c r="T73" s="39" t="n">
        <f aca="false">S73/(1-Resumo!$C$5)</f>
        <v>136.008633863636</v>
      </c>
      <c r="U73" s="39" t="n">
        <v>134.39</v>
      </c>
      <c r="V73" s="39" t="n">
        <f aca="false">J73*Resumo!$B$6</f>
        <v>0.73699</v>
      </c>
      <c r="W73" s="39" t="n">
        <f aca="false">J73*Resumo!$B$7</f>
        <v>1.47398</v>
      </c>
      <c r="X73" s="39" t="n">
        <f aca="false">Resumo!$B$9</f>
        <v>1</v>
      </c>
      <c r="Y73" s="39" t="n">
        <f aca="false">Resumo!$B$10*CEILING(I73/100,1)</f>
        <v>4.5</v>
      </c>
      <c r="Z73" s="39" t="n">
        <f aca="false">Resumo!$B$12*CEILING(I73,1)</f>
        <v>4.32</v>
      </c>
      <c r="AA73" s="39" t="n">
        <f aca="false">Resumo!$B$13*CEILING(I73,1)</f>
        <v>32.4</v>
      </c>
      <c r="AB73" s="39" t="n">
        <f aca="false">SUM(U73:AA73)</f>
        <v>178.82097</v>
      </c>
      <c r="AC73" s="39" t="n">
        <f aca="false">AB73/(1-Resumo!$B$5)</f>
        <v>203.205647727273</v>
      </c>
      <c r="AD73" s="39" t="n">
        <f aca="false">(AB73-AA73)/(1-Resumo!$B$5)</f>
        <v>166.387465909091</v>
      </c>
      <c r="AE73" s="39" t="n">
        <f aca="false">AC73-T73</f>
        <v>67.1970138636364</v>
      </c>
      <c r="AF73" s="40" t="n">
        <f aca="false">AC73/T73-1</f>
        <v>0.494064324850206</v>
      </c>
      <c r="AG73" s="37" t="str">
        <f aca="false">IF(AC73&lt;T73,"SIM","NÃO")</f>
        <v>NÃO</v>
      </c>
      <c r="AH73" s="37" t="n">
        <v>8</v>
      </c>
      <c r="AI73" s="37" t="n">
        <v>5</v>
      </c>
      <c r="AJ73" s="37" t="s">
        <v>323</v>
      </c>
    </row>
    <row r="74" customFormat="false" ht="15" hidden="false" customHeight="false" outlineLevel="0" collapsed="false">
      <c r="A74" s="37" t="n">
        <v>355992436</v>
      </c>
      <c r="B74" s="38" t="n">
        <v>46210.9125231481</v>
      </c>
      <c r="C74" s="37" t="s">
        <v>320</v>
      </c>
      <c r="D74" s="37" t="s">
        <v>401</v>
      </c>
      <c r="E74" s="37" t="n">
        <v>26298373</v>
      </c>
      <c r="F74" s="37" t="s">
        <v>142</v>
      </c>
      <c r="G74" s="37" t="s">
        <v>207</v>
      </c>
      <c r="H74" s="37" t="s">
        <v>173</v>
      </c>
      <c r="I74" s="37" t="n">
        <v>71.9</v>
      </c>
      <c r="J74" s="39" t="n">
        <v>736.99</v>
      </c>
      <c r="K74" s="37" t="s">
        <v>322</v>
      </c>
      <c r="L74" s="39" t="n">
        <v>151.52</v>
      </c>
      <c r="M74" s="39" t="n">
        <v>110.55</v>
      </c>
      <c r="N74" s="39" t="n">
        <f aca="false">J74*Resumo!$C$7</f>
        <v>1.47398</v>
      </c>
      <c r="O74" s="39" t="n">
        <f aca="false">J74*Resumo!$C$8</f>
        <v>1.47398</v>
      </c>
      <c r="P74" s="39" t="n">
        <f aca="false">Resumo!$C$10*CEILING(I74/100,1)</f>
        <v>1</v>
      </c>
      <c r="Q74" s="39" t="n">
        <f aca="false">Resumo!$C$9</f>
        <v>11.9</v>
      </c>
      <c r="R74" s="39" t="n">
        <f aca="false">SUM(M74:Q74)*Resumo!$C$11</f>
        <v>6.9518878</v>
      </c>
      <c r="S74" s="39" t="n">
        <f aca="false">SUM(M74:R74)</f>
        <v>133.3498478</v>
      </c>
      <c r="T74" s="39" t="n">
        <f aca="false">S74/(1-Resumo!$C$5)</f>
        <v>151.533917954545</v>
      </c>
      <c r="U74" s="39" t="n">
        <v>134.39</v>
      </c>
      <c r="V74" s="39" t="n">
        <f aca="false">J74*Resumo!$B$6</f>
        <v>0.73699</v>
      </c>
      <c r="W74" s="39" t="n">
        <f aca="false">J74*Resumo!$B$7</f>
        <v>1.47398</v>
      </c>
      <c r="X74" s="39" t="n">
        <f aca="false">Resumo!$B$9</f>
        <v>1</v>
      </c>
      <c r="Y74" s="39" t="n">
        <f aca="false">Resumo!$B$10*CEILING(I74/100,1)</f>
        <v>4.5</v>
      </c>
      <c r="Z74" s="39" t="n">
        <f aca="false">Resumo!$B$12*CEILING(I74,1)</f>
        <v>4.32</v>
      </c>
      <c r="AA74" s="39" t="n">
        <f aca="false">Resumo!$B$13*CEILING(I74,1)</f>
        <v>32.4</v>
      </c>
      <c r="AB74" s="39" t="n">
        <f aca="false">SUM(U74:AA74)</f>
        <v>178.82097</v>
      </c>
      <c r="AC74" s="39" t="n">
        <f aca="false">AB74/(1-Resumo!$B$5)</f>
        <v>203.205647727273</v>
      </c>
      <c r="AD74" s="39" t="n">
        <f aca="false">(AB74-AA74)/(1-Resumo!$B$5)</f>
        <v>166.387465909091</v>
      </c>
      <c r="AE74" s="39" t="n">
        <f aca="false">AC74-T74</f>
        <v>51.6717297727273</v>
      </c>
      <c r="AF74" s="40" t="n">
        <f aca="false">AC74/T74-1</f>
        <v>0.340991181843704</v>
      </c>
      <c r="AG74" s="37" t="str">
        <f aca="false">IF(AC74&lt;T74,"SIM","NÃO")</f>
        <v>NÃO</v>
      </c>
      <c r="AH74" s="37" t="n">
        <v>10</v>
      </c>
      <c r="AI74" s="37" t="n">
        <v>5</v>
      </c>
      <c r="AJ74" s="37" t="s">
        <v>323</v>
      </c>
    </row>
    <row r="75" customFormat="false" ht="15" hidden="false" customHeight="false" outlineLevel="0" collapsed="false">
      <c r="A75" s="37" t="n">
        <v>356008930</v>
      </c>
      <c r="B75" s="38" t="n">
        <v>46210.9358912037</v>
      </c>
      <c r="C75" s="37" t="s">
        <v>352</v>
      </c>
      <c r="D75" s="37" t="s">
        <v>402</v>
      </c>
      <c r="E75" s="37" t="n">
        <v>22230000</v>
      </c>
      <c r="F75" s="37" t="s">
        <v>139</v>
      </c>
      <c r="G75" s="37" t="s">
        <v>198</v>
      </c>
      <c r="H75" s="37" t="s">
        <v>169</v>
      </c>
      <c r="I75" s="37" t="n">
        <v>40</v>
      </c>
      <c r="J75" s="39" t="n">
        <v>479.99</v>
      </c>
      <c r="K75" s="37" t="s">
        <v>322</v>
      </c>
      <c r="L75" s="39" t="n">
        <v>92.16</v>
      </c>
      <c r="M75" s="39" t="n">
        <v>62.05</v>
      </c>
      <c r="N75" s="39" t="n">
        <f aca="false">J75*Resumo!$C$7</f>
        <v>0.95998</v>
      </c>
      <c r="O75" s="39" t="n">
        <f aca="false">J75*Resumo!$C$8</f>
        <v>0.95998</v>
      </c>
      <c r="P75" s="39" t="n">
        <f aca="false">Resumo!$C$10*CEILING(I75/100,1)</f>
        <v>1</v>
      </c>
      <c r="Q75" s="39" t="n">
        <f aca="false">Resumo!$C$9</f>
        <v>11.9</v>
      </c>
      <c r="R75" s="39" t="n">
        <f aca="false">SUM(M75:Q75)*Resumo!$C$11</f>
        <v>4.2278478</v>
      </c>
      <c r="S75" s="39" t="n">
        <f aca="false">SUM(M75:R75)</f>
        <v>81.0978078</v>
      </c>
      <c r="T75" s="39" t="n">
        <f aca="false">S75/(1-Resumo!$C$5)</f>
        <v>92.1565997727273</v>
      </c>
      <c r="U75" s="39" t="n">
        <v>93.97</v>
      </c>
      <c r="V75" s="39" t="n">
        <f aca="false">J75*Resumo!$B$6</f>
        <v>0.47999</v>
      </c>
      <c r="W75" s="39" t="n">
        <f aca="false">J75*Resumo!$B$7</f>
        <v>0.95998</v>
      </c>
      <c r="X75" s="39" t="n">
        <f aca="false">Resumo!$B$9</f>
        <v>1</v>
      </c>
      <c r="Y75" s="39" t="n">
        <f aca="false">Resumo!$B$10*CEILING(I75/100,1)</f>
        <v>4.5</v>
      </c>
      <c r="Z75" s="39" t="n">
        <f aca="false">Resumo!$B$12*CEILING(I75,1)</f>
        <v>2.4</v>
      </c>
      <c r="AA75" s="39" t="n">
        <f aca="false">Resumo!$B$13*CEILING(I75,1)</f>
        <v>18</v>
      </c>
      <c r="AB75" s="39" t="n">
        <f aca="false">SUM(U75:AA75)</f>
        <v>121.30997</v>
      </c>
      <c r="AC75" s="39" t="n">
        <f aca="false">AB75/(1-Resumo!$B$5)</f>
        <v>137.852238636364</v>
      </c>
      <c r="AD75" s="39" t="n">
        <f aca="false">(AB75-AA75)/(1-Resumo!$B$5)</f>
        <v>117.397693181818</v>
      </c>
      <c r="AE75" s="39" t="n">
        <f aca="false">AC75-T75</f>
        <v>45.6956388636364</v>
      </c>
      <c r="AF75" s="40" t="n">
        <f aca="false">AC75/T75-1</f>
        <v>0.495847708968528</v>
      </c>
      <c r="AG75" s="37" t="str">
        <f aca="false">IF(AC75&lt;T75,"SIM","NÃO")</f>
        <v>NÃO</v>
      </c>
      <c r="AH75" s="37" t="n">
        <v>8</v>
      </c>
      <c r="AI75" s="37" t="n">
        <v>5</v>
      </c>
      <c r="AJ75" s="37" t="s">
        <v>323</v>
      </c>
    </row>
    <row r="76" customFormat="false" ht="15" hidden="false" customHeight="false" outlineLevel="0" collapsed="false">
      <c r="A76" s="37" t="n">
        <v>356017356</v>
      </c>
      <c r="B76" s="38" t="n">
        <v>46210.9434259259</v>
      </c>
      <c r="C76" s="37" t="s">
        <v>320</v>
      </c>
      <c r="D76" s="37" t="s">
        <v>403</v>
      </c>
      <c r="E76" s="37" t="n">
        <v>22770330</v>
      </c>
      <c r="F76" s="37" t="s">
        <v>139</v>
      </c>
      <c r="G76" s="37" t="s">
        <v>198</v>
      </c>
      <c r="H76" s="37" t="s">
        <v>169</v>
      </c>
      <c r="I76" s="37" t="n">
        <v>39.8</v>
      </c>
      <c r="J76" s="39" t="n">
        <v>449.99</v>
      </c>
      <c r="K76" s="37" t="s">
        <v>322</v>
      </c>
      <c r="L76" s="39" t="n">
        <v>92.01</v>
      </c>
      <c r="M76" s="39" t="n">
        <v>62.05</v>
      </c>
      <c r="N76" s="39" t="n">
        <f aca="false">J76*Resumo!$C$7</f>
        <v>0.89998</v>
      </c>
      <c r="O76" s="39" t="n">
        <f aca="false">J76*Resumo!$C$8</f>
        <v>0.89998</v>
      </c>
      <c r="P76" s="39" t="n">
        <f aca="false">Resumo!$C$10*CEILING(I76/100,1)</f>
        <v>1</v>
      </c>
      <c r="Q76" s="39" t="n">
        <f aca="false">Resumo!$C$9</f>
        <v>11.9</v>
      </c>
      <c r="R76" s="39" t="n">
        <f aca="false">SUM(M76:Q76)*Resumo!$C$11</f>
        <v>4.2212478</v>
      </c>
      <c r="S76" s="39" t="n">
        <f aca="false">SUM(M76:R76)</f>
        <v>80.9712078</v>
      </c>
      <c r="T76" s="39" t="n">
        <f aca="false">S76/(1-Resumo!$C$5)</f>
        <v>92.0127361363636</v>
      </c>
      <c r="U76" s="39" t="n">
        <v>93.97</v>
      </c>
      <c r="V76" s="39" t="n">
        <f aca="false">J76*Resumo!$B$6</f>
        <v>0.44999</v>
      </c>
      <c r="W76" s="39" t="n">
        <f aca="false">J76*Resumo!$B$7</f>
        <v>0.89998</v>
      </c>
      <c r="X76" s="39" t="n">
        <f aca="false">Resumo!$B$9</f>
        <v>1</v>
      </c>
      <c r="Y76" s="39" t="n">
        <f aca="false">Resumo!$B$10*CEILING(I76/100,1)</f>
        <v>4.5</v>
      </c>
      <c r="Z76" s="39" t="n">
        <f aca="false">Resumo!$B$12*CEILING(I76,1)</f>
        <v>2.4</v>
      </c>
      <c r="AA76" s="39" t="n">
        <f aca="false">Resumo!$B$13*CEILING(I76,1)</f>
        <v>18</v>
      </c>
      <c r="AB76" s="39" t="n">
        <f aca="false">SUM(U76:AA76)</f>
        <v>121.21997</v>
      </c>
      <c r="AC76" s="39" t="n">
        <f aca="false">AB76/(1-Resumo!$B$5)</f>
        <v>137.749965909091</v>
      </c>
      <c r="AD76" s="39" t="n">
        <f aca="false">(AB76-AA76)/(1-Resumo!$B$5)</f>
        <v>117.295420454545</v>
      </c>
      <c r="AE76" s="39" t="n">
        <f aca="false">AC76-T76</f>
        <v>45.7372297727273</v>
      </c>
      <c r="AF76" s="40" t="n">
        <f aca="false">AC76/T76-1</f>
        <v>0.497074988672702</v>
      </c>
      <c r="AG76" s="37" t="str">
        <f aca="false">IF(AC76&lt;T76,"SIM","NÃO")</f>
        <v>NÃO</v>
      </c>
      <c r="AH76" s="37" t="n">
        <v>8</v>
      </c>
      <c r="AI76" s="37" t="n">
        <v>5</v>
      </c>
      <c r="AJ76" s="37" t="s">
        <v>323</v>
      </c>
    </row>
    <row r="77" customFormat="false" ht="15" hidden="false" customHeight="false" outlineLevel="0" collapsed="false">
      <c r="A77" s="37" t="n">
        <v>356041263</v>
      </c>
      <c r="B77" s="38" t="n">
        <v>46210.9771527778</v>
      </c>
      <c r="C77" s="37" t="s">
        <v>325</v>
      </c>
      <c r="D77" s="37" t="s">
        <v>404</v>
      </c>
      <c r="E77" s="37" t="n">
        <v>21675350</v>
      </c>
      <c r="F77" s="37" t="s">
        <v>139</v>
      </c>
      <c r="G77" s="37" t="s">
        <v>198</v>
      </c>
      <c r="H77" s="37" t="s">
        <v>176</v>
      </c>
      <c r="I77" s="37" t="n">
        <v>124.2</v>
      </c>
      <c r="J77" s="39" t="n">
        <v>1799.98</v>
      </c>
      <c r="K77" s="37" t="s">
        <v>322</v>
      </c>
      <c r="L77" s="39" t="n">
        <v>234.92</v>
      </c>
      <c r="M77" s="39" t="n">
        <v>174.85</v>
      </c>
      <c r="N77" s="39" t="n">
        <f aca="false">J77*Resumo!$C$7</f>
        <v>3.59996</v>
      </c>
      <c r="O77" s="39" t="n">
        <f aca="false">J77*Resumo!$C$8</f>
        <v>3.59996</v>
      </c>
      <c r="P77" s="39" t="n">
        <f aca="false">Resumo!$C$10*CEILING(I77/100,1)</f>
        <v>2</v>
      </c>
      <c r="Q77" s="39" t="n">
        <f aca="false">Resumo!$C$9</f>
        <v>11.9</v>
      </c>
      <c r="R77" s="39" t="n">
        <f aca="false">SUM(M77:Q77)*Resumo!$C$11</f>
        <v>10.7772456</v>
      </c>
      <c r="S77" s="39" t="n">
        <f aca="false">SUM(M77:R77)</f>
        <v>206.7271656</v>
      </c>
      <c r="T77" s="39" t="n">
        <f aca="false">S77/(1-Resumo!$C$5)</f>
        <v>234.917233636364</v>
      </c>
      <c r="U77" s="39" t="n">
        <v>239.25</v>
      </c>
      <c r="V77" s="39" t="n">
        <f aca="false">J77*Resumo!$B$6</f>
        <v>1.79998</v>
      </c>
      <c r="W77" s="39" t="n">
        <f aca="false">J77*Resumo!$B$7</f>
        <v>3.59996</v>
      </c>
      <c r="X77" s="39" t="n">
        <f aca="false">Resumo!$B$9</f>
        <v>1</v>
      </c>
      <c r="Y77" s="39" t="n">
        <f aca="false">Resumo!$B$10*CEILING(I77/100,1)</f>
        <v>9</v>
      </c>
      <c r="Z77" s="39" t="n">
        <f aca="false">Resumo!$B$12*CEILING(I77,1)</f>
        <v>7.5</v>
      </c>
      <c r="AA77" s="39" t="n">
        <f aca="false">Resumo!$B$13*CEILING(I77,1)</f>
        <v>56.25</v>
      </c>
      <c r="AB77" s="39" t="n">
        <f aca="false">SUM(U77:AA77)</f>
        <v>318.39994</v>
      </c>
      <c r="AC77" s="39" t="n">
        <f aca="false">AB77/(1-Resumo!$B$5)</f>
        <v>361.818113636364</v>
      </c>
      <c r="AD77" s="39" t="n">
        <f aca="false">(AB77-AA77)/(1-Resumo!$B$5)</f>
        <v>297.897659090909</v>
      </c>
      <c r="AE77" s="39" t="n">
        <f aca="false">AC77-T77</f>
        <v>126.90088</v>
      </c>
      <c r="AF77" s="40" t="n">
        <f aca="false">AC77/T77-1</f>
        <v>0.540193999544683</v>
      </c>
      <c r="AG77" s="37" t="str">
        <f aca="false">IF(AC77&lt;T77,"SIM","NÃO")</f>
        <v>NÃO</v>
      </c>
      <c r="AH77" s="37" t="n">
        <v>8</v>
      </c>
      <c r="AI77" s="37" t="n">
        <v>5</v>
      </c>
      <c r="AJ77" s="37" t="s">
        <v>323</v>
      </c>
    </row>
    <row r="78" customFormat="false" ht="15" hidden="false" customHeight="false" outlineLevel="0" collapsed="false">
      <c r="A78" s="37" t="n">
        <v>356043364</v>
      </c>
      <c r="B78" s="38" t="n">
        <v>46210.9803935185</v>
      </c>
      <c r="C78" s="37" t="s">
        <v>320</v>
      </c>
      <c r="D78" s="37" t="s">
        <v>405</v>
      </c>
      <c r="E78" s="37" t="n">
        <v>24931415</v>
      </c>
      <c r="F78" s="37" t="s">
        <v>151</v>
      </c>
      <c r="G78" s="37" t="s">
        <v>201</v>
      </c>
      <c r="H78" s="37" t="s">
        <v>176</v>
      </c>
      <c r="I78" s="37" t="n">
        <v>146</v>
      </c>
      <c r="J78" s="39" t="n">
        <v>2699.99</v>
      </c>
      <c r="K78" s="37" t="s">
        <v>322</v>
      </c>
      <c r="L78" s="39" t="n">
        <v>266.23</v>
      </c>
      <c r="M78" s="39" t="n">
        <v>197.37</v>
      </c>
      <c r="N78" s="39" t="n">
        <f aca="false">J78*Resumo!$C$7</f>
        <v>5.39998</v>
      </c>
      <c r="O78" s="39" t="n">
        <f aca="false">J78*Resumo!$C$8</f>
        <v>5.39998</v>
      </c>
      <c r="P78" s="39" t="n">
        <f aca="false">Resumo!$C$10*CEILING(I78/100,1)</f>
        <v>2</v>
      </c>
      <c r="Q78" s="39" t="n">
        <f aca="false">Resumo!$C$9</f>
        <v>11.9</v>
      </c>
      <c r="R78" s="39" t="n">
        <f aca="false">SUM(M78:Q78)*Resumo!$C$11</f>
        <v>12.2138478</v>
      </c>
      <c r="S78" s="39" t="n">
        <f aca="false">SUM(M78:R78)</f>
        <v>234.2838078</v>
      </c>
      <c r="T78" s="39" t="n">
        <f aca="false">S78/(1-Resumo!$C$5)</f>
        <v>266.231599772727</v>
      </c>
      <c r="U78" s="39" t="n">
        <v>249.03</v>
      </c>
      <c r="V78" s="39" t="n">
        <f aca="false">J78*Resumo!$B$6</f>
        <v>2.69999</v>
      </c>
      <c r="W78" s="39" t="n">
        <f aca="false">J78*Resumo!$B$7</f>
        <v>5.39998</v>
      </c>
      <c r="X78" s="39" t="n">
        <f aca="false">Resumo!$B$9</f>
        <v>1</v>
      </c>
      <c r="Y78" s="39" t="n">
        <f aca="false">Resumo!$B$10*CEILING(I78/100,1)</f>
        <v>9</v>
      </c>
      <c r="Z78" s="39" t="n">
        <f aca="false">Resumo!$B$12*CEILING(I78,1)</f>
        <v>8.76</v>
      </c>
      <c r="AA78" s="39" t="n">
        <f aca="false">Resumo!$B$13*CEILING(I78,1)</f>
        <v>65.7</v>
      </c>
      <c r="AB78" s="39" t="n">
        <f aca="false">SUM(U78:AA78)</f>
        <v>341.58997</v>
      </c>
      <c r="AC78" s="39" t="n">
        <f aca="false">AB78/(1-Resumo!$B$5)</f>
        <v>388.170420454545</v>
      </c>
      <c r="AD78" s="39" t="n">
        <f aca="false">(AB78-AA78)/(1-Resumo!$B$5)</f>
        <v>313.511329545455</v>
      </c>
      <c r="AE78" s="39" t="n">
        <f aca="false">AC78-T78</f>
        <v>121.938820681818</v>
      </c>
      <c r="AF78" s="40" t="n">
        <f aca="false">AC78/T78-1</f>
        <v>0.458017834043416</v>
      </c>
      <c r="AG78" s="37" t="str">
        <f aca="false">IF(AC78&lt;T78,"SIM","NÃO")</f>
        <v>NÃO</v>
      </c>
      <c r="AH78" s="37" t="n">
        <v>13</v>
      </c>
      <c r="AI78" s="37" t="n">
        <v>7</v>
      </c>
      <c r="AJ78" s="37" t="s">
        <v>323</v>
      </c>
    </row>
    <row r="79" customFormat="false" ht="15" hidden="false" customHeight="false" outlineLevel="0" collapsed="false">
      <c r="A79" s="37" t="n">
        <v>356051131</v>
      </c>
      <c r="B79" s="38" t="n">
        <v>46210.9932060185</v>
      </c>
      <c r="C79" s="37" t="s">
        <v>320</v>
      </c>
      <c r="D79" s="37" t="s">
        <v>406</v>
      </c>
      <c r="E79" s="37" t="n">
        <v>24451230</v>
      </c>
      <c r="F79" s="37" t="s">
        <v>140</v>
      </c>
      <c r="G79" s="37" t="s">
        <v>207</v>
      </c>
      <c r="H79" s="37" t="s">
        <v>169</v>
      </c>
      <c r="I79" s="37" t="n">
        <v>39.8</v>
      </c>
      <c r="J79" s="39" t="n">
        <v>449.99</v>
      </c>
      <c r="K79" s="37" t="s">
        <v>322</v>
      </c>
      <c r="L79" s="39" t="n">
        <v>113.11</v>
      </c>
      <c r="M79" s="39" t="n">
        <v>79.65</v>
      </c>
      <c r="N79" s="39" t="n">
        <f aca="false">J79*Resumo!$C$7</f>
        <v>0.89998</v>
      </c>
      <c r="O79" s="39" t="n">
        <f aca="false">J79*Resumo!$C$8</f>
        <v>0.89998</v>
      </c>
      <c r="P79" s="39" t="n">
        <f aca="false">Resumo!$C$10*CEILING(I79/100,1)</f>
        <v>1</v>
      </c>
      <c r="Q79" s="39" t="n">
        <f aca="false">Resumo!$C$9</f>
        <v>11.9</v>
      </c>
      <c r="R79" s="39" t="n">
        <f aca="false">SUM(M79:Q79)*Resumo!$C$11</f>
        <v>5.1892478</v>
      </c>
      <c r="S79" s="39" t="n">
        <f aca="false">SUM(M79:R79)</f>
        <v>99.5392078</v>
      </c>
      <c r="T79" s="39" t="n">
        <f aca="false">S79/(1-Resumo!$C$5)</f>
        <v>113.112736136364</v>
      </c>
      <c r="U79" s="39" t="n">
        <v>114.95</v>
      </c>
      <c r="V79" s="39" t="n">
        <f aca="false">J79*Resumo!$B$6</f>
        <v>0.44999</v>
      </c>
      <c r="W79" s="39" t="n">
        <f aca="false">J79*Resumo!$B$7</f>
        <v>0.89998</v>
      </c>
      <c r="X79" s="39" t="n">
        <f aca="false">Resumo!$B$9</f>
        <v>1</v>
      </c>
      <c r="Y79" s="39" t="n">
        <f aca="false">Resumo!$B$10*CEILING(I79/100,1)</f>
        <v>4.5</v>
      </c>
      <c r="Z79" s="39" t="n">
        <f aca="false">Resumo!$B$12*CEILING(I79,1)</f>
        <v>2.4</v>
      </c>
      <c r="AA79" s="39" t="n">
        <f aca="false">Resumo!$B$13*CEILING(I79,1)</f>
        <v>18</v>
      </c>
      <c r="AB79" s="39" t="n">
        <f aca="false">SUM(U79:AA79)</f>
        <v>142.19997</v>
      </c>
      <c r="AC79" s="39" t="n">
        <f aca="false">AB79/(1-Resumo!$B$5)</f>
        <v>161.590875</v>
      </c>
      <c r="AD79" s="39" t="n">
        <f aca="false">(AB79-AA79)/(1-Resumo!$B$5)</f>
        <v>141.136329545455</v>
      </c>
      <c r="AE79" s="39" t="n">
        <f aca="false">AC79-T79</f>
        <v>48.4781388636364</v>
      </c>
      <c r="AF79" s="40" t="n">
        <f aca="false">AC79/T79-1</f>
        <v>0.42858249671543</v>
      </c>
      <c r="AG79" s="37" t="str">
        <f aca="false">IF(AC79&lt;T79,"SIM","NÃO")</f>
        <v>NÃO</v>
      </c>
      <c r="AH79" s="37" t="n">
        <v>10</v>
      </c>
      <c r="AI79" s="37" t="n">
        <v>7</v>
      </c>
      <c r="AJ79" s="37" t="s">
        <v>323</v>
      </c>
    </row>
    <row r="80" customFormat="false" ht="15" hidden="false" customHeight="false" outlineLevel="0" collapsed="false">
      <c r="A80" s="37" t="n">
        <v>356097974</v>
      </c>
      <c r="B80" s="38" t="n">
        <v>46211.0871412037</v>
      </c>
      <c r="C80" s="37" t="s">
        <v>320</v>
      </c>
      <c r="D80" s="37" t="s">
        <v>407</v>
      </c>
      <c r="E80" s="37" t="n">
        <v>22755155</v>
      </c>
      <c r="F80" s="37" t="s">
        <v>139</v>
      </c>
      <c r="G80" s="37" t="s">
        <v>198</v>
      </c>
      <c r="H80" s="37" t="s">
        <v>169</v>
      </c>
      <c r="I80" s="37" t="n">
        <v>35.9</v>
      </c>
      <c r="J80" s="39" t="n">
        <v>504.38</v>
      </c>
      <c r="K80" s="37" t="s">
        <v>322</v>
      </c>
      <c r="L80" s="39" t="n">
        <v>92.27</v>
      </c>
      <c r="M80" s="39" t="n">
        <v>62.05</v>
      </c>
      <c r="N80" s="39" t="n">
        <f aca="false">J80*Resumo!$C$7</f>
        <v>1.00876</v>
      </c>
      <c r="O80" s="39" t="n">
        <f aca="false">J80*Resumo!$C$8</f>
        <v>1.00876</v>
      </c>
      <c r="P80" s="39" t="n">
        <f aca="false">Resumo!$C$10*CEILING(I80/100,1)</f>
        <v>1</v>
      </c>
      <c r="Q80" s="39" t="n">
        <f aca="false">Resumo!$C$9</f>
        <v>11.9</v>
      </c>
      <c r="R80" s="39" t="n">
        <f aca="false">SUM(M80:Q80)*Resumo!$C$11</f>
        <v>4.2332136</v>
      </c>
      <c r="S80" s="39" t="n">
        <f aca="false">SUM(M80:R80)</f>
        <v>81.2007336</v>
      </c>
      <c r="T80" s="39" t="n">
        <f aca="false">S80/(1-Resumo!$C$5)</f>
        <v>92.2735609090909</v>
      </c>
      <c r="U80" s="39" t="n">
        <v>93.97</v>
      </c>
      <c r="V80" s="39" t="n">
        <f aca="false">J80*Resumo!$B$6</f>
        <v>0.50438</v>
      </c>
      <c r="W80" s="39" t="n">
        <f aca="false">J80*Resumo!$B$7</f>
        <v>1.00876</v>
      </c>
      <c r="X80" s="39" t="n">
        <f aca="false">Resumo!$B$9</f>
        <v>1</v>
      </c>
      <c r="Y80" s="39" t="n">
        <f aca="false">Resumo!$B$10*CEILING(I80/100,1)</f>
        <v>4.5</v>
      </c>
      <c r="Z80" s="39" t="n">
        <f aca="false">Resumo!$B$12*CEILING(I80,1)</f>
        <v>2.16</v>
      </c>
      <c r="AA80" s="39" t="n">
        <f aca="false">Resumo!$B$13*CEILING(I80,1)</f>
        <v>16.2</v>
      </c>
      <c r="AB80" s="39" t="n">
        <f aca="false">SUM(U80:AA80)</f>
        <v>119.34314</v>
      </c>
      <c r="AC80" s="39" t="n">
        <f aca="false">AB80/(1-Resumo!$B$5)</f>
        <v>135.617204545455</v>
      </c>
      <c r="AD80" s="39" t="n">
        <f aca="false">(AB80-AA80)/(1-Resumo!$B$5)</f>
        <v>117.208113636364</v>
      </c>
      <c r="AE80" s="39" t="n">
        <f aca="false">AC80-T80</f>
        <v>43.3436436363636</v>
      </c>
      <c r="AF80" s="40" t="n">
        <f aca="false">AC80/T80-1</f>
        <v>0.46972982519951</v>
      </c>
      <c r="AG80" s="37" t="str">
        <f aca="false">IF(AC80&lt;T80,"SIM","NÃO")</f>
        <v>NÃO</v>
      </c>
      <c r="AH80" s="37" t="n">
        <v>8</v>
      </c>
      <c r="AI80" s="37" t="n">
        <v>5</v>
      </c>
      <c r="AJ80" s="37" t="s">
        <v>323</v>
      </c>
    </row>
    <row r="81" customFormat="false" ht="15" hidden="false" customHeight="false" outlineLevel="0" collapsed="false">
      <c r="A81" s="37" t="n">
        <v>356151185</v>
      </c>
      <c r="B81" s="38" t="n">
        <v>46211.261099537</v>
      </c>
      <c r="C81" s="37" t="s">
        <v>320</v>
      </c>
      <c r="D81" s="37" t="s">
        <v>408</v>
      </c>
      <c r="E81" s="37" t="n">
        <v>24878095</v>
      </c>
      <c r="F81" s="37" t="s">
        <v>154</v>
      </c>
      <c r="G81" s="37" t="s">
        <v>201</v>
      </c>
      <c r="H81" s="37" t="s">
        <v>170</v>
      </c>
      <c r="I81" s="37" t="n">
        <v>44.5</v>
      </c>
      <c r="J81" s="39" t="n">
        <v>799.99</v>
      </c>
      <c r="K81" s="37" t="s">
        <v>322</v>
      </c>
      <c r="L81" s="39" t="n">
        <v>132</v>
      </c>
      <c r="M81" s="39" t="n">
        <v>94</v>
      </c>
      <c r="N81" s="39" t="n">
        <f aca="false">J81*Resumo!$C$7</f>
        <v>1.59998</v>
      </c>
      <c r="O81" s="39" t="n">
        <f aca="false">J81*Resumo!$C$8</f>
        <v>1.59998</v>
      </c>
      <c r="P81" s="39" t="n">
        <f aca="false">Resumo!$C$10*CEILING(I81/100,1)</f>
        <v>1</v>
      </c>
      <c r="Q81" s="39" t="n">
        <f aca="false">Resumo!$C$9</f>
        <v>11.9</v>
      </c>
      <c r="R81" s="39" t="n">
        <f aca="false">SUM(M81:Q81)*Resumo!$C$11</f>
        <v>6.0554978</v>
      </c>
      <c r="S81" s="39" t="n">
        <f aca="false">SUM(M81:R81)</f>
        <v>116.1554578</v>
      </c>
      <c r="T81" s="39" t="n">
        <f aca="false">S81/(1-Resumo!$C$5)</f>
        <v>131.994838409091</v>
      </c>
      <c r="U81" s="39" t="n">
        <v>114.95</v>
      </c>
      <c r="V81" s="39" t="n">
        <f aca="false">J81*Resumo!$B$6</f>
        <v>0.79999</v>
      </c>
      <c r="W81" s="39" t="n">
        <f aca="false">J81*Resumo!$B$7</f>
        <v>1.59998</v>
      </c>
      <c r="X81" s="39" t="n">
        <f aca="false">Resumo!$B$9</f>
        <v>1</v>
      </c>
      <c r="Y81" s="39" t="n">
        <f aca="false">Resumo!$B$10*CEILING(I81/100,1)</f>
        <v>4.5</v>
      </c>
      <c r="Z81" s="39" t="n">
        <f aca="false">Resumo!$B$12*CEILING(I81,1)</f>
        <v>2.7</v>
      </c>
      <c r="AA81" s="39" t="n">
        <f aca="false">Resumo!$B$13*CEILING(I81,1)</f>
        <v>20.25</v>
      </c>
      <c r="AB81" s="39" t="n">
        <f aca="false">SUM(U81:AA81)</f>
        <v>145.79997</v>
      </c>
      <c r="AC81" s="39" t="n">
        <f aca="false">AB81/(1-Resumo!$B$5)</f>
        <v>165.681784090909</v>
      </c>
      <c r="AD81" s="39" t="n">
        <f aca="false">(AB81-AA81)/(1-Resumo!$B$5)</f>
        <v>142.670420454545</v>
      </c>
      <c r="AE81" s="39" t="n">
        <f aca="false">AC81-T81</f>
        <v>33.6869456818182</v>
      </c>
      <c r="AF81" s="40" t="n">
        <f aca="false">AC81/T81-1</f>
        <v>0.255214113580809</v>
      </c>
      <c r="AG81" s="37" t="str">
        <f aca="false">IF(AC81&lt;T81,"SIM","NÃO")</f>
        <v>NÃO</v>
      </c>
      <c r="AH81" s="37" t="n">
        <v>13</v>
      </c>
      <c r="AI81" s="37" t="n">
        <v>7</v>
      </c>
      <c r="AJ81" s="37" t="s">
        <v>323</v>
      </c>
    </row>
    <row r="82" customFormat="false" ht="15" hidden="false" customHeight="false" outlineLevel="0" collapsed="false">
      <c r="A82" s="37" t="n">
        <v>356183351</v>
      </c>
      <c r="B82" s="38" t="n">
        <v>46211.3439236111</v>
      </c>
      <c r="C82" s="37" t="s">
        <v>352</v>
      </c>
      <c r="D82" s="37" t="s">
        <v>409</v>
      </c>
      <c r="E82" s="37" t="n">
        <v>28880000</v>
      </c>
      <c r="F82" s="37" t="s">
        <v>276</v>
      </c>
      <c r="G82" s="37" t="s">
        <v>201</v>
      </c>
      <c r="H82" s="37" t="s">
        <v>170</v>
      </c>
      <c r="I82" s="37" t="n">
        <v>48.3</v>
      </c>
      <c r="J82" s="39" t="n">
        <v>391.99</v>
      </c>
      <c r="K82" s="37" t="s">
        <v>322</v>
      </c>
      <c r="L82" s="39" t="n">
        <v>130.03</v>
      </c>
      <c r="M82" s="39" t="n">
        <v>94</v>
      </c>
      <c r="N82" s="39" t="n">
        <f aca="false">J82*Resumo!$C$7</f>
        <v>0.78398</v>
      </c>
      <c r="O82" s="39" t="n">
        <f aca="false">J82*Resumo!$C$8</f>
        <v>0.78398</v>
      </c>
      <c r="P82" s="39" t="n">
        <f aca="false">Resumo!$C$10*CEILING(I82/100,1)</f>
        <v>1</v>
      </c>
      <c r="Q82" s="39" t="n">
        <f aca="false">Resumo!$C$9</f>
        <v>11.9</v>
      </c>
      <c r="R82" s="39" t="n">
        <f aca="false">SUM(M82:Q82)*Resumo!$C$11</f>
        <v>5.9657378</v>
      </c>
      <c r="S82" s="39" t="n">
        <f aca="false">SUM(M82:R82)</f>
        <v>114.4336978</v>
      </c>
      <c r="T82" s="39" t="n">
        <f aca="false">S82/(1-Resumo!$C$5)</f>
        <v>130.038292954545</v>
      </c>
      <c r="U82" s="39" t="n">
        <v>129.29</v>
      </c>
      <c r="V82" s="39" t="n">
        <f aca="false">J82*Resumo!$B$6</f>
        <v>0.39199</v>
      </c>
      <c r="W82" s="39" t="n">
        <f aca="false">J82*Resumo!$B$7</f>
        <v>0.78398</v>
      </c>
      <c r="X82" s="39" t="n">
        <f aca="false">Resumo!$B$9</f>
        <v>1</v>
      </c>
      <c r="Y82" s="39" t="n">
        <f aca="false">Resumo!$B$10*CEILING(I82/100,1)</f>
        <v>4.5</v>
      </c>
      <c r="Z82" s="39" t="n">
        <f aca="false">Resumo!$B$12*CEILING(I82,1)</f>
        <v>2.94</v>
      </c>
      <c r="AA82" s="39" t="n">
        <f aca="false">Resumo!$B$13*CEILING(I82,1)</f>
        <v>22.05</v>
      </c>
      <c r="AB82" s="39" t="n">
        <f aca="false">SUM(U82:AA82)</f>
        <v>160.95597</v>
      </c>
      <c r="AC82" s="39" t="n">
        <f aca="false">AB82/(1-Resumo!$B$5)</f>
        <v>182.904511363636</v>
      </c>
      <c r="AD82" s="39" t="n">
        <f aca="false">(AB82-AA82)/(1-Resumo!$B$5)</f>
        <v>157.847693181818</v>
      </c>
      <c r="AE82" s="39" t="n">
        <f aca="false">AC82-T82</f>
        <v>52.8662184090909</v>
      </c>
      <c r="AF82" s="40" t="n">
        <f aca="false">AC82/T82-1</f>
        <v>0.406543466604642</v>
      </c>
      <c r="AG82" s="37" t="str">
        <f aca="false">IF(AC82&lt;T82,"SIM","NÃO")</f>
        <v>NÃO</v>
      </c>
      <c r="AH82" s="37" t="n">
        <v>13</v>
      </c>
      <c r="AI82" s="37" t="n">
        <v>10</v>
      </c>
      <c r="AJ82" s="37" t="s">
        <v>327</v>
      </c>
    </row>
    <row r="83" customFormat="false" ht="15" hidden="false" customHeight="false" outlineLevel="0" collapsed="false">
      <c r="A83" s="37" t="n">
        <v>356188469</v>
      </c>
      <c r="B83" s="38" t="n">
        <v>46211.3519444445</v>
      </c>
      <c r="C83" s="37" t="s">
        <v>325</v>
      </c>
      <c r="D83" s="37" t="s">
        <v>403</v>
      </c>
      <c r="E83" s="37" t="n">
        <v>22770330</v>
      </c>
      <c r="F83" s="37" t="s">
        <v>139</v>
      </c>
      <c r="G83" s="37" t="s">
        <v>198</v>
      </c>
      <c r="H83" s="37" t="s">
        <v>172</v>
      </c>
      <c r="I83" s="37" t="n">
        <v>67.3</v>
      </c>
      <c r="J83" s="39" t="n">
        <v>899.98</v>
      </c>
      <c r="K83" s="37" t="s">
        <v>322</v>
      </c>
      <c r="L83" s="39" t="n">
        <v>125.52</v>
      </c>
      <c r="M83" s="39" t="n">
        <v>88.2</v>
      </c>
      <c r="N83" s="39" t="n">
        <f aca="false">J83*Resumo!$C$7</f>
        <v>1.79996</v>
      </c>
      <c r="O83" s="39" t="n">
        <f aca="false">J83*Resumo!$C$8</f>
        <v>1.79996</v>
      </c>
      <c r="P83" s="39" t="n">
        <f aca="false">Resumo!$C$10*CEILING(I83/100,1)</f>
        <v>1</v>
      </c>
      <c r="Q83" s="39" t="n">
        <f aca="false">Resumo!$C$9</f>
        <v>11.9</v>
      </c>
      <c r="R83" s="39" t="n">
        <f aca="false">SUM(M83:Q83)*Resumo!$C$11</f>
        <v>5.7584956</v>
      </c>
      <c r="S83" s="39" t="n">
        <f aca="false">SUM(M83:R83)</f>
        <v>110.4584156</v>
      </c>
      <c r="T83" s="39" t="n">
        <f aca="false">S83/(1-Resumo!$C$5)</f>
        <v>125.520926818182</v>
      </c>
      <c r="U83" s="39" t="n">
        <v>131.02</v>
      </c>
      <c r="V83" s="39" t="n">
        <f aca="false">J83*Resumo!$B$6</f>
        <v>0.89998</v>
      </c>
      <c r="W83" s="39" t="n">
        <f aca="false">J83*Resumo!$B$7</f>
        <v>1.79996</v>
      </c>
      <c r="X83" s="39" t="n">
        <f aca="false">Resumo!$B$9</f>
        <v>1</v>
      </c>
      <c r="Y83" s="39" t="n">
        <f aca="false">Resumo!$B$10*CEILING(I83/100,1)</f>
        <v>4.5</v>
      </c>
      <c r="Z83" s="39" t="n">
        <f aca="false">Resumo!$B$12*CEILING(I83,1)</f>
        <v>4.08</v>
      </c>
      <c r="AA83" s="39" t="n">
        <f aca="false">Resumo!$B$13*CEILING(I83,1)</f>
        <v>30.6</v>
      </c>
      <c r="AB83" s="39" t="n">
        <f aca="false">SUM(U83:AA83)</f>
        <v>173.89994</v>
      </c>
      <c r="AC83" s="39" t="n">
        <f aca="false">AB83/(1-Resumo!$B$5)</f>
        <v>197.613568181818</v>
      </c>
      <c r="AD83" s="39" t="n">
        <f aca="false">(AB83-AA83)/(1-Resumo!$B$5)</f>
        <v>162.840840909091</v>
      </c>
      <c r="AE83" s="39" t="n">
        <f aca="false">AC83-T83</f>
        <v>72.0926413636364</v>
      </c>
      <c r="AF83" s="40" t="n">
        <f aca="false">AC83/T83-1</f>
        <v>0.574347586423284</v>
      </c>
      <c r="AG83" s="37" t="str">
        <f aca="false">IF(AC83&lt;T83,"SIM","NÃO")</f>
        <v>NÃO</v>
      </c>
      <c r="AH83" s="37" t="n">
        <v>8</v>
      </c>
      <c r="AI83" s="37" t="n">
        <v>5</v>
      </c>
      <c r="AJ83" s="37" t="s">
        <v>323</v>
      </c>
    </row>
    <row r="84" customFormat="false" ht="15" hidden="false" customHeight="false" outlineLevel="0" collapsed="false">
      <c r="A84" s="37" t="n">
        <v>356190959</v>
      </c>
      <c r="B84" s="38" t="n">
        <v>46211.3573032407</v>
      </c>
      <c r="C84" s="37" t="s">
        <v>320</v>
      </c>
      <c r="D84" s="37" t="s">
        <v>410</v>
      </c>
      <c r="E84" s="37" t="n">
        <v>23900120</v>
      </c>
      <c r="F84" s="37" t="s">
        <v>149</v>
      </c>
      <c r="G84" s="37" t="s">
        <v>201</v>
      </c>
      <c r="H84" s="37" t="s">
        <v>173</v>
      </c>
      <c r="I84" s="37" t="n">
        <v>71.9</v>
      </c>
      <c r="J84" s="39" t="n">
        <v>769.99</v>
      </c>
      <c r="K84" s="37" t="s">
        <v>322</v>
      </c>
      <c r="L84" s="39" t="n">
        <v>168.01</v>
      </c>
      <c r="M84" s="39" t="n">
        <v>124.16</v>
      </c>
      <c r="N84" s="39" t="n">
        <f aca="false">J84*Resumo!$C$7</f>
        <v>1.53998</v>
      </c>
      <c r="O84" s="39" t="n">
        <f aca="false">J84*Resumo!$C$8</f>
        <v>1.53998</v>
      </c>
      <c r="P84" s="39" t="n">
        <f aca="false">Resumo!$C$10*CEILING(I84/100,1)</f>
        <v>1</v>
      </c>
      <c r="Q84" s="39" t="n">
        <f aca="false">Resumo!$C$9</f>
        <v>11.9</v>
      </c>
      <c r="R84" s="39" t="n">
        <f aca="false">SUM(M84:Q84)*Resumo!$C$11</f>
        <v>7.7076978</v>
      </c>
      <c r="S84" s="39" t="n">
        <f aca="false">SUM(M84:R84)</f>
        <v>147.8476578</v>
      </c>
      <c r="T84" s="39" t="n">
        <f aca="false">S84/(1-Resumo!$C$5)</f>
        <v>168.008702045455</v>
      </c>
      <c r="U84" s="39" t="n">
        <v>157.88</v>
      </c>
      <c r="V84" s="39" t="n">
        <f aca="false">J84*Resumo!$B$6</f>
        <v>0.76999</v>
      </c>
      <c r="W84" s="39" t="n">
        <f aca="false">J84*Resumo!$B$7</f>
        <v>1.53998</v>
      </c>
      <c r="X84" s="39" t="n">
        <f aca="false">Resumo!$B$9</f>
        <v>1</v>
      </c>
      <c r="Y84" s="39" t="n">
        <f aca="false">Resumo!$B$10*CEILING(I84/100,1)</f>
        <v>4.5</v>
      </c>
      <c r="Z84" s="39" t="n">
        <f aca="false">Resumo!$B$12*CEILING(I84,1)</f>
        <v>4.32</v>
      </c>
      <c r="AA84" s="39" t="n">
        <f aca="false">Resumo!$B$13*CEILING(I84,1)</f>
        <v>32.4</v>
      </c>
      <c r="AB84" s="39" t="n">
        <f aca="false">SUM(U84:AA84)</f>
        <v>202.40997</v>
      </c>
      <c r="AC84" s="39" t="n">
        <f aca="false">AB84/(1-Resumo!$B$5)</f>
        <v>230.011329545455</v>
      </c>
      <c r="AD84" s="39" t="n">
        <f aca="false">(AB84-AA84)/(1-Resumo!$B$5)</f>
        <v>193.193147727273</v>
      </c>
      <c r="AE84" s="39" t="n">
        <f aca="false">AC84-T84</f>
        <v>62.0026275</v>
      </c>
      <c r="AF84" s="40" t="n">
        <f aca="false">AC84/T84-1</f>
        <v>0.36904414322078</v>
      </c>
      <c r="AG84" s="37" t="str">
        <f aca="false">IF(AC84&lt;T84,"SIM","NÃO")</f>
        <v>NÃO</v>
      </c>
      <c r="AH84" s="37" t="n">
        <v>13</v>
      </c>
      <c r="AI84" s="37" t="n">
        <v>10</v>
      </c>
      <c r="AJ84" s="37" t="s">
        <v>323</v>
      </c>
    </row>
    <row r="85" customFormat="false" ht="15" hidden="false" customHeight="false" outlineLevel="0" collapsed="false">
      <c r="A85" s="37" t="n">
        <v>356226558</v>
      </c>
      <c r="B85" s="38" t="n">
        <v>46211.4185648148</v>
      </c>
      <c r="C85" s="37" t="s">
        <v>320</v>
      </c>
      <c r="D85" s="37" t="s">
        <v>411</v>
      </c>
      <c r="E85" s="37" t="n">
        <v>23059039</v>
      </c>
      <c r="F85" s="37" t="s">
        <v>139</v>
      </c>
      <c r="G85" s="37" t="s">
        <v>198</v>
      </c>
      <c r="H85" s="37" t="s">
        <v>170</v>
      </c>
      <c r="I85" s="37" t="n">
        <v>48.3</v>
      </c>
      <c r="J85" s="39" t="n">
        <v>459.99</v>
      </c>
      <c r="K85" s="37" t="s">
        <v>322</v>
      </c>
      <c r="L85" s="39" t="n">
        <v>102.8</v>
      </c>
      <c r="M85" s="39" t="n">
        <v>71</v>
      </c>
      <c r="N85" s="39" t="n">
        <f aca="false">J85*Resumo!$C$7</f>
        <v>0.91998</v>
      </c>
      <c r="O85" s="39" t="n">
        <f aca="false">J85*Resumo!$C$8</f>
        <v>0.91998</v>
      </c>
      <c r="P85" s="39" t="n">
        <f aca="false">Resumo!$C$10*CEILING(I85/100,1)</f>
        <v>1</v>
      </c>
      <c r="Q85" s="39" t="n">
        <f aca="false">Resumo!$C$9</f>
        <v>11.9</v>
      </c>
      <c r="R85" s="39" t="n">
        <f aca="false">SUM(M85:Q85)*Resumo!$C$11</f>
        <v>4.7156978</v>
      </c>
      <c r="S85" s="39" t="n">
        <f aca="false">SUM(M85:R85)</f>
        <v>90.4556578</v>
      </c>
      <c r="T85" s="39" t="n">
        <f aca="false">S85/(1-Resumo!$C$5)</f>
        <v>102.790520227273</v>
      </c>
      <c r="U85" s="39" t="n">
        <v>93.97</v>
      </c>
      <c r="V85" s="39" t="n">
        <f aca="false">J85*Resumo!$B$6</f>
        <v>0.45999</v>
      </c>
      <c r="W85" s="39" t="n">
        <f aca="false">J85*Resumo!$B$7</f>
        <v>0.91998</v>
      </c>
      <c r="X85" s="39" t="n">
        <f aca="false">Resumo!$B$9</f>
        <v>1</v>
      </c>
      <c r="Y85" s="39" t="n">
        <f aca="false">Resumo!$B$10*CEILING(I85/100,1)</f>
        <v>4.5</v>
      </c>
      <c r="Z85" s="39" t="n">
        <f aca="false">Resumo!$B$12*CEILING(I85,1)</f>
        <v>2.94</v>
      </c>
      <c r="AA85" s="39" t="n">
        <f aca="false">Resumo!$B$13*CEILING(I85,1)</f>
        <v>22.05</v>
      </c>
      <c r="AB85" s="39" t="n">
        <f aca="false">SUM(U85:AA85)</f>
        <v>125.83997</v>
      </c>
      <c r="AC85" s="39" t="n">
        <f aca="false">AB85/(1-Resumo!$B$5)</f>
        <v>142.999965909091</v>
      </c>
      <c r="AD85" s="39" t="n">
        <f aca="false">(AB85-AA85)/(1-Resumo!$B$5)</f>
        <v>117.943147727273</v>
      </c>
      <c r="AE85" s="39" t="n">
        <f aca="false">AC85-T85</f>
        <v>40.2094456818182</v>
      </c>
      <c r="AF85" s="40" t="n">
        <f aca="false">AC85/T85-1</f>
        <v>0.391178540520215</v>
      </c>
      <c r="AG85" s="37" t="str">
        <f aca="false">IF(AC85&lt;T85,"SIM","NÃO")</f>
        <v>NÃO</v>
      </c>
      <c r="AH85" s="37" t="n">
        <v>8</v>
      </c>
      <c r="AI85" s="37" t="n">
        <v>5</v>
      </c>
      <c r="AJ85" s="37" t="s">
        <v>323</v>
      </c>
    </row>
    <row r="86" customFormat="false" ht="15" hidden="false" customHeight="false" outlineLevel="0" collapsed="false">
      <c r="A86" s="37" t="n">
        <v>356346705</v>
      </c>
      <c r="B86" s="38" t="n">
        <v>46211.6128356482</v>
      </c>
      <c r="C86" s="37" t="s">
        <v>320</v>
      </c>
      <c r="D86" s="37" t="s">
        <v>412</v>
      </c>
      <c r="E86" s="37" t="n">
        <v>24727190</v>
      </c>
      <c r="F86" s="37" t="s">
        <v>140</v>
      </c>
      <c r="G86" s="37" t="s">
        <v>207</v>
      </c>
      <c r="H86" s="37" t="s">
        <v>169</v>
      </c>
      <c r="I86" s="37" t="n">
        <v>37.2</v>
      </c>
      <c r="J86" s="39" t="n">
        <v>399.99</v>
      </c>
      <c r="K86" s="37" t="s">
        <v>322</v>
      </c>
      <c r="L86" s="39" t="n">
        <v>112.88</v>
      </c>
      <c r="M86" s="39" t="n">
        <v>79.65</v>
      </c>
      <c r="N86" s="39" t="n">
        <f aca="false">J86*Resumo!$C$7</f>
        <v>0.79998</v>
      </c>
      <c r="O86" s="39" t="n">
        <f aca="false">J86*Resumo!$C$8</f>
        <v>0.79998</v>
      </c>
      <c r="P86" s="39" t="n">
        <f aca="false">Resumo!$C$10*CEILING(I86/100,1)</f>
        <v>1</v>
      </c>
      <c r="Q86" s="39" t="n">
        <f aca="false">Resumo!$C$9</f>
        <v>11.9</v>
      </c>
      <c r="R86" s="39" t="n">
        <f aca="false">SUM(M86:Q86)*Resumo!$C$11</f>
        <v>5.1782478</v>
      </c>
      <c r="S86" s="39" t="n">
        <f aca="false">SUM(M86:R86)</f>
        <v>99.3282078</v>
      </c>
      <c r="T86" s="39" t="n">
        <f aca="false">S86/(1-Resumo!$C$5)</f>
        <v>112.872963409091</v>
      </c>
      <c r="U86" s="39" t="n">
        <v>114.95</v>
      </c>
      <c r="V86" s="39" t="n">
        <f aca="false">J86*Resumo!$B$6</f>
        <v>0.39999</v>
      </c>
      <c r="W86" s="39" t="n">
        <f aca="false">J86*Resumo!$B$7</f>
        <v>0.79998</v>
      </c>
      <c r="X86" s="39" t="n">
        <f aca="false">Resumo!$B$9</f>
        <v>1</v>
      </c>
      <c r="Y86" s="39" t="n">
        <f aca="false">Resumo!$B$10*CEILING(I86/100,1)</f>
        <v>4.5</v>
      </c>
      <c r="Z86" s="39" t="n">
        <f aca="false">Resumo!$B$12*CEILING(I86,1)</f>
        <v>2.28</v>
      </c>
      <c r="AA86" s="39" t="n">
        <f aca="false">Resumo!$B$13*CEILING(I86,1)</f>
        <v>17.1</v>
      </c>
      <c r="AB86" s="39" t="n">
        <f aca="false">SUM(U86:AA86)</f>
        <v>141.02997</v>
      </c>
      <c r="AC86" s="39" t="n">
        <f aca="false">AB86/(1-Resumo!$B$5)</f>
        <v>160.261329545455</v>
      </c>
      <c r="AD86" s="39" t="n">
        <f aca="false">(AB86-AA86)/(1-Resumo!$B$5)</f>
        <v>140.829511363636</v>
      </c>
      <c r="AE86" s="39" t="n">
        <f aca="false">AC86-T86</f>
        <v>47.3883661363636</v>
      </c>
      <c r="AF86" s="40" t="n">
        <f aca="false">AC86/T86-1</f>
        <v>0.419838061348772</v>
      </c>
      <c r="AG86" s="37" t="str">
        <f aca="false">IF(AC86&lt;T86,"SIM","NÃO")</f>
        <v>NÃO</v>
      </c>
      <c r="AH86" s="37" t="n">
        <v>10</v>
      </c>
      <c r="AI86" s="37" t="n">
        <v>7</v>
      </c>
      <c r="AJ86" s="37" t="s">
        <v>323</v>
      </c>
    </row>
    <row r="87" customFormat="false" ht="15" hidden="false" customHeight="false" outlineLevel="0" collapsed="false">
      <c r="A87" s="37" t="n">
        <v>356378395</v>
      </c>
      <c r="B87" s="38" t="n">
        <v>46211.6709259259</v>
      </c>
      <c r="C87" s="37" t="s">
        <v>320</v>
      </c>
      <c r="D87" s="37" t="s">
        <v>413</v>
      </c>
      <c r="E87" s="37" t="n">
        <v>25970077</v>
      </c>
      <c r="F87" s="37" t="s">
        <v>221</v>
      </c>
      <c r="G87" s="37" t="s">
        <v>201</v>
      </c>
      <c r="H87" s="37" t="s">
        <v>170</v>
      </c>
      <c r="I87" s="37" t="n">
        <v>48.3</v>
      </c>
      <c r="J87" s="39" t="n">
        <v>459.99</v>
      </c>
      <c r="K87" s="37" t="s">
        <v>322</v>
      </c>
      <c r="L87" s="39" t="n">
        <v>130.36</v>
      </c>
      <c r="M87" s="39" t="n">
        <v>94</v>
      </c>
      <c r="N87" s="39" t="n">
        <f aca="false">J87*Resumo!$C$7</f>
        <v>0.91998</v>
      </c>
      <c r="O87" s="39" t="n">
        <f aca="false">J87*Resumo!$C$8</f>
        <v>0.91998</v>
      </c>
      <c r="P87" s="39" t="n">
        <f aca="false">Resumo!$C$10*CEILING(I87/100,1)</f>
        <v>1</v>
      </c>
      <c r="Q87" s="39" t="n">
        <f aca="false">Resumo!$C$9</f>
        <v>11.9</v>
      </c>
      <c r="R87" s="39" t="n">
        <f aca="false">SUM(M87:Q87)*Resumo!$C$11</f>
        <v>5.9806978</v>
      </c>
      <c r="S87" s="39" t="n">
        <f aca="false">SUM(M87:R87)</f>
        <v>114.7206578</v>
      </c>
      <c r="T87" s="39" t="n">
        <f aca="false">S87/(1-Resumo!$C$5)</f>
        <v>130.364383863636</v>
      </c>
      <c r="U87" s="39" t="n">
        <v>135.03</v>
      </c>
      <c r="V87" s="39" t="n">
        <f aca="false">J87*Resumo!$B$6</f>
        <v>0.45999</v>
      </c>
      <c r="W87" s="39" t="n">
        <f aca="false">J87*Resumo!$B$7</f>
        <v>0.91998</v>
      </c>
      <c r="X87" s="39" t="n">
        <f aca="false">Resumo!$B$9</f>
        <v>1</v>
      </c>
      <c r="Y87" s="39" t="n">
        <f aca="false">Resumo!$B$10*CEILING(I87/100,1)</f>
        <v>4.5</v>
      </c>
      <c r="Z87" s="39" t="n">
        <f aca="false">Resumo!$B$12*CEILING(I87,1)</f>
        <v>2.94</v>
      </c>
      <c r="AA87" s="39" t="n">
        <f aca="false">Resumo!$B$13*CEILING(I87,1)</f>
        <v>22.05</v>
      </c>
      <c r="AB87" s="39" t="n">
        <f aca="false">SUM(U87:AA87)</f>
        <v>166.89997</v>
      </c>
      <c r="AC87" s="39" t="n">
        <f aca="false">AB87/(1-Resumo!$B$5)</f>
        <v>189.659056818182</v>
      </c>
      <c r="AD87" s="39" t="n">
        <f aca="false">(AB87-AA87)/(1-Resumo!$B$5)</f>
        <v>164.602238636364</v>
      </c>
      <c r="AE87" s="39" t="n">
        <f aca="false">AC87-T87</f>
        <v>59.2946729545455</v>
      </c>
      <c r="AF87" s="40" t="n">
        <f aca="false">AC87/T87-1</f>
        <v>0.454837979494222</v>
      </c>
      <c r="AG87" s="37" t="str">
        <f aca="false">IF(AC87&lt;T87,"SIM","NÃO")</f>
        <v>NÃO</v>
      </c>
      <c r="AH87" s="37" t="n">
        <v>13</v>
      </c>
      <c r="AI87" s="37" t="n">
        <v>10</v>
      </c>
      <c r="AJ87" s="37" t="s">
        <v>327</v>
      </c>
    </row>
    <row r="88" customFormat="false" ht="15" hidden="false" customHeight="false" outlineLevel="0" collapsed="false">
      <c r="A88" s="37" t="n">
        <v>356418160</v>
      </c>
      <c r="B88" s="38" t="n">
        <v>46211.744212963</v>
      </c>
      <c r="C88" s="37" t="s">
        <v>325</v>
      </c>
      <c r="D88" s="37" t="s">
        <v>414</v>
      </c>
      <c r="E88" s="37" t="n">
        <v>21750001</v>
      </c>
      <c r="F88" s="37" t="s">
        <v>139</v>
      </c>
      <c r="G88" s="37" t="s">
        <v>198</v>
      </c>
      <c r="H88" s="37" t="s">
        <v>172</v>
      </c>
      <c r="I88" s="37" t="n">
        <v>66.8</v>
      </c>
      <c r="J88" s="39" t="n">
        <v>679.98</v>
      </c>
      <c r="K88" s="37" t="s">
        <v>322</v>
      </c>
      <c r="L88" s="39" t="n">
        <v>124.47</v>
      </c>
      <c r="M88" s="39" t="n">
        <v>88.2</v>
      </c>
      <c r="N88" s="39" t="n">
        <f aca="false">J88*Resumo!$C$7</f>
        <v>1.35996</v>
      </c>
      <c r="O88" s="39" t="n">
        <f aca="false">J88*Resumo!$C$8</f>
        <v>1.35996</v>
      </c>
      <c r="P88" s="39" t="n">
        <f aca="false">Resumo!$C$10*CEILING(I88/100,1)</f>
        <v>1</v>
      </c>
      <c r="Q88" s="39" t="n">
        <f aca="false">Resumo!$C$9</f>
        <v>11.9</v>
      </c>
      <c r="R88" s="39" t="n">
        <f aca="false">SUM(M88:Q88)*Resumo!$C$11</f>
        <v>5.7100956</v>
      </c>
      <c r="S88" s="39" t="n">
        <f aca="false">SUM(M88:R88)</f>
        <v>109.5300156</v>
      </c>
      <c r="T88" s="39" t="n">
        <f aca="false">S88/(1-Resumo!$C$5)</f>
        <v>124.465926818182</v>
      </c>
      <c r="U88" s="39" t="n">
        <v>131.02</v>
      </c>
      <c r="V88" s="39" t="n">
        <f aca="false">J88*Resumo!$B$6</f>
        <v>0.67998</v>
      </c>
      <c r="W88" s="39" t="n">
        <f aca="false">J88*Resumo!$B$7</f>
        <v>1.35996</v>
      </c>
      <c r="X88" s="39" t="n">
        <f aca="false">Resumo!$B$9</f>
        <v>1</v>
      </c>
      <c r="Y88" s="39" t="n">
        <f aca="false">Resumo!$B$10*CEILING(I88/100,1)</f>
        <v>4.5</v>
      </c>
      <c r="Z88" s="39" t="n">
        <f aca="false">Resumo!$B$12*CEILING(I88,1)</f>
        <v>4.02</v>
      </c>
      <c r="AA88" s="39" t="n">
        <f aca="false">Resumo!$B$13*CEILING(I88,1)</f>
        <v>30.15</v>
      </c>
      <c r="AB88" s="39" t="n">
        <f aca="false">SUM(U88:AA88)</f>
        <v>172.72994</v>
      </c>
      <c r="AC88" s="39" t="n">
        <f aca="false">AB88/(1-Resumo!$B$5)</f>
        <v>196.284022727273</v>
      </c>
      <c r="AD88" s="39" t="n">
        <f aca="false">(AB88-AA88)/(1-Resumo!$B$5)</f>
        <v>162.022659090909</v>
      </c>
      <c r="AE88" s="39" t="n">
        <f aca="false">AC88-T88</f>
        <v>71.818095909091</v>
      </c>
      <c r="AF88" s="40" t="n">
        <f aca="false">AC88/T88-1</f>
        <v>0.577010092199787</v>
      </c>
      <c r="AG88" s="37" t="str">
        <f aca="false">IF(AC88&lt;T88,"SIM","NÃO")</f>
        <v>NÃO</v>
      </c>
      <c r="AH88" s="37" t="n">
        <v>8</v>
      </c>
      <c r="AI88" s="37" t="n">
        <v>5</v>
      </c>
      <c r="AJ88" s="37" t="s">
        <v>323</v>
      </c>
    </row>
    <row r="89" customFormat="false" ht="15" hidden="false" customHeight="false" outlineLevel="0" collapsed="false">
      <c r="A89" s="37" t="n">
        <v>356454877</v>
      </c>
      <c r="B89" s="38" t="n">
        <v>46211.8102893519</v>
      </c>
      <c r="C89" s="37" t="s">
        <v>325</v>
      </c>
      <c r="D89" s="37" t="s">
        <v>415</v>
      </c>
      <c r="E89" s="37" t="n">
        <v>27281640</v>
      </c>
      <c r="F89" s="37" t="s">
        <v>148</v>
      </c>
      <c r="G89" s="37" t="s">
        <v>201</v>
      </c>
      <c r="H89" s="37" t="s">
        <v>176</v>
      </c>
      <c r="I89" s="37" t="n">
        <v>124.2</v>
      </c>
      <c r="J89" s="39" t="n">
        <v>1611.28</v>
      </c>
      <c r="K89" s="37" t="s">
        <v>322</v>
      </c>
      <c r="L89" s="39" t="n">
        <v>261</v>
      </c>
      <c r="M89" s="39" t="n">
        <v>197.37</v>
      </c>
      <c r="N89" s="39" t="n">
        <f aca="false">J89*Resumo!$C$7</f>
        <v>3.22256</v>
      </c>
      <c r="O89" s="39" t="n">
        <f aca="false">J89*Resumo!$C$8</f>
        <v>3.22256</v>
      </c>
      <c r="P89" s="39" t="n">
        <f aca="false">Resumo!$C$10*CEILING(I89/100,1)</f>
        <v>2</v>
      </c>
      <c r="Q89" s="39" t="n">
        <f aca="false">Resumo!$C$9</f>
        <v>11.9</v>
      </c>
      <c r="R89" s="39" t="n">
        <f aca="false">SUM(M89:Q89)*Resumo!$C$11</f>
        <v>11.9743316</v>
      </c>
      <c r="S89" s="39" t="n">
        <f aca="false">SUM(M89:R89)</f>
        <v>229.6894516</v>
      </c>
      <c r="T89" s="39" t="n">
        <f aca="false">S89/(1-Resumo!$C$5)</f>
        <v>261.010740454545</v>
      </c>
      <c r="U89" s="39" t="n">
        <v>264.84</v>
      </c>
      <c r="V89" s="39" t="n">
        <f aca="false">J89*Resumo!$B$6</f>
        <v>1.61128</v>
      </c>
      <c r="W89" s="39" t="n">
        <f aca="false">J89*Resumo!$B$7</f>
        <v>3.22256</v>
      </c>
      <c r="X89" s="39" t="n">
        <f aca="false">Resumo!$B$9</f>
        <v>1</v>
      </c>
      <c r="Y89" s="39" t="n">
        <f aca="false">Resumo!$B$10*CEILING(I89/100,1)</f>
        <v>9</v>
      </c>
      <c r="Z89" s="39" t="n">
        <f aca="false">Resumo!$B$12*CEILING(I89,1)</f>
        <v>7.5</v>
      </c>
      <c r="AA89" s="39" t="n">
        <f aca="false">Resumo!$B$13*CEILING(I89,1)</f>
        <v>56.25</v>
      </c>
      <c r="AB89" s="39" t="n">
        <f aca="false">SUM(U89:AA89)</f>
        <v>343.42384</v>
      </c>
      <c r="AC89" s="39" t="n">
        <f aca="false">AB89/(1-Resumo!$B$5)</f>
        <v>390.254363636364</v>
      </c>
      <c r="AD89" s="39" t="n">
        <f aca="false">(AB89-AA89)/(1-Resumo!$B$5)</f>
        <v>326.333909090909</v>
      </c>
      <c r="AE89" s="39" t="n">
        <f aca="false">AC89-T89</f>
        <v>129.243623181818</v>
      </c>
      <c r="AF89" s="40" t="n">
        <f aca="false">AC89/T89-1</f>
        <v>0.495165919060429</v>
      </c>
      <c r="AG89" s="37" t="str">
        <f aca="false">IF(AC89&lt;T89,"SIM","NÃO")</f>
        <v>NÃO</v>
      </c>
      <c r="AH89" s="37" t="n">
        <v>13</v>
      </c>
      <c r="AI89" s="37" t="n">
        <v>10</v>
      </c>
      <c r="AJ89" s="37" t="s">
        <v>323</v>
      </c>
    </row>
    <row r="90" customFormat="false" ht="15" hidden="false" customHeight="false" outlineLevel="0" collapsed="false">
      <c r="A90" s="37" t="n">
        <v>356481638</v>
      </c>
      <c r="B90" s="38" t="n">
        <v>46211.856087963</v>
      </c>
      <c r="C90" s="37" t="s">
        <v>325</v>
      </c>
      <c r="D90" s="37" t="s">
        <v>416</v>
      </c>
      <c r="E90" s="37" t="n">
        <v>26177010</v>
      </c>
      <c r="F90" s="37" t="s">
        <v>145</v>
      </c>
      <c r="G90" s="37" t="s">
        <v>207</v>
      </c>
      <c r="H90" s="37" t="s">
        <v>171</v>
      </c>
      <c r="I90" s="37" t="n">
        <v>51.06</v>
      </c>
      <c r="J90" s="39" t="n">
        <v>679.98</v>
      </c>
      <c r="K90" s="37" t="s">
        <v>322</v>
      </c>
      <c r="L90" s="39" t="n">
        <v>128.55</v>
      </c>
      <c r="M90" s="39" t="n">
        <v>91.6</v>
      </c>
      <c r="N90" s="39" t="n">
        <f aca="false">J90*Resumo!$C$7</f>
        <v>1.35996</v>
      </c>
      <c r="O90" s="39" t="n">
        <f aca="false">J90*Resumo!$C$8</f>
        <v>1.35996</v>
      </c>
      <c r="P90" s="39" t="n">
        <f aca="false">Resumo!$C$10*CEILING(I90/100,1)</f>
        <v>1</v>
      </c>
      <c r="Q90" s="39" t="n">
        <f aca="false">Resumo!$C$9</f>
        <v>11.9</v>
      </c>
      <c r="R90" s="39" t="n">
        <f aca="false">SUM(M90:Q90)*Resumo!$C$11</f>
        <v>5.8970956</v>
      </c>
      <c r="S90" s="39" t="n">
        <f aca="false">SUM(M90:R90)</f>
        <v>113.1170156</v>
      </c>
      <c r="T90" s="39" t="n">
        <f aca="false">S90/(1-Resumo!$C$5)</f>
        <v>128.542063181818</v>
      </c>
      <c r="U90" s="39" t="n">
        <v>112.3</v>
      </c>
      <c r="V90" s="39" t="n">
        <f aca="false">J90*Resumo!$B$6</f>
        <v>0.67998</v>
      </c>
      <c r="W90" s="39" t="n">
        <f aca="false">J90*Resumo!$B$7</f>
        <v>1.35996</v>
      </c>
      <c r="X90" s="39" t="n">
        <f aca="false">Resumo!$B$9</f>
        <v>1</v>
      </c>
      <c r="Y90" s="39" t="n">
        <f aca="false">Resumo!$B$10*CEILING(I90/100,1)</f>
        <v>4.5</v>
      </c>
      <c r="Z90" s="39" t="n">
        <f aca="false">Resumo!$B$12*CEILING(I90,1)</f>
        <v>3.12</v>
      </c>
      <c r="AA90" s="39" t="n">
        <f aca="false">Resumo!$B$13*CEILING(I90,1)</f>
        <v>23.4</v>
      </c>
      <c r="AB90" s="39" t="n">
        <f aca="false">SUM(U90:AA90)</f>
        <v>146.35994</v>
      </c>
      <c r="AC90" s="39" t="n">
        <f aca="false">AB90/(1-Resumo!$B$5)</f>
        <v>166.318113636364</v>
      </c>
      <c r="AD90" s="39" t="n">
        <f aca="false">(AB90-AA90)/(1-Resumo!$B$5)</f>
        <v>139.727204545455</v>
      </c>
      <c r="AE90" s="39" t="n">
        <f aca="false">AC90-T90</f>
        <v>37.7760504545454</v>
      </c>
      <c r="AF90" s="40" t="n">
        <f aca="false">AC90/T90-1</f>
        <v>0.293880847400999</v>
      </c>
      <c r="AG90" s="37" t="str">
        <f aca="false">IF(AC90&lt;T90,"SIM","NÃO")</f>
        <v>NÃO</v>
      </c>
      <c r="AH90" s="37" t="n">
        <v>10</v>
      </c>
      <c r="AI90" s="37" t="n">
        <v>5</v>
      </c>
      <c r="AJ90" s="37" t="s">
        <v>323</v>
      </c>
    </row>
    <row r="91" customFormat="false" ht="15" hidden="false" customHeight="false" outlineLevel="0" collapsed="false">
      <c r="A91" s="37" t="n">
        <v>356517949</v>
      </c>
      <c r="B91" s="38" t="n">
        <v>46211.9269560185</v>
      </c>
      <c r="C91" s="37" t="s">
        <v>341</v>
      </c>
      <c r="D91" s="37" t="s">
        <v>417</v>
      </c>
      <c r="E91" s="37" t="n">
        <v>21310030</v>
      </c>
      <c r="F91" s="37" t="s">
        <v>139</v>
      </c>
      <c r="G91" s="37" t="s">
        <v>198</v>
      </c>
      <c r="H91" s="37" t="s">
        <v>169</v>
      </c>
      <c r="I91" s="37" t="n">
        <v>37.2</v>
      </c>
      <c r="J91" s="39" t="n">
        <v>459.99</v>
      </c>
      <c r="K91" s="37" t="s">
        <v>322</v>
      </c>
      <c r="L91" s="39" t="n">
        <v>92.06</v>
      </c>
      <c r="M91" s="39" t="n">
        <v>62.05</v>
      </c>
      <c r="N91" s="39" t="n">
        <f aca="false">J91*Resumo!$C$7</f>
        <v>0.91998</v>
      </c>
      <c r="O91" s="39" t="n">
        <f aca="false">J91*Resumo!$C$8</f>
        <v>0.91998</v>
      </c>
      <c r="P91" s="39" t="n">
        <f aca="false">Resumo!$C$10*CEILING(I91/100,1)</f>
        <v>1</v>
      </c>
      <c r="Q91" s="39" t="n">
        <f aca="false">Resumo!$C$9</f>
        <v>11.9</v>
      </c>
      <c r="R91" s="39" t="n">
        <f aca="false">SUM(M91:Q91)*Resumo!$C$11</f>
        <v>4.2234478</v>
      </c>
      <c r="S91" s="39" t="n">
        <f aca="false">SUM(M91:R91)</f>
        <v>81.0134078</v>
      </c>
      <c r="T91" s="39" t="n">
        <f aca="false">S91/(1-Resumo!$C$5)</f>
        <v>92.0606906818182</v>
      </c>
      <c r="U91" s="39" t="n">
        <v>93.97</v>
      </c>
      <c r="V91" s="39" t="n">
        <f aca="false">J91*Resumo!$B$6</f>
        <v>0.45999</v>
      </c>
      <c r="W91" s="39" t="n">
        <f aca="false">J91*Resumo!$B$7</f>
        <v>0.91998</v>
      </c>
      <c r="X91" s="39" t="n">
        <f aca="false">Resumo!$B$9</f>
        <v>1</v>
      </c>
      <c r="Y91" s="39" t="n">
        <f aca="false">Resumo!$B$10*CEILING(I91/100,1)</f>
        <v>4.5</v>
      </c>
      <c r="Z91" s="39" t="n">
        <f aca="false">Resumo!$B$12*CEILING(I91,1)</f>
        <v>2.28</v>
      </c>
      <c r="AA91" s="39" t="n">
        <f aca="false">Resumo!$B$13*CEILING(I91,1)</f>
        <v>17.1</v>
      </c>
      <c r="AB91" s="39" t="n">
        <f aca="false">SUM(U91:AA91)</f>
        <v>120.22997</v>
      </c>
      <c r="AC91" s="39" t="n">
        <f aca="false">AB91/(1-Resumo!$B$5)</f>
        <v>136.624965909091</v>
      </c>
      <c r="AD91" s="39" t="n">
        <f aca="false">(AB91-AA91)/(1-Resumo!$B$5)</f>
        <v>117.193147727273</v>
      </c>
      <c r="AE91" s="39" t="n">
        <f aca="false">AC91-T91</f>
        <v>44.5642752272727</v>
      </c>
      <c r="AF91" s="40" t="n">
        <f aca="false">AC91/T91-1</f>
        <v>0.484074960737549</v>
      </c>
      <c r="AG91" s="37" t="str">
        <f aca="false">IF(AC91&lt;T91,"SIM","NÃO")</f>
        <v>NÃO</v>
      </c>
      <c r="AH91" s="37" t="n">
        <v>8</v>
      </c>
      <c r="AI91" s="37" t="n">
        <v>5</v>
      </c>
      <c r="AJ91" s="37" t="s">
        <v>323</v>
      </c>
    </row>
    <row r="92" customFormat="false" ht="15" hidden="false" customHeight="false" outlineLevel="0" collapsed="false">
      <c r="A92" s="37" t="n">
        <v>356490484</v>
      </c>
      <c r="B92" s="38" t="n">
        <v>46211.9686689815</v>
      </c>
      <c r="C92" s="37" t="s">
        <v>341</v>
      </c>
      <c r="D92" s="37" t="s">
        <v>418</v>
      </c>
      <c r="E92" s="37" t="n">
        <v>26480320</v>
      </c>
      <c r="F92" s="37" t="s">
        <v>223</v>
      </c>
      <c r="G92" s="37" t="s">
        <v>201</v>
      </c>
      <c r="H92" s="37" t="s">
        <v>170</v>
      </c>
      <c r="I92" s="37" t="n">
        <v>48.3</v>
      </c>
      <c r="J92" s="39" t="n">
        <v>499.99</v>
      </c>
      <c r="K92" s="37" t="s">
        <v>322</v>
      </c>
      <c r="L92" s="39" t="n">
        <v>130.56</v>
      </c>
      <c r="M92" s="39" t="n">
        <v>94</v>
      </c>
      <c r="N92" s="39" t="n">
        <f aca="false">J92*Resumo!$C$7</f>
        <v>0.99998</v>
      </c>
      <c r="O92" s="39" t="n">
        <f aca="false">J92*Resumo!$C$8</f>
        <v>0.99998</v>
      </c>
      <c r="P92" s="39" t="n">
        <f aca="false">Resumo!$C$10*CEILING(I92/100,1)</f>
        <v>1</v>
      </c>
      <c r="Q92" s="39" t="n">
        <f aca="false">Resumo!$C$9</f>
        <v>11.9</v>
      </c>
      <c r="R92" s="39" t="n">
        <f aca="false">SUM(M92:Q92)*Resumo!$C$11</f>
        <v>5.9894978</v>
      </c>
      <c r="S92" s="39" t="n">
        <f aca="false">SUM(M92:R92)</f>
        <v>114.8894578</v>
      </c>
      <c r="T92" s="39" t="n">
        <f aca="false">S92/(1-Resumo!$C$5)</f>
        <v>130.556202045455</v>
      </c>
      <c r="U92" s="39" t="n">
        <v>93.97</v>
      </c>
      <c r="V92" s="39" t="n">
        <f aca="false">J92*Resumo!$B$6</f>
        <v>0.49999</v>
      </c>
      <c r="W92" s="39" t="n">
        <f aca="false">J92*Resumo!$B$7</f>
        <v>0.99998</v>
      </c>
      <c r="X92" s="39" t="n">
        <f aca="false">Resumo!$B$9</f>
        <v>1</v>
      </c>
      <c r="Y92" s="39" t="n">
        <f aca="false">Resumo!$B$10*CEILING(I92/100,1)</f>
        <v>4.5</v>
      </c>
      <c r="Z92" s="39" t="n">
        <f aca="false">Resumo!$B$12*CEILING(I92,1)</f>
        <v>2.94</v>
      </c>
      <c r="AA92" s="39" t="n">
        <f aca="false">Resumo!$B$13*CEILING(I92,1)</f>
        <v>22.05</v>
      </c>
      <c r="AB92" s="39" t="n">
        <f aca="false">SUM(U92:AA92)</f>
        <v>125.95997</v>
      </c>
      <c r="AC92" s="39" t="n">
        <f aca="false">AB92/(1-Resumo!$B$5)</f>
        <v>143.136329545455</v>
      </c>
      <c r="AD92" s="39" t="n">
        <f aca="false">(AB92-AA92)/(1-Resumo!$B$5)</f>
        <v>118.079511363636</v>
      </c>
      <c r="AE92" s="39" t="n">
        <f aca="false">AC92-T92</f>
        <v>12.5801275</v>
      </c>
      <c r="AF92" s="40" t="n">
        <f aca="false">AC92/T92-1</f>
        <v>0.0963579462553614</v>
      </c>
      <c r="AG92" s="37" t="str">
        <f aca="false">IF(AC92&lt;T92,"SIM","NÃO")</f>
        <v>NÃO</v>
      </c>
      <c r="AH92" s="37" t="n">
        <v>13</v>
      </c>
      <c r="AI92" s="37" t="n">
        <v>5</v>
      </c>
      <c r="AJ92" s="37" t="s">
        <v>327</v>
      </c>
    </row>
    <row r="93" customFormat="false" ht="15" hidden="false" customHeight="false" outlineLevel="0" collapsed="false">
      <c r="A93" s="37" t="n">
        <v>356556476</v>
      </c>
      <c r="B93" s="38" t="n">
        <v>46212.0133217593</v>
      </c>
      <c r="C93" s="37" t="s">
        <v>320</v>
      </c>
      <c r="D93" s="37" t="s">
        <v>419</v>
      </c>
      <c r="E93" s="37" t="n">
        <v>24805900</v>
      </c>
      <c r="F93" s="37" t="s">
        <v>154</v>
      </c>
      <c r="G93" s="37" t="s">
        <v>201</v>
      </c>
      <c r="H93" s="37" t="s">
        <v>170</v>
      </c>
      <c r="I93" s="37" t="n">
        <v>46.8</v>
      </c>
      <c r="J93" s="39" t="n">
        <v>556.99</v>
      </c>
      <c r="K93" s="37" t="s">
        <v>322</v>
      </c>
      <c r="L93" s="39" t="n">
        <v>130.82</v>
      </c>
      <c r="M93" s="39" t="n">
        <v>94</v>
      </c>
      <c r="N93" s="39" t="n">
        <f aca="false">J93*Resumo!$C$7</f>
        <v>1.11398</v>
      </c>
      <c r="O93" s="39" t="n">
        <f aca="false">J93*Resumo!$C$8</f>
        <v>1.11398</v>
      </c>
      <c r="P93" s="39" t="n">
        <f aca="false">Resumo!$C$10*CEILING(I93/100,1)</f>
        <v>1</v>
      </c>
      <c r="Q93" s="39" t="n">
        <f aca="false">Resumo!$C$9</f>
        <v>11.9</v>
      </c>
      <c r="R93" s="39" t="n">
        <f aca="false">SUM(M93:Q93)*Resumo!$C$11</f>
        <v>6.0020378</v>
      </c>
      <c r="S93" s="39" t="n">
        <f aca="false">SUM(M93:R93)</f>
        <v>115.1299978</v>
      </c>
      <c r="T93" s="39" t="n">
        <f aca="false">S93/(1-Resumo!$C$5)</f>
        <v>130.829542954545</v>
      </c>
      <c r="U93" s="39" t="n">
        <v>114.95</v>
      </c>
      <c r="V93" s="39" t="n">
        <f aca="false">J93*Resumo!$B$6</f>
        <v>0.55699</v>
      </c>
      <c r="W93" s="39" t="n">
        <f aca="false">J93*Resumo!$B$7</f>
        <v>1.11398</v>
      </c>
      <c r="X93" s="39" t="n">
        <f aca="false">Resumo!$B$9</f>
        <v>1</v>
      </c>
      <c r="Y93" s="39" t="n">
        <f aca="false">Resumo!$B$10*CEILING(I93/100,1)</f>
        <v>4.5</v>
      </c>
      <c r="Z93" s="39" t="n">
        <f aca="false">Resumo!$B$12*CEILING(I93,1)</f>
        <v>2.82</v>
      </c>
      <c r="AA93" s="39" t="n">
        <f aca="false">Resumo!$B$13*CEILING(I93,1)</f>
        <v>21.15</v>
      </c>
      <c r="AB93" s="39" t="n">
        <f aca="false">SUM(U93:AA93)</f>
        <v>146.09097</v>
      </c>
      <c r="AC93" s="39" t="n">
        <f aca="false">AB93/(1-Resumo!$B$5)</f>
        <v>166.012465909091</v>
      </c>
      <c r="AD93" s="39" t="n">
        <f aca="false">(AB93-AA93)/(1-Resumo!$B$5)</f>
        <v>141.978375</v>
      </c>
      <c r="AE93" s="39" t="n">
        <f aca="false">AC93-T93</f>
        <v>35.1829229545455</v>
      </c>
      <c r="AF93" s="40" t="n">
        <f aca="false">AC93/T93-1</f>
        <v>0.268921851746965</v>
      </c>
      <c r="AG93" s="37" t="str">
        <f aca="false">IF(AC93&lt;T93,"SIM","NÃO")</f>
        <v>NÃO</v>
      </c>
      <c r="AH93" s="37" t="n">
        <v>13</v>
      </c>
      <c r="AI93" s="37" t="n">
        <v>7</v>
      </c>
      <c r="AJ93" s="37" t="s">
        <v>323</v>
      </c>
    </row>
    <row r="94" customFormat="false" ht="15" hidden="false" customHeight="false" outlineLevel="0" collapsed="false">
      <c r="A94" s="37" t="n">
        <v>356708076</v>
      </c>
      <c r="B94" s="38" t="n">
        <v>46212.4535069445</v>
      </c>
      <c r="C94" s="37" t="s">
        <v>320</v>
      </c>
      <c r="D94" s="37" t="s">
        <v>420</v>
      </c>
      <c r="E94" s="37" t="n">
        <v>22641100</v>
      </c>
      <c r="F94" s="37" t="s">
        <v>139</v>
      </c>
      <c r="G94" s="37" t="s">
        <v>198</v>
      </c>
      <c r="H94" s="37" t="s">
        <v>167</v>
      </c>
      <c r="I94" s="37" t="n">
        <v>15.05</v>
      </c>
      <c r="J94" s="39" t="n">
        <v>239.99</v>
      </c>
      <c r="K94" s="37" t="s">
        <v>322</v>
      </c>
      <c r="L94" s="39" t="n">
        <v>64.36</v>
      </c>
      <c r="M94" s="39" t="n">
        <v>39.83</v>
      </c>
      <c r="N94" s="39" t="n">
        <f aca="false">J94*Resumo!$C$7</f>
        <v>0.47998</v>
      </c>
      <c r="O94" s="39" t="n">
        <f aca="false">J94*Resumo!$C$8</f>
        <v>0.47998</v>
      </c>
      <c r="P94" s="39" t="n">
        <f aca="false">Resumo!$C$10*CEILING(I94/100,1)</f>
        <v>1</v>
      </c>
      <c r="Q94" s="39" t="n">
        <f aca="false">Resumo!$C$9</f>
        <v>11.9</v>
      </c>
      <c r="R94" s="39" t="n">
        <f aca="false">SUM(M94:Q94)*Resumo!$C$11</f>
        <v>2.9529478</v>
      </c>
      <c r="S94" s="39" t="n">
        <f aca="false">SUM(M94:R94)</f>
        <v>56.6429078</v>
      </c>
      <c r="T94" s="39" t="n">
        <f aca="false">S94/(1-Resumo!$C$5)</f>
        <v>64.3669406818182</v>
      </c>
      <c r="U94" s="39" t="n">
        <v>46.98</v>
      </c>
      <c r="V94" s="39" t="n">
        <f aca="false">J94*Resumo!$B$6</f>
        <v>0.23999</v>
      </c>
      <c r="W94" s="39" t="n">
        <f aca="false">J94*Resumo!$B$7</f>
        <v>0.47998</v>
      </c>
      <c r="X94" s="39" t="n">
        <f aca="false">Resumo!$B$9</f>
        <v>1</v>
      </c>
      <c r="Y94" s="39" t="n">
        <f aca="false">Resumo!$B$10*CEILING(I94/100,1)</f>
        <v>4.5</v>
      </c>
      <c r="Z94" s="39" t="n">
        <f aca="false">Resumo!$B$12*CEILING(I94,1)</f>
        <v>0.96</v>
      </c>
      <c r="AA94" s="39" t="n">
        <f aca="false">Resumo!$B$13*CEILING(I94,1)</f>
        <v>7.2</v>
      </c>
      <c r="AB94" s="39" t="n">
        <f aca="false">SUM(U94:AA94)</f>
        <v>61.35997</v>
      </c>
      <c r="AC94" s="39" t="n">
        <f aca="false">AB94/(1-Resumo!$B$5)</f>
        <v>69.7272386363636</v>
      </c>
      <c r="AD94" s="39" t="n">
        <f aca="false">(AB94-AA94)/(1-Resumo!$B$5)</f>
        <v>61.5454204545455</v>
      </c>
      <c r="AE94" s="39" t="n">
        <f aca="false">AC94-T94</f>
        <v>5.36029795454546</v>
      </c>
      <c r="AF94" s="40" t="n">
        <f aca="false">AC94/T94-1</f>
        <v>0.0832771900880414</v>
      </c>
      <c r="AG94" s="37" t="str">
        <f aca="false">IF(AC94&lt;T94,"SIM","NÃO")</f>
        <v>NÃO</v>
      </c>
      <c r="AH94" s="37" t="n">
        <v>8</v>
      </c>
      <c r="AI94" s="37" t="n">
        <v>5</v>
      </c>
      <c r="AJ94" s="37" t="s">
        <v>323</v>
      </c>
    </row>
    <row r="95" customFormat="false" ht="15" hidden="false" customHeight="false" outlineLevel="0" collapsed="false">
      <c r="A95" s="37" t="n">
        <v>356734261</v>
      </c>
      <c r="B95" s="38" t="n">
        <v>46212.5090277778</v>
      </c>
      <c r="C95" s="37" t="s">
        <v>325</v>
      </c>
      <c r="D95" s="37" t="s">
        <v>421</v>
      </c>
      <c r="E95" s="37" t="n">
        <v>26279240</v>
      </c>
      <c r="F95" s="37" t="s">
        <v>142</v>
      </c>
      <c r="G95" s="37" t="s">
        <v>207</v>
      </c>
      <c r="H95" s="37" t="s">
        <v>172</v>
      </c>
      <c r="I95" s="37" t="n">
        <v>69.15</v>
      </c>
      <c r="J95" s="39" t="n">
        <v>721.99</v>
      </c>
      <c r="K95" s="37" t="s">
        <v>322</v>
      </c>
      <c r="L95" s="39" t="n">
        <v>139.89</v>
      </c>
      <c r="M95" s="39" t="n">
        <v>100.9</v>
      </c>
      <c r="N95" s="39" t="n">
        <f aca="false">J95*Resumo!$C$7</f>
        <v>1.44398</v>
      </c>
      <c r="O95" s="39" t="n">
        <f aca="false">J95*Resumo!$C$8</f>
        <v>1.44398</v>
      </c>
      <c r="P95" s="39" t="n">
        <f aca="false">Resumo!$C$10*CEILING(I95/100,1)</f>
        <v>1</v>
      </c>
      <c r="Q95" s="39" t="n">
        <f aca="false">Resumo!$C$9</f>
        <v>11.9</v>
      </c>
      <c r="R95" s="39" t="n">
        <f aca="false">SUM(M95:Q95)*Resumo!$C$11</f>
        <v>6.4178378</v>
      </c>
      <c r="S95" s="39" t="n">
        <f aca="false">SUM(M95:R95)</f>
        <v>123.1057978</v>
      </c>
      <c r="T95" s="39" t="n">
        <f aca="false">S95/(1-Resumo!$C$5)</f>
        <v>139.892952045455</v>
      </c>
      <c r="U95" s="39" t="n">
        <v>131.02</v>
      </c>
      <c r="V95" s="39" t="n">
        <f aca="false">J95*Resumo!$B$6</f>
        <v>0.72199</v>
      </c>
      <c r="W95" s="39" t="n">
        <f aca="false">J95*Resumo!$B$7</f>
        <v>1.44398</v>
      </c>
      <c r="X95" s="39" t="n">
        <f aca="false">Resumo!$B$9</f>
        <v>1</v>
      </c>
      <c r="Y95" s="39" t="n">
        <f aca="false">Resumo!$B$10*CEILING(I95/100,1)</f>
        <v>4.5</v>
      </c>
      <c r="Z95" s="39" t="n">
        <f aca="false">Resumo!$B$12*CEILING(I95,1)</f>
        <v>4.2</v>
      </c>
      <c r="AA95" s="39" t="n">
        <f aca="false">Resumo!$B$13*CEILING(I95,1)</f>
        <v>31.5</v>
      </c>
      <c r="AB95" s="39" t="n">
        <f aca="false">SUM(U95:AA95)</f>
        <v>174.38597</v>
      </c>
      <c r="AC95" s="39" t="n">
        <f aca="false">AB95/(1-Resumo!$B$5)</f>
        <v>198.165875</v>
      </c>
      <c r="AD95" s="39" t="n">
        <f aca="false">(AB95-AA95)/(1-Resumo!$B$5)</f>
        <v>162.370420454545</v>
      </c>
      <c r="AE95" s="39" t="n">
        <f aca="false">AC95-T95</f>
        <v>58.2729229545455</v>
      </c>
      <c r="AF95" s="40" t="n">
        <f aca="false">AC95/T95-1</f>
        <v>0.416553672665448</v>
      </c>
      <c r="AG95" s="37" t="str">
        <f aca="false">IF(AC95&lt;T95,"SIM","NÃO")</f>
        <v>NÃO</v>
      </c>
      <c r="AH95" s="37" t="n">
        <v>10</v>
      </c>
      <c r="AI95" s="37" t="n">
        <v>5</v>
      </c>
      <c r="AJ95" s="37" t="s">
        <v>323</v>
      </c>
    </row>
    <row r="96" customFormat="false" ht="15" hidden="false" customHeight="false" outlineLevel="0" collapsed="false">
      <c r="A96" s="37" t="n">
        <v>356745748</v>
      </c>
      <c r="B96" s="38" t="n">
        <v>46212.5322800926</v>
      </c>
      <c r="C96" s="37" t="s">
        <v>320</v>
      </c>
      <c r="D96" s="37" t="s">
        <v>422</v>
      </c>
      <c r="E96" s="37" t="n">
        <v>25937048</v>
      </c>
      <c r="F96" s="37" t="s">
        <v>156</v>
      </c>
      <c r="G96" s="37" t="s">
        <v>201</v>
      </c>
      <c r="H96" s="37" t="s">
        <v>170</v>
      </c>
      <c r="I96" s="37" t="n">
        <v>46.8</v>
      </c>
      <c r="J96" s="39" t="n">
        <v>556.99</v>
      </c>
      <c r="K96" s="37" t="s">
        <v>322</v>
      </c>
      <c r="L96" s="39" t="n">
        <v>130.82</v>
      </c>
      <c r="M96" s="39" t="n">
        <v>94</v>
      </c>
      <c r="N96" s="39" t="n">
        <f aca="false">J96*Resumo!$C$7</f>
        <v>1.11398</v>
      </c>
      <c r="O96" s="39" t="n">
        <f aca="false">J96*Resumo!$C$8</f>
        <v>1.11398</v>
      </c>
      <c r="P96" s="39" t="n">
        <f aca="false">Resumo!$C$10*CEILING(I96/100,1)</f>
        <v>1</v>
      </c>
      <c r="Q96" s="39" t="n">
        <f aca="false">Resumo!$C$9</f>
        <v>11.9</v>
      </c>
      <c r="R96" s="39" t="n">
        <f aca="false">SUM(M96:Q96)*Resumo!$C$11</f>
        <v>6.0020378</v>
      </c>
      <c r="S96" s="39" t="n">
        <f aca="false">SUM(M96:R96)</f>
        <v>115.1299978</v>
      </c>
      <c r="T96" s="39" t="n">
        <f aca="false">S96/(1-Resumo!$C$5)</f>
        <v>130.829542954545</v>
      </c>
      <c r="U96" s="39" t="n">
        <v>117.23</v>
      </c>
      <c r="V96" s="39" t="n">
        <f aca="false">J96*Resumo!$B$6</f>
        <v>0.55699</v>
      </c>
      <c r="W96" s="39" t="n">
        <f aca="false">J96*Resumo!$B$7</f>
        <v>1.11398</v>
      </c>
      <c r="X96" s="39" t="n">
        <f aca="false">Resumo!$B$9</f>
        <v>1</v>
      </c>
      <c r="Y96" s="39" t="n">
        <f aca="false">Resumo!$B$10*CEILING(I96/100,1)</f>
        <v>4.5</v>
      </c>
      <c r="Z96" s="39" t="n">
        <f aca="false">Resumo!$B$12*CEILING(I96,1)</f>
        <v>2.82</v>
      </c>
      <c r="AA96" s="39" t="n">
        <f aca="false">Resumo!$B$13*CEILING(I96,1)</f>
        <v>21.15</v>
      </c>
      <c r="AB96" s="39" t="n">
        <f aca="false">SUM(U96:AA96)</f>
        <v>148.37097</v>
      </c>
      <c r="AC96" s="39" t="n">
        <f aca="false">AB96/(1-Resumo!$B$5)</f>
        <v>168.603375</v>
      </c>
      <c r="AD96" s="39" t="n">
        <f aca="false">(AB96-AA96)/(1-Resumo!$B$5)</f>
        <v>144.569284090909</v>
      </c>
      <c r="AE96" s="39" t="n">
        <f aca="false">AC96-T96</f>
        <v>37.7738320454546</v>
      </c>
      <c r="AF96" s="40" t="n">
        <f aca="false">AC96/T96-1</f>
        <v>0.288725552290422</v>
      </c>
      <c r="AG96" s="37" t="str">
        <f aca="false">IF(AC96&lt;T96,"SIM","NÃO")</f>
        <v>NÃO</v>
      </c>
      <c r="AH96" s="37" t="n">
        <v>13</v>
      </c>
      <c r="AI96" s="37" t="n">
        <v>6</v>
      </c>
      <c r="AJ96" s="37" t="s">
        <v>323</v>
      </c>
    </row>
    <row r="97" customFormat="false" ht="15" hidden="false" customHeight="false" outlineLevel="0" collapsed="false">
      <c r="A97" s="37" t="n">
        <v>356785525</v>
      </c>
      <c r="B97" s="38" t="n">
        <v>46212.6134837963</v>
      </c>
      <c r="C97" s="37" t="s">
        <v>320</v>
      </c>
      <c r="D97" s="37" t="s">
        <v>423</v>
      </c>
      <c r="E97" s="37" t="n">
        <v>25015045</v>
      </c>
      <c r="F97" s="37" t="s">
        <v>141</v>
      </c>
      <c r="G97" s="37" t="s">
        <v>207</v>
      </c>
      <c r="H97" s="37" t="s">
        <v>171</v>
      </c>
      <c r="I97" s="37" t="n">
        <v>52.3</v>
      </c>
      <c r="J97" s="39" t="n">
        <v>643.99</v>
      </c>
      <c r="K97" s="37" t="s">
        <v>322</v>
      </c>
      <c r="L97" s="39" t="n">
        <v>128.38</v>
      </c>
      <c r="M97" s="39" t="n">
        <v>91.6</v>
      </c>
      <c r="N97" s="39" t="n">
        <f aca="false">J97*Resumo!$C$7</f>
        <v>1.28798</v>
      </c>
      <c r="O97" s="39" t="n">
        <f aca="false">J97*Resumo!$C$8</f>
        <v>1.28798</v>
      </c>
      <c r="P97" s="39" t="n">
        <f aca="false">Resumo!$C$10*CEILING(I97/100,1)</f>
        <v>1</v>
      </c>
      <c r="Q97" s="39" t="n">
        <f aca="false">Resumo!$C$9</f>
        <v>11.9</v>
      </c>
      <c r="R97" s="39" t="n">
        <f aca="false">SUM(M97:Q97)*Resumo!$C$11</f>
        <v>5.8891778</v>
      </c>
      <c r="S97" s="39" t="n">
        <f aca="false">SUM(M97:R97)</f>
        <v>112.9651378</v>
      </c>
      <c r="T97" s="39" t="n">
        <f aca="false">S97/(1-Resumo!$C$5)</f>
        <v>128.369474772727</v>
      </c>
      <c r="U97" s="39" t="n">
        <v>112.3</v>
      </c>
      <c r="V97" s="39" t="n">
        <f aca="false">J97*Resumo!$B$6</f>
        <v>0.64399</v>
      </c>
      <c r="W97" s="39" t="n">
        <f aca="false">J97*Resumo!$B$7</f>
        <v>1.28798</v>
      </c>
      <c r="X97" s="39" t="n">
        <f aca="false">Resumo!$B$9</f>
        <v>1</v>
      </c>
      <c r="Y97" s="39" t="n">
        <f aca="false">Resumo!$B$10*CEILING(I97/100,1)</f>
        <v>4.5</v>
      </c>
      <c r="Z97" s="39" t="n">
        <f aca="false">Resumo!$B$12*CEILING(I97,1)</f>
        <v>3.18</v>
      </c>
      <c r="AA97" s="39" t="n">
        <f aca="false">Resumo!$B$13*CEILING(I97,1)</f>
        <v>23.85</v>
      </c>
      <c r="AB97" s="39" t="n">
        <f aca="false">SUM(U97:AA97)</f>
        <v>146.76197</v>
      </c>
      <c r="AC97" s="39" t="n">
        <f aca="false">AB97/(1-Resumo!$B$5)</f>
        <v>166.774965909091</v>
      </c>
      <c r="AD97" s="39" t="n">
        <f aca="false">(AB97-AA97)/(1-Resumo!$B$5)</f>
        <v>139.672693181818</v>
      </c>
      <c r="AE97" s="39" t="n">
        <f aca="false">AC97-T97</f>
        <v>38.4054911363636</v>
      </c>
      <c r="AF97" s="40" t="n">
        <f aca="false">AC97/T97-1</f>
        <v>0.29917931193813</v>
      </c>
      <c r="AG97" s="37" t="str">
        <f aca="false">IF(AC97&lt;T97,"SIM","NÃO")</f>
        <v>NÃO</v>
      </c>
      <c r="AH97" s="37" t="n">
        <v>10</v>
      </c>
      <c r="AI97" s="37" t="n">
        <v>5</v>
      </c>
      <c r="AJ97" s="37" t="s">
        <v>323</v>
      </c>
    </row>
    <row r="98" customFormat="false" ht="15" hidden="false" customHeight="false" outlineLevel="0" collapsed="false">
      <c r="A98" s="37" t="n">
        <v>356789417</v>
      </c>
      <c r="B98" s="38" t="n">
        <v>46212.6219097222</v>
      </c>
      <c r="C98" s="37" t="s">
        <v>320</v>
      </c>
      <c r="D98" s="37" t="s">
        <v>424</v>
      </c>
      <c r="E98" s="37" t="n">
        <v>21221280</v>
      </c>
      <c r="F98" s="37" t="s">
        <v>139</v>
      </c>
      <c r="G98" s="37" t="s">
        <v>198</v>
      </c>
      <c r="H98" s="37" t="s">
        <v>170</v>
      </c>
      <c r="I98" s="37" t="n">
        <v>48</v>
      </c>
      <c r="J98" s="39" t="n">
        <v>827.99</v>
      </c>
      <c r="K98" s="37" t="s">
        <v>322</v>
      </c>
      <c r="L98" s="39" t="n">
        <v>104.57</v>
      </c>
      <c r="M98" s="39" t="n">
        <v>71</v>
      </c>
      <c r="N98" s="39" t="n">
        <f aca="false">J98*Resumo!$C$7</f>
        <v>1.65598</v>
      </c>
      <c r="O98" s="39" t="n">
        <f aca="false">J98*Resumo!$C$8</f>
        <v>1.65598</v>
      </c>
      <c r="P98" s="39" t="n">
        <f aca="false">Resumo!$C$10*CEILING(I98/100,1)</f>
        <v>1</v>
      </c>
      <c r="Q98" s="39" t="n">
        <f aca="false">Resumo!$C$9</f>
        <v>11.9</v>
      </c>
      <c r="R98" s="39" t="n">
        <f aca="false">SUM(M98:Q98)*Resumo!$C$11</f>
        <v>4.7966578</v>
      </c>
      <c r="S98" s="39" t="n">
        <f aca="false">SUM(M98:R98)</f>
        <v>92.0086178</v>
      </c>
      <c r="T98" s="39" t="n">
        <f aca="false">S98/(1-Resumo!$C$5)</f>
        <v>104.5552475</v>
      </c>
      <c r="U98" s="39" t="n">
        <v>93.97</v>
      </c>
      <c r="V98" s="39" t="n">
        <f aca="false">J98*Resumo!$B$6</f>
        <v>0.82799</v>
      </c>
      <c r="W98" s="39" t="n">
        <f aca="false">J98*Resumo!$B$7</f>
        <v>1.65598</v>
      </c>
      <c r="X98" s="39" t="n">
        <f aca="false">Resumo!$B$9</f>
        <v>1</v>
      </c>
      <c r="Y98" s="39" t="n">
        <f aca="false">Resumo!$B$10*CEILING(I98/100,1)</f>
        <v>4.5</v>
      </c>
      <c r="Z98" s="39" t="n">
        <f aca="false">Resumo!$B$12*CEILING(I98,1)</f>
        <v>2.88</v>
      </c>
      <c r="AA98" s="39" t="n">
        <f aca="false">Resumo!$B$13*CEILING(I98,1)</f>
        <v>21.6</v>
      </c>
      <c r="AB98" s="39" t="n">
        <f aca="false">SUM(U98:AA98)</f>
        <v>126.43397</v>
      </c>
      <c r="AC98" s="39" t="n">
        <f aca="false">AB98/(1-Resumo!$B$5)</f>
        <v>143.674965909091</v>
      </c>
      <c r="AD98" s="39" t="n">
        <f aca="false">(AB98-AA98)/(1-Resumo!$B$5)</f>
        <v>119.129511363636</v>
      </c>
      <c r="AE98" s="39" t="n">
        <f aca="false">AC98-T98</f>
        <v>39.1197184090909</v>
      </c>
      <c r="AF98" s="40" t="n">
        <f aca="false">AC98/T98-1</f>
        <v>0.374153563254593</v>
      </c>
      <c r="AG98" s="37" t="str">
        <f aca="false">IF(AC98&lt;T98,"SIM","NÃO")</f>
        <v>NÃO</v>
      </c>
      <c r="AH98" s="37" t="n">
        <v>8</v>
      </c>
      <c r="AI98" s="37" t="n">
        <v>5</v>
      </c>
      <c r="AJ98" s="37" t="s">
        <v>323</v>
      </c>
    </row>
    <row r="99" customFormat="false" ht="15" hidden="false" customHeight="false" outlineLevel="0" collapsed="false">
      <c r="A99" s="37" t="n">
        <v>356792563</v>
      </c>
      <c r="B99" s="38" t="n">
        <v>46212.6292708333</v>
      </c>
      <c r="C99" s="37" t="s">
        <v>320</v>
      </c>
      <c r="D99" s="37" t="s">
        <v>425</v>
      </c>
      <c r="E99" s="37" t="n">
        <v>22790550</v>
      </c>
      <c r="F99" s="37" t="s">
        <v>139</v>
      </c>
      <c r="G99" s="37" t="s">
        <v>198</v>
      </c>
      <c r="H99" s="37" t="s">
        <v>169</v>
      </c>
      <c r="I99" s="37" t="n">
        <v>37.2</v>
      </c>
      <c r="J99" s="39" t="n">
        <v>359.99</v>
      </c>
      <c r="K99" s="37" t="s">
        <v>322</v>
      </c>
      <c r="L99" s="39" t="n">
        <v>91.58</v>
      </c>
      <c r="M99" s="39" t="n">
        <v>62.05</v>
      </c>
      <c r="N99" s="39" t="n">
        <f aca="false">J99*Resumo!$C$7</f>
        <v>0.71998</v>
      </c>
      <c r="O99" s="39" t="n">
        <f aca="false">J99*Resumo!$C$8</f>
        <v>0.71998</v>
      </c>
      <c r="P99" s="39" t="n">
        <f aca="false">Resumo!$C$10*CEILING(I99/100,1)</f>
        <v>1</v>
      </c>
      <c r="Q99" s="39" t="n">
        <f aca="false">Resumo!$C$9</f>
        <v>11.9</v>
      </c>
      <c r="R99" s="39" t="n">
        <f aca="false">SUM(M99:Q99)*Resumo!$C$11</f>
        <v>4.2014478</v>
      </c>
      <c r="S99" s="39" t="n">
        <f aca="false">SUM(M99:R99)</f>
        <v>80.5914078</v>
      </c>
      <c r="T99" s="39" t="n">
        <f aca="false">S99/(1-Resumo!$C$5)</f>
        <v>91.5811452272727</v>
      </c>
      <c r="U99" s="39" t="n">
        <v>93.97</v>
      </c>
      <c r="V99" s="39" t="n">
        <f aca="false">J99*Resumo!$B$6</f>
        <v>0.35999</v>
      </c>
      <c r="W99" s="39" t="n">
        <f aca="false">J99*Resumo!$B$7</f>
        <v>0.71998</v>
      </c>
      <c r="X99" s="39" t="n">
        <f aca="false">Resumo!$B$9</f>
        <v>1</v>
      </c>
      <c r="Y99" s="39" t="n">
        <f aca="false">Resumo!$B$10*CEILING(I99/100,1)</f>
        <v>4.5</v>
      </c>
      <c r="Z99" s="39" t="n">
        <f aca="false">Resumo!$B$12*CEILING(I99,1)</f>
        <v>2.28</v>
      </c>
      <c r="AA99" s="39" t="n">
        <f aca="false">Resumo!$B$13*CEILING(I99,1)</f>
        <v>17.1</v>
      </c>
      <c r="AB99" s="39" t="n">
        <f aca="false">SUM(U99:AA99)</f>
        <v>119.92997</v>
      </c>
      <c r="AC99" s="39" t="n">
        <f aca="false">AB99/(1-Resumo!$B$5)</f>
        <v>136.284056818182</v>
      </c>
      <c r="AD99" s="39" t="n">
        <f aca="false">(AB99-AA99)/(1-Resumo!$B$5)</f>
        <v>116.852238636364</v>
      </c>
      <c r="AE99" s="39" t="n">
        <f aca="false">AC99-T99</f>
        <v>44.7029115909091</v>
      </c>
      <c r="AF99" s="40" t="n">
        <f aca="false">AC99/T99-1</f>
        <v>0.488123526736556</v>
      </c>
      <c r="AG99" s="37" t="str">
        <f aca="false">IF(AC99&lt;T99,"SIM","NÃO")</f>
        <v>NÃO</v>
      </c>
      <c r="AH99" s="37" t="n">
        <v>8</v>
      </c>
      <c r="AI99" s="37" t="n">
        <v>5</v>
      </c>
      <c r="AJ99" s="37" t="s">
        <v>323</v>
      </c>
    </row>
    <row r="100" customFormat="false" ht="15" hidden="false" customHeight="false" outlineLevel="0" collapsed="false">
      <c r="A100" s="37" t="n">
        <v>356797870</v>
      </c>
      <c r="B100" s="38" t="n">
        <v>46212.6403587963</v>
      </c>
      <c r="C100" s="37" t="s">
        <v>320</v>
      </c>
      <c r="D100" s="37" t="s">
        <v>426</v>
      </c>
      <c r="E100" s="37" t="n">
        <v>22790587</v>
      </c>
      <c r="F100" s="37" t="s">
        <v>139</v>
      </c>
      <c r="G100" s="37" t="s">
        <v>198</v>
      </c>
      <c r="H100" s="37" t="s">
        <v>170</v>
      </c>
      <c r="I100" s="37" t="n">
        <v>41</v>
      </c>
      <c r="J100" s="39" t="n">
        <v>515.19</v>
      </c>
      <c r="K100" s="37" t="s">
        <v>322</v>
      </c>
      <c r="L100" s="39" t="n">
        <v>103.06</v>
      </c>
      <c r="M100" s="39" t="n">
        <v>71</v>
      </c>
      <c r="N100" s="39" t="n">
        <f aca="false">J100*Resumo!$C$7</f>
        <v>1.03038</v>
      </c>
      <c r="O100" s="39" t="n">
        <f aca="false">J100*Resumo!$C$8</f>
        <v>1.03038</v>
      </c>
      <c r="P100" s="39" t="n">
        <f aca="false">Resumo!$C$10*CEILING(I100/100,1)</f>
        <v>1</v>
      </c>
      <c r="Q100" s="39" t="n">
        <f aca="false">Resumo!$C$9</f>
        <v>11.9</v>
      </c>
      <c r="R100" s="39" t="n">
        <f aca="false">SUM(M100:Q100)*Resumo!$C$11</f>
        <v>4.7278418</v>
      </c>
      <c r="S100" s="39" t="n">
        <f aca="false">SUM(M100:R100)</f>
        <v>90.6886018</v>
      </c>
      <c r="T100" s="39" t="n">
        <f aca="false">S100/(1-Resumo!$C$5)</f>
        <v>103.055229318182</v>
      </c>
      <c r="U100" s="39" t="n">
        <v>93.97</v>
      </c>
      <c r="V100" s="39" t="n">
        <f aca="false">J100*Resumo!$B$6</f>
        <v>0.51519</v>
      </c>
      <c r="W100" s="39" t="n">
        <f aca="false">J100*Resumo!$B$7</f>
        <v>1.03038</v>
      </c>
      <c r="X100" s="39" t="n">
        <f aca="false">Resumo!$B$9</f>
        <v>1</v>
      </c>
      <c r="Y100" s="39" t="n">
        <f aca="false">Resumo!$B$10*CEILING(I100/100,1)</f>
        <v>4.5</v>
      </c>
      <c r="Z100" s="39" t="n">
        <f aca="false">Resumo!$B$12*CEILING(I100,1)</f>
        <v>2.46</v>
      </c>
      <c r="AA100" s="39" t="n">
        <f aca="false">Resumo!$B$13*CEILING(I100,1)</f>
        <v>18.45</v>
      </c>
      <c r="AB100" s="39" t="n">
        <f aca="false">SUM(U100:AA100)</f>
        <v>121.92557</v>
      </c>
      <c r="AC100" s="39" t="n">
        <f aca="false">AB100/(1-Resumo!$B$5)</f>
        <v>138.551784090909</v>
      </c>
      <c r="AD100" s="39" t="n">
        <f aca="false">(AB100-AA100)/(1-Resumo!$B$5)</f>
        <v>117.585875</v>
      </c>
      <c r="AE100" s="39" t="n">
        <f aca="false">AC100-T100</f>
        <v>35.4965547727273</v>
      </c>
      <c r="AF100" s="40" t="n">
        <f aca="false">AC100/T100-1</f>
        <v>0.344442053135723</v>
      </c>
      <c r="AG100" s="37" t="str">
        <f aca="false">IF(AC100&lt;T100,"SIM","NÃO")</f>
        <v>NÃO</v>
      </c>
      <c r="AH100" s="37" t="n">
        <v>8</v>
      </c>
      <c r="AI100" s="37" t="n">
        <v>5</v>
      </c>
      <c r="AJ100" s="37" t="s">
        <v>323</v>
      </c>
    </row>
    <row r="101" customFormat="false" ht="15" hidden="false" customHeight="false" outlineLevel="0" collapsed="false">
      <c r="A101" s="37" t="n">
        <v>356878458</v>
      </c>
      <c r="B101" s="38" t="n">
        <v>46212.7845023148</v>
      </c>
      <c r="C101" s="37" t="s">
        <v>325</v>
      </c>
      <c r="D101" s="37" t="s">
        <v>427</v>
      </c>
      <c r="E101" s="37" t="n">
        <v>21665001</v>
      </c>
      <c r="F101" s="37" t="s">
        <v>139</v>
      </c>
      <c r="G101" s="37" t="s">
        <v>198</v>
      </c>
      <c r="H101" s="37" t="s">
        <v>172</v>
      </c>
      <c r="I101" s="37" t="n">
        <v>66.8</v>
      </c>
      <c r="J101" s="39" t="n">
        <v>606.87</v>
      </c>
      <c r="K101" s="37" t="s">
        <v>322</v>
      </c>
      <c r="L101" s="39" t="n">
        <v>124.1</v>
      </c>
      <c r="M101" s="39" t="n">
        <v>88.2</v>
      </c>
      <c r="N101" s="39" t="n">
        <f aca="false">J101*Resumo!$C$7</f>
        <v>1.21374</v>
      </c>
      <c r="O101" s="39" t="n">
        <f aca="false">J101*Resumo!$C$8</f>
        <v>1.21374</v>
      </c>
      <c r="P101" s="39" t="n">
        <f aca="false">Resumo!$C$10*CEILING(I101/100,1)</f>
        <v>1</v>
      </c>
      <c r="Q101" s="39" t="n">
        <f aca="false">Resumo!$C$9</f>
        <v>11.9</v>
      </c>
      <c r="R101" s="39" t="n">
        <f aca="false">SUM(M101:Q101)*Resumo!$C$11</f>
        <v>5.6940114</v>
      </c>
      <c r="S101" s="39" t="n">
        <f aca="false">SUM(M101:R101)</f>
        <v>109.2214914</v>
      </c>
      <c r="T101" s="39" t="n">
        <f aca="false">S101/(1-Resumo!$C$5)</f>
        <v>124.115331136364</v>
      </c>
      <c r="U101" s="39" t="n">
        <v>131.02</v>
      </c>
      <c r="V101" s="39" t="n">
        <f aca="false">J101*Resumo!$B$6</f>
        <v>0.60687</v>
      </c>
      <c r="W101" s="39" t="n">
        <f aca="false">J101*Resumo!$B$7</f>
        <v>1.21374</v>
      </c>
      <c r="X101" s="39" t="n">
        <f aca="false">Resumo!$B$9</f>
        <v>1</v>
      </c>
      <c r="Y101" s="39" t="n">
        <f aca="false">Resumo!$B$10*CEILING(I101/100,1)</f>
        <v>4.5</v>
      </c>
      <c r="Z101" s="39" t="n">
        <f aca="false">Resumo!$B$12*CEILING(I101,1)</f>
        <v>4.02</v>
      </c>
      <c r="AA101" s="39" t="n">
        <f aca="false">Resumo!$B$13*CEILING(I101,1)</f>
        <v>30.15</v>
      </c>
      <c r="AB101" s="39" t="n">
        <f aca="false">SUM(U101:AA101)</f>
        <v>172.51061</v>
      </c>
      <c r="AC101" s="39" t="n">
        <f aca="false">AB101/(1-Resumo!$B$5)</f>
        <v>196.034784090909</v>
      </c>
      <c r="AD101" s="39" t="n">
        <f aca="false">(AB101-AA101)/(1-Resumo!$B$5)</f>
        <v>161.773420454545</v>
      </c>
      <c r="AE101" s="39" t="n">
        <f aca="false">AC101-T101</f>
        <v>71.9194529545455</v>
      </c>
      <c r="AF101" s="40" t="n">
        <f aca="false">AC101/T101-1</f>
        <v>0.579456641625753</v>
      </c>
      <c r="AG101" s="37" t="str">
        <f aca="false">IF(AC101&lt;T101,"SIM","NÃO")</f>
        <v>NÃO</v>
      </c>
      <c r="AH101" s="37" t="n">
        <v>8</v>
      </c>
      <c r="AI101" s="37" t="n">
        <v>5</v>
      </c>
      <c r="AJ101" s="37" t="s">
        <v>323</v>
      </c>
    </row>
    <row r="102" customFormat="false" ht="15" hidden="false" customHeight="false" outlineLevel="0" collapsed="false">
      <c r="A102" s="37" t="n">
        <v>356879520</v>
      </c>
      <c r="B102" s="38" t="n">
        <v>46212.7866782407</v>
      </c>
      <c r="C102" s="37" t="s">
        <v>320</v>
      </c>
      <c r="D102" s="37" t="s">
        <v>428</v>
      </c>
      <c r="E102" s="37" t="n">
        <v>25995290</v>
      </c>
      <c r="F102" s="37" t="s">
        <v>221</v>
      </c>
      <c r="G102" s="37" t="s">
        <v>201</v>
      </c>
      <c r="H102" s="37" t="s">
        <v>168</v>
      </c>
      <c r="I102" s="37" t="n">
        <v>34.4</v>
      </c>
      <c r="J102" s="39" t="n">
        <v>404.99</v>
      </c>
      <c r="K102" s="37" t="s">
        <v>322</v>
      </c>
      <c r="L102" s="39" t="n">
        <v>109.13</v>
      </c>
      <c r="M102" s="39" t="n">
        <v>76.5</v>
      </c>
      <c r="N102" s="39" t="n">
        <f aca="false">J102*Resumo!$C$7</f>
        <v>0.80998</v>
      </c>
      <c r="O102" s="39" t="n">
        <f aca="false">J102*Resumo!$C$8</f>
        <v>0.80998</v>
      </c>
      <c r="P102" s="39" t="n">
        <f aca="false">Resumo!$C$10*CEILING(I102/100,1)</f>
        <v>1</v>
      </c>
      <c r="Q102" s="39" t="n">
        <f aca="false">Resumo!$C$9</f>
        <v>11.9</v>
      </c>
      <c r="R102" s="39" t="n">
        <f aca="false">SUM(M102:Q102)*Resumo!$C$11</f>
        <v>5.0060978</v>
      </c>
      <c r="S102" s="39" t="n">
        <f aca="false">SUM(M102:R102)</f>
        <v>96.0260578</v>
      </c>
      <c r="T102" s="39" t="n">
        <f aca="false">S102/(1-Resumo!$C$5)</f>
        <v>109.120520227273</v>
      </c>
      <c r="U102" s="39" t="n">
        <v>120.78</v>
      </c>
      <c r="V102" s="39" t="n">
        <f aca="false">J102*Resumo!$B$6</f>
        <v>0.40499</v>
      </c>
      <c r="W102" s="39" t="n">
        <f aca="false">J102*Resumo!$B$7</f>
        <v>0.80998</v>
      </c>
      <c r="X102" s="39" t="n">
        <f aca="false">Resumo!$B$9</f>
        <v>1</v>
      </c>
      <c r="Y102" s="39" t="n">
        <f aca="false">Resumo!$B$10*CEILING(I102/100,1)</f>
        <v>4.5</v>
      </c>
      <c r="Z102" s="39" t="n">
        <f aca="false">Resumo!$B$12*CEILING(I102,1)</f>
        <v>2.1</v>
      </c>
      <c r="AA102" s="39" t="n">
        <f aca="false">Resumo!$B$13*CEILING(I102,1)</f>
        <v>15.75</v>
      </c>
      <c r="AB102" s="39" t="n">
        <f aca="false">SUM(U102:AA102)</f>
        <v>145.34497</v>
      </c>
      <c r="AC102" s="39" t="n">
        <f aca="false">AB102/(1-Resumo!$B$5)</f>
        <v>165.164738636364</v>
      </c>
      <c r="AD102" s="39" t="n">
        <f aca="false">(AB102-AA102)/(1-Resumo!$B$5)</f>
        <v>147.267011363636</v>
      </c>
      <c r="AE102" s="39" t="n">
        <f aca="false">AC102-T102</f>
        <v>56.0442184090909</v>
      </c>
      <c r="AF102" s="40" t="n">
        <f aca="false">AC102/T102-1</f>
        <v>0.513599259720938</v>
      </c>
      <c r="AG102" s="37" t="str">
        <f aca="false">IF(AC102&lt;T102,"SIM","NÃO")</f>
        <v>NÃO</v>
      </c>
      <c r="AH102" s="37" t="n">
        <v>13</v>
      </c>
      <c r="AI102" s="37" t="n">
        <v>10</v>
      </c>
      <c r="AJ102" s="37" t="s">
        <v>327</v>
      </c>
    </row>
    <row r="103" customFormat="false" ht="15" hidden="false" customHeight="false" outlineLevel="0" collapsed="false">
      <c r="A103" s="37" t="n">
        <v>356921852</v>
      </c>
      <c r="B103" s="38" t="n">
        <v>46212.8819907407</v>
      </c>
      <c r="C103" s="37" t="s">
        <v>352</v>
      </c>
      <c r="D103" s="37" t="s">
        <v>429</v>
      </c>
      <c r="E103" s="37" t="n">
        <v>20530003</v>
      </c>
      <c r="F103" s="37" t="s">
        <v>139</v>
      </c>
      <c r="G103" s="37" t="s">
        <v>198</v>
      </c>
      <c r="H103" s="37" t="s">
        <v>170</v>
      </c>
      <c r="I103" s="37" t="n">
        <v>44.5</v>
      </c>
      <c r="J103" s="39" t="n">
        <v>819.99</v>
      </c>
      <c r="K103" s="37" t="s">
        <v>322</v>
      </c>
      <c r="L103" s="39" t="n">
        <v>104.51</v>
      </c>
      <c r="M103" s="39" t="n">
        <v>71</v>
      </c>
      <c r="N103" s="39" t="n">
        <f aca="false">J103*Resumo!$C$7</f>
        <v>1.63998</v>
      </c>
      <c r="O103" s="39" t="n">
        <f aca="false">J103*Resumo!$C$8</f>
        <v>1.63998</v>
      </c>
      <c r="P103" s="39" t="n">
        <f aca="false">Resumo!$C$10*CEILING(I103/100,1)</f>
        <v>1</v>
      </c>
      <c r="Q103" s="39" t="n">
        <f aca="false">Resumo!$C$9</f>
        <v>11.9</v>
      </c>
      <c r="R103" s="39" t="n">
        <f aca="false">SUM(M103:Q103)*Resumo!$C$11</f>
        <v>4.7948978</v>
      </c>
      <c r="S103" s="39" t="n">
        <f aca="false">SUM(M103:R103)</f>
        <v>91.9748578</v>
      </c>
      <c r="T103" s="39" t="n">
        <f aca="false">S103/(1-Resumo!$C$5)</f>
        <v>104.516883863636</v>
      </c>
      <c r="U103" s="39" t="n">
        <v>93.97</v>
      </c>
      <c r="V103" s="39" t="n">
        <f aca="false">J103*Resumo!$B$6</f>
        <v>0.81999</v>
      </c>
      <c r="W103" s="39" t="n">
        <f aca="false">J103*Resumo!$B$7</f>
        <v>1.63998</v>
      </c>
      <c r="X103" s="39" t="n">
        <f aca="false">Resumo!$B$9</f>
        <v>1</v>
      </c>
      <c r="Y103" s="39" t="n">
        <f aca="false">Resumo!$B$10*CEILING(I103/100,1)</f>
        <v>4.5</v>
      </c>
      <c r="Z103" s="39" t="n">
        <f aca="false">Resumo!$B$12*CEILING(I103,1)</f>
        <v>2.7</v>
      </c>
      <c r="AA103" s="39" t="n">
        <f aca="false">Resumo!$B$13*CEILING(I103,1)</f>
        <v>20.25</v>
      </c>
      <c r="AB103" s="39" t="n">
        <f aca="false">SUM(U103:AA103)</f>
        <v>124.87997</v>
      </c>
      <c r="AC103" s="39" t="n">
        <f aca="false">AB103/(1-Resumo!$B$5)</f>
        <v>141.909056818182</v>
      </c>
      <c r="AD103" s="39" t="n">
        <f aca="false">(AB103-AA103)/(1-Resumo!$B$5)</f>
        <v>118.897693181818</v>
      </c>
      <c r="AE103" s="39" t="n">
        <f aca="false">AC103-T103</f>
        <v>37.3921729545455</v>
      </c>
      <c r="AF103" s="40" t="n">
        <f aca="false">AC103/T103-1</f>
        <v>0.357762033963156</v>
      </c>
      <c r="AG103" s="37" t="str">
        <f aca="false">IF(AC103&lt;T103,"SIM","NÃO")</f>
        <v>NÃO</v>
      </c>
      <c r="AH103" s="37" t="n">
        <v>8</v>
      </c>
      <c r="AI103" s="37" t="n">
        <v>5</v>
      </c>
      <c r="AJ103" s="37" t="s">
        <v>323</v>
      </c>
    </row>
    <row r="104" customFormat="false" ht="15" hidden="false" customHeight="false" outlineLevel="0" collapsed="false">
      <c r="A104" s="37" t="n">
        <v>356924121</v>
      </c>
      <c r="B104" s="38" t="n">
        <v>46212.8863194444</v>
      </c>
      <c r="C104" s="37" t="s">
        <v>320</v>
      </c>
      <c r="D104" s="37" t="s">
        <v>430</v>
      </c>
      <c r="E104" s="37" t="n">
        <v>24744010</v>
      </c>
      <c r="F104" s="37" t="s">
        <v>140</v>
      </c>
      <c r="G104" s="37" t="s">
        <v>207</v>
      </c>
      <c r="H104" s="37" t="s">
        <v>172</v>
      </c>
      <c r="I104" s="37" t="n">
        <v>66.8</v>
      </c>
      <c r="J104" s="39" t="n">
        <v>643.99</v>
      </c>
      <c r="K104" s="37" t="s">
        <v>322</v>
      </c>
      <c r="L104" s="39" t="n">
        <v>139.52</v>
      </c>
      <c r="M104" s="39" t="n">
        <v>100.9</v>
      </c>
      <c r="N104" s="39" t="n">
        <f aca="false">J104*Resumo!$C$7</f>
        <v>1.28798</v>
      </c>
      <c r="O104" s="39" t="n">
        <f aca="false">J104*Resumo!$C$8</f>
        <v>1.28798</v>
      </c>
      <c r="P104" s="39" t="n">
        <f aca="false">Resumo!$C$10*CEILING(I104/100,1)</f>
        <v>1</v>
      </c>
      <c r="Q104" s="39" t="n">
        <f aca="false">Resumo!$C$9</f>
        <v>11.9</v>
      </c>
      <c r="R104" s="39" t="n">
        <f aca="false">SUM(M104:Q104)*Resumo!$C$11</f>
        <v>6.4006778</v>
      </c>
      <c r="S104" s="39" t="n">
        <f aca="false">SUM(M104:R104)</f>
        <v>122.7766378</v>
      </c>
      <c r="T104" s="39" t="n">
        <f aca="false">S104/(1-Resumo!$C$5)</f>
        <v>139.518906590909</v>
      </c>
      <c r="U104" s="39" t="n">
        <v>149.5</v>
      </c>
      <c r="V104" s="39" t="n">
        <f aca="false">J104*Resumo!$B$6</f>
        <v>0.64399</v>
      </c>
      <c r="W104" s="39" t="n">
        <f aca="false">J104*Resumo!$B$7</f>
        <v>1.28798</v>
      </c>
      <c r="X104" s="39" t="n">
        <f aca="false">Resumo!$B$9</f>
        <v>1</v>
      </c>
      <c r="Y104" s="39" t="n">
        <f aca="false">Resumo!$B$10*CEILING(I104/100,1)</f>
        <v>4.5</v>
      </c>
      <c r="Z104" s="39" t="n">
        <f aca="false">Resumo!$B$12*CEILING(I104,1)</f>
        <v>4.02</v>
      </c>
      <c r="AA104" s="39" t="n">
        <f aca="false">Resumo!$B$13*CEILING(I104,1)</f>
        <v>30.15</v>
      </c>
      <c r="AB104" s="39" t="n">
        <f aca="false">SUM(U104:AA104)</f>
        <v>191.10197</v>
      </c>
      <c r="AC104" s="39" t="n">
        <f aca="false">AB104/(1-Resumo!$B$5)</f>
        <v>217.161329545455</v>
      </c>
      <c r="AD104" s="39" t="n">
        <f aca="false">(AB104-AA104)/(1-Resumo!$B$5)</f>
        <v>182.899965909091</v>
      </c>
      <c r="AE104" s="39" t="n">
        <f aca="false">AC104-T104</f>
        <v>77.6424229545455</v>
      </c>
      <c r="AF104" s="40" t="n">
        <f aca="false">AC104/T104-1</f>
        <v>0.556501085420666</v>
      </c>
      <c r="AG104" s="37" t="str">
        <f aca="false">IF(AC104&lt;T104,"SIM","NÃO")</f>
        <v>NÃO</v>
      </c>
      <c r="AH104" s="37" t="n">
        <v>10</v>
      </c>
      <c r="AI104" s="37" t="n">
        <v>7</v>
      </c>
      <c r="AJ104" s="37" t="s">
        <v>323</v>
      </c>
    </row>
    <row r="105" customFormat="false" ht="15" hidden="false" customHeight="false" outlineLevel="0" collapsed="false">
      <c r="A105" s="37" t="n">
        <v>356923422</v>
      </c>
      <c r="B105" s="38" t="n">
        <v>46212.8879513889</v>
      </c>
      <c r="C105" s="37" t="s">
        <v>341</v>
      </c>
      <c r="D105" s="37" t="s">
        <v>431</v>
      </c>
      <c r="E105" s="37" t="n">
        <v>24344487</v>
      </c>
      <c r="F105" s="37" t="s">
        <v>143</v>
      </c>
      <c r="G105" s="37" t="s">
        <v>207</v>
      </c>
      <c r="H105" s="37" t="s">
        <v>172</v>
      </c>
      <c r="I105" s="37" t="n">
        <v>69</v>
      </c>
      <c r="J105" s="39" t="n">
        <v>859.99</v>
      </c>
      <c r="K105" s="37" t="s">
        <v>322</v>
      </c>
      <c r="L105" s="39" t="n">
        <v>140.56</v>
      </c>
      <c r="M105" s="39" t="n">
        <v>100.9</v>
      </c>
      <c r="N105" s="39" t="n">
        <f aca="false">J105*Resumo!$C$7</f>
        <v>1.71998</v>
      </c>
      <c r="O105" s="39" t="n">
        <f aca="false">J105*Resumo!$C$8</f>
        <v>1.71998</v>
      </c>
      <c r="P105" s="39" t="n">
        <f aca="false">Resumo!$C$10*CEILING(I105/100,1)</f>
        <v>1</v>
      </c>
      <c r="Q105" s="39" t="n">
        <f aca="false">Resumo!$C$9</f>
        <v>11.9</v>
      </c>
      <c r="R105" s="39" t="n">
        <f aca="false">SUM(M105:Q105)*Resumo!$C$11</f>
        <v>6.4481978</v>
      </c>
      <c r="S105" s="39" t="n">
        <f aca="false">SUM(M105:R105)</f>
        <v>123.6881578</v>
      </c>
      <c r="T105" s="39" t="n">
        <f aca="false">S105/(1-Resumo!$C$5)</f>
        <v>140.554724772727</v>
      </c>
      <c r="U105" s="39" t="n">
        <v>149.5</v>
      </c>
      <c r="V105" s="39" t="n">
        <f aca="false">J105*Resumo!$B$6</f>
        <v>0.85999</v>
      </c>
      <c r="W105" s="39" t="n">
        <f aca="false">J105*Resumo!$B$7</f>
        <v>1.71998</v>
      </c>
      <c r="X105" s="39" t="n">
        <f aca="false">Resumo!$B$9</f>
        <v>1</v>
      </c>
      <c r="Y105" s="39" t="n">
        <f aca="false">Resumo!$B$10*CEILING(I105/100,1)</f>
        <v>4.5</v>
      </c>
      <c r="Z105" s="39" t="n">
        <f aca="false">Resumo!$B$12*CEILING(I105,1)</f>
        <v>4.14</v>
      </c>
      <c r="AA105" s="39" t="n">
        <f aca="false">Resumo!$B$13*CEILING(I105,1)</f>
        <v>31.05</v>
      </c>
      <c r="AB105" s="39" t="n">
        <f aca="false">SUM(U105:AA105)</f>
        <v>192.76997</v>
      </c>
      <c r="AC105" s="39" t="n">
        <f aca="false">AB105/(1-Resumo!$B$5)</f>
        <v>219.056784090909</v>
      </c>
      <c r="AD105" s="39" t="n">
        <f aca="false">(AB105-AA105)/(1-Resumo!$B$5)</f>
        <v>183.772693181818</v>
      </c>
      <c r="AE105" s="39" t="n">
        <f aca="false">AC105-T105</f>
        <v>78.5020593181818</v>
      </c>
      <c r="AF105" s="40" t="n">
        <f aca="false">AC105/T105-1</f>
        <v>0.558515976215792</v>
      </c>
      <c r="AG105" s="37" t="str">
        <f aca="false">IF(AC105&lt;T105,"SIM","NÃO")</f>
        <v>NÃO</v>
      </c>
      <c r="AH105" s="37" t="n">
        <v>10</v>
      </c>
      <c r="AI105" s="37" t="n">
        <v>7</v>
      </c>
      <c r="AJ105" s="37" t="s">
        <v>323</v>
      </c>
    </row>
    <row r="106" customFormat="false" ht="15" hidden="false" customHeight="false" outlineLevel="0" collapsed="false">
      <c r="A106" s="37" t="n">
        <v>356938911</v>
      </c>
      <c r="B106" s="38" t="n">
        <v>46212.9213657407</v>
      </c>
      <c r="C106" s="37" t="s">
        <v>320</v>
      </c>
      <c r="D106" s="37" t="s">
        <v>432</v>
      </c>
      <c r="E106" s="37" t="n">
        <v>27602270</v>
      </c>
      <c r="F106" s="37" t="s">
        <v>239</v>
      </c>
      <c r="G106" s="37" t="s">
        <v>201</v>
      </c>
      <c r="H106" s="37" t="s">
        <v>171</v>
      </c>
      <c r="I106" s="37" t="n">
        <v>52.3</v>
      </c>
      <c r="J106" s="39" t="n">
        <v>643.99</v>
      </c>
      <c r="K106" s="37" t="s">
        <v>322</v>
      </c>
      <c r="L106" s="39" t="n">
        <v>142.76</v>
      </c>
      <c r="M106" s="39" t="n">
        <v>103.6</v>
      </c>
      <c r="N106" s="39" t="n">
        <f aca="false">J106*Resumo!$C$7</f>
        <v>1.28798</v>
      </c>
      <c r="O106" s="39" t="n">
        <f aca="false">J106*Resumo!$C$8</f>
        <v>1.28798</v>
      </c>
      <c r="P106" s="39" t="n">
        <f aca="false">Resumo!$C$10*CEILING(I106/100,1)</f>
        <v>1</v>
      </c>
      <c r="Q106" s="39" t="n">
        <f aca="false">Resumo!$C$9</f>
        <v>11.9</v>
      </c>
      <c r="R106" s="39" t="n">
        <f aca="false">SUM(M106:Q106)*Resumo!$C$11</f>
        <v>6.5491778</v>
      </c>
      <c r="S106" s="39" t="n">
        <f aca="false">SUM(M106:R106)</f>
        <v>125.6251378</v>
      </c>
      <c r="T106" s="39" t="n">
        <f aca="false">S106/(1-Resumo!$C$5)</f>
        <v>142.755838409091</v>
      </c>
      <c r="U106" s="39" t="n">
        <v>142.32</v>
      </c>
      <c r="V106" s="39" t="n">
        <f aca="false">J106*Resumo!$B$6</f>
        <v>0.64399</v>
      </c>
      <c r="W106" s="39" t="n">
        <f aca="false">J106*Resumo!$B$7</f>
        <v>1.28798</v>
      </c>
      <c r="X106" s="39" t="n">
        <f aca="false">Resumo!$B$9</f>
        <v>1</v>
      </c>
      <c r="Y106" s="39" t="n">
        <f aca="false">Resumo!$B$10*CEILING(I106/100,1)</f>
        <v>4.5</v>
      </c>
      <c r="Z106" s="39" t="n">
        <f aca="false">Resumo!$B$12*CEILING(I106,1)</f>
        <v>3.18</v>
      </c>
      <c r="AA106" s="39" t="n">
        <f aca="false">Resumo!$B$13*CEILING(I106,1)</f>
        <v>23.85</v>
      </c>
      <c r="AB106" s="39" t="n">
        <f aca="false">SUM(U106:AA106)</f>
        <v>176.78197</v>
      </c>
      <c r="AC106" s="39" t="n">
        <f aca="false">AB106/(1-Resumo!$B$5)</f>
        <v>200.888602272727</v>
      </c>
      <c r="AD106" s="39" t="n">
        <f aca="false">(AB106-AA106)/(1-Resumo!$B$5)</f>
        <v>173.786329545455</v>
      </c>
      <c r="AE106" s="39" t="n">
        <f aca="false">AC106-T106</f>
        <v>58.1327638636364</v>
      </c>
      <c r="AF106" s="40" t="n">
        <f aca="false">AC106/T106-1</f>
        <v>0.407218118092285</v>
      </c>
      <c r="AG106" s="37" t="str">
        <f aca="false">IF(AC106&lt;T106,"SIM","NÃO")</f>
        <v>NÃO</v>
      </c>
      <c r="AH106" s="37" t="n">
        <v>13</v>
      </c>
      <c r="AI106" s="37" t="n">
        <v>10</v>
      </c>
      <c r="AJ106" s="37" t="s">
        <v>327</v>
      </c>
    </row>
    <row r="107" customFormat="false" ht="15" hidden="false" customHeight="false" outlineLevel="0" collapsed="false">
      <c r="A107" s="37" t="n">
        <v>356958229</v>
      </c>
      <c r="B107" s="38" t="n">
        <v>46212.9667939815</v>
      </c>
      <c r="C107" s="37" t="s">
        <v>320</v>
      </c>
      <c r="D107" s="37" t="s">
        <v>433</v>
      </c>
      <c r="E107" s="37" t="n">
        <v>21381350</v>
      </c>
      <c r="F107" s="37" t="s">
        <v>139</v>
      </c>
      <c r="G107" s="37" t="s">
        <v>198</v>
      </c>
      <c r="H107" s="37" t="s">
        <v>171</v>
      </c>
      <c r="I107" s="37" t="n">
        <v>52.3</v>
      </c>
      <c r="J107" s="39" t="n">
        <v>643.99</v>
      </c>
      <c r="K107" s="37" t="s">
        <v>322</v>
      </c>
      <c r="L107" s="39" t="n">
        <v>114.24</v>
      </c>
      <c r="M107" s="39" t="n">
        <v>79.81</v>
      </c>
      <c r="N107" s="39" t="n">
        <f aca="false">J107*Resumo!$C$7</f>
        <v>1.28798</v>
      </c>
      <c r="O107" s="39" t="n">
        <f aca="false">J107*Resumo!$C$8</f>
        <v>1.28798</v>
      </c>
      <c r="P107" s="39" t="n">
        <f aca="false">Resumo!$C$10*CEILING(I107/100,1)</f>
        <v>1</v>
      </c>
      <c r="Q107" s="39" t="n">
        <f aca="false">Resumo!$C$9</f>
        <v>11.9</v>
      </c>
      <c r="R107" s="39" t="n">
        <f aca="false">SUM(M107:Q107)*Resumo!$C$11</f>
        <v>5.2407278</v>
      </c>
      <c r="S107" s="39" t="n">
        <f aca="false">SUM(M107:R107)</f>
        <v>100.5266878</v>
      </c>
      <c r="T107" s="39" t="n">
        <f aca="false">S107/(1-Resumo!$C$5)</f>
        <v>114.2348725</v>
      </c>
      <c r="U107" s="39" t="n">
        <v>112.3</v>
      </c>
      <c r="V107" s="39" t="n">
        <f aca="false">J107*Resumo!$B$6</f>
        <v>0.64399</v>
      </c>
      <c r="W107" s="39" t="n">
        <f aca="false">J107*Resumo!$B$7</f>
        <v>1.28798</v>
      </c>
      <c r="X107" s="39" t="n">
        <f aca="false">Resumo!$B$9</f>
        <v>1</v>
      </c>
      <c r="Y107" s="39" t="n">
        <f aca="false">Resumo!$B$10*CEILING(I107/100,1)</f>
        <v>4.5</v>
      </c>
      <c r="Z107" s="39" t="n">
        <f aca="false">Resumo!$B$12*CEILING(I107,1)</f>
        <v>3.18</v>
      </c>
      <c r="AA107" s="39" t="n">
        <f aca="false">Resumo!$B$13*CEILING(I107,1)</f>
        <v>23.85</v>
      </c>
      <c r="AB107" s="39" t="n">
        <f aca="false">SUM(U107:AA107)</f>
        <v>146.76197</v>
      </c>
      <c r="AC107" s="39" t="n">
        <f aca="false">AB107/(1-Resumo!$B$5)</f>
        <v>166.774965909091</v>
      </c>
      <c r="AD107" s="39" t="n">
        <f aca="false">(AB107-AA107)/(1-Resumo!$B$5)</f>
        <v>139.672693181818</v>
      </c>
      <c r="AE107" s="39" t="n">
        <f aca="false">AC107-T107</f>
        <v>52.5400934090909</v>
      </c>
      <c r="AF107" s="40" t="n">
        <f aca="false">AC107/T107-1</f>
        <v>0.459930424565326</v>
      </c>
      <c r="AG107" s="37" t="str">
        <f aca="false">IF(AC107&lt;T107,"SIM","NÃO")</f>
        <v>NÃO</v>
      </c>
      <c r="AH107" s="37" t="n">
        <v>8</v>
      </c>
      <c r="AI107" s="37" t="n">
        <v>5</v>
      </c>
      <c r="AJ107" s="37" t="s">
        <v>323</v>
      </c>
    </row>
    <row r="108" customFormat="false" ht="15" hidden="false" customHeight="false" outlineLevel="0" collapsed="false">
      <c r="A108" s="37" t="n">
        <v>356962698</v>
      </c>
      <c r="B108" s="38" t="n">
        <v>46212.9798611111</v>
      </c>
      <c r="C108" s="37" t="s">
        <v>320</v>
      </c>
      <c r="D108" s="37" t="s">
        <v>434</v>
      </c>
      <c r="E108" s="37" t="n">
        <v>28200000</v>
      </c>
      <c r="F108" s="37" t="s">
        <v>245</v>
      </c>
      <c r="G108" s="37" t="s">
        <v>201</v>
      </c>
      <c r="H108" s="37" t="s">
        <v>169</v>
      </c>
      <c r="I108" s="37" t="n">
        <v>40</v>
      </c>
      <c r="J108" s="39" t="n">
        <v>599.99</v>
      </c>
      <c r="K108" s="37" t="s">
        <v>322</v>
      </c>
      <c r="L108" s="39" t="n">
        <v>123.13</v>
      </c>
      <c r="M108" s="39" t="n">
        <v>87.4</v>
      </c>
      <c r="N108" s="39" t="n">
        <f aca="false">J108*Resumo!$C$7</f>
        <v>1.19998</v>
      </c>
      <c r="O108" s="39" t="n">
        <f aca="false">J108*Resumo!$C$8</f>
        <v>1.19998</v>
      </c>
      <c r="P108" s="39" t="n">
        <f aca="false">Resumo!$C$10*CEILING(I108/100,1)</f>
        <v>1</v>
      </c>
      <c r="Q108" s="39" t="n">
        <f aca="false">Resumo!$C$9</f>
        <v>11.9</v>
      </c>
      <c r="R108" s="39" t="n">
        <f aca="false">SUM(M108:Q108)*Resumo!$C$11</f>
        <v>5.6484978</v>
      </c>
      <c r="S108" s="39" t="n">
        <f aca="false">SUM(M108:R108)</f>
        <v>108.3484578</v>
      </c>
      <c r="T108" s="39" t="n">
        <f aca="false">S108/(1-Resumo!$C$5)</f>
        <v>123.1232475</v>
      </c>
      <c r="U108" s="39" t="n">
        <v>143.04</v>
      </c>
      <c r="V108" s="39" t="n">
        <f aca="false">J108*Resumo!$B$6</f>
        <v>0.59999</v>
      </c>
      <c r="W108" s="39" t="n">
        <f aca="false">J108*Resumo!$B$7</f>
        <v>1.19998</v>
      </c>
      <c r="X108" s="39" t="n">
        <f aca="false">Resumo!$B$9</f>
        <v>1</v>
      </c>
      <c r="Y108" s="39" t="n">
        <f aca="false">Resumo!$B$10*CEILING(I108/100,1)</f>
        <v>4.5</v>
      </c>
      <c r="Z108" s="39" t="n">
        <f aca="false">Resumo!$B$12*CEILING(I108,1)</f>
        <v>2.4</v>
      </c>
      <c r="AA108" s="39" t="n">
        <f aca="false">Resumo!$B$13*CEILING(I108,1)</f>
        <v>18</v>
      </c>
      <c r="AB108" s="39" t="n">
        <f aca="false">SUM(U108:AA108)</f>
        <v>170.73997</v>
      </c>
      <c r="AC108" s="39" t="n">
        <f aca="false">AB108/(1-Resumo!$B$5)</f>
        <v>194.022693181818</v>
      </c>
      <c r="AD108" s="39" t="n">
        <f aca="false">(AB108-AA108)/(1-Resumo!$B$5)</f>
        <v>173.568147727273</v>
      </c>
      <c r="AE108" s="39" t="n">
        <f aca="false">AC108-T108</f>
        <v>70.8994456818182</v>
      </c>
      <c r="AF108" s="40" t="n">
        <f aca="false">AC108/T108-1</f>
        <v>0.575841257613175</v>
      </c>
      <c r="AG108" s="37" t="str">
        <f aca="false">IF(AC108&lt;T108,"SIM","NÃO")</f>
        <v>NÃO</v>
      </c>
      <c r="AH108" s="37" t="n">
        <v>13</v>
      </c>
      <c r="AI108" s="37" t="n">
        <v>11</v>
      </c>
      <c r="AJ108" s="37" t="s">
        <v>327</v>
      </c>
    </row>
    <row r="109" customFormat="false" ht="15" hidden="false" customHeight="false" outlineLevel="0" collapsed="false">
      <c r="A109" s="37" t="n">
        <v>356972163</v>
      </c>
      <c r="B109" s="38" t="n">
        <v>46213.0104166667</v>
      </c>
      <c r="C109" s="37" t="s">
        <v>325</v>
      </c>
      <c r="D109" s="37" t="s">
        <v>435</v>
      </c>
      <c r="E109" s="37" t="n">
        <v>25251210</v>
      </c>
      <c r="F109" s="37" t="s">
        <v>141</v>
      </c>
      <c r="G109" s="37" t="s">
        <v>207</v>
      </c>
      <c r="H109" s="37" t="s">
        <v>170</v>
      </c>
      <c r="I109" s="37" t="n">
        <v>48</v>
      </c>
      <c r="J109" s="39" t="n">
        <v>899.98</v>
      </c>
      <c r="K109" s="37" t="s">
        <v>322</v>
      </c>
      <c r="L109" s="39" t="n">
        <v>118.39</v>
      </c>
      <c r="M109" s="39" t="n">
        <v>82.25</v>
      </c>
      <c r="N109" s="39" t="n">
        <f aca="false">J109*Resumo!$C$7</f>
        <v>1.79996</v>
      </c>
      <c r="O109" s="39" t="n">
        <f aca="false">J109*Resumo!$C$8</f>
        <v>1.79996</v>
      </c>
      <c r="P109" s="39" t="n">
        <f aca="false">Resumo!$C$10*CEILING(I109/100,1)</f>
        <v>1</v>
      </c>
      <c r="Q109" s="39" t="n">
        <f aca="false">Resumo!$C$9</f>
        <v>11.9</v>
      </c>
      <c r="R109" s="39" t="n">
        <f aca="false">SUM(M109:Q109)*Resumo!$C$11</f>
        <v>5.4312456</v>
      </c>
      <c r="S109" s="39" t="n">
        <f aca="false">SUM(M109:R109)</f>
        <v>104.1811656</v>
      </c>
      <c r="T109" s="39" t="n">
        <f aca="false">S109/(1-Resumo!$C$5)</f>
        <v>118.387688181818</v>
      </c>
      <c r="U109" s="39" t="n">
        <v>93.97</v>
      </c>
      <c r="V109" s="39" t="n">
        <f aca="false">J109*Resumo!$B$6</f>
        <v>0.89998</v>
      </c>
      <c r="W109" s="39" t="n">
        <f aca="false">J109*Resumo!$B$7</f>
        <v>1.79996</v>
      </c>
      <c r="X109" s="39" t="n">
        <f aca="false">Resumo!$B$9</f>
        <v>1</v>
      </c>
      <c r="Y109" s="39" t="n">
        <f aca="false">Resumo!$B$10*CEILING(I109/100,1)</f>
        <v>4.5</v>
      </c>
      <c r="Z109" s="39" t="n">
        <f aca="false">Resumo!$B$12*CEILING(I109,1)</f>
        <v>2.88</v>
      </c>
      <c r="AA109" s="39" t="n">
        <f aca="false">Resumo!$B$13*CEILING(I109,1)</f>
        <v>21.6</v>
      </c>
      <c r="AB109" s="39" t="n">
        <f aca="false">SUM(U109:AA109)</f>
        <v>126.64994</v>
      </c>
      <c r="AC109" s="39" t="n">
        <f aca="false">AB109/(1-Resumo!$B$5)</f>
        <v>143.920386363636</v>
      </c>
      <c r="AD109" s="39" t="n">
        <f aca="false">(AB109-AA109)/(1-Resumo!$B$5)</f>
        <v>119.374931818182</v>
      </c>
      <c r="AE109" s="39" t="n">
        <f aca="false">AC109-T109</f>
        <v>25.5326981818182</v>
      </c>
      <c r="AF109" s="40" t="n">
        <f aca="false">AC109/T109-1</f>
        <v>0.215670215154513</v>
      </c>
      <c r="AG109" s="37" t="str">
        <f aca="false">IF(AC109&lt;T109,"SIM","NÃO")</f>
        <v>NÃO</v>
      </c>
      <c r="AH109" s="37" t="n">
        <v>10</v>
      </c>
      <c r="AI109" s="37" t="n">
        <v>5</v>
      </c>
      <c r="AJ109" s="37" t="s">
        <v>323</v>
      </c>
    </row>
    <row r="110" customFormat="false" ht="15" hidden="false" customHeight="false" outlineLevel="0" collapsed="false">
      <c r="A110" s="37" t="n">
        <v>357062226</v>
      </c>
      <c r="B110" s="38" t="n">
        <v>46213.0746527778</v>
      </c>
      <c r="C110" s="37" t="s">
        <v>352</v>
      </c>
      <c r="D110" s="37" t="s">
        <v>436</v>
      </c>
      <c r="E110" s="37" t="n">
        <v>21531450</v>
      </c>
      <c r="F110" s="37" t="s">
        <v>139</v>
      </c>
      <c r="G110" s="37" t="s">
        <v>198</v>
      </c>
      <c r="H110" s="37" t="s">
        <v>172</v>
      </c>
      <c r="I110" s="37" t="n">
        <v>69</v>
      </c>
      <c r="J110" s="39" t="n">
        <v>695.99</v>
      </c>
      <c r="K110" s="37" t="s">
        <v>322</v>
      </c>
      <c r="L110" s="39" t="n">
        <v>124.53</v>
      </c>
      <c r="M110" s="39" t="n">
        <v>88.2</v>
      </c>
      <c r="N110" s="39" t="n">
        <f aca="false">J110*Resumo!$C$7</f>
        <v>1.39198</v>
      </c>
      <c r="O110" s="39" t="n">
        <f aca="false">J110*Resumo!$C$8</f>
        <v>1.39198</v>
      </c>
      <c r="P110" s="39" t="n">
        <f aca="false">Resumo!$C$10*CEILING(I110/100,1)</f>
        <v>1</v>
      </c>
      <c r="Q110" s="39" t="n">
        <f aca="false">Resumo!$C$9</f>
        <v>11.9</v>
      </c>
      <c r="R110" s="39" t="n">
        <f aca="false">SUM(M110:Q110)*Resumo!$C$11</f>
        <v>5.7136178</v>
      </c>
      <c r="S110" s="39" t="n">
        <f aca="false">SUM(M110:R110)</f>
        <v>109.5975778</v>
      </c>
      <c r="T110" s="39" t="n">
        <f aca="false">S110/(1-Resumo!$C$5)</f>
        <v>124.542702045455</v>
      </c>
      <c r="U110" s="39" t="n">
        <v>131.02</v>
      </c>
      <c r="V110" s="39" t="n">
        <f aca="false">J110*Resumo!$B$6</f>
        <v>0.69599</v>
      </c>
      <c r="W110" s="39" t="n">
        <f aca="false">J110*Resumo!$B$7</f>
        <v>1.39198</v>
      </c>
      <c r="X110" s="39" t="n">
        <f aca="false">Resumo!$B$9</f>
        <v>1</v>
      </c>
      <c r="Y110" s="39" t="n">
        <f aca="false">Resumo!$B$10*CEILING(I110/100,1)</f>
        <v>4.5</v>
      </c>
      <c r="Z110" s="39" t="n">
        <f aca="false">Resumo!$B$12*CEILING(I110,1)</f>
        <v>4.14</v>
      </c>
      <c r="AA110" s="39" t="n">
        <f aca="false">Resumo!$B$13*CEILING(I110,1)</f>
        <v>31.05</v>
      </c>
      <c r="AB110" s="39" t="n">
        <f aca="false">SUM(U110:AA110)</f>
        <v>173.79797</v>
      </c>
      <c r="AC110" s="39" t="n">
        <f aca="false">AB110/(1-Resumo!$B$5)</f>
        <v>197.497693181818</v>
      </c>
      <c r="AD110" s="39" t="n">
        <f aca="false">(AB110-AA110)/(1-Resumo!$B$5)</f>
        <v>162.213602272727</v>
      </c>
      <c r="AE110" s="39" t="n">
        <f aca="false">AC110-T110</f>
        <v>72.9549911363637</v>
      </c>
      <c r="AF110" s="40" t="n">
        <f aca="false">AC110/T110-1</f>
        <v>0.585782947841754</v>
      </c>
      <c r="AG110" s="37" t="str">
        <f aca="false">IF(AC110&lt;T110,"SIM","NÃO")</f>
        <v>NÃO</v>
      </c>
      <c r="AH110" s="37" t="n">
        <v>8</v>
      </c>
      <c r="AI110" s="37" t="n">
        <v>5</v>
      </c>
      <c r="AJ110" s="37" t="s">
        <v>323</v>
      </c>
    </row>
    <row r="111" customFormat="false" ht="15" hidden="false" customHeight="false" outlineLevel="0" collapsed="false">
      <c r="A111" s="37" t="n">
        <v>357029130</v>
      </c>
      <c r="B111" s="38" t="n">
        <v>46213.2619560185</v>
      </c>
      <c r="C111" s="37" t="s">
        <v>325</v>
      </c>
      <c r="D111" s="37" t="s">
        <v>437</v>
      </c>
      <c r="E111" s="37" t="n">
        <v>23891730</v>
      </c>
      <c r="F111" s="37" t="s">
        <v>205</v>
      </c>
      <c r="G111" s="37" t="s">
        <v>201</v>
      </c>
      <c r="H111" s="37" t="s">
        <v>171</v>
      </c>
      <c r="I111" s="37" t="n">
        <v>52.3</v>
      </c>
      <c r="J111" s="39" t="n">
        <v>644.83</v>
      </c>
      <c r="K111" s="37" t="s">
        <v>322</v>
      </c>
      <c r="L111" s="39" t="n">
        <v>142.76</v>
      </c>
      <c r="M111" s="39" t="n">
        <v>103.6</v>
      </c>
      <c r="N111" s="39" t="n">
        <f aca="false">J111*Resumo!$C$7</f>
        <v>1.28966</v>
      </c>
      <c r="O111" s="39" t="n">
        <f aca="false">J111*Resumo!$C$8</f>
        <v>1.28966</v>
      </c>
      <c r="P111" s="39" t="n">
        <f aca="false">Resumo!$C$10*CEILING(I111/100,1)</f>
        <v>1</v>
      </c>
      <c r="Q111" s="39" t="n">
        <f aca="false">Resumo!$C$9</f>
        <v>11.9</v>
      </c>
      <c r="R111" s="39" t="n">
        <f aca="false">SUM(M111:Q111)*Resumo!$C$11</f>
        <v>6.5493626</v>
      </c>
      <c r="S111" s="39" t="n">
        <f aca="false">SUM(M111:R111)</f>
        <v>125.6286826</v>
      </c>
      <c r="T111" s="39" t="n">
        <f aca="false">S111/(1-Resumo!$C$5)</f>
        <v>142.759866590909</v>
      </c>
      <c r="U111" s="39" t="n">
        <v>122.3</v>
      </c>
      <c r="V111" s="39" t="n">
        <f aca="false">J111*Resumo!$B$6</f>
        <v>0.64483</v>
      </c>
      <c r="W111" s="39" t="n">
        <f aca="false">J111*Resumo!$B$7</f>
        <v>1.28966</v>
      </c>
      <c r="X111" s="39" t="n">
        <f aca="false">Resumo!$B$9</f>
        <v>1</v>
      </c>
      <c r="Y111" s="39" t="n">
        <f aca="false">Resumo!$B$10*CEILING(I111/100,1)</f>
        <v>4.5</v>
      </c>
      <c r="Z111" s="39" t="n">
        <f aca="false">Resumo!$B$12*CEILING(I111,1)</f>
        <v>3.18</v>
      </c>
      <c r="AA111" s="39" t="n">
        <f aca="false">Resumo!$B$13*CEILING(I111,1)</f>
        <v>23.85</v>
      </c>
      <c r="AB111" s="39" t="n">
        <f aca="false">SUM(U111:AA111)</f>
        <v>156.76449</v>
      </c>
      <c r="AC111" s="39" t="n">
        <f aca="false">AB111/(1-Resumo!$B$5)</f>
        <v>178.141465909091</v>
      </c>
      <c r="AD111" s="39" t="n">
        <f aca="false">(AB111-AA111)/(1-Resumo!$B$5)</f>
        <v>151.039193181818</v>
      </c>
      <c r="AE111" s="39" t="n">
        <f aca="false">AC111-T111</f>
        <v>35.3815993181818</v>
      </c>
      <c r="AF111" s="40" t="n">
        <f aca="false">AC111/T111-1</f>
        <v>0.247839957847333</v>
      </c>
      <c r="AG111" s="37" t="str">
        <f aca="false">IF(AC111&lt;T111,"SIM","NÃO")</f>
        <v>NÃO</v>
      </c>
      <c r="AH111" s="37" t="n">
        <v>13</v>
      </c>
      <c r="AI111" s="37" t="n">
        <v>5</v>
      </c>
      <c r="AJ111" s="37" t="s">
        <v>327</v>
      </c>
    </row>
    <row r="112" customFormat="false" ht="15" hidden="false" customHeight="false" outlineLevel="0" collapsed="false">
      <c r="A112" s="37" t="n">
        <v>357055154</v>
      </c>
      <c r="B112" s="38" t="n">
        <v>46213.3598032407</v>
      </c>
      <c r="C112" s="37" t="s">
        <v>325</v>
      </c>
      <c r="D112" s="37" t="s">
        <v>438</v>
      </c>
      <c r="E112" s="37" t="n">
        <v>28986330</v>
      </c>
      <c r="F112" s="37" t="s">
        <v>153</v>
      </c>
      <c r="G112" s="37" t="s">
        <v>201</v>
      </c>
      <c r="H112" s="37" t="s">
        <v>172</v>
      </c>
      <c r="I112" s="37" t="n">
        <v>66.8</v>
      </c>
      <c r="J112" s="39" t="n">
        <v>888.88</v>
      </c>
      <c r="K112" s="37" t="s">
        <v>322</v>
      </c>
      <c r="L112" s="39" t="n">
        <v>156.28</v>
      </c>
      <c r="M112" s="39" t="n">
        <v>113.9</v>
      </c>
      <c r="N112" s="39" t="n">
        <f aca="false">J112*Resumo!$C$7</f>
        <v>1.77776</v>
      </c>
      <c r="O112" s="39" t="n">
        <f aca="false">J112*Resumo!$C$8</f>
        <v>1.77776</v>
      </c>
      <c r="P112" s="39" t="n">
        <f aca="false">Resumo!$C$10*CEILING(I112/100,1)</f>
        <v>1</v>
      </c>
      <c r="Q112" s="39" t="n">
        <f aca="false">Resumo!$C$9</f>
        <v>11.9</v>
      </c>
      <c r="R112" s="39" t="n">
        <f aca="false">SUM(M112:Q112)*Resumo!$C$11</f>
        <v>7.1695536</v>
      </c>
      <c r="S112" s="39" t="n">
        <f aca="false">SUM(M112:R112)</f>
        <v>137.5250736</v>
      </c>
      <c r="T112" s="39" t="n">
        <f aca="false">S112/(1-Resumo!$C$5)</f>
        <v>156.278492727273</v>
      </c>
      <c r="U112" s="39" t="n">
        <v>166.05</v>
      </c>
      <c r="V112" s="39" t="n">
        <f aca="false">J112*Resumo!$B$6</f>
        <v>0.88888</v>
      </c>
      <c r="W112" s="39" t="n">
        <f aca="false">J112*Resumo!$B$7</f>
        <v>1.77776</v>
      </c>
      <c r="X112" s="39" t="n">
        <f aca="false">Resumo!$B$9</f>
        <v>1</v>
      </c>
      <c r="Y112" s="39" t="n">
        <f aca="false">Resumo!$B$10*CEILING(I112/100,1)</f>
        <v>4.5</v>
      </c>
      <c r="Z112" s="39" t="n">
        <f aca="false">Resumo!$B$12*CEILING(I112,1)</f>
        <v>4.02</v>
      </c>
      <c r="AA112" s="39" t="n">
        <f aca="false">Resumo!$B$13*CEILING(I112,1)</f>
        <v>30.15</v>
      </c>
      <c r="AB112" s="39" t="n">
        <f aca="false">SUM(U112:AA112)</f>
        <v>208.38664</v>
      </c>
      <c r="AC112" s="39" t="n">
        <f aca="false">AB112/(1-Resumo!$B$5)</f>
        <v>236.803</v>
      </c>
      <c r="AD112" s="39" t="n">
        <f aca="false">(AB112-AA112)/(1-Resumo!$B$5)</f>
        <v>202.541636363636</v>
      </c>
      <c r="AE112" s="39" t="n">
        <f aca="false">AC112-T112</f>
        <v>80.5245072727273</v>
      </c>
      <c r="AF112" s="40" t="n">
        <f aca="false">AC112/T112-1</f>
        <v>0.515262886578088</v>
      </c>
      <c r="AG112" s="37" t="str">
        <f aca="false">IF(AC112&lt;T112,"SIM","NÃO")</f>
        <v>NÃO</v>
      </c>
      <c r="AH112" s="37" t="n">
        <v>13</v>
      </c>
      <c r="AI112" s="37" t="n">
        <v>10</v>
      </c>
      <c r="AJ112" s="37" t="s">
        <v>323</v>
      </c>
    </row>
    <row r="113" customFormat="false" ht="15" hidden="false" customHeight="false" outlineLevel="0" collapsed="false">
      <c r="A113" s="37" t="n">
        <v>357065213</v>
      </c>
      <c r="B113" s="38" t="n">
        <v>46213.3848726852</v>
      </c>
      <c r="C113" s="37" t="s">
        <v>325</v>
      </c>
      <c r="D113" s="37" t="s">
        <v>439</v>
      </c>
      <c r="E113" s="37" t="n">
        <v>24750045</v>
      </c>
      <c r="F113" s="37" t="s">
        <v>140</v>
      </c>
      <c r="G113" s="37" t="s">
        <v>207</v>
      </c>
      <c r="H113" s="37" t="s">
        <v>170</v>
      </c>
      <c r="I113" s="37" t="n">
        <v>48</v>
      </c>
      <c r="J113" s="39" t="n">
        <v>939.98</v>
      </c>
      <c r="K113" s="37" t="s">
        <v>322</v>
      </c>
      <c r="L113" s="39" t="n">
        <v>118.58</v>
      </c>
      <c r="M113" s="39" t="n">
        <v>82.25</v>
      </c>
      <c r="N113" s="39" t="n">
        <f aca="false">J113*Resumo!$C$7</f>
        <v>1.87996</v>
      </c>
      <c r="O113" s="39" t="n">
        <f aca="false">J113*Resumo!$C$8</f>
        <v>1.87996</v>
      </c>
      <c r="P113" s="39" t="n">
        <f aca="false">Resumo!$C$10*CEILING(I113/100,1)</f>
        <v>1</v>
      </c>
      <c r="Q113" s="39" t="n">
        <f aca="false">Resumo!$C$9</f>
        <v>11.9</v>
      </c>
      <c r="R113" s="39" t="n">
        <f aca="false">SUM(M113:Q113)*Resumo!$C$11</f>
        <v>5.4400456</v>
      </c>
      <c r="S113" s="39" t="n">
        <f aca="false">SUM(M113:R113)</f>
        <v>104.3499656</v>
      </c>
      <c r="T113" s="39" t="n">
        <f aca="false">S113/(1-Resumo!$C$5)</f>
        <v>118.579506363636</v>
      </c>
      <c r="U113" s="39" t="n">
        <v>114.95</v>
      </c>
      <c r="V113" s="39" t="n">
        <f aca="false">J113*Resumo!$B$6</f>
        <v>0.93998</v>
      </c>
      <c r="W113" s="39" t="n">
        <f aca="false">J113*Resumo!$B$7</f>
        <v>1.87996</v>
      </c>
      <c r="X113" s="39" t="n">
        <f aca="false">Resumo!$B$9</f>
        <v>1</v>
      </c>
      <c r="Y113" s="39" t="n">
        <f aca="false">Resumo!$B$10*CEILING(I113/100,1)</f>
        <v>4.5</v>
      </c>
      <c r="Z113" s="39" t="n">
        <f aca="false">Resumo!$B$12*CEILING(I113,1)</f>
        <v>2.88</v>
      </c>
      <c r="AA113" s="39" t="n">
        <f aca="false">Resumo!$B$13*CEILING(I113,1)</f>
        <v>21.6</v>
      </c>
      <c r="AB113" s="39" t="n">
        <f aca="false">SUM(U113:AA113)</f>
        <v>147.74994</v>
      </c>
      <c r="AC113" s="39" t="n">
        <f aca="false">AB113/(1-Resumo!$B$5)</f>
        <v>167.897659090909</v>
      </c>
      <c r="AD113" s="39" t="n">
        <f aca="false">(AB113-AA113)/(1-Resumo!$B$5)</f>
        <v>143.352204545455</v>
      </c>
      <c r="AE113" s="39" t="n">
        <f aca="false">AC113-T113</f>
        <v>49.3181527272727</v>
      </c>
      <c r="AF113" s="40" t="n">
        <f aca="false">AC113/T113-1</f>
        <v>0.415907893696517</v>
      </c>
      <c r="AG113" s="37" t="str">
        <f aca="false">IF(AC113&lt;T113,"SIM","NÃO")</f>
        <v>NÃO</v>
      </c>
      <c r="AH113" s="37" t="n">
        <v>10</v>
      </c>
      <c r="AI113" s="37" t="n">
        <v>7</v>
      </c>
      <c r="AJ113" s="37" t="s">
        <v>323</v>
      </c>
    </row>
    <row r="114" customFormat="false" ht="15" hidden="false" customHeight="false" outlineLevel="0" collapsed="false">
      <c r="A114" s="37" t="n">
        <v>357100369</v>
      </c>
      <c r="B114" s="38" t="n">
        <v>46213.4549305556</v>
      </c>
      <c r="C114" s="37" t="s">
        <v>320</v>
      </c>
      <c r="D114" s="37" t="s">
        <v>440</v>
      </c>
      <c r="E114" s="37" t="n">
        <v>25035770</v>
      </c>
      <c r="F114" s="37" t="s">
        <v>141</v>
      </c>
      <c r="G114" s="37" t="s">
        <v>207</v>
      </c>
      <c r="H114" s="37" t="s">
        <v>171</v>
      </c>
      <c r="I114" s="37" t="n">
        <v>52.3</v>
      </c>
      <c r="J114" s="39" t="n">
        <v>643.99</v>
      </c>
      <c r="K114" s="37" t="s">
        <v>322</v>
      </c>
      <c r="L114" s="39" t="n">
        <v>128.38</v>
      </c>
      <c r="M114" s="39" t="n">
        <v>91.6</v>
      </c>
      <c r="N114" s="39" t="n">
        <f aca="false">J114*Resumo!$C$7</f>
        <v>1.28798</v>
      </c>
      <c r="O114" s="39" t="n">
        <f aca="false">J114*Resumo!$C$8</f>
        <v>1.28798</v>
      </c>
      <c r="P114" s="39" t="n">
        <f aca="false">Resumo!$C$10*CEILING(I114/100,1)</f>
        <v>1</v>
      </c>
      <c r="Q114" s="39" t="n">
        <f aca="false">Resumo!$C$9</f>
        <v>11.9</v>
      </c>
      <c r="R114" s="39" t="n">
        <f aca="false">SUM(M114:Q114)*Resumo!$C$11</f>
        <v>5.8891778</v>
      </c>
      <c r="S114" s="39" t="n">
        <f aca="false">SUM(M114:R114)</f>
        <v>112.9651378</v>
      </c>
      <c r="T114" s="39" t="n">
        <f aca="false">S114/(1-Resumo!$C$5)</f>
        <v>128.369474772727</v>
      </c>
      <c r="U114" s="39" t="n">
        <v>112.3</v>
      </c>
      <c r="V114" s="39" t="n">
        <f aca="false">J114*Resumo!$B$6</f>
        <v>0.64399</v>
      </c>
      <c r="W114" s="39" t="n">
        <f aca="false">J114*Resumo!$B$7</f>
        <v>1.28798</v>
      </c>
      <c r="X114" s="39" t="n">
        <f aca="false">Resumo!$B$9</f>
        <v>1</v>
      </c>
      <c r="Y114" s="39" t="n">
        <f aca="false">Resumo!$B$10*CEILING(I114/100,1)</f>
        <v>4.5</v>
      </c>
      <c r="Z114" s="39" t="n">
        <f aca="false">Resumo!$B$12*CEILING(I114,1)</f>
        <v>3.18</v>
      </c>
      <c r="AA114" s="39" t="n">
        <f aca="false">Resumo!$B$13*CEILING(I114,1)</f>
        <v>23.85</v>
      </c>
      <c r="AB114" s="39" t="n">
        <f aca="false">SUM(U114:AA114)</f>
        <v>146.76197</v>
      </c>
      <c r="AC114" s="39" t="n">
        <f aca="false">AB114/(1-Resumo!$B$5)</f>
        <v>166.774965909091</v>
      </c>
      <c r="AD114" s="39" t="n">
        <f aca="false">(AB114-AA114)/(1-Resumo!$B$5)</f>
        <v>139.672693181818</v>
      </c>
      <c r="AE114" s="39" t="n">
        <f aca="false">AC114-T114</f>
        <v>38.4054911363636</v>
      </c>
      <c r="AF114" s="40" t="n">
        <f aca="false">AC114/T114-1</f>
        <v>0.29917931193813</v>
      </c>
      <c r="AG114" s="37" t="str">
        <f aca="false">IF(AC114&lt;T114,"SIM","NÃO")</f>
        <v>NÃO</v>
      </c>
      <c r="AH114" s="37" t="n">
        <v>10</v>
      </c>
      <c r="AI114" s="37" t="n">
        <v>5</v>
      </c>
      <c r="AJ114" s="37" t="s">
        <v>323</v>
      </c>
    </row>
    <row r="115" customFormat="false" ht="15" hidden="false" customHeight="false" outlineLevel="0" collapsed="false">
      <c r="A115" s="37" t="n">
        <v>357101191</v>
      </c>
      <c r="B115" s="38" t="n">
        <v>46213.4567939815</v>
      </c>
      <c r="C115" s="37" t="s">
        <v>320</v>
      </c>
      <c r="D115" s="37" t="s">
        <v>441</v>
      </c>
      <c r="E115" s="37" t="n">
        <v>28024417</v>
      </c>
      <c r="F115" s="37" t="s">
        <v>144</v>
      </c>
      <c r="G115" s="37" t="s">
        <v>201</v>
      </c>
      <c r="H115" s="37" t="s">
        <v>171</v>
      </c>
      <c r="I115" s="37" t="n">
        <v>52.3</v>
      </c>
      <c r="J115" s="39" t="n">
        <v>644.99</v>
      </c>
      <c r="K115" s="37" t="s">
        <v>322</v>
      </c>
      <c r="L115" s="39" t="n">
        <v>142.76</v>
      </c>
      <c r="M115" s="39" t="n">
        <v>103.6</v>
      </c>
      <c r="N115" s="39" t="n">
        <f aca="false">J115*Resumo!$C$7</f>
        <v>1.28998</v>
      </c>
      <c r="O115" s="39" t="n">
        <f aca="false">J115*Resumo!$C$8</f>
        <v>1.28998</v>
      </c>
      <c r="P115" s="39" t="n">
        <f aca="false">Resumo!$C$10*CEILING(I115/100,1)</f>
        <v>1</v>
      </c>
      <c r="Q115" s="39" t="n">
        <f aca="false">Resumo!$C$9</f>
        <v>11.9</v>
      </c>
      <c r="R115" s="39" t="n">
        <f aca="false">SUM(M115:Q115)*Resumo!$C$11</f>
        <v>6.5493978</v>
      </c>
      <c r="S115" s="39" t="n">
        <f aca="false">SUM(M115:R115)</f>
        <v>125.6293578</v>
      </c>
      <c r="T115" s="39" t="n">
        <f aca="false">S115/(1-Resumo!$C$5)</f>
        <v>142.760633863636</v>
      </c>
      <c r="U115" s="39" t="n">
        <v>162.04</v>
      </c>
      <c r="V115" s="39" t="n">
        <f aca="false">J115*Resumo!$B$6</f>
        <v>0.64499</v>
      </c>
      <c r="W115" s="39" t="n">
        <f aca="false">J115*Resumo!$B$7</f>
        <v>1.28998</v>
      </c>
      <c r="X115" s="39" t="n">
        <f aca="false">Resumo!$B$9</f>
        <v>1</v>
      </c>
      <c r="Y115" s="39" t="n">
        <f aca="false">Resumo!$B$10*CEILING(I115/100,1)</f>
        <v>4.5</v>
      </c>
      <c r="Z115" s="39" t="n">
        <f aca="false">Resumo!$B$12*CEILING(I115,1)</f>
        <v>3.18</v>
      </c>
      <c r="AA115" s="39" t="n">
        <f aca="false">Resumo!$B$13*CEILING(I115,1)</f>
        <v>23.85</v>
      </c>
      <c r="AB115" s="39" t="n">
        <f aca="false">SUM(U115:AA115)</f>
        <v>196.50497</v>
      </c>
      <c r="AC115" s="39" t="n">
        <f aca="false">AB115/(1-Resumo!$B$5)</f>
        <v>223.301102272727</v>
      </c>
      <c r="AD115" s="39" t="n">
        <f aca="false">(AB115-AA115)/(1-Resumo!$B$5)</f>
        <v>196.198829545455</v>
      </c>
      <c r="AE115" s="39" t="n">
        <f aca="false">AC115-T115</f>
        <v>80.5404684090909</v>
      </c>
      <c r="AF115" s="40" t="n">
        <f aca="false">AC115/T115-1</f>
        <v>0.564164407437575</v>
      </c>
      <c r="AG115" s="37" t="str">
        <f aca="false">IF(AC115&lt;T115,"SIM","NÃO")</f>
        <v>NÃO</v>
      </c>
      <c r="AH115" s="37" t="n">
        <v>13</v>
      </c>
      <c r="AI115" s="37" t="n">
        <v>11</v>
      </c>
      <c r="AJ115" s="37" t="s">
        <v>323</v>
      </c>
    </row>
    <row r="116" customFormat="false" ht="15" hidden="false" customHeight="false" outlineLevel="0" collapsed="false">
      <c r="A116" s="37" t="n">
        <v>357104488</v>
      </c>
      <c r="B116" s="38" t="n">
        <v>46213.4639814815</v>
      </c>
      <c r="C116" s="37" t="s">
        <v>325</v>
      </c>
      <c r="D116" s="37" t="s">
        <v>442</v>
      </c>
      <c r="E116" s="37" t="n">
        <v>24315000</v>
      </c>
      <c r="F116" s="37" t="s">
        <v>143</v>
      </c>
      <c r="G116" s="37" t="s">
        <v>207</v>
      </c>
      <c r="H116" s="37" t="s">
        <v>172</v>
      </c>
      <c r="I116" s="37" t="n">
        <v>66.8</v>
      </c>
      <c r="J116" s="39" t="n">
        <v>630.3</v>
      </c>
      <c r="K116" s="37" t="s">
        <v>322</v>
      </c>
      <c r="L116" s="39" t="n">
        <v>139.45</v>
      </c>
      <c r="M116" s="39" t="n">
        <v>100.9</v>
      </c>
      <c r="N116" s="39" t="n">
        <f aca="false">J116*Resumo!$C$7</f>
        <v>1.2606</v>
      </c>
      <c r="O116" s="39" t="n">
        <f aca="false">J116*Resumo!$C$8</f>
        <v>1.2606</v>
      </c>
      <c r="P116" s="39" t="n">
        <f aca="false">Resumo!$C$10*CEILING(I116/100,1)</f>
        <v>1</v>
      </c>
      <c r="Q116" s="39" t="n">
        <f aca="false">Resumo!$C$9</f>
        <v>11.9</v>
      </c>
      <c r="R116" s="39" t="n">
        <f aca="false">SUM(M116:Q116)*Resumo!$C$11</f>
        <v>6.397666</v>
      </c>
      <c r="S116" s="39" t="n">
        <f aca="false">SUM(M116:R116)</f>
        <v>122.718866</v>
      </c>
      <c r="T116" s="39" t="n">
        <f aca="false">S116/(1-Resumo!$C$5)</f>
        <v>139.453256818182</v>
      </c>
      <c r="U116" s="39" t="n">
        <v>149.5</v>
      </c>
      <c r="V116" s="39" t="n">
        <f aca="false">J116*Resumo!$B$6</f>
        <v>0.6303</v>
      </c>
      <c r="W116" s="39" t="n">
        <f aca="false">J116*Resumo!$B$7</f>
        <v>1.2606</v>
      </c>
      <c r="X116" s="39" t="n">
        <f aca="false">Resumo!$B$9</f>
        <v>1</v>
      </c>
      <c r="Y116" s="39" t="n">
        <f aca="false">Resumo!$B$10*CEILING(I116/100,1)</f>
        <v>4.5</v>
      </c>
      <c r="Z116" s="39" t="n">
        <f aca="false">Resumo!$B$12*CEILING(I116,1)</f>
        <v>4.02</v>
      </c>
      <c r="AA116" s="39" t="n">
        <f aca="false">Resumo!$B$13*CEILING(I116,1)</f>
        <v>30.15</v>
      </c>
      <c r="AB116" s="39" t="n">
        <f aca="false">SUM(U116:AA116)</f>
        <v>191.0609</v>
      </c>
      <c r="AC116" s="39" t="n">
        <f aca="false">AB116/(1-Resumo!$B$5)</f>
        <v>217.114659090909</v>
      </c>
      <c r="AD116" s="39" t="n">
        <f aca="false">(AB116-AA116)/(1-Resumo!$B$5)</f>
        <v>182.853295454545</v>
      </c>
      <c r="AE116" s="39" t="n">
        <f aca="false">AC116-T116</f>
        <v>77.6614022727273</v>
      </c>
      <c r="AF116" s="40" t="n">
        <f aca="false">AC116/T116-1</f>
        <v>0.55689916495806</v>
      </c>
      <c r="AG116" s="37" t="str">
        <f aca="false">IF(AC116&lt;T116,"SIM","NÃO")</f>
        <v>NÃO</v>
      </c>
      <c r="AH116" s="37" t="n">
        <v>10</v>
      </c>
      <c r="AI116" s="37" t="n">
        <v>7</v>
      </c>
      <c r="AJ116" s="37" t="s">
        <v>323</v>
      </c>
    </row>
    <row r="117" customFormat="false" ht="15" hidden="false" customHeight="false" outlineLevel="0" collapsed="false">
      <c r="A117" s="37" t="n">
        <v>357105227</v>
      </c>
      <c r="B117" s="38" t="n">
        <v>46213.4656712963</v>
      </c>
      <c r="C117" s="37" t="s">
        <v>320</v>
      </c>
      <c r="D117" s="37" t="s">
        <v>443</v>
      </c>
      <c r="E117" s="37" t="n">
        <v>28430014</v>
      </c>
      <c r="F117" s="37" t="s">
        <v>255</v>
      </c>
      <c r="G117" s="37" t="s">
        <v>201</v>
      </c>
      <c r="H117" s="37" t="s">
        <v>170</v>
      </c>
      <c r="I117" s="37" t="n">
        <v>41</v>
      </c>
      <c r="J117" s="39" t="n">
        <v>515.19</v>
      </c>
      <c r="K117" s="37" t="s">
        <v>322</v>
      </c>
      <c r="L117" s="39" t="n">
        <v>130.62</v>
      </c>
      <c r="M117" s="39" t="n">
        <v>94</v>
      </c>
      <c r="N117" s="39" t="n">
        <f aca="false">J117*Resumo!$C$7</f>
        <v>1.03038</v>
      </c>
      <c r="O117" s="39" t="n">
        <f aca="false">J117*Resumo!$C$8</f>
        <v>1.03038</v>
      </c>
      <c r="P117" s="39" t="n">
        <f aca="false">Resumo!$C$10*CEILING(I117/100,1)</f>
        <v>1</v>
      </c>
      <c r="Q117" s="39" t="n">
        <f aca="false">Resumo!$C$9</f>
        <v>11.9</v>
      </c>
      <c r="R117" s="39" t="n">
        <f aca="false">SUM(M117:Q117)*Resumo!$C$11</f>
        <v>5.9928418</v>
      </c>
      <c r="S117" s="39" t="n">
        <f aca="false">SUM(M117:R117)</f>
        <v>114.9536018</v>
      </c>
      <c r="T117" s="39" t="n">
        <f aca="false">S117/(1-Resumo!$C$5)</f>
        <v>130.629092954545</v>
      </c>
      <c r="U117" s="39" t="n">
        <v>152.54</v>
      </c>
      <c r="V117" s="39" t="n">
        <f aca="false">J117*Resumo!$B$6</f>
        <v>0.51519</v>
      </c>
      <c r="W117" s="39" t="n">
        <f aca="false">J117*Resumo!$B$7</f>
        <v>1.03038</v>
      </c>
      <c r="X117" s="39" t="n">
        <f aca="false">Resumo!$B$9</f>
        <v>1</v>
      </c>
      <c r="Y117" s="39" t="n">
        <f aca="false">Resumo!$B$10*CEILING(I117/100,1)</f>
        <v>4.5</v>
      </c>
      <c r="Z117" s="39" t="n">
        <f aca="false">Resumo!$B$12*CEILING(I117,1)</f>
        <v>2.46</v>
      </c>
      <c r="AA117" s="39" t="n">
        <f aca="false">Resumo!$B$13*CEILING(I117,1)</f>
        <v>18.45</v>
      </c>
      <c r="AB117" s="39" t="n">
        <f aca="false">SUM(U117:AA117)</f>
        <v>180.49557</v>
      </c>
      <c r="AC117" s="39" t="n">
        <f aca="false">AB117/(1-Resumo!$B$5)</f>
        <v>205.108602272727</v>
      </c>
      <c r="AD117" s="39" t="n">
        <f aca="false">(AB117-AA117)/(1-Resumo!$B$5)</f>
        <v>184.142693181818</v>
      </c>
      <c r="AE117" s="39" t="n">
        <f aca="false">AC117-T117</f>
        <v>74.4795093181818</v>
      </c>
      <c r="AF117" s="40" t="n">
        <f aca="false">AC117/T117-1</f>
        <v>0.570160196581157</v>
      </c>
      <c r="AG117" s="37" t="str">
        <f aca="false">IF(AC117&lt;T117,"SIM","NÃO")</f>
        <v>NÃO</v>
      </c>
      <c r="AH117" s="37" t="n">
        <v>13</v>
      </c>
      <c r="AI117" s="37" t="n">
        <v>11</v>
      </c>
      <c r="AJ117" s="37" t="s">
        <v>327</v>
      </c>
    </row>
    <row r="118" customFormat="false" ht="15" hidden="false" customHeight="false" outlineLevel="0" collapsed="false">
      <c r="A118" s="37" t="n">
        <v>357142328</v>
      </c>
      <c r="B118" s="38" t="n">
        <v>46213.5474305556</v>
      </c>
      <c r="C118" s="37" t="s">
        <v>320</v>
      </c>
      <c r="D118" s="37" t="s">
        <v>444</v>
      </c>
      <c r="E118" s="37" t="n">
        <v>21041030</v>
      </c>
      <c r="F118" s="37" t="s">
        <v>139</v>
      </c>
      <c r="G118" s="37" t="s">
        <v>198</v>
      </c>
      <c r="H118" s="37" t="s">
        <v>169</v>
      </c>
      <c r="I118" s="37" t="n">
        <v>37.2</v>
      </c>
      <c r="J118" s="39" t="n">
        <v>359.99</v>
      </c>
      <c r="K118" s="37" t="s">
        <v>322</v>
      </c>
      <c r="L118" s="39" t="n">
        <v>91.58</v>
      </c>
      <c r="M118" s="39" t="n">
        <v>62.05</v>
      </c>
      <c r="N118" s="39" t="n">
        <f aca="false">J118*Resumo!$C$7</f>
        <v>0.71998</v>
      </c>
      <c r="O118" s="39" t="n">
        <f aca="false">J118*Resumo!$C$8</f>
        <v>0.71998</v>
      </c>
      <c r="P118" s="39" t="n">
        <f aca="false">Resumo!$C$10*CEILING(I118/100,1)</f>
        <v>1</v>
      </c>
      <c r="Q118" s="39" t="n">
        <f aca="false">Resumo!$C$9</f>
        <v>11.9</v>
      </c>
      <c r="R118" s="39" t="n">
        <f aca="false">SUM(M118:Q118)*Resumo!$C$11</f>
        <v>4.2014478</v>
      </c>
      <c r="S118" s="39" t="n">
        <f aca="false">SUM(M118:R118)</f>
        <v>80.5914078</v>
      </c>
      <c r="T118" s="39" t="n">
        <f aca="false">S118/(1-Resumo!$C$5)</f>
        <v>91.5811452272727</v>
      </c>
      <c r="U118" s="39" t="n">
        <v>93.97</v>
      </c>
      <c r="V118" s="39" t="n">
        <f aca="false">J118*Resumo!$B$6</f>
        <v>0.35999</v>
      </c>
      <c r="W118" s="39" t="n">
        <f aca="false">J118*Resumo!$B$7</f>
        <v>0.71998</v>
      </c>
      <c r="X118" s="39" t="n">
        <f aca="false">Resumo!$B$9</f>
        <v>1</v>
      </c>
      <c r="Y118" s="39" t="n">
        <f aca="false">Resumo!$B$10*CEILING(I118/100,1)</f>
        <v>4.5</v>
      </c>
      <c r="Z118" s="39" t="n">
        <f aca="false">Resumo!$B$12*CEILING(I118,1)</f>
        <v>2.28</v>
      </c>
      <c r="AA118" s="39" t="n">
        <f aca="false">Resumo!$B$13*CEILING(I118,1)</f>
        <v>17.1</v>
      </c>
      <c r="AB118" s="39" t="n">
        <f aca="false">SUM(U118:AA118)</f>
        <v>119.92997</v>
      </c>
      <c r="AC118" s="39" t="n">
        <f aca="false">AB118/(1-Resumo!$B$5)</f>
        <v>136.284056818182</v>
      </c>
      <c r="AD118" s="39" t="n">
        <f aca="false">(AB118-AA118)/(1-Resumo!$B$5)</f>
        <v>116.852238636364</v>
      </c>
      <c r="AE118" s="39" t="n">
        <f aca="false">AC118-T118</f>
        <v>44.7029115909091</v>
      </c>
      <c r="AF118" s="40" t="n">
        <f aca="false">AC118/T118-1</f>
        <v>0.488123526736556</v>
      </c>
      <c r="AG118" s="37" t="str">
        <f aca="false">IF(AC118&lt;T118,"SIM","NÃO")</f>
        <v>NÃO</v>
      </c>
      <c r="AH118" s="37" t="n">
        <v>8</v>
      </c>
      <c r="AI118" s="37" t="n">
        <v>5</v>
      </c>
      <c r="AJ118" s="37" t="s">
        <v>323</v>
      </c>
    </row>
    <row r="119" customFormat="false" ht="15" hidden="false" customHeight="false" outlineLevel="0" collapsed="false">
      <c r="A119" s="37" t="n">
        <v>357151739</v>
      </c>
      <c r="B119" s="38" t="n">
        <v>46213.5684027778</v>
      </c>
      <c r="C119" s="37" t="s">
        <v>320</v>
      </c>
      <c r="D119" s="37" t="s">
        <v>445</v>
      </c>
      <c r="E119" s="37" t="n">
        <v>21321620</v>
      </c>
      <c r="F119" s="37" t="s">
        <v>139</v>
      </c>
      <c r="G119" s="37" t="s">
        <v>198</v>
      </c>
      <c r="H119" s="37" t="s">
        <v>171</v>
      </c>
      <c r="I119" s="37" t="n">
        <v>52.3</v>
      </c>
      <c r="J119" s="39" t="n">
        <v>643.99</v>
      </c>
      <c r="K119" s="37" t="s">
        <v>322</v>
      </c>
      <c r="L119" s="39" t="n">
        <v>114.24</v>
      </c>
      <c r="M119" s="39" t="n">
        <v>79.81</v>
      </c>
      <c r="N119" s="39" t="n">
        <f aca="false">J119*Resumo!$C$7</f>
        <v>1.28798</v>
      </c>
      <c r="O119" s="39" t="n">
        <f aca="false">J119*Resumo!$C$8</f>
        <v>1.28798</v>
      </c>
      <c r="P119" s="39" t="n">
        <f aca="false">Resumo!$C$10*CEILING(I119/100,1)</f>
        <v>1</v>
      </c>
      <c r="Q119" s="39" t="n">
        <f aca="false">Resumo!$C$9</f>
        <v>11.9</v>
      </c>
      <c r="R119" s="39" t="n">
        <f aca="false">SUM(M119:Q119)*Resumo!$C$11</f>
        <v>5.2407278</v>
      </c>
      <c r="S119" s="39" t="n">
        <f aca="false">SUM(M119:R119)</f>
        <v>100.5266878</v>
      </c>
      <c r="T119" s="39" t="n">
        <f aca="false">S119/(1-Resumo!$C$5)</f>
        <v>114.2348725</v>
      </c>
      <c r="U119" s="39" t="n">
        <v>112.3</v>
      </c>
      <c r="V119" s="39" t="n">
        <f aca="false">J119*Resumo!$B$6</f>
        <v>0.64399</v>
      </c>
      <c r="W119" s="39" t="n">
        <f aca="false">J119*Resumo!$B$7</f>
        <v>1.28798</v>
      </c>
      <c r="X119" s="39" t="n">
        <f aca="false">Resumo!$B$9</f>
        <v>1</v>
      </c>
      <c r="Y119" s="39" t="n">
        <f aca="false">Resumo!$B$10*CEILING(I119/100,1)</f>
        <v>4.5</v>
      </c>
      <c r="Z119" s="39" t="n">
        <f aca="false">Resumo!$B$12*CEILING(I119,1)</f>
        <v>3.18</v>
      </c>
      <c r="AA119" s="39" t="n">
        <f aca="false">Resumo!$B$13*CEILING(I119,1)</f>
        <v>23.85</v>
      </c>
      <c r="AB119" s="39" t="n">
        <f aca="false">SUM(U119:AA119)</f>
        <v>146.76197</v>
      </c>
      <c r="AC119" s="39" t="n">
        <f aca="false">AB119/(1-Resumo!$B$5)</f>
        <v>166.774965909091</v>
      </c>
      <c r="AD119" s="39" t="n">
        <f aca="false">(AB119-AA119)/(1-Resumo!$B$5)</f>
        <v>139.672693181818</v>
      </c>
      <c r="AE119" s="39" t="n">
        <f aca="false">AC119-T119</f>
        <v>52.5400934090909</v>
      </c>
      <c r="AF119" s="40" t="n">
        <f aca="false">AC119/T119-1</f>
        <v>0.459930424565326</v>
      </c>
      <c r="AG119" s="37" t="str">
        <f aca="false">IF(AC119&lt;T119,"SIM","NÃO")</f>
        <v>NÃO</v>
      </c>
      <c r="AH119" s="37" t="n">
        <v>8</v>
      </c>
      <c r="AI119" s="37" t="n">
        <v>5</v>
      </c>
      <c r="AJ119" s="37" t="s">
        <v>323</v>
      </c>
    </row>
    <row r="120" customFormat="false" ht="15" hidden="false" customHeight="false" outlineLevel="0" collapsed="false">
      <c r="A120" s="37" t="n">
        <v>357155407</v>
      </c>
      <c r="B120" s="38" t="n">
        <v>46213.5761574074</v>
      </c>
      <c r="C120" s="37" t="s">
        <v>320</v>
      </c>
      <c r="D120" s="37" t="s">
        <v>446</v>
      </c>
      <c r="E120" s="37" t="n">
        <v>25271330</v>
      </c>
      <c r="F120" s="37" t="s">
        <v>141</v>
      </c>
      <c r="G120" s="37" t="s">
        <v>207</v>
      </c>
      <c r="H120" s="37" t="s">
        <v>172</v>
      </c>
      <c r="I120" s="37" t="n">
        <v>63.9</v>
      </c>
      <c r="J120" s="39" t="n">
        <v>799.99</v>
      </c>
      <c r="K120" s="37" t="s">
        <v>322</v>
      </c>
      <c r="L120" s="39" t="n">
        <v>140.27</v>
      </c>
      <c r="M120" s="39" t="n">
        <v>100.9</v>
      </c>
      <c r="N120" s="39" t="n">
        <f aca="false">J120*Resumo!$C$7</f>
        <v>1.59998</v>
      </c>
      <c r="O120" s="39" t="n">
        <f aca="false">J120*Resumo!$C$8</f>
        <v>1.59998</v>
      </c>
      <c r="P120" s="39" t="n">
        <f aca="false">Resumo!$C$10*CEILING(I120/100,1)</f>
        <v>1</v>
      </c>
      <c r="Q120" s="39" t="n">
        <f aca="false">Resumo!$C$9</f>
        <v>11.9</v>
      </c>
      <c r="R120" s="39" t="n">
        <f aca="false">SUM(M120:Q120)*Resumo!$C$11</f>
        <v>6.4349978</v>
      </c>
      <c r="S120" s="39" t="n">
        <f aca="false">SUM(M120:R120)</f>
        <v>123.4349578</v>
      </c>
      <c r="T120" s="39" t="n">
        <f aca="false">S120/(1-Resumo!$C$5)</f>
        <v>140.2669975</v>
      </c>
      <c r="U120" s="39" t="n">
        <v>131.02</v>
      </c>
      <c r="V120" s="39" t="n">
        <f aca="false">J120*Resumo!$B$6</f>
        <v>0.79999</v>
      </c>
      <c r="W120" s="39" t="n">
        <f aca="false">J120*Resumo!$B$7</f>
        <v>1.59998</v>
      </c>
      <c r="X120" s="39" t="n">
        <f aca="false">Resumo!$B$9</f>
        <v>1</v>
      </c>
      <c r="Y120" s="39" t="n">
        <f aca="false">Resumo!$B$10*CEILING(I120/100,1)</f>
        <v>4.5</v>
      </c>
      <c r="Z120" s="39" t="n">
        <f aca="false">Resumo!$B$12*CEILING(I120,1)</f>
        <v>3.84</v>
      </c>
      <c r="AA120" s="39" t="n">
        <f aca="false">Resumo!$B$13*CEILING(I120,1)</f>
        <v>28.8</v>
      </c>
      <c r="AB120" s="39" t="n">
        <f aca="false">SUM(U120:AA120)</f>
        <v>171.55997</v>
      </c>
      <c r="AC120" s="39" t="n">
        <f aca="false">AB120/(1-Resumo!$B$5)</f>
        <v>194.954511363636</v>
      </c>
      <c r="AD120" s="39" t="n">
        <f aca="false">(AB120-AA120)/(1-Resumo!$B$5)</f>
        <v>162.227238636364</v>
      </c>
      <c r="AE120" s="39" t="n">
        <f aca="false">AC120-T120</f>
        <v>54.6875138636364</v>
      </c>
      <c r="AF120" s="40" t="n">
        <f aca="false">AC120/T120-1</f>
        <v>0.389881546182211</v>
      </c>
      <c r="AG120" s="37" t="str">
        <f aca="false">IF(AC120&lt;T120,"SIM","NÃO")</f>
        <v>NÃO</v>
      </c>
      <c r="AH120" s="37" t="n">
        <v>10</v>
      </c>
      <c r="AI120" s="37" t="n">
        <v>5</v>
      </c>
      <c r="AJ120" s="37" t="s">
        <v>323</v>
      </c>
    </row>
    <row r="121" customFormat="false" ht="15" hidden="false" customHeight="false" outlineLevel="0" collapsed="false">
      <c r="A121" s="37" t="n">
        <v>357200311</v>
      </c>
      <c r="B121" s="38" t="n">
        <v>46213.687974537</v>
      </c>
      <c r="C121" s="37" t="s">
        <v>320</v>
      </c>
      <c r="D121" s="37" t="s">
        <v>447</v>
      </c>
      <c r="E121" s="37" t="n">
        <v>20760110</v>
      </c>
      <c r="F121" s="37" t="s">
        <v>139</v>
      </c>
      <c r="G121" s="37" t="s">
        <v>198</v>
      </c>
      <c r="H121" s="37" t="s">
        <v>170</v>
      </c>
      <c r="I121" s="37" t="n">
        <v>41</v>
      </c>
      <c r="J121" s="39" t="n">
        <v>515.19</v>
      </c>
      <c r="K121" s="37" t="s">
        <v>322</v>
      </c>
      <c r="L121" s="39" t="n">
        <v>103.06</v>
      </c>
      <c r="M121" s="39" t="n">
        <v>71</v>
      </c>
      <c r="N121" s="39" t="n">
        <f aca="false">J121*Resumo!$C$7</f>
        <v>1.03038</v>
      </c>
      <c r="O121" s="39" t="n">
        <f aca="false">J121*Resumo!$C$8</f>
        <v>1.03038</v>
      </c>
      <c r="P121" s="39" t="n">
        <f aca="false">Resumo!$C$10*CEILING(I121/100,1)</f>
        <v>1</v>
      </c>
      <c r="Q121" s="39" t="n">
        <f aca="false">Resumo!$C$9</f>
        <v>11.9</v>
      </c>
      <c r="R121" s="39" t="n">
        <f aca="false">SUM(M121:Q121)*Resumo!$C$11</f>
        <v>4.7278418</v>
      </c>
      <c r="S121" s="39" t="n">
        <f aca="false">SUM(M121:R121)</f>
        <v>90.6886018</v>
      </c>
      <c r="T121" s="39" t="n">
        <f aca="false">S121/(1-Resumo!$C$5)</f>
        <v>103.055229318182</v>
      </c>
      <c r="U121" s="39" t="n">
        <v>93.97</v>
      </c>
      <c r="V121" s="39" t="n">
        <f aca="false">J121*Resumo!$B$6</f>
        <v>0.51519</v>
      </c>
      <c r="W121" s="39" t="n">
        <f aca="false">J121*Resumo!$B$7</f>
        <v>1.03038</v>
      </c>
      <c r="X121" s="39" t="n">
        <f aca="false">Resumo!$B$9</f>
        <v>1</v>
      </c>
      <c r="Y121" s="39" t="n">
        <f aca="false">Resumo!$B$10*CEILING(I121/100,1)</f>
        <v>4.5</v>
      </c>
      <c r="Z121" s="39" t="n">
        <f aca="false">Resumo!$B$12*CEILING(I121,1)</f>
        <v>2.46</v>
      </c>
      <c r="AA121" s="39" t="n">
        <f aca="false">Resumo!$B$13*CEILING(I121,1)</f>
        <v>18.45</v>
      </c>
      <c r="AB121" s="39" t="n">
        <f aca="false">SUM(U121:AA121)</f>
        <v>121.92557</v>
      </c>
      <c r="AC121" s="39" t="n">
        <f aca="false">AB121/(1-Resumo!$B$5)</f>
        <v>138.551784090909</v>
      </c>
      <c r="AD121" s="39" t="n">
        <f aca="false">(AB121-AA121)/(1-Resumo!$B$5)</f>
        <v>117.585875</v>
      </c>
      <c r="AE121" s="39" t="n">
        <f aca="false">AC121-T121</f>
        <v>35.4965547727273</v>
      </c>
      <c r="AF121" s="40" t="n">
        <f aca="false">AC121/T121-1</f>
        <v>0.344442053135723</v>
      </c>
      <c r="AG121" s="37" t="str">
        <f aca="false">IF(AC121&lt;T121,"SIM","NÃO")</f>
        <v>NÃO</v>
      </c>
      <c r="AH121" s="37" t="n">
        <v>8</v>
      </c>
      <c r="AI121" s="37" t="n">
        <v>5</v>
      </c>
      <c r="AJ121" s="37" t="s">
        <v>323</v>
      </c>
    </row>
    <row r="122" customFormat="false" ht="15" hidden="false" customHeight="false" outlineLevel="0" collapsed="false">
      <c r="A122" s="37" t="n">
        <v>357230817</v>
      </c>
      <c r="B122" s="38" t="n">
        <v>46213.7650694445</v>
      </c>
      <c r="C122" s="37" t="s">
        <v>320</v>
      </c>
      <c r="D122" s="37" t="s">
        <v>448</v>
      </c>
      <c r="E122" s="37" t="n">
        <v>21911130</v>
      </c>
      <c r="F122" s="37" t="s">
        <v>139</v>
      </c>
      <c r="G122" s="37" t="s">
        <v>198</v>
      </c>
      <c r="H122" s="37" t="s">
        <v>170</v>
      </c>
      <c r="I122" s="37" t="n">
        <v>46.8</v>
      </c>
      <c r="J122" s="39" t="n">
        <v>556.99</v>
      </c>
      <c r="K122" s="37" t="s">
        <v>322</v>
      </c>
      <c r="L122" s="39" t="n">
        <v>103.25</v>
      </c>
      <c r="M122" s="39" t="n">
        <v>71</v>
      </c>
      <c r="N122" s="39" t="n">
        <f aca="false">J122*Resumo!$C$7</f>
        <v>1.11398</v>
      </c>
      <c r="O122" s="39" t="n">
        <f aca="false">J122*Resumo!$C$8</f>
        <v>1.11398</v>
      </c>
      <c r="P122" s="39" t="n">
        <f aca="false">Resumo!$C$10*CEILING(I122/100,1)</f>
        <v>1</v>
      </c>
      <c r="Q122" s="39" t="n">
        <f aca="false">Resumo!$C$9</f>
        <v>11.9</v>
      </c>
      <c r="R122" s="39" t="n">
        <f aca="false">SUM(M122:Q122)*Resumo!$C$11</f>
        <v>4.7370378</v>
      </c>
      <c r="S122" s="39" t="n">
        <f aca="false">SUM(M122:R122)</f>
        <v>90.8649978</v>
      </c>
      <c r="T122" s="39" t="n">
        <f aca="false">S122/(1-Resumo!$C$5)</f>
        <v>103.255679318182</v>
      </c>
      <c r="U122" s="39" t="n">
        <v>93.97</v>
      </c>
      <c r="V122" s="39" t="n">
        <f aca="false">J122*Resumo!$B$6</f>
        <v>0.55699</v>
      </c>
      <c r="W122" s="39" t="n">
        <f aca="false">J122*Resumo!$B$7</f>
        <v>1.11398</v>
      </c>
      <c r="X122" s="39" t="n">
        <f aca="false">Resumo!$B$9</f>
        <v>1</v>
      </c>
      <c r="Y122" s="39" t="n">
        <f aca="false">Resumo!$B$10*CEILING(I122/100,1)</f>
        <v>4.5</v>
      </c>
      <c r="Z122" s="39" t="n">
        <f aca="false">Resumo!$B$12*CEILING(I122,1)</f>
        <v>2.82</v>
      </c>
      <c r="AA122" s="39" t="n">
        <f aca="false">Resumo!$B$13*CEILING(I122,1)</f>
        <v>21.15</v>
      </c>
      <c r="AB122" s="39" t="n">
        <f aca="false">SUM(U122:AA122)</f>
        <v>125.11097</v>
      </c>
      <c r="AC122" s="39" t="n">
        <f aca="false">AB122/(1-Resumo!$B$5)</f>
        <v>142.171556818182</v>
      </c>
      <c r="AD122" s="39" t="n">
        <f aca="false">(AB122-AA122)/(1-Resumo!$B$5)</f>
        <v>118.137465909091</v>
      </c>
      <c r="AE122" s="39" t="n">
        <f aca="false">AC122-T122</f>
        <v>38.9158775</v>
      </c>
      <c r="AF122" s="40" t="n">
        <f aca="false">AC122/T122-1</f>
        <v>0.376888494240408</v>
      </c>
      <c r="AG122" s="37" t="str">
        <f aca="false">IF(AC122&lt;T122,"SIM","NÃO")</f>
        <v>NÃO</v>
      </c>
      <c r="AH122" s="37" t="n">
        <v>8</v>
      </c>
      <c r="AI122" s="37" t="n">
        <v>5</v>
      </c>
      <c r="AJ122" s="37" t="s">
        <v>323</v>
      </c>
    </row>
    <row r="123" customFormat="false" ht="15" hidden="false" customHeight="false" outlineLevel="0" collapsed="false">
      <c r="A123" s="37" t="n">
        <v>357239929</v>
      </c>
      <c r="B123" s="38" t="n">
        <v>46213.7881597222</v>
      </c>
      <c r="C123" s="37" t="s">
        <v>320</v>
      </c>
      <c r="D123" s="37" t="s">
        <v>449</v>
      </c>
      <c r="E123" s="37" t="n">
        <v>24320200</v>
      </c>
      <c r="F123" s="37" t="s">
        <v>143</v>
      </c>
      <c r="G123" s="37" t="s">
        <v>207</v>
      </c>
      <c r="H123" s="37" t="s">
        <v>171</v>
      </c>
      <c r="I123" s="37" t="n">
        <v>52.3</v>
      </c>
      <c r="J123" s="39" t="n">
        <v>644.99</v>
      </c>
      <c r="K123" s="37" t="s">
        <v>322</v>
      </c>
      <c r="L123" s="39" t="n">
        <v>128.38</v>
      </c>
      <c r="M123" s="39" t="n">
        <v>91.6</v>
      </c>
      <c r="N123" s="39" t="n">
        <f aca="false">J123*Resumo!$C$7</f>
        <v>1.28998</v>
      </c>
      <c r="O123" s="39" t="n">
        <f aca="false">J123*Resumo!$C$8</f>
        <v>1.28998</v>
      </c>
      <c r="P123" s="39" t="n">
        <f aca="false">Resumo!$C$10*CEILING(I123/100,1)</f>
        <v>1</v>
      </c>
      <c r="Q123" s="39" t="n">
        <f aca="false">Resumo!$C$9</f>
        <v>11.9</v>
      </c>
      <c r="R123" s="39" t="n">
        <f aca="false">SUM(M123:Q123)*Resumo!$C$11</f>
        <v>5.8893978</v>
      </c>
      <c r="S123" s="39" t="n">
        <f aca="false">SUM(M123:R123)</f>
        <v>112.9693578</v>
      </c>
      <c r="T123" s="39" t="n">
        <f aca="false">S123/(1-Resumo!$C$5)</f>
        <v>128.374270227273</v>
      </c>
      <c r="U123" s="39" t="n">
        <v>128.14</v>
      </c>
      <c r="V123" s="39" t="n">
        <f aca="false">J123*Resumo!$B$6</f>
        <v>0.64499</v>
      </c>
      <c r="W123" s="39" t="n">
        <f aca="false">J123*Resumo!$B$7</f>
        <v>1.28998</v>
      </c>
      <c r="X123" s="39" t="n">
        <f aca="false">Resumo!$B$9</f>
        <v>1</v>
      </c>
      <c r="Y123" s="39" t="n">
        <f aca="false">Resumo!$B$10*CEILING(I123/100,1)</f>
        <v>4.5</v>
      </c>
      <c r="Z123" s="39" t="n">
        <f aca="false">Resumo!$B$12*CEILING(I123,1)</f>
        <v>3.18</v>
      </c>
      <c r="AA123" s="39" t="n">
        <f aca="false">Resumo!$B$13*CEILING(I123,1)</f>
        <v>23.85</v>
      </c>
      <c r="AB123" s="39" t="n">
        <f aca="false">SUM(U123:AA123)</f>
        <v>162.60497</v>
      </c>
      <c r="AC123" s="39" t="n">
        <f aca="false">AB123/(1-Resumo!$B$5)</f>
        <v>184.778375</v>
      </c>
      <c r="AD123" s="39" t="n">
        <f aca="false">(AB123-AA123)/(1-Resumo!$B$5)</f>
        <v>157.676102272727</v>
      </c>
      <c r="AE123" s="39" t="n">
        <f aca="false">AC123-T123</f>
        <v>56.4041047727273</v>
      </c>
      <c r="AF123" s="40" t="n">
        <f aca="false">AC123/T123-1</f>
        <v>0.439372349870967</v>
      </c>
      <c r="AG123" s="37" t="str">
        <f aca="false">IF(AC123&lt;T123,"SIM","NÃO")</f>
        <v>NÃO</v>
      </c>
      <c r="AH123" s="37" t="n">
        <v>10</v>
      </c>
      <c r="AI123" s="37" t="n">
        <v>7</v>
      </c>
      <c r="AJ123" s="37" t="s">
        <v>323</v>
      </c>
    </row>
    <row r="124" customFormat="false" ht="15" hidden="false" customHeight="false" outlineLevel="0" collapsed="false">
      <c r="A124" s="37" t="n">
        <v>357250472</v>
      </c>
      <c r="B124" s="38" t="n">
        <v>46213.8119444445</v>
      </c>
      <c r="C124" s="37" t="s">
        <v>352</v>
      </c>
      <c r="D124" s="37" t="s">
        <v>450</v>
      </c>
      <c r="E124" s="37" t="n">
        <v>26116670</v>
      </c>
      <c r="F124" s="37" t="s">
        <v>145</v>
      </c>
      <c r="G124" s="37" t="s">
        <v>207</v>
      </c>
      <c r="H124" s="37" t="s">
        <v>171</v>
      </c>
      <c r="I124" s="37" t="n">
        <v>52.3</v>
      </c>
      <c r="J124" s="39" t="n">
        <v>688.24</v>
      </c>
      <c r="K124" s="37" t="s">
        <v>322</v>
      </c>
      <c r="L124" s="39" t="n">
        <v>128.59</v>
      </c>
      <c r="M124" s="39" t="n">
        <v>91.6</v>
      </c>
      <c r="N124" s="39" t="n">
        <f aca="false">J124*Resumo!$C$7</f>
        <v>1.37648</v>
      </c>
      <c r="O124" s="39" t="n">
        <f aca="false">J124*Resumo!$C$8</f>
        <v>1.37648</v>
      </c>
      <c r="P124" s="39" t="n">
        <f aca="false">Resumo!$C$10*CEILING(I124/100,1)</f>
        <v>1</v>
      </c>
      <c r="Q124" s="39" t="n">
        <f aca="false">Resumo!$C$9</f>
        <v>11.9</v>
      </c>
      <c r="R124" s="39" t="n">
        <f aca="false">SUM(M124:Q124)*Resumo!$C$11</f>
        <v>5.8989128</v>
      </c>
      <c r="S124" s="39" t="n">
        <f aca="false">SUM(M124:R124)</f>
        <v>113.1518728</v>
      </c>
      <c r="T124" s="39" t="n">
        <f aca="false">S124/(1-Resumo!$C$5)</f>
        <v>128.581673636364</v>
      </c>
      <c r="U124" s="39" t="n">
        <v>112.3</v>
      </c>
      <c r="V124" s="39" t="n">
        <f aca="false">J124*Resumo!$B$6</f>
        <v>0.68824</v>
      </c>
      <c r="W124" s="39" t="n">
        <f aca="false">J124*Resumo!$B$7</f>
        <v>1.37648</v>
      </c>
      <c r="X124" s="39" t="n">
        <f aca="false">Resumo!$B$9</f>
        <v>1</v>
      </c>
      <c r="Y124" s="39" t="n">
        <f aca="false">Resumo!$B$10*CEILING(I124/100,1)</f>
        <v>4.5</v>
      </c>
      <c r="Z124" s="39" t="n">
        <f aca="false">Resumo!$B$12*CEILING(I124,1)</f>
        <v>3.18</v>
      </c>
      <c r="AA124" s="39" t="n">
        <f aca="false">Resumo!$B$13*CEILING(I124,1)</f>
        <v>23.85</v>
      </c>
      <c r="AB124" s="39" t="n">
        <f aca="false">SUM(U124:AA124)</f>
        <v>146.89472</v>
      </c>
      <c r="AC124" s="39" t="n">
        <f aca="false">AB124/(1-Resumo!$B$5)</f>
        <v>166.925818181818</v>
      </c>
      <c r="AD124" s="39" t="n">
        <f aca="false">(AB124-AA124)/(1-Resumo!$B$5)</f>
        <v>139.823545454545</v>
      </c>
      <c r="AE124" s="39" t="n">
        <f aca="false">AC124-T124</f>
        <v>38.3441445454546</v>
      </c>
      <c r="AF124" s="40" t="n">
        <f aca="false">AC124/T124-1</f>
        <v>0.298208472957772</v>
      </c>
      <c r="AG124" s="37" t="str">
        <f aca="false">IF(AC124&lt;T124,"SIM","NÃO")</f>
        <v>NÃO</v>
      </c>
      <c r="AH124" s="37" t="n">
        <v>10</v>
      </c>
      <c r="AI124" s="37" t="n">
        <v>5</v>
      </c>
      <c r="AJ124" s="37" t="s">
        <v>323</v>
      </c>
    </row>
    <row r="125" customFormat="false" ht="15" hidden="false" customHeight="false" outlineLevel="0" collapsed="false">
      <c r="A125" s="37" t="n">
        <v>357267368</v>
      </c>
      <c r="B125" s="38" t="n">
        <v>46213.8514814815</v>
      </c>
      <c r="C125" s="37" t="s">
        <v>320</v>
      </c>
      <c r="D125" s="37" t="s">
        <v>451</v>
      </c>
      <c r="E125" s="37" t="n">
        <v>23060612</v>
      </c>
      <c r="F125" s="37" t="s">
        <v>139</v>
      </c>
      <c r="G125" s="37" t="s">
        <v>198</v>
      </c>
      <c r="H125" s="37" t="s">
        <v>167</v>
      </c>
      <c r="I125" s="37" t="n">
        <v>19.5</v>
      </c>
      <c r="J125" s="39" t="n">
        <v>369.99</v>
      </c>
      <c r="K125" s="37" t="s">
        <v>322</v>
      </c>
      <c r="L125" s="39" t="n">
        <v>64.99</v>
      </c>
      <c r="M125" s="39" t="n">
        <v>39.83</v>
      </c>
      <c r="N125" s="39" t="n">
        <f aca="false">J125*Resumo!$C$7</f>
        <v>0.73998</v>
      </c>
      <c r="O125" s="39" t="n">
        <f aca="false">J125*Resumo!$C$8</f>
        <v>0.73998</v>
      </c>
      <c r="P125" s="39" t="n">
        <f aca="false">Resumo!$C$10*CEILING(I125/100,1)</f>
        <v>1</v>
      </c>
      <c r="Q125" s="39" t="n">
        <f aca="false">Resumo!$C$9</f>
        <v>11.9</v>
      </c>
      <c r="R125" s="39" t="n">
        <f aca="false">SUM(M125:Q125)*Resumo!$C$11</f>
        <v>2.9815478</v>
      </c>
      <c r="S125" s="39" t="n">
        <f aca="false">SUM(M125:R125)</f>
        <v>57.1915078</v>
      </c>
      <c r="T125" s="39" t="n">
        <f aca="false">S125/(1-Resumo!$C$5)</f>
        <v>64.9903497727273</v>
      </c>
      <c r="U125" s="39" t="n">
        <v>46.98</v>
      </c>
      <c r="V125" s="39" t="n">
        <f aca="false">J125*Resumo!$B$6</f>
        <v>0.36999</v>
      </c>
      <c r="W125" s="39" t="n">
        <f aca="false">J125*Resumo!$B$7</f>
        <v>0.73998</v>
      </c>
      <c r="X125" s="39" t="n">
        <f aca="false">Resumo!$B$9</f>
        <v>1</v>
      </c>
      <c r="Y125" s="39" t="n">
        <f aca="false">Resumo!$B$10*CEILING(I125/100,1)</f>
        <v>4.5</v>
      </c>
      <c r="Z125" s="39" t="n">
        <f aca="false">Resumo!$B$12*CEILING(I125,1)</f>
        <v>1.2</v>
      </c>
      <c r="AA125" s="39" t="n">
        <f aca="false">Resumo!$B$13*CEILING(I125,1)</f>
        <v>9</v>
      </c>
      <c r="AB125" s="39" t="n">
        <f aca="false">SUM(U125:AA125)</f>
        <v>63.78997</v>
      </c>
      <c r="AC125" s="39" t="n">
        <f aca="false">AB125/(1-Resumo!$B$5)</f>
        <v>72.4886022727273</v>
      </c>
      <c r="AD125" s="39" t="n">
        <f aca="false">(AB125-AA125)/(1-Resumo!$B$5)</f>
        <v>62.2613295454545</v>
      </c>
      <c r="AE125" s="39" t="n">
        <f aca="false">AC125-T125</f>
        <v>7.49825249999999</v>
      </c>
      <c r="AF125" s="40" t="n">
        <f aca="false">AC125/T125-1</f>
        <v>0.11537485990184</v>
      </c>
      <c r="AG125" s="37" t="str">
        <f aca="false">IF(AC125&lt;T125,"SIM","NÃO")</f>
        <v>NÃO</v>
      </c>
      <c r="AH125" s="37" t="n">
        <v>8</v>
      </c>
      <c r="AI125" s="37" t="n">
        <v>5</v>
      </c>
      <c r="AJ125" s="37" t="s">
        <v>323</v>
      </c>
    </row>
    <row r="126" customFormat="false" ht="15" hidden="false" customHeight="false" outlineLevel="0" collapsed="false">
      <c r="A126" s="37" t="n">
        <v>357280161</v>
      </c>
      <c r="B126" s="38" t="n">
        <v>46213.8809953704</v>
      </c>
      <c r="C126" s="37" t="s">
        <v>320</v>
      </c>
      <c r="D126" s="37" t="s">
        <v>452</v>
      </c>
      <c r="E126" s="37" t="n">
        <v>21830008</v>
      </c>
      <c r="F126" s="37" t="s">
        <v>139</v>
      </c>
      <c r="G126" s="37" t="s">
        <v>198</v>
      </c>
      <c r="H126" s="37" t="s">
        <v>172</v>
      </c>
      <c r="I126" s="37" t="n">
        <v>69</v>
      </c>
      <c r="J126" s="39" t="n">
        <v>735.99</v>
      </c>
      <c r="K126" s="37" t="s">
        <v>322</v>
      </c>
      <c r="L126" s="39" t="n">
        <v>124.73</v>
      </c>
      <c r="M126" s="39" t="n">
        <v>88.2</v>
      </c>
      <c r="N126" s="39" t="n">
        <f aca="false">J126*Resumo!$C$7</f>
        <v>1.47198</v>
      </c>
      <c r="O126" s="39" t="n">
        <f aca="false">J126*Resumo!$C$8</f>
        <v>1.47198</v>
      </c>
      <c r="P126" s="39" t="n">
        <f aca="false">Resumo!$C$10*CEILING(I126/100,1)</f>
        <v>1</v>
      </c>
      <c r="Q126" s="39" t="n">
        <f aca="false">Resumo!$C$9</f>
        <v>11.9</v>
      </c>
      <c r="R126" s="39" t="n">
        <f aca="false">SUM(M126:Q126)*Resumo!$C$11</f>
        <v>5.7224178</v>
      </c>
      <c r="S126" s="39" t="n">
        <f aca="false">SUM(M126:R126)</f>
        <v>109.7663778</v>
      </c>
      <c r="T126" s="39" t="n">
        <f aca="false">S126/(1-Resumo!$C$5)</f>
        <v>124.734520227273</v>
      </c>
      <c r="U126" s="39" t="n">
        <v>131.02</v>
      </c>
      <c r="V126" s="39" t="n">
        <f aca="false">J126*Resumo!$B$6</f>
        <v>0.73599</v>
      </c>
      <c r="W126" s="39" t="n">
        <f aca="false">J126*Resumo!$B$7</f>
        <v>1.47198</v>
      </c>
      <c r="X126" s="39" t="n">
        <f aca="false">Resumo!$B$9</f>
        <v>1</v>
      </c>
      <c r="Y126" s="39" t="n">
        <f aca="false">Resumo!$B$10*CEILING(I126/100,1)</f>
        <v>4.5</v>
      </c>
      <c r="Z126" s="39" t="n">
        <f aca="false">Resumo!$B$12*CEILING(I126,1)</f>
        <v>4.14</v>
      </c>
      <c r="AA126" s="39" t="n">
        <f aca="false">Resumo!$B$13*CEILING(I126,1)</f>
        <v>31.05</v>
      </c>
      <c r="AB126" s="39" t="n">
        <f aca="false">SUM(U126:AA126)</f>
        <v>173.91797</v>
      </c>
      <c r="AC126" s="39" t="n">
        <f aca="false">AB126/(1-Resumo!$B$5)</f>
        <v>197.634056818182</v>
      </c>
      <c r="AD126" s="39" t="n">
        <f aca="false">(AB126-AA126)/(1-Resumo!$B$5)</f>
        <v>162.349965909091</v>
      </c>
      <c r="AE126" s="39" t="n">
        <f aca="false">AC126-T126</f>
        <v>72.8995365909091</v>
      </c>
      <c r="AF126" s="40" t="n">
        <f aca="false">AC126/T126-1</f>
        <v>0.58443754349704</v>
      </c>
      <c r="AG126" s="37" t="str">
        <f aca="false">IF(AC126&lt;T126,"SIM","NÃO")</f>
        <v>NÃO</v>
      </c>
      <c r="AH126" s="37" t="n">
        <v>8</v>
      </c>
      <c r="AI126" s="37" t="n">
        <v>5</v>
      </c>
      <c r="AJ126" s="37" t="s">
        <v>323</v>
      </c>
    </row>
    <row r="127" customFormat="false" ht="15" hidden="false" customHeight="false" outlineLevel="0" collapsed="false">
      <c r="A127" s="37" t="n">
        <v>357283208</v>
      </c>
      <c r="B127" s="38" t="n">
        <v>46213.8882291667</v>
      </c>
      <c r="C127" s="37" t="s">
        <v>325</v>
      </c>
      <c r="D127" s="37" t="s">
        <v>453</v>
      </c>
      <c r="E127" s="37" t="n">
        <v>22451010</v>
      </c>
      <c r="F127" s="37" t="s">
        <v>139</v>
      </c>
      <c r="G127" s="37" t="s">
        <v>198</v>
      </c>
      <c r="H127" s="37" t="s">
        <v>168</v>
      </c>
      <c r="I127" s="37" t="n">
        <v>21.55</v>
      </c>
      <c r="J127" s="39" t="n">
        <v>252.68</v>
      </c>
      <c r="K127" s="37" t="s">
        <v>322</v>
      </c>
      <c r="L127" s="39" t="n">
        <v>81.55</v>
      </c>
      <c r="M127" s="39" t="n">
        <v>54.1</v>
      </c>
      <c r="N127" s="39" t="n">
        <f aca="false">J127*Resumo!$C$7</f>
        <v>0.50536</v>
      </c>
      <c r="O127" s="39" t="n">
        <f aca="false">J127*Resumo!$C$8</f>
        <v>0.50536</v>
      </c>
      <c r="P127" s="39" t="n">
        <f aca="false">Resumo!$C$10*CEILING(I127/100,1)</f>
        <v>1</v>
      </c>
      <c r="Q127" s="39" t="n">
        <f aca="false">Resumo!$C$9</f>
        <v>11.9</v>
      </c>
      <c r="R127" s="39" t="n">
        <f aca="false">SUM(M127:Q127)*Resumo!$C$11</f>
        <v>3.7405896</v>
      </c>
      <c r="S127" s="39" t="n">
        <f aca="false">SUM(M127:R127)</f>
        <v>71.7513096</v>
      </c>
      <c r="T127" s="39" t="n">
        <f aca="false">S127/(1-Resumo!$C$5)</f>
        <v>81.5355790909091</v>
      </c>
      <c r="U127" s="39" t="n">
        <v>82.21</v>
      </c>
      <c r="V127" s="39" t="n">
        <f aca="false">J127*Resumo!$B$6</f>
        <v>0.25268</v>
      </c>
      <c r="W127" s="39" t="n">
        <f aca="false">J127*Resumo!$B$7</f>
        <v>0.50536</v>
      </c>
      <c r="X127" s="39" t="n">
        <f aca="false">Resumo!$B$9</f>
        <v>1</v>
      </c>
      <c r="Y127" s="39" t="n">
        <f aca="false">Resumo!$B$10*CEILING(I127/100,1)</f>
        <v>4.5</v>
      </c>
      <c r="Z127" s="39" t="n">
        <f aca="false">Resumo!$B$12*CEILING(I127,1)</f>
        <v>1.32</v>
      </c>
      <c r="AA127" s="39" t="n">
        <f aca="false">Resumo!$B$13*CEILING(I127,1)</f>
        <v>9.9</v>
      </c>
      <c r="AB127" s="39" t="n">
        <f aca="false">SUM(U127:AA127)</f>
        <v>99.68804</v>
      </c>
      <c r="AC127" s="39" t="n">
        <f aca="false">AB127/(1-Resumo!$B$5)</f>
        <v>113.281863636364</v>
      </c>
      <c r="AD127" s="39" t="n">
        <f aca="false">(AB127-AA127)/(1-Resumo!$B$5)</f>
        <v>102.031863636364</v>
      </c>
      <c r="AE127" s="39" t="n">
        <f aca="false">AC127-T127</f>
        <v>31.7462845454545</v>
      </c>
      <c r="AF127" s="40" t="n">
        <f aca="false">AC127/T127-1</f>
        <v>0.389354989556873</v>
      </c>
      <c r="AG127" s="37" t="str">
        <f aca="false">IF(AC127&lt;T127,"SIM","NÃO")</f>
        <v>NÃO</v>
      </c>
      <c r="AH127" s="37" t="n">
        <v>8</v>
      </c>
      <c r="AI127" s="37" t="n">
        <v>5</v>
      </c>
      <c r="AJ127" s="37" t="s">
        <v>323</v>
      </c>
    </row>
    <row r="128" customFormat="false" ht="15" hidden="false" customHeight="false" outlineLevel="0" collapsed="false">
      <c r="A128" s="37" t="n">
        <v>357306703</v>
      </c>
      <c r="B128" s="38" t="n">
        <v>46213.9472916667</v>
      </c>
      <c r="C128" s="37" t="s">
        <v>320</v>
      </c>
      <c r="D128" s="37" t="s">
        <v>454</v>
      </c>
      <c r="E128" s="37" t="n">
        <v>23575240</v>
      </c>
      <c r="F128" s="37" t="s">
        <v>139</v>
      </c>
      <c r="G128" s="37" t="s">
        <v>198</v>
      </c>
      <c r="H128" s="37" t="s">
        <v>170</v>
      </c>
      <c r="I128" s="37" t="n">
        <v>48.3</v>
      </c>
      <c r="J128" s="39" t="n">
        <v>413.99</v>
      </c>
      <c r="K128" s="37" t="s">
        <v>322</v>
      </c>
      <c r="L128" s="39" t="n">
        <v>102.58</v>
      </c>
      <c r="M128" s="39" t="n">
        <v>71</v>
      </c>
      <c r="N128" s="39" t="n">
        <f aca="false">J128*Resumo!$C$7</f>
        <v>0.82798</v>
      </c>
      <c r="O128" s="39" t="n">
        <f aca="false">J128*Resumo!$C$8</f>
        <v>0.82798</v>
      </c>
      <c r="P128" s="39" t="n">
        <f aca="false">Resumo!$C$10*CEILING(I128/100,1)</f>
        <v>1</v>
      </c>
      <c r="Q128" s="39" t="n">
        <f aca="false">Resumo!$C$9</f>
        <v>11.9</v>
      </c>
      <c r="R128" s="39" t="n">
        <f aca="false">SUM(M128:Q128)*Resumo!$C$11</f>
        <v>4.7055778</v>
      </c>
      <c r="S128" s="39" t="n">
        <f aca="false">SUM(M128:R128)</f>
        <v>90.2615378</v>
      </c>
      <c r="T128" s="39" t="n">
        <f aca="false">S128/(1-Resumo!$C$5)</f>
        <v>102.569929318182</v>
      </c>
      <c r="U128" s="39" t="n">
        <v>93.97</v>
      </c>
      <c r="V128" s="39" t="n">
        <f aca="false">J128*Resumo!$B$6</f>
        <v>0.41399</v>
      </c>
      <c r="W128" s="39" t="n">
        <f aca="false">J128*Resumo!$B$7</f>
        <v>0.82798</v>
      </c>
      <c r="X128" s="39" t="n">
        <f aca="false">Resumo!$B$9</f>
        <v>1</v>
      </c>
      <c r="Y128" s="39" t="n">
        <f aca="false">Resumo!$B$10*CEILING(I128/100,1)</f>
        <v>4.5</v>
      </c>
      <c r="Z128" s="39" t="n">
        <f aca="false">Resumo!$B$12*CEILING(I128,1)</f>
        <v>2.94</v>
      </c>
      <c r="AA128" s="39" t="n">
        <f aca="false">Resumo!$B$13*CEILING(I128,1)</f>
        <v>22.05</v>
      </c>
      <c r="AB128" s="39" t="n">
        <f aca="false">SUM(U128:AA128)</f>
        <v>125.70197</v>
      </c>
      <c r="AC128" s="39" t="n">
        <f aca="false">AB128/(1-Resumo!$B$5)</f>
        <v>142.843147727273</v>
      </c>
      <c r="AD128" s="39" t="n">
        <f aca="false">(AB128-AA128)/(1-Resumo!$B$5)</f>
        <v>117.786329545455</v>
      </c>
      <c r="AE128" s="39" t="n">
        <f aca="false">AC128-T128</f>
        <v>40.2732184090909</v>
      </c>
      <c r="AF128" s="40" t="n">
        <f aca="false">AC128/T128-1</f>
        <v>0.392641573186226</v>
      </c>
      <c r="AG128" s="37" t="str">
        <f aca="false">IF(AC128&lt;T128,"SIM","NÃO")</f>
        <v>NÃO</v>
      </c>
      <c r="AH128" s="37" t="n">
        <v>8</v>
      </c>
      <c r="AI128" s="37" t="n">
        <v>5</v>
      </c>
      <c r="AJ128" s="37" t="s">
        <v>323</v>
      </c>
    </row>
    <row r="129" customFormat="false" ht="15" hidden="false" customHeight="false" outlineLevel="0" collapsed="false">
      <c r="A129" s="37" t="n">
        <v>357310469</v>
      </c>
      <c r="B129" s="38" t="n">
        <v>46213.9580439815</v>
      </c>
      <c r="C129" s="37" t="s">
        <v>320</v>
      </c>
      <c r="D129" s="37" t="s">
        <v>455</v>
      </c>
      <c r="E129" s="37" t="n">
        <v>23575216</v>
      </c>
      <c r="F129" s="37" t="s">
        <v>139</v>
      </c>
      <c r="G129" s="37" t="s">
        <v>198</v>
      </c>
      <c r="H129" s="37" t="s">
        <v>171</v>
      </c>
      <c r="I129" s="37" t="n">
        <v>57</v>
      </c>
      <c r="J129" s="39" t="n">
        <v>644.99</v>
      </c>
      <c r="K129" s="37" t="s">
        <v>322</v>
      </c>
      <c r="L129" s="39" t="n">
        <v>114.24</v>
      </c>
      <c r="M129" s="39" t="n">
        <v>79.81</v>
      </c>
      <c r="N129" s="39" t="n">
        <f aca="false">J129*Resumo!$C$7</f>
        <v>1.28998</v>
      </c>
      <c r="O129" s="39" t="n">
        <f aca="false">J129*Resumo!$C$8</f>
        <v>1.28998</v>
      </c>
      <c r="P129" s="39" t="n">
        <f aca="false">Resumo!$C$10*CEILING(I129/100,1)</f>
        <v>1</v>
      </c>
      <c r="Q129" s="39" t="n">
        <f aca="false">Resumo!$C$9</f>
        <v>11.9</v>
      </c>
      <c r="R129" s="39" t="n">
        <f aca="false">SUM(M129:Q129)*Resumo!$C$11</f>
        <v>5.2409478</v>
      </c>
      <c r="S129" s="39" t="n">
        <f aca="false">SUM(M129:R129)</f>
        <v>100.5309078</v>
      </c>
      <c r="T129" s="39" t="n">
        <f aca="false">S129/(1-Resumo!$C$5)</f>
        <v>114.239667954545</v>
      </c>
      <c r="U129" s="39" t="n">
        <v>112.3</v>
      </c>
      <c r="V129" s="39" t="n">
        <f aca="false">J129*Resumo!$B$6</f>
        <v>0.64499</v>
      </c>
      <c r="W129" s="39" t="n">
        <f aca="false">J129*Resumo!$B$7</f>
        <v>1.28998</v>
      </c>
      <c r="X129" s="39" t="n">
        <f aca="false">Resumo!$B$9</f>
        <v>1</v>
      </c>
      <c r="Y129" s="39" t="n">
        <f aca="false">Resumo!$B$10*CEILING(I129/100,1)</f>
        <v>4.5</v>
      </c>
      <c r="Z129" s="39" t="n">
        <f aca="false">Resumo!$B$12*CEILING(I129,1)</f>
        <v>3.42</v>
      </c>
      <c r="AA129" s="39" t="n">
        <f aca="false">Resumo!$B$13*CEILING(I129,1)</f>
        <v>25.65</v>
      </c>
      <c r="AB129" s="39" t="n">
        <f aca="false">SUM(U129:AA129)</f>
        <v>148.80497</v>
      </c>
      <c r="AC129" s="39" t="n">
        <f aca="false">AB129/(1-Resumo!$B$5)</f>
        <v>169.096556818182</v>
      </c>
      <c r="AD129" s="39" t="n">
        <f aca="false">(AB129-AA129)/(1-Resumo!$B$5)</f>
        <v>139.948829545455</v>
      </c>
      <c r="AE129" s="39" t="n">
        <f aca="false">AC129-T129</f>
        <v>54.8568888636364</v>
      </c>
      <c r="AF129" s="40" t="n">
        <f aca="false">AC129/T129-1</f>
        <v>0.480191249203063</v>
      </c>
      <c r="AG129" s="37" t="str">
        <f aca="false">IF(AC129&lt;T129,"SIM","NÃO")</f>
        <v>NÃO</v>
      </c>
      <c r="AH129" s="37" t="n">
        <v>8</v>
      </c>
      <c r="AI129" s="37" t="n">
        <v>5</v>
      </c>
      <c r="AJ129" s="37" t="s">
        <v>323</v>
      </c>
    </row>
    <row r="130" customFormat="false" ht="15" hidden="false" customHeight="false" outlineLevel="0" collapsed="false">
      <c r="A130" s="37" t="n">
        <v>357393773</v>
      </c>
      <c r="B130" s="38" t="n">
        <v>46214.295462963</v>
      </c>
      <c r="C130" s="37" t="s">
        <v>320</v>
      </c>
      <c r="D130" s="37" t="s">
        <v>456</v>
      </c>
      <c r="E130" s="37" t="n">
        <v>26262120</v>
      </c>
      <c r="F130" s="37" t="s">
        <v>142</v>
      </c>
      <c r="G130" s="37" t="s">
        <v>207</v>
      </c>
      <c r="H130" s="37" t="s">
        <v>170</v>
      </c>
      <c r="I130" s="37" t="n">
        <v>48.3</v>
      </c>
      <c r="J130" s="39" t="n">
        <v>413.99</v>
      </c>
      <c r="K130" s="37" t="s">
        <v>322</v>
      </c>
      <c r="L130" s="39" t="n">
        <v>116.06</v>
      </c>
      <c r="M130" s="39" t="n">
        <v>82.25</v>
      </c>
      <c r="N130" s="39" t="n">
        <f aca="false">J130*Resumo!$C$7</f>
        <v>0.82798</v>
      </c>
      <c r="O130" s="39" t="n">
        <f aca="false">J130*Resumo!$C$8</f>
        <v>0.82798</v>
      </c>
      <c r="P130" s="39" t="n">
        <f aca="false">Resumo!$C$10*CEILING(I130/100,1)</f>
        <v>1</v>
      </c>
      <c r="Q130" s="39" t="n">
        <f aca="false">Resumo!$C$9</f>
        <v>11.9</v>
      </c>
      <c r="R130" s="39" t="n">
        <f aca="false">SUM(M130:Q130)*Resumo!$C$11</f>
        <v>5.3243278</v>
      </c>
      <c r="S130" s="39" t="n">
        <f aca="false">SUM(M130:R130)</f>
        <v>102.1302878</v>
      </c>
      <c r="T130" s="39" t="n">
        <f aca="false">S130/(1-Resumo!$C$5)</f>
        <v>116.057145227273</v>
      </c>
      <c r="U130" s="39" t="n">
        <v>93.97</v>
      </c>
      <c r="V130" s="39" t="n">
        <f aca="false">J130*Resumo!$B$6</f>
        <v>0.41399</v>
      </c>
      <c r="W130" s="39" t="n">
        <f aca="false">J130*Resumo!$B$7</f>
        <v>0.82798</v>
      </c>
      <c r="X130" s="39" t="n">
        <f aca="false">Resumo!$B$9</f>
        <v>1</v>
      </c>
      <c r="Y130" s="39" t="n">
        <f aca="false">Resumo!$B$10*CEILING(I130/100,1)</f>
        <v>4.5</v>
      </c>
      <c r="Z130" s="39" t="n">
        <f aca="false">Resumo!$B$12*CEILING(I130,1)</f>
        <v>2.94</v>
      </c>
      <c r="AA130" s="39" t="n">
        <f aca="false">Resumo!$B$13*CEILING(I130,1)</f>
        <v>22.05</v>
      </c>
      <c r="AB130" s="39" t="n">
        <f aca="false">SUM(U130:AA130)</f>
        <v>125.70197</v>
      </c>
      <c r="AC130" s="39" t="n">
        <f aca="false">AB130/(1-Resumo!$B$5)</f>
        <v>142.843147727273</v>
      </c>
      <c r="AD130" s="39" t="n">
        <f aca="false">(AB130-AA130)/(1-Resumo!$B$5)</f>
        <v>117.786329545455</v>
      </c>
      <c r="AE130" s="39" t="n">
        <f aca="false">AC130-T130</f>
        <v>26.7860025</v>
      </c>
      <c r="AF130" s="40" t="n">
        <f aca="false">AC130/T130-1</f>
        <v>0.230800115301349</v>
      </c>
      <c r="AG130" s="37" t="str">
        <f aca="false">IF(AC130&lt;T130,"SIM","NÃO")</f>
        <v>NÃO</v>
      </c>
      <c r="AH130" s="37" t="n">
        <v>10</v>
      </c>
      <c r="AI130" s="37" t="n">
        <v>5</v>
      </c>
      <c r="AJ130" s="37" t="s">
        <v>323</v>
      </c>
    </row>
    <row r="131" customFormat="false" ht="15" hidden="false" customHeight="false" outlineLevel="0" collapsed="false">
      <c r="A131" s="37" t="n">
        <v>357432346</v>
      </c>
      <c r="B131" s="38" t="n">
        <v>46214.4187615741</v>
      </c>
      <c r="C131" s="37" t="s">
        <v>320</v>
      </c>
      <c r="D131" s="37" t="s">
        <v>457</v>
      </c>
      <c r="E131" s="37" t="n">
        <v>20241320</v>
      </c>
      <c r="F131" s="37" t="s">
        <v>139</v>
      </c>
      <c r="G131" s="37" t="s">
        <v>198</v>
      </c>
      <c r="H131" s="37" t="s">
        <v>171</v>
      </c>
      <c r="I131" s="37" t="n">
        <v>52.3</v>
      </c>
      <c r="J131" s="39" t="n">
        <v>644.99</v>
      </c>
      <c r="K131" s="37" t="s">
        <v>322</v>
      </c>
      <c r="L131" s="39" t="n">
        <v>114.24</v>
      </c>
      <c r="M131" s="39" t="n">
        <v>79.81</v>
      </c>
      <c r="N131" s="39" t="n">
        <f aca="false">J131*Resumo!$C$7</f>
        <v>1.28998</v>
      </c>
      <c r="O131" s="39" t="n">
        <f aca="false">J131*Resumo!$C$8</f>
        <v>1.28998</v>
      </c>
      <c r="P131" s="39" t="n">
        <f aca="false">Resumo!$C$10*CEILING(I131/100,1)</f>
        <v>1</v>
      </c>
      <c r="Q131" s="39" t="n">
        <f aca="false">Resumo!$C$9</f>
        <v>11.9</v>
      </c>
      <c r="R131" s="39" t="n">
        <f aca="false">SUM(M131:Q131)*Resumo!$C$11</f>
        <v>5.2409478</v>
      </c>
      <c r="S131" s="39" t="n">
        <f aca="false">SUM(M131:R131)</f>
        <v>100.5309078</v>
      </c>
      <c r="T131" s="39" t="n">
        <f aca="false">S131/(1-Resumo!$C$5)</f>
        <v>114.239667954545</v>
      </c>
      <c r="U131" s="39" t="n">
        <v>112.3</v>
      </c>
      <c r="V131" s="39" t="n">
        <f aca="false">J131*Resumo!$B$6</f>
        <v>0.64499</v>
      </c>
      <c r="W131" s="39" t="n">
        <f aca="false">J131*Resumo!$B$7</f>
        <v>1.28998</v>
      </c>
      <c r="X131" s="39" t="n">
        <f aca="false">Resumo!$B$9</f>
        <v>1</v>
      </c>
      <c r="Y131" s="39" t="n">
        <f aca="false">Resumo!$B$10*CEILING(I131/100,1)</f>
        <v>4.5</v>
      </c>
      <c r="Z131" s="39" t="n">
        <f aca="false">Resumo!$B$12*CEILING(I131,1)</f>
        <v>3.18</v>
      </c>
      <c r="AA131" s="39" t="n">
        <f aca="false">Resumo!$B$13*CEILING(I131,1)</f>
        <v>23.85</v>
      </c>
      <c r="AB131" s="39" t="n">
        <f aca="false">SUM(U131:AA131)</f>
        <v>146.76497</v>
      </c>
      <c r="AC131" s="39" t="n">
        <f aca="false">AB131/(1-Resumo!$B$5)</f>
        <v>166.778375</v>
      </c>
      <c r="AD131" s="39" t="n">
        <f aca="false">(AB131-AA131)/(1-Resumo!$B$5)</f>
        <v>139.676102272727</v>
      </c>
      <c r="AE131" s="39" t="n">
        <f aca="false">AC131-T131</f>
        <v>52.5387070454545</v>
      </c>
      <c r="AF131" s="40" t="n">
        <f aca="false">AC131/T131-1</f>
        <v>0.459898982430158</v>
      </c>
      <c r="AG131" s="37" t="str">
        <f aca="false">IF(AC131&lt;T131,"SIM","NÃO")</f>
        <v>NÃO</v>
      </c>
      <c r="AH131" s="37" t="n">
        <v>8</v>
      </c>
      <c r="AI131" s="37" t="n">
        <v>5</v>
      </c>
      <c r="AJ131" s="37" t="s">
        <v>323</v>
      </c>
    </row>
    <row r="132" customFormat="false" ht="15" hidden="false" customHeight="false" outlineLevel="0" collapsed="false">
      <c r="A132" s="37" t="n">
        <v>357438567</v>
      </c>
      <c r="B132" s="38" t="n">
        <v>46214.4345949074</v>
      </c>
      <c r="C132" s="37" t="s">
        <v>320</v>
      </c>
      <c r="D132" s="37" t="s">
        <v>458</v>
      </c>
      <c r="E132" s="37" t="n">
        <v>24935160</v>
      </c>
      <c r="F132" s="37" t="s">
        <v>151</v>
      </c>
      <c r="G132" s="37" t="s">
        <v>201</v>
      </c>
      <c r="H132" s="37" t="s">
        <v>171</v>
      </c>
      <c r="I132" s="37" t="n">
        <v>52.3</v>
      </c>
      <c r="J132" s="39" t="n">
        <v>644.99</v>
      </c>
      <c r="K132" s="37" t="s">
        <v>322</v>
      </c>
      <c r="L132" s="39" t="n">
        <v>142.76</v>
      </c>
      <c r="M132" s="39" t="n">
        <v>103.6</v>
      </c>
      <c r="N132" s="39" t="n">
        <f aca="false">J132*Resumo!$C$7</f>
        <v>1.28998</v>
      </c>
      <c r="O132" s="39" t="n">
        <f aca="false">J132*Resumo!$C$8</f>
        <v>1.28998</v>
      </c>
      <c r="P132" s="39" t="n">
        <f aca="false">Resumo!$C$10*CEILING(I132/100,1)</f>
        <v>1</v>
      </c>
      <c r="Q132" s="39" t="n">
        <f aca="false">Resumo!$C$9</f>
        <v>11.9</v>
      </c>
      <c r="R132" s="39" t="n">
        <f aca="false">SUM(M132:Q132)*Resumo!$C$11</f>
        <v>6.5493978</v>
      </c>
      <c r="S132" s="39" t="n">
        <f aca="false">SUM(M132:R132)</f>
        <v>125.6293578</v>
      </c>
      <c r="T132" s="39" t="n">
        <f aca="false">S132/(1-Resumo!$C$5)</f>
        <v>142.760633863636</v>
      </c>
      <c r="U132" s="39" t="n">
        <v>128.14</v>
      </c>
      <c r="V132" s="39" t="n">
        <f aca="false">J132*Resumo!$B$6</f>
        <v>0.64499</v>
      </c>
      <c r="W132" s="39" t="n">
        <f aca="false">J132*Resumo!$B$7</f>
        <v>1.28998</v>
      </c>
      <c r="X132" s="39" t="n">
        <f aca="false">Resumo!$B$9</f>
        <v>1</v>
      </c>
      <c r="Y132" s="39" t="n">
        <f aca="false">Resumo!$B$10*CEILING(I132/100,1)</f>
        <v>4.5</v>
      </c>
      <c r="Z132" s="39" t="n">
        <f aca="false">Resumo!$B$12*CEILING(I132,1)</f>
        <v>3.18</v>
      </c>
      <c r="AA132" s="39" t="n">
        <f aca="false">Resumo!$B$13*CEILING(I132,1)</f>
        <v>23.85</v>
      </c>
      <c r="AB132" s="39" t="n">
        <f aca="false">SUM(U132:AA132)</f>
        <v>162.60497</v>
      </c>
      <c r="AC132" s="39" t="n">
        <f aca="false">AB132/(1-Resumo!$B$5)</f>
        <v>184.778375</v>
      </c>
      <c r="AD132" s="39" t="n">
        <f aca="false">(AB132-AA132)/(1-Resumo!$B$5)</f>
        <v>157.676102272727</v>
      </c>
      <c r="AE132" s="39" t="n">
        <f aca="false">AC132-T132</f>
        <v>42.0177411363636</v>
      </c>
      <c r="AF132" s="40" t="n">
        <f aca="false">AC132/T132-1</f>
        <v>0.294323021684666</v>
      </c>
      <c r="AG132" s="37" t="str">
        <f aca="false">IF(AC132&lt;T132,"SIM","NÃO")</f>
        <v>NÃO</v>
      </c>
      <c r="AH132" s="37" t="n">
        <v>13</v>
      </c>
      <c r="AI132" s="37" t="n">
        <v>7</v>
      </c>
      <c r="AJ132" s="37" t="s">
        <v>323</v>
      </c>
    </row>
    <row r="133" customFormat="false" ht="15" hidden="false" customHeight="false" outlineLevel="0" collapsed="false">
      <c r="A133" s="37" t="n">
        <v>357439354</v>
      </c>
      <c r="B133" s="38" t="n">
        <v>46214.4365393519</v>
      </c>
      <c r="C133" s="37" t="s">
        <v>320</v>
      </c>
      <c r="D133" s="37" t="s">
        <v>459</v>
      </c>
      <c r="E133" s="37" t="n">
        <v>26298698</v>
      </c>
      <c r="F133" s="37" t="s">
        <v>142</v>
      </c>
      <c r="G133" s="37" t="s">
        <v>207</v>
      </c>
      <c r="H133" s="37" t="s">
        <v>167</v>
      </c>
      <c r="I133" s="37" t="n">
        <v>19.5</v>
      </c>
      <c r="J133" s="39" t="n">
        <v>369.99</v>
      </c>
      <c r="K133" s="37" t="s">
        <v>322</v>
      </c>
      <c r="L133" s="39" t="n">
        <v>75.61</v>
      </c>
      <c r="M133" s="39" t="n">
        <v>48.69</v>
      </c>
      <c r="N133" s="39" t="n">
        <f aca="false">J133*Resumo!$C$7</f>
        <v>0.73998</v>
      </c>
      <c r="O133" s="39" t="n">
        <f aca="false">J133*Resumo!$C$8</f>
        <v>0.73998</v>
      </c>
      <c r="P133" s="39" t="n">
        <f aca="false">Resumo!$C$10*CEILING(I133/100,1)</f>
        <v>1</v>
      </c>
      <c r="Q133" s="39" t="n">
        <f aca="false">Resumo!$C$9</f>
        <v>11.9</v>
      </c>
      <c r="R133" s="39" t="n">
        <f aca="false">SUM(M133:Q133)*Resumo!$C$11</f>
        <v>3.4688478</v>
      </c>
      <c r="S133" s="39" t="n">
        <f aca="false">SUM(M133:R133)</f>
        <v>66.5388078</v>
      </c>
      <c r="T133" s="39" t="n">
        <f aca="false">S133/(1-Resumo!$C$5)</f>
        <v>75.6122815909091</v>
      </c>
      <c r="U133" s="39" t="n">
        <v>46.98</v>
      </c>
      <c r="V133" s="39" t="n">
        <f aca="false">J133*Resumo!$B$6</f>
        <v>0.36999</v>
      </c>
      <c r="W133" s="39" t="n">
        <f aca="false">J133*Resumo!$B$7</f>
        <v>0.73998</v>
      </c>
      <c r="X133" s="39" t="n">
        <f aca="false">Resumo!$B$9</f>
        <v>1</v>
      </c>
      <c r="Y133" s="39" t="n">
        <f aca="false">Resumo!$B$10*CEILING(I133/100,1)</f>
        <v>4.5</v>
      </c>
      <c r="Z133" s="39" t="n">
        <f aca="false">Resumo!$B$12*CEILING(I133,1)</f>
        <v>1.2</v>
      </c>
      <c r="AA133" s="39" t="n">
        <f aca="false">Resumo!$B$13*CEILING(I133,1)</f>
        <v>9</v>
      </c>
      <c r="AB133" s="39" t="n">
        <f aca="false">SUM(U133:AA133)</f>
        <v>63.78997</v>
      </c>
      <c r="AC133" s="39" t="n">
        <f aca="false">AB133/(1-Resumo!$B$5)</f>
        <v>72.4886022727273</v>
      </c>
      <c r="AD133" s="39" t="n">
        <f aca="false">(AB133-AA133)/(1-Resumo!$B$5)</f>
        <v>62.2613295454545</v>
      </c>
      <c r="AE133" s="39" t="n">
        <f aca="false">AC133-T133</f>
        <v>-3.12367931818183</v>
      </c>
      <c r="AF133" s="40" t="n">
        <f aca="false">AC133/T133-1</f>
        <v>-0.0413117981954586</v>
      </c>
      <c r="AG133" s="37" t="str">
        <f aca="false">IF(AC133&lt;T133,"SIM","NÃO")</f>
        <v>SIM</v>
      </c>
      <c r="AH133" s="37" t="n">
        <v>10</v>
      </c>
      <c r="AI133" s="37" t="n">
        <v>5</v>
      </c>
      <c r="AJ133" s="37" t="s">
        <v>323</v>
      </c>
    </row>
    <row r="134" customFormat="false" ht="15" hidden="false" customHeight="false" outlineLevel="0" collapsed="false">
      <c r="A134" s="37" t="n">
        <v>357441927</v>
      </c>
      <c r="B134" s="38" t="n">
        <v>46214.4428240741</v>
      </c>
      <c r="C134" s="37" t="s">
        <v>320</v>
      </c>
      <c r="D134" s="37" t="s">
        <v>428</v>
      </c>
      <c r="E134" s="37" t="n">
        <v>25995290</v>
      </c>
      <c r="F134" s="37" t="s">
        <v>221</v>
      </c>
      <c r="G134" s="37" t="s">
        <v>201</v>
      </c>
      <c r="H134" s="37" t="s">
        <v>167</v>
      </c>
      <c r="I134" s="37" t="n">
        <v>17.2</v>
      </c>
      <c r="J134" s="39" t="n">
        <v>224.99</v>
      </c>
      <c r="K134" s="37" t="s">
        <v>322</v>
      </c>
      <c r="L134" s="39" t="n">
        <v>79.74</v>
      </c>
      <c r="M134" s="39" t="n">
        <v>52.71</v>
      </c>
      <c r="N134" s="39" t="n">
        <f aca="false">J134*Resumo!$C$7</f>
        <v>0.44998</v>
      </c>
      <c r="O134" s="39" t="n">
        <f aca="false">J134*Resumo!$C$8</f>
        <v>0.44998</v>
      </c>
      <c r="P134" s="39" t="n">
        <f aca="false">Resumo!$C$10*CEILING(I134/100,1)</f>
        <v>1</v>
      </c>
      <c r="Q134" s="39" t="n">
        <f aca="false">Resumo!$C$9</f>
        <v>11.9</v>
      </c>
      <c r="R134" s="39" t="n">
        <f aca="false">SUM(M134:Q134)*Resumo!$C$11</f>
        <v>3.6580478</v>
      </c>
      <c r="S134" s="39" t="n">
        <f aca="false">SUM(M134:R134)</f>
        <v>70.1680078</v>
      </c>
      <c r="T134" s="39" t="n">
        <f aca="false">S134/(1-Resumo!$C$5)</f>
        <v>79.7363725</v>
      </c>
      <c r="U134" s="39" t="n">
        <v>106.53</v>
      </c>
      <c r="V134" s="39" t="n">
        <f aca="false">J134*Resumo!$B$6</f>
        <v>0.22499</v>
      </c>
      <c r="W134" s="39" t="n">
        <f aca="false">J134*Resumo!$B$7</f>
        <v>0.44998</v>
      </c>
      <c r="X134" s="39" t="n">
        <f aca="false">Resumo!$B$9</f>
        <v>1</v>
      </c>
      <c r="Y134" s="39" t="n">
        <f aca="false">Resumo!$B$10*CEILING(I134/100,1)</f>
        <v>4.5</v>
      </c>
      <c r="Z134" s="39" t="n">
        <f aca="false">Resumo!$B$12*CEILING(I134,1)</f>
        <v>1.08</v>
      </c>
      <c r="AA134" s="39" t="n">
        <f aca="false">Resumo!$B$13*CEILING(I134,1)</f>
        <v>8.1</v>
      </c>
      <c r="AB134" s="39" t="n">
        <f aca="false">SUM(U134:AA134)</f>
        <v>121.88497</v>
      </c>
      <c r="AC134" s="39" t="n">
        <f aca="false">AB134/(1-Resumo!$B$5)</f>
        <v>138.505647727273</v>
      </c>
      <c r="AD134" s="39" t="n">
        <f aca="false">(AB134-AA134)/(1-Resumo!$B$5)</f>
        <v>129.301102272727</v>
      </c>
      <c r="AE134" s="39" t="n">
        <f aca="false">AC134-T134</f>
        <v>58.7692752272727</v>
      </c>
      <c r="AF134" s="40" t="n">
        <f aca="false">AC134/T134-1</f>
        <v>0.737044756171629</v>
      </c>
      <c r="AG134" s="37" t="str">
        <f aca="false">IF(AC134&lt;T134,"SIM","NÃO")</f>
        <v>NÃO</v>
      </c>
      <c r="AH134" s="37" t="n">
        <v>13</v>
      </c>
      <c r="AI134" s="37" t="n">
        <v>10</v>
      </c>
      <c r="AJ134" s="37" t="s">
        <v>327</v>
      </c>
    </row>
    <row r="135" customFormat="false" ht="15" hidden="false" customHeight="false" outlineLevel="0" collapsed="false">
      <c r="A135" s="37" t="n">
        <v>357459131</v>
      </c>
      <c r="B135" s="38" t="n">
        <v>46214.4823611111</v>
      </c>
      <c r="C135" s="37" t="s">
        <v>320</v>
      </c>
      <c r="D135" s="37" t="s">
        <v>460</v>
      </c>
      <c r="E135" s="37" t="n">
        <v>27276375</v>
      </c>
      <c r="F135" s="37" t="s">
        <v>148</v>
      </c>
      <c r="G135" s="37" t="s">
        <v>201</v>
      </c>
      <c r="H135" s="37" t="s">
        <v>170</v>
      </c>
      <c r="I135" s="37" t="n">
        <v>41</v>
      </c>
      <c r="J135" s="39" t="n">
        <v>515.19</v>
      </c>
      <c r="K135" s="37" t="s">
        <v>322</v>
      </c>
      <c r="L135" s="39" t="n">
        <v>130.62</v>
      </c>
      <c r="M135" s="39" t="n">
        <v>94</v>
      </c>
      <c r="N135" s="39" t="n">
        <f aca="false">J135*Resumo!$C$7</f>
        <v>1.03038</v>
      </c>
      <c r="O135" s="39" t="n">
        <f aca="false">J135*Resumo!$C$8</f>
        <v>1.03038</v>
      </c>
      <c r="P135" s="39" t="n">
        <f aca="false">Resumo!$C$10*CEILING(I135/100,1)</f>
        <v>1</v>
      </c>
      <c r="Q135" s="39" t="n">
        <f aca="false">Resumo!$C$9</f>
        <v>11.9</v>
      </c>
      <c r="R135" s="39" t="n">
        <f aca="false">SUM(M135:Q135)*Resumo!$C$11</f>
        <v>5.9928418</v>
      </c>
      <c r="S135" s="39" t="n">
        <f aca="false">SUM(M135:R135)</f>
        <v>114.9536018</v>
      </c>
      <c r="T135" s="39" t="n">
        <f aca="false">S135/(1-Resumo!$C$5)</f>
        <v>130.629092954545</v>
      </c>
      <c r="U135" s="39" t="n">
        <v>124.38</v>
      </c>
      <c r="V135" s="39" t="n">
        <f aca="false">J135*Resumo!$B$6</f>
        <v>0.51519</v>
      </c>
      <c r="W135" s="39" t="n">
        <f aca="false">J135*Resumo!$B$7</f>
        <v>1.03038</v>
      </c>
      <c r="X135" s="39" t="n">
        <f aca="false">Resumo!$B$9</f>
        <v>1</v>
      </c>
      <c r="Y135" s="39" t="n">
        <f aca="false">Resumo!$B$10*CEILING(I135/100,1)</f>
        <v>4.5</v>
      </c>
      <c r="Z135" s="39" t="n">
        <f aca="false">Resumo!$B$12*CEILING(I135,1)</f>
        <v>2.46</v>
      </c>
      <c r="AA135" s="39" t="n">
        <f aca="false">Resumo!$B$13*CEILING(I135,1)</f>
        <v>18.45</v>
      </c>
      <c r="AB135" s="39" t="n">
        <f aca="false">SUM(U135:AA135)</f>
        <v>152.33557</v>
      </c>
      <c r="AC135" s="39" t="n">
        <f aca="false">AB135/(1-Resumo!$B$5)</f>
        <v>173.108602272727</v>
      </c>
      <c r="AD135" s="39" t="n">
        <f aca="false">(AB135-AA135)/(1-Resumo!$B$5)</f>
        <v>152.142693181818</v>
      </c>
      <c r="AE135" s="39" t="n">
        <f aca="false">AC135-T135</f>
        <v>42.4795093181818</v>
      </c>
      <c r="AF135" s="40" t="n">
        <f aca="false">AC135/T135-1</f>
        <v>0.325191795773728</v>
      </c>
      <c r="AG135" s="37" t="str">
        <f aca="false">IF(AC135&lt;T135,"SIM","NÃO")</f>
        <v>NÃO</v>
      </c>
      <c r="AH135" s="37" t="n">
        <v>13</v>
      </c>
      <c r="AI135" s="37" t="n">
        <v>10</v>
      </c>
      <c r="AJ135" s="37" t="s">
        <v>323</v>
      </c>
    </row>
    <row r="136" customFormat="false" ht="15" hidden="false" customHeight="false" outlineLevel="0" collapsed="false">
      <c r="A136" s="37" t="n">
        <v>357476100</v>
      </c>
      <c r="B136" s="38" t="n">
        <v>46214.517662037</v>
      </c>
      <c r="C136" s="37" t="s">
        <v>320</v>
      </c>
      <c r="D136" s="37" t="s">
        <v>461</v>
      </c>
      <c r="E136" s="37" t="n">
        <v>26310340</v>
      </c>
      <c r="F136" s="37" t="s">
        <v>222</v>
      </c>
      <c r="G136" s="37" t="s">
        <v>207</v>
      </c>
      <c r="H136" s="37" t="s">
        <v>172</v>
      </c>
      <c r="I136" s="37" t="n">
        <v>63.73</v>
      </c>
      <c r="J136" s="39" t="n">
        <v>879.99</v>
      </c>
      <c r="K136" s="37" t="s">
        <v>322</v>
      </c>
      <c r="L136" s="39" t="n">
        <v>140.65</v>
      </c>
      <c r="M136" s="39" t="n">
        <v>100.9</v>
      </c>
      <c r="N136" s="39" t="n">
        <f aca="false">J136*Resumo!$C$7</f>
        <v>1.75998</v>
      </c>
      <c r="O136" s="39" t="n">
        <f aca="false">J136*Resumo!$C$8</f>
        <v>1.75998</v>
      </c>
      <c r="P136" s="39" t="n">
        <f aca="false">Resumo!$C$10*CEILING(I136/100,1)</f>
        <v>1</v>
      </c>
      <c r="Q136" s="39" t="n">
        <f aca="false">Resumo!$C$9</f>
        <v>11.9</v>
      </c>
      <c r="R136" s="39" t="n">
        <f aca="false">SUM(M136:Q136)*Resumo!$C$11</f>
        <v>6.4525978</v>
      </c>
      <c r="S136" s="39" t="n">
        <f aca="false">SUM(M136:R136)</f>
        <v>123.7725578</v>
      </c>
      <c r="T136" s="39" t="n">
        <f aca="false">S136/(1-Resumo!$C$5)</f>
        <v>140.650633863636</v>
      </c>
      <c r="U136" s="39" t="n">
        <v>131.02</v>
      </c>
      <c r="V136" s="39" t="n">
        <f aca="false">J136*Resumo!$B$6</f>
        <v>0.87999</v>
      </c>
      <c r="W136" s="39" t="n">
        <f aca="false">J136*Resumo!$B$7</f>
        <v>1.75998</v>
      </c>
      <c r="X136" s="39" t="n">
        <f aca="false">Resumo!$B$9</f>
        <v>1</v>
      </c>
      <c r="Y136" s="39" t="n">
        <f aca="false">Resumo!$B$10*CEILING(I136/100,1)</f>
        <v>4.5</v>
      </c>
      <c r="Z136" s="39" t="n">
        <f aca="false">Resumo!$B$12*CEILING(I136,1)</f>
        <v>3.84</v>
      </c>
      <c r="AA136" s="39" t="n">
        <f aca="false">Resumo!$B$13*CEILING(I136,1)</f>
        <v>28.8</v>
      </c>
      <c r="AB136" s="39" t="n">
        <f aca="false">SUM(U136:AA136)</f>
        <v>171.79997</v>
      </c>
      <c r="AC136" s="39" t="n">
        <f aca="false">AB136/(1-Resumo!$B$5)</f>
        <v>195.227238636364</v>
      </c>
      <c r="AD136" s="39" t="n">
        <f aca="false">(AB136-AA136)/(1-Resumo!$B$5)</f>
        <v>162.499965909091</v>
      </c>
      <c r="AE136" s="39" t="n">
        <f aca="false">AC136-T136</f>
        <v>54.5766047727273</v>
      </c>
      <c r="AF136" s="40" t="n">
        <f aca="false">AC136/T136-1</f>
        <v>0.388029568538172</v>
      </c>
      <c r="AG136" s="37" t="str">
        <f aca="false">IF(AC136&lt;T136,"SIM","NÃO")</f>
        <v>NÃO</v>
      </c>
      <c r="AH136" s="37" t="n">
        <v>10</v>
      </c>
      <c r="AI136" s="37" t="n">
        <v>5</v>
      </c>
      <c r="AJ136" s="37" t="s">
        <v>327</v>
      </c>
    </row>
    <row r="137" customFormat="false" ht="15" hidden="false" customHeight="false" outlineLevel="0" collapsed="false">
      <c r="A137" s="37" t="n">
        <v>357485689</v>
      </c>
      <c r="B137" s="38" t="n">
        <v>46214.5383449074</v>
      </c>
      <c r="C137" s="37" t="s">
        <v>320</v>
      </c>
      <c r="D137" s="37" t="s">
        <v>462</v>
      </c>
      <c r="E137" s="37" t="n">
        <v>26445390</v>
      </c>
      <c r="F137" s="37" t="s">
        <v>223</v>
      </c>
      <c r="G137" s="37" t="s">
        <v>201</v>
      </c>
      <c r="H137" s="37" t="s">
        <v>169</v>
      </c>
      <c r="I137" s="37" t="n">
        <v>39.8</v>
      </c>
      <c r="J137" s="39" t="n">
        <v>519.99</v>
      </c>
      <c r="K137" s="37" t="s">
        <v>322</v>
      </c>
      <c r="L137" s="39" t="n">
        <v>122.74</v>
      </c>
      <c r="M137" s="39" t="n">
        <v>87.4</v>
      </c>
      <c r="N137" s="39" t="n">
        <f aca="false">J137*Resumo!$C$7</f>
        <v>1.03998</v>
      </c>
      <c r="O137" s="39" t="n">
        <f aca="false">J137*Resumo!$C$8</f>
        <v>1.03998</v>
      </c>
      <c r="P137" s="39" t="n">
        <f aca="false">Resumo!$C$10*CEILING(I137/100,1)</f>
        <v>1</v>
      </c>
      <c r="Q137" s="39" t="n">
        <f aca="false">Resumo!$C$9</f>
        <v>11.9</v>
      </c>
      <c r="R137" s="39" t="n">
        <f aca="false">SUM(M137:Q137)*Resumo!$C$11</f>
        <v>5.6308978</v>
      </c>
      <c r="S137" s="39" t="n">
        <f aca="false">SUM(M137:R137)</f>
        <v>108.0108578</v>
      </c>
      <c r="T137" s="39" t="n">
        <f aca="false">S137/(1-Resumo!$C$5)</f>
        <v>122.739611136364</v>
      </c>
      <c r="U137" s="39" t="n">
        <v>93.97</v>
      </c>
      <c r="V137" s="39" t="n">
        <f aca="false">J137*Resumo!$B$6</f>
        <v>0.51999</v>
      </c>
      <c r="W137" s="39" t="n">
        <f aca="false">J137*Resumo!$B$7</f>
        <v>1.03998</v>
      </c>
      <c r="X137" s="39" t="n">
        <f aca="false">Resumo!$B$9</f>
        <v>1</v>
      </c>
      <c r="Y137" s="39" t="n">
        <f aca="false">Resumo!$B$10*CEILING(I137/100,1)</f>
        <v>4.5</v>
      </c>
      <c r="Z137" s="39" t="n">
        <f aca="false">Resumo!$B$12*CEILING(I137,1)</f>
        <v>2.4</v>
      </c>
      <c r="AA137" s="39" t="n">
        <f aca="false">Resumo!$B$13*CEILING(I137,1)</f>
        <v>18</v>
      </c>
      <c r="AB137" s="39" t="n">
        <f aca="false">SUM(U137:AA137)</f>
        <v>121.42997</v>
      </c>
      <c r="AC137" s="39" t="n">
        <f aca="false">AB137/(1-Resumo!$B$5)</f>
        <v>137.988602272727</v>
      </c>
      <c r="AD137" s="39" t="n">
        <f aca="false">(AB137-AA137)/(1-Resumo!$B$5)</f>
        <v>117.534056818182</v>
      </c>
      <c r="AE137" s="39" t="n">
        <f aca="false">AC137-T137</f>
        <v>15.2489911363636</v>
      </c>
      <c r="AF137" s="40" t="n">
        <f aca="false">AC137/T137-1</f>
        <v>0.124238548543404</v>
      </c>
      <c r="AG137" s="37" t="str">
        <f aca="false">IF(AC137&lt;T137,"SIM","NÃO")</f>
        <v>NÃO</v>
      </c>
      <c r="AH137" s="37" t="n">
        <v>13</v>
      </c>
      <c r="AI137" s="37" t="n">
        <v>5</v>
      </c>
      <c r="AJ137" s="37" t="s">
        <v>327</v>
      </c>
    </row>
    <row r="138" customFormat="false" ht="15" hidden="false" customHeight="false" outlineLevel="0" collapsed="false">
      <c r="A138" s="37" t="n">
        <v>357488369</v>
      </c>
      <c r="B138" s="38" t="n">
        <v>46214.5443055556</v>
      </c>
      <c r="C138" s="37" t="s">
        <v>325</v>
      </c>
      <c r="D138" s="37" t="s">
        <v>463</v>
      </c>
      <c r="E138" s="37" t="n">
        <v>24754190</v>
      </c>
      <c r="F138" s="37" t="s">
        <v>140</v>
      </c>
      <c r="G138" s="37" t="s">
        <v>207</v>
      </c>
      <c r="H138" s="37" t="s">
        <v>175</v>
      </c>
      <c r="I138" s="37" t="n">
        <v>109.7</v>
      </c>
      <c r="J138" s="39" t="n">
        <v>1225.68</v>
      </c>
      <c r="K138" s="37" t="s">
        <v>322</v>
      </c>
      <c r="L138" s="39" t="n">
        <v>195.7</v>
      </c>
      <c r="M138" s="39" t="n">
        <v>144.44</v>
      </c>
      <c r="N138" s="39" t="n">
        <f aca="false">J138*Resumo!$C$7</f>
        <v>2.45136</v>
      </c>
      <c r="O138" s="39" t="n">
        <f aca="false">J138*Resumo!$C$8</f>
        <v>2.45136</v>
      </c>
      <c r="P138" s="39" t="n">
        <f aca="false">Resumo!$C$10*CEILING(I138/100,1)</f>
        <v>2</v>
      </c>
      <c r="Q138" s="39" t="n">
        <f aca="false">Resumo!$C$9</f>
        <v>11.9</v>
      </c>
      <c r="R138" s="39" t="n">
        <f aca="false">SUM(M138:Q138)*Resumo!$C$11</f>
        <v>8.9783496</v>
      </c>
      <c r="S138" s="39" t="n">
        <f aca="false">SUM(M138:R138)</f>
        <v>172.2210696</v>
      </c>
      <c r="T138" s="39" t="n">
        <f aca="false">S138/(1-Resumo!$C$5)</f>
        <v>195.705760909091</v>
      </c>
      <c r="U138" s="39" t="n">
        <v>214.11</v>
      </c>
      <c r="V138" s="39" t="n">
        <f aca="false">J138*Resumo!$B$6</f>
        <v>1.22568</v>
      </c>
      <c r="W138" s="39" t="n">
        <f aca="false">J138*Resumo!$B$7</f>
        <v>2.45136</v>
      </c>
      <c r="X138" s="39" t="n">
        <f aca="false">Resumo!$B$9</f>
        <v>1</v>
      </c>
      <c r="Y138" s="39" t="n">
        <f aca="false">Resumo!$B$10*CEILING(I138/100,1)</f>
        <v>9</v>
      </c>
      <c r="Z138" s="39" t="n">
        <f aca="false">Resumo!$B$12*CEILING(I138,1)</f>
        <v>6.6</v>
      </c>
      <c r="AA138" s="39" t="n">
        <f aca="false">Resumo!$B$13*CEILING(I138,1)</f>
        <v>49.5</v>
      </c>
      <c r="AB138" s="39" t="n">
        <f aca="false">SUM(U138:AA138)</f>
        <v>283.88704</v>
      </c>
      <c r="AC138" s="39" t="n">
        <f aca="false">AB138/(1-Resumo!$B$5)</f>
        <v>322.598909090909</v>
      </c>
      <c r="AD138" s="39" t="n">
        <f aca="false">(AB138-AA138)/(1-Resumo!$B$5)</f>
        <v>266.348909090909</v>
      </c>
      <c r="AE138" s="39" t="n">
        <f aca="false">AC138-T138</f>
        <v>126.893148181818</v>
      </c>
      <c r="AF138" s="40" t="n">
        <f aca="false">AC138/T138-1</f>
        <v>0.648387393362235</v>
      </c>
      <c r="AG138" s="37" t="str">
        <f aca="false">IF(AC138&lt;T138,"SIM","NÃO")</f>
        <v>NÃO</v>
      </c>
      <c r="AH138" s="37" t="n">
        <v>10</v>
      </c>
      <c r="AI138" s="37" t="n">
        <v>7</v>
      </c>
      <c r="AJ138" s="37" t="s">
        <v>323</v>
      </c>
    </row>
    <row r="139" customFormat="false" ht="15" hidden="false" customHeight="false" outlineLevel="0" collapsed="false">
      <c r="A139" s="37" t="n">
        <v>357497532</v>
      </c>
      <c r="B139" s="38" t="n">
        <v>46214.5646759259</v>
      </c>
      <c r="C139" s="37" t="s">
        <v>320</v>
      </c>
      <c r="D139" s="37" t="s">
        <v>464</v>
      </c>
      <c r="E139" s="37" t="n">
        <v>27933140</v>
      </c>
      <c r="F139" s="37" t="s">
        <v>146</v>
      </c>
      <c r="G139" s="37" t="s">
        <v>201</v>
      </c>
      <c r="H139" s="37" t="s">
        <v>171</v>
      </c>
      <c r="I139" s="37" t="n">
        <v>52.3</v>
      </c>
      <c r="J139" s="39" t="n">
        <v>644.99</v>
      </c>
      <c r="K139" s="37" t="s">
        <v>322</v>
      </c>
      <c r="L139" s="39" t="n">
        <v>142.76</v>
      </c>
      <c r="M139" s="39" t="n">
        <v>103.6</v>
      </c>
      <c r="N139" s="39" t="n">
        <f aca="false">J139*Resumo!$C$7</f>
        <v>1.28998</v>
      </c>
      <c r="O139" s="39" t="n">
        <f aca="false">J139*Resumo!$C$8</f>
        <v>1.28998</v>
      </c>
      <c r="P139" s="39" t="n">
        <f aca="false">Resumo!$C$10*CEILING(I139/100,1)</f>
        <v>1</v>
      </c>
      <c r="Q139" s="39" t="n">
        <f aca="false">Resumo!$C$9</f>
        <v>11.9</v>
      </c>
      <c r="R139" s="39" t="n">
        <f aca="false">SUM(M139:Q139)*Resumo!$C$11</f>
        <v>6.5493978</v>
      </c>
      <c r="S139" s="39" t="n">
        <f aca="false">SUM(M139:R139)</f>
        <v>125.6293578</v>
      </c>
      <c r="T139" s="39" t="n">
        <f aca="false">S139/(1-Resumo!$C$5)</f>
        <v>142.760633863636</v>
      </c>
      <c r="U139" s="39" t="n">
        <v>162.04</v>
      </c>
      <c r="V139" s="39" t="n">
        <f aca="false">J139*Resumo!$B$6</f>
        <v>0.64499</v>
      </c>
      <c r="W139" s="39" t="n">
        <f aca="false">J139*Resumo!$B$7</f>
        <v>1.28998</v>
      </c>
      <c r="X139" s="39" t="n">
        <f aca="false">Resumo!$B$9</f>
        <v>1</v>
      </c>
      <c r="Y139" s="39" t="n">
        <f aca="false">Resumo!$B$10*CEILING(I139/100,1)</f>
        <v>4.5</v>
      </c>
      <c r="Z139" s="39" t="n">
        <f aca="false">Resumo!$B$12*CEILING(I139,1)</f>
        <v>3.18</v>
      </c>
      <c r="AA139" s="39" t="n">
        <f aca="false">Resumo!$B$13*CEILING(I139,1)</f>
        <v>23.85</v>
      </c>
      <c r="AB139" s="39" t="n">
        <f aca="false">SUM(U139:AA139)</f>
        <v>196.50497</v>
      </c>
      <c r="AC139" s="39" t="n">
        <f aca="false">AB139/(1-Resumo!$B$5)</f>
        <v>223.301102272727</v>
      </c>
      <c r="AD139" s="39" t="n">
        <f aca="false">(AB139-AA139)/(1-Resumo!$B$5)</f>
        <v>196.198829545455</v>
      </c>
      <c r="AE139" s="39" t="n">
        <f aca="false">AC139-T139</f>
        <v>80.5404684090909</v>
      </c>
      <c r="AF139" s="40" t="n">
        <f aca="false">AC139/T139-1</f>
        <v>0.564164407437575</v>
      </c>
      <c r="AG139" s="37" t="str">
        <f aca="false">IF(AC139&lt;T139,"SIM","NÃO")</f>
        <v>NÃO</v>
      </c>
      <c r="AH139" s="37" t="n">
        <v>13</v>
      </c>
      <c r="AI139" s="37" t="n">
        <v>11</v>
      </c>
      <c r="AJ139" s="37" t="s">
        <v>323</v>
      </c>
    </row>
    <row r="140" customFormat="false" ht="15" hidden="false" customHeight="false" outlineLevel="0" collapsed="false">
      <c r="A140" s="37" t="n">
        <v>357517179</v>
      </c>
      <c r="B140" s="38" t="n">
        <v>46214.6078472222</v>
      </c>
      <c r="C140" s="37" t="s">
        <v>320</v>
      </c>
      <c r="D140" s="37" t="s">
        <v>465</v>
      </c>
      <c r="E140" s="37" t="n">
        <v>28660000</v>
      </c>
      <c r="F140" s="37" t="s">
        <v>268</v>
      </c>
      <c r="G140" s="37" t="s">
        <v>201</v>
      </c>
      <c r="H140" s="37" t="s">
        <v>172</v>
      </c>
      <c r="I140" s="37" t="n">
        <v>68.7</v>
      </c>
      <c r="J140" s="39" t="n">
        <v>839.99</v>
      </c>
      <c r="K140" s="37" t="s">
        <v>322</v>
      </c>
      <c r="L140" s="39" t="n">
        <v>156.05</v>
      </c>
      <c r="M140" s="39" t="n">
        <v>113.9</v>
      </c>
      <c r="N140" s="39" t="n">
        <f aca="false">J140*Resumo!$C$7</f>
        <v>1.67998</v>
      </c>
      <c r="O140" s="39" t="n">
        <f aca="false">J140*Resumo!$C$8</f>
        <v>1.67998</v>
      </c>
      <c r="P140" s="39" t="n">
        <f aca="false">Resumo!$C$10*CEILING(I140/100,1)</f>
        <v>1</v>
      </c>
      <c r="Q140" s="39" t="n">
        <f aca="false">Resumo!$C$9</f>
        <v>11.9</v>
      </c>
      <c r="R140" s="39" t="n">
        <f aca="false">SUM(M140:Q140)*Resumo!$C$11</f>
        <v>7.1587978</v>
      </c>
      <c r="S140" s="39" t="n">
        <f aca="false">SUM(M140:R140)</f>
        <v>137.3187578</v>
      </c>
      <c r="T140" s="39" t="n">
        <f aca="false">S140/(1-Resumo!$C$5)</f>
        <v>156.044042954545</v>
      </c>
      <c r="U140" s="39" t="n">
        <v>166.05</v>
      </c>
      <c r="V140" s="39" t="n">
        <f aca="false">J140*Resumo!$B$6</f>
        <v>0.83999</v>
      </c>
      <c r="W140" s="39" t="n">
        <f aca="false">J140*Resumo!$B$7</f>
        <v>1.67998</v>
      </c>
      <c r="X140" s="39" t="n">
        <f aca="false">Resumo!$B$9</f>
        <v>1</v>
      </c>
      <c r="Y140" s="39" t="n">
        <f aca="false">Resumo!$B$10*CEILING(I140/100,1)</f>
        <v>4.5</v>
      </c>
      <c r="Z140" s="39" t="n">
        <f aca="false">Resumo!$B$12*CEILING(I140,1)</f>
        <v>4.14</v>
      </c>
      <c r="AA140" s="39" t="n">
        <f aca="false">Resumo!$B$13*CEILING(I140,1)</f>
        <v>31.05</v>
      </c>
      <c r="AB140" s="39" t="n">
        <f aca="false">SUM(U140:AA140)</f>
        <v>209.25997</v>
      </c>
      <c r="AC140" s="39" t="n">
        <f aca="false">AB140/(1-Resumo!$B$5)</f>
        <v>237.795420454545</v>
      </c>
      <c r="AD140" s="39" t="n">
        <f aca="false">(AB140-AA140)/(1-Resumo!$B$5)</f>
        <v>202.511329545455</v>
      </c>
      <c r="AE140" s="39" t="n">
        <f aca="false">AC140-T140</f>
        <v>81.7513775</v>
      </c>
      <c r="AF140" s="40" t="n">
        <f aca="false">AC140/T140-1</f>
        <v>0.523899380919101</v>
      </c>
      <c r="AG140" s="37" t="str">
        <f aca="false">IF(AC140&lt;T140,"SIM","NÃO")</f>
        <v>NÃO</v>
      </c>
      <c r="AH140" s="37" t="n">
        <v>13</v>
      </c>
      <c r="AI140" s="37" t="n">
        <v>10</v>
      </c>
      <c r="AJ140" s="37" t="s">
        <v>327</v>
      </c>
    </row>
    <row r="141" customFormat="false" ht="15" hidden="false" customHeight="false" outlineLevel="0" collapsed="false">
      <c r="A141" s="37" t="n">
        <v>357521139</v>
      </c>
      <c r="B141" s="38" t="n">
        <v>46214.6166203704</v>
      </c>
      <c r="C141" s="37" t="s">
        <v>320</v>
      </c>
      <c r="D141" s="37" t="s">
        <v>466</v>
      </c>
      <c r="E141" s="37" t="n">
        <v>22765240</v>
      </c>
      <c r="F141" s="37" t="s">
        <v>139</v>
      </c>
      <c r="G141" s="37" t="s">
        <v>198</v>
      </c>
      <c r="H141" s="37" t="s">
        <v>171</v>
      </c>
      <c r="I141" s="37" t="n">
        <v>52.3</v>
      </c>
      <c r="J141" s="39" t="n">
        <v>643.99</v>
      </c>
      <c r="K141" s="37" t="s">
        <v>322</v>
      </c>
      <c r="L141" s="39" t="n">
        <v>114.24</v>
      </c>
      <c r="M141" s="39" t="n">
        <v>79.81</v>
      </c>
      <c r="N141" s="39" t="n">
        <f aca="false">J141*Resumo!$C$7</f>
        <v>1.28798</v>
      </c>
      <c r="O141" s="39" t="n">
        <f aca="false">J141*Resumo!$C$8</f>
        <v>1.28798</v>
      </c>
      <c r="P141" s="39" t="n">
        <f aca="false">Resumo!$C$10*CEILING(I141/100,1)</f>
        <v>1</v>
      </c>
      <c r="Q141" s="39" t="n">
        <f aca="false">Resumo!$C$9</f>
        <v>11.9</v>
      </c>
      <c r="R141" s="39" t="n">
        <f aca="false">SUM(M141:Q141)*Resumo!$C$11</f>
        <v>5.2407278</v>
      </c>
      <c r="S141" s="39" t="n">
        <f aca="false">SUM(M141:R141)</f>
        <v>100.5266878</v>
      </c>
      <c r="T141" s="39" t="n">
        <f aca="false">S141/(1-Resumo!$C$5)</f>
        <v>114.2348725</v>
      </c>
      <c r="U141" s="39" t="n">
        <v>112.3</v>
      </c>
      <c r="V141" s="39" t="n">
        <f aca="false">J141*Resumo!$B$6</f>
        <v>0.64399</v>
      </c>
      <c r="W141" s="39" t="n">
        <f aca="false">J141*Resumo!$B$7</f>
        <v>1.28798</v>
      </c>
      <c r="X141" s="39" t="n">
        <f aca="false">Resumo!$B$9</f>
        <v>1</v>
      </c>
      <c r="Y141" s="39" t="n">
        <f aca="false">Resumo!$B$10*CEILING(I141/100,1)</f>
        <v>4.5</v>
      </c>
      <c r="Z141" s="39" t="n">
        <f aca="false">Resumo!$B$12*CEILING(I141,1)</f>
        <v>3.18</v>
      </c>
      <c r="AA141" s="39" t="n">
        <f aca="false">Resumo!$B$13*CEILING(I141,1)</f>
        <v>23.85</v>
      </c>
      <c r="AB141" s="39" t="n">
        <f aca="false">SUM(U141:AA141)</f>
        <v>146.76197</v>
      </c>
      <c r="AC141" s="39" t="n">
        <f aca="false">AB141/(1-Resumo!$B$5)</f>
        <v>166.774965909091</v>
      </c>
      <c r="AD141" s="39" t="n">
        <f aca="false">(AB141-AA141)/(1-Resumo!$B$5)</f>
        <v>139.672693181818</v>
      </c>
      <c r="AE141" s="39" t="n">
        <f aca="false">AC141-T141</f>
        <v>52.5400934090909</v>
      </c>
      <c r="AF141" s="40" t="n">
        <f aca="false">AC141/T141-1</f>
        <v>0.459930424565326</v>
      </c>
      <c r="AG141" s="37" t="str">
        <f aca="false">IF(AC141&lt;T141,"SIM","NÃO")</f>
        <v>NÃO</v>
      </c>
      <c r="AH141" s="37" t="n">
        <v>8</v>
      </c>
      <c r="AI141" s="37" t="n">
        <v>5</v>
      </c>
      <c r="AJ141" s="37" t="s">
        <v>323</v>
      </c>
    </row>
    <row r="142" customFormat="false" ht="15" hidden="false" customHeight="false" outlineLevel="0" collapsed="false">
      <c r="A142" s="37" t="n">
        <v>357528509</v>
      </c>
      <c r="B142" s="38" t="n">
        <v>46214.6337037037</v>
      </c>
      <c r="C142" s="37" t="s">
        <v>320</v>
      </c>
      <c r="D142" s="37" t="s">
        <v>467</v>
      </c>
      <c r="E142" s="37" t="n">
        <v>22763627</v>
      </c>
      <c r="F142" s="37" t="s">
        <v>139</v>
      </c>
      <c r="G142" s="37" t="s">
        <v>198</v>
      </c>
      <c r="H142" s="37" t="s">
        <v>169</v>
      </c>
      <c r="I142" s="37" t="n">
        <v>37.2</v>
      </c>
      <c r="J142" s="39" t="n">
        <v>359.99</v>
      </c>
      <c r="K142" s="37" t="s">
        <v>322</v>
      </c>
      <c r="L142" s="39" t="n">
        <v>91.58</v>
      </c>
      <c r="M142" s="39" t="n">
        <v>62.05</v>
      </c>
      <c r="N142" s="39" t="n">
        <f aca="false">J142*Resumo!$C$7</f>
        <v>0.71998</v>
      </c>
      <c r="O142" s="39" t="n">
        <f aca="false">J142*Resumo!$C$8</f>
        <v>0.71998</v>
      </c>
      <c r="P142" s="39" t="n">
        <f aca="false">Resumo!$C$10*CEILING(I142/100,1)</f>
        <v>1</v>
      </c>
      <c r="Q142" s="39" t="n">
        <f aca="false">Resumo!$C$9</f>
        <v>11.9</v>
      </c>
      <c r="R142" s="39" t="n">
        <f aca="false">SUM(M142:Q142)*Resumo!$C$11</f>
        <v>4.2014478</v>
      </c>
      <c r="S142" s="39" t="n">
        <f aca="false">SUM(M142:R142)</f>
        <v>80.5914078</v>
      </c>
      <c r="T142" s="39" t="n">
        <f aca="false">S142/(1-Resumo!$C$5)</f>
        <v>91.5811452272727</v>
      </c>
      <c r="U142" s="39" t="n">
        <v>93.97</v>
      </c>
      <c r="V142" s="39" t="n">
        <f aca="false">J142*Resumo!$B$6</f>
        <v>0.35999</v>
      </c>
      <c r="W142" s="39" t="n">
        <f aca="false">J142*Resumo!$B$7</f>
        <v>0.71998</v>
      </c>
      <c r="X142" s="39" t="n">
        <f aca="false">Resumo!$B$9</f>
        <v>1</v>
      </c>
      <c r="Y142" s="39" t="n">
        <f aca="false">Resumo!$B$10*CEILING(I142/100,1)</f>
        <v>4.5</v>
      </c>
      <c r="Z142" s="39" t="n">
        <f aca="false">Resumo!$B$12*CEILING(I142,1)</f>
        <v>2.28</v>
      </c>
      <c r="AA142" s="39" t="n">
        <f aca="false">Resumo!$B$13*CEILING(I142,1)</f>
        <v>17.1</v>
      </c>
      <c r="AB142" s="39" t="n">
        <f aca="false">SUM(U142:AA142)</f>
        <v>119.92997</v>
      </c>
      <c r="AC142" s="39" t="n">
        <f aca="false">AB142/(1-Resumo!$B$5)</f>
        <v>136.284056818182</v>
      </c>
      <c r="AD142" s="39" t="n">
        <f aca="false">(AB142-AA142)/(1-Resumo!$B$5)</f>
        <v>116.852238636364</v>
      </c>
      <c r="AE142" s="39" t="n">
        <f aca="false">AC142-T142</f>
        <v>44.7029115909091</v>
      </c>
      <c r="AF142" s="40" t="n">
        <f aca="false">AC142/T142-1</f>
        <v>0.488123526736556</v>
      </c>
      <c r="AG142" s="37" t="str">
        <f aca="false">IF(AC142&lt;T142,"SIM","NÃO")</f>
        <v>NÃO</v>
      </c>
      <c r="AH142" s="37" t="n">
        <v>8</v>
      </c>
      <c r="AI142" s="37" t="n">
        <v>5</v>
      </c>
      <c r="AJ142" s="37" t="s">
        <v>323</v>
      </c>
    </row>
    <row r="143" customFormat="false" ht="15" hidden="false" customHeight="false" outlineLevel="0" collapsed="false">
      <c r="A143" s="37" t="n">
        <v>357529698</v>
      </c>
      <c r="B143" s="38" t="n">
        <v>46214.6365277778</v>
      </c>
      <c r="C143" s="37" t="s">
        <v>320</v>
      </c>
      <c r="D143" s="37" t="s">
        <v>468</v>
      </c>
      <c r="E143" s="37" t="n">
        <v>20261040</v>
      </c>
      <c r="F143" s="37" t="s">
        <v>139</v>
      </c>
      <c r="G143" s="37" t="s">
        <v>198</v>
      </c>
      <c r="H143" s="37" t="s">
        <v>170</v>
      </c>
      <c r="I143" s="37" t="n">
        <v>46.8</v>
      </c>
      <c r="J143" s="39" t="n">
        <v>556.99</v>
      </c>
      <c r="K143" s="37" t="s">
        <v>322</v>
      </c>
      <c r="L143" s="39" t="n">
        <v>103.25</v>
      </c>
      <c r="M143" s="39" t="n">
        <v>71</v>
      </c>
      <c r="N143" s="39" t="n">
        <f aca="false">J143*Resumo!$C$7</f>
        <v>1.11398</v>
      </c>
      <c r="O143" s="39" t="n">
        <f aca="false">J143*Resumo!$C$8</f>
        <v>1.11398</v>
      </c>
      <c r="P143" s="39" t="n">
        <f aca="false">Resumo!$C$10*CEILING(I143/100,1)</f>
        <v>1</v>
      </c>
      <c r="Q143" s="39" t="n">
        <f aca="false">Resumo!$C$9</f>
        <v>11.9</v>
      </c>
      <c r="R143" s="39" t="n">
        <f aca="false">SUM(M143:Q143)*Resumo!$C$11</f>
        <v>4.7370378</v>
      </c>
      <c r="S143" s="39" t="n">
        <f aca="false">SUM(M143:R143)</f>
        <v>90.8649978</v>
      </c>
      <c r="T143" s="39" t="n">
        <f aca="false">S143/(1-Resumo!$C$5)</f>
        <v>103.255679318182</v>
      </c>
      <c r="U143" s="39" t="n">
        <v>93.97</v>
      </c>
      <c r="V143" s="39" t="n">
        <f aca="false">J143*Resumo!$B$6</f>
        <v>0.55699</v>
      </c>
      <c r="W143" s="39" t="n">
        <f aca="false">J143*Resumo!$B$7</f>
        <v>1.11398</v>
      </c>
      <c r="X143" s="39" t="n">
        <f aca="false">Resumo!$B$9</f>
        <v>1</v>
      </c>
      <c r="Y143" s="39" t="n">
        <f aca="false">Resumo!$B$10*CEILING(I143/100,1)</f>
        <v>4.5</v>
      </c>
      <c r="Z143" s="39" t="n">
        <f aca="false">Resumo!$B$12*CEILING(I143,1)</f>
        <v>2.82</v>
      </c>
      <c r="AA143" s="39" t="n">
        <f aca="false">Resumo!$B$13*CEILING(I143,1)</f>
        <v>21.15</v>
      </c>
      <c r="AB143" s="39" t="n">
        <f aca="false">SUM(U143:AA143)</f>
        <v>125.11097</v>
      </c>
      <c r="AC143" s="39" t="n">
        <f aca="false">AB143/(1-Resumo!$B$5)</f>
        <v>142.171556818182</v>
      </c>
      <c r="AD143" s="39" t="n">
        <f aca="false">(AB143-AA143)/(1-Resumo!$B$5)</f>
        <v>118.137465909091</v>
      </c>
      <c r="AE143" s="39" t="n">
        <f aca="false">AC143-T143</f>
        <v>38.9158775</v>
      </c>
      <c r="AF143" s="40" t="n">
        <f aca="false">AC143/T143-1</f>
        <v>0.376888494240408</v>
      </c>
      <c r="AG143" s="37" t="str">
        <f aca="false">IF(AC143&lt;T143,"SIM","NÃO")</f>
        <v>NÃO</v>
      </c>
      <c r="AH143" s="37" t="n">
        <v>8</v>
      </c>
      <c r="AI143" s="37" t="n">
        <v>5</v>
      </c>
      <c r="AJ143" s="37" t="s">
        <v>323</v>
      </c>
    </row>
    <row r="144" customFormat="false" ht="15" hidden="false" customHeight="false" outlineLevel="0" collapsed="false">
      <c r="A144" s="37" t="n">
        <v>357528110</v>
      </c>
      <c r="B144" s="38" t="n">
        <v>46214.6434722222</v>
      </c>
      <c r="C144" s="37" t="s">
        <v>341</v>
      </c>
      <c r="D144" s="37" t="s">
        <v>469</v>
      </c>
      <c r="E144" s="37" t="n">
        <v>21735150</v>
      </c>
      <c r="F144" s="37" t="s">
        <v>139</v>
      </c>
      <c r="G144" s="37" t="s">
        <v>198</v>
      </c>
      <c r="H144" s="37" t="s">
        <v>168</v>
      </c>
      <c r="I144" s="37" t="n">
        <v>33</v>
      </c>
      <c r="J144" s="39" t="n">
        <v>459.99</v>
      </c>
      <c r="K144" s="37" t="s">
        <v>322</v>
      </c>
      <c r="L144" s="39" t="n">
        <v>82.53</v>
      </c>
      <c r="M144" s="39" t="n">
        <v>54.1</v>
      </c>
      <c r="N144" s="39" t="n">
        <f aca="false">J144*Resumo!$C$7</f>
        <v>0.91998</v>
      </c>
      <c r="O144" s="39" t="n">
        <f aca="false">J144*Resumo!$C$8</f>
        <v>0.91998</v>
      </c>
      <c r="P144" s="39" t="n">
        <f aca="false">Resumo!$C$10*CEILING(I144/100,1)</f>
        <v>1</v>
      </c>
      <c r="Q144" s="39" t="n">
        <f aca="false">Resumo!$C$9</f>
        <v>11.9</v>
      </c>
      <c r="R144" s="39" t="n">
        <f aca="false">SUM(M144:Q144)*Resumo!$C$11</f>
        <v>3.7861978</v>
      </c>
      <c r="S144" s="39" t="n">
        <f aca="false">SUM(M144:R144)</f>
        <v>72.6261578</v>
      </c>
      <c r="T144" s="39" t="n">
        <f aca="false">S144/(1-Resumo!$C$5)</f>
        <v>82.5297247727273</v>
      </c>
      <c r="U144" s="39" t="n">
        <v>82.21</v>
      </c>
      <c r="V144" s="39" t="n">
        <f aca="false">J144*Resumo!$B$6</f>
        <v>0.45999</v>
      </c>
      <c r="W144" s="39" t="n">
        <f aca="false">J144*Resumo!$B$7</f>
        <v>0.91998</v>
      </c>
      <c r="X144" s="39" t="n">
        <f aca="false">Resumo!$B$9</f>
        <v>1</v>
      </c>
      <c r="Y144" s="39" t="n">
        <f aca="false">Resumo!$B$10*CEILING(I144/100,1)</f>
        <v>4.5</v>
      </c>
      <c r="Z144" s="39" t="n">
        <f aca="false">Resumo!$B$12*CEILING(I144,1)</f>
        <v>1.98</v>
      </c>
      <c r="AA144" s="39" t="n">
        <f aca="false">Resumo!$B$13*CEILING(I144,1)</f>
        <v>14.85</v>
      </c>
      <c r="AB144" s="39" t="n">
        <f aca="false">SUM(U144:AA144)</f>
        <v>105.91997</v>
      </c>
      <c r="AC144" s="39" t="n">
        <f aca="false">AB144/(1-Resumo!$B$5)</f>
        <v>120.363602272727</v>
      </c>
      <c r="AD144" s="39" t="n">
        <f aca="false">(AB144-AA144)/(1-Resumo!$B$5)</f>
        <v>103.488602272727</v>
      </c>
      <c r="AE144" s="39" t="n">
        <f aca="false">AC144-T144</f>
        <v>37.8338775</v>
      </c>
      <c r="AF144" s="40" t="n">
        <f aca="false">AC144/T144-1</f>
        <v>0.458427283069076</v>
      </c>
      <c r="AG144" s="37" t="str">
        <f aca="false">IF(AC144&lt;T144,"SIM","NÃO")</f>
        <v>NÃO</v>
      </c>
      <c r="AH144" s="37" t="n">
        <v>8</v>
      </c>
      <c r="AI144" s="37" t="n">
        <v>5</v>
      </c>
      <c r="AJ144" s="37" t="s">
        <v>323</v>
      </c>
    </row>
    <row r="145" customFormat="false" ht="15" hidden="false" customHeight="false" outlineLevel="0" collapsed="false">
      <c r="A145" s="37" t="n">
        <v>357541829</v>
      </c>
      <c r="B145" s="38" t="n">
        <v>46214.6625231481</v>
      </c>
      <c r="C145" s="37" t="s">
        <v>320</v>
      </c>
      <c r="D145" s="37" t="s">
        <v>470</v>
      </c>
      <c r="E145" s="37" t="n">
        <v>26115490</v>
      </c>
      <c r="F145" s="37" t="s">
        <v>145</v>
      </c>
      <c r="G145" s="37" t="s">
        <v>207</v>
      </c>
      <c r="H145" s="37" t="s">
        <v>175</v>
      </c>
      <c r="I145" s="37" t="n">
        <v>117.5</v>
      </c>
      <c r="J145" s="39" t="n">
        <v>1273.97</v>
      </c>
      <c r="K145" s="37" t="s">
        <v>322</v>
      </c>
      <c r="L145" s="39" t="n">
        <v>195.94</v>
      </c>
      <c r="M145" s="39" t="n">
        <v>144.44</v>
      </c>
      <c r="N145" s="39" t="n">
        <f aca="false">J145*Resumo!$C$7</f>
        <v>2.54794</v>
      </c>
      <c r="O145" s="39" t="n">
        <f aca="false">J145*Resumo!$C$8</f>
        <v>2.54794</v>
      </c>
      <c r="P145" s="39" t="n">
        <f aca="false">Resumo!$C$10*CEILING(I145/100,1)</f>
        <v>2</v>
      </c>
      <c r="Q145" s="39" t="n">
        <f aca="false">Resumo!$C$9</f>
        <v>11.9</v>
      </c>
      <c r="R145" s="39" t="n">
        <f aca="false">SUM(M145:Q145)*Resumo!$C$11</f>
        <v>8.9889734</v>
      </c>
      <c r="S145" s="39" t="n">
        <f aca="false">SUM(M145:R145)</f>
        <v>172.4248534</v>
      </c>
      <c r="T145" s="39" t="n">
        <f aca="false">S145/(1-Resumo!$C$5)</f>
        <v>195.937333409091</v>
      </c>
      <c r="U145" s="39" t="n">
        <v>201.59</v>
      </c>
      <c r="V145" s="39" t="n">
        <f aca="false">J145*Resumo!$B$6</f>
        <v>1.27397</v>
      </c>
      <c r="W145" s="39" t="n">
        <f aca="false">J145*Resumo!$B$7</f>
        <v>2.54794</v>
      </c>
      <c r="X145" s="39" t="n">
        <f aca="false">Resumo!$B$9</f>
        <v>1</v>
      </c>
      <c r="Y145" s="39" t="n">
        <f aca="false">Resumo!$B$10*CEILING(I145/100,1)</f>
        <v>9</v>
      </c>
      <c r="Z145" s="39" t="n">
        <f aca="false">Resumo!$B$12*CEILING(I145,1)</f>
        <v>7.08</v>
      </c>
      <c r="AA145" s="39" t="n">
        <f aca="false">Resumo!$B$13*CEILING(I145,1)</f>
        <v>53.1</v>
      </c>
      <c r="AB145" s="39" t="n">
        <f aca="false">SUM(U145:AA145)</f>
        <v>275.59191</v>
      </c>
      <c r="AC145" s="39" t="n">
        <f aca="false">AB145/(1-Resumo!$B$5)</f>
        <v>313.172625</v>
      </c>
      <c r="AD145" s="39" t="n">
        <f aca="false">(AB145-AA145)/(1-Resumo!$B$5)</f>
        <v>252.831715909091</v>
      </c>
      <c r="AE145" s="39" t="n">
        <f aca="false">AC145-T145</f>
        <v>117.235291590909</v>
      </c>
      <c r="AF145" s="40" t="n">
        <f aca="false">AC145/T145-1</f>
        <v>0.598330545543036</v>
      </c>
      <c r="AG145" s="37" t="str">
        <f aca="false">IF(AC145&lt;T145,"SIM","NÃO")</f>
        <v>NÃO</v>
      </c>
      <c r="AH145" s="37" t="n">
        <v>10</v>
      </c>
      <c r="AI145" s="37" t="n">
        <v>5</v>
      </c>
      <c r="AJ145" s="37" t="s">
        <v>323</v>
      </c>
    </row>
    <row r="146" customFormat="false" ht="15" hidden="false" customHeight="false" outlineLevel="0" collapsed="false">
      <c r="A146" s="37" t="n">
        <v>357657857</v>
      </c>
      <c r="B146" s="38" t="n">
        <v>46214.8718634259</v>
      </c>
      <c r="C146" s="37" t="s">
        <v>325</v>
      </c>
      <c r="D146" s="37" t="s">
        <v>471</v>
      </c>
      <c r="E146" s="37" t="n">
        <v>25011420</v>
      </c>
      <c r="F146" s="37" t="s">
        <v>141</v>
      </c>
      <c r="G146" s="37" t="s">
        <v>207</v>
      </c>
      <c r="H146" s="37" t="s">
        <v>172</v>
      </c>
      <c r="I146" s="37" t="n">
        <v>66.8</v>
      </c>
      <c r="J146" s="39" t="n">
        <v>630.3</v>
      </c>
      <c r="K146" s="37" t="s">
        <v>322</v>
      </c>
      <c r="L146" s="39" t="n">
        <v>139.45</v>
      </c>
      <c r="M146" s="39" t="n">
        <v>100.9</v>
      </c>
      <c r="N146" s="39" t="n">
        <f aca="false">J146*Resumo!$C$7</f>
        <v>1.2606</v>
      </c>
      <c r="O146" s="39" t="n">
        <f aca="false">J146*Resumo!$C$8</f>
        <v>1.2606</v>
      </c>
      <c r="P146" s="39" t="n">
        <f aca="false">Resumo!$C$10*CEILING(I146/100,1)</f>
        <v>1</v>
      </c>
      <c r="Q146" s="39" t="n">
        <f aca="false">Resumo!$C$9</f>
        <v>11.9</v>
      </c>
      <c r="R146" s="39" t="n">
        <f aca="false">SUM(M146:Q146)*Resumo!$C$11</f>
        <v>6.397666</v>
      </c>
      <c r="S146" s="39" t="n">
        <f aca="false">SUM(M146:R146)</f>
        <v>122.718866</v>
      </c>
      <c r="T146" s="39" t="n">
        <f aca="false">S146/(1-Resumo!$C$5)</f>
        <v>139.453256818182</v>
      </c>
      <c r="U146" s="39" t="n">
        <v>131.02</v>
      </c>
      <c r="V146" s="39" t="n">
        <f aca="false">J146*Resumo!$B$6</f>
        <v>0.6303</v>
      </c>
      <c r="W146" s="39" t="n">
        <f aca="false">J146*Resumo!$B$7</f>
        <v>1.2606</v>
      </c>
      <c r="X146" s="39" t="n">
        <f aca="false">Resumo!$B$9</f>
        <v>1</v>
      </c>
      <c r="Y146" s="39" t="n">
        <f aca="false">Resumo!$B$10*CEILING(I146/100,1)</f>
        <v>4.5</v>
      </c>
      <c r="Z146" s="39" t="n">
        <f aca="false">Resumo!$B$12*CEILING(I146,1)</f>
        <v>4.02</v>
      </c>
      <c r="AA146" s="39" t="n">
        <f aca="false">Resumo!$B$13*CEILING(I146,1)</f>
        <v>30.15</v>
      </c>
      <c r="AB146" s="39" t="n">
        <f aca="false">SUM(U146:AA146)</f>
        <v>172.5809</v>
      </c>
      <c r="AC146" s="39" t="n">
        <f aca="false">AB146/(1-Resumo!$B$5)</f>
        <v>196.114659090909</v>
      </c>
      <c r="AD146" s="39" t="n">
        <f aca="false">(AB146-AA146)/(1-Resumo!$B$5)</f>
        <v>161.853295454545</v>
      </c>
      <c r="AE146" s="39" t="n">
        <f aca="false">AC146-T146</f>
        <v>56.6614022727273</v>
      </c>
      <c r="AF146" s="40" t="n">
        <f aca="false">AC146/T146-1</f>
        <v>0.406311072007461</v>
      </c>
      <c r="AG146" s="37" t="str">
        <f aca="false">IF(AC146&lt;T146,"SIM","NÃO")</f>
        <v>NÃO</v>
      </c>
      <c r="AH146" s="37" t="n">
        <v>10</v>
      </c>
      <c r="AI146" s="37" t="n">
        <v>5</v>
      </c>
      <c r="AJ146" s="37" t="s">
        <v>323</v>
      </c>
    </row>
    <row r="147" customFormat="false" ht="15" hidden="false" customHeight="false" outlineLevel="0" collapsed="false">
      <c r="A147" s="37" t="n">
        <v>357704496</v>
      </c>
      <c r="B147" s="38" t="n">
        <v>46214.9575115741</v>
      </c>
      <c r="C147" s="37" t="s">
        <v>320</v>
      </c>
      <c r="D147" s="37" t="s">
        <v>472</v>
      </c>
      <c r="E147" s="37" t="n">
        <v>24320570</v>
      </c>
      <c r="F147" s="37" t="s">
        <v>143</v>
      </c>
      <c r="G147" s="37" t="s">
        <v>207</v>
      </c>
      <c r="H147" s="37" t="s">
        <v>171</v>
      </c>
      <c r="I147" s="37" t="n">
        <v>52.3</v>
      </c>
      <c r="J147" s="39" t="n">
        <v>643.99</v>
      </c>
      <c r="K147" s="37" t="s">
        <v>322</v>
      </c>
      <c r="L147" s="39" t="n">
        <v>128.38</v>
      </c>
      <c r="M147" s="39" t="n">
        <v>91.6</v>
      </c>
      <c r="N147" s="39" t="n">
        <f aca="false">J147*Resumo!$C$7</f>
        <v>1.28798</v>
      </c>
      <c r="O147" s="39" t="n">
        <f aca="false">J147*Resumo!$C$8</f>
        <v>1.28798</v>
      </c>
      <c r="P147" s="39" t="n">
        <f aca="false">Resumo!$C$10*CEILING(I147/100,1)</f>
        <v>1</v>
      </c>
      <c r="Q147" s="39" t="n">
        <f aca="false">Resumo!$C$9</f>
        <v>11.9</v>
      </c>
      <c r="R147" s="39" t="n">
        <f aca="false">SUM(M147:Q147)*Resumo!$C$11</f>
        <v>5.8891778</v>
      </c>
      <c r="S147" s="39" t="n">
        <f aca="false">SUM(M147:R147)</f>
        <v>112.9651378</v>
      </c>
      <c r="T147" s="39" t="n">
        <f aca="false">S147/(1-Resumo!$C$5)</f>
        <v>128.369474772727</v>
      </c>
      <c r="U147" s="39" t="n">
        <v>128.14</v>
      </c>
      <c r="V147" s="39" t="n">
        <f aca="false">J147*Resumo!$B$6</f>
        <v>0.64399</v>
      </c>
      <c r="W147" s="39" t="n">
        <f aca="false">J147*Resumo!$B$7</f>
        <v>1.28798</v>
      </c>
      <c r="X147" s="39" t="n">
        <f aca="false">Resumo!$B$9</f>
        <v>1</v>
      </c>
      <c r="Y147" s="39" t="n">
        <f aca="false">Resumo!$B$10*CEILING(I147/100,1)</f>
        <v>4.5</v>
      </c>
      <c r="Z147" s="39" t="n">
        <f aca="false">Resumo!$B$12*CEILING(I147,1)</f>
        <v>3.18</v>
      </c>
      <c r="AA147" s="39" t="n">
        <f aca="false">Resumo!$B$13*CEILING(I147,1)</f>
        <v>23.85</v>
      </c>
      <c r="AB147" s="39" t="n">
        <f aca="false">SUM(U147:AA147)</f>
        <v>162.60197</v>
      </c>
      <c r="AC147" s="39" t="n">
        <f aca="false">AB147/(1-Resumo!$B$5)</f>
        <v>184.774965909091</v>
      </c>
      <c r="AD147" s="39" t="n">
        <f aca="false">(AB147-AA147)/(1-Resumo!$B$5)</f>
        <v>157.672693181818</v>
      </c>
      <c r="AE147" s="39" t="n">
        <f aca="false">AC147-T147</f>
        <v>56.4054911363636</v>
      </c>
      <c r="AF147" s="40" t="n">
        <f aca="false">AC147/T147-1</f>
        <v>0.439399563145578</v>
      </c>
      <c r="AG147" s="37" t="str">
        <f aca="false">IF(AC147&lt;T147,"SIM","NÃO")</f>
        <v>NÃO</v>
      </c>
      <c r="AH147" s="37" t="n">
        <v>10</v>
      </c>
      <c r="AI147" s="37" t="n">
        <v>7</v>
      </c>
      <c r="AJ147" s="37" t="s">
        <v>323</v>
      </c>
    </row>
    <row r="148" customFormat="false" ht="15" hidden="false" customHeight="false" outlineLevel="0" collapsed="false">
      <c r="A148" s="37" t="n">
        <v>357713521</v>
      </c>
      <c r="B148" s="38" t="n">
        <v>46214.9767824074</v>
      </c>
      <c r="C148" s="37" t="s">
        <v>320</v>
      </c>
      <c r="D148" s="37" t="s">
        <v>473</v>
      </c>
      <c r="E148" s="37" t="n">
        <v>24110360</v>
      </c>
      <c r="F148" s="37" t="s">
        <v>143</v>
      </c>
      <c r="G148" s="37" t="s">
        <v>207</v>
      </c>
      <c r="H148" s="37" t="s">
        <v>168</v>
      </c>
      <c r="I148" s="37" t="n">
        <v>34.4</v>
      </c>
      <c r="J148" s="39" t="n">
        <v>404.99</v>
      </c>
      <c r="K148" s="37" t="s">
        <v>322</v>
      </c>
      <c r="L148" s="39" t="n">
        <v>101.33</v>
      </c>
      <c r="M148" s="39" t="n">
        <v>70</v>
      </c>
      <c r="N148" s="39" t="n">
        <f aca="false">J148*Resumo!$C$7</f>
        <v>0.80998</v>
      </c>
      <c r="O148" s="39" t="n">
        <f aca="false">J148*Resumo!$C$8</f>
        <v>0.80998</v>
      </c>
      <c r="P148" s="39" t="n">
        <f aca="false">Resumo!$C$10*CEILING(I148/100,1)</f>
        <v>1</v>
      </c>
      <c r="Q148" s="39" t="n">
        <f aca="false">Resumo!$C$9</f>
        <v>11.9</v>
      </c>
      <c r="R148" s="39" t="n">
        <f aca="false">SUM(M148:Q148)*Resumo!$C$11</f>
        <v>4.6485978</v>
      </c>
      <c r="S148" s="39" t="n">
        <f aca="false">SUM(M148:R148)</f>
        <v>89.1685578</v>
      </c>
      <c r="T148" s="39" t="n">
        <f aca="false">S148/(1-Resumo!$C$5)</f>
        <v>101.327906590909</v>
      </c>
      <c r="U148" s="39" t="n">
        <v>100.58</v>
      </c>
      <c r="V148" s="39" t="n">
        <f aca="false">J148*Resumo!$B$6</f>
        <v>0.40499</v>
      </c>
      <c r="W148" s="39" t="n">
        <f aca="false">J148*Resumo!$B$7</f>
        <v>0.80998</v>
      </c>
      <c r="X148" s="39" t="n">
        <f aca="false">Resumo!$B$9</f>
        <v>1</v>
      </c>
      <c r="Y148" s="39" t="n">
        <f aca="false">Resumo!$B$10*CEILING(I148/100,1)</f>
        <v>4.5</v>
      </c>
      <c r="Z148" s="39" t="n">
        <f aca="false">Resumo!$B$12*CEILING(I148,1)</f>
        <v>2.1</v>
      </c>
      <c r="AA148" s="39" t="n">
        <f aca="false">Resumo!$B$13*CEILING(I148,1)</f>
        <v>15.75</v>
      </c>
      <c r="AB148" s="39" t="n">
        <f aca="false">SUM(U148:AA148)</f>
        <v>125.14497</v>
      </c>
      <c r="AC148" s="39" t="n">
        <f aca="false">AB148/(1-Resumo!$B$5)</f>
        <v>142.210193181818</v>
      </c>
      <c r="AD148" s="39" t="n">
        <f aca="false">(AB148-AA148)/(1-Resumo!$B$5)</f>
        <v>124.312465909091</v>
      </c>
      <c r="AE148" s="39" t="n">
        <f aca="false">AC148-T148</f>
        <v>40.8822865909091</v>
      </c>
      <c r="AF148" s="40" t="n">
        <f aca="false">AC148/T148-1</f>
        <v>0.403465224599606</v>
      </c>
      <c r="AG148" s="37" t="str">
        <f aca="false">IF(AC148&lt;T148,"SIM","NÃO")</f>
        <v>NÃO</v>
      </c>
      <c r="AH148" s="37" t="n">
        <v>10</v>
      </c>
      <c r="AI148" s="37" t="n">
        <v>7</v>
      </c>
      <c r="AJ148" s="37" t="s">
        <v>323</v>
      </c>
    </row>
    <row r="149" customFormat="false" ht="15" hidden="false" customHeight="false" outlineLevel="0" collapsed="false">
      <c r="A149" s="37" t="n">
        <v>357878945</v>
      </c>
      <c r="B149" s="38" t="n">
        <v>46215.4087731482</v>
      </c>
      <c r="C149" s="37" t="s">
        <v>320</v>
      </c>
      <c r="D149" s="37" t="s">
        <v>474</v>
      </c>
      <c r="E149" s="37" t="n">
        <v>23520132</v>
      </c>
      <c r="F149" s="37" t="s">
        <v>139</v>
      </c>
      <c r="G149" s="37" t="s">
        <v>198</v>
      </c>
      <c r="H149" s="37" t="s">
        <v>170</v>
      </c>
      <c r="I149" s="37" t="n">
        <v>41</v>
      </c>
      <c r="J149" s="39" t="n">
        <v>515.19</v>
      </c>
      <c r="K149" s="37" t="s">
        <v>322</v>
      </c>
      <c r="L149" s="39" t="n">
        <v>103.06</v>
      </c>
      <c r="M149" s="39" t="n">
        <v>71</v>
      </c>
      <c r="N149" s="39" t="n">
        <f aca="false">J149*Resumo!$C$7</f>
        <v>1.03038</v>
      </c>
      <c r="O149" s="39" t="n">
        <f aca="false">J149*Resumo!$C$8</f>
        <v>1.03038</v>
      </c>
      <c r="P149" s="39" t="n">
        <f aca="false">Resumo!$C$10*CEILING(I149/100,1)</f>
        <v>1</v>
      </c>
      <c r="Q149" s="39" t="n">
        <f aca="false">Resumo!$C$9</f>
        <v>11.9</v>
      </c>
      <c r="R149" s="39" t="n">
        <f aca="false">SUM(M149:Q149)*Resumo!$C$11</f>
        <v>4.7278418</v>
      </c>
      <c r="S149" s="39" t="n">
        <f aca="false">SUM(M149:R149)</f>
        <v>90.6886018</v>
      </c>
      <c r="T149" s="39" t="n">
        <f aca="false">S149/(1-Resumo!$C$5)</f>
        <v>103.055229318182</v>
      </c>
      <c r="U149" s="39" t="n">
        <v>93.97</v>
      </c>
      <c r="V149" s="39" t="n">
        <f aca="false">J149*Resumo!$B$6</f>
        <v>0.51519</v>
      </c>
      <c r="W149" s="39" t="n">
        <f aca="false">J149*Resumo!$B$7</f>
        <v>1.03038</v>
      </c>
      <c r="X149" s="39" t="n">
        <f aca="false">Resumo!$B$9</f>
        <v>1</v>
      </c>
      <c r="Y149" s="39" t="n">
        <f aca="false">Resumo!$B$10*CEILING(I149/100,1)</f>
        <v>4.5</v>
      </c>
      <c r="Z149" s="39" t="n">
        <f aca="false">Resumo!$B$12*CEILING(I149,1)</f>
        <v>2.46</v>
      </c>
      <c r="AA149" s="39" t="n">
        <f aca="false">Resumo!$B$13*CEILING(I149,1)</f>
        <v>18.45</v>
      </c>
      <c r="AB149" s="39" t="n">
        <f aca="false">SUM(U149:AA149)</f>
        <v>121.92557</v>
      </c>
      <c r="AC149" s="39" t="n">
        <f aca="false">AB149/(1-Resumo!$B$5)</f>
        <v>138.551784090909</v>
      </c>
      <c r="AD149" s="39" t="n">
        <f aca="false">(AB149-AA149)/(1-Resumo!$B$5)</f>
        <v>117.585875</v>
      </c>
      <c r="AE149" s="39" t="n">
        <f aca="false">AC149-T149</f>
        <v>35.4965547727273</v>
      </c>
      <c r="AF149" s="40" t="n">
        <f aca="false">AC149/T149-1</f>
        <v>0.344442053135723</v>
      </c>
      <c r="AG149" s="37" t="str">
        <f aca="false">IF(AC149&lt;T149,"SIM","NÃO")</f>
        <v>NÃO</v>
      </c>
      <c r="AH149" s="37" t="n">
        <v>8</v>
      </c>
      <c r="AI149" s="37" t="n">
        <v>5</v>
      </c>
      <c r="AJ149" s="37" t="s">
        <v>323</v>
      </c>
    </row>
    <row r="150" customFormat="false" ht="15" hidden="false" customHeight="false" outlineLevel="0" collapsed="false">
      <c r="A150" s="37" t="n">
        <v>357889796</v>
      </c>
      <c r="B150" s="38" t="n">
        <v>46215.4288657407</v>
      </c>
      <c r="C150" s="37" t="s">
        <v>475</v>
      </c>
      <c r="D150" s="37" t="s">
        <v>476</v>
      </c>
      <c r="E150" s="37" t="n">
        <v>23065006</v>
      </c>
      <c r="F150" s="37" t="s">
        <v>139</v>
      </c>
      <c r="G150" s="37" t="s">
        <v>198</v>
      </c>
      <c r="H150" s="37" t="s">
        <v>176</v>
      </c>
      <c r="I150" s="37" t="n">
        <v>124.64</v>
      </c>
      <c r="J150" s="39" t="n">
        <v>1673.96</v>
      </c>
      <c r="K150" s="37" t="s">
        <v>322</v>
      </c>
      <c r="L150" s="39" t="n">
        <v>234.32</v>
      </c>
      <c r="M150" s="39" t="n">
        <v>174.85</v>
      </c>
      <c r="N150" s="39" t="n">
        <f aca="false">J150*Resumo!$C$7</f>
        <v>3.34792</v>
      </c>
      <c r="O150" s="39" t="n">
        <f aca="false">J150*Resumo!$C$8</f>
        <v>3.34792</v>
      </c>
      <c r="P150" s="39" t="n">
        <f aca="false">Resumo!$C$10*CEILING(I150/100,1)</f>
        <v>2</v>
      </c>
      <c r="Q150" s="39" t="n">
        <f aca="false">Resumo!$C$9</f>
        <v>11.9</v>
      </c>
      <c r="R150" s="39" t="n">
        <f aca="false">SUM(M150:Q150)*Resumo!$C$11</f>
        <v>10.7495212</v>
      </c>
      <c r="S150" s="39" t="n">
        <f aca="false">SUM(M150:R150)</f>
        <v>206.1953612</v>
      </c>
      <c r="T150" s="39" t="n">
        <f aca="false">S150/(1-Resumo!$C$5)</f>
        <v>234.312910454545</v>
      </c>
      <c r="U150" s="39" t="n">
        <v>239.25</v>
      </c>
      <c r="V150" s="39" t="n">
        <f aca="false">J150*Resumo!$B$6</f>
        <v>1.67396</v>
      </c>
      <c r="W150" s="39" t="n">
        <f aca="false">J150*Resumo!$B$7</f>
        <v>3.34792</v>
      </c>
      <c r="X150" s="39" t="n">
        <f aca="false">Resumo!$B$9</f>
        <v>1</v>
      </c>
      <c r="Y150" s="39" t="n">
        <f aca="false">Resumo!$B$10*CEILING(I150/100,1)</f>
        <v>9</v>
      </c>
      <c r="Z150" s="39" t="n">
        <f aca="false">Resumo!$B$12*CEILING(I150,1)</f>
        <v>7.5</v>
      </c>
      <c r="AA150" s="39" t="n">
        <f aca="false">Resumo!$B$13*CEILING(I150,1)</f>
        <v>56.25</v>
      </c>
      <c r="AB150" s="39" t="n">
        <f aca="false">SUM(U150:AA150)</f>
        <v>318.02188</v>
      </c>
      <c r="AC150" s="39" t="n">
        <f aca="false">AB150/(1-Resumo!$B$5)</f>
        <v>361.3885</v>
      </c>
      <c r="AD150" s="39" t="n">
        <f aca="false">(AB150-AA150)/(1-Resumo!$B$5)</f>
        <v>297.468045454545</v>
      </c>
      <c r="AE150" s="39" t="n">
        <f aca="false">AC150-T150</f>
        <v>127.075589545455</v>
      </c>
      <c r="AF150" s="40" t="n">
        <f aca="false">AC150/T150-1</f>
        <v>0.542332854382371</v>
      </c>
      <c r="AG150" s="37" t="str">
        <f aca="false">IF(AC150&lt;T150,"SIM","NÃO")</f>
        <v>NÃO</v>
      </c>
      <c r="AH150" s="37" t="n">
        <v>8</v>
      </c>
      <c r="AI150" s="37" t="n">
        <v>5</v>
      </c>
      <c r="AJ150" s="37" t="s">
        <v>323</v>
      </c>
    </row>
    <row r="151" customFormat="false" ht="15" hidden="false" customHeight="false" outlineLevel="0" collapsed="false">
      <c r="A151" s="37" t="n">
        <v>357921830</v>
      </c>
      <c r="B151" s="38" t="n">
        <v>46215.4847685185</v>
      </c>
      <c r="C151" s="37" t="s">
        <v>320</v>
      </c>
      <c r="D151" s="37" t="s">
        <v>477</v>
      </c>
      <c r="E151" s="37" t="n">
        <v>24802370</v>
      </c>
      <c r="F151" s="37" t="s">
        <v>154</v>
      </c>
      <c r="G151" s="37" t="s">
        <v>201</v>
      </c>
      <c r="H151" s="37" t="s">
        <v>170</v>
      </c>
      <c r="I151" s="37" t="n">
        <v>48</v>
      </c>
      <c r="J151" s="39" t="n">
        <v>827.99</v>
      </c>
      <c r="K151" s="37" t="s">
        <v>322</v>
      </c>
      <c r="L151" s="39" t="n">
        <v>132.14</v>
      </c>
      <c r="M151" s="39" t="n">
        <v>94</v>
      </c>
      <c r="N151" s="39" t="n">
        <f aca="false">J151*Resumo!$C$7</f>
        <v>1.65598</v>
      </c>
      <c r="O151" s="39" t="n">
        <f aca="false">J151*Resumo!$C$8</f>
        <v>1.65598</v>
      </c>
      <c r="P151" s="39" t="n">
        <f aca="false">Resumo!$C$10*CEILING(I151/100,1)</f>
        <v>1</v>
      </c>
      <c r="Q151" s="39" t="n">
        <f aca="false">Resumo!$C$9</f>
        <v>11.9</v>
      </c>
      <c r="R151" s="39" t="n">
        <f aca="false">SUM(M151:Q151)*Resumo!$C$11</f>
        <v>6.0616578</v>
      </c>
      <c r="S151" s="39" t="n">
        <f aca="false">SUM(M151:R151)</f>
        <v>116.2736178</v>
      </c>
      <c r="T151" s="39" t="n">
        <f aca="false">S151/(1-Resumo!$C$5)</f>
        <v>132.129111136364</v>
      </c>
      <c r="U151" s="39" t="n">
        <v>114.95</v>
      </c>
      <c r="V151" s="39" t="n">
        <f aca="false">J151*Resumo!$B$6</f>
        <v>0.82799</v>
      </c>
      <c r="W151" s="39" t="n">
        <f aca="false">J151*Resumo!$B$7</f>
        <v>1.65598</v>
      </c>
      <c r="X151" s="39" t="n">
        <f aca="false">Resumo!$B$9</f>
        <v>1</v>
      </c>
      <c r="Y151" s="39" t="n">
        <f aca="false">Resumo!$B$10*CEILING(I151/100,1)</f>
        <v>4.5</v>
      </c>
      <c r="Z151" s="39" t="n">
        <f aca="false">Resumo!$B$12*CEILING(I151,1)</f>
        <v>2.88</v>
      </c>
      <c r="AA151" s="39" t="n">
        <f aca="false">Resumo!$B$13*CEILING(I151,1)</f>
        <v>21.6</v>
      </c>
      <c r="AB151" s="39" t="n">
        <f aca="false">SUM(U151:AA151)</f>
        <v>147.41397</v>
      </c>
      <c r="AC151" s="39" t="n">
        <f aca="false">AB151/(1-Resumo!$B$5)</f>
        <v>167.515875</v>
      </c>
      <c r="AD151" s="39" t="n">
        <f aca="false">(AB151-AA151)/(1-Resumo!$B$5)</f>
        <v>142.970420454545</v>
      </c>
      <c r="AE151" s="39" t="n">
        <f aca="false">AC151-T151</f>
        <v>35.3867638636363</v>
      </c>
      <c r="AF151" s="40" t="n">
        <f aca="false">AC151/T151-1</f>
        <v>0.26781958615551</v>
      </c>
      <c r="AG151" s="37" t="str">
        <f aca="false">IF(AC151&lt;T151,"SIM","NÃO")</f>
        <v>NÃO</v>
      </c>
      <c r="AH151" s="37" t="n">
        <v>13</v>
      </c>
      <c r="AI151" s="37" t="n">
        <v>7</v>
      </c>
      <c r="AJ151" s="37" t="s">
        <v>323</v>
      </c>
    </row>
    <row r="152" customFormat="false" ht="15" hidden="false" customHeight="false" outlineLevel="0" collapsed="false">
      <c r="A152" s="37" t="n">
        <v>357940074</v>
      </c>
      <c r="B152" s="38" t="n">
        <v>46215.5159375</v>
      </c>
      <c r="C152" s="37" t="s">
        <v>320</v>
      </c>
      <c r="D152" s="37" t="s">
        <v>478</v>
      </c>
      <c r="E152" s="37" t="n">
        <v>26021061</v>
      </c>
      <c r="F152" s="37" t="s">
        <v>142</v>
      </c>
      <c r="G152" s="37" t="s">
        <v>207</v>
      </c>
      <c r="H152" s="37" t="s">
        <v>171</v>
      </c>
      <c r="I152" s="37" t="n">
        <v>52.3</v>
      </c>
      <c r="J152" s="39" t="n">
        <v>644.99</v>
      </c>
      <c r="K152" s="37" t="s">
        <v>322</v>
      </c>
      <c r="L152" s="39" t="n">
        <v>128.38</v>
      </c>
      <c r="M152" s="39" t="n">
        <v>91.6</v>
      </c>
      <c r="N152" s="39" t="n">
        <f aca="false">J152*Resumo!$C$7</f>
        <v>1.28998</v>
      </c>
      <c r="O152" s="39" t="n">
        <f aca="false">J152*Resumo!$C$8</f>
        <v>1.28998</v>
      </c>
      <c r="P152" s="39" t="n">
        <f aca="false">Resumo!$C$10*CEILING(I152/100,1)</f>
        <v>1</v>
      </c>
      <c r="Q152" s="39" t="n">
        <f aca="false">Resumo!$C$9</f>
        <v>11.9</v>
      </c>
      <c r="R152" s="39" t="n">
        <f aca="false">SUM(M152:Q152)*Resumo!$C$11</f>
        <v>5.8893978</v>
      </c>
      <c r="S152" s="39" t="n">
        <f aca="false">SUM(M152:R152)</f>
        <v>112.9693578</v>
      </c>
      <c r="T152" s="39" t="n">
        <f aca="false">S152/(1-Resumo!$C$5)</f>
        <v>128.374270227273</v>
      </c>
      <c r="U152" s="39" t="n">
        <v>112.3</v>
      </c>
      <c r="V152" s="39" t="n">
        <f aca="false">J152*Resumo!$B$6</f>
        <v>0.64499</v>
      </c>
      <c r="W152" s="39" t="n">
        <f aca="false">J152*Resumo!$B$7</f>
        <v>1.28998</v>
      </c>
      <c r="X152" s="39" t="n">
        <f aca="false">Resumo!$B$9</f>
        <v>1</v>
      </c>
      <c r="Y152" s="39" t="n">
        <f aca="false">Resumo!$B$10*CEILING(I152/100,1)</f>
        <v>4.5</v>
      </c>
      <c r="Z152" s="39" t="n">
        <f aca="false">Resumo!$B$12*CEILING(I152,1)</f>
        <v>3.18</v>
      </c>
      <c r="AA152" s="39" t="n">
        <f aca="false">Resumo!$B$13*CEILING(I152,1)</f>
        <v>23.85</v>
      </c>
      <c r="AB152" s="39" t="n">
        <f aca="false">SUM(U152:AA152)</f>
        <v>146.76497</v>
      </c>
      <c r="AC152" s="39" t="n">
        <f aca="false">AB152/(1-Resumo!$B$5)</f>
        <v>166.778375</v>
      </c>
      <c r="AD152" s="39" t="n">
        <f aca="false">(AB152-AA152)/(1-Resumo!$B$5)</f>
        <v>139.676102272727</v>
      </c>
      <c r="AE152" s="39" t="n">
        <f aca="false">AC152-T152</f>
        <v>38.4041047727273</v>
      </c>
      <c r="AF152" s="40" t="n">
        <f aca="false">AC152/T152-1</f>
        <v>0.299157336627792</v>
      </c>
      <c r="AG152" s="37" t="str">
        <f aca="false">IF(AC152&lt;T152,"SIM","NÃO")</f>
        <v>NÃO</v>
      </c>
      <c r="AH152" s="37" t="n">
        <v>10</v>
      </c>
      <c r="AI152" s="37" t="n">
        <v>5</v>
      </c>
      <c r="AJ152" s="37" t="s">
        <v>323</v>
      </c>
    </row>
    <row r="153" customFormat="false" ht="15" hidden="false" customHeight="false" outlineLevel="0" collapsed="false">
      <c r="A153" s="37" t="n">
        <v>357944516</v>
      </c>
      <c r="B153" s="38" t="n">
        <v>46215.523599537</v>
      </c>
      <c r="C153" s="37" t="s">
        <v>320</v>
      </c>
      <c r="D153" s="37" t="s">
        <v>479</v>
      </c>
      <c r="E153" s="37" t="n">
        <v>28982360</v>
      </c>
      <c r="F153" s="37" t="s">
        <v>153</v>
      </c>
      <c r="G153" s="37" t="s">
        <v>201</v>
      </c>
      <c r="H153" s="37" t="s">
        <v>171</v>
      </c>
      <c r="I153" s="37" t="n">
        <v>52.3</v>
      </c>
      <c r="J153" s="39" t="n">
        <v>643.99</v>
      </c>
      <c r="K153" s="37" t="s">
        <v>322</v>
      </c>
      <c r="L153" s="39" t="n">
        <v>142.76</v>
      </c>
      <c r="M153" s="39" t="n">
        <v>103.6</v>
      </c>
      <c r="N153" s="39" t="n">
        <f aca="false">J153*Resumo!$C$7</f>
        <v>1.28798</v>
      </c>
      <c r="O153" s="39" t="n">
        <f aca="false">J153*Resumo!$C$8</f>
        <v>1.28798</v>
      </c>
      <c r="P153" s="39" t="n">
        <f aca="false">Resumo!$C$10*CEILING(I153/100,1)</f>
        <v>1</v>
      </c>
      <c r="Q153" s="39" t="n">
        <f aca="false">Resumo!$C$9</f>
        <v>11.9</v>
      </c>
      <c r="R153" s="39" t="n">
        <f aca="false">SUM(M153:Q153)*Resumo!$C$11</f>
        <v>6.5491778</v>
      </c>
      <c r="S153" s="39" t="n">
        <f aca="false">SUM(M153:R153)</f>
        <v>125.6251378</v>
      </c>
      <c r="T153" s="39" t="n">
        <f aca="false">S153/(1-Resumo!$C$5)</f>
        <v>142.755838409091</v>
      </c>
      <c r="U153" s="39" t="n">
        <v>142.32</v>
      </c>
      <c r="V153" s="39" t="n">
        <f aca="false">J153*Resumo!$B$6</f>
        <v>0.64399</v>
      </c>
      <c r="W153" s="39" t="n">
        <f aca="false">J153*Resumo!$B$7</f>
        <v>1.28798</v>
      </c>
      <c r="X153" s="39" t="n">
        <f aca="false">Resumo!$B$9</f>
        <v>1</v>
      </c>
      <c r="Y153" s="39" t="n">
        <f aca="false">Resumo!$B$10*CEILING(I153/100,1)</f>
        <v>4.5</v>
      </c>
      <c r="Z153" s="39" t="n">
        <f aca="false">Resumo!$B$12*CEILING(I153,1)</f>
        <v>3.18</v>
      </c>
      <c r="AA153" s="39" t="n">
        <f aca="false">Resumo!$B$13*CEILING(I153,1)</f>
        <v>23.85</v>
      </c>
      <c r="AB153" s="39" t="n">
        <f aca="false">SUM(U153:AA153)</f>
        <v>176.78197</v>
      </c>
      <c r="AC153" s="39" t="n">
        <f aca="false">AB153/(1-Resumo!$B$5)</f>
        <v>200.888602272727</v>
      </c>
      <c r="AD153" s="39" t="n">
        <f aca="false">(AB153-AA153)/(1-Resumo!$B$5)</f>
        <v>173.786329545455</v>
      </c>
      <c r="AE153" s="39" t="n">
        <f aca="false">AC153-T153</f>
        <v>58.1327638636364</v>
      </c>
      <c r="AF153" s="40" t="n">
        <f aca="false">AC153/T153-1</f>
        <v>0.407218118092285</v>
      </c>
      <c r="AG153" s="37" t="str">
        <f aca="false">IF(AC153&lt;T153,"SIM","NÃO")</f>
        <v>NÃO</v>
      </c>
      <c r="AH153" s="37" t="n">
        <v>13</v>
      </c>
      <c r="AI153" s="37" t="n">
        <v>10</v>
      </c>
      <c r="AJ153" s="37" t="s">
        <v>323</v>
      </c>
    </row>
    <row r="154" customFormat="false" ht="15" hidden="false" customHeight="false" outlineLevel="0" collapsed="false">
      <c r="A154" s="37" t="n">
        <v>357959750</v>
      </c>
      <c r="B154" s="38" t="n">
        <v>46215.5479513889</v>
      </c>
      <c r="C154" s="37" t="s">
        <v>320</v>
      </c>
      <c r="D154" s="37" t="s">
        <v>480</v>
      </c>
      <c r="E154" s="37" t="n">
        <v>22710568</v>
      </c>
      <c r="F154" s="37" t="s">
        <v>139</v>
      </c>
      <c r="G154" s="37" t="s">
        <v>198</v>
      </c>
      <c r="H154" s="37" t="s">
        <v>170</v>
      </c>
      <c r="I154" s="37" t="n">
        <v>41</v>
      </c>
      <c r="J154" s="39" t="n">
        <v>515.19</v>
      </c>
      <c r="K154" s="37" t="s">
        <v>322</v>
      </c>
      <c r="L154" s="39" t="n">
        <v>103.06</v>
      </c>
      <c r="M154" s="39" t="n">
        <v>71</v>
      </c>
      <c r="N154" s="39" t="n">
        <f aca="false">J154*Resumo!$C$7</f>
        <v>1.03038</v>
      </c>
      <c r="O154" s="39" t="n">
        <f aca="false">J154*Resumo!$C$8</f>
        <v>1.03038</v>
      </c>
      <c r="P154" s="39" t="n">
        <f aca="false">Resumo!$C$10*CEILING(I154/100,1)</f>
        <v>1</v>
      </c>
      <c r="Q154" s="39" t="n">
        <f aca="false">Resumo!$C$9</f>
        <v>11.9</v>
      </c>
      <c r="R154" s="39" t="n">
        <f aca="false">SUM(M154:Q154)*Resumo!$C$11</f>
        <v>4.7278418</v>
      </c>
      <c r="S154" s="39" t="n">
        <f aca="false">SUM(M154:R154)</f>
        <v>90.6886018</v>
      </c>
      <c r="T154" s="39" t="n">
        <f aca="false">S154/(1-Resumo!$C$5)</f>
        <v>103.055229318182</v>
      </c>
      <c r="U154" s="39" t="n">
        <v>93.97</v>
      </c>
      <c r="V154" s="39" t="n">
        <f aca="false">J154*Resumo!$B$6</f>
        <v>0.51519</v>
      </c>
      <c r="W154" s="39" t="n">
        <f aca="false">J154*Resumo!$B$7</f>
        <v>1.03038</v>
      </c>
      <c r="X154" s="39" t="n">
        <f aca="false">Resumo!$B$9</f>
        <v>1</v>
      </c>
      <c r="Y154" s="39" t="n">
        <f aca="false">Resumo!$B$10*CEILING(I154/100,1)</f>
        <v>4.5</v>
      </c>
      <c r="Z154" s="39" t="n">
        <f aca="false">Resumo!$B$12*CEILING(I154,1)</f>
        <v>2.46</v>
      </c>
      <c r="AA154" s="39" t="n">
        <f aca="false">Resumo!$B$13*CEILING(I154,1)</f>
        <v>18.45</v>
      </c>
      <c r="AB154" s="39" t="n">
        <f aca="false">SUM(U154:AA154)</f>
        <v>121.92557</v>
      </c>
      <c r="AC154" s="39" t="n">
        <f aca="false">AB154/(1-Resumo!$B$5)</f>
        <v>138.551784090909</v>
      </c>
      <c r="AD154" s="39" t="n">
        <f aca="false">(AB154-AA154)/(1-Resumo!$B$5)</f>
        <v>117.585875</v>
      </c>
      <c r="AE154" s="39" t="n">
        <f aca="false">AC154-T154</f>
        <v>35.4965547727273</v>
      </c>
      <c r="AF154" s="40" t="n">
        <f aca="false">AC154/T154-1</f>
        <v>0.344442053135723</v>
      </c>
      <c r="AG154" s="37" t="str">
        <f aca="false">IF(AC154&lt;T154,"SIM","NÃO")</f>
        <v>NÃO</v>
      </c>
      <c r="AH154" s="37" t="n">
        <v>8</v>
      </c>
      <c r="AI154" s="37" t="n">
        <v>5</v>
      </c>
      <c r="AJ154" s="37" t="s">
        <v>323</v>
      </c>
    </row>
    <row r="155" customFormat="false" ht="15" hidden="false" customHeight="false" outlineLevel="0" collapsed="false">
      <c r="A155" s="37" t="n">
        <v>357973405</v>
      </c>
      <c r="B155" s="38" t="n">
        <v>46215.5688310185</v>
      </c>
      <c r="C155" s="37" t="s">
        <v>325</v>
      </c>
      <c r="D155" s="37" t="s">
        <v>481</v>
      </c>
      <c r="E155" s="37" t="n">
        <v>23017440</v>
      </c>
      <c r="F155" s="37" t="s">
        <v>139</v>
      </c>
      <c r="G155" s="37" t="s">
        <v>198</v>
      </c>
      <c r="H155" s="37" t="s">
        <v>172</v>
      </c>
      <c r="I155" s="37" t="n">
        <v>66.8</v>
      </c>
      <c r="J155" s="39" t="n">
        <v>630.3</v>
      </c>
      <c r="K155" s="37" t="s">
        <v>322</v>
      </c>
      <c r="L155" s="39" t="n">
        <v>124.23</v>
      </c>
      <c r="M155" s="39" t="n">
        <v>88.2</v>
      </c>
      <c r="N155" s="39" t="n">
        <f aca="false">J155*Resumo!$C$7</f>
        <v>1.2606</v>
      </c>
      <c r="O155" s="39" t="n">
        <f aca="false">J155*Resumo!$C$8</f>
        <v>1.2606</v>
      </c>
      <c r="P155" s="39" t="n">
        <f aca="false">Resumo!$C$10*CEILING(I155/100,1)</f>
        <v>1</v>
      </c>
      <c r="Q155" s="39" t="n">
        <f aca="false">Resumo!$C$9</f>
        <v>11.9</v>
      </c>
      <c r="R155" s="39" t="n">
        <f aca="false">SUM(M155:Q155)*Resumo!$C$11</f>
        <v>5.699166</v>
      </c>
      <c r="S155" s="39" t="n">
        <f aca="false">SUM(M155:R155)</f>
        <v>109.320366</v>
      </c>
      <c r="T155" s="39" t="n">
        <f aca="false">S155/(1-Resumo!$C$5)</f>
        <v>124.227688636364</v>
      </c>
      <c r="U155" s="39" t="n">
        <v>131.02</v>
      </c>
      <c r="V155" s="39" t="n">
        <f aca="false">J155*Resumo!$B$6</f>
        <v>0.6303</v>
      </c>
      <c r="W155" s="39" t="n">
        <f aca="false">J155*Resumo!$B$7</f>
        <v>1.2606</v>
      </c>
      <c r="X155" s="39" t="n">
        <f aca="false">Resumo!$B$9</f>
        <v>1</v>
      </c>
      <c r="Y155" s="39" t="n">
        <f aca="false">Resumo!$B$10*CEILING(I155/100,1)</f>
        <v>4.5</v>
      </c>
      <c r="Z155" s="39" t="n">
        <f aca="false">Resumo!$B$12*CEILING(I155,1)</f>
        <v>4.02</v>
      </c>
      <c r="AA155" s="39" t="n">
        <f aca="false">Resumo!$B$13*CEILING(I155,1)</f>
        <v>30.15</v>
      </c>
      <c r="AB155" s="39" t="n">
        <f aca="false">SUM(U155:AA155)</f>
        <v>172.5809</v>
      </c>
      <c r="AC155" s="39" t="n">
        <f aca="false">AB155/(1-Resumo!$B$5)</f>
        <v>196.114659090909</v>
      </c>
      <c r="AD155" s="39" t="n">
        <f aca="false">(AB155-AA155)/(1-Resumo!$B$5)</f>
        <v>161.853295454545</v>
      </c>
      <c r="AE155" s="39" t="n">
        <f aca="false">AC155-T155</f>
        <v>71.8869704545455</v>
      </c>
      <c r="AF155" s="40" t="n">
        <f aca="false">AC155/T155-1</f>
        <v>0.578671077628847</v>
      </c>
      <c r="AG155" s="37" t="str">
        <f aca="false">IF(AC155&lt;T155,"SIM","NÃO")</f>
        <v>NÃO</v>
      </c>
      <c r="AH155" s="37" t="n">
        <v>8</v>
      </c>
      <c r="AI155" s="37" t="n">
        <v>5</v>
      </c>
      <c r="AJ155" s="37" t="s">
        <v>323</v>
      </c>
    </row>
    <row r="156" customFormat="false" ht="15" hidden="false" customHeight="false" outlineLevel="0" collapsed="false">
      <c r="A156" s="37" t="n">
        <v>357991954</v>
      </c>
      <c r="B156" s="38" t="n">
        <v>46215.5972337963</v>
      </c>
      <c r="C156" s="37" t="s">
        <v>320</v>
      </c>
      <c r="D156" s="37" t="s">
        <v>482</v>
      </c>
      <c r="E156" s="37" t="n">
        <v>26065012</v>
      </c>
      <c r="F156" s="37" t="s">
        <v>142</v>
      </c>
      <c r="G156" s="37" t="s">
        <v>207</v>
      </c>
      <c r="H156" s="37" t="s">
        <v>175</v>
      </c>
      <c r="I156" s="37" t="n">
        <v>117.5</v>
      </c>
      <c r="J156" s="39" t="n">
        <v>1273.97</v>
      </c>
      <c r="K156" s="37" t="s">
        <v>322</v>
      </c>
      <c r="L156" s="39" t="n">
        <v>195.94</v>
      </c>
      <c r="M156" s="39" t="n">
        <v>144.44</v>
      </c>
      <c r="N156" s="39" t="n">
        <f aca="false">J156*Resumo!$C$7</f>
        <v>2.54794</v>
      </c>
      <c r="O156" s="39" t="n">
        <f aca="false">J156*Resumo!$C$8</f>
        <v>2.54794</v>
      </c>
      <c r="P156" s="39" t="n">
        <f aca="false">Resumo!$C$10*CEILING(I156/100,1)</f>
        <v>2</v>
      </c>
      <c r="Q156" s="39" t="n">
        <f aca="false">Resumo!$C$9</f>
        <v>11.9</v>
      </c>
      <c r="R156" s="39" t="n">
        <f aca="false">SUM(M156:Q156)*Resumo!$C$11</f>
        <v>8.9889734</v>
      </c>
      <c r="S156" s="39" t="n">
        <f aca="false">SUM(M156:R156)</f>
        <v>172.4248534</v>
      </c>
      <c r="T156" s="39" t="n">
        <f aca="false">S156/(1-Resumo!$C$5)</f>
        <v>195.937333409091</v>
      </c>
      <c r="U156" s="39" t="n">
        <v>201.59</v>
      </c>
      <c r="V156" s="39" t="n">
        <f aca="false">J156*Resumo!$B$6</f>
        <v>1.27397</v>
      </c>
      <c r="W156" s="39" t="n">
        <f aca="false">J156*Resumo!$B$7</f>
        <v>2.54794</v>
      </c>
      <c r="X156" s="39" t="n">
        <f aca="false">Resumo!$B$9</f>
        <v>1</v>
      </c>
      <c r="Y156" s="39" t="n">
        <f aca="false">Resumo!$B$10*CEILING(I156/100,1)</f>
        <v>9</v>
      </c>
      <c r="Z156" s="39" t="n">
        <f aca="false">Resumo!$B$12*CEILING(I156,1)</f>
        <v>7.08</v>
      </c>
      <c r="AA156" s="39" t="n">
        <f aca="false">Resumo!$B$13*CEILING(I156,1)</f>
        <v>53.1</v>
      </c>
      <c r="AB156" s="39" t="n">
        <f aca="false">SUM(U156:AA156)</f>
        <v>275.59191</v>
      </c>
      <c r="AC156" s="39" t="n">
        <f aca="false">AB156/(1-Resumo!$B$5)</f>
        <v>313.172625</v>
      </c>
      <c r="AD156" s="39" t="n">
        <f aca="false">(AB156-AA156)/(1-Resumo!$B$5)</f>
        <v>252.831715909091</v>
      </c>
      <c r="AE156" s="39" t="n">
        <f aca="false">AC156-T156</f>
        <v>117.235291590909</v>
      </c>
      <c r="AF156" s="40" t="n">
        <f aca="false">AC156/T156-1</f>
        <v>0.598330545543036</v>
      </c>
      <c r="AG156" s="37" t="str">
        <f aca="false">IF(AC156&lt;T156,"SIM","NÃO")</f>
        <v>NÃO</v>
      </c>
      <c r="AH156" s="37" t="n">
        <v>10</v>
      </c>
      <c r="AI156" s="37" t="n">
        <v>5</v>
      </c>
      <c r="AJ156" s="37" t="s">
        <v>323</v>
      </c>
    </row>
    <row r="157" customFormat="false" ht="15" hidden="false" customHeight="false" outlineLevel="0" collapsed="false">
      <c r="A157" s="37" t="n">
        <v>358043310</v>
      </c>
      <c r="B157" s="38" t="n">
        <v>46215.6785648148</v>
      </c>
      <c r="C157" s="37" t="s">
        <v>320</v>
      </c>
      <c r="D157" s="37" t="s">
        <v>483</v>
      </c>
      <c r="E157" s="37" t="n">
        <v>21235112</v>
      </c>
      <c r="F157" s="37" t="s">
        <v>139</v>
      </c>
      <c r="G157" s="37" t="s">
        <v>198</v>
      </c>
      <c r="H157" s="37" t="s">
        <v>169</v>
      </c>
      <c r="I157" s="37" t="n">
        <v>40</v>
      </c>
      <c r="J157" s="39" t="n">
        <v>619.99</v>
      </c>
      <c r="K157" s="37" t="s">
        <v>322</v>
      </c>
      <c r="L157" s="39" t="n">
        <v>92.83</v>
      </c>
      <c r="M157" s="39" t="n">
        <v>62.05</v>
      </c>
      <c r="N157" s="39" t="n">
        <f aca="false">J157*Resumo!$C$7</f>
        <v>1.23998</v>
      </c>
      <c r="O157" s="39" t="n">
        <f aca="false">J157*Resumo!$C$8</f>
        <v>1.23998</v>
      </c>
      <c r="P157" s="39" t="n">
        <f aca="false">Resumo!$C$10*CEILING(I157/100,1)</f>
        <v>1</v>
      </c>
      <c r="Q157" s="39" t="n">
        <f aca="false">Resumo!$C$9</f>
        <v>11.9</v>
      </c>
      <c r="R157" s="39" t="n">
        <f aca="false">SUM(M157:Q157)*Resumo!$C$11</f>
        <v>4.2586478</v>
      </c>
      <c r="S157" s="39" t="n">
        <f aca="false">SUM(M157:R157)</f>
        <v>81.6886078</v>
      </c>
      <c r="T157" s="39" t="n">
        <f aca="false">S157/(1-Resumo!$C$5)</f>
        <v>92.8279634090909</v>
      </c>
      <c r="U157" s="39" t="n">
        <v>93.97</v>
      </c>
      <c r="V157" s="39" t="n">
        <f aca="false">J157*Resumo!$B$6</f>
        <v>0.61999</v>
      </c>
      <c r="W157" s="39" t="n">
        <f aca="false">J157*Resumo!$B$7</f>
        <v>1.23998</v>
      </c>
      <c r="X157" s="39" t="n">
        <f aca="false">Resumo!$B$9</f>
        <v>1</v>
      </c>
      <c r="Y157" s="39" t="n">
        <f aca="false">Resumo!$B$10*CEILING(I157/100,1)</f>
        <v>4.5</v>
      </c>
      <c r="Z157" s="39" t="n">
        <f aca="false">Resumo!$B$12*CEILING(I157,1)</f>
        <v>2.4</v>
      </c>
      <c r="AA157" s="39" t="n">
        <f aca="false">Resumo!$B$13*CEILING(I157,1)</f>
        <v>18</v>
      </c>
      <c r="AB157" s="39" t="n">
        <f aca="false">SUM(U157:AA157)</f>
        <v>121.72997</v>
      </c>
      <c r="AC157" s="39" t="n">
        <f aca="false">AB157/(1-Resumo!$B$5)</f>
        <v>138.329511363636</v>
      </c>
      <c r="AD157" s="39" t="n">
        <f aca="false">(AB157-AA157)/(1-Resumo!$B$5)</f>
        <v>117.874965909091</v>
      </c>
      <c r="AE157" s="39" t="n">
        <f aca="false">AC157-T157</f>
        <v>45.5015479545454</v>
      </c>
      <c r="AF157" s="40" t="n">
        <f aca="false">AC157/T157-1</f>
        <v>0.490170701623832</v>
      </c>
      <c r="AG157" s="37" t="str">
        <f aca="false">IF(AC157&lt;T157,"SIM","NÃO")</f>
        <v>NÃO</v>
      </c>
      <c r="AH157" s="37" t="n">
        <v>8</v>
      </c>
      <c r="AI157" s="37" t="n">
        <v>5</v>
      </c>
      <c r="AJ157" s="37" t="s">
        <v>323</v>
      </c>
    </row>
    <row r="158" customFormat="false" ht="15" hidden="false" customHeight="false" outlineLevel="0" collapsed="false">
      <c r="A158" s="37" t="n">
        <v>358056810</v>
      </c>
      <c r="B158" s="38" t="n">
        <v>46215.6987615741</v>
      </c>
      <c r="C158" s="37" t="s">
        <v>320</v>
      </c>
      <c r="D158" s="37" t="s">
        <v>484</v>
      </c>
      <c r="E158" s="37" t="n">
        <v>22611070</v>
      </c>
      <c r="F158" s="37" t="s">
        <v>139</v>
      </c>
      <c r="G158" s="37" t="s">
        <v>198</v>
      </c>
      <c r="H158" s="37" t="s">
        <v>171</v>
      </c>
      <c r="I158" s="37" t="n">
        <v>52.3</v>
      </c>
      <c r="J158" s="39" t="n">
        <v>644.99</v>
      </c>
      <c r="K158" s="37" t="s">
        <v>322</v>
      </c>
      <c r="L158" s="39" t="n">
        <v>114.24</v>
      </c>
      <c r="M158" s="39" t="n">
        <v>79.81</v>
      </c>
      <c r="N158" s="39" t="n">
        <f aca="false">J158*Resumo!$C$7</f>
        <v>1.28998</v>
      </c>
      <c r="O158" s="39" t="n">
        <f aca="false">J158*Resumo!$C$8</f>
        <v>1.28998</v>
      </c>
      <c r="P158" s="39" t="n">
        <f aca="false">Resumo!$C$10*CEILING(I158/100,1)</f>
        <v>1</v>
      </c>
      <c r="Q158" s="39" t="n">
        <f aca="false">Resumo!$C$9</f>
        <v>11.9</v>
      </c>
      <c r="R158" s="39" t="n">
        <f aca="false">SUM(M158:Q158)*Resumo!$C$11</f>
        <v>5.2409478</v>
      </c>
      <c r="S158" s="39" t="n">
        <f aca="false">SUM(M158:R158)</f>
        <v>100.5309078</v>
      </c>
      <c r="T158" s="39" t="n">
        <f aca="false">S158/(1-Resumo!$C$5)</f>
        <v>114.239667954545</v>
      </c>
      <c r="U158" s="39" t="n">
        <v>112.3</v>
      </c>
      <c r="V158" s="39" t="n">
        <f aca="false">J158*Resumo!$B$6</f>
        <v>0.64499</v>
      </c>
      <c r="W158" s="39" t="n">
        <f aca="false">J158*Resumo!$B$7</f>
        <v>1.28998</v>
      </c>
      <c r="X158" s="39" t="n">
        <f aca="false">Resumo!$B$9</f>
        <v>1</v>
      </c>
      <c r="Y158" s="39" t="n">
        <f aca="false">Resumo!$B$10*CEILING(I158/100,1)</f>
        <v>4.5</v>
      </c>
      <c r="Z158" s="39" t="n">
        <f aca="false">Resumo!$B$12*CEILING(I158,1)</f>
        <v>3.18</v>
      </c>
      <c r="AA158" s="39" t="n">
        <f aca="false">Resumo!$B$13*CEILING(I158,1)</f>
        <v>23.85</v>
      </c>
      <c r="AB158" s="39" t="n">
        <f aca="false">SUM(U158:AA158)</f>
        <v>146.76497</v>
      </c>
      <c r="AC158" s="39" t="n">
        <f aca="false">AB158/(1-Resumo!$B$5)</f>
        <v>166.778375</v>
      </c>
      <c r="AD158" s="39" t="n">
        <f aca="false">(AB158-AA158)/(1-Resumo!$B$5)</f>
        <v>139.676102272727</v>
      </c>
      <c r="AE158" s="39" t="n">
        <f aca="false">AC158-T158</f>
        <v>52.5387070454545</v>
      </c>
      <c r="AF158" s="40" t="n">
        <f aca="false">AC158/T158-1</f>
        <v>0.459898982430158</v>
      </c>
      <c r="AG158" s="37" t="str">
        <f aca="false">IF(AC158&lt;T158,"SIM","NÃO")</f>
        <v>NÃO</v>
      </c>
      <c r="AH158" s="37" t="n">
        <v>8</v>
      </c>
      <c r="AI158" s="37" t="n">
        <v>5</v>
      </c>
      <c r="AJ158" s="37" t="s">
        <v>323</v>
      </c>
    </row>
    <row r="159" customFormat="false" ht="15" hidden="false" customHeight="false" outlineLevel="0" collapsed="false">
      <c r="A159" s="37" t="n">
        <v>358066977</v>
      </c>
      <c r="B159" s="38" t="n">
        <v>46215.7138425926</v>
      </c>
      <c r="C159" s="37" t="s">
        <v>320</v>
      </c>
      <c r="D159" s="37" t="s">
        <v>485</v>
      </c>
      <c r="E159" s="37" t="n">
        <v>23898081</v>
      </c>
      <c r="F159" s="37" t="s">
        <v>205</v>
      </c>
      <c r="G159" s="37" t="s">
        <v>201</v>
      </c>
      <c r="H159" s="37" t="s">
        <v>172</v>
      </c>
      <c r="I159" s="37" t="n">
        <v>66.8</v>
      </c>
      <c r="J159" s="39" t="n">
        <v>643.99</v>
      </c>
      <c r="K159" s="37" t="s">
        <v>322</v>
      </c>
      <c r="L159" s="39" t="n">
        <v>155.11</v>
      </c>
      <c r="M159" s="39" t="n">
        <v>113.9</v>
      </c>
      <c r="N159" s="39" t="n">
        <f aca="false">J159*Resumo!$C$7</f>
        <v>1.28798</v>
      </c>
      <c r="O159" s="39" t="n">
        <f aca="false">J159*Resumo!$C$8</f>
        <v>1.28798</v>
      </c>
      <c r="P159" s="39" t="n">
        <f aca="false">Resumo!$C$10*CEILING(I159/100,1)</f>
        <v>1</v>
      </c>
      <c r="Q159" s="39" t="n">
        <f aca="false">Resumo!$C$9</f>
        <v>11.9</v>
      </c>
      <c r="R159" s="39" t="n">
        <f aca="false">SUM(M159:Q159)*Resumo!$C$11</f>
        <v>7.1156778</v>
      </c>
      <c r="S159" s="39" t="n">
        <f aca="false">SUM(M159:R159)</f>
        <v>136.4916378</v>
      </c>
      <c r="T159" s="39" t="n">
        <f aca="false">S159/(1-Resumo!$C$5)</f>
        <v>155.104133863636</v>
      </c>
      <c r="U159" s="39" t="n">
        <v>141.02</v>
      </c>
      <c r="V159" s="39" t="n">
        <f aca="false">J159*Resumo!$B$6</f>
        <v>0.64399</v>
      </c>
      <c r="W159" s="39" t="n">
        <f aca="false">J159*Resumo!$B$7</f>
        <v>1.28798</v>
      </c>
      <c r="X159" s="39" t="n">
        <f aca="false">Resumo!$B$9</f>
        <v>1</v>
      </c>
      <c r="Y159" s="39" t="n">
        <f aca="false">Resumo!$B$10*CEILING(I159/100,1)</f>
        <v>4.5</v>
      </c>
      <c r="Z159" s="39" t="n">
        <f aca="false">Resumo!$B$12*CEILING(I159,1)</f>
        <v>4.02</v>
      </c>
      <c r="AA159" s="39" t="n">
        <f aca="false">Resumo!$B$13*CEILING(I159,1)</f>
        <v>30.15</v>
      </c>
      <c r="AB159" s="39" t="n">
        <f aca="false">SUM(U159:AA159)</f>
        <v>182.62197</v>
      </c>
      <c r="AC159" s="39" t="n">
        <f aca="false">AB159/(1-Resumo!$B$5)</f>
        <v>207.524965909091</v>
      </c>
      <c r="AD159" s="39" t="n">
        <f aca="false">(AB159-AA159)/(1-Resumo!$B$5)</f>
        <v>173.263602272727</v>
      </c>
      <c r="AE159" s="39" t="n">
        <f aca="false">AC159-T159</f>
        <v>52.4208320454545</v>
      </c>
      <c r="AF159" s="40" t="n">
        <f aca="false">AC159/T159-1</f>
        <v>0.337971856324227</v>
      </c>
      <c r="AG159" s="37" t="str">
        <f aca="false">IF(AC159&lt;T159,"SIM","NÃO")</f>
        <v>NÃO</v>
      </c>
      <c r="AH159" s="37" t="n">
        <v>13</v>
      </c>
      <c r="AI159" s="37" t="n">
        <v>5</v>
      </c>
      <c r="AJ159" s="37" t="s">
        <v>327</v>
      </c>
    </row>
    <row r="160" customFormat="false" ht="15" hidden="false" customHeight="false" outlineLevel="0" collapsed="false">
      <c r="A160" s="37" t="n">
        <v>358123675</v>
      </c>
      <c r="B160" s="38" t="n">
        <v>46215.7830902778</v>
      </c>
      <c r="C160" s="37" t="s">
        <v>320</v>
      </c>
      <c r="D160" s="37" t="s">
        <v>486</v>
      </c>
      <c r="E160" s="37" t="n">
        <v>26280190</v>
      </c>
      <c r="F160" s="37" t="s">
        <v>142</v>
      </c>
      <c r="G160" s="37" t="s">
        <v>207</v>
      </c>
      <c r="H160" s="37" t="s">
        <v>169</v>
      </c>
      <c r="I160" s="37" t="n">
        <v>37.2</v>
      </c>
      <c r="J160" s="39" t="n">
        <v>359.99</v>
      </c>
      <c r="K160" s="37" t="s">
        <v>322</v>
      </c>
      <c r="L160" s="39" t="n">
        <v>112.68</v>
      </c>
      <c r="M160" s="39" t="n">
        <v>79.65</v>
      </c>
      <c r="N160" s="39" t="n">
        <f aca="false">J160*Resumo!$C$7</f>
        <v>0.71998</v>
      </c>
      <c r="O160" s="39" t="n">
        <f aca="false">J160*Resumo!$C$8</f>
        <v>0.71998</v>
      </c>
      <c r="P160" s="39" t="n">
        <f aca="false">Resumo!$C$10*CEILING(I160/100,1)</f>
        <v>1</v>
      </c>
      <c r="Q160" s="39" t="n">
        <f aca="false">Resumo!$C$9</f>
        <v>11.9</v>
      </c>
      <c r="R160" s="39" t="n">
        <f aca="false">SUM(M160:Q160)*Resumo!$C$11</f>
        <v>5.1694478</v>
      </c>
      <c r="S160" s="39" t="n">
        <f aca="false">SUM(M160:R160)</f>
        <v>99.1594078</v>
      </c>
      <c r="T160" s="39" t="n">
        <f aca="false">S160/(1-Resumo!$C$5)</f>
        <v>112.681145227273</v>
      </c>
      <c r="U160" s="39" t="n">
        <v>93.97</v>
      </c>
      <c r="V160" s="39" t="n">
        <f aca="false">J160*Resumo!$B$6</f>
        <v>0.35999</v>
      </c>
      <c r="W160" s="39" t="n">
        <f aca="false">J160*Resumo!$B$7</f>
        <v>0.71998</v>
      </c>
      <c r="X160" s="39" t="n">
        <f aca="false">Resumo!$B$9</f>
        <v>1</v>
      </c>
      <c r="Y160" s="39" t="n">
        <f aca="false">Resumo!$B$10*CEILING(I160/100,1)</f>
        <v>4.5</v>
      </c>
      <c r="Z160" s="39" t="n">
        <f aca="false">Resumo!$B$12*CEILING(I160,1)</f>
        <v>2.28</v>
      </c>
      <c r="AA160" s="39" t="n">
        <f aca="false">Resumo!$B$13*CEILING(I160,1)</f>
        <v>17.1</v>
      </c>
      <c r="AB160" s="39" t="n">
        <f aca="false">SUM(U160:AA160)</f>
        <v>119.92997</v>
      </c>
      <c r="AC160" s="39" t="n">
        <f aca="false">AB160/(1-Resumo!$B$5)</f>
        <v>136.284056818182</v>
      </c>
      <c r="AD160" s="39" t="n">
        <f aca="false">(AB160-AA160)/(1-Resumo!$B$5)</f>
        <v>116.852238636364</v>
      </c>
      <c r="AE160" s="39" t="n">
        <f aca="false">AC160-T160</f>
        <v>23.6029115909091</v>
      </c>
      <c r="AF160" s="40" t="n">
        <f aca="false">AC160/T160-1</f>
        <v>0.209466380052342</v>
      </c>
      <c r="AG160" s="37" t="str">
        <f aca="false">IF(AC160&lt;T160,"SIM","NÃO")</f>
        <v>NÃO</v>
      </c>
      <c r="AH160" s="37" t="n">
        <v>10</v>
      </c>
      <c r="AI160" s="37" t="n">
        <v>5</v>
      </c>
      <c r="AJ160" s="37" t="s">
        <v>323</v>
      </c>
    </row>
    <row r="161" customFormat="false" ht="15" hidden="false" customHeight="false" outlineLevel="0" collapsed="false">
      <c r="A161" s="37" t="n">
        <v>358126348</v>
      </c>
      <c r="B161" s="38" t="n">
        <v>46215.7874768519</v>
      </c>
      <c r="C161" s="37" t="s">
        <v>320</v>
      </c>
      <c r="D161" s="37" t="s">
        <v>487</v>
      </c>
      <c r="E161" s="37" t="n">
        <v>24737475</v>
      </c>
      <c r="F161" s="37" t="s">
        <v>140</v>
      </c>
      <c r="G161" s="37" t="s">
        <v>207</v>
      </c>
      <c r="H161" s="37" t="s">
        <v>167</v>
      </c>
      <c r="I161" s="37" t="n">
        <v>19.5</v>
      </c>
      <c r="J161" s="39" t="n">
        <v>369.99</v>
      </c>
      <c r="K161" s="37" t="s">
        <v>322</v>
      </c>
      <c r="L161" s="39" t="n">
        <v>75.61</v>
      </c>
      <c r="M161" s="39" t="n">
        <v>48.69</v>
      </c>
      <c r="N161" s="39" t="n">
        <f aca="false">J161*Resumo!$C$7</f>
        <v>0.73998</v>
      </c>
      <c r="O161" s="39" t="n">
        <f aca="false">J161*Resumo!$C$8</f>
        <v>0.73998</v>
      </c>
      <c r="P161" s="39" t="n">
        <f aca="false">Resumo!$C$10*CEILING(I161/100,1)</f>
        <v>1</v>
      </c>
      <c r="Q161" s="39" t="n">
        <f aca="false">Resumo!$C$9</f>
        <v>11.9</v>
      </c>
      <c r="R161" s="39" t="n">
        <f aca="false">SUM(M161:Q161)*Resumo!$C$11</f>
        <v>3.4688478</v>
      </c>
      <c r="S161" s="39" t="n">
        <f aca="false">SUM(M161:R161)</f>
        <v>66.5388078</v>
      </c>
      <c r="T161" s="39" t="n">
        <f aca="false">S161/(1-Resumo!$C$5)</f>
        <v>75.6122815909091</v>
      </c>
      <c r="U161" s="39" t="n">
        <v>57.47</v>
      </c>
      <c r="V161" s="39" t="n">
        <f aca="false">J161*Resumo!$B$6</f>
        <v>0.36999</v>
      </c>
      <c r="W161" s="39" t="n">
        <f aca="false">J161*Resumo!$B$7</f>
        <v>0.73998</v>
      </c>
      <c r="X161" s="39" t="n">
        <f aca="false">Resumo!$B$9</f>
        <v>1</v>
      </c>
      <c r="Y161" s="39" t="n">
        <f aca="false">Resumo!$B$10*CEILING(I161/100,1)</f>
        <v>4.5</v>
      </c>
      <c r="Z161" s="39" t="n">
        <f aca="false">Resumo!$B$12*CEILING(I161,1)</f>
        <v>1.2</v>
      </c>
      <c r="AA161" s="39" t="n">
        <f aca="false">Resumo!$B$13*CEILING(I161,1)</f>
        <v>9</v>
      </c>
      <c r="AB161" s="39" t="n">
        <f aca="false">SUM(U161:AA161)</f>
        <v>74.27997</v>
      </c>
      <c r="AC161" s="39" t="n">
        <f aca="false">AB161/(1-Resumo!$B$5)</f>
        <v>84.4090568181818</v>
      </c>
      <c r="AD161" s="39" t="n">
        <f aca="false">(AB161-AA161)/(1-Resumo!$B$5)</f>
        <v>74.1817840909091</v>
      </c>
      <c r="AE161" s="39" t="n">
        <f aca="false">AC161-T161</f>
        <v>8.79677522727273</v>
      </c>
      <c r="AF161" s="40" t="n">
        <f aca="false">AC161/T161-1</f>
        <v>0.116340560583353</v>
      </c>
      <c r="AG161" s="37" t="str">
        <f aca="false">IF(AC161&lt;T161,"SIM","NÃO")</f>
        <v>NÃO</v>
      </c>
      <c r="AH161" s="37" t="n">
        <v>10</v>
      </c>
      <c r="AI161" s="37" t="n">
        <v>7</v>
      </c>
      <c r="AJ161" s="37" t="s">
        <v>323</v>
      </c>
    </row>
    <row r="162" customFormat="false" ht="15" hidden="false" customHeight="false" outlineLevel="0" collapsed="false">
      <c r="A162" s="37" t="n">
        <v>358129527</v>
      </c>
      <c r="B162" s="38" t="n">
        <v>46215.7925925926</v>
      </c>
      <c r="C162" s="37" t="s">
        <v>325</v>
      </c>
      <c r="D162" s="37" t="s">
        <v>488</v>
      </c>
      <c r="E162" s="37" t="n">
        <v>22795216</v>
      </c>
      <c r="F162" s="37" t="s">
        <v>139</v>
      </c>
      <c r="G162" s="37" t="s">
        <v>198</v>
      </c>
      <c r="H162" s="37" t="s">
        <v>171</v>
      </c>
      <c r="I162" s="37" t="n">
        <v>52.3</v>
      </c>
      <c r="J162" s="39" t="n">
        <v>650.86</v>
      </c>
      <c r="K162" s="37" t="s">
        <v>322</v>
      </c>
      <c r="L162" s="39" t="n">
        <v>114.26</v>
      </c>
      <c r="M162" s="39" t="n">
        <v>79.81</v>
      </c>
      <c r="N162" s="39" t="n">
        <f aca="false">J162*Resumo!$C$7</f>
        <v>1.30172</v>
      </c>
      <c r="O162" s="39" t="n">
        <f aca="false">J162*Resumo!$C$8</f>
        <v>1.30172</v>
      </c>
      <c r="P162" s="39" t="n">
        <f aca="false">Resumo!$C$10*CEILING(I162/100,1)</f>
        <v>1</v>
      </c>
      <c r="Q162" s="39" t="n">
        <f aca="false">Resumo!$C$9</f>
        <v>11.9</v>
      </c>
      <c r="R162" s="39" t="n">
        <f aca="false">SUM(M162:Q162)*Resumo!$C$11</f>
        <v>5.2422392</v>
      </c>
      <c r="S162" s="39" t="n">
        <f aca="false">SUM(M162:R162)</f>
        <v>100.5556792</v>
      </c>
      <c r="T162" s="39" t="n">
        <f aca="false">S162/(1-Resumo!$C$5)</f>
        <v>114.267817272727</v>
      </c>
      <c r="U162" s="39" t="n">
        <v>112.3</v>
      </c>
      <c r="V162" s="39" t="n">
        <f aca="false">J162*Resumo!$B$6</f>
        <v>0.65086</v>
      </c>
      <c r="W162" s="39" t="n">
        <f aca="false">J162*Resumo!$B$7</f>
        <v>1.30172</v>
      </c>
      <c r="X162" s="39" t="n">
        <f aca="false">Resumo!$B$9</f>
        <v>1</v>
      </c>
      <c r="Y162" s="39" t="n">
        <f aca="false">Resumo!$B$10*CEILING(I162/100,1)</f>
        <v>4.5</v>
      </c>
      <c r="Z162" s="39" t="n">
        <f aca="false">Resumo!$B$12*CEILING(I162,1)</f>
        <v>3.18</v>
      </c>
      <c r="AA162" s="39" t="n">
        <f aca="false">Resumo!$B$13*CEILING(I162,1)</f>
        <v>23.85</v>
      </c>
      <c r="AB162" s="39" t="n">
        <f aca="false">SUM(U162:AA162)</f>
        <v>146.78258</v>
      </c>
      <c r="AC162" s="39" t="n">
        <f aca="false">AB162/(1-Resumo!$B$5)</f>
        <v>166.798386363636</v>
      </c>
      <c r="AD162" s="39" t="n">
        <f aca="false">(AB162-AA162)/(1-Resumo!$B$5)</f>
        <v>139.696113636364</v>
      </c>
      <c r="AE162" s="39" t="n">
        <f aca="false">AC162-T162</f>
        <v>52.5305690909091</v>
      </c>
      <c r="AF162" s="40" t="n">
        <f aca="false">AC162/T162-1</f>
        <v>0.459714470309102</v>
      </c>
      <c r="AG162" s="37" t="str">
        <f aca="false">IF(AC162&lt;T162,"SIM","NÃO")</f>
        <v>NÃO</v>
      </c>
      <c r="AH162" s="37" t="n">
        <v>8</v>
      </c>
      <c r="AI162" s="37" t="n">
        <v>5</v>
      </c>
      <c r="AJ162" s="37" t="s">
        <v>323</v>
      </c>
    </row>
    <row r="163" customFormat="false" ht="15" hidden="false" customHeight="false" outlineLevel="0" collapsed="false">
      <c r="A163" s="37" t="n">
        <v>358136247</v>
      </c>
      <c r="B163" s="38" t="n">
        <v>46215.8080208333</v>
      </c>
      <c r="C163" s="37" t="s">
        <v>341</v>
      </c>
      <c r="D163" s="37" t="s">
        <v>489</v>
      </c>
      <c r="E163" s="37" t="n">
        <v>23898033</v>
      </c>
      <c r="F163" s="37" t="s">
        <v>205</v>
      </c>
      <c r="G163" s="37" t="s">
        <v>201</v>
      </c>
      <c r="H163" s="37" t="s">
        <v>172</v>
      </c>
      <c r="I163" s="37" t="n">
        <v>69</v>
      </c>
      <c r="J163" s="39" t="n">
        <v>859.99</v>
      </c>
      <c r="K163" s="37" t="s">
        <v>322</v>
      </c>
      <c r="L163" s="39" t="n">
        <v>156.14</v>
      </c>
      <c r="M163" s="39" t="n">
        <v>113.9</v>
      </c>
      <c r="N163" s="39" t="n">
        <f aca="false">J163*Resumo!$C$7</f>
        <v>1.71998</v>
      </c>
      <c r="O163" s="39" t="n">
        <f aca="false">J163*Resumo!$C$8</f>
        <v>1.71998</v>
      </c>
      <c r="P163" s="39" t="n">
        <f aca="false">Resumo!$C$10*CEILING(I163/100,1)</f>
        <v>1</v>
      </c>
      <c r="Q163" s="39" t="n">
        <f aca="false">Resumo!$C$9</f>
        <v>11.9</v>
      </c>
      <c r="R163" s="39" t="n">
        <f aca="false">SUM(M163:Q163)*Resumo!$C$11</f>
        <v>7.1631978</v>
      </c>
      <c r="S163" s="39" t="n">
        <f aca="false">SUM(M163:R163)</f>
        <v>137.4031578</v>
      </c>
      <c r="T163" s="39" t="n">
        <f aca="false">S163/(1-Resumo!$C$5)</f>
        <v>156.139952045455</v>
      </c>
      <c r="U163" s="39" t="n">
        <v>141.02</v>
      </c>
      <c r="V163" s="39" t="n">
        <f aca="false">J163*Resumo!$B$6</f>
        <v>0.85999</v>
      </c>
      <c r="W163" s="39" t="n">
        <f aca="false">J163*Resumo!$B$7</f>
        <v>1.71998</v>
      </c>
      <c r="X163" s="39" t="n">
        <f aca="false">Resumo!$B$9</f>
        <v>1</v>
      </c>
      <c r="Y163" s="39" t="n">
        <f aca="false">Resumo!$B$10*CEILING(I163/100,1)</f>
        <v>4.5</v>
      </c>
      <c r="Z163" s="39" t="n">
        <f aca="false">Resumo!$B$12*CEILING(I163,1)</f>
        <v>4.14</v>
      </c>
      <c r="AA163" s="39" t="n">
        <f aca="false">Resumo!$B$13*CEILING(I163,1)</f>
        <v>31.05</v>
      </c>
      <c r="AB163" s="39" t="n">
        <f aca="false">SUM(U163:AA163)</f>
        <v>184.28997</v>
      </c>
      <c r="AC163" s="39" t="n">
        <f aca="false">AB163/(1-Resumo!$B$5)</f>
        <v>209.420420454545</v>
      </c>
      <c r="AD163" s="39" t="n">
        <f aca="false">(AB163-AA163)/(1-Resumo!$B$5)</f>
        <v>174.136329545455</v>
      </c>
      <c r="AE163" s="39" t="n">
        <f aca="false">AC163-T163</f>
        <v>53.2804684090909</v>
      </c>
      <c r="AF163" s="40" t="n">
        <f aca="false">AC163/T163-1</f>
        <v>0.341235332220291</v>
      </c>
      <c r="AG163" s="37" t="str">
        <f aca="false">IF(AC163&lt;T163,"SIM","NÃO")</f>
        <v>NÃO</v>
      </c>
      <c r="AH163" s="37" t="n">
        <v>13</v>
      </c>
      <c r="AI163" s="37" t="n">
        <v>5</v>
      </c>
      <c r="AJ163" s="37" t="s">
        <v>327</v>
      </c>
    </row>
    <row r="164" customFormat="false" ht="15" hidden="false" customHeight="false" outlineLevel="0" collapsed="false">
      <c r="A164" s="37" t="n">
        <v>358172628</v>
      </c>
      <c r="B164" s="38" t="n">
        <v>46215.8525810185</v>
      </c>
      <c r="C164" s="37" t="s">
        <v>320</v>
      </c>
      <c r="D164" s="37" t="s">
        <v>490</v>
      </c>
      <c r="E164" s="37" t="n">
        <v>28943292</v>
      </c>
      <c r="F164" s="37" t="s">
        <v>278</v>
      </c>
      <c r="G164" s="37" t="s">
        <v>201</v>
      </c>
      <c r="H164" s="37" t="s">
        <v>169</v>
      </c>
      <c r="I164" s="37" t="n">
        <v>37.2</v>
      </c>
      <c r="J164" s="39" t="n">
        <v>359.99</v>
      </c>
      <c r="K164" s="37" t="s">
        <v>322</v>
      </c>
      <c r="L164" s="39" t="n">
        <v>121.98</v>
      </c>
      <c r="M164" s="39" t="n">
        <v>87.4</v>
      </c>
      <c r="N164" s="39" t="n">
        <f aca="false">J164*Resumo!$C$7</f>
        <v>0.71998</v>
      </c>
      <c r="O164" s="39" t="n">
        <f aca="false">J164*Resumo!$C$8</f>
        <v>0.71998</v>
      </c>
      <c r="P164" s="39" t="n">
        <f aca="false">Resumo!$C$10*CEILING(I164/100,1)</f>
        <v>1</v>
      </c>
      <c r="Q164" s="39" t="n">
        <f aca="false">Resumo!$C$9</f>
        <v>11.9</v>
      </c>
      <c r="R164" s="39" t="n">
        <f aca="false">SUM(M164:Q164)*Resumo!$C$11</f>
        <v>5.5956978</v>
      </c>
      <c r="S164" s="39" t="n">
        <f aca="false">SUM(M164:R164)</f>
        <v>107.3356578</v>
      </c>
      <c r="T164" s="39" t="n">
        <f aca="false">S164/(1-Resumo!$C$5)</f>
        <v>121.972338409091</v>
      </c>
      <c r="U164" s="39" t="n">
        <v>124.38</v>
      </c>
      <c r="V164" s="39" t="n">
        <f aca="false">J164*Resumo!$B$6</f>
        <v>0.35999</v>
      </c>
      <c r="W164" s="39" t="n">
        <f aca="false">J164*Resumo!$B$7</f>
        <v>0.71998</v>
      </c>
      <c r="X164" s="39" t="n">
        <f aca="false">Resumo!$B$9</f>
        <v>1</v>
      </c>
      <c r="Y164" s="39" t="n">
        <f aca="false">Resumo!$B$10*CEILING(I164/100,1)</f>
        <v>4.5</v>
      </c>
      <c r="Z164" s="39" t="n">
        <f aca="false">Resumo!$B$12*CEILING(I164,1)</f>
        <v>2.28</v>
      </c>
      <c r="AA164" s="39" t="n">
        <f aca="false">Resumo!$B$13*CEILING(I164,1)</f>
        <v>17.1</v>
      </c>
      <c r="AB164" s="39" t="n">
        <f aca="false">SUM(U164:AA164)</f>
        <v>150.33997</v>
      </c>
      <c r="AC164" s="39" t="n">
        <f aca="false">AB164/(1-Resumo!$B$5)</f>
        <v>170.840875</v>
      </c>
      <c r="AD164" s="39" t="n">
        <f aca="false">(AB164-AA164)/(1-Resumo!$B$5)</f>
        <v>151.409056818182</v>
      </c>
      <c r="AE164" s="39" t="n">
        <f aca="false">AC164-T164</f>
        <v>48.8685365909091</v>
      </c>
      <c r="AF164" s="40" t="n">
        <f aca="false">AC164/T164-1</f>
        <v>0.400652617046709</v>
      </c>
      <c r="AG164" s="37" t="str">
        <f aca="false">IF(AC164&lt;T164,"SIM","NÃO")</f>
        <v>NÃO</v>
      </c>
      <c r="AH164" s="37" t="n">
        <v>13</v>
      </c>
      <c r="AI164" s="37" t="n">
        <v>10</v>
      </c>
      <c r="AJ164" s="37" t="s">
        <v>327</v>
      </c>
    </row>
    <row r="165" customFormat="false" ht="15" hidden="false" customHeight="false" outlineLevel="0" collapsed="false">
      <c r="A165" s="37" t="n">
        <v>358179362</v>
      </c>
      <c r="B165" s="38" t="n">
        <v>46215.8619097222</v>
      </c>
      <c r="C165" s="37" t="s">
        <v>359</v>
      </c>
      <c r="D165" s="37" t="s">
        <v>491</v>
      </c>
      <c r="E165" s="37" t="n">
        <v>20060070</v>
      </c>
      <c r="F165" s="37" t="s">
        <v>139</v>
      </c>
      <c r="G165" s="37" t="s">
        <v>198</v>
      </c>
      <c r="H165" s="37" t="s">
        <v>170</v>
      </c>
      <c r="I165" s="37" t="n">
        <v>41</v>
      </c>
      <c r="J165" s="39" t="n">
        <v>498.99</v>
      </c>
      <c r="K165" s="37" t="s">
        <v>322</v>
      </c>
      <c r="L165" s="39" t="n">
        <v>102.98</v>
      </c>
      <c r="M165" s="39" t="n">
        <v>71</v>
      </c>
      <c r="N165" s="39" t="n">
        <f aca="false">J165*Resumo!$C$7</f>
        <v>0.99798</v>
      </c>
      <c r="O165" s="39" t="n">
        <f aca="false">J165*Resumo!$C$8</f>
        <v>0.99798</v>
      </c>
      <c r="P165" s="39" t="n">
        <f aca="false">Resumo!$C$10*CEILING(I165/100,1)</f>
        <v>1</v>
      </c>
      <c r="Q165" s="39" t="n">
        <f aca="false">Resumo!$C$9</f>
        <v>11.9</v>
      </c>
      <c r="R165" s="39" t="n">
        <f aca="false">SUM(M165:Q165)*Resumo!$C$11</f>
        <v>4.7242778</v>
      </c>
      <c r="S165" s="39" t="n">
        <f aca="false">SUM(M165:R165)</f>
        <v>90.6202378</v>
      </c>
      <c r="T165" s="39" t="n">
        <f aca="false">S165/(1-Resumo!$C$5)</f>
        <v>102.977542954545</v>
      </c>
      <c r="U165" s="39" t="n">
        <v>93.97</v>
      </c>
      <c r="V165" s="39" t="n">
        <f aca="false">J165*Resumo!$B$6</f>
        <v>0.49899</v>
      </c>
      <c r="W165" s="39" t="n">
        <f aca="false">J165*Resumo!$B$7</f>
        <v>0.99798</v>
      </c>
      <c r="X165" s="39" t="n">
        <f aca="false">Resumo!$B$9</f>
        <v>1</v>
      </c>
      <c r="Y165" s="39" t="n">
        <f aca="false">Resumo!$B$10*CEILING(I165/100,1)</f>
        <v>4.5</v>
      </c>
      <c r="Z165" s="39" t="n">
        <f aca="false">Resumo!$B$12*CEILING(I165,1)</f>
        <v>2.46</v>
      </c>
      <c r="AA165" s="39" t="n">
        <f aca="false">Resumo!$B$13*CEILING(I165,1)</f>
        <v>18.45</v>
      </c>
      <c r="AB165" s="39" t="n">
        <f aca="false">SUM(U165:AA165)</f>
        <v>121.87697</v>
      </c>
      <c r="AC165" s="39" t="n">
        <f aca="false">AB165/(1-Resumo!$B$5)</f>
        <v>138.496556818182</v>
      </c>
      <c r="AD165" s="39" t="n">
        <f aca="false">(AB165-AA165)/(1-Resumo!$B$5)</f>
        <v>117.530647727273</v>
      </c>
      <c r="AE165" s="39" t="n">
        <f aca="false">AC165-T165</f>
        <v>35.5190138636364</v>
      </c>
      <c r="AF165" s="40" t="n">
        <f aca="false">AC165/T165-1</f>
        <v>0.344919997550481</v>
      </c>
      <c r="AG165" s="37" t="str">
        <f aca="false">IF(AC165&lt;T165,"SIM","NÃO")</f>
        <v>NÃO</v>
      </c>
      <c r="AH165" s="37" t="n">
        <v>8</v>
      </c>
      <c r="AI165" s="37" t="n">
        <v>5</v>
      </c>
      <c r="AJ165" s="37" t="s">
        <v>323</v>
      </c>
    </row>
    <row r="166" customFormat="false" ht="15" hidden="false" customHeight="false" outlineLevel="0" collapsed="false">
      <c r="A166" s="37" t="n">
        <v>358197803</v>
      </c>
      <c r="B166" s="38" t="n">
        <v>46215.887037037</v>
      </c>
      <c r="C166" s="37" t="s">
        <v>320</v>
      </c>
      <c r="D166" s="37" t="s">
        <v>492</v>
      </c>
      <c r="E166" s="37" t="n">
        <v>21370290</v>
      </c>
      <c r="F166" s="37" t="s">
        <v>139</v>
      </c>
      <c r="G166" s="37" t="s">
        <v>198</v>
      </c>
      <c r="H166" s="37" t="s">
        <v>171</v>
      </c>
      <c r="I166" s="37" t="n">
        <v>52.3</v>
      </c>
      <c r="J166" s="39" t="n">
        <v>644.99</v>
      </c>
      <c r="K166" s="37" t="s">
        <v>322</v>
      </c>
      <c r="L166" s="39" t="n">
        <v>114.24</v>
      </c>
      <c r="M166" s="39" t="n">
        <v>79.81</v>
      </c>
      <c r="N166" s="39" t="n">
        <f aca="false">J166*Resumo!$C$7</f>
        <v>1.28998</v>
      </c>
      <c r="O166" s="39" t="n">
        <f aca="false">J166*Resumo!$C$8</f>
        <v>1.28998</v>
      </c>
      <c r="P166" s="39" t="n">
        <f aca="false">Resumo!$C$10*CEILING(I166/100,1)</f>
        <v>1</v>
      </c>
      <c r="Q166" s="39" t="n">
        <f aca="false">Resumo!$C$9</f>
        <v>11.9</v>
      </c>
      <c r="R166" s="39" t="n">
        <f aca="false">SUM(M166:Q166)*Resumo!$C$11</f>
        <v>5.2409478</v>
      </c>
      <c r="S166" s="39" t="n">
        <f aca="false">SUM(M166:R166)</f>
        <v>100.5309078</v>
      </c>
      <c r="T166" s="39" t="n">
        <f aca="false">S166/(1-Resumo!$C$5)</f>
        <v>114.239667954545</v>
      </c>
      <c r="U166" s="39" t="n">
        <v>112.3</v>
      </c>
      <c r="V166" s="39" t="n">
        <f aca="false">J166*Resumo!$B$6</f>
        <v>0.64499</v>
      </c>
      <c r="W166" s="39" t="n">
        <f aca="false">J166*Resumo!$B$7</f>
        <v>1.28998</v>
      </c>
      <c r="X166" s="39" t="n">
        <f aca="false">Resumo!$B$9</f>
        <v>1</v>
      </c>
      <c r="Y166" s="39" t="n">
        <f aca="false">Resumo!$B$10*CEILING(I166/100,1)</f>
        <v>4.5</v>
      </c>
      <c r="Z166" s="39" t="n">
        <f aca="false">Resumo!$B$12*CEILING(I166,1)</f>
        <v>3.18</v>
      </c>
      <c r="AA166" s="39" t="n">
        <f aca="false">Resumo!$B$13*CEILING(I166,1)</f>
        <v>23.85</v>
      </c>
      <c r="AB166" s="39" t="n">
        <f aca="false">SUM(U166:AA166)</f>
        <v>146.76497</v>
      </c>
      <c r="AC166" s="39" t="n">
        <f aca="false">AB166/(1-Resumo!$B$5)</f>
        <v>166.778375</v>
      </c>
      <c r="AD166" s="39" t="n">
        <f aca="false">(AB166-AA166)/(1-Resumo!$B$5)</f>
        <v>139.676102272727</v>
      </c>
      <c r="AE166" s="39" t="n">
        <f aca="false">AC166-T166</f>
        <v>52.5387070454545</v>
      </c>
      <c r="AF166" s="40" t="n">
        <f aca="false">AC166/T166-1</f>
        <v>0.459898982430158</v>
      </c>
      <c r="AG166" s="37" t="str">
        <f aca="false">IF(AC166&lt;T166,"SIM","NÃO")</f>
        <v>NÃO</v>
      </c>
      <c r="AH166" s="37" t="n">
        <v>8</v>
      </c>
      <c r="AI166" s="37" t="n">
        <v>5</v>
      </c>
      <c r="AJ166" s="37" t="s">
        <v>323</v>
      </c>
    </row>
    <row r="167" customFormat="false" ht="15" hidden="false" customHeight="false" outlineLevel="0" collapsed="false">
      <c r="A167" s="37" t="n">
        <v>358222680</v>
      </c>
      <c r="B167" s="38" t="n">
        <v>46215.9210532407</v>
      </c>
      <c r="C167" s="37" t="s">
        <v>320</v>
      </c>
      <c r="D167" s="37" t="s">
        <v>493</v>
      </c>
      <c r="E167" s="37" t="n">
        <v>21310050</v>
      </c>
      <c r="F167" s="37" t="s">
        <v>139</v>
      </c>
      <c r="G167" s="37" t="s">
        <v>198</v>
      </c>
      <c r="H167" s="37" t="s">
        <v>171</v>
      </c>
      <c r="I167" s="37" t="n">
        <v>52.3</v>
      </c>
      <c r="J167" s="39" t="n">
        <v>644.99</v>
      </c>
      <c r="K167" s="37" t="s">
        <v>322</v>
      </c>
      <c r="L167" s="39" t="n">
        <v>114.24</v>
      </c>
      <c r="M167" s="39" t="n">
        <v>79.81</v>
      </c>
      <c r="N167" s="39" t="n">
        <f aca="false">J167*Resumo!$C$7</f>
        <v>1.28998</v>
      </c>
      <c r="O167" s="39" t="n">
        <f aca="false">J167*Resumo!$C$8</f>
        <v>1.28998</v>
      </c>
      <c r="P167" s="39" t="n">
        <f aca="false">Resumo!$C$10*CEILING(I167/100,1)</f>
        <v>1</v>
      </c>
      <c r="Q167" s="39" t="n">
        <f aca="false">Resumo!$C$9</f>
        <v>11.9</v>
      </c>
      <c r="R167" s="39" t="n">
        <f aca="false">SUM(M167:Q167)*Resumo!$C$11</f>
        <v>5.2409478</v>
      </c>
      <c r="S167" s="39" t="n">
        <f aca="false">SUM(M167:R167)</f>
        <v>100.5309078</v>
      </c>
      <c r="T167" s="39" t="n">
        <f aca="false">S167/(1-Resumo!$C$5)</f>
        <v>114.239667954545</v>
      </c>
      <c r="U167" s="39" t="n">
        <v>112.3</v>
      </c>
      <c r="V167" s="39" t="n">
        <f aca="false">J167*Resumo!$B$6</f>
        <v>0.64499</v>
      </c>
      <c r="W167" s="39" t="n">
        <f aca="false">J167*Resumo!$B$7</f>
        <v>1.28998</v>
      </c>
      <c r="X167" s="39" t="n">
        <f aca="false">Resumo!$B$9</f>
        <v>1</v>
      </c>
      <c r="Y167" s="39" t="n">
        <f aca="false">Resumo!$B$10*CEILING(I167/100,1)</f>
        <v>4.5</v>
      </c>
      <c r="Z167" s="39" t="n">
        <f aca="false">Resumo!$B$12*CEILING(I167,1)</f>
        <v>3.18</v>
      </c>
      <c r="AA167" s="39" t="n">
        <f aca="false">Resumo!$B$13*CEILING(I167,1)</f>
        <v>23.85</v>
      </c>
      <c r="AB167" s="39" t="n">
        <f aca="false">SUM(U167:AA167)</f>
        <v>146.76497</v>
      </c>
      <c r="AC167" s="39" t="n">
        <f aca="false">AB167/(1-Resumo!$B$5)</f>
        <v>166.778375</v>
      </c>
      <c r="AD167" s="39" t="n">
        <f aca="false">(AB167-AA167)/(1-Resumo!$B$5)</f>
        <v>139.676102272727</v>
      </c>
      <c r="AE167" s="39" t="n">
        <f aca="false">AC167-T167</f>
        <v>52.5387070454545</v>
      </c>
      <c r="AF167" s="40" t="n">
        <f aca="false">AC167/T167-1</f>
        <v>0.459898982430158</v>
      </c>
      <c r="AG167" s="37" t="str">
        <f aca="false">IF(AC167&lt;T167,"SIM","NÃO")</f>
        <v>NÃO</v>
      </c>
      <c r="AH167" s="37" t="n">
        <v>8</v>
      </c>
      <c r="AI167" s="37" t="n">
        <v>5</v>
      </c>
      <c r="AJ167" s="37" t="s">
        <v>323</v>
      </c>
    </row>
    <row r="168" customFormat="false" ht="15" hidden="false" customHeight="false" outlineLevel="0" collapsed="false">
      <c r="A168" s="37" t="n">
        <v>358198274</v>
      </c>
      <c r="B168" s="38" t="n">
        <v>46215.9660763889</v>
      </c>
      <c r="C168" s="37" t="s">
        <v>355</v>
      </c>
      <c r="D168" s="37" t="s">
        <v>494</v>
      </c>
      <c r="E168" s="37" t="n">
        <v>27251340</v>
      </c>
      <c r="F168" s="37" t="s">
        <v>148</v>
      </c>
      <c r="G168" s="37" t="s">
        <v>201</v>
      </c>
      <c r="H168" s="37" t="s">
        <v>171</v>
      </c>
      <c r="I168" s="37" t="n">
        <v>52.3</v>
      </c>
      <c r="J168" s="39" t="n">
        <v>677.59</v>
      </c>
      <c r="K168" s="37" t="s">
        <v>322</v>
      </c>
      <c r="L168" s="39" t="n">
        <v>142.93</v>
      </c>
      <c r="M168" s="39" t="n">
        <v>103.6</v>
      </c>
      <c r="N168" s="39" t="n">
        <f aca="false">J168*Resumo!$C$7</f>
        <v>1.35518</v>
      </c>
      <c r="O168" s="39" t="n">
        <f aca="false">J168*Resumo!$C$8</f>
        <v>1.35518</v>
      </c>
      <c r="P168" s="39" t="n">
        <f aca="false">Resumo!$C$10*CEILING(I168/100,1)</f>
        <v>1</v>
      </c>
      <c r="Q168" s="39" t="n">
        <f aca="false">Resumo!$C$9</f>
        <v>11.9</v>
      </c>
      <c r="R168" s="39" t="n">
        <f aca="false">SUM(M168:Q168)*Resumo!$C$11</f>
        <v>6.5565698</v>
      </c>
      <c r="S168" s="39" t="n">
        <f aca="false">SUM(M168:R168)</f>
        <v>125.7669298</v>
      </c>
      <c r="T168" s="39" t="n">
        <f aca="false">S168/(1-Resumo!$C$5)</f>
        <v>142.916965681818</v>
      </c>
      <c r="U168" s="39" t="n">
        <v>142.32</v>
      </c>
      <c r="V168" s="39" t="n">
        <f aca="false">J168*Resumo!$B$6</f>
        <v>0.67759</v>
      </c>
      <c r="W168" s="39" t="n">
        <f aca="false">J168*Resumo!$B$7</f>
        <v>1.35518</v>
      </c>
      <c r="X168" s="39" t="n">
        <f aca="false">Resumo!$B$9</f>
        <v>1</v>
      </c>
      <c r="Y168" s="39" t="n">
        <f aca="false">Resumo!$B$10*CEILING(I168/100,1)</f>
        <v>4.5</v>
      </c>
      <c r="Z168" s="39" t="n">
        <f aca="false">Resumo!$B$12*CEILING(I168,1)</f>
        <v>3.18</v>
      </c>
      <c r="AA168" s="39" t="n">
        <f aca="false">Resumo!$B$13*CEILING(I168,1)</f>
        <v>23.85</v>
      </c>
      <c r="AB168" s="39" t="n">
        <f aca="false">SUM(U168:AA168)</f>
        <v>176.88277</v>
      </c>
      <c r="AC168" s="39" t="n">
        <f aca="false">AB168/(1-Resumo!$B$5)</f>
        <v>201.003147727273</v>
      </c>
      <c r="AD168" s="39" t="n">
        <f aca="false">(AB168-AA168)/(1-Resumo!$B$5)</f>
        <v>173.900875</v>
      </c>
      <c r="AE168" s="39" t="n">
        <f aca="false">AC168-T168</f>
        <v>58.0861820454546</v>
      </c>
      <c r="AF168" s="40" t="n">
        <f aca="false">AC168/T168-1</f>
        <v>0.40643307649544</v>
      </c>
      <c r="AG168" s="37" t="str">
        <f aca="false">IF(AC168&lt;T168,"SIM","NÃO")</f>
        <v>NÃO</v>
      </c>
      <c r="AH168" s="37" t="n">
        <v>13</v>
      </c>
      <c r="AI168" s="37" t="n">
        <v>10</v>
      </c>
      <c r="AJ168" s="37" t="s">
        <v>323</v>
      </c>
    </row>
    <row r="169" customFormat="false" ht="15" hidden="false" customHeight="false" outlineLevel="0" collapsed="false">
      <c r="A169" s="37" t="n">
        <v>358440219</v>
      </c>
      <c r="B169" s="38" t="n">
        <v>46216.32125</v>
      </c>
      <c r="C169" s="37" t="s">
        <v>320</v>
      </c>
      <c r="D169" s="37" t="s">
        <v>495</v>
      </c>
      <c r="E169" s="37" t="n">
        <v>24751140</v>
      </c>
      <c r="F169" s="37" t="s">
        <v>140</v>
      </c>
      <c r="G169" s="37" t="s">
        <v>207</v>
      </c>
      <c r="H169" s="37" t="s">
        <v>171</v>
      </c>
      <c r="I169" s="37" t="n">
        <v>59.9</v>
      </c>
      <c r="J169" s="39" t="n">
        <v>949.99</v>
      </c>
      <c r="K169" s="37" t="s">
        <v>322</v>
      </c>
      <c r="L169" s="39" t="n">
        <v>129.84</v>
      </c>
      <c r="M169" s="39" t="n">
        <v>91.6</v>
      </c>
      <c r="N169" s="39" t="n">
        <f aca="false">J169*Resumo!$C$7</f>
        <v>1.89998</v>
      </c>
      <c r="O169" s="39" t="n">
        <f aca="false">J169*Resumo!$C$8</f>
        <v>1.89998</v>
      </c>
      <c r="P169" s="39" t="n">
        <f aca="false">Resumo!$C$10*CEILING(I169/100,1)</f>
        <v>1</v>
      </c>
      <c r="Q169" s="39" t="n">
        <f aca="false">Resumo!$C$9</f>
        <v>11.9</v>
      </c>
      <c r="R169" s="39" t="n">
        <f aca="false">SUM(M169:Q169)*Resumo!$C$11</f>
        <v>5.9564978</v>
      </c>
      <c r="S169" s="39" t="n">
        <f aca="false">SUM(M169:R169)</f>
        <v>114.2564578</v>
      </c>
      <c r="T169" s="39" t="n">
        <f aca="false">S169/(1-Resumo!$C$5)</f>
        <v>129.836883863636</v>
      </c>
      <c r="U169" s="39" t="n">
        <v>128.14</v>
      </c>
      <c r="V169" s="39" t="n">
        <f aca="false">J169*Resumo!$B$6</f>
        <v>0.94999</v>
      </c>
      <c r="W169" s="39" t="n">
        <f aca="false">J169*Resumo!$B$7</f>
        <v>1.89998</v>
      </c>
      <c r="X169" s="39" t="n">
        <f aca="false">Resumo!$B$9</f>
        <v>1</v>
      </c>
      <c r="Y169" s="39" t="n">
        <f aca="false">Resumo!$B$10*CEILING(I169/100,1)</f>
        <v>4.5</v>
      </c>
      <c r="Z169" s="39" t="n">
        <f aca="false">Resumo!$B$12*CEILING(I169,1)</f>
        <v>3.6</v>
      </c>
      <c r="AA169" s="39" t="n">
        <f aca="false">Resumo!$B$13*CEILING(I169,1)</f>
        <v>27</v>
      </c>
      <c r="AB169" s="39" t="n">
        <f aca="false">SUM(U169:AA169)</f>
        <v>167.08997</v>
      </c>
      <c r="AC169" s="39" t="n">
        <f aca="false">AB169/(1-Resumo!$B$5)</f>
        <v>189.874965909091</v>
      </c>
      <c r="AD169" s="39" t="n">
        <f aca="false">(AB169-AA169)/(1-Resumo!$B$5)</f>
        <v>159.193147727273</v>
      </c>
      <c r="AE169" s="39" t="n">
        <f aca="false">AC169-T169</f>
        <v>60.0380820454545</v>
      </c>
      <c r="AF169" s="40" t="n">
        <f aca="false">AC169/T169-1</f>
        <v>0.462411606462388</v>
      </c>
      <c r="AG169" s="37" t="str">
        <f aca="false">IF(AC169&lt;T169,"SIM","NÃO")</f>
        <v>NÃO</v>
      </c>
      <c r="AH169" s="37" t="n">
        <v>10</v>
      </c>
      <c r="AI169" s="37" t="n">
        <v>7</v>
      </c>
      <c r="AJ169" s="37" t="s">
        <v>323</v>
      </c>
    </row>
    <row r="170" customFormat="false" ht="15" hidden="false" customHeight="false" outlineLevel="0" collapsed="false">
      <c r="A170" s="37" t="n">
        <v>358446867</v>
      </c>
      <c r="B170" s="38" t="n">
        <v>46216.332962963</v>
      </c>
      <c r="C170" s="37" t="s">
        <v>320</v>
      </c>
      <c r="D170" s="37" t="s">
        <v>496</v>
      </c>
      <c r="E170" s="37" t="n">
        <v>21011460</v>
      </c>
      <c r="F170" s="37" t="s">
        <v>139</v>
      </c>
      <c r="G170" s="37" t="s">
        <v>198</v>
      </c>
      <c r="H170" s="37" t="s">
        <v>172</v>
      </c>
      <c r="I170" s="37" t="n">
        <v>61.5</v>
      </c>
      <c r="J170" s="39" t="n">
        <v>767.99</v>
      </c>
      <c r="K170" s="37" t="s">
        <v>322</v>
      </c>
      <c r="L170" s="39" t="n">
        <v>124.9</v>
      </c>
      <c r="M170" s="39" t="n">
        <v>88.2</v>
      </c>
      <c r="N170" s="39" t="n">
        <f aca="false">J170*Resumo!$C$7</f>
        <v>1.53598</v>
      </c>
      <c r="O170" s="39" t="n">
        <f aca="false">J170*Resumo!$C$8</f>
        <v>1.53598</v>
      </c>
      <c r="P170" s="39" t="n">
        <f aca="false">Resumo!$C$10*CEILING(I170/100,1)</f>
        <v>1</v>
      </c>
      <c r="Q170" s="39" t="n">
        <f aca="false">Resumo!$C$9</f>
        <v>11.9</v>
      </c>
      <c r="R170" s="39" t="n">
        <f aca="false">SUM(M170:Q170)*Resumo!$C$11</f>
        <v>5.7294578</v>
      </c>
      <c r="S170" s="39" t="n">
        <f aca="false">SUM(M170:R170)</f>
        <v>109.9014178</v>
      </c>
      <c r="T170" s="39" t="n">
        <f aca="false">S170/(1-Resumo!$C$5)</f>
        <v>124.887974772727</v>
      </c>
      <c r="U170" s="39" t="n">
        <v>131.02</v>
      </c>
      <c r="V170" s="39" t="n">
        <f aca="false">J170*Resumo!$B$6</f>
        <v>0.76799</v>
      </c>
      <c r="W170" s="39" t="n">
        <f aca="false">J170*Resumo!$B$7</f>
        <v>1.53598</v>
      </c>
      <c r="X170" s="39" t="n">
        <f aca="false">Resumo!$B$9</f>
        <v>1</v>
      </c>
      <c r="Y170" s="39" t="n">
        <f aca="false">Resumo!$B$10*CEILING(I170/100,1)</f>
        <v>4.5</v>
      </c>
      <c r="Z170" s="39" t="n">
        <f aca="false">Resumo!$B$12*CEILING(I170,1)</f>
        <v>3.72</v>
      </c>
      <c r="AA170" s="39" t="n">
        <f aca="false">Resumo!$B$13*CEILING(I170,1)</f>
        <v>27.9</v>
      </c>
      <c r="AB170" s="39" t="n">
        <f aca="false">SUM(U170:AA170)</f>
        <v>170.44397</v>
      </c>
      <c r="AC170" s="39" t="n">
        <f aca="false">AB170/(1-Resumo!$B$5)</f>
        <v>193.686329545455</v>
      </c>
      <c r="AD170" s="39" t="n">
        <f aca="false">(AB170-AA170)/(1-Resumo!$B$5)</f>
        <v>161.981784090909</v>
      </c>
      <c r="AE170" s="39" t="n">
        <f aca="false">AC170-T170</f>
        <v>68.7983547727273</v>
      </c>
      <c r="AF170" s="40" t="n">
        <f aca="false">AC170/T170-1</f>
        <v>0.550880538321863</v>
      </c>
      <c r="AG170" s="37" t="str">
        <f aca="false">IF(AC170&lt;T170,"SIM","NÃO")</f>
        <v>NÃO</v>
      </c>
      <c r="AH170" s="37" t="n">
        <v>8</v>
      </c>
      <c r="AI170" s="37" t="n">
        <v>5</v>
      </c>
      <c r="AJ170" s="37" t="s">
        <v>323</v>
      </c>
    </row>
    <row r="171" customFormat="false" ht="15" hidden="false" customHeight="false" outlineLevel="0" collapsed="false">
      <c r="A171" s="37" t="n">
        <v>358490953</v>
      </c>
      <c r="B171" s="38" t="n">
        <v>46216.4030324074</v>
      </c>
      <c r="C171" s="37" t="s">
        <v>320</v>
      </c>
      <c r="D171" s="37" t="s">
        <v>497</v>
      </c>
      <c r="E171" s="37" t="n">
        <v>22770040</v>
      </c>
      <c r="F171" s="37" t="s">
        <v>139</v>
      </c>
      <c r="G171" s="37" t="s">
        <v>198</v>
      </c>
      <c r="H171" s="37" t="s">
        <v>171</v>
      </c>
      <c r="I171" s="37" t="n">
        <v>52.3</v>
      </c>
      <c r="J171" s="39" t="n">
        <v>644.99</v>
      </c>
      <c r="K171" s="37" t="s">
        <v>498</v>
      </c>
      <c r="L171" s="39" t="n">
        <v>146.01</v>
      </c>
      <c r="M171" s="39" t="n">
        <v>79.81</v>
      </c>
      <c r="N171" s="39" t="n">
        <f aca="false">J171*Resumo!$C$7</f>
        <v>1.28998</v>
      </c>
      <c r="O171" s="39" t="n">
        <f aca="false">J171*Resumo!$C$8</f>
        <v>1.28998</v>
      </c>
      <c r="P171" s="39" t="n">
        <f aca="false">Resumo!$C$10*CEILING(I171/100,1)</f>
        <v>1</v>
      </c>
      <c r="Q171" s="39" t="n">
        <f aca="false">Resumo!$C$9</f>
        <v>11.9</v>
      </c>
      <c r="R171" s="39" t="n">
        <f aca="false">SUM(M171:Q171)*Resumo!$C$11</f>
        <v>5.2409478</v>
      </c>
      <c r="S171" s="39" t="n">
        <f aca="false">SUM(M171:R171)</f>
        <v>100.5309078</v>
      </c>
      <c r="T171" s="39" t="n">
        <f aca="false">S171/(1-Resumo!$C$5)</f>
        <v>114.239667954545</v>
      </c>
      <c r="U171" s="39" t="n">
        <v>112.3</v>
      </c>
      <c r="V171" s="39" t="n">
        <f aca="false">J171*Resumo!$B$6</f>
        <v>0.64499</v>
      </c>
      <c r="W171" s="39" t="n">
        <f aca="false">J171*Resumo!$B$7</f>
        <v>1.28998</v>
      </c>
      <c r="X171" s="39" t="n">
        <f aca="false">Resumo!$B$9</f>
        <v>1</v>
      </c>
      <c r="Y171" s="39" t="n">
        <f aca="false">Resumo!$B$10*CEILING(I171/100,1)</f>
        <v>4.5</v>
      </c>
      <c r="Z171" s="39" t="n">
        <f aca="false">Resumo!$B$12*CEILING(I171,1)</f>
        <v>3.18</v>
      </c>
      <c r="AA171" s="39" t="n">
        <f aca="false">Resumo!$B$13*CEILING(I171,1)</f>
        <v>23.85</v>
      </c>
      <c r="AB171" s="39" t="n">
        <f aca="false">SUM(U171:AA171)</f>
        <v>146.76497</v>
      </c>
      <c r="AC171" s="39" t="n">
        <f aca="false">AB171/(1-Resumo!$B$5)</f>
        <v>166.778375</v>
      </c>
      <c r="AD171" s="39" t="n">
        <f aca="false">(AB171-AA171)/(1-Resumo!$B$5)</f>
        <v>139.676102272727</v>
      </c>
      <c r="AE171" s="39" t="n">
        <f aca="false">AC171-T171</f>
        <v>52.5387070454545</v>
      </c>
      <c r="AF171" s="40" t="n">
        <f aca="false">AC171/T171-1</f>
        <v>0.459898982430158</v>
      </c>
      <c r="AG171" s="37" t="str">
        <f aca="false">IF(AC171&lt;T171,"SIM","NÃO")</f>
        <v>NÃO</v>
      </c>
      <c r="AH171" s="37" t="n">
        <v>8</v>
      </c>
      <c r="AI171" s="37" t="n">
        <v>5</v>
      </c>
      <c r="AJ171" s="37" t="s">
        <v>323</v>
      </c>
    </row>
    <row r="172" customFormat="false" ht="15" hidden="false" customHeight="false" outlineLevel="0" collapsed="false">
      <c r="A172" s="37" t="n">
        <v>358593106</v>
      </c>
      <c r="B172" s="38" t="n">
        <v>46216.532037037</v>
      </c>
      <c r="C172" s="37" t="s">
        <v>320</v>
      </c>
      <c r="D172" s="37" t="s">
        <v>499</v>
      </c>
      <c r="E172" s="37" t="n">
        <v>21825320</v>
      </c>
      <c r="F172" s="37" t="s">
        <v>139</v>
      </c>
      <c r="G172" s="37" t="s">
        <v>198</v>
      </c>
      <c r="H172" s="37" t="s">
        <v>170</v>
      </c>
      <c r="I172" s="37" t="n">
        <v>46.8</v>
      </c>
      <c r="J172" s="39" t="n">
        <v>506.99</v>
      </c>
      <c r="K172" s="37" t="s">
        <v>322</v>
      </c>
      <c r="L172" s="39" t="n">
        <v>103.01</v>
      </c>
      <c r="M172" s="39" t="n">
        <v>71</v>
      </c>
      <c r="N172" s="39" t="n">
        <f aca="false">J172*Resumo!$C$7</f>
        <v>1.01398</v>
      </c>
      <c r="O172" s="39" t="n">
        <f aca="false">J172*Resumo!$C$8</f>
        <v>1.01398</v>
      </c>
      <c r="P172" s="39" t="n">
        <f aca="false">Resumo!$C$10*CEILING(I172/100,1)</f>
        <v>1</v>
      </c>
      <c r="Q172" s="39" t="n">
        <f aca="false">Resumo!$C$9</f>
        <v>11.9</v>
      </c>
      <c r="R172" s="39" t="n">
        <f aca="false">SUM(M172:Q172)*Resumo!$C$11</f>
        <v>4.7260378</v>
      </c>
      <c r="S172" s="39" t="n">
        <f aca="false">SUM(M172:R172)</f>
        <v>90.6539978</v>
      </c>
      <c r="T172" s="39" t="n">
        <f aca="false">S172/(1-Resumo!$C$5)</f>
        <v>103.015906590909</v>
      </c>
      <c r="U172" s="39" t="n">
        <v>93.97</v>
      </c>
      <c r="V172" s="39" t="n">
        <f aca="false">J172*Resumo!$B$6</f>
        <v>0.50699</v>
      </c>
      <c r="W172" s="39" t="n">
        <f aca="false">J172*Resumo!$B$7</f>
        <v>1.01398</v>
      </c>
      <c r="X172" s="39" t="n">
        <f aca="false">Resumo!$B$9</f>
        <v>1</v>
      </c>
      <c r="Y172" s="39" t="n">
        <f aca="false">Resumo!$B$10*CEILING(I172/100,1)</f>
        <v>4.5</v>
      </c>
      <c r="Z172" s="39" t="n">
        <f aca="false">Resumo!$B$12*CEILING(I172,1)</f>
        <v>2.82</v>
      </c>
      <c r="AA172" s="39" t="n">
        <f aca="false">Resumo!$B$13*CEILING(I172,1)</f>
        <v>21.15</v>
      </c>
      <c r="AB172" s="39" t="n">
        <f aca="false">SUM(U172:AA172)</f>
        <v>124.96097</v>
      </c>
      <c r="AC172" s="39" t="n">
        <f aca="false">AB172/(1-Resumo!$B$5)</f>
        <v>142.001102272727</v>
      </c>
      <c r="AD172" s="39" t="n">
        <f aca="false">(AB172-AA172)/(1-Resumo!$B$5)</f>
        <v>117.967011363636</v>
      </c>
      <c r="AE172" s="39" t="n">
        <f aca="false">AC172-T172</f>
        <v>38.9851956818182</v>
      </c>
      <c r="AF172" s="40" t="n">
        <f aca="false">AC172/T172-1</f>
        <v>0.378438602075639</v>
      </c>
      <c r="AG172" s="37" t="str">
        <f aca="false">IF(AC172&lt;T172,"SIM","NÃO")</f>
        <v>NÃO</v>
      </c>
      <c r="AH172" s="37" t="n">
        <v>8</v>
      </c>
      <c r="AI172" s="37" t="n">
        <v>5</v>
      </c>
      <c r="AJ172" s="37" t="s">
        <v>323</v>
      </c>
    </row>
    <row r="173" customFormat="false" ht="15" hidden="false" customHeight="false" outlineLevel="0" collapsed="false">
      <c r="A173" s="37" t="n">
        <v>358615034</v>
      </c>
      <c r="B173" s="38" t="n">
        <v>46216.5525925926</v>
      </c>
      <c r="C173" s="37" t="s">
        <v>320</v>
      </c>
      <c r="D173" s="37" t="s">
        <v>500</v>
      </c>
      <c r="E173" s="37" t="n">
        <v>22780760</v>
      </c>
      <c r="F173" s="37" t="s">
        <v>139</v>
      </c>
      <c r="G173" s="37" t="s">
        <v>198</v>
      </c>
      <c r="H173" s="37" t="s">
        <v>171</v>
      </c>
      <c r="I173" s="37" t="n">
        <v>52.3</v>
      </c>
      <c r="J173" s="39" t="n">
        <v>644.99</v>
      </c>
      <c r="K173" s="37" t="s">
        <v>498</v>
      </c>
      <c r="L173" s="39" t="n">
        <v>146.01</v>
      </c>
      <c r="M173" s="39" t="n">
        <v>79.81</v>
      </c>
      <c r="N173" s="39" t="n">
        <f aca="false">J173*Resumo!$C$7</f>
        <v>1.28998</v>
      </c>
      <c r="O173" s="39" t="n">
        <f aca="false">J173*Resumo!$C$8</f>
        <v>1.28998</v>
      </c>
      <c r="P173" s="39" t="n">
        <f aca="false">Resumo!$C$10*CEILING(I173/100,1)</f>
        <v>1</v>
      </c>
      <c r="Q173" s="39" t="n">
        <f aca="false">Resumo!$C$9</f>
        <v>11.9</v>
      </c>
      <c r="R173" s="39" t="n">
        <f aca="false">SUM(M173:Q173)*Resumo!$C$11</f>
        <v>5.2409478</v>
      </c>
      <c r="S173" s="39" t="n">
        <f aca="false">SUM(M173:R173)</f>
        <v>100.5309078</v>
      </c>
      <c r="T173" s="39" t="n">
        <f aca="false">S173/(1-Resumo!$C$5)</f>
        <v>114.239667954545</v>
      </c>
      <c r="U173" s="39" t="n">
        <v>112.3</v>
      </c>
      <c r="V173" s="39" t="n">
        <f aca="false">J173*Resumo!$B$6</f>
        <v>0.64499</v>
      </c>
      <c r="W173" s="39" t="n">
        <f aca="false">J173*Resumo!$B$7</f>
        <v>1.28998</v>
      </c>
      <c r="X173" s="39" t="n">
        <f aca="false">Resumo!$B$9</f>
        <v>1</v>
      </c>
      <c r="Y173" s="39" t="n">
        <f aca="false">Resumo!$B$10*CEILING(I173/100,1)</f>
        <v>4.5</v>
      </c>
      <c r="Z173" s="39" t="n">
        <f aca="false">Resumo!$B$12*CEILING(I173,1)</f>
        <v>3.18</v>
      </c>
      <c r="AA173" s="39" t="n">
        <f aca="false">Resumo!$B$13*CEILING(I173,1)</f>
        <v>23.85</v>
      </c>
      <c r="AB173" s="39" t="n">
        <f aca="false">SUM(U173:AA173)</f>
        <v>146.76497</v>
      </c>
      <c r="AC173" s="39" t="n">
        <f aca="false">AB173/(1-Resumo!$B$5)</f>
        <v>166.778375</v>
      </c>
      <c r="AD173" s="39" t="n">
        <f aca="false">(AB173-AA173)/(1-Resumo!$B$5)</f>
        <v>139.676102272727</v>
      </c>
      <c r="AE173" s="39" t="n">
        <f aca="false">AC173-T173</f>
        <v>52.5387070454545</v>
      </c>
      <c r="AF173" s="40" t="n">
        <f aca="false">AC173/T173-1</f>
        <v>0.459898982430158</v>
      </c>
      <c r="AG173" s="37" t="str">
        <f aca="false">IF(AC173&lt;T173,"SIM","NÃO")</f>
        <v>NÃO</v>
      </c>
      <c r="AH173" s="37" t="n">
        <v>8</v>
      </c>
      <c r="AI173" s="37" t="n">
        <v>5</v>
      </c>
      <c r="AJ173" s="37" t="s">
        <v>323</v>
      </c>
    </row>
    <row r="174" customFormat="false" ht="15" hidden="false" customHeight="false" outlineLevel="0" collapsed="false">
      <c r="A174" s="37" t="n">
        <v>358615497</v>
      </c>
      <c r="B174" s="38" t="n">
        <v>46216.5530092593</v>
      </c>
      <c r="C174" s="37" t="s">
        <v>320</v>
      </c>
      <c r="D174" s="37" t="s">
        <v>501</v>
      </c>
      <c r="E174" s="37" t="n">
        <v>25525670</v>
      </c>
      <c r="F174" s="37" t="s">
        <v>147</v>
      </c>
      <c r="G174" s="37" t="s">
        <v>207</v>
      </c>
      <c r="H174" s="37" t="s">
        <v>169</v>
      </c>
      <c r="I174" s="37" t="n">
        <v>40</v>
      </c>
      <c r="J174" s="39" t="n">
        <v>599.99</v>
      </c>
      <c r="K174" s="37" t="s">
        <v>322</v>
      </c>
      <c r="L174" s="39" t="n">
        <v>113.83</v>
      </c>
      <c r="M174" s="39" t="n">
        <v>79.65</v>
      </c>
      <c r="N174" s="39" t="n">
        <f aca="false">J174*Resumo!$C$7</f>
        <v>1.19998</v>
      </c>
      <c r="O174" s="39" t="n">
        <f aca="false">J174*Resumo!$C$8</f>
        <v>1.19998</v>
      </c>
      <c r="P174" s="39" t="n">
        <f aca="false">Resumo!$C$10*CEILING(I174/100,1)</f>
        <v>1</v>
      </c>
      <c r="Q174" s="39" t="n">
        <f aca="false">Resumo!$C$9</f>
        <v>11.9</v>
      </c>
      <c r="R174" s="39" t="n">
        <f aca="false">SUM(M174:Q174)*Resumo!$C$11</f>
        <v>5.2222478</v>
      </c>
      <c r="S174" s="39" t="n">
        <f aca="false">SUM(M174:R174)</f>
        <v>100.1722078</v>
      </c>
      <c r="T174" s="39" t="n">
        <f aca="false">S174/(1-Resumo!$C$5)</f>
        <v>113.832054318182</v>
      </c>
      <c r="U174" s="39" t="n">
        <v>93.97</v>
      </c>
      <c r="V174" s="39" t="n">
        <f aca="false">J174*Resumo!$B$6</f>
        <v>0.59999</v>
      </c>
      <c r="W174" s="39" t="n">
        <f aca="false">J174*Resumo!$B$7</f>
        <v>1.19998</v>
      </c>
      <c r="X174" s="39" t="n">
        <f aca="false">Resumo!$B$9</f>
        <v>1</v>
      </c>
      <c r="Y174" s="39" t="n">
        <f aca="false">Resumo!$B$10*CEILING(I174/100,1)</f>
        <v>4.5</v>
      </c>
      <c r="Z174" s="39" t="n">
        <f aca="false">Resumo!$B$12*CEILING(I174,1)</f>
        <v>2.4</v>
      </c>
      <c r="AA174" s="39" t="n">
        <f aca="false">Resumo!$B$13*CEILING(I174,1)</f>
        <v>18</v>
      </c>
      <c r="AB174" s="39" t="n">
        <f aca="false">SUM(U174:AA174)</f>
        <v>121.66997</v>
      </c>
      <c r="AC174" s="39" t="n">
        <f aca="false">AB174/(1-Resumo!$B$5)</f>
        <v>138.261329545455</v>
      </c>
      <c r="AD174" s="39" t="n">
        <f aca="false">(AB174-AA174)/(1-Resumo!$B$5)</f>
        <v>117.806784090909</v>
      </c>
      <c r="AE174" s="39" t="n">
        <f aca="false">AC174-T174</f>
        <v>24.4292752272727</v>
      </c>
      <c r="AF174" s="40" t="n">
        <f aca="false">AC174/T174-1</f>
        <v>0.214608050198131</v>
      </c>
      <c r="AG174" s="37" t="str">
        <f aca="false">IF(AC174&lt;T174,"SIM","NÃO")</f>
        <v>NÃO</v>
      </c>
      <c r="AH174" s="37" t="n">
        <v>10</v>
      </c>
      <c r="AI174" s="37" t="n">
        <v>5</v>
      </c>
      <c r="AJ174" s="37" t="s">
        <v>323</v>
      </c>
    </row>
    <row r="175" customFormat="false" ht="15" hidden="false" customHeight="false" outlineLevel="0" collapsed="false">
      <c r="A175" s="37" t="n">
        <v>358723031</v>
      </c>
      <c r="B175" s="38" t="n">
        <v>46216.684375</v>
      </c>
      <c r="C175" s="37" t="s">
        <v>320</v>
      </c>
      <c r="D175" s="37" t="s">
        <v>502</v>
      </c>
      <c r="E175" s="37" t="n">
        <v>27940290</v>
      </c>
      <c r="F175" s="37" t="s">
        <v>146</v>
      </c>
      <c r="G175" s="37" t="s">
        <v>201</v>
      </c>
      <c r="H175" s="37" t="s">
        <v>171</v>
      </c>
      <c r="I175" s="37" t="n">
        <v>60</v>
      </c>
      <c r="J175" s="39" t="n">
        <v>859.99</v>
      </c>
      <c r="K175" s="37" t="s">
        <v>322</v>
      </c>
      <c r="L175" s="39" t="n">
        <v>143.8</v>
      </c>
      <c r="M175" s="39" t="n">
        <v>103.6</v>
      </c>
      <c r="N175" s="39" t="n">
        <f aca="false">J175*Resumo!$C$7</f>
        <v>1.71998</v>
      </c>
      <c r="O175" s="39" t="n">
        <f aca="false">J175*Resumo!$C$8</f>
        <v>1.71998</v>
      </c>
      <c r="P175" s="39" t="n">
        <f aca="false">Resumo!$C$10*CEILING(I175/100,1)</f>
        <v>1</v>
      </c>
      <c r="Q175" s="39" t="n">
        <f aca="false">Resumo!$C$9</f>
        <v>11.9</v>
      </c>
      <c r="R175" s="39" t="n">
        <f aca="false">SUM(M175:Q175)*Resumo!$C$11</f>
        <v>6.5966978</v>
      </c>
      <c r="S175" s="39" t="n">
        <f aca="false">SUM(M175:R175)</f>
        <v>126.5366578</v>
      </c>
      <c r="T175" s="39" t="n">
        <f aca="false">S175/(1-Resumo!$C$5)</f>
        <v>143.791656590909</v>
      </c>
      <c r="U175" s="39" t="n">
        <v>162.04</v>
      </c>
      <c r="V175" s="39" t="n">
        <f aca="false">J175*Resumo!$B$6</f>
        <v>0.85999</v>
      </c>
      <c r="W175" s="39" t="n">
        <f aca="false">J175*Resumo!$B$7</f>
        <v>1.71998</v>
      </c>
      <c r="X175" s="39" t="n">
        <f aca="false">Resumo!$B$9</f>
        <v>1</v>
      </c>
      <c r="Y175" s="39" t="n">
        <f aca="false">Resumo!$B$10*CEILING(I175/100,1)</f>
        <v>4.5</v>
      </c>
      <c r="Z175" s="39" t="n">
        <f aca="false">Resumo!$B$12*CEILING(I175,1)</f>
        <v>3.6</v>
      </c>
      <c r="AA175" s="39" t="n">
        <f aca="false">Resumo!$B$13*CEILING(I175,1)</f>
        <v>27</v>
      </c>
      <c r="AB175" s="39" t="n">
        <f aca="false">SUM(U175:AA175)</f>
        <v>200.71997</v>
      </c>
      <c r="AC175" s="39" t="n">
        <f aca="false">AB175/(1-Resumo!$B$5)</f>
        <v>228.090875</v>
      </c>
      <c r="AD175" s="39" t="n">
        <f aca="false">(AB175-AA175)/(1-Resumo!$B$5)</f>
        <v>197.409056818182</v>
      </c>
      <c r="AE175" s="39" t="n">
        <f aca="false">AC175-T175</f>
        <v>84.2992184090909</v>
      </c>
      <c r="AF175" s="40" t="n">
        <f aca="false">AC175/T175-1</f>
        <v>0.586259456269596</v>
      </c>
      <c r="AG175" s="37" t="str">
        <f aca="false">IF(AC175&lt;T175,"SIM","NÃO")</f>
        <v>NÃO</v>
      </c>
      <c r="AH175" s="37" t="n">
        <v>13</v>
      </c>
      <c r="AI175" s="37" t="n">
        <v>11</v>
      </c>
      <c r="AJ175" s="37" t="s">
        <v>323</v>
      </c>
    </row>
    <row r="176" customFormat="false" ht="15" hidden="false" customHeight="false" outlineLevel="0" collapsed="false">
      <c r="A176" s="37" t="n">
        <v>358892941</v>
      </c>
      <c r="B176" s="38" t="n">
        <v>46216.9080208333</v>
      </c>
      <c r="C176" s="37" t="s">
        <v>320</v>
      </c>
      <c r="D176" s="37" t="s">
        <v>409</v>
      </c>
      <c r="E176" s="37" t="n">
        <v>28880000</v>
      </c>
      <c r="F176" s="37" t="s">
        <v>276</v>
      </c>
      <c r="G176" s="37" t="s">
        <v>201</v>
      </c>
      <c r="H176" s="37" t="s">
        <v>169</v>
      </c>
      <c r="I176" s="37" t="n">
        <v>40</v>
      </c>
      <c r="J176" s="39" t="n">
        <v>599.99</v>
      </c>
      <c r="K176" s="37" t="s">
        <v>322</v>
      </c>
      <c r="L176" s="39" t="n">
        <v>123.13</v>
      </c>
      <c r="M176" s="39" t="n">
        <v>87.4</v>
      </c>
      <c r="N176" s="39" t="n">
        <f aca="false">J176*Resumo!$C$7</f>
        <v>1.19998</v>
      </c>
      <c r="O176" s="39" t="n">
        <f aca="false">J176*Resumo!$C$8</f>
        <v>1.19998</v>
      </c>
      <c r="P176" s="39" t="n">
        <f aca="false">Resumo!$C$10*CEILING(I176/100,1)</f>
        <v>1</v>
      </c>
      <c r="Q176" s="39" t="n">
        <f aca="false">Resumo!$C$9</f>
        <v>11.9</v>
      </c>
      <c r="R176" s="39" t="n">
        <f aca="false">SUM(M176:Q176)*Resumo!$C$11</f>
        <v>5.6484978</v>
      </c>
      <c r="S176" s="39" t="n">
        <f aca="false">SUM(M176:R176)</f>
        <v>108.3484578</v>
      </c>
      <c r="T176" s="39" t="n">
        <f aca="false">S176/(1-Resumo!$C$5)</f>
        <v>123.1232475</v>
      </c>
      <c r="U176" s="39" t="n">
        <v>124.38</v>
      </c>
      <c r="V176" s="39" t="n">
        <f aca="false">J176*Resumo!$B$6</f>
        <v>0.59999</v>
      </c>
      <c r="W176" s="39" t="n">
        <f aca="false">J176*Resumo!$B$7</f>
        <v>1.19998</v>
      </c>
      <c r="X176" s="39" t="n">
        <f aca="false">Resumo!$B$9</f>
        <v>1</v>
      </c>
      <c r="Y176" s="39" t="n">
        <f aca="false">Resumo!$B$10*CEILING(I176/100,1)</f>
        <v>4.5</v>
      </c>
      <c r="Z176" s="39" t="n">
        <f aca="false">Resumo!$B$12*CEILING(I176,1)</f>
        <v>2.4</v>
      </c>
      <c r="AA176" s="39" t="n">
        <f aca="false">Resumo!$B$13*CEILING(I176,1)</f>
        <v>18</v>
      </c>
      <c r="AB176" s="39" t="n">
        <f aca="false">SUM(U176:AA176)</f>
        <v>152.07997</v>
      </c>
      <c r="AC176" s="39" t="n">
        <f aca="false">AB176/(1-Resumo!$B$5)</f>
        <v>172.818147727273</v>
      </c>
      <c r="AD176" s="39" t="n">
        <f aca="false">(AB176-AA176)/(1-Resumo!$B$5)</f>
        <v>152.363602272727</v>
      </c>
      <c r="AE176" s="39" t="n">
        <f aca="false">AC176-T176</f>
        <v>49.6949002272727</v>
      </c>
      <c r="AF176" s="40" t="n">
        <f aca="false">AC176/T176-1</f>
        <v>0.403619147775263</v>
      </c>
      <c r="AG176" s="37" t="str">
        <f aca="false">IF(AC176&lt;T176,"SIM","NÃO")</f>
        <v>NÃO</v>
      </c>
      <c r="AH176" s="37" t="n">
        <v>13</v>
      </c>
      <c r="AI176" s="37" t="n">
        <v>10</v>
      </c>
      <c r="AJ176" s="37" t="s">
        <v>327</v>
      </c>
    </row>
    <row r="177" customFormat="false" ht="15" hidden="false" customHeight="false" outlineLevel="0" collapsed="false">
      <c r="A177" s="37" t="n">
        <v>358930749</v>
      </c>
      <c r="B177" s="38" t="n">
        <v>46216.9614351852</v>
      </c>
      <c r="C177" s="37" t="s">
        <v>320</v>
      </c>
      <c r="D177" s="37" t="s">
        <v>503</v>
      </c>
      <c r="E177" s="37" t="n">
        <v>25271550</v>
      </c>
      <c r="F177" s="37" t="s">
        <v>141</v>
      </c>
      <c r="G177" s="37" t="s">
        <v>207</v>
      </c>
      <c r="H177" s="37" t="s">
        <v>171</v>
      </c>
      <c r="I177" s="37" t="n">
        <v>52.3</v>
      </c>
      <c r="J177" s="39" t="n">
        <v>644.99</v>
      </c>
      <c r="K177" s="37" t="s">
        <v>498</v>
      </c>
      <c r="L177" s="39" t="n">
        <v>131.38</v>
      </c>
      <c r="M177" s="39" t="n">
        <v>91.6</v>
      </c>
      <c r="N177" s="39" t="n">
        <f aca="false">J177*Resumo!$C$7</f>
        <v>1.28998</v>
      </c>
      <c r="O177" s="39" t="n">
        <f aca="false">J177*Resumo!$C$8</f>
        <v>1.28998</v>
      </c>
      <c r="P177" s="39" t="n">
        <f aca="false">Resumo!$C$10*CEILING(I177/100,1)</f>
        <v>1</v>
      </c>
      <c r="Q177" s="39" t="n">
        <f aca="false">Resumo!$C$9</f>
        <v>11.9</v>
      </c>
      <c r="R177" s="39" t="n">
        <f aca="false">SUM(M177:Q177)*Resumo!$C$11</f>
        <v>5.8893978</v>
      </c>
      <c r="S177" s="39" t="n">
        <f aca="false">SUM(M177:R177)</f>
        <v>112.9693578</v>
      </c>
      <c r="T177" s="39" t="n">
        <f aca="false">S177/(1-Resumo!$C$5)</f>
        <v>128.374270227273</v>
      </c>
      <c r="U177" s="39" t="n">
        <v>112.3</v>
      </c>
      <c r="V177" s="39" t="n">
        <f aca="false">J177*Resumo!$B$6</f>
        <v>0.64499</v>
      </c>
      <c r="W177" s="39" t="n">
        <f aca="false">J177*Resumo!$B$7</f>
        <v>1.28998</v>
      </c>
      <c r="X177" s="39" t="n">
        <f aca="false">Resumo!$B$9</f>
        <v>1</v>
      </c>
      <c r="Y177" s="39" t="n">
        <f aca="false">Resumo!$B$10*CEILING(I177/100,1)</f>
        <v>4.5</v>
      </c>
      <c r="Z177" s="39" t="n">
        <f aca="false">Resumo!$B$12*CEILING(I177,1)</f>
        <v>3.18</v>
      </c>
      <c r="AA177" s="39" t="n">
        <f aca="false">Resumo!$B$13*CEILING(I177,1)</f>
        <v>23.85</v>
      </c>
      <c r="AB177" s="39" t="n">
        <f aca="false">SUM(U177:AA177)</f>
        <v>146.76497</v>
      </c>
      <c r="AC177" s="39" t="n">
        <f aca="false">AB177/(1-Resumo!$B$5)</f>
        <v>166.778375</v>
      </c>
      <c r="AD177" s="39" t="n">
        <f aca="false">(AB177-AA177)/(1-Resumo!$B$5)</f>
        <v>139.676102272727</v>
      </c>
      <c r="AE177" s="39" t="n">
        <f aca="false">AC177-T177</f>
        <v>38.4041047727273</v>
      </c>
      <c r="AF177" s="40" t="n">
        <f aca="false">AC177/T177-1</f>
        <v>0.299157336627792</v>
      </c>
      <c r="AG177" s="37" t="str">
        <f aca="false">IF(AC177&lt;T177,"SIM","NÃO")</f>
        <v>NÃO</v>
      </c>
      <c r="AH177" s="37" t="n">
        <v>10</v>
      </c>
      <c r="AI177" s="37" t="n">
        <v>5</v>
      </c>
      <c r="AJ177" s="37" t="s">
        <v>323</v>
      </c>
    </row>
    <row r="178" customFormat="false" ht="15" hidden="false" customHeight="false" outlineLevel="0" collapsed="false">
      <c r="A178" s="37" t="n">
        <v>358942391</v>
      </c>
      <c r="B178" s="38" t="n">
        <v>46216.9768634259</v>
      </c>
      <c r="C178" s="37" t="s">
        <v>320</v>
      </c>
      <c r="D178" s="37" t="s">
        <v>504</v>
      </c>
      <c r="E178" s="37" t="n">
        <v>21330600</v>
      </c>
      <c r="F178" s="37" t="s">
        <v>139</v>
      </c>
      <c r="G178" s="37" t="s">
        <v>198</v>
      </c>
      <c r="H178" s="37" t="s">
        <v>170</v>
      </c>
      <c r="I178" s="37" t="n">
        <v>41</v>
      </c>
      <c r="J178" s="39" t="n">
        <v>515.99</v>
      </c>
      <c r="K178" s="37" t="s">
        <v>498</v>
      </c>
      <c r="L178" s="39" t="n">
        <v>130.03</v>
      </c>
      <c r="M178" s="39" t="n">
        <v>71</v>
      </c>
      <c r="N178" s="39" t="n">
        <f aca="false">J178*Resumo!$C$7</f>
        <v>1.03198</v>
      </c>
      <c r="O178" s="39" t="n">
        <f aca="false">J178*Resumo!$C$8</f>
        <v>1.03198</v>
      </c>
      <c r="P178" s="39" t="n">
        <f aca="false">Resumo!$C$10*CEILING(I178/100,1)</f>
        <v>1</v>
      </c>
      <c r="Q178" s="39" t="n">
        <f aca="false">Resumo!$C$9</f>
        <v>11.9</v>
      </c>
      <c r="R178" s="39" t="n">
        <f aca="false">SUM(M178:Q178)*Resumo!$C$11</f>
        <v>4.7280178</v>
      </c>
      <c r="S178" s="39" t="n">
        <f aca="false">SUM(M178:R178)</f>
        <v>90.6919778</v>
      </c>
      <c r="T178" s="39" t="n">
        <f aca="false">S178/(1-Resumo!$C$5)</f>
        <v>103.059065681818</v>
      </c>
      <c r="U178" s="39" t="n">
        <v>93.97</v>
      </c>
      <c r="V178" s="39" t="n">
        <f aca="false">J178*Resumo!$B$6</f>
        <v>0.51599</v>
      </c>
      <c r="W178" s="39" t="n">
        <f aca="false">J178*Resumo!$B$7</f>
        <v>1.03198</v>
      </c>
      <c r="X178" s="39" t="n">
        <f aca="false">Resumo!$B$9</f>
        <v>1</v>
      </c>
      <c r="Y178" s="39" t="n">
        <f aca="false">Resumo!$B$10*CEILING(I178/100,1)</f>
        <v>4.5</v>
      </c>
      <c r="Z178" s="39" t="n">
        <f aca="false">Resumo!$B$12*CEILING(I178,1)</f>
        <v>2.46</v>
      </c>
      <c r="AA178" s="39" t="n">
        <f aca="false">Resumo!$B$13*CEILING(I178,1)</f>
        <v>18.45</v>
      </c>
      <c r="AB178" s="39" t="n">
        <f aca="false">SUM(U178:AA178)</f>
        <v>121.92797</v>
      </c>
      <c r="AC178" s="39" t="n">
        <f aca="false">AB178/(1-Resumo!$B$5)</f>
        <v>138.554511363636</v>
      </c>
      <c r="AD178" s="39" t="n">
        <f aca="false">(AB178-AA178)/(1-Resumo!$B$5)</f>
        <v>117.588602272727</v>
      </c>
      <c r="AE178" s="39" t="n">
        <f aca="false">AC178-T178</f>
        <v>35.4954456818182</v>
      </c>
      <c r="AF178" s="40" t="n">
        <f aca="false">AC178/T178-1</f>
        <v>0.344418469612425</v>
      </c>
      <c r="AG178" s="37" t="str">
        <f aca="false">IF(AC178&lt;T178,"SIM","NÃO")</f>
        <v>NÃO</v>
      </c>
      <c r="AH178" s="37" t="n">
        <v>8</v>
      </c>
      <c r="AI178" s="37" t="n">
        <v>5</v>
      </c>
      <c r="AJ178" s="37" t="s">
        <v>323</v>
      </c>
    </row>
    <row r="179" customFormat="false" ht="15" hidden="false" customHeight="false" outlineLevel="0" collapsed="false">
      <c r="A179" s="37" t="n">
        <v>359209729</v>
      </c>
      <c r="B179" s="38" t="n">
        <v>46217.3816319444</v>
      </c>
      <c r="C179" s="37" t="s">
        <v>320</v>
      </c>
      <c r="D179" s="37" t="s">
        <v>505</v>
      </c>
      <c r="E179" s="37" t="n">
        <v>23026260</v>
      </c>
      <c r="F179" s="37" t="s">
        <v>139</v>
      </c>
      <c r="G179" s="37" t="s">
        <v>198</v>
      </c>
      <c r="H179" s="37" t="s">
        <v>172</v>
      </c>
      <c r="I179" s="37" t="n">
        <v>61.5</v>
      </c>
      <c r="J179" s="39" t="n">
        <v>767.99</v>
      </c>
      <c r="K179" s="37" t="s">
        <v>322</v>
      </c>
      <c r="L179" s="39" t="n">
        <v>124.9</v>
      </c>
      <c r="M179" s="39" t="n">
        <v>88.2</v>
      </c>
      <c r="N179" s="39" t="n">
        <f aca="false">J179*Resumo!$C$7</f>
        <v>1.53598</v>
      </c>
      <c r="O179" s="39" t="n">
        <f aca="false">J179*Resumo!$C$8</f>
        <v>1.53598</v>
      </c>
      <c r="P179" s="39" t="n">
        <f aca="false">Resumo!$C$10*CEILING(I179/100,1)</f>
        <v>1</v>
      </c>
      <c r="Q179" s="39" t="n">
        <f aca="false">Resumo!$C$9</f>
        <v>11.9</v>
      </c>
      <c r="R179" s="39" t="n">
        <f aca="false">SUM(M179:Q179)*Resumo!$C$11</f>
        <v>5.7294578</v>
      </c>
      <c r="S179" s="39" t="n">
        <f aca="false">SUM(M179:R179)</f>
        <v>109.9014178</v>
      </c>
      <c r="T179" s="39" t="n">
        <f aca="false">S179/(1-Resumo!$C$5)</f>
        <v>124.887974772727</v>
      </c>
      <c r="U179" s="39" t="n">
        <v>131.02</v>
      </c>
      <c r="V179" s="39" t="n">
        <f aca="false">J179*Resumo!$B$6</f>
        <v>0.76799</v>
      </c>
      <c r="W179" s="39" t="n">
        <f aca="false">J179*Resumo!$B$7</f>
        <v>1.53598</v>
      </c>
      <c r="X179" s="39" t="n">
        <f aca="false">Resumo!$B$9</f>
        <v>1</v>
      </c>
      <c r="Y179" s="39" t="n">
        <f aca="false">Resumo!$B$10*CEILING(I179/100,1)</f>
        <v>4.5</v>
      </c>
      <c r="Z179" s="39" t="n">
        <f aca="false">Resumo!$B$12*CEILING(I179,1)</f>
        <v>3.72</v>
      </c>
      <c r="AA179" s="39" t="n">
        <f aca="false">Resumo!$B$13*CEILING(I179,1)</f>
        <v>27.9</v>
      </c>
      <c r="AB179" s="39" t="n">
        <f aca="false">SUM(U179:AA179)</f>
        <v>170.44397</v>
      </c>
      <c r="AC179" s="39" t="n">
        <f aca="false">AB179/(1-Resumo!$B$5)</f>
        <v>193.686329545455</v>
      </c>
      <c r="AD179" s="39" t="n">
        <f aca="false">(AB179-AA179)/(1-Resumo!$B$5)</f>
        <v>161.981784090909</v>
      </c>
      <c r="AE179" s="39" t="n">
        <f aca="false">AC179-T179</f>
        <v>68.7983547727273</v>
      </c>
      <c r="AF179" s="40" t="n">
        <f aca="false">AC179/T179-1</f>
        <v>0.550880538321863</v>
      </c>
      <c r="AG179" s="37" t="str">
        <f aca="false">IF(AC179&lt;T179,"SIM","NÃO")</f>
        <v>NÃO</v>
      </c>
      <c r="AH179" s="37" t="n">
        <v>8</v>
      </c>
      <c r="AI179" s="37" t="n">
        <v>5</v>
      </c>
      <c r="AJ179" s="37" t="s">
        <v>323</v>
      </c>
    </row>
    <row r="180" customFormat="false" ht="15" hidden="false" customHeight="false" outlineLevel="0" collapsed="false">
      <c r="A180" s="37" t="n">
        <v>359228828</v>
      </c>
      <c r="B180" s="38" t="n">
        <v>46217.4078935185</v>
      </c>
      <c r="C180" s="37" t="s">
        <v>325</v>
      </c>
      <c r="D180" s="37" t="s">
        <v>506</v>
      </c>
      <c r="E180" s="37" t="n">
        <v>22783412</v>
      </c>
      <c r="F180" s="37" t="s">
        <v>139</v>
      </c>
      <c r="G180" s="37" t="s">
        <v>198</v>
      </c>
      <c r="H180" s="37" t="s">
        <v>176</v>
      </c>
      <c r="I180" s="37" t="n">
        <v>145.8</v>
      </c>
      <c r="J180" s="39" t="n">
        <v>1994.99</v>
      </c>
      <c r="K180" s="37" t="s">
        <v>322</v>
      </c>
      <c r="L180" s="39" t="n">
        <v>235.85</v>
      </c>
      <c r="M180" s="39" t="n">
        <v>174.85</v>
      </c>
      <c r="N180" s="39" t="n">
        <f aca="false">J180*Resumo!$C$7</f>
        <v>3.98998</v>
      </c>
      <c r="O180" s="39" t="n">
        <f aca="false">J180*Resumo!$C$8</f>
        <v>3.98998</v>
      </c>
      <c r="P180" s="39" t="n">
        <f aca="false">Resumo!$C$10*CEILING(I180/100,1)</f>
        <v>2</v>
      </c>
      <c r="Q180" s="39" t="n">
        <f aca="false">Resumo!$C$9</f>
        <v>11.9</v>
      </c>
      <c r="R180" s="39" t="n">
        <f aca="false">SUM(M180:Q180)*Resumo!$C$11</f>
        <v>10.8201478</v>
      </c>
      <c r="S180" s="39" t="n">
        <f aca="false">SUM(M180:R180)</f>
        <v>207.5501078</v>
      </c>
      <c r="T180" s="39" t="n">
        <f aca="false">S180/(1-Resumo!$C$5)</f>
        <v>235.852395227273</v>
      </c>
      <c r="U180" s="39" t="n">
        <v>239.25</v>
      </c>
      <c r="V180" s="39" t="n">
        <f aca="false">J180*Resumo!$B$6</f>
        <v>1.99499</v>
      </c>
      <c r="W180" s="39" t="n">
        <f aca="false">J180*Resumo!$B$7</f>
        <v>3.98998</v>
      </c>
      <c r="X180" s="39" t="n">
        <f aca="false">Resumo!$B$9</f>
        <v>1</v>
      </c>
      <c r="Y180" s="39" t="n">
        <f aca="false">Resumo!$B$10*CEILING(I180/100,1)</f>
        <v>9</v>
      </c>
      <c r="Z180" s="39" t="n">
        <f aca="false">Resumo!$B$12*CEILING(I180,1)</f>
        <v>8.76</v>
      </c>
      <c r="AA180" s="39" t="n">
        <f aca="false">Resumo!$B$13*CEILING(I180,1)</f>
        <v>65.7</v>
      </c>
      <c r="AB180" s="39" t="n">
        <f aca="false">SUM(U180:AA180)</f>
        <v>329.69497</v>
      </c>
      <c r="AC180" s="39" t="n">
        <f aca="false">AB180/(1-Resumo!$B$5)</f>
        <v>374.653375</v>
      </c>
      <c r="AD180" s="39" t="n">
        <f aca="false">(AB180-AA180)/(1-Resumo!$B$5)</f>
        <v>299.994284090909</v>
      </c>
      <c r="AE180" s="39" t="n">
        <f aca="false">AC180-T180</f>
        <v>138.800979772727</v>
      </c>
      <c r="AF180" s="40" t="n">
        <f aca="false">AC180/T180-1</f>
        <v>0.588507823458717</v>
      </c>
      <c r="AG180" s="37" t="str">
        <f aca="false">IF(AC180&lt;T180,"SIM","NÃO")</f>
        <v>NÃO</v>
      </c>
      <c r="AH180" s="37" t="n">
        <v>8</v>
      </c>
      <c r="AI180" s="37" t="n">
        <v>5</v>
      </c>
      <c r="AJ180" s="37" t="s">
        <v>323</v>
      </c>
    </row>
    <row r="181" customFormat="false" ht="15" hidden="false" customHeight="false" outlineLevel="0" collapsed="false">
      <c r="A181" s="37" t="n">
        <v>359229541</v>
      </c>
      <c r="B181" s="38" t="n">
        <v>46217.4091550926</v>
      </c>
      <c r="C181" s="37" t="s">
        <v>359</v>
      </c>
      <c r="D181" s="37" t="s">
        <v>507</v>
      </c>
      <c r="E181" s="37" t="n">
        <v>20560001</v>
      </c>
      <c r="F181" s="37" t="s">
        <v>139</v>
      </c>
      <c r="G181" s="37" t="s">
        <v>198</v>
      </c>
      <c r="H181" s="37" t="s">
        <v>170</v>
      </c>
      <c r="I181" s="37" t="n">
        <v>41</v>
      </c>
      <c r="J181" s="39" t="n">
        <v>509.99</v>
      </c>
      <c r="K181" s="37" t="s">
        <v>498</v>
      </c>
      <c r="L181" s="39" t="n">
        <v>130</v>
      </c>
      <c r="M181" s="39" t="n">
        <v>71</v>
      </c>
      <c r="N181" s="39" t="n">
        <f aca="false">J181*Resumo!$C$7</f>
        <v>1.01998</v>
      </c>
      <c r="O181" s="39" t="n">
        <f aca="false">J181*Resumo!$C$8</f>
        <v>1.01998</v>
      </c>
      <c r="P181" s="39" t="n">
        <f aca="false">Resumo!$C$10*CEILING(I181/100,1)</f>
        <v>1</v>
      </c>
      <c r="Q181" s="39" t="n">
        <f aca="false">Resumo!$C$9</f>
        <v>11.9</v>
      </c>
      <c r="R181" s="39" t="n">
        <f aca="false">SUM(M181:Q181)*Resumo!$C$11</f>
        <v>4.7266978</v>
      </c>
      <c r="S181" s="39" t="n">
        <f aca="false">SUM(M181:R181)</f>
        <v>90.6666578</v>
      </c>
      <c r="T181" s="39" t="n">
        <f aca="false">S181/(1-Resumo!$C$5)</f>
        <v>103.030292954545</v>
      </c>
      <c r="U181" s="39" t="n">
        <v>93.97</v>
      </c>
      <c r="V181" s="39" t="n">
        <f aca="false">J181*Resumo!$B$6</f>
        <v>0.50999</v>
      </c>
      <c r="W181" s="39" t="n">
        <f aca="false">J181*Resumo!$B$7</f>
        <v>1.01998</v>
      </c>
      <c r="X181" s="39" t="n">
        <f aca="false">Resumo!$B$9</f>
        <v>1</v>
      </c>
      <c r="Y181" s="39" t="n">
        <f aca="false">Resumo!$B$10*CEILING(I181/100,1)</f>
        <v>4.5</v>
      </c>
      <c r="Z181" s="39" t="n">
        <f aca="false">Resumo!$B$12*CEILING(I181,1)</f>
        <v>2.46</v>
      </c>
      <c r="AA181" s="39" t="n">
        <f aca="false">Resumo!$B$13*CEILING(I181,1)</f>
        <v>18.45</v>
      </c>
      <c r="AB181" s="39" t="n">
        <f aca="false">SUM(U181:AA181)</f>
        <v>121.90997</v>
      </c>
      <c r="AC181" s="39" t="n">
        <f aca="false">AB181/(1-Resumo!$B$5)</f>
        <v>138.534056818182</v>
      </c>
      <c r="AD181" s="39" t="n">
        <f aca="false">(AB181-AA181)/(1-Resumo!$B$5)</f>
        <v>117.568147727273</v>
      </c>
      <c r="AE181" s="39" t="n">
        <f aca="false">AC181-T181</f>
        <v>35.5037638636364</v>
      </c>
      <c r="AF181" s="40" t="n">
        <f aca="false">AC181/T181-1</f>
        <v>0.344595388846461</v>
      </c>
      <c r="AG181" s="37" t="str">
        <f aca="false">IF(AC181&lt;T181,"SIM","NÃO")</f>
        <v>NÃO</v>
      </c>
      <c r="AH181" s="37" t="n">
        <v>8</v>
      </c>
      <c r="AI181" s="37" t="n">
        <v>5</v>
      </c>
      <c r="AJ181" s="37" t="s">
        <v>323</v>
      </c>
    </row>
    <row r="182" customFormat="false" ht="15" hidden="false" customHeight="false" outlineLevel="0" collapsed="false">
      <c r="A182" s="37" t="n">
        <v>359291966</v>
      </c>
      <c r="B182" s="38" t="n">
        <v>46217.4829166667</v>
      </c>
      <c r="C182" s="37" t="s">
        <v>325</v>
      </c>
      <c r="D182" s="37" t="s">
        <v>508</v>
      </c>
      <c r="E182" s="37" t="n">
        <v>24130775</v>
      </c>
      <c r="F182" s="37" t="s">
        <v>143</v>
      </c>
      <c r="G182" s="37" t="s">
        <v>207</v>
      </c>
      <c r="H182" s="37" t="s">
        <v>171</v>
      </c>
      <c r="I182" s="37" t="n">
        <v>52.3</v>
      </c>
      <c r="J182" s="39" t="n">
        <v>650.86</v>
      </c>
      <c r="K182" s="37" t="s">
        <v>498</v>
      </c>
      <c r="L182" s="39" t="n">
        <v>131.4</v>
      </c>
      <c r="M182" s="39" t="n">
        <v>91.6</v>
      </c>
      <c r="N182" s="39" t="n">
        <f aca="false">J182*Resumo!$C$7</f>
        <v>1.30172</v>
      </c>
      <c r="O182" s="39" t="n">
        <f aca="false">J182*Resumo!$C$8</f>
        <v>1.30172</v>
      </c>
      <c r="P182" s="39" t="n">
        <f aca="false">Resumo!$C$10*CEILING(I182/100,1)</f>
        <v>1</v>
      </c>
      <c r="Q182" s="39" t="n">
        <f aca="false">Resumo!$C$9</f>
        <v>11.9</v>
      </c>
      <c r="R182" s="39" t="n">
        <f aca="false">SUM(M182:Q182)*Resumo!$C$11</f>
        <v>5.8906892</v>
      </c>
      <c r="S182" s="39" t="n">
        <f aca="false">SUM(M182:R182)</f>
        <v>112.9941292</v>
      </c>
      <c r="T182" s="39" t="n">
        <f aca="false">S182/(1-Resumo!$C$5)</f>
        <v>128.402419545455</v>
      </c>
      <c r="U182" s="39" t="n">
        <v>128.14</v>
      </c>
      <c r="V182" s="39" t="n">
        <f aca="false">J182*Resumo!$B$6</f>
        <v>0.65086</v>
      </c>
      <c r="W182" s="39" t="n">
        <f aca="false">J182*Resumo!$B$7</f>
        <v>1.30172</v>
      </c>
      <c r="X182" s="39" t="n">
        <f aca="false">Resumo!$B$9</f>
        <v>1</v>
      </c>
      <c r="Y182" s="39" t="n">
        <f aca="false">Resumo!$B$10*CEILING(I182/100,1)</f>
        <v>4.5</v>
      </c>
      <c r="Z182" s="39" t="n">
        <f aca="false">Resumo!$B$12*CEILING(I182,1)</f>
        <v>3.18</v>
      </c>
      <c r="AA182" s="39" t="n">
        <f aca="false">Resumo!$B$13*CEILING(I182,1)</f>
        <v>23.85</v>
      </c>
      <c r="AB182" s="39" t="n">
        <f aca="false">SUM(U182:AA182)</f>
        <v>162.62258</v>
      </c>
      <c r="AC182" s="39" t="n">
        <f aca="false">AB182/(1-Resumo!$B$5)</f>
        <v>184.798386363636</v>
      </c>
      <c r="AD182" s="39" t="n">
        <f aca="false">(AB182-AA182)/(1-Resumo!$B$5)</f>
        <v>157.696113636364</v>
      </c>
      <c r="AE182" s="39" t="n">
        <f aca="false">AC182-T182</f>
        <v>56.3959668181818</v>
      </c>
      <c r="AF182" s="40" t="n">
        <f aca="false">AC182/T182-1</f>
        <v>0.439212648934684</v>
      </c>
      <c r="AG182" s="37" t="str">
        <f aca="false">IF(AC182&lt;T182,"SIM","NÃO")</f>
        <v>NÃO</v>
      </c>
      <c r="AH182" s="37" t="n">
        <v>10</v>
      </c>
      <c r="AI182" s="37" t="n">
        <v>7</v>
      </c>
      <c r="AJ182" s="37" t="s">
        <v>323</v>
      </c>
    </row>
    <row r="183" customFormat="false" ht="15" hidden="false" customHeight="false" outlineLevel="0" collapsed="false">
      <c r="A183" s="37" t="n">
        <v>359331563</v>
      </c>
      <c r="B183" s="38" t="n">
        <v>46217.5426041667</v>
      </c>
      <c r="C183" s="37" t="s">
        <v>320</v>
      </c>
      <c r="D183" s="37" t="s">
        <v>509</v>
      </c>
      <c r="E183" s="37" t="n">
        <v>21031700</v>
      </c>
      <c r="F183" s="37" t="s">
        <v>139</v>
      </c>
      <c r="G183" s="37" t="s">
        <v>198</v>
      </c>
      <c r="H183" s="37" t="s">
        <v>170</v>
      </c>
      <c r="I183" s="37" t="n">
        <v>41</v>
      </c>
      <c r="J183" s="39" t="n">
        <v>559.99</v>
      </c>
      <c r="K183" s="37" t="s">
        <v>498</v>
      </c>
      <c r="L183" s="39" t="n">
        <v>130.25</v>
      </c>
      <c r="M183" s="39" t="n">
        <v>71</v>
      </c>
      <c r="N183" s="39" t="n">
        <f aca="false">J183*Resumo!$C$7</f>
        <v>1.11998</v>
      </c>
      <c r="O183" s="39" t="n">
        <f aca="false">J183*Resumo!$C$8</f>
        <v>1.11998</v>
      </c>
      <c r="P183" s="39" t="n">
        <f aca="false">Resumo!$C$10*CEILING(I183/100,1)</f>
        <v>1</v>
      </c>
      <c r="Q183" s="39" t="n">
        <f aca="false">Resumo!$C$9</f>
        <v>11.9</v>
      </c>
      <c r="R183" s="39" t="n">
        <f aca="false">SUM(M183:Q183)*Resumo!$C$11</f>
        <v>4.7376978</v>
      </c>
      <c r="S183" s="39" t="n">
        <f aca="false">SUM(M183:R183)</f>
        <v>90.8776578</v>
      </c>
      <c r="T183" s="39" t="n">
        <f aca="false">S183/(1-Resumo!$C$5)</f>
        <v>103.270065681818</v>
      </c>
      <c r="U183" s="39" t="n">
        <v>93.97</v>
      </c>
      <c r="V183" s="39" t="n">
        <f aca="false">J183*Resumo!$B$6</f>
        <v>0.55999</v>
      </c>
      <c r="W183" s="39" t="n">
        <f aca="false">J183*Resumo!$B$7</f>
        <v>1.11998</v>
      </c>
      <c r="X183" s="39" t="n">
        <f aca="false">Resumo!$B$9</f>
        <v>1</v>
      </c>
      <c r="Y183" s="39" t="n">
        <f aca="false">Resumo!$B$10*CEILING(I183/100,1)</f>
        <v>4.5</v>
      </c>
      <c r="Z183" s="39" t="n">
        <f aca="false">Resumo!$B$12*CEILING(I183,1)</f>
        <v>2.46</v>
      </c>
      <c r="AA183" s="39" t="n">
        <f aca="false">Resumo!$B$13*CEILING(I183,1)</f>
        <v>18.45</v>
      </c>
      <c r="AB183" s="39" t="n">
        <f aca="false">SUM(U183:AA183)</f>
        <v>122.05997</v>
      </c>
      <c r="AC183" s="39" t="n">
        <f aca="false">AB183/(1-Resumo!$B$5)</f>
        <v>138.704511363636</v>
      </c>
      <c r="AD183" s="39" t="n">
        <f aca="false">(AB183-AA183)/(1-Resumo!$B$5)</f>
        <v>117.738602272727</v>
      </c>
      <c r="AE183" s="39" t="n">
        <f aca="false">AC183-T183</f>
        <v>35.4344456818182</v>
      </c>
      <c r="AF183" s="40" t="n">
        <f aca="false">AC183/T183-1</f>
        <v>0.343124074221024</v>
      </c>
      <c r="AG183" s="37" t="str">
        <f aca="false">IF(AC183&lt;T183,"SIM","NÃO")</f>
        <v>NÃO</v>
      </c>
      <c r="AH183" s="37" t="n">
        <v>8</v>
      </c>
      <c r="AI183" s="37" t="n">
        <v>5</v>
      </c>
      <c r="AJ183" s="37" t="s">
        <v>323</v>
      </c>
    </row>
    <row r="184" customFormat="false" ht="15" hidden="false" customHeight="false" outlineLevel="0" collapsed="false">
      <c r="A184" s="37" t="n">
        <v>359334964</v>
      </c>
      <c r="B184" s="38" t="n">
        <v>46217.5465509259</v>
      </c>
      <c r="C184" s="37" t="s">
        <v>325</v>
      </c>
      <c r="D184" s="37" t="s">
        <v>510</v>
      </c>
      <c r="E184" s="37" t="n">
        <v>20931005</v>
      </c>
      <c r="F184" s="37" t="s">
        <v>139</v>
      </c>
      <c r="G184" s="37" t="s">
        <v>198</v>
      </c>
      <c r="H184" s="37" t="s">
        <v>174</v>
      </c>
      <c r="I184" s="37" t="n">
        <v>81.7</v>
      </c>
      <c r="J184" s="39" t="n">
        <v>622.72</v>
      </c>
      <c r="K184" s="37" t="s">
        <v>322</v>
      </c>
      <c r="L184" s="39" t="n">
        <v>162.09</v>
      </c>
      <c r="M184" s="39" t="n">
        <v>119.8</v>
      </c>
      <c r="N184" s="39" t="n">
        <f aca="false">J184*Resumo!$C$7</f>
        <v>1.24544</v>
      </c>
      <c r="O184" s="39" t="n">
        <f aca="false">J184*Resumo!$C$8</f>
        <v>1.24544</v>
      </c>
      <c r="P184" s="39" t="n">
        <f aca="false">Resumo!$C$10*CEILING(I184/100,1)</f>
        <v>1</v>
      </c>
      <c r="Q184" s="39" t="n">
        <f aca="false">Resumo!$C$9</f>
        <v>11.9</v>
      </c>
      <c r="R184" s="39" t="n">
        <f aca="false">SUM(M184:Q184)*Resumo!$C$11</f>
        <v>7.4354984</v>
      </c>
      <c r="S184" s="39" t="n">
        <f aca="false">SUM(M184:R184)</f>
        <v>142.6263784</v>
      </c>
      <c r="T184" s="39" t="n">
        <f aca="false">S184/(1-Resumo!$C$5)</f>
        <v>162.07543</v>
      </c>
      <c r="U184" s="39" t="n">
        <v>167.99</v>
      </c>
      <c r="V184" s="39" t="n">
        <f aca="false">J184*Resumo!$B$6</f>
        <v>0.62272</v>
      </c>
      <c r="W184" s="39" t="n">
        <f aca="false">J184*Resumo!$B$7</f>
        <v>1.24544</v>
      </c>
      <c r="X184" s="39" t="n">
        <f aca="false">Resumo!$B$9</f>
        <v>1</v>
      </c>
      <c r="Y184" s="39" t="n">
        <f aca="false">Resumo!$B$10*CEILING(I184/100,1)</f>
        <v>4.5</v>
      </c>
      <c r="Z184" s="39" t="n">
        <f aca="false">Resumo!$B$12*CEILING(I184,1)</f>
        <v>4.92</v>
      </c>
      <c r="AA184" s="39" t="n">
        <f aca="false">Resumo!$B$13*CEILING(I184,1)</f>
        <v>36.9</v>
      </c>
      <c r="AB184" s="39" t="n">
        <f aca="false">SUM(U184:AA184)</f>
        <v>217.17816</v>
      </c>
      <c r="AC184" s="39" t="n">
        <f aca="false">AB184/(1-Resumo!$B$5)</f>
        <v>246.793363636364</v>
      </c>
      <c r="AD184" s="39" t="n">
        <f aca="false">(AB184-AA184)/(1-Resumo!$B$5)</f>
        <v>204.861545454545</v>
      </c>
      <c r="AE184" s="39" t="n">
        <f aca="false">AC184-T184</f>
        <v>84.7179336363637</v>
      </c>
      <c r="AF184" s="40" t="n">
        <f aca="false">AC184/T184-1</f>
        <v>0.522706826299111</v>
      </c>
      <c r="AG184" s="37" t="str">
        <f aca="false">IF(AC184&lt;T184,"SIM","NÃO")</f>
        <v>NÃO</v>
      </c>
      <c r="AH184" s="37" t="n">
        <v>8</v>
      </c>
      <c r="AI184" s="37" t="n">
        <v>5</v>
      </c>
      <c r="AJ184" s="37" t="s">
        <v>323</v>
      </c>
    </row>
    <row r="185" customFormat="false" ht="15" hidden="false" customHeight="false" outlineLevel="0" collapsed="false">
      <c r="A185" s="37" t="n">
        <v>359379054</v>
      </c>
      <c r="B185" s="38" t="n">
        <v>46217.6071296296</v>
      </c>
      <c r="C185" s="37" t="s">
        <v>320</v>
      </c>
      <c r="D185" s="37" t="s">
        <v>511</v>
      </c>
      <c r="E185" s="37" t="n">
        <v>21852580</v>
      </c>
      <c r="F185" s="37" t="s">
        <v>139</v>
      </c>
      <c r="G185" s="37" t="s">
        <v>198</v>
      </c>
      <c r="H185" s="37" t="s">
        <v>168</v>
      </c>
      <c r="I185" s="37" t="n">
        <v>33.21</v>
      </c>
      <c r="J185" s="39" t="n">
        <v>439.99</v>
      </c>
      <c r="K185" s="37" t="s">
        <v>322</v>
      </c>
      <c r="L185" s="39" t="n">
        <v>82.43</v>
      </c>
      <c r="M185" s="39" t="n">
        <v>54.1</v>
      </c>
      <c r="N185" s="39" t="n">
        <f aca="false">J185*Resumo!$C$7</f>
        <v>0.87998</v>
      </c>
      <c r="O185" s="39" t="n">
        <f aca="false">J185*Resumo!$C$8</f>
        <v>0.87998</v>
      </c>
      <c r="P185" s="39" t="n">
        <f aca="false">Resumo!$C$10*CEILING(I185/100,1)</f>
        <v>1</v>
      </c>
      <c r="Q185" s="39" t="n">
        <f aca="false">Resumo!$C$9</f>
        <v>11.9</v>
      </c>
      <c r="R185" s="39" t="n">
        <f aca="false">SUM(M185:Q185)*Resumo!$C$11</f>
        <v>3.7817978</v>
      </c>
      <c r="S185" s="39" t="n">
        <f aca="false">SUM(M185:R185)</f>
        <v>72.5417578</v>
      </c>
      <c r="T185" s="39" t="n">
        <f aca="false">S185/(1-Resumo!$C$5)</f>
        <v>82.4338156818182</v>
      </c>
      <c r="U185" s="39" t="n">
        <v>82.21</v>
      </c>
      <c r="V185" s="39" t="n">
        <f aca="false">J185*Resumo!$B$6</f>
        <v>0.43999</v>
      </c>
      <c r="W185" s="39" t="n">
        <f aca="false">J185*Resumo!$B$7</f>
        <v>0.87998</v>
      </c>
      <c r="X185" s="39" t="n">
        <f aca="false">Resumo!$B$9</f>
        <v>1</v>
      </c>
      <c r="Y185" s="39" t="n">
        <f aca="false">Resumo!$B$10*CEILING(I185/100,1)</f>
        <v>4.5</v>
      </c>
      <c r="Z185" s="39" t="n">
        <f aca="false">Resumo!$B$12*CEILING(I185,1)</f>
        <v>2.04</v>
      </c>
      <c r="AA185" s="39" t="n">
        <f aca="false">Resumo!$B$13*CEILING(I185,1)</f>
        <v>15.3</v>
      </c>
      <c r="AB185" s="39" t="n">
        <f aca="false">SUM(U185:AA185)</f>
        <v>106.36997</v>
      </c>
      <c r="AC185" s="39" t="n">
        <f aca="false">AB185/(1-Resumo!$B$5)</f>
        <v>120.874965909091</v>
      </c>
      <c r="AD185" s="39" t="n">
        <f aca="false">(AB185-AA185)/(1-Resumo!$B$5)</f>
        <v>103.488602272727</v>
      </c>
      <c r="AE185" s="39" t="n">
        <f aca="false">AC185-T185</f>
        <v>38.4411502272727</v>
      </c>
      <c r="AF185" s="40" t="n">
        <f aca="false">AC185/T185-1</f>
        <v>0.466327439890076</v>
      </c>
      <c r="AG185" s="37" t="str">
        <f aca="false">IF(AC185&lt;T185,"SIM","NÃO")</f>
        <v>NÃO</v>
      </c>
      <c r="AH185" s="37" t="n">
        <v>8</v>
      </c>
      <c r="AI185" s="37" t="n">
        <v>5</v>
      </c>
      <c r="AJ185" s="37" t="s">
        <v>323</v>
      </c>
    </row>
    <row r="186" customFormat="false" ht="15" hidden="false" customHeight="false" outlineLevel="0" collapsed="false">
      <c r="A186" s="37" t="n">
        <v>359446325</v>
      </c>
      <c r="B186" s="38" t="n">
        <v>46217.6830671296</v>
      </c>
      <c r="C186" s="37" t="s">
        <v>320</v>
      </c>
      <c r="D186" s="37" t="s">
        <v>512</v>
      </c>
      <c r="E186" s="37" t="n">
        <v>21235480</v>
      </c>
      <c r="F186" s="37" t="s">
        <v>139</v>
      </c>
      <c r="G186" s="37" t="s">
        <v>198</v>
      </c>
      <c r="H186" s="37" t="s">
        <v>168</v>
      </c>
      <c r="I186" s="37" t="n">
        <v>21.8</v>
      </c>
      <c r="J186" s="39" t="n">
        <v>319.99</v>
      </c>
      <c r="K186" s="37" t="s">
        <v>322</v>
      </c>
      <c r="L186" s="39" t="n">
        <v>81.86</v>
      </c>
      <c r="M186" s="39" t="n">
        <v>54.1</v>
      </c>
      <c r="N186" s="39" t="n">
        <f aca="false">J186*Resumo!$C$7</f>
        <v>0.63998</v>
      </c>
      <c r="O186" s="39" t="n">
        <f aca="false">J186*Resumo!$C$8</f>
        <v>0.63998</v>
      </c>
      <c r="P186" s="39" t="n">
        <f aca="false">Resumo!$C$10*CEILING(I186/100,1)</f>
        <v>1</v>
      </c>
      <c r="Q186" s="39" t="n">
        <f aca="false">Resumo!$C$9</f>
        <v>11.9</v>
      </c>
      <c r="R186" s="39" t="n">
        <f aca="false">SUM(M186:Q186)*Resumo!$C$11</f>
        <v>3.7553978</v>
      </c>
      <c r="S186" s="39" t="n">
        <f aca="false">SUM(M186:R186)</f>
        <v>72.0353578</v>
      </c>
      <c r="T186" s="39" t="n">
        <f aca="false">S186/(1-Resumo!$C$5)</f>
        <v>81.8583611363636</v>
      </c>
      <c r="U186" s="39" t="n">
        <v>82.21</v>
      </c>
      <c r="V186" s="39" t="n">
        <f aca="false">J186*Resumo!$B$6</f>
        <v>0.31999</v>
      </c>
      <c r="W186" s="39" t="n">
        <f aca="false">J186*Resumo!$B$7</f>
        <v>0.63998</v>
      </c>
      <c r="X186" s="39" t="n">
        <f aca="false">Resumo!$B$9</f>
        <v>1</v>
      </c>
      <c r="Y186" s="39" t="n">
        <f aca="false">Resumo!$B$10*CEILING(I186/100,1)</f>
        <v>4.5</v>
      </c>
      <c r="Z186" s="39" t="n">
        <f aca="false">Resumo!$B$12*CEILING(I186,1)</f>
        <v>1.32</v>
      </c>
      <c r="AA186" s="39" t="n">
        <f aca="false">Resumo!$B$13*CEILING(I186,1)</f>
        <v>9.9</v>
      </c>
      <c r="AB186" s="39" t="n">
        <f aca="false">SUM(U186:AA186)</f>
        <v>99.88997</v>
      </c>
      <c r="AC186" s="39" t="n">
        <f aca="false">AB186/(1-Resumo!$B$5)</f>
        <v>113.511329545455</v>
      </c>
      <c r="AD186" s="39" t="n">
        <f aca="false">(AB186-AA186)/(1-Resumo!$B$5)</f>
        <v>102.261329545455</v>
      </c>
      <c r="AE186" s="39" t="n">
        <f aca="false">AC186-T186</f>
        <v>31.6529684090909</v>
      </c>
      <c r="AF186" s="40" t="n">
        <f aca="false">AC186/T186-1</f>
        <v>0.386679722995698</v>
      </c>
      <c r="AG186" s="37" t="str">
        <f aca="false">IF(AC186&lt;T186,"SIM","NÃO")</f>
        <v>NÃO</v>
      </c>
      <c r="AH186" s="37" t="n">
        <v>8</v>
      </c>
      <c r="AI186" s="37" t="n">
        <v>5</v>
      </c>
      <c r="AJ186" s="37" t="s">
        <v>323</v>
      </c>
    </row>
    <row r="187" customFormat="false" ht="15" hidden="false" customHeight="false" outlineLevel="0" collapsed="false">
      <c r="A187" s="37" t="n">
        <v>359525706</v>
      </c>
      <c r="B187" s="38" t="n">
        <v>46217.7896064815</v>
      </c>
      <c r="C187" s="37" t="s">
        <v>325</v>
      </c>
      <c r="D187" s="37" t="s">
        <v>513</v>
      </c>
      <c r="E187" s="37" t="n">
        <v>27211670</v>
      </c>
      <c r="F187" s="37" t="s">
        <v>148</v>
      </c>
      <c r="G187" s="37" t="s">
        <v>201</v>
      </c>
      <c r="H187" s="37" t="s">
        <v>174</v>
      </c>
      <c r="I187" s="37" t="n">
        <v>97.2</v>
      </c>
      <c r="J187" s="39" t="n">
        <v>1399.98</v>
      </c>
      <c r="K187" s="37" t="s">
        <v>322</v>
      </c>
      <c r="L187" s="39" t="n">
        <v>195.31</v>
      </c>
      <c r="M187" s="39" t="n">
        <v>144.41</v>
      </c>
      <c r="N187" s="39" t="n">
        <f aca="false">J187*Resumo!$C$7</f>
        <v>2.79996</v>
      </c>
      <c r="O187" s="39" t="n">
        <f aca="false">J187*Resumo!$C$8</f>
        <v>2.79996</v>
      </c>
      <c r="P187" s="39" t="n">
        <f aca="false">Resumo!$C$10*CEILING(I187/100,1)</f>
        <v>1</v>
      </c>
      <c r="Q187" s="39" t="n">
        <f aca="false">Resumo!$C$9</f>
        <v>11.9</v>
      </c>
      <c r="R187" s="39" t="n">
        <f aca="false">SUM(M187:Q187)*Resumo!$C$11</f>
        <v>8.9600456</v>
      </c>
      <c r="S187" s="39" t="n">
        <f aca="false">SUM(M187:R187)</f>
        <v>171.8699656</v>
      </c>
      <c r="T187" s="39" t="n">
        <f aca="false">S187/(1-Resumo!$C$5)</f>
        <v>195.306779090909</v>
      </c>
      <c r="U187" s="39" t="n">
        <v>197.35</v>
      </c>
      <c r="V187" s="39" t="n">
        <f aca="false">J187*Resumo!$B$6</f>
        <v>1.39998</v>
      </c>
      <c r="W187" s="39" t="n">
        <f aca="false">J187*Resumo!$B$7</f>
        <v>2.79996</v>
      </c>
      <c r="X187" s="39" t="n">
        <f aca="false">Resumo!$B$9</f>
        <v>1</v>
      </c>
      <c r="Y187" s="39" t="n">
        <f aca="false">Resumo!$B$10*CEILING(I187/100,1)</f>
        <v>4.5</v>
      </c>
      <c r="Z187" s="39" t="n">
        <f aca="false">Resumo!$B$12*CEILING(I187,1)</f>
        <v>5.88</v>
      </c>
      <c r="AA187" s="39" t="n">
        <f aca="false">Resumo!$B$13*CEILING(I187,1)</f>
        <v>44.1</v>
      </c>
      <c r="AB187" s="39" t="n">
        <f aca="false">SUM(U187:AA187)</f>
        <v>257.02994</v>
      </c>
      <c r="AC187" s="39" t="n">
        <f aca="false">AB187/(1-Resumo!$B$5)</f>
        <v>292.079477272727</v>
      </c>
      <c r="AD187" s="39" t="n">
        <f aca="false">(AB187-AA187)/(1-Resumo!$B$5)</f>
        <v>241.965840909091</v>
      </c>
      <c r="AE187" s="39" t="n">
        <f aca="false">AC187-T187</f>
        <v>96.7726981818182</v>
      </c>
      <c r="AF187" s="40" t="n">
        <f aca="false">AC187/T187-1</f>
        <v>0.495490728136854</v>
      </c>
      <c r="AG187" s="37" t="str">
        <f aca="false">IF(AC187&lt;T187,"SIM","NÃO")</f>
        <v>NÃO</v>
      </c>
      <c r="AH187" s="37" t="n">
        <v>13</v>
      </c>
      <c r="AI187" s="37" t="n">
        <v>10</v>
      </c>
      <c r="AJ187" s="37" t="s">
        <v>323</v>
      </c>
    </row>
    <row r="188" customFormat="false" ht="15" hidden="false" customHeight="false" outlineLevel="0" collapsed="false">
      <c r="A188" s="37" t="n">
        <v>359538429</v>
      </c>
      <c r="B188" s="38" t="n">
        <v>46217.8027430556</v>
      </c>
      <c r="C188" s="37" t="s">
        <v>320</v>
      </c>
      <c r="D188" s="37" t="s">
        <v>514</v>
      </c>
      <c r="E188" s="37" t="n">
        <v>26041270</v>
      </c>
      <c r="F188" s="37" t="s">
        <v>142</v>
      </c>
      <c r="G188" s="37" t="s">
        <v>207</v>
      </c>
      <c r="H188" s="37" t="s">
        <v>170</v>
      </c>
      <c r="I188" s="37" t="n">
        <v>46.8</v>
      </c>
      <c r="J188" s="39" t="n">
        <v>599.99</v>
      </c>
      <c r="K188" s="37" t="s">
        <v>322</v>
      </c>
      <c r="L188" s="39" t="n">
        <v>116.95</v>
      </c>
      <c r="M188" s="39" t="n">
        <v>82.25</v>
      </c>
      <c r="N188" s="39" t="n">
        <f aca="false">J188*Resumo!$C$7</f>
        <v>1.19998</v>
      </c>
      <c r="O188" s="39" t="n">
        <f aca="false">J188*Resumo!$C$8</f>
        <v>1.19998</v>
      </c>
      <c r="P188" s="39" t="n">
        <f aca="false">Resumo!$C$10*CEILING(I188/100,1)</f>
        <v>1</v>
      </c>
      <c r="Q188" s="39" t="n">
        <f aca="false">Resumo!$C$9</f>
        <v>11.9</v>
      </c>
      <c r="R188" s="39" t="n">
        <f aca="false">SUM(M188:Q188)*Resumo!$C$11</f>
        <v>5.3652478</v>
      </c>
      <c r="S188" s="39" t="n">
        <f aca="false">SUM(M188:R188)</f>
        <v>102.9152078</v>
      </c>
      <c r="T188" s="39" t="n">
        <f aca="false">S188/(1-Resumo!$C$5)</f>
        <v>116.949099772727</v>
      </c>
      <c r="U188" s="39" t="n">
        <v>93.97</v>
      </c>
      <c r="V188" s="39" t="n">
        <f aca="false">J188*Resumo!$B$6</f>
        <v>0.59999</v>
      </c>
      <c r="W188" s="39" t="n">
        <f aca="false">J188*Resumo!$B$7</f>
        <v>1.19998</v>
      </c>
      <c r="X188" s="39" t="n">
        <f aca="false">Resumo!$B$9</f>
        <v>1</v>
      </c>
      <c r="Y188" s="39" t="n">
        <f aca="false">Resumo!$B$10*CEILING(I188/100,1)</f>
        <v>4.5</v>
      </c>
      <c r="Z188" s="39" t="n">
        <f aca="false">Resumo!$B$12*CEILING(I188,1)</f>
        <v>2.82</v>
      </c>
      <c r="AA188" s="39" t="n">
        <f aca="false">Resumo!$B$13*CEILING(I188,1)</f>
        <v>21.15</v>
      </c>
      <c r="AB188" s="39" t="n">
        <f aca="false">SUM(U188:AA188)</f>
        <v>125.23997</v>
      </c>
      <c r="AC188" s="39" t="n">
        <f aca="false">AB188/(1-Resumo!$B$5)</f>
        <v>142.318147727273</v>
      </c>
      <c r="AD188" s="39" t="n">
        <f aca="false">(AB188-AA188)/(1-Resumo!$B$5)</f>
        <v>118.284056818182</v>
      </c>
      <c r="AE188" s="39" t="n">
        <f aca="false">AC188-T188</f>
        <v>25.3690479545455</v>
      </c>
      <c r="AF188" s="40" t="n">
        <f aca="false">AC188/T188-1</f>
        <v>0.216923841259542</v>
      </c>
      <c r="AG188" s="37" t="str">
        <f aca="false">IF(AC188&lt;T188,"SIM","NÃO")</f>
        <v>NÃO</v>
      </c>
      <c r="AH188" s="37" t="n">
        <v>10</v>
      </c>
      <c r="AI188" s="37" t="n">
        <v>5</v>
      </c>
      <c r="AJ188" s="37" t="s">
        <v>323</v>
      </c>
    </row>
    <row r="189" customFormat="false" ht="15" hidden="false" customHeight="false" outlineLevel="0" collapsed="false">
      <c r="A189" s="37" t="n">
        <v>359587326</v>
      </c>
      <c r="B189" s="38" t="n">
        <v>46217.8602893519</v>
      </c>
      <c r="C189" s="37" t="s">
        <v>320</v>
      </c>
      <c r="D189" s="37" t="s">
        <v>515</v>
      </c>
      <c r="E189" s="37" t="n">
        <v>20251060</v>
      </c>
      <c r="F189" s="37" t="s">
        <v>139</v>
      </c>
      <c r="G189" s="37" t="s">
        <v>198</v>
      </c>
      <c r="H189" s="37" t="s">
        <v>173</v>
      </c>
      <c r="I189" s="37" t="n">
        <v>78.7</v>
      </c>
      <c r="J189" s="39" t="n">
        <v>1551.99</v>
      </c>
      <c r="K189" s="37" t="s">
        <v>322</v>
      </c>
      <c r="L189" s="39" t="n">
        <v>139.91</v>
      </c>
      <c r="M189" s="39" t="n">
        <v>97.6</v>
      </c>
      <c r="N189" s="39" t="n">
        <f aca="false">J189*Resumo!$C$7</f>
        <v>3.10398</v>
      </c>
      <c r="O189" s="39" t="n">
        <f aca="false">J189*Resumo!$C$8</f>
        <v>3.10398</v>
      </c>
      <c r="P189" s="39" t="n">
        <f aca="false">Resumo!$C$10*CEILING(I189/100,1)</f>
        <v>1</v>
      </c>
      <c r="Q189" s="39" t="n">
        <f aca="false">Resumo!$C$9</f>
        <v>11.9</v>
      </c>
      <c r="R189" s="39" t="n">
        <f aca="false">SUM(M189:Q189)*Resumo!$C$11</f>
        <v>6.4189378</v>
      </c>
      <c r="S189" s="39" t="n">
        <f aca="false">SUM(M189:R189)</f>
        <v>123.1268978</v>
      </c>
      <c r="T189" s="39" t="n">
        <f aca="false">S189/(1-Resumo!$C$5)</f>
        <v>139.916929318182</v>
      </c>
      <c r="U189" s="39" t="n">
        <v>134.39</v>
      </c>
      <c r="V189" s="39" t="n">
        <f aca="false">J189*Resumo!$B$6</f>
        <v>1.55199</v>
      </c>
      <c r="W189" s="39" t="n">
        <f aca="false">J189*Resumo!$B$7</f>
        <v>3.10398</v>
      </c>
      <c r="X189" s="39" t="n">
        <f aca="false">Resumo!$B$9</f>
        <v>1</v>
      </c>
      <c r="Y189" s="39" t="n">
        <f aca="false">Resumo!$B$10*CEILING(I189/100,1)</f>
        <v>4.5</v>
      </c>
      <c r="Z189" s="39" t="n">
        <f aca="false">Resumo!$B$12*CEILING(I189,1)</f>
        <v>4.74</v>
      </c>
      <c r="AA189" s="39" t="n">
        <f aca="false">Resumo!$B$13*CEILING(I189,1)</f>
        <v>35.55</v>
      </c>
      <c r="AB189" s="39" t="n">
        <f aca="false">SUM(U189:AA189)</f>
        <v>184.83597</v>
      </c>
      <c r="AC189" s="39" t="n">
        <f aca="false">AB189/(1-Resumo!$B$5)</f>
        <v>210.040875</v>
      </c>
      <c r="AD189" s="39" t="n">
        <f aca="false">(AB189-AA189)/(1-Resumo!$B$5)</f>
        <v>169.643147727273</v>
      </c>
      <c r="AE189" s="39" t="n">
        <f aca="false">AC189-T189</f>
        <v>70.1239456818182</v>
      </c>
      <c r="AF189" s="40" t="n">
        <f aca="false">AC189/T189-1</f>
        <v>0.501182709079835</v>
      </c>
      <c r="AG189" s="37" t="str">
        <f aca="false">IF(AC189&lt;T189,"SIM","NÃO")</f>
        <v>NÃO</v>
      </c>
      <c r="AH189" s="37" t="n">
        <v>8</v>
      </c>
      <c r="AI189" s="37" t="n">
        <v>5</v>
      </c>
      <c r="AJ189" s="37" t="s">
        <v>323</v>
      </c>
    </row>
    <row r="190" customFormat="false" ht="15" hidden="false" customHeight="false" outlineLevel="0" collapsed="false">
      <c r="A190" s="37" t="n">
        <v>359645510</v>
      </c>
      <c r="B190" s="38" t="n">
        <v>46217.927650463</v>
      </c>
      <c r="C190" s="37" t="s">
        <v>320</v>
      </c>
      <c r="D190" s="37" t="s">
        <v>516</v>
      </c>
      <c r="E190" s="37" t="n">
        <v>20397135</v>
      </c>
      <c r="F190" s="37" t="s">
        <v>139</v>
      </c>
      <c r="G190" s="37" t="s">
        <v>198</v>
      </c>
      <c r="H190" s="37" t="s">
        <v>170</v>
      </c>
      <c r="I190" s="37" t="n">
        <v>47.1</v>
      </c>
      <c r="J190" s="39" t="n">
        <v>619.99</v>
      </c>
      <c r="K190" s="37" t="s">
        <v>322</v>
      </c>
      <c r="L190" s="39" t="n">
        <v>103.56</v>
      </c>
      <c r="M190" s="39" t="n">
        <v>71</v>
      </c>
      <c r="N190" s="39" t="n">
        <f aca="false">J190*Resumo!$C$7</f>
        <v>1.23998</v>
      </c>
      <c r="O190" s="39" t="n">
        <f aca="false">J190*Resumo!$C$8</f>
        <v>1.23998</v>
      </c>
      <c r="P190" s="39" t="n">
        <f aca="false">Resumo!$C$10*CEILING(I190/100,1)</f>
        <v>1</v>
      </c>
      <c r="Q190" s="39" t="n">
        <f aca="false">Resumo!$C$9</f>
        <v>11.9</v>
      </c>
      <c r="R190" s="39" t="n">
        <f aca="false">SUM(M190:Q190)*Resumo!$C$11</f>
        <v>4.7508978</v>
      </c>
      <c r="S190" s="39" t="n">
        <f aca="false">SUM(M190:R190)</f>
        <v>91.1308578</v>
      </c>
      <c r="T190" s="39" t="n">
        <f aca="false">S190/(1-Resumo!$C$5)</f>
        <v>103.557792954545</v>
      </c>
      <c r="U190" s="39" t="n">
        <v>93.97</v>
      </c>
      <c r="V190" s="39" t="n">
        <f aca="false">J190*Resumo!$B$6</f>
        <v>0.61999</v>
      </c>
      <c r="W190" s="39" t="n">
        <f aca="false">J190*Resumo!$B$7</f>
        <v>1.23998</v>
      </c>
      <c r="X190" s="39" t="n">
        <f aca="false">Resumo!$B$9</f>
        <v>1</v>
      </c>
      <c r="Y190" s="39" t="n">
        <f aca="false">Resumo!$B$10*CEILING(I190/100,1)</f>
        <v>4.5</v>
      </c>
      <c r="Z190" s="39" t="n">
        <f aca="false">Resumo!$B$12*CEILING(I190,1)</f>
        <v>2.88</v>
      </c>
      <c r="AA190" s="39" t="n">
        <f aca="false">Resumo!$B$13*CEILING(I190,1)</f>
        <v>21.6</v>
      </c>
      <c r="AB190" s="39" t="n">
        <f aca="false">SUM(U190:AA190)</f>
        <v>125.80997</v>
      </c>
      <c r="AC190" s="39" t="n">
        <f aca="false">AB190/(1-Resumo!$B$5)</f>
        <v>142.965875</v>
      </c>
      <c r="AD190" s="39" t="n">
        <f aca="false">(AB190-AA190)/(1-Resumo!$B$5)</f>
        <v>118.420420454545</v>
      </c>
      <c r="AE190" s="39" t="n">
        <f aca="false">AC190-T190</f>
        <v>39.4080820454545</v>
      </c>
      <c r="AF190" s="40" t="n">
        <f aca="false">AC190/T190-1</f>
        <v>0.380541926600849</v>
      </c>
      <c r="AG190" s="37" t="str">
        <f aca="false">IF(AC190&lt;T190,"SIM","NÃO")</f>
        <v>NÃO</v>
      </c>
      <c r="AH190" s="37" t="n">
        <v>8</v>
      </c>
      <c r="AI190" s="37" t="n">
        <v>5</v>
      </c>
      <c r="AJ190" s="37" t="s">
        <v>323</v>
      </c>
    </row>
    <row r="191" customFormat="false" ht="15" hidden="false" customHeight="false" outlineLevel="0" collapsed="false">
      <c r="A191" s="37" t="n">
        <v>359682633</v>
      </c>
      <c r="B191" s="38" t="n">
        <v>46217.9842476852</v>
      </c>
      <c r="C191" s="37" t="s">
        <v>517</v>
      </c>
      <c r="D191" s="37" t="s">
        <v>518</v>
      </c>
      <c r="E191" s="37" t="n">
        <v>26022821</v>
      </c>
      <c r="F191" s="37" t="s">
        <v>142</v>
      </c>
      <c r="G191" s="37" t="s">
        <v>207</v>
      </c>
      <c r="H191" s="37" t="s">
        <v>168</v>
      </c>
      <c r="I191" s="37" t="n">
        <v>33</v>
      </c>
      <c r="J191" s="39" t="n">
        <v>399.99</v>
      </c>
      <c r="K191" s="37" t="s">
        <v>322</v>
      </c>
      <c r="L191" s="39" t="n">
        <v>101.31</v>
      </c>
      <c r="M191" s="39" t="n">
        <v>70</v>
      </c>
      <c r="N191" s="39" t="n">
        <f aca="false">J191*Resumo!$C$7</f>
        <v>0.79998</v>
      </c>
      <c r="O191" s="39" t="n">
        <f aca="false">J191*Resumo!$C$8</f>
        <v>0.79998</v>
      </c>
      <c r="P191" s="39" t="n">
        <f aca="false">Resumo!$C$10*CEILING(I191/100,1)</f>
        <v>1</v>
      </c>
      <c r="Q191" s="39" t="n">
        <f aca="false">Resumo!$C$9</f>
        <v>11.9</v>
      </c>
      <c r="R191" s="39" t="n">
        <f aca="false">SUM(M191:Q191)*Resumo!$C$11</f>
        <v>4.6474978</v>
      </c>
      <c r="S191" s="39" t="n">
        <f aca="false">SUM(M191:R191)</f>
        <v>89.1474578</v>
      </c>
      <c r="T191" s="39" t="n">
        <f aca="false">S191/(1-Resumo!$C$5)</f>
        <v>101.303929318182</v>
      </c>
      <c r="U191" s="39" t="n">
        <v>82.21</v>
      </c>
      <c r="V191" s="39" t="n">
        <f aca="false">J191*Resumo!$B$6</f>
        <v>0.39999</v>
      </c>
      <c r="W191" s="39" t="n">
        <f aca="false">J191*Resumo!$B$7</f>
        <v>0.79998</v>
      </c>
      <c r="X191" s="39" t="n">
        <f aca="false">Resumo!$B$9</f>
        <v>1</v>
      </c>
      <c r="Y191" s="39" t="n">
        <f aca="false">Resumo!$B$10*CEILING(I191/100,1)</f>
        <v>4.5</v>
      </c>
      <c r="Z191" s="39" t="n">
        <f aca="false">Resumo!$B$12*CEILING(I191,1)</f>
        <v>1.98</v>
      </c>
      <c r="AA191" s="39" t="n">
        <f aca="false">Resumo!$B$13*CEILING(I191,1)</f>
        <v>14.85</v>
      </c>
      <c r="AB191" s="39" t="n">
        <f aca="false">SUM(U191:AA191)</f>
        <v>105.73997</v>
      </c>
      <c r="AC191" s="39" t="n">
        <f aca="false">AB191/(1-Resumo!$B$5)</f>
        <v>120.159056818182</v>
      </c>
      <c r="AD191" s="39" t="n">
        <f aca="false">(AB191-AA191)/(1-Resumo!$B$5)</f>
        <v>103.284056818182</v>
      </c>
      <c r="AE191" s="39" t="n">
        <f aca="false">AC191-T191</f>
        <v>18.8551275</v>
      </c>
      <c r="AF191" s="40" t="n">
        <f aca="false">AC191/T191-1</f>
        <v>0.186124345096019</v>
      </c>
      <c r="AG191" s="37" t="str">
        <f aca="false">IF(AC191&lt;T191,"SIM","NÃO")</f>
        <v>NÃO</v>
      </c>
      <c r="AH191" s="37" t="n">
        <v>10</v>
      </c>
      <c r="AI191" s="37" t="n">
        <v>5</v>
      </c>
      <c r="AJ191" s="37" t="s">
        <v>323</v>
      </c>
    </row>
    <row r="192" customFormat="false" ht="15" hidden="false" customHeight="false" outlineLevel="0" collapsed="false">
      <c r="A192" s="37" t="n">
        <v>359878317</v>
      </c>
      <c r="B192" s="38" t="n">
        <v>46218.3675347222</v>
      </c>
      <c r="C192" s="37" t="s">
        <v>320</v>
      </c>
      <c r="D192" s="37" t="s">
        <v>519</v>
      </c>
      <c r="E192" s="37" t="n">
        <v>25225210</v>
      </c>
      <c r="F192" s="37" t="s">
        <v>141</v>
      </c>
      <c r="G192" s="37" t="s">
        <v>207</v>
      </c>
      <c r="H192" s="37" t="s">
        <v>170</v>
      </c>
      <c r="I192" s="37" t="n">
        <v>40.5</v>
      </c>
      <c r="J192" s="39" t="n">
        <v>799.99</v>
      </c>
      <c r="K192" s="37" t="s">
        <v>322</v>
      </c>
      <c r="L192" s="39" t="n">
        <v>117.91</v>
      </c>
      <c r="M192" s="39" t="n">
        <v>82.25</v>
      </c>
      <c r="N192" s="39" t="n">
        <f aca="false">J192*Resumo!$C$7</f>
        <v>1.59998</v>
      </c>
      <c r="O192" s="39" t="n">
        <f aca="false">J192*Resumo!$C$8</f>
        <v>1.59998</v>
      </c>
      <c r="P192" s="39" t="n">
        <f aca="false">Resumo!$C$10*CEILING(I192/100,1)</f>
        <v>1</v>
      </c>
      <c r="Q192" s="39" t="n">
        <f aca="false">Resumo!$C$9</f>
        <v>11.9</v>
      </c>
      <c r="R192" s="39" t="n">
        <f aca="false">SUM(M192:Q192)*Resumo!$C$11</f>
        <v>5.4092478</v>
      </c>
      <c r="S192" s="39" t="n">
        <f aca="false">SUM(M192:R192)</f>
        <v>103.7592078</v>
      </c>
      <c r="T192" s="39" t="n">
        <f aca="false">S192/(1-Resumo!$C$5)</f>
        <v>117.908190681818</v>
      </c>
      <c r="U192" s="39" t="n">
        <v>93.97</v>
      </c>
      <c r="V192" s="39" t="n">
        <f aca="false">J192*Resumo!$B$6</f>
        <v>0.79999</v>
      </c>
      <c r="W192" s="39" t="n">
        <f aca="false">J192*Resumo!$B$7</f>
        <v>1.59998</v>
      </c>
      <c r="X192" s="39" t="n">
        <f aca="false">Resumo!$B$9</f>
        <v>1</v>
      </c>
      <c r="Y192" s="39" t="n">
        <f aca="false">Resumo!$B$10*CEILING(I192/100,1)</f>
        <v>4.5</v>
      </c>
      <c r="Z192" s="39" t="n">
        <f aca="false">Resumo!$B$12*CEILING(I192,1)</f>
        <v>2.46</v>
      </c>
      <c r="AA192" s="39" t="n">
        <f aca="false">Resumo!$B$13*CEILING(I192,1)</f>
        <v>18.45</v>
      </c>
      <c r="AB192" s="39" t="n">
        <f aca="false">SUM(U192:AA192)</f>
        <v>122.77997</v>
      </c>
      <c r="AC192" s="39" t="n">
        <f aca="false">AB192/(1-Resumo!$B$5)</f>
        <v>139.522693181818</v>
      </c>
      <c r="AD192" s="39" t="n">
        <f aca="false">(AB192-AA192)/(1-Resumo!$B$5)</f>
        <v>118.556784090909</v>
      </c>
      <c r="AE192" s="39" t="n">
        <f aca="false">AC192-T192</f>
        <v>21.6145025</v>
      </c>
      <c r="AF192" s="40" t="n">
        <f aca="false">AC192/T192-1</f>
        <v>0.183316378404346</v>
      </c>
      <c r="AG192" s="37" t="str">
        <f aca="false">IF(AC192&lt;T192,"SIM","NÃO")</f>
        <v>NÃO</v>
      </c>
      <c r="AH192" s="37" t="n">
        <v>10</v>
      </c>
      <c r="AI192" s="37" t="n">
        <v>5</v>
      </c>
      <c r="AJ192" s="37" t="s">
        <v>323</v>
      </c>
    </row>
    <row r="193" customFormat="false" ht="15" hidden="false" customHeight="false" outlineLevel="0" collapsed="false">
      <c r="A193" s="37" t="n">
        <v>360064111</v>
      </c>
      <c r="B193" s="38" t="n">
        <v>46218.6358101852</v>
      </c>
      <c r="C193" s="37" t="s">
        <v>341</v>
      </c>
      <c r="D193" s="37" t="s">
        <v>520</v>
      </c>
      <c r="E193" s="37" t="n">
        <v>21512070</v>
      </c>
      <c r="F193" s="37" t="s">
        <v>139</v>
      </c>
      <c r="G193" s="37" t="s">
        <v>198</v>
      </c>
      <c r="H193" s="37" t="s">
        <v>171</v>
      </c>
      <c r="I193" s="37" t="n">
        <v>56.6</v>
      </c>
      <c r="J193" s="39" t="n">
        <v>1199.99</v>
      </c>
      <c r="K193" s="37" t="s">
        <v>322</v>
      </c>
      <c r="L193" s="39" t="n">
        <v>116.9</v>
      </c>
      <c r="M193" s="39" t="n">
        <v>79.81</v>
      </c>
      <c r="N193" s="39" t="n">
        <f aca="false">J193*Resumo!$C$7</f>
        <v>2.39998</v>
      </c>
      <c r="O193" s="39" t="n">
        <f aca="false">J193*Resumo!$C$8</f>
        <v>2.39998</v>
      </c>
      <c r="P193" s="39" t="n">
        <f aca="false">Resumo!$C$10*CEILING(I193/100,1)</f>
        <v>1</v>
      </c>
      <c r="Q193" s="39" t="n">
        <f aca="false">Resumo!$C$9</f>
        <v>11.9</v>
      </c>
      <c r="R193" s="39" t="n">
        <f aca="false">SUM(M193:Q193)*Resumo!$C$11</f>
        <v>5.3630478</v>
      </c>
      <c r="S193" s="39" t="n">
        <f aca="false">SUM(M193:R193)</f>
        <v>102.8730078</v>
      </c>
      <c r="T193" s="39" t="n">
        <f aca="false">S193/(1-Resumo!$C$5)</f>
        <v>116.901145227273</v>
      </c>
      <c r="U193" s="39" t="n">
        <v>112.3</v>
      </c>
      <c r="V193" s="39" t="n">
        <f aca="false">J193*Resumo!$B$6</f>
        <v>1.19999</v>
      </c>
      <c r="W193" s="39" t="n">
        <f aca="false">J193*Resumo!$B$7</f>
        <v>2.39998</v>
      </c>
      <c r="X193" s="39" t="n">
        <f aca="false">Resumo!$B$9</f>
        <v>1</v>
      </c>
      <c r="Y193" s="39" t="n">
        <f aca="false">Resumo!$B$10*CEILING(I193/100,1)</f>
        <v>4.5</v>
      </c>
      <c r="Z193" s="39" t="n">
        <f aca="false">Resumo!$B$12*CEILING(I193,1)</f>
        <v>3.42</v>
      </c>
      <c r="AA193" s="39" t="n">
        <f aca="false">Resumo!$B$13*CEILING(I193,1)</f>
        <v>25.65</v>
      </c>
      <c r="AB193" s="39" t="n">
        <f aca="false">SUM(U193:AA193)</f>
        <v>150.46997</v>
      </c>
      <c r="AC193" s="39" t="n">
        <f aca="false">AB193/(1-Resumo!$B$5)</f>
        <v>170.988602272727</v>
      </c>
      <c r="AD193" s="39" t="n">
        <f aca="false">(AB193-AA193)/(1-Resumo!$B$5)</f>
        <v>141.840875</v>
      </c>
      <c r="AE193" s="39" t="n">
        <f aca="false">AC193-T193</f>
        <v>54.0874570454545</v>
      </c>
      <c r="AF193" s="40" t="n">
        <f aca="false">AC193/T193-1</f>
        <v>0.462676879172575</v>
      </c>
      <c r="AG193" s="37" t="str">
        <f aca="false">IF(AC193&lt;T193,"SIM","NÃO")</f>
        <v>NÃO</v>
      </c>
      <c r="AH193" s="37" t="n">
        <v>8</v>
      </c>
      <c r="AI193" s="37" t="n">
        <v>5</v>
      </c>
      <c r="AJ193" s="37" t="s">
        <v>323</v>
      </c>
    </row>
    <row r="194" customFormat="false" ht="15" hidden="false" customHeight="false" outlineLevel="0" collapsed="false">
      <c r="A194" s="37" t="n">
        <v>360075063</v>
      </c>
      <c r="B194" s="38" t="n">
        <v>46218.6455324074</v>
      </c>
      <c r="C194" s="37" t="s">
        <v>320</v>
      </c>
      <c r="D194" s="37" t="s">
        <v>521</v>
      </c>
      <c r="E194" s="37" t="n">
        <v>21911310</v>
      </c>
      <c r="F194" s="37" t="s">
        <v>139</v>
      </c>
      <c r="G194" s="37" t="s">
        <v>198</v>
      </c>
      <c r="H194" s="37" t="s">
        <v>168</v>
      </c>
      <c r="I194" s="37" t="n">
        <v>31.9</v>
      </c>
      <c r="J194" s="39" t="n">
        <v>508.42</v>
      </c>
      <c r="K194" s="37" t="s">
        <v>322</v>
      </c>
      <c r="L194" s="39" t="n">
        <v>82.77</v>
      </c>
      <c r="M194" s="39" t="n">
        <v>54.1</v>
      </c>
      <c r="N194" s="39" t="n">
        <f aca="false">J194*Resumo!$C$7</f>
        <v>1.01684</v>
      </c>
      <c r="O194" s="39" t="n">
        <f aca="false">J194*Resumo!$C$8</f>
        <v>1.01684</v>
      </c>
      <c r="P194" s="39" t="n">
        <f aca="false">Resumo!$C$10*CEILING(I194/100,1)</f>
        <v>1</v>
      </c>
      <c r="Q194" s="39" t="n">
        <f aca="false">Resumo!$C$9</f>
        <v>11.9</v>
      </c>
      <c r="R194" s="39" t="n">
        <f aca="false">SUM(M194:Q194)*Resumo!$C$11</f>
        <v>3.7968524</v>
      </c>
      <c r="S194" s="39" t="n">
        <f aca="false">SUM(M194:R194)</f>
        <v>72.8305324</v>
      </c>
      <c r="T194" s="39" t="n">
        <f aca="false">S194/(1-Resumo!$C$5)</f>
        <v>82.7619686363637</v>
      </c>
      <c r="U194" s="39" t="n">
        <v>82.21</v>
      </c>
      <c r="V194" s="39" t="n">
        <f aca="false">J194*Resumo!$B$6</f>
        <v>0.50842</v>
      </c>
      <c r="W194" s="39" t="n">
        <f aca="false">J194*Resumo!$B$7</f>
        <v>1.01684</v>
      </c>
      <c r="X194" s="39" t="n">
        <f aca="false">Resumo!$B$9</f>
        <v>1</v>
      </c>
      <c r="Y194" s="39" t="n">
        <f aca="false">Resumo!$B$10*CEILING(I194/100,1)</f>
        <v>4.5</v>
      </c>
      <c r="Z194" s="39" t="n">
        <f aca="false">Resumo!$B$12*CEILING(I194,1)</f>
        <v>1.92</v>
      </c>
      <c r="AA194" s="39" t="n">
        <f aca="false">Resumo!$B$13*CEILING(I194,1)</f>
        <v>14.4</v>
      </c>
      <c r="AB194" s="39" t="n">
        <f aca="false">SUM(U194:AA194)</f>
        <v>105.55526</v>
      </c>
      <c r="AC194" s="39" t="n">
        <f aca="false">AB194/(1-Resumo!$B$5)</f>
        <v>119.949159090909</v>
      </c>
      <c r="AD194" s="39" t="n">
        <f aca="false">(AB194-AA194)/(1-Resumo!$B$5)</f>
        <v>103.585522727273</v>
      </c>
      <c r="AE194" s="39" t="n">
        <f aca="false">AC194-T194</f>
        <v>37.1871904545454</v>
      </c>
      <c r="AF194" s="40" t="n">
        <f aca="false">AC194/T194-1</f>
        <v>0.44932704075633</v>
      </c>
      <c r="AG194" s="37" t="str">
        <f aca="false">IF(AC194&lt;T194,"SIM","NÃO")</f>
        <v>NÃO</v>
      </c>
      <c r="AH194" s="37" t="n">
        <v>8</v>
      </c>
      <c r="AI194" s="37" t="n">
        <v>5</v>
      </c>
      <c r="AJ194" s="37" t="s">
        <v>323</v>
      </c>
    </row>
    <row r="195" customFormat="false" ht="15" hidden="false" customHeight="false" outlineLevel="0" collapsed="false">
      <c r="A195" s="37" t="n">
        <v>360075532</v>
      </c>
      <c r="B195" s="38" t="n">
        <v>46218.6463425926</v>
      </c>
      <c r="C195" s="37" t="s">
        <v>325</v>
      </c>
      <c r="D195" s="37" t="s">
        <v>522</v>
      </c>
      <c r="E195" s="37" t="n">
        <v>20940060</v>
      </c>
      <c r="F195" s="37" t="s">
        <v>139</v>
      </c>
      <c r="G195" s="37" t="s">
        <v>198</v>
      </c>
      <c r="H195" s="37" t="s">
        <v>168</v>
      </c>
      <c r="I195" s="37" t="n">
        <v>31.9</v>
      </c>
      <c r="J195" s="39" t="n">
        <v>466.39</v>
      </c>
      <c r="K195" s="37" t="s">
        <v>322</v>
      </c>
      <c r="L195" s="39" t="n">
        <v>82.56</v>
      </c>
      <c r="M195" s="39" t="n">
        <v>54.1</v>
      </c>
      <c r="N195" s="39" t="n">
        <f aca="false">J195*Resumo!$C$7</f>
        <v>0.93278</v>
      </c>
      <c r="O195" s="39" t="n">
        <f aca="false">J195*Resumo!$C$8</f>
        <v>0.93278</v>
      </c>
      <c r="P195" s="39" t="n">
        <f aca="false">Resumo!$C$10*CEILING(I195/100,1)</f>
        <v>1</v>
      </c>
      <c r="Q195" s="39" t="n">
        <f aca="false">Resumo!$C$9</f>
        <v>11.9</v>
      </c>
      <c r="R195" s="39" t="n">
        <f aca="false">SUM(M195:Q195)*Resumo!$C$11</f>
        <v>3.7876058</v>
      </c>
      <c r="S195" s="39" t="n">
        <f aca="false">SUM(M195:R195)</f>
        <v>72.6531658</v>
      </c>
      <c r="T195" s="39" t="n">
        <f aca="false">S195/(1-Resumo!$C$5)</f>
        <v>82.5604156818182</v>
      </c>
      <c r="U195" s="39" t="n">
        <v>82.21</v>
      </c>
      <c r="V195" s="39" t="n">
        <f aca="false">J195*Resumo!$B$6</f>
        <v>0.46639</v>
      </c>
      <c r="W195" s="39" t="n">
        <f aca="false">J195*Resumo!$B$7</f>
        <v>0.93278</v>
      </c>
      <c r="X195" s="39" t="n">
        <f aca="false">Resumo!$B$9</f>
        <v>1</v>
      </c>
      <c r="Y195" s="39" t="n">
        <f aca="false">Resumo!$B$10*CEILING(I195/100,1)</f>
        <v>4.5</v>
      </c>
      <c r="Z195" s="39" t="n">
        <f aca="false">Resumo!$B$12*CEILING(I195,1)</f>
        <v>1.92</v>
      </c>
      <c r="AA195" s="39" t="n">
        <f aca="false">Resumo!$B$13*CEILING(I195,1)</f>
        <v>14.4</v>
      </c>
      <c r="AB195" s="39" t="n">
        <f aca="false">SUM(U195:AA195)</f>
        <v>105.42917</v>
      </c>
      <c r="AC195" s="39" t="n">
        <f aca="false">AB195/(1-Resumo!$B$5)</f>
        <v>119.805875</v>
      </c>
      <c r="AD195" s="39" t="n">
        <f aca="false">(AB195-AA195)/(1-Resumo!$B$5)</f>
        <v>103.442238636364</v>
      </c>
      <c r="AE195" s="39" t="n">
        <f aca="false">AC195-T195</f>
        <v>37.2454593181818</v>
      </c>
      <c r="AF195" s="40" t="n">
        <f aca="false">AC195/T195-1</f>
        <v>0.451129745539595</v>
      </c>
      <c r="AG195" s="37" t="str">
        <f aca="false">IF(AC195&lt;T195,"SIM","NÃO")</f>
        <v>NÃO</v>
      </c>
      <c r="AH195" s="37" t="n">
        <v>8</v>
      </c>
      <c r="AI195" s="37" t="n">
        <v>5</v>
      </c>
      <c r="AJ195" s="37" t="s">
        <v>323</v>
      </c>
    </row>
    <row r="196" customFormat="false" ht="15" hidden="false" customHeight="false" outlineLevel="0" collapsed="false">
      <c r="A196" s="37" t="n">
        <v>360160392</v>
      </c>
      <c r="B196" s="38" t="n">
        <v>46218.7448263889</v>
      </c>
      <c r="C196" s="37" t="s">
        <v>325</v>
      </c>
      <c r="D196" s="37" t="s">
        <v>523</v>
      </c>
      <c r="E196" s="37" t="n">
        <v>27963770</v>
      </c>
      <c r="F196" s="37" t="s">
        <v>146</v>
      </c>
      <c r="G196" s="37" t="s">
        <v>201</v>
      </c>
      <c r="H196" s="37" t="s">
        <v>169</v>
      </c>
      <c r="I196" s="37" t="n">
        <v>36</v>
      </c>
      <c r="J196" s="39" t="n">
        <v>395.26</v>
      </c>
      <c r="K196" s="37" t="s">
        <v>322</v>
      </c>
      <c r="L196" s="39" t="n">
        <v>122.14</v>
      </c>
      <c r="M196" s="39" t="n">
        <v>87.4</v>
      </c>
      <c r="N196" s="39" t="n">
        <f aca="false">J196*Resumo!$C$7</f>
        <v>0.79052</v>
      </c>
      <c r="O196" s="39" t="n">
        <f aca="false">J196*Resumo!$C$8</f>
        <v>0.79052</v>
      </c>
      <c r="P196" s="39" t="n">
        <f aca="false">Resumo!$C$10*CEILING(I196/100,1)</f>
        <v>1</v>
      </c>
      <c r="Q196" s="39" t="n">
        <f aca="false">Resumo!$C$9</f>
        <v>11.9</v>
      </c>
      <c r="R196" s="39" t="n">
        <f aca="false">SUM(M196:Q196)*Resumo!$C$11</f>
        <v>5.6034572</v>
      </c>
      <c r="S196" s="39" t="n">
        <f aca="false">SUM(M196:R196)</f>
        <v>107.4844972</v>
      </c>
      <c r="T196" s="39" t="n">
        <f aca="false">S196/(1-Resumo!$C$5)</f>
        <v>122.141474090909</v>
      </c>
      <c r="U196" s="39" t="n">
        <v>143.04</v>
      </c>
      <c r="V196" s="39" t="n">
        <f aca="false">J196*Resumo!$B$6</f>
        <v>0.39526</v>
      </c>
      <c r="W196" s="39" t="n">
        <f aca="false">J196*Resumo!$B$7</f>
        <v>0.79052</v>
      </c>
      <c r="X196" s="39" t="n">
        <f aca="false">Resumo!$B$9</f>
        <v>1</v>
      </c>
      <c r="Y196" s="39" t="n">
        <f aca="false">Resumo!$B$10*CEILING(I196/100,1)</f>
        <v>4.5</v>
      </c>
      <c r="Z196" s="39" t="n">
        <f aca="false">Resumo!$B$12*CEILING(I196,1)</f>
        <v>2.16</v>
      </c>
      <c r="AA196" s="39" t="n">
        <f aca="false">Resumo!$B$13*CEILING(I196,1)</f>
        <v>16.2</v>
      </c>
      <c r="AB196" s="39" t="n">
        <f aca="false">SUM(U196:AA196)</f>
        <v>168.08578</v>
      </c>
      <c r="AC196" s="39" t="n">
        <f aca="false">AB196/(1-Resumo!$B$5)</f>
        <v>191.006568181818</v>
      </c>
      <c r="AD196" s="39" t="n">
        <f aca="false">(AB196-AA196)/(1-Resumo!$B$5)</f>
        <v>172.597477272727</v>
      </c>
      <c r="AE196" s="39" t="n">
        <f aca="false">AC196-T196</f>
        <v>68.865094090909</v>
      </c>
      <c r="AF196" s="40" t="n">
        <f aca="false">AC196/T196-1</f>
        <v>0.563814172077645</v>
      </c>
      <c r="AG196" s="37" t="str">
        <f aca="false">IF(AC196&lt;T196,"SIM","NÃO")</f>
        <v>NÃO</v>
      </c>
      <c r="AH196" s="37" t="n">
        <v>13</v>
      </c>
      <c r="AI196" s="37" t="n">
        <v>11</v>
      </c>
      <c r="AJ196" s="37" t="s">
        <v>323</v>
      </c>
    </row>
    <row r="197" customFormat="false" ht="15" hidden="false" customHeight="false" outlineLevel="0" collapsed="false">
      <c r="A197" s="37" t="n">
        <v>360275487</v>
      </c>
      <c r="B197" s="38" t="n">
        <v>46218.8727546296</v>
      </c>
      <c r="C197" s="37" t="s">
        <v>325</v>
      </c>
      <c r="D197" s="37" t="s">
        <v>524</v>
      </c>
      <c r="E197" s="37" t="n">
        <v>25880000</v>
      </c>
      <c r="F197" s="37" t="s">
        <v>218</v>
      </c>
      <c r="G197" s="37" t="s">
        <v>201</v>
      </c>
      <c r="H197" s="37" t="s">
        <v>175</v>
      </c>
      <c r="I197" s="37" t="n">
        <v>109.7</v>
      </c>
      <c r="J197" s="39" t="n">
        <v>1225.68</v>
      </c>
      <c r="K197" s="37" t="s">
        <v>322</v>
      </c>
      <c r="L197" s="39" t="n">
        <v>216.52</v>
      </c>
      <c r="M197" s="39" t="n">
        <v>161.81</v>
      </c>
      <c r="N197" s="39" t="n">
        <f aca="false">J197*Resumo!$C$7</f>
        <v>2.45136</v>
      </c>
      <c r="O197" s="39" t="n">
        <f aca="false">J197*Resumo!$C$8</f>
        <v>2.45136</v>
      </c>
      <c r="P197" s="39" t="n">
        <f aca="false">Resumo!$C$10*CEILING(I197/100,1)</f>
        <v>2</v>
      </c>
      <c r="Q197" s="39" t="n">
        <f aca="false">Resumo!$C$9</f>
        <v>11.9</v>
      </c>
      <c r="R197" s="39" t="n">
        <f aca="false">SUM(M197:Q197)*Resumo!$C$11</f>
        <v>9.9336996</v>
      </c>
      <c r="S197" s="39" t="n">
        <f aca="false">SUM(M197:R197)</f>
        <v>190.5464196</v>
      </c>
      <c r="T197" s="39" t="n">
        <f aca="false">S197/(1-Resumo!$C$5)</f>
        <v>216.530022272727</v>
      </c>
      <c r="U197" s="39" t="n">
        <v>236.82</v>
      </c>
      <c r="V197" s="39" t="n">
        <f aca="false">J197*Resumo!$B$6</f>
        <v>1.22568</v>
      </c>
      <c r="W197" s="39" t="n">
        <f aca="false">J197*Resumo!$B$7</f>
        <v>2.45136</v>
      </c>
      <c r="X197" s="39" t="n">
        <f aca="false">Resumo!$B$9</f>
        <v>1</v>
      </c>
      <c r="Y197" s="39" t="n">
        <f aca="false">Resumo!$B$10*CEILING(I197/100,1)</f>
        <v>9</v>
      </c>
      <c r="Z197" s="39" t="n">
        <f aca="false">Resumo!$B$12*CEILING(I197,1)</f>
        <v>6.6</v>
      </c>
      <c r="AA197" s="39" t="n">
        <f aca="false">Resumo!$B$13*CEILING(I197,1)</f>
        <v>49.5</v>
      </c>
      <c r="AB197" s="39" t="n">
        <f aca="false">SUM(U197:AA197)</f>
        <v>306.59704</v>
      </c>
      <c r="AC197" s="39" t="n">
        <f aca="false">AB197/(1-Resumo!$B$5)</f>
        <v>348.405727272727</v>
      </c>
      <c r="AD197" s="39" t="n">
        <f aca="false">(AB197-AA197)/(1-Resumo!$B$5)</f>
        <v>292.155727272727</v>
      </c>
      <c r="AE197" s="39" t="n">
        <f aca="false">AC197-T197</f>
        <v>131.875705</v>
      </c>
      <c r="AF197" s="40" t="n">
        <f aca="false">AC197/T197-1</f>
        <v>0.609041201842661</v>
      </c>
      <c r="AG197" s="37" t="str">
        <f aca="false">IF(AC197&lt;T197,"SIM","NÃO")</f>
        <v>NÃO</v>
      </c>
      <c r="AH197" s="37" t="n">
        <v>13</v>
      </c>
      <c r="AI197" s="37" t="n">
        <v>10</v>
      </c>
      <c r="AJ197" s="37" t="s">
        <v>327</v>
      </c>
    </row>
    <row r="198" customFormat="false" ht="15" hidden="false" customHeight="false" outlineLevel="0" collapsed="false">
      <c r="A198" s="37" t="n">
        <v>360284458</v>
      </c>
      <c r="B198" s="38" t="n">
        <v>46218.8821296296</v>
      </c>
      <c r="C198" s="37" t="s">
        <v>320</v>
      </c>
      <c r="D198" s="37" t="s">
        <v>525</v>
      </c>
      <c r="E198" s="37" t="n">
        <v>21010260</v>
      </c>
      <c r="F198" s="37" t="s">
        <v>139</v>
      </c>
      <c r="G198" s="37" t="s">
        <v>198</v>
      </c>
      <c r="H198" s="37" t="s">
        <v>168</v>
      </c>
      <c r="I198" s="37" t="n">
        <v>33</v>
      </c>
      <c r="J198" s="39" t="n">
        <v>419.99</v>
      </c>
      <c r="K198" s="37" t="s">
        <v>322</v>
      </c>
      <c r="L198" s="39" t="n">
        <v>82.34</v>
      </c>
      <c r="M198" s="39" t="n">
        <v>54.1</v>
      </c>
      <c r="N198" s="39" t="n">
        <f aca="false">J198*Resumo!$C$7</f>
        <v>0.83998</v>
      </c>
      <c r="O198" s="39" t="n">
        <f aca="false">J198*Resumo!$C$8</f>
        <v>0.83998</v>
      </c>
      <c r="P198" s="39" t="n">
        <f aca="false">Resumo!$C$10*CEILING(I198/100,1)</f>
        <v>1</v>
      </c>
      <c r="Q198" s="39" t="n">
        <f aca="false">Resumo!$C$9</f>
        <v>11.9</v>
      </c>
      <c r="R198" s="39" t="n">
        <f aca="false">SUM(M198:Q198)*Resumo!$C$11</f>
        <v>3.7773978</v>
      </c>
      <c r="S198" s="39" t="n">
        <f aca="false">SUM(M198:R198)</f>
        <v>72.4573578</v>
      </c>
      <c r="T198" s="39" t="n">
        <f aca="false">S198/(1-Resumo!$C$5)</f>
        <v>82.3379065909091</v>
      </c>
      <c r="U198" s="39" t="n">
        <v>82.21</v>
      </c>
      <c r="V198" s="39" t="n">
        <f aca="false">J198*Resumo!$B$6</f>
        <v>0.41999</v>
      </c>
      <c r="W198" s="39" t="n">
        <f aca="false">J198*Resumo!$B$7</f>
        <v>0.83998</v>
      </c>
      <c r="X198" s="39" t="n">
        <f aca="false">Resumo!$B$9</f>
        <v>1</v>
      </c>
      <c r="Y198" s="39" t="n">
        <f aca="false">Resumo!$B$10*CEILING(I198/100,1)</f>
        <v>4.5</v>
      </c>
      <c r="Z198" s="39" t="n">
        <f aca="false">Resumo!$B$12*CEILING(I198,1)</f>
        <v>1.98</v>
      </c>
      <c r="AA198" s="39" t="n">
        <f aca="false">Resumo!$B$13*CEILING(I198,1)</f>
        <v>14.85</v>
      </c>
      <c r="AB198" s="39" t="n">
        <f aca="false">SUM(U198:AA198)</f>
        <v>105.79997</v>
      </c>
      <c r="AC198" s="39" t="n">
        <f aca="false">AB198/(1-Resumo!$B$5)</f>
        <v>120.227238636364</v>
      </c>
      <c r="AD198" s="39" t="n">
        <f aca="false">(AB198-AA198)/(1-Resumo!$B$5)</f>
        <v>103.352238636364</v>
      </c>
      <c r="AE198" s="39" t="n">
        <f aca="false">AC198-T198</f>
        <v>37.8893320454545</v>
      </c>
      <c r="AF198" s="40" t="n">
        <f aca="false">AC198/T198-1</f>
        <v>0.460168755974151</v>
      </c>
      <c r="AG198" s="37" t="str">
        <f aca="false">IF(AC198&lt;T198,"SIM","NÃO")</f>
        <v>NÃO</v>
      </c>
      <c r="AH198" s="37" t="n">
        <v>8</v>
      </c>
      <c r="AI198" s="37" t="n">
        <v>5</v>
      </c>
      <c r="AJ198" s="37" t="s">
        <v>323</v>
      </c>
    </row>
    <row r="199" customFormat="false" ht="15" hidden="false" customHeight="false" outlineLevel="0" collapsed="false">
      <c r="A199" s="37" t="n">
        <v>360324588</v>
      </c>
      <c r="B199" s="38" t="n">
        <v>46218.9265625</v>
      </c>
      <c r="C199" s="37" t="s">
        <v>320</v>
      </c>
      <c r="D199" s="37" t="s">
        <v>526</v>
      </c>
      <c r="E199" s="37" t="n">
        <v>28987608</v>
      </c>
      <c r="F199" s="37" t="s">
        <v>153</v>
      </c>
      <c r="G199" s="37" t="s">
        <v>201</v>
      </c>
      <c r="H199" s="37" t="s">
        <v>174</v>
      </c>
      <c r="I199" s="37" t="n">
        <v>81.7</v>
      </c>
      <c r="J199" s="39" t="n">
        <v>779.99</v>
      </c>
      <c r="K199" s="37" t="s">
        <v>322</v>
      </c>
      <c r="L199" s="39" t="n">
        <v>192.33</v>
      </c>
      <c r="M199" s="39" t="n">
        <v>144.41</v>
      </c>
      <c r="N199" s="39" t="n">
        <f aca="false">J199*Resumo!$C$7</f>
        <v>1.55998</v>
      </c>
      <c r="O199" s="39" t="n">
        <f aca="false">J199*Resumo!$C$8</f>
        <v>1.55998</v>
      </c>
      <c r="P199" s="39" t="n">
        <f aca="false">Resumo!$C$10*CEILING(I199/100,1)</f>
        <v>1</v>
      </c>
      <c r="Q199" s="39" t="n">
        <f aca="false">Resumo!$C$9</f>
        <v>11.9</v>
      </c>
      <c r="R199" s="39" t="n">
        <f aca="false">SUM(M199:Q199)*Resumo!$C$11</f>
        <v>8.8236478</v>
      </c>
      <c r="S199" s="39" t="n">
        <f aca="false">SUM(M199:R199)</f>
        <v>169.2536078</v>
      </c>
      <c r="T199" s="39" t="n">
        <f aca="false">S199/(1-Resumo!$C$5)</f>
        <v>192.333645227273</v>
      </c>
      <c r="U199" s="39" t="n">
        <v>197.35</v>
      </c>
      <c r="V199" s="39" t="n">
        <f aca="false">J199*Resumo!$B$6</f>
        <v>0.77999</v>
      </c>
      <c r="W199" s="39" t="n">
        <f aca="false">J199*Resumo!$B$7</f>
        <v>1.55998</v>
      </c>
      <c r="X199" s="39" t="n">
        <f aca="false">Resumo!$B$9</f>
        <v>1</v>
      </c>
      <c r="Y199" s="39" t="n">
        <f aca="false">Resumo!$B$10*CEILING(I199/100,1)</f>
        <v>4.5</v>
      </c>
      <c r="Z199" s="39" t="n">
        <f aca="false">Resumo!$B$12*CEILING(I199,1)</f>
        <v>4.92</v>
      </c>
      <c r="AA199" s="39" t="n">
        <f aca="false">Resumo!$B$13*CEILING(I199,1)</f>
        <v>36.9</v>
      </c>
      <c r="AB199" s="39" t="n">
        <f aca="false">SUM(U199:AA199)</f>
        <v>247.00997</v>
      </c>
      <c r="AC199" s="39" t="n">
        <f aca="false">AB199/(1-Resumo!$B$5)</f>
        <v>280.693147727273</v>
      </c>
      <c r="AD199" s="39" t="n">
        <f aca="false">(AB199-AA199)/(1-Resumo!$B$5)</f>
        <v>238.761329545455</v>
      </c>
      <c r="AE199" s="39" t="n">
        <f aca="false">AC199-T199</f>
        <v>88.3595025</v>
      </c>
      <c r="AF199" s="40" t="n">
        <f aca="false">AC199/T199-1</f>
        <v>0.459407413588971</v>
      </c>
      <c r="AG199" s="37" t="str">
        <f aca="false">IF(AC199&lt;T199,"SIM","NÃO")</f>
        <v>NÃO</v>
      </c>
      <c r="AH199" s="37" t="n">
        <v>13</v>
      </c>
      <c r="AI199" s="37" t="n">
        <v>10</v>
      </c>
      <c r="AJ199" s="37" t="s">
        <v>323</v>
      </c>
    </row>
    <row r="200" customFormat="false" ht="15" hidden="false" customHeight="false" outlineLevel="0" collapsed="false">
      <c r="A200" s="37" t="n">
        <v>360361604</v>
      </c>
      <c r="B200" s="38" t="n">
        <v>46218.948125</v>
      </c>
      <c r="C200" s="37" t="s">
        <v>517</v>
      </c>
      <c r="D200" s="37" t="s">
        <v>527</v>
      </c>
      <c r="E200" s="37" t="n">
        <v>28380000</v>
      </c>
      <c r="F200" s="37" t="s">
        <v>252</v>
      </c>
      <c r="G200" s="37" t="s">
        <v>201</v>
      </c>
      <c r="H200" s="37" t="s">
        <v>170</v>
      </c>
      <c r="I200" s="37" t="n">
        <v>49.6</v>
      </c>
      <c r="J200" s="39" t="n">
        <v>683.99</v>
      </c>
      <c r="K200" s="37" t="s">
        <v>322</v>
      </c>
      <c r="L200" s="39" t="n">
        <v>131.44</v>
      </c>
      <c r="M200" s="39" t="n">
        <v>94</v>
      </c>
      <c r="N200" s="39" t="n">
        <f aca="false">J200*Resumo!$C$7</f>
        <v>1.36798</v>
      </c>
      <c r="O200" s="39" t="n">
        <f aca="false">J200*Resumo!$C$8</f>
        <v>1.36798</v>
      </c>
      <c r="P200" s="39" t="n">
        <f aca="false">Resumo!$C$10*CEILING(I200/100,1)</f>
        <v>1</v>
      </c>
      <c r="Q200" s="39" t="n">
        <f aca="false">Resumo!$C$9</f>
        <v>11.9</v>
      </c>
      <c r="R200" s="39" t="n">
        <f aca="false">SUM(M200:Q200)*Resumo!$C$11</f>
        <v>6.0299778</v>
      </c>
      <c r="S200" s="39" t="n">
        <f aca="false">SUM(M200:R200)</f>
        <v>115.6659378</v>
      </c>
      <c r="T200" s="39" t="n">
        <f aca="false">S200/(1-Resumo!$C$5)</f>
        <v>131.438565681818</v>
      </c>
      <c r="U200" s="39" t="n">
        <v>152.54</v>
      </c>
      <c r="V200" s="39" t="n">
        <f aca="false">J200*Resumo!$B$6</f>
        <v>0.68399</v>
      </c>
      <c r="W200" s="39" t="n">
        <f aca="false">J200*Resumo!$B$7</f>
        <v>1.36798</v>
      </c>
      <c r="X200" s="39" t="n">
        <f aca="false">Resumo!$B$9</f>
        <v>1</v>
      </c>
      <c r="Y200" s="39" t="n">
        <f aca="false">Resumo!$B$10*CEILING(I200/100,1)</f>
        <v>4.5</v>
      </c>
      <c r="Z200" s="39" t="n">
        <f aca="false">Resumo!$B$12*CEILING(I200,1)</f>
        <v>3</v>
      </c>
      <c r="AA200" s="39" t="n">
        <f aca="false">Resumo!$B$13*CEILING(I200,1)</f>
        <v>22.5</v>
      </c>
      <c r="AB200" s="39" t="n">
        <f aca="false">SUM(U200:AA200)</f>
        <v>185.59197</v>
      </c>
      <c r="AC200" s="39" t="n">
        <f aca="false">AB200/(1-Resumo!$B$5)</f>
        <v>210.899965909091</v>
      </c>
      <c r="AD200" s="39" t="n">
        <f aca="false">(AB200-AA200)/(1-Resumo!$B$5)</f>
        <v>185.331784090909</v>
      </c>
      <c r="AE200" s="39" t="n">
        <f aca="false">AC200-T200</f>
        <v>79.4614002272728</v>
      </c>
      <c r="AF200" s="40" t="n">
        <f aca="false">AC200/T200-1</f>
        <v>0.604551638364878</v>
      </c>
      <c r="AG200" s="37" t="str">
        <f aca="false">IF(AC200&lt;T200,"SIM","NÃO")</f>
        <v>NÃO</v>
      </c>
      <c r="AH200" s="37" t="n">
        <v>13</v>
      </c>
      <c r="AI200" s="37" t="n">
        <v>11</v>
      </c>
      <c r="AJ200" s="37" t="s">
        <v>327</v>
      </c>
    </row>
    <row r="201" customFormat="false" ht="15" hidden="false" customHeight="false" outlineLevel="0" collapsed="false">
      <c r="A201" s="37" t="n">
        <v>360581305</v>
      </c>
      <c r="B201" s="38" t="n">
        <v>46219.3428472222</v>
      </c>
      <c r="C201" s="37" t="s">
        <v>325</v>
      </c>
      <c r="D201" s="37" t="s">
        <v>528</v>
      </c>
      <c r="E201" s="37" t="n">
        <v>25214410</v>
      </c>
      <c r="F201" s="37" t="s">
        <v>141</v>
      </c>
      <c r="G201" s="37" t="s">
        <v>207</v>
      </c>
      <c r="H201" s="37" t="s">
        <v>171</v>
      </c>
      <c r="I201" s="37" t="n">
        <v>52.3</v>
      </c>
      <c r="J201" s="39" t="n">
        <v>644.83</v>
      </c>
      <c r="K201" s="37" t="s">
        <v>498</v>
      </c>
      <c r="L201" s="39" t="n">
        <v>131.38</v>
      </c>
      <c r="M201" s="39" t="n">
        <v>91.6</v>
      </c>
      <c r="N201" s="39" t="n">
        <f aca="false">J201*Resumo!$C$7</f>
        <v>1.28966</v>
      </c>
      <c r="O201" s="39" t="n">
        <f aca="false">J201*Resumo!$C$8</f>
        <v>1.28966</v>
      </c>
      <c r="P201" s="39" t="n">
        <f aca="false">Resumo!$C$10*CEILING(I201/100,1)</f>
        <v>1</v>
      </c>
      <c r="Q201" s="39" t="n">
        <f aca="false">Resumo!$C$9</f>
        <v>11.9</v>
      </c>
      <c r="R201" s="39" t="n">
        <f aca="false">SUM(M201:Q201)*Resumo!$C$11</f>
        <v>5.8893626</v>
      </c>
      <c r="S201" s="39" t="n">
        <f aca="false">SUM(M201:R201)</f>
        <v>112.9686826</v>
      </c>
      <c r="T201" s="39" t="n">
        <f aca="false">S201/(1-Resumo!$C$5)</f>
        <v>128.373502954545</v>
      </c>
      <c r="U201" s="39" t="n">
        <v>112.3</v>
      </c>
      <c r="V201" s="39" t="n">
        <f aca="false">J201*Resumo!$B$6</f>
        <v>0.64483</v>
      </c>
      <c r="W201" s="39" t="n">
        <f aca="false">J201*Resumo!$B$7</f>
        <v>1.28966</v>
      </c>
      <c r="X201" s="39" t="n">
        <f aca="false">Resumo!$B$9</f>
        <v>1</v>
      </c>
      <c r="Y201" s="39" t="n">
        <f aca="false">Resumo!$B$10*CEILING(I201/100,1)</f>
        <v>4.5</v>
      </c>
      <c r="Z201" s="39" t="n">
        <f aca="false">Resumo!$B$12*CEILING(I201,1)</f>
        <v>3.18</v>
      </c>
      <c r="AA201" s="39" t="n">
        <f aca="false">Resumo!$B$13*CEILING(I201,1)</f>
        <v>23.85</v>
      </c>
      <c r="AB201" s="39" t="n">
        <f aca="false">SUM(U201:AA201)</f>
        <v>146.76449</v>
      </c>
      <c r="AC201" s="39" t="n">
        <f aca="false">AB201/(1-Resumo!$B$5)</f>
        <v>166.777829545455</v>
      </c>
      <c r="AD201" s="39" t="n">
        <f aca="false">(AB201-AA201)/(1-Resumo!$B$5)</f>
        <v>139.675556818182</v>
      </c>
      <c r="AE201" s="39" t="n">
        <f aca="false">AC201-T201</f>
        <v>38.4043265909091</v>
      </c>
      <c r="AF201" s="40" t="n">
        <f aca="false">AC201/T201-1</f>
        <v>0.299160852567117</v>
      </c>
      <c r="AG201" s="37" t="str">
        <f aca="false">IF(AC201&lt;T201,"SIM","NÃO")</f>
        <v>NÃO</v>
      </c>
      <c r="AH201" s="37" t="n">
        <v>10</v>
      </c>
      <c r="AI201" s="37" t="n">
        <v>5</v>
      </c>
      <c r="AJ201" s="37" t="s">
        <v>323</v>
      </c>
    </row>
    <row r="202" customFormat="false" ht="15" hidden="false" customHeight="false" outlineLevel="0" collapsed="false">
      <c r="A202" s="37" t="n">
        <v>360658459</v>
      </c>
      <c r="B202" s="38" t="n">
        <v>46219.4255092593</v>
      </c>
      <c r="C202" s="37" t="s">
        <v>517</v>
      </c>
      <c r="D202" s="37" t="s">
        <v>529</v>
      </c>
      <c r="E202" s="37" t="n">
        <v>28470000</v>
      </c>
      <c r="F202" s="37" t="s">
        <v>258</v>
      </c>
      <c r="G202" s="37" t="s">
        <v>201</v>
      </c>
      <c r="H202" s="37" t="s">
        <v>168</v>
      </c>
      <c r="I202" s="37" t="n">
        <v>35</v>
      </c>
      <c r="J202" s="39" t="n">
        <v>459.99</v>
      </c>
      <c r="K202" s="37" t="s">
        <v>530</v>
      </c>
      <c r="L202" s="39" t="n">
        <v>121.3</v>
      </c>
      <c r="M202" s="39" t="n">
        <v>76.5</v>
      </c>
      <c r="N202" s="39" t="n">
        <f aca="false">J202*Resumo!$C$7</f>
        <v>0.91998</v>
      </c>
      <c r="O202" s="39" t="n">
        <f aca="false">J202*Resumo!$C$8</f>
        <v>0.91998</v>
      </c>
      <c r="P202" s="39" t="n">
        <f aca="false">Resumo!$C$10*CEILING(I202/100,1)</f>
        <v>1</v>
      </c>
      <c r="Q202" s="39" t="n">
        <f aca="false">Resumo!$C$9</f>
        <v>11.9</v>
      </c>
      <c r="R202" s="39" t="n">
        <f aca="false">SUM(M202:Q202)*Resumo!$C$11</f>
        <v>5.0181978</v>
      </c>
      <c r="S202" s="39" t="n">
        <f aca="false">SUM(M202:R202)</f>
        <v>96.2581578</v>
      </c>
      <c r="T202" s="39" t="n">
        <f aca="false">S202/(1-Resumo!$C$5)</f>
        <v>109.384270227273</v>
      </c>
      <c r="U202" s="39" t="n">
        <v>138.29</v>
      </c>
      <c r="V202" s="39" t="n">
        <f aca="false">J202*Resumo!$B$6</f>
        <v>0.45999</v>
      </c>
      <c r="W202" s="39" t="n">
        <f aca="false">J202*Resumo!$B$7</f>
        <v>0.91998</v>
      </c>
      <c r="X202" s="39" t="n">
        <f aca="false">Resumo!$B$9</f>
        <v>1</v>
      </c>
      <c r="Y202" s="39" t="n">
        <f aca="false">Resumo!$B$10*CEILING(I202/100,1)</f>
        <v>4.5</v>
      </c>
      <c r="Z202" s="39" t="n">
        <f aca="false">Resumo!$B$12*CEILING(I202,1)</f>
        <v>2.1</v>
      </c>
      <c r="AA202" s="39" t="n">
        <f aca="false">Resumo!$B$13*CEILING(I202,1)</f>
        <v>15.75</v>
      </c>
      <c r="AB202" s="39" t="n">
        <f aca="false">SUM(U202:AA202)</f>
        <v>163.01997</v>
      </c>
      <c r="AC202" s="39" t="n">
        <f aca="false">AB202/(1-Resumo!$B$5)</f>
        <v>185.249965909091</v>
      </c>
      <c r="AD202" s="39" t="n">
        <f aca="false">(AB202-AA202)/(1-Resumo!$B$5)</f>
        <v>167.352238636364</v>
      </c>
      <c r="AE202" s="39" t="n">
        <f aca="false">AC202-T202</f>
        <v>75.8656956818182</v>
      </c>
      <c r="AF202" s="40" t="n">
        <f aca="false">AC202/T202-1</f>
        <v>0.693570433154498</v>
      </c>
      <c r="AG202" s="37" t="str">
        <f aca="false">IF(AC202&lt;T202,"SIM","NÃO")</f>
        <v>NÃO</v>
      </c>
      <c r="AH202" s="37" t="n">
        <v>13</v>
      </c>
      <c r="AI202" s="37" t="n">
        <v>11</v>
      </c>
      <c r="AJ202" s="37" t="s">
        <v>327</v>
      </c>
    </row>
    <row r="203" customFormat="false" ht="15" hidden="false" customHeight="false" outlineLevel="0" collapsed="false">
      <c r="A203" s="37" t="n">
        <v>360697683</v>
      </c>
      <c r="B203" s="38" t="n">
        <v>46219.4931828704</v>
      </c>
      <c r="C203" s="37" t="s">
        <v>320</v>
      </c>
      <c r="D203" s="37" t="s">
        <v>531</v>
      </c>
      <c r="E203" s="37" t="n">
        <v>23020722</v>
      </c>
      <c r="F203" s="37" t="s">
        <v>139</v>
      </c>
      <c r="G203" s="37" t="s">
        <v>198</v>
      </c>
      <c r="H203" s="37" t="s">
        <v>169</v>
      </c>
      <c r="I203" s="37" t="n">
        <v>37.6</v>
      </c>
      <c r="J203" s="39" t="n">
        <v>429.99</v>
      </c>
      <c r="K203" s="37" t="s">
        <v>322</v>
      </c>
      <c r="L203" s="39" t="n">
        <v>91.92</v>
      </c>
      <c r="M203" s="39" t="n">
        <v>62.05</v>
      </c>
      <c r="N203" s="39" t="n">
        <f aca="false">J203*Resumo!$C$7</f>
        <v>0.85998</v>
      </c>
      <c r="O203" s="39" t="n">
        <f aca="false">J203*Resumo!$C$8</f>
        <v>0.85998</v>
      </c>
      <c r="P203" s="39" t="n">
        <f aca="false">Resumo!$C$10*CEILING(I203/100,1)</f>
        <v>1</v>
      </c>
      <c r="Q203" s="39" t="n">
        <f aca="false">Resumo!$C$9</f>
        <v>11.9</v>
      </c>
      <c r="R203" s="39" t="n">
        <f aca="false">SUM(M203:Q203)*Resumo!$C$11</f>
        <v>4.2168478</v>
      </c>
      <c r="S203" s="39" t="n">
        <f aca="false">SUM(M203:R203)</f>
        <v>80.8868078</v>
      </c>
      <c r="T203" s="39" t="n">
        <f aca="false">S203/(1-Resumo!$C$5)</f>
        <v>91.9168270454545</v>
      </c>
      <c r="U203" s="39" t="n">
        <v>93.97</v>
      </c>
      <c r="V203" s="39" t="n">
        <f aca="false">J203*Resumo!$B$6</f>
        <v>0.42999</v>
      </c>
      <c r="W203" s="39" t="n">
        <f aca="false">J203*Resumo!$B$7</f>
        <v>0.85998</v>
      </c>
      <c r="X203" s="39" t="n">
        <f aca="false">Resumo!$B$9</f>
        <v>1</v>
      </c>
      <c r="Y203" s="39" t="n">
        <f aca="false">Resumo!$B$10*CEILING(I203/100,1)</f>
        <v>4.5</v>
      </c>
      <c r="Z203" s="39" t="n">
        <f aca="false">Resumo!$B$12*CEILING(I203,1)</f>
        <v>2.28</v>
      </c>
      <c r="AA203" s="39" t="n">
        <f aca="false">Resumo!$B$13*CEILING(I203,1)</f>
        <v>17.1</v>
      </c>
      <c r="AB203" s="39" t="n">
        <f aca="false">SUM(U203:AA203)</f>
        <v>120.13997</v>
      </c>
      <c r="AC203" s="39" t="n">
        <f aca="false">AB203/(1-Resumo!$B$5)</f>
        <v>136.522693181818</v>
      </c>
      <c r="AD203" s="39" t="n">
        <f aca="false">(AB203-AA203)/(1-Resumo!$B$5)</f>
        <v>117.090875</v>
      </c>
      <c r="AE203" s="39" t="n">
        <f aca="false">AC203-T203</f>
        <v>44.6058661363637</v>
      </c>
      <c r="AF203" s="40" t="n">
        <f aca="false">AC203/T203-1</f>
        <v>0.485285094907652</v>
      </c>
      <c r="AG203" s="37" t="str">
        <f aca="false">IF(AC203&lt;T203,"SIM","NÃO")</f>
        <v>NÃO</v>
      </c>
      <c r="AH203" s="37" t="n">
        <v>8</v>
      </c>
      <c r="AI203" s="37" t="n">
        <v>5</v>
      </c>
      <c r="AJ203" s="37" t="s">
        <v>323</v>
      </c>
    </row>
    <row r="204" customFormat="false" ht="15" hidden="false" customHeight="false" outlineLevel="0" collapsed="false">
      <c r="A204" s="37" t="n">
        <v>360836809</v>
      </c>
      <c r="B204" s="38" t="n">
        <v>46219.6675231482</v>
      </c>
      <c r="C204" s="37" t="s">
        <v>320</v>
      </c>
      <c r="D204" s="37" t="s">
        <v>374</v>
      </c>
      <c r="E204" s="37" t="n">
        <v>20950072</v>
      </c>
      <c r="F204" s="37" t="s">
        <v>139</v>
      </c>
      <c r="G204" s="37" t="s">
        <v>198</v>
      </c>
      <c r="H204" s="37" t="s">
        <v>168</v>
      </c>
      <c r="I204" s="37" t="n">
        <v>31.9</v>
      </c>
      <c r="J204" s="39" t="n">
        <v>508.42</v>
      </c>
      <c r="K204" s="37" t="s">
        <v>322</v>
      </c>
      <c r="L204" s="39" t="n">
        <v>82.77</v>
      </c>
      <c r="M204" s="39" t="n">
        <v>54.1</v>
      </c>
      <c r="N204" s="39" t="n">
        <f aca="false">J204*Resumo!$C$7</f>
        <v>1.01684</v>
      </c>
      <c r="O204" s="39" t="n">
        <f aca="false">J204*Resumo!$C$8</f>
        <v>1.01684</v>
      </c>
      <c r="P204" s="39" t="n">
        <f aca="false">Resumo!$C$10*CEILING(I204/100,1)</f>
        <v>1</v>
      </c>
      <c r="Q204" s="39" t="n">
        <f aca="false">Resumo!$C$9</f>
        <v>11.9</v>
      </c>
      <c r="R204" s="39" t="n">
        <f aca="false">SUM(M204:Q204)*Resumo!$C$11</f>
        <v>3.7968524</v>
      </c>
      <c r="S204" s="39" t="n">
        <f aca="false">SUM(M204:R204)</f>
        <v>72.8305324</v>
      </c>
      <c r="T204" s="39" t="n">
        <f aca="false">S204/(1-Resumo!$C$5)</f>
        <v>82.7619686363637</v>
      </c>
      <c r="U204" s="39" t="n">
        <v>82.21</v>
      </c>
      <c r="V204" s="39" t="n">
        <f aca="false">J204*Resumo!$B$6</f>
        <v>0.50842</v>
      </c>
      <c r="W204" s="39" t="n">
        <f aca="false">J204*Resumo!$B$7</f>
        <v>1.01684</v>
      </c>
      <c r="X204" s="39" t="n">
        <f aca="false">Resumo!$B$9</f>
        <v>1</v>
      </c>
      <c r="Y204" s="39" t="n">
        <f aca="false">Resumo!$B$10*CEILING(I204/100,1)</f>
        <v>4.5</v>
      </c>
      <c r="Z204" s="39" t="n">
        <f aca="false">Resumo!$B$12*CEILING(I204,1)</f>
        <v>1.92</v>
      </c>
      <c r="AA204" s="39" t="n">
        <f aca="false">Resumo!$B$13*CEILING(I204,1)</f>
        <v>14.4</v>
      </c>
      <c r="AB204" s="39" t="n">
        <f aca="false">SUM(U204:AA204)</f>
        <v>105.55526</v>
      </c>
      <c r="AC204" s="39" t="n">
        <f aca="false">AB204/(1-Resumo!$B$5)</f>
        <v>119.949159090909</v>
      </c>
      <c r="AD204" s="39" t="n">
        <f aca="false">(AB204-AA204)/(1-Resumo!$B$5)</f>
        <v>103.585522727273</v>
      </c>
      <c r="AE204" s="39" t="n">
        <f aca="false">AC204-T204</f>
        <v>37.1871904545454</v>
      </c>
      <c r="AF204" s="40" t="n">
        <f aca="false">AC204/T204-1</f>
        <v>0.44932704075633</v>
      </c>
      <c r="AG204" s="37" t="str">
        <f aca="false">IF(AC204&lt;T204,"SIM","NÃO")</f>
        <v>NÃO</v>
      </c>
      <c r="AH204" s="37" t="n">
        <v>8</v>
      </c>
      <c r="AI204" s="37" t="n">
        <v>5</v>
      </c>
      <c r="AJ204" s="37" t="s">
        <v>323</v>
      </c>
    </row>
    <row r="205" customFormat="false" ht="15" hidden="false" customHeight="false" outlineLevel="0" collapsed="false">
      <c r="A205" s="37" t="n">
        <v>361081134</v>
      </c>
      <c r="B205" s="38" t="n">
        <v>46219.9879976852</v>
      </c>
      <c r="C205" s="37" t="s">
        <v>320</v>
      </c>
      <c r="D205" s="37" t="s">
        <v>532</v>
      </c>
      <c r="E205" s="37" t="n">
        <v>28540000</v>
      </c>
      <c r="F205" s="37" t="s">
        <v>261</v>
      </c>
      <c r="G205" s="37" t="s">
        <v>201</v>
      </c>
      <c r="H205" s="37" t="s">
        <v>168</v>
      </c>
      <c r="I205" s="37" t="n">
        <v>31.9</v>
      </c>
      <c r="J205" s="39" t="n">
        <v>508.42</v>
      </c>
      <c r="K205" s="37" t="s">
        <v>322</v>
      </c>
      <c r="L205" s="39" t="n">
        <v>109.63</v>
      </c>
      <c r="M205" s="39" t="n">
        <v>76.5</v>
      </c>
      <c r="N205" s="39" t="n">
        <f aca="false">J205*Resumo!$C$7</f>
        <v>1.01684</v>
      </c>
      <c r="O205" s="39" t="n">
        <f aca="false">J205*Resumo!$C$8</f>
        <v>1.01684</v>
      </c>
      <c r="P205" s="39" t="n">
        <f aca="false">Resumo!$C$10*CEILING(I205/100,1)</f>
        <v>1</v>
      </c>
      <c r="Q205" s="39" t="n">
        <f aca="false">Resumo!$C$9</f>
        <v>11.9</v>
      </c>
      <c r="R205" s="39" t="n">
        <f aca="false">SUM(M205:Q205)*Resumo!$C$11</f>
        <v>5.0288524</v>
      </c>
      <c r="S205" s="39" t="n">
        <f aca="false">SUM(M205:R205)</f>
        <v>96.4625324</v>
      </c>
      <c r="T205" s="39" t="n">
        <f aca="false">S205/(1-Resumo!$C$5)</f>
        <v>109.616514090909</v>
      </c>
      <c r="U205" s="39" t="n">
        <v>120.78</v>
      </c>
      <c r="V205" s="39" t="n">
        <f aca="false">J205*Resumo!$B$6</f>
        <v>0.50842</v>
      </c>
      <c r="W205" s="39" t="n">
        <f aca="false">J205*Resumo!$B$7</f>
        <v>1.01684</v>
      </c>
      <c r="X205" s="39" t="n">
        <f aca="false">Resumo!$B$9</f>
        <v>1</v>
      </c>
      <c r="Y205" s="39" t="n">
        <f aca="false">Resumo!$B$10*CEILING(I205/100,1)</f>
        <v>4.5</v>
      </c>
      <c r="Z205" s="39" t="n">
        <f aca="false">Resumo!$B$12*CEILING(I205,1)</f>
        <v>1.92</v>
      </c>
      <c r="AA205" s="39" t="n">
        <f aca="false">Resumo!$B$13*CEILING(I205,1)</f>
        <v>14.4</v>
      </c>
      <c r="AB205" s="39" t="n">
        <f aca="false">SUM(U205:AA205)</f>
        <v>144.12526</v>
      </c>
      <c r="AC205" s="39" t="n">
        <f aca="false">AB205/(1-Resumo!$B$5)</f>
        <v>163.778704545455</v>
      </c>
      <c r="AD205" s="39" t="n">
        <f aca="false">(AB205-AA205)/(1-Resumo!$B$5)</f>
        <v>147.415068181818</v>
      </c>
      <c r="AE205" s="39" t="n">
        <f aca="false">AC205-T205</f>
        <v>54.1621904545454</v>
      </c>
      <c r="AF205" s="40" t="n">
        <f aca="false">AC205/T205-1</f>
        <v>0.494106119901119</v>
      </c>
      <c r="AG205" s="37" t="str">
        <f aca="false">IF(AC205&lt;T205,"SIM","NÃO")</f>
        <v>NÃO</v>
      </c>
      <c r="AH205" s="37" t="n">
        <v>13</v>
      </c>
      <c r="AI205" s="37" t="n">
        <v>10</v>
      </c>
      <c r="AJ205" s="37" t="s">
        <v>327</v>
      </c>
    </row>
    <row r="206" customFormat="false" ht="15" hidden="false" customHeight="false" outlineLevel="0" collapsed="false">
      <c r="A206" s="37" t="n">
        <v>361177240</v>
      </c>
      <c r="B206" s="38" t="n">
        <v>46220.1729861111</v>
      </c>
      <c r="C206" s="37" t="s">
        <v>355</v>
      </c>
      <c r="D206" s="37" t="s">
        <v>533</v>
      </c>
      <c r="E206" s="37" t="n">
        <v>20250500</v>
      </c>
      <c r="F206" s="37" t="s">
        <v>139</v>
      </c>
      <c r="G206" s="37" t="s">
        <v>198</v>
      </c>
      <c r="H206" s="37" t="s">
        <v>172</v>
      </c>
      <c r="I206" s="37" t="n">
        <v>65.1</v>
      </c>
      <c r="J206" s="39" t="n">
        <v>756.79</v>
      </c>
      <c r="K206" s="37" t="s">
        <v>322</v>
      </c>
      <c r="L206" s="39" t="n">
        <v>124.83</v>
      </c>
      <c r="M206" s="39" t="n">
        <v>88.2</v>
      </c>
      <c r="N206" s="39" t="n">
        <f aca="false">J206*Resumo!$C$7</f>
        <v>1.51358</v>
      </c>
      <c r="O206" s="39" t="n">
        <f aca="false">J206*Resumo!$C$8</f>
        <v>1.51358</v>
      </c>
      <c r="P206" s="39" t="n">
        <f aca="false">Resumo!$C$10*CEILING(I206/100,1)</f>
        <v>1</v>
      </c>
      <c r="Q206" s="39" t="n">
        <f aca="false">Resumo!$C$9</f>
        <v>11.9</v>
      </c>
      <c r="R206" s="39" t="n">
        <f aca="false">SUM(M206:Q206)*Resumo!$C$11</f>
        <v>5.7269938</v>
      </c>
      <c r="S206" s="39" t="n">
        <f aca="false">SUM(M206:R206)</f>
        <v>109.8541538</v>
      </c>
      <c r="T206" s="39" t="n">
        <f aca="false">S206/(1-Resumo!$C$5)</f>
        <v>124.834265681818</v>
      </c>
      <c r="U206" s="39" t="n">
        <v>131.02</v>
      </c>
      <c r="V206" s="39" t="n">
        <f aca="false">J206*Resumo!$B$6</f>
        <v>0.75679</v>
      </c>
      <c r="W206" s="39" t="n">
        <f aca="false">J206*Resumo!$B$7</f>
        <v>1.51358</v>
      </c>
      <c r="X206" s="39" t="n">
        <f aca="false">Resumo!$B$9</f>
        <v>1</v>
      </c>
      <c r="Y206" s="39" t="n">
        <f aca="false">Resumo!$B$10*CEILING(I206/100,1)</f>
        <v>4.5</v>
      </c>
      <c r="Z206" s="39" t="n">
        <f aca="false">Resumo!$B$12*CEILING(I206,1)</f>
        <v>3.96</v>
      </c>
      <c r="AA206" s="39" t="n">
        <f aca="false">Resumo!$B$13*CEILING(I206,1)</f>
        <v>29.7</v>
      </c>
      <c r="AB206" s="39" t="n">
        <f aca="false">SUM(U206:AA206)</f>
        <v>172.45037</v>
      </c>
      <c r="AC206" s="39" t="n">
        <f aca="false">AB206/(1-Resumo!$B$5)</f>
        <v>195.966329545455</v>
      </c>
      <c r="AD206" s="39" t="n">
        <f aca="false">(AB206-AA206)/(1-Resumo!$B$5)</f>
        <v>162.216329545455</v>
      </c>
      <c r="AE206" s="39" t="n">
        <f aca="false">AC206-T206</f>
        <v>71.1320638636363</v>
      </c>
      <c r="AF206" s="40" t="n">
        <f aca="false">AC206/T206-1</f>
        <v>0.569812010149042</v>
      </c>
      <c r="AG206" s="37" t="str">
        <f aca="false">IF(AC206&lt;T206,"SIM","NÃO")</f>
        <v>NÃO</v>
      </c>
      <c r="AH206" s="37" t="n">
        <v>8</v>
      </c>
      <c r="AI206" s="37" t="n">
        <v>5</v>
      </c>
      <c r="AJ206" s="37" t="s">
        <v>323</v>
      </c>
    </row>
    <row r="207" customFormat="false" ht="15" hidden="false" customHeight="false" outlineLevel="0" collapsed="false">
      <c r="A207" s="37" t="n">
        <v>361284788</v>
      </c>
      <c r="B207" s="38" t="n">
        <v>46220.3886689815</v>
      </c>
      <c r="C207" s="37" t="s">
        <v>320</v>
      </c>
      <c r="D207" s="37" t="s">
        <v>534</v>
      </c>
      <c r="E207" s="37" t="n">
        <v>24370297</v>
      </c>
      <c r="F207" s="37" t="s">
        <v>143</v>
      </c>
      <c r="G207" s="37" t="s">
        <v>207</v>
      </c>
      <c r="H207" s="37" t="s">
        <v>171</v>
      </c>
      <c r="I207" s="37" t="n">
        <v>52.3</v>
      </c>
      <c r="J207" s="39" t="n">
        <v>619.99</v>
      </c>
      <c r="K207" s="37" t="s">
        <v>498</v>
      </c>
      <c r="L207" s="39" t="n">
        <v>131.25</v>
      </c>
      <c r="M207" s="39" t="n">
        <v>91.6</v>
      </c>
      <c r="N207" s="39" t="n">
        <f aca="false">J207*Resumo!$C$7</f>
        <v>1.23998</v>
      </c>
      <c r="O207" s="39" t="n">
        <f aca="false">J207*Resumo!$C$8</f>
        <v>1.23998</v>
      </c>
      <c r="P207" s="39" t="n">
        <f aca="false">Resumo!$C$10*CEILING(I207/100,1)</f>
        <v>1</v>
      </c>
      <c r="Q207" s="39" t="n">
        <f aca="false">Resumo!$C$9</f>
        <v>11.9</v>
      </c>
      <c r="R207" s="39" t="n">
        <f aca="false">SUM(M207:Q207)*Resumo!$C$11</f>
        <v>5.8838978</v>
      </c>
      <c r="S207" s="39" t="n">
        <f aca="false">SUM(M207:R207)</f>
        <v>112.8638578</v>
      </c>
      <c r="T207" s="39" t="n">
        <f aca="false">S207/(1-Resumo!$C$5)</f>
        <v>128.254383863636</v>
      </c>
      <c r="U207" s="39" t="n">
        <v>128.14</v>
      </c>
      <c r="V207" s="39" t="n">
        <f aca="false">J207*Resumo!$B$6</f>
        <v>0.61999</v>
      </c>
      <c r="W207" s="39" t="n">
        <f aca="false">J207*Resumo!$B$7</f>
        <v>1.23998</v>
      </c>
      <c r="X207" s="39" t="n">
        <f aca="false">Resumo!$B$9</f>
        <v>1</v>
      </c>
      <c r="Y207" s="39" t="n">
        <f aca="false">Resumo!$B$10*CEILING(I207/100,1)</f>
        <v>4.5</v>
      </c>
      <c r="Z207" s="39" t="n">
        <f aca="false">Resumo!$B$12*CEILING(I207,1)</f>
        <v>3.18</v>
      </c>
      <c r="AA207" s="39" t="n">
        <f aca="false">Resumo!$B$13*CEILING(I207,1)</f>
        <v>23.85</v>
      </c>
      <c r="AB207" s="39" t="n">
        <f aca="false">SUM(U207:AA207)</f>
        <v>162.52997</v>
      </c>
      <c r="AC207" s="39" t="n">
        <f aca="false">AB207/(1-Resumo!$B$5)</f>
        <v>184.693147727273</v>
      </c>
      <c r="AD207" s="39" t="n">
        <f aca="false">(AB207-AA207)/(1-Resumo!$B$5)</f>
        <v>157.590875</v>
      </c>
      <c r="AE207" s="39" t="n">
        <f aca="false">AC207-T207</f>
        <v>56.4387638636364</v>
      </c>
      <c r="AF207" s="40" t="n">
        <f aca="false">AC207/T207-1</f>
        <v>0.440053292241797</v>
      </c>
      <c r="AG207" s="37" t="str">
        <f aca="false">IF(AC207&lt;T207,"SIM","NÃO")</f>
        <v>NÃO</v>
      </c>
      <c r="AH207" s="37" t="n">
        <v>10</v>
      </c>
      <c r="AI207" s="37" t="n">
        <v>7</v>
      </c>
      <c r="AJ207" s="37" t="s">
        <v>323</v>
      </c>
    </row>
    <row r="208" customFormat="false" ht="15" hidden="false" customHeight="false" outlineLevel="0" collapsed="false">
      <c r="A208" s="37" t="n">
        <v>361292221</v>
      </c>
      <c r="B208" s="38" t="n">
        <v>46220.3975231482</v>
      </c>
      <c r="C208" s="37" t="s">
        <v>325</v>
      </c>
      <c r="D208" s="37" t="s">
        <v>535</v>
      </c>
      <c r="E208" s="37" t="n">
        <v>25040240</v>
      </c>
      <c r="F208" s="37" t="s">
        <v>141</v>
      </c>
      <c r="G208" s="37" t="s">
        <v>207</v>
      </c>
      <c r="H208" s="37" t="s">
        <v>171</v>
      </c>
      <c r="I208" s="37" t="n">
        <v>52.3</v>
      </c>
      <c r="J208" s="39" t="n">
        <v>650.86</v>
      </c>
      <c r="K208" s="37" t="s">
        <v>498</v>
      </c>
      <c r="L208" s="39" t="n">
        <v>131.4</v>
      </c>
      <c r="M208" s="39" t="n">
        <v>91.6</v>
      </c>
      <c r="N208" s="39" t="n">
        <f aca="false">J208*Resumo!$C$7</f>
        <v>1.30172</v>
      </c>
      <c r="O208" s="39" t="n">
        <f aca="false">J208*Resumo!$C$8</f>
        <v>1.30172</v>
      </c>
      <c r="P208" s="39" t="n">
        <f aca="false">Resumo!$C$10*CEILING(I208/100,1)</f>
        <v>1</v>
      </c>
      <c r="Q208" s="39" t="n">
        <f aca="false">Resumo!$C$9</f>
        <v>11.9</v>
      </c>
      <c r="R208" s="39" t="n">
        <f aca="false">SUM(M208:Q208)*Resumo!$C$11</f>
        <v>5.8906892</v>
      </c>
      <c r="S208" s="39" t="n">
        <f aca="false">SUM(M208:R208)</f>
        <v>112.9941292</v>
      </c>
      <c r="T208" s="39" t="n">
        <f aca="false">S208/(1-Resumo!$C$5)</f>
        <v>128.402419545455</v>
      </c>
      <c r="U208" s="39" t="n">
        <v>112.3</v>
      </c>
      <c r="V208" s="39" t="n">
        <f aca="false">J208*Resumo!$B$6</f>
        <v>0.65086</v>
      </c>
      <c r="W208" s="39" t="n">
        <f aca="false">J208*Resumo!$B$7</f>
        <v>1.30172</v>
      </c>
      <c r="X208" s="39" t="n">
        <f aca="false">Resumo!$B$9</f>
        <v>1</v>
      </c>
      <c r="Y208" s="39" t="n">
        <f aca="false">Resumo!$B$10*CEILING(I208/100,1)</f>
        <v>4.5</v>
      </c>
      <c r="Z208" s="39" t="n">
        <f aca="false">Resumo!$B$12*CEILING(I208,1)</f>
        <v>3.18</v>
      </c>
      <c r="AA208" s="39" t="n">
        <f aca="false">Resumo!$B$13*CEILING(I208,1)</f>
        <v>23.85</v>
      </c>
      <c r="AB208" s="39" t="n">
        <f aca="false">SUM(U208:AA208)</f>
        <v>146.78258</v>
      </c>
      <c r="AC208" s="39" t="n">
        <f aca="false">AB208/(1-Resumo!$B$5)</f>
        <v>166.798386363636</v>
      </c>
      <c r="AD208" s="39" t="n">
        <f aca="false">(AB208-AA208)/(1-Resumo!$B$5)</f>
        <v>139.696113636364</v>
      </c>
      <c r="AE208" s="39" t="n">
        <f aca="false">AC208-T208</f>
        <v>38.3959668181818</v>
      </c>
      <c r="AF208" s="40" t="n">
        <f aca="false">AC208/T208-1</f>
        <v>0.299028374652937</v>
      </c>
      <c r="AG208" s="37" t="str">
        <f aca="false">IF(AC208&lt;T208,"SIM","NÃO")</f>
        <v>NÃO</v>
      </c>
      <c r="AH208" s="37" t="n">
        <v>10</v>
      </c>
      <c r="AI208" s="37" t="n">
        <v>5</v>
      </c>
      <c r="AJ208" s="37" t="s">
        <v>323</v>
      </c>
    </row>
    <row r="209" customFormat="false" ht="15" hidden="false" customHeight="false" outlineLevel="0" collapsed="false">
      <c r="A209" s="37" t="n">
        <v>361378443</v>
      </c>
      <c r="B209" s="38" t="n">
        <v>46220.5039236111</v>
      </c>
      <c r="C209" s="37" t="s">
        <v>355</v>
      </c>
      <c r="D209" s="37" t="s">
        <v>536</v>
      </c>
      <c r="E209" s="37" t="n">
        <v>28623410</v>
      </c>
      <c r="F209" s="37" t="s">
        <v>157</v>
      </c>
      <c r="G209" s="37" t="s">
        <v>201</v>
      </c>
      <c r="H209" s="37" t="s">
        <v>169</v>
      </c>
      <c r="I209" s="37" t="n">
        <v>35.55</v>
      </c>
      <c r="J209" s="39" t="n">
        <v>499.99</v>
      </c>
      <c r="K209" s="37" t="s">
        <v>498</v>
      </c>
      <c r="L209" s="39" t="n">
        <v>122.58</v>
      </c>
      <c r="M209" s="39" t="n">
        <v>87.4</v>
      </c>
      <c r="N209" s="39" t="n">
        <f aca="false">J209*Resumo!$C$7</f>
        <v>0.99998</v>
      </c>
      <c r="O209" s="39" t="n">
        <f aca="false">J209*Resumo!$C$8</f>
        <v>0.99998</v>
      </c>
      <c r="P209" s="39" t="n">
        <f aca="false">Resumo!$C$10*CEILING(I209/100,1)</f>
        <v>1</v>
      </c>
      <c r="Q209" s="39" t="n">
        <f aca="false">Resumo!$C$9</f>
        <v>11.9</v>
      </c>
      <c r="R209" s="39" t="n">
        <f aca="false">SUM(M209:Q209)*Resumo!$C$11</f>
        <v>5.6264978</v>
      </c>
      <c r="S209" s="39" t="n">
        <f aca="false">SUM(M209:R209)</f>
        <v>107.9264578</v>
      </c>
      <c r="T209" s="39" t="n">
        <f aca="false">S209/(1-Resumo!$C$5)</f>
        <v>122.643702045455</v>
      </c>
      <c r="U209" s="39" t="n">
        <v>125.63</v>
      </c>
      <c r="V209" s="39" t="n">
        <f aca="false">J209*Resumo!$B$6</f>
        <v>0.49999</v>
      </c>
      <c r="W209" s="39" t="n">
        <f aca="false">J209*Resumo!$B$7</f>
        <v>0.99998</v>
      </c>
      <c r="X209" s="39" t="n">
        <f aca="false">Resumo!$B$9</f>
        <v>1</v>
      </c>
      <c r="Y209" s="39" t="n">
        <f aca="false">Resumo!$B$10*CEILING(I209/100,1)</f>
        <v>4.5</v>
      </c>
      <c r="Z209" s="39" t="n">
        <f aca="false">Resumo!$B$12*CEILING(I209,1)</f>
        <v>2.16</v>
      </c>
      <c r="AA209" s="39" t="n">
        <f aca="false">Resumo!$B$13*CEILING(I209,1)</f>
        <v>16.2</v>
      </c>
      <c r="AB209" s="39" t="n">
        <f aca="false">SUM(U209:AA209)</f>
        <v>150.98997</v>
      </c>
      <c r="AC209" s="39" t="n">
        <f aca="false">AB209/(1-Resumo!$B$5)</f>
        <v>171.579511363636</v>
      </c>
      <c r="AD209" s="39" t="n">
        <f aca="false">(AB209-AA209)/(1-Resumo!$B$5)</f>
        <v>153.170420454545</v>
      </c>
      <c r="AE209" s="39" t="n">
        <f aca="false">AC209-T209</f>
        <v>48.9358093181818</v>
      </c>
      <c r="AF209" s="40" t="n">
        <f aca="false">AC209/T209-1</f>
        <v>0.399007927044187</v>
      </c>
      <c r="AG209" s="37" t="str">
        <f aca="false">IF(AC209&lt;T209,"SIM","NÃO")</f>
        <v>NÃO</v>
      </c>
      <c r="AH209" s="37" t="n">
        <v>13</v>
      </c>
      <c r="AI209" s="37" t="n">
        <v>10</v>
      </c>
      <c r="AJ209" s="37" t="s">
        <v>323</v>
      </c>
    </row>
    <row r="210" customFormat="false" ht="15" hidden="false" customHeight="false" outlineLevel="0" collapsed="false">
      <c r="A210" s="37" t="n">
        <v>361388305</v>
      </c>
      <c r="B210" s="38" t="n">
        <v>46220.5094328704</v>
      </c>
      <c r="C210" s="37" t="s">
        <v>320</v>
      </c>
      <c r="D210" s="37" t="s">
        <v>537</v>
      </c>
      <c r="E210" s="37" t="n">
        <v>25560440</v>
      </c>
      <c r="F210" s="37" t="s">
        <v>147</v>
      </c>
      <c r="G210" s="37" t="s">
        <v>207</v>
      </c>
      <c r="H210" s="37" t="s">
        <v>168</v>
      </c>
      <c r="I210" s="37" t="n">
        <v>31.9</v>
      </c>
      <c r="J210" s="39" t="n">
        <v>508.42</v>
      </c>
      <c r="K210" s="37" t="s">
        <v>498</v>
      </c>
      <c r="L210" s="39" t="n">
        <v>102.2</v>
      </c>
      <c r="M210" s="39" t="n">
        <v>70</v>
      </c>
      <c r="N210" s="39" t="n">
        <f aca="false">J210*Resumo!$C$7</f>
        <v>1.01684</v>
      </c>
      <c r="O210" s="39" t="n">
        <f aca="false">J210*Resumo!$C$8</f>
        <v>1.01684</v>
      </c>
      <c r="P210" s="39" t="n">
        <f aca="false">Resumo!$C$10*CEILING(I210/100,1)</f>
        <v>1</v>
      </c>
      <c r="Q210" s="39" t="n">
        <f aca="false">Resumo!$C$9</f>
        <v>11.9</v>
      </c>
      <c r="R210" s="39" t="n">
        <f aca="false">SUM(M210:Q210)*Resumo!$C$11</f>
        <v>4.6713524</v>
      </c>
      <c r="S210" s="39" t="n">
        <f aca="false">SUM(M210:R210)</f>
        <v>89.6050324</v>
      </c>
      <c r="T210" s="39" t="n">
        <f aca="false">S210/(1-Resumo!$C$5)</f>
        <v>101.823900454545</v>
      </c>
      <c r="U210" s="39" t="n">
        <v>82.21</v>
      </c>
      <c r="V210" s="39" t="n">
        <f aca="false">J210*Resumo!$B$6</f>
        <v>0.50842</v>
      </c>
      <c r="W210" s="39" t="n">
        <f aca="false">J210*Resumo!$B$7</f>
        <v>1.01684</v>
      </c>
      <c r="X210" s="39" t="n">
        <f aca="false">Resumo!$B$9</f>
        <v>1</v>
      </c>
      <c r="Y210" s="39" t="n">
        <f aca="false">Resumo!$B$10*CEILING(I210/100,1)</f>
        <v>4.5</v>
      </c>
      <c r="Z210" s="39" t="n">
        <f aca="false">Resumo!$B$12*CEILING(I210,1)</f>
        <v>1.92</v>
      </c>
      <c r="AA210" s="39" t="n">
        <f aca="false">Resumo!$B$13*CEILING(I210,1)</f>
        <v>14.4</v>
      </c>
      <c r="AB210" s="39" t="n">
        <f aca="false">SUM(U210:AA210)</f>
        <v>105.55526</v>
      </c>
      <c r="AC210" s="39" t="n">
        <f aca="false">AB210/(1-Resumo!$B$5)</f>
        <v>119.949159090909</v>
      </c>
      <c r="AD210" s="39" t="n">
        <f aca="false">(AB210-AA210)/(1-Resumo!$B$5)</f>
        <v>103.585522727273</v>
      </c>
      <c r="AE210" s="39" t="n">
        <f aca="false">AC210-T210</f>
        <v>18.1252586363636</v>
      </c>
      <c r="AF210" s="40" t="n">
        <f aca="false">AC210/T210-1</f>
        <v>0.178005935300571</v>
      </c>
      <c r="AG210" s="37" t="str">
        <f aca="false">IF(AC210&lt;T210,"SIM","NÃO")</f>
        <v>NÃO</v>
      </c>
      <c r="AH210" s="37" t="n">
        <v>10</v>
      </c>
      <c r="AI210" s="37" t="n">
        <v>5</v>
      </c>
      <c r="AJ210" s="37" t="s">
        <v>323</v>
      </c>
    </row>
    <row r="211" customFormat="false" ht="15" hidden="false" customHeight="false" outlineLevel="0" collapsed="false">
      <c r="A211" s="37" t="n">
        <v>361396382</v>
      </c>
      <c r="B211" s="38" t="n">
        <v>46220.5182986111</v>
      </c>
      <c r="C211" s="37" t="s">
        <v>320</v>
      </c>
      <c r="D211" s="37" t="s">
        <v>538</v>
      </c>
      <c r="E211" s="37" t="n">
        <v>22725441</v>
      </c>
      <c r="F211" s="37" t="s">
        <v>139</v>
      </c>
      <c r="G211" s="37" t="s">
        <v>198</v>
      </c>
      <c r="H211" s="37" t="s">
        <v>168</v>
      </c>
      <c r="I211" s="37" t="n">
        <v>27.4</v>
      </c>
      <c r="J211" s="39" t="n">
        <v>359.99</v>
      </c>
      <c r="K211" s="37" t="s">
        <v>322</v>
      </c>
      <c r="L211" s="39" t="n">
        <v>82.05</v>
      </c>
      <c r="M211" s="39" t="n">
        <v>54.1</v>
      </c>
      <c r="N211" s="39" t="n">
        <f aca="false">J211*Resumo!$C$7</f>
        <v>0.71998</v>
      </c>
      <c r="O211" s="39" t="n">
        <f aca="false">J211*Resumo!$C$8</f>
        <v>0.71998</v>
      </c>
      <c r="P211" s="39" t="n">
        <f aca="false">Resumo!$C$10*CEILING(I211/100,1)</f>
        <v>1</v>
      </c>
      <c r="Q211" s="39" t="n">
        <f aca="false">Resumo!$C$9</f>
        <v>11.9</v>
      </c>
      <c r="R211" s="39" t="n">
        <f aca="false">SUM(M211:Q211)*Resumo!$C$11</f>
        <v>3.7641978</v>
      </c>
      <c r="S211" s="39" t="n">
        <f aca="false">SUM(M211:R211)</f>
        <v>72.2041578</v>
      </c>
      <c r="T211" s="39" t="n">
        <f aca="false">S211/(1-Resumo!$C$5)</f>
        <v>82.0501793181818</v>
      </c>
      <c r="U211" s="39" t="n">
        <v>82.21</v>
      </c>
      <c r="V211" s="39" t="n">
        <f aca="false">J211*Resumo!$B$6</f>
        <v>0.35999</v>
      </c>
      <c r="W211" s="39" t="n">
        <f aca="false">J211*Resumo!$B$7</f>
        <v>0.71998</v>
      </c>
      <c r="X211" s="39" t="n">
        <f aca="false">Resumo!$B$9</f>
        <v>1</v>
      </c>
      <c r="Y211" s="39" t="n">
        <f aca="false">Resumo!$B$10*CEILING(I211/100,1)</f>
        <v>4.5</v>
      </c>
      <c r="Z211" s="39" t="n">
        <f aca="false">Resumo!$B$12*CEILING(I211,1)</f>
        <v>1.68</v>
      </c>
      <c r="AA211" s="39" t="n">
        <f aca="false">Resumo!$B$13*CEILING(I211,1)</f>
        <v>12.6</v>
      </c>
      <c r="AB211" s="39" t="n">
        <f aca="false">SUM(U211:AA211)</f>
        <v>103.06997</v>
      </c>
      <c r="AC211" s="39" t="n">
        <f aca="false">AB211/(1-Resumo!$B$5)</f>
        <v>117.124965909091</v>
      </c>
      <c r="AD211" s="39" t="n">
        <f aca="false">(AB211-AA211)/(1-Resumo!$B$5)</f>
        <v>102.806784090909</v>
      </c>
      <c r="AE211" s="39" t="n">
        <f aca="false">AC211-T211</f>
        <v>35.0747865909091</v>
      </c>
      <c r="AF211" s="40" t="n">
        <f aca="false">AC211/T211-1</f>
        <v>0.427479706715726</v>
      </c>
      <c r="AG211" s="37" t="str">
        <f aca="false">IF(AC211&lt;T211,"SIM","NÃO")</f>
        <v>NÃO</v>
      </c>
      <c r="AH211" s="37" t="n">
        <v>8</v>
      </c>
      <c r="AI211" s="37" t="n">
        <v>5</v>
      </c>
      <c r="AJ211" s="37" t="s">
        <v>323</v>
      </c>
    </row>
    <row r="212" customFormat="false" ht="15" hidden="false" customHeight="false" outlineLevel="0" collapsed="false">
      <c r="A212" s="37" t="n">
        <v>361410420</v>
      </c>
      <c r="B212" s="38" t="n">
        <v>46220.5322337963</v>
      </c>
      <c r="C212" s="37" t="s">
        <v>320</v>
      </c>
      <c r="D212" s="37" t="s">
        <v>539</v>
      </c>
      <c r="E212" s="37" t="n">
        <v>23587610</v>
      </c>
      <c r="F212" s="37" t="s">
        <v>139</v>
      </c>
      <c r="G212" s="37" t="s">
        <v>198</v>
      </c>
      <c r="H212" s="37" t="s">
        <v>167</v>
      </c>
      <c r="I212" s="37" t="n">
        <v>19.5</v>
      </c>
      <c r="J212" s="39" t="n">
        <v>389.99</v>
      </c>
      <c r="K212" s="37" t="s">
        <v>498</v>
      </c>
      <c r="L212" s="39" t="n">
        <v>66.66</v>
      </c>
      <c r="M212" s="39" t="n">
        <v>39.83</v>
      </c>
      <c r="N212" s="39" t="n">
        <f aca="false">J212*Resumo!$C$7</f>
        <v>0.77998</v>
      </c>
      <c r="O212" s="39" t="n">
        <f aca="false">J212*Resumo!$C$8</f>
        <v>0.77998</v>
      </c>
      <c r="P212" s="39" t="n">
        <f aca="false">Resumo!$C$10*CEILING(I212/100,1)</f>
        <v>1</v>
      </c>
      <c r="Q212" s="39" t="n">
        <f aca="false">Resumo!$C$9</f>
        <v>11.9</v>
      </c>
      <c r="R212" s="39" t="n">
        <f aca="false">SUM(M212:Q212)*Resumo!$C$11</f>
        <v>2.9859478</v>
      </c>
      <c r="S212" s="39" t="n">
        <f aca="false">SUM(M212:R212)</f>
        <v>57.2759078</v>
      </c>
      <c r="T212" s="39" t="n">
        <f aca="false">S212/(1-Resumo!$C$5)</f>
        <v>65.0862588636364</v>
      </c>
      <c r="U212" s="39" t="n">
        <v>46.98</v>
      </c>
      <c r="V212" s="39" t="n">
        <f aca="false">J212*Resumo!$B$6</f>
        <v>0.38999</v>
      </c>
      <c r="W212" s="39" t="n">
        <f aca="false">J212*Resumo!$B$7</f>
        <v>0.77998</v>
      </c>
      <c r="X212" s="39" t="n">
        <f aca="false">Resumo!$B$9</f>
        <v>1</v>
      </c>
      <c r="Y212" s="39" t="n">
        <f aca="false">Resumo!$B$10*CEILING(I212/100,1)</f>
        <v>4.5</v>
      </c>
      <c r="Z212" s="39" t="n">
        <f aca="false">Resumo!$B$12*CEILING(I212,1)</f>
        <v>1.2</v>
      </c>
      <c r="AA212" s="39" t="n">
        <f aca="false">Resumo!$B$13*CEILING(I212,1)</f>
        <v>9</v>
      </c>
      <c r="AB212" s="39" t="n">
        <f aca="false">SUM(U212:AA212)</f>
        <v>63.84997</v>
      </c>
      <c r="AC212" s="39" t="n">
        <f aca="false">AB212/(1-Resumo!$B$5)</f>
        <v>72.5567840909091</v>
      </c>
      <c r="AD212" s="39" t="n">
        <f aca="false">(AB212-AA212)/(1-Resumo!$B$5)</f>
        <v>62.3295113636364</v>
      </c>
      <c r="AE212" s="39" t="n">
        <f aca="false">AC212-T212</f>
        <v>7.47052522727273</v>
      </c>
      <c r="AF212" s="40" t="n">
        <f aca="false">AC212/T212-1</f>
        <v>0.114778839000785</v>
      </c>
      <c r="AG212" s="37" t="str">
        <f aca="false">IF(AC212&lt;T212,"SIM","NÃO")</f>
        <v>NÃO</v>
      </c>
      <c r="AH212" s="37" t="n">
        <v>8</v>
      </c>
      <c r="AI212" s="37" t="n">
        <v>5</v>
      </c>
      <c r="AJ212" s="37" t="s">
        <v>323</v>
      </c>
    </row>
    <row r="213" customFormat="false" ht="15" hidden="false" customHeight="false" outlineLevel="0" collapsed="false">
      <c r="A213" s="37" t="n">
        <v>361437400</v>
      </c>
      <c r="B213" s="38" t="n">
        <v>46220.5672916667</v>
      </c>
      <c r="C213" s="37" t="s">
        <v>320</v>
      </c>
      <c r="D213" s="37" t="s">
        <v>540</v>
      </c>
      <c r="E213" s="37" t="n">
        <v>25985010</v>
      </c>
      <c r="F213" s="37" t="s">
        <v>221</v>
      </c>
      <c r="G213" s="37" t="s">
        <v>201</v>
      </c>
      <c r="H213" s="37" t="s">
        <v>168</v>
      </c>
      <c r="I213" s="37" t="n">
        <v>20.9</v>
      </c>
      <c r="J213" s="39" t="n">
        <v>529.99</v>
      </c>
      <c r="K213" s="37" t="s">
        <v>498</v>
      </c>
      <c r="L213" s="39" t="n">
        <v>104.43</v>
      </c>
      <c r="M213" s="39" t="n">
        <v>76.5</v>
      </c>
      <c r="N213" s="39" t="n">
        <f aca="false">J213*Resumo!$C$7</f>
        <v>1.05998</v>
      </c>
      <c r="O213" s="39" t="n">
        <f aca="false">J213*Resumo!$C$8</f>
        <v>1.05998</v>
      </c>
      <c r="P213" s="39" t="n">
        <f aca="false">Resumo!$C$10*CEILING(I213/100,1)</f>
        <v>1</v>
      </c>
      <c r="Q213" s="39" t="n">
        <f aca="false">Resumo!$C$9</f>
        <v>11.9</v>
      </c>
      <c r="R213" s="39" t="n">
        <f aca="false">SUM(M213:Q213)*Resumo!$C$11</f>
        <v>5.0335978</v>
      </c>
      <c r="S213" s="39" t="n">
        <f aca="false">SUM(M213:R213)</f>
        <v>96.5535578</v>
      </c>
      <c r="T213" s="39" t="n">
        <f aca="false">S213/(1-Resumo!$C$5)</f>
        <v>109.719952045455</v>
      </c>
      <c r="U213" s="39" t="n">
        <v>120.78</v>
      </c>
      <c r="V213" s="39" t="n">
        <f aca="false">J213*Resumo!$B$6</f>
        <v>0.52999</v>
      </c>
      <c r="W213" s="39" t="n">
        <f aca="false">J213*Resumo!$B$7</f>
        <v>1.05998</v>
      </c>
      <c r="X213" s="39" t="n">
        <f aca="false">Resumo!$B$9</f>
        <v>1</v>
      </c>
      <c r="Y213" s="39" t="n">
        <f aca="false">Resumo!$B$10*CEILING(I213/100,1)</f>
        <v>4.5</v>
      </c>
      <c r="Z213" s="39" t="n">
        <f aca="false">Resumo!$B$12*CEILING(I213,1)</f>
        <v>1.26</v>
      </c>
      <c r="AA213" s="39" t="n">
        <f aca="false">Resumo!$B$13*CEILING(I213,1)</f>
        <v>9.45</v>
      </c>
      <c r="AB213" s="39" t="n">
        <f aca="false">SUM(U213:AA213)</f>
        <v>138.57997</v>
      </c>
      <c r="AC213" s="39" t="n">
        <f aca="false">AB213/(1-Resumo!$B$5)</f>
        <v>157.477238636364</v>
      </c>
      <c r="AD213" s="39" t="n">
        <f aca="false">(AB213-AA213)/(1-Resumo!$B$5)</f>
        <v>146.738602272727</v>
      </c>
      <c r="AE213" s="39" t="n">
        <f aca="false">AC213-T213</f>
        <v>47.7572865909091</v>
      </c>
      <c r="AF213" s="40" t="n">
        <f aca="false">AC213/T213-1</f>
        <v>0.435265288587843</v>
      </c>
      <c r="AG213" s="37" t="str">
        <f aca="false">IF(AC213&lt;T213,"SIM","NÃO")</f>
        <v>NÃO</v>
      </c>
      <c r="AH213" s="37" t="n">
        <v>13</v>
      </c>
      <c r="AI213" s="37" t="n">
        <v>10</v>
      </c>
      <c r="AJ213" s="37" t="s">
        <v>327</v>
      </c>
    </row>
    <row r="214" customFormat="false" ht="15" hidden="false" customHeight="false" outlineLevel="0" collapsed="false">
      <c r="A214" s="37" t="n">
        <v>361447086</v>
      </c>
      <c r="B214" s="38" t="n">
        <v>46220.5869791667</v>
      </c>
      <c r="C214" s="37" t="s">
        <v>320</v>
      </c>
      <c r="D214" s="37" t="s">
        <v>541</v>
      </c>
      <c r="E214" s="37" t="n">
        <v>23028050</v>
      </c>
      <c r="F214" s="37" t="s">
        <v>139</v>
      </c>
      <c r="G214" s="37" t="s">
        <v>198</v>
      </c>
      <c r="H214" s="37" t="s">
        <v>170</v>
      </c>
      <c r="I214" s="37" t="n">
        <v>48.6</v>
      </c>
      <c r="J214" s="39" t="n">
        <v>699.99</v>
      </c>
      <c r="K214" s="37" t="s">
        <v>498</v>
      </c>
      <c r="L214" s="39" t="n">
        <v>105.84</v>
      </c>
      <c r="M214" s="39" t="n">
        <v>71</v>
      </c>
      <c r="N214" s="39" t="n">
        <f aca="false">J214*Resumo!$C$7</f>
        <v>1.39998</v>
      </c>
      <c r="O214" s="39" t="n">
        <f aca="false">J214*Resumo!$C$8</f>
        <v>1.39998</v>
      </c>
      <c r="P214" s="39" t="n">
        <f aca="false">Resumo!$C$10*CEILING(I214/100,1)</f>
        <v>1</v>
      </c>
      <c r="Q214" s="39" t="n">
        <f aca="false">Resumo!$C$9</f>
        <v>11.9</v>
      </c>
      <c r="R214" s="39" t="n">
        <f aca="false">SUM(M214:Q214)*Resumo!$C$11</f>
        <v>4.7684978</v>
      </c>
      <c r="S214" s="39" t="n">
        <f aca="false">SUM(M214:R214)</f>
        <v>91.4684578</v>
      </c>
      <c r="T214" s="39" t="n">
        <f aca="false">S214/(1-Resumo!$C$5)</f>
        <v>103.941429318182</v>
      </c>
      <c r="U214" s="39" t="n">
        <v>93.97</v>
      </c>
      <c r="V214" s="39" t="n">
        <f aca="false">J214*Resumo!$B$6</f>
        <v>0.69999</v>
      </c>
      <c r="W214" s="39" t="n">
        <f aca="false">J214*Resumo!$B$7</f>
        <v>1.39998</v>
      </c>
      <c r="X214" s="39" t="n">
        <f aca="false">Resumo!$B$9</f>
        <v>1</v>
      </c>
      <c r="Y214" s="39" t="n">
        <f aca="false">Resumo!$B$10*CEILING(I214/100,1)</f>
        <v>4.5</v>
      </c>
      <c r="Z214" s="39" t="n">
        <f aca="false">Resumo!$B$12*CEILING(I214,1)</f>
        <v>2.94</v>
      </c>
      <c r="AA214" s="39" t="n">
        <f aca="false">Resumo!$B$13*CEILING(I214,1)</f>
        <v>22.05</v>
      </c>
      <c r="AB214" s="39" t="n">
        <f aca="false">SUM(U214:AA214)</f>
        <v>126.55997</v>
      </c>
      <c r="AC214" s="39" t="n">
        <f aca="false">AB214/(1-Resumo!$B$5)</f>
        <v>143.818147727273</v>
      </c>
      <c r="AD214" s="39" t="n">
        <f aca="false">(AB214-AA214)/(1-Resumo!$B$5)</f>
        <v>118.761329545455</v>
      </c>
      <c r="AE214" s="39" t="n">
        <f aca="false">AC214-T214</f>
        <v>39.8767184090909</v>
      </c>
      <c r="AF214" s="40" t="n">
        <f aca="false">AC214/T214-1</f>
        <v>0.383646046342327</v>
      </c>
      <c r="AG214" s="37" t="str">
        <f aca="false">IF(AC214&lt;T214,"SIM","NÃO")</f>
        <v>NÃO</v>
      </c>
      <c r="AH214" s="37" t="n">
        <v>8</v>
      </c>
      <c r="AI214" s="37" t="n">
        <v>5</v>
      </c>
      <c r="AJ214" s="37" t="s">
        <v>323</v>
      </c>
    </row>
    <row r="215" customFormat="false" ht="15" hidden="false" customHeight="false" outlineLevel="0" collapsed="false">
      <c r="A215" s="37" t="n">
        <v>361453768</v>
      </c>
      <c r="B215" s="38" t="n">
        <v>46220.6055439815</v>
      </c>
      <c r="C215" s="37" t="s">
        <v>325</v>
      </c>
      <c r="D215" s="37" t="s">
        <v>542</v>
      </c>
      <c r="E215" s="37" t="n">
        <v>27113320</v>
      </c>
      <c r="F215" s="37" t="s">
        <v>230</v>
      </c>
      <c r="G215" s="37" t="s">
        <v>201</v>
      </c>
      <c r="H215" s="37" t="s">
        <v>168</v>
      </c>
      <c r="I215" s="37" t="n">
        <v>34.4</v>
      </c>
      <c r="J215" s="39" t="n">
        <v>427.18</v>
      </c>
      <c r="K215" s="37" t="s">
        <v>498</v>
      </c>
      <c r="L215" s="39" t="n">
        <v>111.11</v>
      </c>
      <c r="M215" s="39" t="n">
        <v>76.5</v>
      </c>
      <c r="N215" s="39" t="n">
        <f aca="false">J215*Resumo!$C$7</f>
        <v>0.85436</v>
      </c>
      <c r="O215" s="39" t="n">
        <f aca="false">J215*Resumo!$C$8</f>
        <v>0.85436</v>
      </c>
      <c r="P215" s="39" t="n">
        <f aca="false">Resumo!$C$10*CEILING(I215/100,1)</f>
        <v>1</v>
      </c>
      <c r="Q215" s="39" t="n">
        <f aca="false">Resumo!$C$9</f>
        <v>11.9</v>
      </c>
      <c r="R215" s="39" t="n">
        <f aca="false">SUM(M215:Q215)*Resumo!$C$11</f>
        <v>5.0109796</v>
      </c>
      <c r="S215" s="39" t="n">
        <f aca="false">SUM(M215:R215)</f>
        <v>96.1196996</v>
      </c>
      <c r="T215" s="39" t="n">
        <f aca="false">S215/(1-Resumo!$C$5)</f>
        <v>109.226931363636</v>
      </c>
      <c r="U215" s="39" t="n">
        <v>108.83</v>
      </c>
      <c r="V215" s="39" t="n">
        <f aca="false">J215*Resumo!$B$6</f>
        <v>0.42718</v>
      </c>
      <c r="W215" s="39" t="n">
        <f aca="false">J215*Resumo!$B$7</f>
        <v>0.85436</v>
      </c>
      <c r="X215" s="39" t="n">
        <f aca="false">Resumo!$B$9</f>
        <v>1</v>
      </c>
      <c r="Y215" s="39" t="n">
        <f aca="false">Resumo!$B$10*CEILING(I215/100,1)</f>
        <v>4.5</v>
      </c>
      <c r="Z215" s="39" t="n">
        <f aca="false">Resumo!$B$12*CEILING(I215,1)</f>
        <v>2.1</v>
      </c>
      <c r="AA215" s="39" t="n">
        <f aca="false">Resumo!$B$13*CEILING(I215,1)</f>
        <v>15.75</v>
      </c>
      <c r="AB215" s="39" t="n">
        <f aca="false">SUM(U215:AA215)</f>
        <v>133.46154</v>
      </c>
      <c r="AC215" s="39" t="n">
        <f aca="false">AB215/(1-Resumo!$B$5)</f>
        <v>151.660840909091</v>
      </c>
      <c r="AD215" s="39" t="n">
        <f aca="false">(AB215-AA215)/(1-Resumo!$B$5)</f>
        <v>133.763113636364</v>
      </c>
      <c r="AE215" s="39" t="n">
        <f aca="false">AC215-T215</f>
        <v>42.4339095454546</v>
      </c>
      <c r="AF215" s="40" t="n">
        <f aca="false">AC215/T215-1</f>
        <v>0.388493103447028</v>
      </c>
      <c r="AG215" s="37" t="str">
        <f aca="false">IF(AC215&lt;T215,"SIM","NÃO")</f>
        <v>NÃO</v>
      </c>
      <c r="AH215" s="37" t="n">
        <v>13</v>
      </c>
      <c r="AI215" s="37" t="n">
        <v>10</v>
      </c>
      <c r="AJ215" s="37" t="s">
        <v>327</v>
      </c>
    </row>
    <row r="216" customFormat="false" ht="15" hidden="false" customHeight="false" outlineLevel="0" collapsed="false">
      <c r="A216" s="37" t="n">
        <v>361465007</v>
      </c>
      <c r="B216" s="38" t="n">
        <v>46220.6375115741</v>
      </c>
      <c r="C216" s="37" t="s">
        <v>320</v>
      </c>
      <c r="D216" s="37" t="s">
        <v>543</v>
      </c>
      <c r="E216" s="37" t="n">
        <v>21630310</v>
      </c>
      <c r="F216" s="37" t="s">
        <v>139</v>
      </c>
      <c r="G216" s="37" t="s">
        <v>198</v>
      </c>
      <c r="H216" s="37" t="s">
        <v>172</v>
      </c>
      <c r="I216" s="37" t="n">
        <v>66.8</v>
      </c>
      <c r="J216" s="39" t="n">
        <v>639.99</v>
      </c>
      <c r="K216" s="37" t="s">
        <v>322</v>
      </c>
      <c r="L216" s="39" t="n">
        <v>124.27</v>
      </c>
      <c r="M216" s="39" t="n">
        <v>88.2</v>
      </c>
      <c r="N216" s="39" t="n">
        <f aca="false">J216*Resumo!$C$7</f>
        <v>1.27998</v>
      </c>
      <c r="O216" s="39" t="n">
        <f aca="false">J216*Resumo!$C$8</f>
        <v>1.27998</v>
      </c>
      <c r="P216" s="39" t="n">
        <f aca="false">Resumo!$C$10*CEILING(I216/100,1)</f>
        <v>1</v>
      </c>
      <c r="Q216" s="39" t="n">
        <f aca="false">Resumo!$C$9</f>
        <v>11.9</v>
      </c>
      <c r="R216" s="39" t="n">
        <f aca="false">SUM(M216:Q216)*Resumo!$C$11</f>
        <v>5.7012978</v>
      </c>
      <c r="S216" s="39" t="n">
        <f aca="false">SUM(M216:R216)</f>
        <v>109.3612578</v>
      </c>
      <c r="T216" s="39" t="n">
        <f aca="false">S216/(1-Resumo!$C$5)</f>
        <v>124.274156590909</v>
      </c>
      <c r="U216" s="39" t="n">
        <v>131.02</v>
      </c>
      <c r="V216" s="39" t="n">
        <f aca="false">J216*Resumo!$B$6</f>
        <v>0.63999</v>
      </c>
      <c r="W216" s="39" t="n">
        <f aca="false">J216*Resumo!$B$7</f>
        <v>1.27998</v>
      </c>
      <c r="X216" s="39" t="n">
        <f aca="false">Resumo!$B$9</f>
        <v>1</v>
      </c>
      <c r="Y216" s="39" t="n">
        <f aca="false">Resumo!$B$10*CEILING(I216/100,1)</f>
        <v>4.5</v>
      </c>
      <c r="Z216" s="39" t="n">
        <f aca="false">Resumo!$B$12*CEILING(I216,1)</f>
        <v>4.02</v>
      </c>
      <c r="AA216" s="39" t="n">
        <f aca="false">Resumo!$B$13*CEILING(I216,1)</f>
        <v>30.15</v>
      </c>
      <c r="AB216" s="39" t="n">
        <f aca="false">SUM(U216:AA216)</f>
        <v>172.60997</v>
      </c>
      <c r="AC216" s="39" t="n">
        <f aca="false">AB216/(1-Resumo!$B$5)</f>
        <v>196.147693181818</v>
      </c>
      <c r="AD216" s="39" t="n">
        <f aca="false">(AB216-AA216)/(1-Resumo!$B$5)</f>
        <v>161.886329545455</v>
      </c>
      <c r="AE216" s="39" t="n">
        <f aca="false">AC216-T216</f>
        <v>71.8735365909091</v>
      </c>
      <c r="AF216" s="40" t="n">
        <f aca="false">AC216/T216-1</f>
        <v>0.578346605300291</v>
      </c>
      <c r="AG216" s="37" t="str">
        <f aca="false">IF(AC216&lt;T216,"SIM","NÃO")</f>
        <v>NÃO</v>
      </c>
      <c r="AH216" s="37" t="n">
        <v>8</v>
      </c>
      <c r="AI216" s="37" t="n">
        <v>5</v>
      </c>
      <c r="AJ216" s="37" t="s">
        <v>323</v>
      </c>
    </row>
    <row r="217" customFormat="false" ht="15" hidden="false" customHeight="false" outlineLevel="0" collapsed="false">
      <c r="A217" s="37" t="n">
        <v>361470429</v>
      </c>
      <c r="B217" s="38" t="n">
        <v>46220.6539583333</v>
      </c>
      <c r="C217" s="37" t="s">
        <v>325</v>
      </c>
      <c r="D217" s="37" t="s">
        <v>544</v>
      </c>
      <c r="E217" s="37" t="n">
        <v>22451265</v>
      </c>
      <c r="F217" s="37" t="s">
        <v>139</v>
      </c>
      <c r="G217" s="37" t="s">
        <v>198</v>
      </c>
      <c r="H217" s="37" t="s">
        <v>168</v>
      </c>
      <c r="I217" s="37" t="n">
        <v>27.5</v>
      </c>
      <c r="J217" s="39" t="n">
        <v>359.98</v>
      </c>
      <c r="K217" s="37" t="s">
        <v>498</v>
      </c>
      <c r="L217" s="39" t="n">
        <v>80.49</v>
      </c>
      <c r="M217" s="39" t="n">
        <v>54.1</v>
      </c>
      <c r="N217" s="39" t="n">
        <f aca="false">J217*Resumo!$C$7</f>
        <v>0.71996</v>
      </c>
      <c r="O217" s="39" t="n">
        <f aca="false">J217*Resumo!$C$8</f>
        <v>0.71996</v>
      </c>
      <c r="P217" s="39" t="n">
        <f aca="false">Resumo!$C$10*CEILING(I217/100,1)</f>
        <v>1</v>
      </c>
      <c r="Q217" s="39" t="n">
        <f aca="false">Resumo!$C$9</f>
        <v>11.9</v>
      </c>
      <c r="R217" s="39" t="n">
        <f aca="false">SUM(M217:Q217)*Resumo!$C$11</f>
        <v>3.7641956</v>
      </c>
      <c r="S217" s="39" t="n">
        <f aca="false">SUM(M217:R217)</f>
        <v>72.2041156</v>
      </c>
      <c r="T217" s="39" t="n">
        <f aca="false">S217/(1-Resumo!$C$5)</f>
        <v>82.0501313636364</v>
      </c>
      <c r="U217" s="39" t="n">
        <v>82.21</v>
      </c>
      <c r="V217" s="39" t="n">
        <f aca="false">J217*Resumo!$B$6</f>
        <v>0.35998</v>
      </c>
      <c r="W217" s="39" t="n">
        <f aca="false">J217*Resumo!$B$7</f>
        <v>0.71996</v>
      </c>
      <c r="X217" s="39" t="n">
        <f aca="false">Resumo!$B$9</f>
        <v>1</v>
      </c>
      <c r="Y217" s="39" t="n">
        <f aca="false">Resumo!$B$10*CEILING(I217/100,1)</f>
        <v>4.5</v>
      </c>
      <c r="Z217" s="39" t="n">
        <f aca="false">Resumo!$B$12*CEILING(I217,1)</f>
        <v>1.68</v>
      </c>
      <c r="AA217" s="39" t="n">
        <f aca="false">Resumo!$B$13*CEILING(I217,1)</f>
        <v>12.6</v>
      </c>
      <c r="AB217" s="39" t="n">
        <f aca="false">SUM(U217:AA217)</f>
        <v>103.06994</v>
      </c>
      <c r="AC217" s="39" t="n">
        <f aca="false">AB217/(1-Resumo!$B$5)</f>
        <v>117.124931818182</v>
      </c>
      <c r="AD217" s="39" t="n">
        <f aca="false">(AB217-AA217)/(1-Resumo!$B$5)</f>
        <v>102.80675</v>
      </c>
      <c r="AE217" s="39" t="n">
        <f aca="false">AC217-T217</f>
        <v>35.0748004545455</v>
      </c>
      <c r="AF217" s="40" t="n">
        <f aca="false">AC217/T217-1</f>
        <v>0.427480125523482</v>
      </c>
      <c r="AG217" s="37" t="str">
        <f aca="false">IF(AC217&lt;T217,"SIM","NÃO")</f>
        <v>NÃO</v>
      </c>
      <c r="AH217" s="37" t="n">
        <v>8</v>
      </c>
      <c r="AI217" s="37" t="n">
        <v>5</v>
      </c>
      <c r="AJ217" s="37" t="s">
        <v>323</v>
      </c>
    </row>
    <row r="218" customFormat="false" ht="15" hidden="false" customHeight="false" outlineLevel="0" collapsed="false">
      <c r="A218" s="37" t="n">
        <v>361469725</v>
      </c>
      <c r="B218" s="38" t="n">
        <v>46220.6590972222</v>
      </c>
      <c r="C218" s="37" t="s">
        <v>355</v>
      </c>
      <c r="D218" s="37" t="s">
        <v>545</v>
      </c>
      <c r="E218" s="37" t="n">
        <v>21331690</v>
      </c>
      <c r="F218" s="37" t="s">
        <v>139</v>
      </c>
      <c r="G218" s="37" t="s">
        <v>198</v>
      </c>
      <c r="H218" s="37" t="s">
        <v>176</v>
      </c>
      <c r="I218" s="37" t="n">
        <v>127.8</v>
      </c>
      <c r="J218" s="39" t="n">
        <v>1434.39</v>
      </c>
      <c r="K218" s="37" t="s">
        <v>322</v>
      </c>
      <c r="L218" s="39" t="n">
        <v>233.17</v>
      </c>
      <c r="M218" s="39" t="n">
        <v>174.85</v>
      </c>
      <c r="N218" s="39" t="n">
        <f aca="false">J218*Resumo!$C$7</f>
        <v>2.86878</v>
      </c>
      <c r="O218" s="39" t="n">
        <f aca="false">J218*Resumo!$C$8</f>
        <v>2.86878</v>
      </c>
      <c r="P218" s="39" t="n">
        <f aca="false">Resumo!$C$10*CEILING(I218/100,1)</f>
        <v>2</v>
      </c>
      <c r="Q218" s="39" t="n">
        <f aca="false">Resumo!$C$9</f>
        <v>11.9</v>
      </c>
      <c r="R218" s="39" t="n">
        <f aca="false">SUM(M218:Q218)*Resumo!$C$11</f>
        <v>10.6968158</v>
      </c>
      <c r="S218" s="39" t="n">
        <f aca="false">SUM(M218:R218)</f>
        <v>205.1843758</v>
      </c>
      <c r="T218" s="39" t="n">
        <f aca="false">S218/(1-Resumo!$C$5)</f>
        <v>233.164063409091</v>
      </c>
      <c r="U218" s="39" t="n">
        <v>239.25</v>
      </c>
      <c r="V218" s="39" t="n">
        <f aca="false">J218*Resumo!$B$6</f>
        <v>1.43439</v>
      </c>
      <c r="W218" s="39" t="n">
        <f aca="false">J218*Resumo!$B$7</f>
        <v>2.86878</v>
      </c>
      <c r="X218" s="39" t="n">
        <f aca="false">Resumo!$B$9</f>
        <v>1</v>
      </c>
      <c r="Y218" s="39" t="n">
        <f aca="false">Resumo!$B$10*CEILING(I218/100,1)</f>
        <v>9</v>
      </c>
      <c r="Z218" s="39" t="n">
        <f aca="false">Resumo!$B$12*CEILING(I218,1)</f>
        <v>7.68</v>
      </c>
      <c r="AA218" s="39" t="n">
        <f aca="false">Resumo!$B$13*CEILING(I218,1)</f>
        <v>57.6</v>
      </c>
      <c r="AB218" s="39" t="n">
        <f aca="false">SUM(U218:AA218)</f>
        <v>318.83317</v>
      </c>
      <c r="AC218" s="39" t="n">
        <f aca="false">AB218/(1-Resumo!$B$5)</f>
        <v>362.310420454545</v>
      </c>
      <c r="AD218" s="39" t="n">
        <f aca="false">(AB218-AA218)/(1-Resumo!$B$5)</f>
        <v>296.855875</v>
      </c>
      <c r="AE218" s="39" t="n">
        <f aca="false">AC218-T218</f>
        <v>129.146357045455</v>
      </c>
      <c r="AF218" s="40" t="n">
        <f aca="false">AC218/T218-1</f>
        <v>0.553886199945249</v>
      </c>
      <c r="AG218" s="37" t="str">
        <f aca="false">IF(AC218&lt;T218,"SIM","NÃO")</f>
        <v>NÃO</v>
      </c>
      <c r="AH218" s="37" t="n">
        <v>8</v>
      </c>
      <c r="AI218" s="37" t="n">
        <v>5</v>
      </c>
      <c r="AJ218" s="37" t="s">
        <v>323</v>
      </c>
    </row>
    <row r="219" customFormat="false" ht="15" hidden="false" customHeight="false" outlineLevel="0" collapsed="false">
      <c r="A219" s="37" t="n">
        <v>361475504</v>
      </c>
      <c r="B219" s="38" t="n">
        <v>46220.6697569444</v>
      </c>
      <c r="C219" s="37" t="s">
        <v>320</v>
      </c>
      <c r="D219" s="37" t="s">
        <v>546</v>
      </c>
      <c r="E219" s="37" t="n">
        <v>23585330</v>
      </c>
      <c r="F219" s="37" t="s">
        <v>139</v>
      </c>
      <c r="G219" s="37" t="s">
        <v>198</v>
      </c>
      <c r="H219" s="37" t="s">
        <v>172</v>
      </c>
      <c r="I219" s="37" t="n">
        <v>61.5</v>
      </c>
      <c r="J219" s="39" t="n">
        <v>767.99</v>
      </c>
      <c r="K219" s="37" t="s">
        <v>498</v>
      </c>
      <c r="L219" s="39" t="n">
        <v>123.78</v>
      </c>
      <c r="M219" s="39" t="n">
        <v>88.2</v>
      </c>
      <c r="N219" s="39" t="n">
        <f aca="false">J219*Resumo!$C$7</f>
        <v>1.53598</v>
      </c>
      <c r="O219" s="39" t="n">
        <f aca="false">J219*Resumo!$C$8</f>
        <v>1.53598</v>
      </c>
      <c r="P219" s="39" t="n">
        <f aca="false">Resumo!$C$10*CEILING(I219/100,1)</f>
        <v>1</v>
      </c>
      <c r="Q219" s="39" t="n">
        <f aca="false">Resumo!$C$9</f>
        <v>11.9</v>
      </c>
      <c r="R219" s="39" t="n">
        <f aca="false">SUM(M219:Q219)*Resumo!$C$11</f>
        <v>5.7294578</v>
      </c>
      <c r="S219" s="39" t="n">
        <f aca="false">SUM(M219:R219)</f>
        <v>109.9014178</v>
      </c>
      <c r="T219" s="39" t="n">
        <f aca="false">S219/(1-Resumo!$C$5)</f>
        <v>124.887974772727</v>
      </c>
      <c r="U219" s="39" t="n">
        <v>131.02</v>
      </c>
      <c r="V219" s="39" t="n">
        <f aca="false">J219*Resumo!$B$6</f>
        <v>0.76799</v>
      </c>
      <c r="W219" s="39" t="n">
        <f aca="false">J219*Resumo!$B$7</f>
        <v>1.53598</v>
      </c>
      <c r="X219" s="39" t="n">
        <f aca="false">Resumo!$B$9</f>
        <v>1</v>
      </c>
      <c r="Y219" s="39" t="n">
        <f aca="false">Resumo!$B$10*CEILING(I219/100,1)</f>
        <v>4.5</v>
      </c>
      <c r="Z219" s="39" t="n">
        <f aca="false">Resumo!$B$12*CEILING(I219,1)</f>
        <v>3.72</v>
      </c>
      <c r="AA219" s="39" t="n">
        <f aca="false">Resumo!$B$13*CEILING(I219,1)</f>
        <v>27.9</v>
      </c>
      <c r="AB219" s="39" t="n">
        <f aca="false">SUM(U219:AA219)</f>
        <v>170.44397</v>
      </c>
      <c r="AC219" s="39" t="n">
        <f aca="false">AB219/(1-Resumo!$B$5)</f>
        <v>193.686329545455</v>
      </c>
      <c r="AD219" s="39" t="n">
        <f aca="false">(AB219-AA219)/(1-Resumo!$B$5)</f>
        <v>161.981784090909</v>
      </c>
      <c r="AE219" s="39" t="n">
        <f aca="false">AC219-T219</f>
        <v>68.7983547727273</v>
      </c>
      <c r="AF219" s="40" t="n">
        <f aca="false">AC219/T219-1</f>
        <v>0.550880538321863</v>
      </c>
      <c r="AG219" s="37" t="str">
        <f aca="false">IF(AC219&lt;T219,"SIM","NÃO")</f>
        <v>NÃO</v>
      </c>
      <c r="AH219" s="37" t="n">
        <v>8</v>
      </c>
      <c r="AI219" s="37" t="n">
        <v>5</v>
      </c>
      <c r="AJ219" s="37" t="s">
        <v>323</v>
      </c>
    </row>
    <row r="220" customFormat="false" ht="15" hidden="false" customHeight="false" outlineLevel="0" collapsed="false">
      <c r="A220" s="37" t="n">
        <v>361514421</v>
      </c>
      <c r="B220" s="38" t="n">
        <v>46220.7880324074</v>
      </c>
      <c r="C220" s="37" t="s">
        <v>320</v>
      </c>
      <c r="D220" s="37" t="s">
        <v>547</v>
      </c>
      <c r="E220" s="37" t="n">
        <v>23560660</v>
      </c>
      <c r="F220" s="37" t="s">
        <v>139</v>
      </c>
      <c r="G220" s="37" t="s">
        <v>198</v>
      </c>
      <c r="H220" s="37" t="s">
        <v>172</v>
      </c>
      <c r="I220" s="37" t="n">
        <v>66.8</v>
      </c>
      <c r="J220" s="39" t="n">
        <v>639.99</v>
      </c>
      <c r="K220" s="37" t="s">
        <v>498</v>
      </c>
      <c r="L220" s="39" t="n">
        <v>125.73</v>
      </c>
      <c r="M220" s="39" t="n">
        <v>88.2</v>
      </c>
      <c r="N220" s="39" t="n">
        <f aca="false">J220*Resumo!$C$7</f>
        <v>1.27998</v>
      </c>
      <c r="O220" s="39" t="n">
        <f aca="false">J220*Resumo!$C$8</f>
        <v>1.27998</v>
      </c>
      <c r="P220" s="39" t="n">
        <f aca="false">Resumo!$C$10*CEILING(I220/100,1)</f>
        <v>1</v>
      </c>
      <c r="Q220" s="39" t="n">
        <f aca="false">Resumo!$C$9</f>
        <v>11.9</v>
      </c>
      <c r="R220" s="39" t="n">
        <f aca="false">SUM(M220:Q220)*Resumo!$C$11</f>
        <v>5.7012978</v>
      </c>
      <c r="S220" s="39" t="n">
        <f aca="false">SUM(M220:R220)</f>
        <v>109.3612578</v>
      </c>
      <c r="T220" s="39" t="n">
        <f aca="false">S220/(1-Resumo!$C$5)</f>
        <v>124.274156590909</v>
      </c>
      <c r="U220" s="39" t="n">
        <v>131.02</v>
      </c>
      <c r="V220" s="39" t="n">
        <f aca="false">J220*Resumo!$B$6</f>
        <v>0.63999</v>
      </c>
      <c r="W220" s="39" t="n">
        <f aca="false">J220*Resumo!$B$7</f>
        <v>1.27998</v>
      </c>
      <c r="X220" s="39" t="n">
        <f aca="false">Resumo!$B$9</f>
        <v>1</v>
      </c>
      <c r="Y220" s="39" t="n">
        <f aca="false">Resumo!$B$10*CEILING(I220/100,1)</f>
        <v>4.5</v>
      </c>
      <c r="Z220" s="39" t="n">
        <f aca="false">Resumo!$B$12*CEILING(I220,1)</f>
        <v>4.02</v>
      </c>
      <c r="AA220" s="39" t="n">
        <f aca="false">Resumo!$B$13*CEILING(I220,1)</f>
        <v>30.15</v>
      </c>
      <c r="AB220" s="39" t="n">
        <f aca="false">SUM(U220:AA220)</f>
        <v>172.60997</v>
      </c>
      <c r="AC220" s="39" t="n">
        <f aca="false">AB220/(1-Resumo!$B$5)</f>
        <v>196.147693181818</v>
      </c>
      <c r="AD220" s="39" t="n">
        <f aca="false">(AB220-AA220)/(1-Resumo!$B$5)</f>
        <v>161.886329545455</v>
      </c>
      <c r="AE220" s="39" t="n">
        <f aca="false">AC220-T220</f>
        <v>71.8735365909091</v>
      </c>
      <c r="AF220" s="40" t="n">
        <f aca="false">AC220/T220-1</f>
        <v>0.578346605300291</v>
      </c>
      <c r="AG220" s="37" t="str">
        <f aca="false">IF(AC220&lt;T220,"SIM","NÃO")</f>
        <v>NÃO</v>
      </c>
      <c r="AH220" s="37" t="n">
        <v>8</v>
      </c>
      <c r="AI220" s="37" t="n">
        <v>5</v>
      </c>
      <c r="AJ220" s="37" t="s">
        <v>323</v>
      </c>
    </row>
    <row r="221" customFormat="false" ht="15" hidden="false" customHeight="false" outlineLevel="0" collapsed="false">
      <c r="A221" s="37" t="n">
        <v>361593897</v>
      </c>
      <c r="B221" s="38" t="n">
        <v>46220.8463194444</v>
      </c>
      <c r="C221" s="37" t="s">
        <v>320</v>
      </c>
      <c r="D221" s="37" t="s">
        <v>548</v>
      </c>
      <c r="E221" s="37" t="n">
        <v>23036060</v>
      </c>
      <c r="F221" s="37" t="s">
        <v>139</v>
      </c>
      <c r="G221" s="37" t="s">
        <v>198</v>
      </c>
      <c r="H221" s="37" t="s">
        <v>169</v>
      </c>
      <c r="I221" s="37" t="n">
        <v>39.8</v>
      </c>
      <c r="J221" s="39" t="n">
        <v>449.99</v>
      </c>
      <c r="K221" s="37" t="s">
        <v>498</v>
      </c>
      <c r="L221" s="39" t="n">
        <v>94.13</v>
      </c>
      <c r="M221" s="39" t="n">
        <v>62.05</v>
      </c>
      <c r="N221" s="39" t="n">
        <f aca="false">J221*Resumo!$C$7</f>
        <v>0.89998</v>
      </c>
      <c r="O221" s="39" t="n">
        <f aca="false">J221*Resumo!$C$8</f>
        <v>0.89998</v>
      </c>
      <c r="P221" s="39" t="n">
        <f aca="false">Resumo!$C$10*CEILING(I221/100,1)</f>
        <v>1</v>
      </c>
      <c r="Q221" s="39" t="n">
        <f aca="false">Resumo!$C$9</f>
        <v>11.9</v>
      </c>
      <c r="R221" s="39" t="n">
        <f aca="false">SUM(M221:Q221)*Resumo!$C$11</f>
        <v>4.2212478</v>
      </c>
      <c r="S221" s="39" t="n">
        <f aca="false">SUM(M221:R221)</f>
        <v>80.9712078</v>
      </c>
      <c r="T221" s="39" t="n">
        <f aca="false">S221/(1-Resumo!$C$5)</f>
        <v>92.0127361363636</v>
      </c>
      <c r="U221" s="39" t="n">
        <v>93.97</v>
      </c>
      <c r="V221" s="39" t="n">
        <f aca="false">J221*Resumo!$B$6</f>
        <v>0.44999</v>
      </c>
      <c r="W221" s="39" t="n">
        <f aca="false">J221*Resumo!$B$7</f>
        <v>0.89998</v>
      </c>
      <c r="X221" s="39" t="n">
        <f aca="false">Resumo!$B$9</f>
        <v>1</v>
      </c>
      <c r="Y221" s="39" t="n">
        <f aca="false">Resumo!$B$10*CEILING(I221/100,1)</f>
        <v>4.5</v>
      </c>
      <c r="Z221" s="39" t="n">
        <f aca="false">Resumo!$B$12*CEILING(I221,1)</f>
        <v>2.4</v>
      </c>
      <c r="AA221" s="39" t="n">
        <f aca="false">Resumo!$B$13*CEILING(I221,1)</f>
        <v>18</v>
      </c>
      <c r="AB221" s="39" t="n">
        <f aca="false">SUM(U221:AA221)</f>
        <v>121.21997</v>
      </c>
      <c r="AC221" s="39" t="n">
        <f aca="false">AB221/(1-Resumo!$B$5)</f>
        <v>137.749965909091</v>
      </c>
      <c r="AD221" s="39" t="n">
        <f aca="false">(AB221-AA221)/(1-Resumo!$B$5)</f>
        <v>117.295420454545</v>
      </c>
      <c r="AE221" s="39" t="n">
        <f aca="false">AC221-T221</f>
        <v>45.7372297727273</v>
      </c>
      <c r="AF221" s="40" t="n">
        <f aca="false">AC221/T221-1</f>
        <v>0.497074988672702</v>
      </c>
      <c r="AG221" s="37" t="str">
        <f aca="false">IF(AC221&lt;T221,"SIM","NÃO")</f>
        <v>NÃO</v>
      </c>
      <c r="AH221" s="37" t="n">
        <v>8</v>
      </c>
      <c r="AI221" s="37" t="n">
        <v>5</v>
      </c>
      <c r="AJ221" s="37" t="s">
        <v>323</v>
      </c>
    </row>
    <row r="222" customFormat="false" ht="15" hidden="false" customHeight="false" outlineLevel="0" collapsed="false">
      <c r="A222" s="37" t="n">
        <v>361569008</v>
      </c>
      <c r="B222" s="38" t="n">
        <v>46220.9640972222</v>
      </c>
      <c r="C222" s="37" t="s">
        <v>325</v>
      </c>
      <c r="D222" s="37" t="s">
        <v>549</v>
      </c>
      <c r="E222" s="37" t="n">
        <v>27972109</v>
      </c>
      <c r="F222" s="37" t="s">
        <v>146</v>
      </c>
      <c r="G222" s="37" t="s">
        <v>201</v>
      </c>
      <c r="H222" s="37" t="s">
        <v>176</v>
      </c>
      <c r="I222" s="37" t="n">
        <v>124.2</v>
      </c>
      <c r="J222" s="39" t="n">
        <v>1611.28</v>
      </c>
      <c r="K222" s="37" t="s">
        <v>498</v>
      </c>
      <c r="L222" s="39" t="n">
        <v>253.3</v>
      </c>
      <c r="M222" s="39" t="n">
        <v>197.37</v>
      </c>
      <c r="N222" s="39" t="n">
        <f aca="false">J222*Resumo!$C$7</f>
        <v>3.22256</v>
      </c>
      <c r="O222" s="39" t="n">
        <f aca="false">J222*Resumo!$C$8</f>
        <v>3.22256</v>
      </c>
      <c r="P222" s="39" t="n">
        <f aca="false">Resumo!$C$10*CEILING(I222/100,1)</f>
        <v>2</v>
      </c>
      <c r="Q222" s="39" t="n">
        <f aca="false">Resumo!$C$9</f>
        <v>11.9</v>
      </c>
      <c r="R222" s="39" t="n">
        <f aca="false">SUM(M222:Q222)*Resumo!$C$11</f>
        <v>11.9743316</v>
      </c>
      <c r="S222" s="39" t="n">
        <f aca="false">SUM(M222:R222)</f>
        <v>229.6894516</v>
      </c>
      <c r="T222" s="39" t="n">
        <f aca="false">S222/(1-Resumo!$C$5)</f>
        <v>261.010740454545</v>
      </c>
      <c r="U222" s="39" t="n">
        <v>264.84</v>
      </c>
      <c r="V222" s="39" t="n">
        <f aca="false">J222*Resumo!$B$6</f>
        <v>1.61128</v>
      </c>
      <c r="W222" s="39" t="n">
        <f aca="false">J222*Resumo!$B$7</f>
        <v>3.22256</v>
      </c>
      <c r="X222" s="39" t="n">
        <f aca="false">Resumo!$B$9</f>
        <v>1</v>
      </c>
      <c r="Y222" s="39" t="n">
        <f aca="false">Resumo!$B$10*CEILING(I222/100,1)</f>
        <v>9</v>
      </c>
      <c r="Z222" s="39" t="n">
        <f aca="false">Resumo!$B$12*CEILING(I222,1)</f>
        <v>7.5</v>
      </c>
      <c r="AA222" s="39" t="n">
        <f aca="false">Resumo!$B$13*CEILING(I222,1)</f>
        <v>56.25</v>
      </c>
      <c r="AB222" s="39" t="n">
        <f aca="false">SUM(U222:AA222)</f>
        <v>343.42384</v>
      </c>
      <c r="AC222" s="39" t="n">
        <f aca="false">AB222/(1-Resumo!$B$5)</f>
        <v>390.254363636364</v>
      </c>
      <c r="AD222" s="39" t="n">
        <f aca="false">(AB222-AA222)/(1-Resumo!$B$5)</f>
        <v>326.333909090909</v>
      </c>
      <c r="AE222" s="39" t="n">
        <f aca="false">AC222-T222</f>
        <v>129.243623181818</v>
      </c>
      <c r="AF222" s="40" t="n">
        <f aca="false">AC222/T222-1</f>
        <v>0.495165919060429</v>
      </c>
      <c r="AG222" s="37" t="str">
        <f aca="false">IF(AC222&lt;T222,"SIM","NÃO")</f>
        <v>NÃO</v>
      </c>
      <c r="AH222" s="37" t="n">
        <v>13</v>
      </c>
      <c r="AI222" s="37" t="n">
        <v>11</v>
      </c>
      <c r="AJ222" s="37" t="s">
        <v>323</v>
      </c>
    </row>
    <row r="223" customFormat="false" ht="15" hidden="false" customHeight="false" outlineLevel="0" collapsed="false">
      <c r="A223" s="37" t="n">
        <v>361570424</v>
      </c>
      <c r="B223" s="38" t="n">
        <v>46220.9698842593</v>
      </c>
      <c r="C223" s="37" t="s">
        <v>320</v>
      </c>
      <c r="D223" s="37" t="s">
        <v>550</v>
      </c>
      <c r="E223" s="37" t="n">
        <v>23010310</v>
      </c>
      <c r="F223" s="37" t="s">
        <v>139</v>
      </c>
      <c r="G223" s="37" t="s">
        <v>198</v>
      </c>
      <c r="H223" s="37" t="s">
        <v>167</v>
      </c>
      <c r="I223" s="37" t="n">
        <v>19.5</v>
      </c>
      <c r="J223" s="39" t="n">
        <v>369.99</v>
      </c>
      <c r="K223" s="37" t="s">
        <v>498</v>
      </c>
      <c r="L223" s="39" t="n">
        <v>66.57</v>
      </c>
      <c r="M223" s="39" t="n">
        <v>39.83</v>
      </c>
      <c r="N223" s="39" t="n">
        <f aca="false">J223*Resumo!$C$7</f>
        <v>0.73998</v>
      </c>
      <c r="O223" s="39" t="n">
        <f aca="false">J223*Resumo!$C$8</f>
        <v>0.73998</v>
      </c>
      <c r="P223" s="39" t="n">
        <f aca="false">Resumo!$C$10*CEILING(I223/100,1)</f>
        <v>1</v>
      </c>
      <c r="Q223" s="39" t="n">
        <f aca="false">Resumo!$C$9</f>
        <v>11.9</v>
      </c>
      <c r="R223" s="39" t="n">
        <f aca="false">SUM(M223:Q223)*Resumo!$C$11</f>
        <v>2.9815478</v>
      </c>
      <c r="S223" s="39" t="n">
        <f aca="false">SUM(M223:R223)</f>
        <v>57.1915078</v>
      </c>
      <c r="T223" s="39" t="n">
        <f aca="false">S223/(1-Resumo!$C$5)</f>
        <v>64.9903497727273</v>
      </c>
      <c r="U223" s="39" t="n">
        <v>46.98</v>
      </c>
      <c r="V223" s="39" t="n">
        <f aca="false">J223*Resumo!$B$6</f>
        <v>0.36999</v>
      </c>
      <c r="W223" s="39" t="n">
        <f aca="false">J223*Resumo!$B$7</f>
        <v>0.73998</v>
      </c>
      <c r="X223" s="39" t="n">
        <f aca="false">Resumo!$B$9</f>
        <v>1</v>
      </c>
      <c r="Y223" s="39" t="n">
        <f aca="false">Resumo!$B$10*CEILING(I223/100,1)</f>
        <v>4.5</v>
      </c>
      <c r="Z223" s="39" t="n">
        <f aca="false">Resumo!$B$12*CEILING(I223,1)</f>
        <v>1.2</v>
      </c>
      <c r="AA223" s="39" t="n">
        <f aca="false">Resumo!$B$13*CEILING(I223,1)</f>
        <v>9</v>
      </c>
      <c r="AB223" s="39" t="n">
        <f aca="false">SUM(U223:AA223)</f>
        <v>63.78997</v>
      </c>
      <c r="AC223" s="39" t="n">
        <f aca="false">AB223/(1-Resumo!$B$5)</f>
        <v>72.4886022727273</v>
      </c>
      <c r="AD223" s="39" t="n">
        <f aca="false">(AB223-AA223)/(1-Resumo!$B$5)</f>
        <v>62.2613295454545</v>
      </c>
      <c r="AE223" s="39" t="n">
        <f aca="false">AC223-T223</f>
        <v>7.49825249999999</v>
      </c>
      <c r="AF223" s="40" t="n">
        <f aca="false">AC223/T223-1</f>
        <v>0.11537485990184</v>
      </c>
      <c r="AG223" s="37" t="str">
        <f aca="false">IF(AC223&lt;T223,"SIM","NÃO")</f>
        <v>NÃO</v>
      </c>
      <c r="AH223" s="37" t="n">
        <v>8</v>
      </c>
      <c r="AI223" s="37" t="n">
        <v>5</v>
      </c>
      <c r="AJ223" s="37" t="s">
        <v>323</v>
      </c>
    </row>
    <row r="224" customFormat="false" ht="15" hidden="false" customHeight="false" outlineLevel="0" collapsed="false">
      <c r="A224" s="37" t="n">
        <v>361598030</v>
      </c>
      <c r="B224" s="38" t="n">
        <v>46221.0859027778</v>
      </c>
      <c r="C224" s="37" t="s">
        <v>320</v>
      </c>
      <c r="D224" s="37" t="s">
        <v>551</v>
      </c>
      <c r="E224" s="37" t="n">
        <v>21863430</v>
      </c>
      <c r="F224" s="37" t="s">
        <v>139</v>
      </c>
      <c r="G224" s="37" t="s">
        <v>198</v>
      </c>
      <c r="H224" s="37" t="s">
        <v>171</v>
      </c>
      <c r="I224" s="37" t="n">
        <v>52.3</v>
      </c>
      <c r="J224" s="39" t="n">
        <v>685.84</v>
      </c>
      <c r="K224" s="37" t="s">
        <v>498</v>
      </c>
      <c r="L224" s="39" t="n">
        <v>113.56</v>
      </c>
      <c r="M224" s="39" t="n">
        <v>79.81</v>
      </c>
      <c r="N224" s="39" t="n">
        <f aca="false">J224*Resumo!$C$7</f>
        <v>1.37168</v>
      </c>
      <c r="O224" s="39" t="n">
        <f aca="false">J224*Resumo!$C$8</f>
        <v>1.37168</v>
      </c>
      <c r="P224" s="39" t="n">
        <f aca="false">Resumo!$C$10*CEILING(I224/100,1)</f>
        <v>1</v>
      </c>
      <c r="Q224" s="39" t="n">
        <f aca="false">Resumo!$C$9</f>
        <v>11.9</v>
      </c>
      <c r="R224" s="39" t="n">
        <f aca="false">SUM(M224:Q224)*Resumo!$C$11</f>
        <v>5.2499348</v>
      </c>
      <c r="S224" s="39" t="n">
        <f aca="false">SUM(M224:R224)</f>
        <v>100.7032948</v>
      </c>
      <c r="T224" s="39" t="n">
        <f aca="false">S224/(1-Resumo!$C$5)</f>
        <v>114.435562272727</v>
      </c>
      <c r="U224" s="39" t="n">
        <v>112.3</v>
      </c>
      <c r="V224" s="39" t="n">
        <f aca="false">J224*Resumo!$B$6</f>
        <v>0.68584</v>
      </c>
      <c r="W224" s="39" t="n">
        <f aca="false">J224*Resumo!$B$7</f>
        <v>1.37168</v>
      </c>
      <c r="X224" s="39" t="n">
        <f aca="false">Resumo!$B$9</f>
        <v>1</v>
      </c>
      <c r="Y224" s="39" t="n">
        <f aca="false">Resumo!$B$10*CEILING(I224/100,1)</f>
        <v>4.5</v>
      </c>
      <c r="Z224" s="39" t="n">
        <f aca="false">Resumo!$B$12*CEILING(I224,1)</f>
        <v>3.18</v>
      </c>
      <c r="AA224" s="39" t="n">
        <f aca="false">Resumo!$B$13*CEILING(I224,1)</f>
        <v>23.85</v>
      </c>
      <c r="AB224" s="39" t="n">
        <f aca="false">SUM(U224:AA224)</f>
        <v>146.88752</v>
      </c>
      <c r="AC224" s="39" t="n">
        <f aca="false">AB224/(1-Resumo!$B$5)</f>
        <v>166.917636363636</v>
      </c>
      <c r="AD224" s="39" t="n">
        <f aca="false">(AB224-AA224)/(1-Resumo!$B$5)</f>
        <v>139.815363636364</v>
      </c>
      <c r="AE224" s="39" t="n">
        <f aca="false">AC224-T224</f>
        <v>52.4820740909091</v>
      </c>
      <c r="AF224" s="40" t="n">
        <f aca="false">AC224/T224-1</f>
        <v>0.458616823726804</v>
      </c>
      <c r="AG224" s="37" t="str">
        <f aca="false">IF(AC224&lt;T224,"SIM","NÃO")</f>
        <v>NÃO</v>
      </c>
      <c r="AH224" s="37" t="n">
        <v>8</v>
      </c>
      <c r="AI224" s="37" t="n">
        <v>5</v>
      </c>
      <c r="AJ224" s="37" t="s">
        <v>323</v>
      </c>
    </row>
    <row r="225" customFormat="false" ht="15" hidden="false" customHeight="false" outlineLevel="0" collapsed="false">
      <c r="A225" s="37" t="n">
        <v>361625018</v>
      </c>
      <c r="B225" s="38" t="n">
        <v>46221.2375694444</v>
      </c>
      <c r="C225" s="37" t="s">
        <v>352</v>
      </c>
      <c r="D225" s="37" t="s">
        <v>552</v>
      </c>
      <c r="E225" s="37" t="n">
        <v>21610290</v>
      </c>
      <c r="F225" s="37" t="s">
        <v>139</v>
      </c>
      <c r="G225" s="37" t="s">
        <v>198</v>
      </c>
      <c r="H225" s="37" t="s">
        <v>174</v>
      </c>
      <c r="I225" s="37" t="n">
        <v>97.2</v>
      </c>
      <c r="J225" s="39" t="n">
        <v>1399.99</v>
      </c>
      <c r="K225" s="37" t="s">
        <v>322</v>
      </c>
      <c r="L225" s="39" t="n">
        <v>165.81</v>
      </c>
      <c r="M225" s="39" t="n">
        <v>119.8</v>
      </c>
      <c r="N225" s="39" t="n">
        <f aca="false">J225*Resumo!$C$7</f>
        <v>2.79998</v>
      </c>
      <c r="O225" s="39" t="n">
        <f aca="false">J225*Resumo!$C$8</f>
        <v>2.79998</v>
      </c>
      <c r="P225" s="39" t="n">
        <f aca="false">Resumo!$C$10*CEILING(I225/100,1)</f>
        <v>1</v>
      </c>
      <c r="Q225" s="39" t="n">
        <f aca="false">Resumo!$C$9</f>
        <v>11.9</v>
      </c>
      <c r="R225" s="39" t="n">
        <f aca="false">SUM(M225:Q225)*Resumo!$C$11</f>
        <v>7.6064978</v>
      </c>
      <c r="S225" s="39" t="n">
        <f aca="false">SUM(M225:R225)</f>
        <v>145.9064578</v>
      </c>
      <c r="T225" s="39" t="n">
        <f aca="false">S225/(1-Resumo!$C$5)</f>
        <v>165.802792954545</v>
      </c>
      <c r="U225" s="39" t="n">
        <v>167.99</v>
      </c>
      <c r="V225" s="39" t="n">
        <f aca="false">J225*Resumo!$B$6</f>
        <v>1.39999</v>
      </c>
      <c r="W225" s="39" t="n">
        <f aca="false">J225*Resumo!$B$7</f>
        <v>2.79998</v>
      </c>
      <c r="X225" s="39" t="n">
        <f aca="false">Resumo!$B$9</f>
        <v>1</v>
      </c>
      <c r="Y225" s="39" t="n">
        <f aca="false">Resumo!$B$10*CEILING(I225/100,1)</f>
        <v>4.5</v>
      </c>
      <c r="Z225" s="39" t="n">
        <f aca="false">Resumo!$B$12*CEILING(I225,1)</f>
        <v>5.88</v>
      </c>
      <c r="AA225" s="39" t="n">
        <f aca="false">Resumo!$B$13*CEILING(I225,1)</f>
        <v>44.1</v>
      </c>
      <c r="AB225" s="39" t="n">
        <f aca="false">SUM(U225:AA225)</f>
        <v>227.66997</v>
      </c>
      <c r="AC225" s="39" t="n">
        <f aca="false">AB225/(1-Resumo!$B$5)</f>
        <v>258.715875</v>
      </c>
      <c r="AD225" s="39" t="n">
        <f aca="false">(AB225-AA225)/(1-Resumo!$B$5)</f>
        <v>208.602238636364</v>
      </c>
      <c r="AE225" s="39" t="n">
        <f aca="false">AC225-T225</f>
        <v>92.9130820454545</v>
      </c>
      <c r="AF225" s="40" t="n">
        <f aca="false">AC225/T225-1</f>
        <v>0.560383093612461</v>
      </c>
      <c r="AG225" s="37" t="str">
        <f aca="false">IF(AC225&lt;T225,"SIM","NÃO")</f>
        <v>NÃO</v>
      </c>
      <c r="AH225" s="37" t="n">
        <v>8</v>
      </c>
      <c r="AI225" s="37" t="n">
        <v>5</v>
      </c>
      <c r="AJ225" s="37" t="s">
        <v>323</v>
      </c>
    </row>
    <row r="226" customFormat="false" ht="15" hidden="false" customHeight="false" outlineLevel="0" collapsed="false">
      <c r="A226" s="37" t="n">
        <v>361652006</v>
      </c>
      <c r="B226" s="38" t="n">
        <v>46221.339849537</v>
      </c>
      <c r="C226" s="37" t="s">
        <v>320</v>
      </c>
      <c r="D226" s="37" t="s">
        <v>553</v>
      </c>
      <c r="E226" s="37" t="n">
        <v>27973410</v>
      </c>
      <c r="F226" s="37" t="s">
        <v>146</v>
      </c>
      <c r="G226" s="37" t="s">
        <v>201</v>
      </c>
      <c r="H226" s="37" t="s">
        <v>176</v>
      </c>
      <c r="I226" s="37" t="n">
        <v>127.8</v>
      </c>
      <c r="J226" s="39" t="n">
        <v>1349.99</v>
      </c>
      <c r="K226" s="37" t="s">
        <v>498</v>
      </c>
      <c r="L226" s="39" t="n">
        <v>253.58</v>
      </c>
      <c r="M226" s="39" t="n">
        <v>197.37</v>
      </c>
      <c r="N226" s="39" t="n">
        <f aca="false">J226*Resumo!$C$7</f>
        <v>2.69998</v>
      </c>
      <c r="O226" s="39" t="n">
        <f aca="false">J226*Resumo!$C$8</f>
        <v>2.69998</v>
      </c>
      <c r="P226" s="39" t="n">
        <f aca="false">Resumo!$C$10*CEILING(I226/100,1)</f>
        <v>2</v>
      </c>
      <c r="Q226" s="39" t="n">
        <f aca="false">Resumo!$C$9</f>
        <v>11.9</v>
      </c>
      <c r="R226" s="39" t="n">
        <f aca="false">SUM(M226:Q226)*Resumo!$C$11</f>
        <v>11.9168478</v>
      </c>
      <c r="S226" s="39" t="n">
        <f aca="false">SUM(M226:R226)</f>
        <v>228.5868078</v>
      </c>
      <c r="T226" s="39" t="n">
        <f aca="false">S226/(1-Resumo!$C$5)</f>
        <v>259.757736136364</v>
      </c>
      <c r="U226" s="39" t="n">
        <v>264.84</v>
      </c>
      <c r="V226" s="39" t="n">
        <f aca="false">J226*Resumo!$B$6</f>
        <v>1.34999</v>
      </c>
      <c r="W226" s="39" t="n">
        <f aca="false">J226*Resumo!$B$7</f>
        <v>2.69998</v>
      </c>
      <c r="X226" s="39" t="n">
        <f aca="false">Resumo!$B$9</f>
        <v>1</v>
      </c>
      <c r="Y226" s="39" t="n">
        <f aca="false">Resumo!$B$10*CEILING(I226/100,1)</f>
        <v>9</v>
      </c>
      <c r="Z226" s="39" t="n">
        <f aca="false">Resumo!$B$12*CEILING(I226,1)</f>
        <v>7.68</v>
      </c>
      <c r="AA226" s="39" t="n">
        <f aca="false">Resumo!$B$13*CEILING(I226,1)</f>
        <v>57.6</v>
      </c>
      <c r="AB226" s="39" t="n">
        <f aca="false">SUM(U226:AA226)</f>
        <v>344.16997</v>
      </c>
      <c r="AC226" s="39" t="n">
        <f aca="false">AB226/(1-Resumo!$B$5)</f>
        <v>391.102238636364</v>
      </c>
      <c r="AD226" s="39" t="n">
        <f aca="false">(AB226-AA226)/(1-Resumo!$B$5)</f>
        <v>325.647693181818</v>
      </c>
      <c r="AE226" s="39" t="n">
        <f aca="false">AC226-T226</f>
        <v>131.3445025</v>
      </c>
      <c r="AF226" s="40" t="n">
        <f aca="false">AC226/T226-1</f>
        <v>0.505642312924412</v>
      </c>
      <c r="AG226" s="37" t="str">
        <f aca="false">IF(AC226&lt;T226,"SIM","NÃO")</f>
        <v>NÃO</v>
      </c>
      <c r="AH226" s="37" t="n">
        <v>13</v>
      </c>
      <c r="AI226" s="37" t="n">
        <v>11</v>
      </c>
      <c r="AJ226" s="37" t="s">
        <v>323</v>
      </c>
    </row>
    <row r="227" customFormat="false" ht="15" hidden="false" customHeight="false" outlineLevel="0" collapsed="false">
      <c r="A227" s="37" t="n">
        <v>361660810</v>
      </c>
      <c r="B227" s="38" t="n">
        <v>46221.376099537</v>
      </c>
      <c r="C227" s="37" t="s">
        <v>320</v>
      </c>
      <c r="D227" s="37" t="s">
        <v>554</v>
      </c>
      <c r="E227" s="37" t="n">
        <v>21830080</v>
      </c>
      <c r="F227" s="37" t="s">
        <v>139</v>
      </c>
      <c r="G227" s="37" t="s">
        <v>198</v>
      </c>
      <c r="H227" s="37" t="s">
        <v>169</v>
      </c>
      <c r="I227" s="37" t="n">
        <v>37.6</v>
      </c>
      <c r="J227" s="39" t="n">
        <v>379.99</v>
      </c>
      <c r="K227" s="37" t="s">
        <v>322</v>
      </c>
      <c r="L227" s="39" t="n">
        <v>91.68</v>
      </c>
      <c r="M227" s="39" t="n">
        <v>62.05</v>
      </c>
      <c r="N227" s="39" t="n">
        <f aca="false">J227*Resumo!$C$7</f>
        <v>0.75998</v>
      </c>
      <c r="O227" s="39" t="n">
        <f aca="false">J227*Resumo!$C$8</f>
        <v>0.75998</v>
      </c>
      <c r="P227" s="39" t="n">
        <f aca="false">Resumo!$C$10*CEILING(I227/100,1)</f>
        <v>1</v>
      </c>
      <c r="Q227" s="39" t="n">
        <f aca="false">Resumo!$C$9</f>
        <v>11.9</v>
      </c>
      <c r="R227" s="39" t="n">
        <f aca="false">SUM(M227:Q227)*Resumo!$C$11</f>
        <v>4.2058478</v>
      </c>
      <c r="S227" s="39" t="n">
        <f aca="false">SUM(M227:R227)</f>
        <v>80.6758078</v>
      </c>
      <c r="T227" s="39" t="n">
        <f aca="false">S227/(1-Resumo!$C$5)</f>
        <v>91.6770543181818</v>
      </c>
      <c r="U227" s="39" t="n">
        <v>93.97</v>
      </c>
      <c r="V227" s="39" t="n">
        <f aca="false">J227*Resumo!$B$6</f>
        <v>0.37999</v>
      </c>
      <c r="W227" s="39" t="n">
        <f aca="false">J227*Resumo!$B$7</f>
        <v>0.75998</v>
      </c>
      <c r="X227" s="39" t="n">
        <f aca="false">Resumo!$B$9</f>
        <v>1</v>
      </c>
      <c r="Y227" s="39" t="n">
        <f aca="false">Resumo!$B$10*CEILING(I227/100,1)</f>
        <v>4.5</v>
      </c>
      <c r="Z227" s="39" t="n">
        <f aca="false">Resumo!$B$12*CEILING(I227,1)</f>
        <v>2.28</v>
      </c>
      <c r="AA227" s="39" t="n">
        <f aca="false">Resumo!$B$13*CEILING(I227,1)</f>
        <v>17.1</v>
      </c>
      <c r="AB227" s="39" t="n">
        <f aca="false">SUM(U227:AA227)</f>
        <v>119.98997</v>
      </c>
      <c r="AC227" s="39" t="n">
        <f aca="false">AB227/(1-Resumo!$B$5)</f>
        <v>136.352238636364</v>
      </c>
      <c r="AD227" s="39" t="n">
        <f aca="false">(AB227-AA227)/(1-Resumo!$B$5)</f>
        <v>116.920420454545</v>
      </c>
      <c r="AE227" s="39" t="n">
        <f aca="false">AC227-T227</f>
        <v>44.6751843181818</v>
      </c>
      <c r="AF227" s="40" t="n">
        <f aca="false">AC227/T227-1</f>
        <v>0.487310425170605</v>
      </c>
      <c r="AG227" s="37" t="str">
        <f aca="false">IF(AC227&lt;T227,"SIM","NÃO")</f>
        <v>NÃO</v>
      </c>
      <c r="AH227" s="37" t="n">
        <v>8</v>
      </c>
      <c r="AI227" s="37" t="n">
        <v>5</v>
      </c>
      <c r="AJ227" s="37" t="s">
        <v>323</v>
      </c>
    </row>
    <row r="228" customFormat="false" ht="15" hidden="false" customHeight="false" outlineLevel="0" collapsed="false">
      <c r="A228" s="37" t="n">
        <v>361679008</v>
      </c>
      <c r="B228" s="38" t="n">
        <v>46221.4359722222</v>
      </c>
      <c r="C228" s="37" t="s">
        <v>320</v>
      </c>
      <c r="D228" s="37" t="s">
        <v>555</v>
      </c>
      <c r="E228" s="37" t="n">
        <v>27336410</v>
      </c>
      <c r="F228" s="37" t="s">
        <v>233</v>
      </c>
      <c r="G228" s="37" t="s">
        <v>201</v>
      </c>
      <c r="H228" s="37" t="s">
        <v>172</v>
      </c>
      <c r="I228" s="37" t="n">
        <v>66.8</v>
      </c>
      <c r="J228" s="39" t="n">
        <v>639.99</v>
      </c>
      <c r="K228" s="37" t="s">
        <v>498</v>
      </c>
      <c r="L228" s="39" t="n">
        <v>156.4</v>
      </c>
      <c r="M228" s="39" t="n">
        <v>113.9</v>
      </c>
      <c r="N228" s="39" t="n">
        <f aca="false">J228*Resumo!$C$7</f>
        <v>1.27998</v>
      </c>
      <c r="O228" s="39" t="n">
        <f aca="false">J228*Resumo!$C$8</f>
        <v>1.27998</v>
      </c>
      <c r="P228" s="39" t="n">
        <f aca="false">Resumo!$C$10*CEILING(I228/100,1)</f>
        <v>1</v>
      </c>
      <c r="Q228" s="39" t="n">
        <f aca="false">Resumo!$C$9</f>
        <v>11.9</v>
      </c>
      <c r="R228" s="39" t="n">
        <f aca="false">SUM(M228:Q228)*Resumo!$C$11</f>
        <v>7.1147978</v>
      </c>
      <c r="S228" s="39" t="n">
        <f aca="false">SUM(M228:R228)</f>
        <v>136.4747578</v>
      </c>
      <c r="T228" s="39" t="n">
        <f aca="false">S228/(1-Resumo!$C$5)</f>
        <v>155.084952045455</v>
      </c>
      <c r="U228" s="39" t="n">
        <v>166.05</v>
      </c>
      <c r="V228" s="39" t="n">
        <f aca="false">J228*Resumo!$B$6</f>
        <v>0.63999</v>
      </c>
      <c r="W228" s="39" t="n">
        <f aca="false">J228*Resumo!$B$7</f>
        <v>1.27998</v>
      </c>
      <c r="X228" s="39" t="n">
        <f aca="false">Resumo!$B$9</f>
        <v>1</v>
      </c>
      <c r="Y228" s="39" t="n">
        <f aca="false">Resumo!$B$10*CEILING(I228/100,1)</f>
        <v>4.5</v>
      </c>
      <c r="Z228" s="39" t="n">
        <f aca="false">Resumo!$B$12*CEILING(I228,1)</f>
        <v>4.02</v>
      </c>
      <c r="AA228" s="39" t="n">
        <f aca="false">Resumo!$B$13*CEILING(I228,1)</f>
        <v>30.15</v>
      </c>
      <c r="AB228" s="39" t="n">
        <f aca="false">SUM(U228:AA228)</f>
        <v>207.63997</v>
      </c>
      <c r="AC228" s="39" t="n">
        <f aca="false">AB228/(1-Resumo!$B$5)</f>
        <v>235.954511363636</v>
      </c>
      <c r="AD228" s="39" t="n">
        <f aca="false">(AB228-AA228)/(1-Resumo!$B$5)</f>
        <v>201.693147727273</v>
      </c>
      <c r="AE228" s="39" t="n">
        <f aca="false">AC228-T228</f>
        <v>80.8695593181818</v>
      </c>
      <c r="AF228" s="40" t="n">
        <f aca="false">AC228/T228-1</f>
        <v>0.521453295445966</v>
      </c>
      <c r="AG228" s="37" t="str">
        <f aca="false">IF(AC228&lt;T228,"SIM","NÃO")</f>
        <v>NÃO</v>
      </c>
      <c r="AH228" s="37" t="n">
        <v>13</v>
      </c>
      <c r="AI228" s="37" t="n">
        <v>10</v>
      </c>
      <c r="AJ228" s="37" t="s">
        <v>327</v>
      </c>
    </row>
    <row r="229" customFormat="false" ht="15" hidden="false" customHeight="false" outlineLevel="0" collapsed="false">
      <c r="A229" s="37" t="n">
        <v>361687594</v>
      </c>
      <c r="B229" s="38" t="n">
        <v>46221.4621412037</v>
      </c>
      <c r="C229" s="37" t="s">
        <v>325</v>
      </c>
      <c r="D229" s="37" t="s">
        <v>556</v>
      </c>
      <c r="E229" s="37" t="n">
        <v>27170650</v>
      </c>
      <c r="F229" s="37" t="s">
        <v>230</v>
      </c>
      <c r="G229" s="37" t="s">
        <v>201</v>
      </c>
      <c r="H229" s="37" t="s">
        <v>174</v>
      </c>
      <c r="I229" s="37" t="n">
        <v>81.7</v>
      </c>
      <c r="J229" s="39" t="n">
        <v>599.99</v>
      </c>
      <c r="K229" s="37" t="s">
        <v>498</v>
      </c>
      <c r="L229" s="39" t="n">
        <v>185.97</v>
      </c>
      <c r="M229" s="39" t="n">
        <v>144.41</v>
      </c>
      <c r="N229" s="39" t="n">
        <f aca="false">J229*Resumo!$C$7</f>
        <v>1.19998</v>
      </c>
      <c r="O229" s="39" t="n">
        <f aca="false">J229*Resumo!$C$8</f>
        <v>1.19998</v>
      </c>
      <c r="P229" s="39" t="n">
        <f aca="false">Resumo!$C$10*CEILING(I229/100,1)</f>
        <v>1</v>
      </c>
      <c r="Q229" s="39" t="n">
        <f aca="false">Resumo!$C$9</f>
        <v>11.9</v>
      </c>
      <c r="R229" s="39" t="n">
        <f aca="false">SUM(M229:Q229)*Resumo!$C$11</f>
        <v>8.7840478</v>
      </c>
      <c r="S229" s="39" t="n">
        <f aca="false">SUM(M229:R229)</f>
        <v>168.4940078</v>
      </c>
      <c r="T229" s="39" t="n">
        <f aca="false">S229/(1-Resumo!$C$5)</f>
        <v>191.470463409091</v>
      </c>
      <c r="U229" s="39" t="n">
        <v>197.35</v>
      </c>
      <c r="V229" s="39" t="n">
        <f aca="false">J229*Resumo!$B$6</f>
        <v>0.59999</v>
      </c>
      <c r="W229" s="39" t="n">
        <f aca="false">J229*Resumo!$B$7</f>
        <v>1.19998</v>
      </c>
      <c r="X229" s="39" t="n">
        <f aca="false">Resumo!$B$9</f>
        <v>1</v>
      </c>
      <c r="Y229" s="39" t="n">
        <f aca="false">Resumo!$B$10*CEILING(I229/100,1)</f>
        <v>4.5</v>
      </c>
      <c r="Z229" s="39" t="n">
        <f aca="false">Resumo!$B$12*CEILING(I229,1)</f>
        <v>4.92</v>
      </c>
      <c r="AA229" s="39" t="n">
        <f aca="false">Resumo!$B$13*CEILING(I229,1)</f>
        <v>36.9</v>
      </c>
      <c r="AB229" s="39" t="n">
        <f aca="false">SUM(U229:AA229)</f>
        <v>246.46997</v>
      </c>
      <c r="AC229" s="39" t="n">
        <f aca="false">AB229/(1-Resumo!$B$5)</f>
        <v>280.079511363636</v>
      </c>
      <c r="AD229" s="39" t="n">
        <f aca="false">(AB229-AA229)/(1-Resumo!$B$5)</f>
        <v>238.147693181818</v>
      </c>
      <c r="AE229" s="39" t="n">
        <f aca="false">AC229-T229</f>
        <v>88.6090479545455</v>
      </c>
      <c r="AF229" s="40" t="n">
        <f aca="false">AC229/T229-1</f>
        <v>0.4627818117577</v>
      </c>
      <c r="AG229" s="37" t="str">
        <f aca="false">IF(AC229&lt;T229,"SIM","NÃO")</f>
        <v>NÃO</v>
      </c>
      <c r="AH229" s="37" t="n">
        <v>13</v>
      </c>
      <c r="AI229" s="37" t="n">
        <v>10</v>
      </c>
      <c r="AJ229" s="37" t="s">
        <v>327</v>
      </c>
    </row>
    <row r="230" customFormat="false" ht="15" hidden="false" customHeight="false" outlineLevel="0" collapsed="false">
      <c r="A230" s="37" t="n">
        <v>361687976</v>
      </c>
      <c r="B230" s="38" t="n">
        <v>46221.4631134259</v>
      </c>
      <c r="C230" s="37" t="s">
        <v>320</v>
      </c>
      <c r="D230" s="37" t="s">
        <v>557</v>
      </c>
      <c r="E230" s="37" t="n">
        <v>24425640</v>
      </c>
      <c r="F230" s="37" t="s">
        <v>140</v>
      </c>
      <c r="G230" s="37" t="s">
        <v>207</v>
      </c>
      <c r="H230" s="37" t="s">
        <v>168</v>
      </c>
      <c r="I230" s="37" t="n">
        <v>27.4</v>
      </c>
      <c r="J230" s="39" t="n">
        <v>359.99</v>
      </c>
      <c r="K230" s="37" t="s">
        <v>498</v>
      </c>
      <c r="L230" s="39" t="n">
        <v>99.45</v>
      </c>
      <c r="M230" s="39" t="n">
        <v>70</v>
      </c>
      <c r="N230" s="39" t="n">
        <f aca="false">J230*Resumo!$C$7</f>
        <v>0.71998</v>
      </c>
      <c r="O230" s="39" t="n">
        <f aca="false">J230*Resumo!$C$8</f>
        <v>0.71998</v>
      </c>
      <c r="P230" s="39" t="n">
        <f aca="false">Resumo!$C$10*CEILING(I230/100,1)</f>
        <v>1</v>
      </c>
      <c r="Q230" s="39" t="n">
        <f aca="false">Resumo!$C$9</f>
        <v>11.9</v>
      </c>
      <c r="R230" s="39" t="n">
        <f aca="false">SUM(M230:Q230)*Resumo!$C$11</f>
        <v>4.6386978</v>
      </c>
      <c r="S230" s="39" t="n">
        <f aca="false">SUM(M230:R230)</f>
        <v>88.9786578</v>
      </c>
      <c r="T230" s="39" t="n">
        <f aca="false">S230/(1-Resumo!$C$5)</f>
        <v>101.112111136364</v>
      </c>
      <c r="U230" s="39" t="n">
        <v>100.58</v>
      </c>
      <c r="V230" s="39" t="n">
        <f aca="false">J230*Resumo!$B$6</f>
        <v>0.35999</v>
      </c>
      <c r="W230" s="39" t="n">
        <f aca="false">J230*Resumo!$B$7</f>
        <v>0.71998</v>
      </c>
      <c r="X230" s="39" t="n">
        <f aca="false">Resumo!$B$9</f>
        <v>1</v>
      </c>
      <c r="Y230" s="39" t="n">
        <f aca="false">Resumo!$B$10*CEILING(I230/100,1)</f>
        <v>4.5</v>
      </c>
      <c r="Z230" s="39" t="n">
        <f aca="false">Resumo!$B$12*CEILING(I230,1)</f>
        <v>1.68</v>
      </c>
      <c r="AA230" s="39" t="n">
        <f aca="false">Resumo!$B$13*CEILING(I230,1)</f>
        <v>12.6</v>
      </c>
      <c r="AB230" s="39" t="n">
        <f aca="false">SUM(U230:AA230)</f>
        <v>121.43997</v>
      </c>
      <c r="AC230" s="39" t="n">
        <f aca="false">AB230/(1-Resumo!$B$5)</f>
        <v>137.999965909091</v>
      </c>
      <c r="AD230" s="39" t="n">
        <f aca="false">(AB230-AA230)/(1-Resumo!$B$5)</f>
        <v>123.681784090909</v>
      </c>
      <c r="AE230" s="39" t="n">
        <f aca="false">AC230-T230</f>
        <v>36.8878547727272</v>
      </c>
      <c r="AF230" s="40" t="n">
        <f aca="false">AC230/T230-1</f>
        <v>0.364821329098538</v>
      </c>
      <c r="AG230" s="37" t="str">
        <f aca="false">IF(AC230&lt;T230,"SIM","NÃO")</f>
        <v>NÃO</v>
      </c>
      <c r="AH230" s="37" t="n">
        <v>10</v>
      </c>
      <c r="AI230" s="37" t="n">
        <v>7</v>
      </c>
      <c r="AJ230" s="37" t="s">
        <v>323</v>
      </c>
    </row>
    <row r="231" customFormat="false" ht="15" hidden="false" customHeight="false" outlineLevel="0" collapsed="false">
      <c r="A231" s="37" t="n">
        <v>361726758</v>
      </c>
      <c r="B231" s="38" t="n">
        <v>46221.5580439815</v>
      </c>
      <c r="C231" s="37" t="s">
        <v>320</v>
      </c>
      <c r="D231" s="37" t="s">
        <v>558</v>
      </c>
      <c r="E231" s="37" t="n">
        <v>27966803</v>
      </c>
      <c r="F231" s="37" t="s">
        <v>146</v>
      </c>
      <c r="G231" s="37" t="s">
        <v>201</v>
      </c>
      <c r="H231" s="37" t="s">
        <v>168</v>
      </c>
      <c r="I231" s="37" t="n">
        <v>31</v>
      </c>
      <c r="J231" s="39" t="n">
        <v>299.99</v>
      </c>
      <c r="K231" s="37" t="s">
        <v>498</v>
      </c>
      <c r="L231" s="39" t="n">
        <v>108.45</v>
      </c>
      <c r="M231" s="39" t="n">
        <v>76.5</v>
      </c>
      <c r="N231" s="39" t="n">
        <f aca="false">J231*Resumo!$C$7</f>
        <v>0.59998</v>
      </c>
      <c r="O231" s="39" t="n">
        <f aca="false">J231*Resumo!$C$8</f>
        <v>0.59998</v>
      </c>
      <c r="P231" s="39" t="n">
        <f aca="false">Resumo!$C$10*CEILING(I231/100,1)</f>
        <v>1</v>
      </c>
      <c r="Q231" s="39" t="n">
        <f aca="false">Resumo!$C$9</f>
        <v>11.9</v>
      </c>
      <c r="R231" s="39" t="n">
        <f aca="false">SUM(M231:Q231)*Resumo!$C$11</f>
        <v>4.9829978</v>
      </c>
      <c r="S231" s="39" t="n">
        <f aca="false">SUM(M231:R231)</f>
        <v>95.5829578</v>
      </c>
      <c r="T231" s="39" t="n">
        <f aca="false">S231/(1-Resumo!$C$5)</f>
        <v>108.6169975</v>
      </c>
      <c r="U231" s="39" t="n">
        <v>138.29</v>
      </c>
      <c r="V231" s="39" t="n">
        <f aca="false">J231*Resumo!$B$6</f>
        <v>0.29999</v>
      </c>
      <c r="W231" s="39" t="n">
        <f aca="false">J231*Resumo!$B$7</f>
        <v>0.59998</v>
      </c>
      <c r="X231" s="39" t="n">
        <f aca="false">Resumo!$B$9</f>
        <v>1</v>
      </c>
      <c r="Y231" s="39" t="n">
        <f aca="false">Resumo!$B$10*CEILING(I231/100,1)</f>
        <v>4.5</v>
      </c>
      <c r="Z231" s="39" t="n">
        <f aca="false">Resumo!$B$12*CEILING(I231,1)</f>
        <v>1.86</v>
      </c>
      <c r="AA231" s="39" t="n">
        <f aca="false">Resumo!$B$13*CEILING(I231,1)</f>
        <v>13.95</v>
      </c>
      <c r="AB231" s="39" t="n">
        <f aca="false">SUM(U231:AA231)</f>
        <v>160.49997</v>
      </c>
      <c r="AC231" s="39" t="n">
        <f aca="false">AB231/(1-Resumo!$B$5)</f>
        <v>182.386329545455</v>
      </c>
      <c r="AD231" s="39" t="n">
        <f aca="false">(AB231-AA231)/(1-Resumo!$B$5)</f>
        <v>166.534056818182</v>
      </c>
      <c r="AE231" s="39" t="n">
        <f aca="false">AC231-T231</f>
        <v>73.7693320454546</v>
      </c>
      <c r="AF231" s="40" t="n">
        <f aca="false">AC231/T231-1</f>
        <v>0.679169317357116</v>
      </c>
      <c r="AG231" s="37" t="str">
        <f aca="false">IF(AC231&lt;T231,"SIM","NÃO")</f>
        <v>NÃO</v>
      </c>
      <c r="AH231" s="37" t="n">
        <v>13</v>
      </c>
      <c r="AI231" s="37" t="n">
        <v>11</v>
      </c>
      <c r="AJ231" s="37" t="s">
        <v>323</v>
      </c>
    </row>
    <row r="232" customFormat="false" ht="15" hidden="false" customHeight="false" outlineLevel="0" collapsed="false">
      <c r="A232" s="37" t="n">
        <v>361751065</v>
      </c>
      <c r="B232" s="38" t="n">
        <v>46221.6259606482</v>
      </c>
      <c r="C232" s="37" t="s">
        <v>325</v>
      </c>
      <c r="D232" s="37" t="s">
        <v>559</v>
      </c>
      <c r="E232" s="37" t="n">
        <v>26515600</v>
      </c>
      <c r="F232" s="37" t="s">
        <v>224</v>
      </c>
      <c r="G232" s="37" t="s">
        <v>207</v>
      </c>
      <c r="H232" s="37" t="s">
        <v>169</v>
      </c>
      <c r="I232" s="37" t="n">
        <v>37.6</v>
      </c>
      <c r="J232" s="39" t="n">
        <v>404.19</v>
      </c>
      <c r="K232" s="37" t="s">
        <v>498</v>
      </c>
      <c r="L232" s="39" t="n">
        <v>113.9</v>
      </c>
      <c r="M232" s="39" t="n">
        <v>79.65</v>
      </c>
      <c r="N232" s="39" t="n">
        <f aca="false">J232*Resumo!$C$7</f>
        <v>0.80838</v>
      </c>
      <c r="O232" s="39" t="n">
        <f aca="false">J232*Resumo!$C$8</f>
        <v>0.80838</v>
      </c>
      <c r="P232" s="39" t="n">
        <f aca="false">Resumo!$C$10*CEILING(I232/100,1)</f>
        <v>1</v>
      </c>
      <c r="Q232" s="39" t="n">
        <f aca="false">Resumo!$C$9</f>
        <v>11.9</v>
      </c>
      <c r="R232" s="39" t="n">
        <f aca="false">SUM(M232:Q232)*Resumo!$C$11</f>
        <v>5.1791718</v>
      </c>
      <c r="S232" s="39" t="n">
        <f aca="false">SUM(M232:R232)</f>
        <v>99.3459318</v>
      </c>
      <c r="T232" s="39" t="n">
        <f aca="false">S232/(1-Resumo!$C$5)</f>
        <v>112.893104318182</v>
      </c>
      <c r="U232" s="39" t="n">
        <v>93.97</v>
      </c>
      <c r="V232" s="39" t="n">
        <f aca="false">J232*Resumo!$B$6</f>
        <v>0.40419</v>
      </c>
      <c r="W232" s="39" t="n">
        <f aca="false">J232*Resumo!$B$7</f>
        <v>0.80838</v>
      </c>
      <c r="X232" s="39" t="n">
        <f aca="false">Resumo!$B$9</f>
        <v>1</v>
      </c>
      <c r="Y232" s="39" t="n">
        <f aca="false">Resumo!$B$10*CEILING(I232/100,1)</f>
        <v>4.5</v>
      </c>
      <c r="Z232" s="39" t="n">
        <f aca="false">Resumo!$B$12*CEILING(I232,1)</f>
        <v>2.28</v>
      </c>
      <c r="AA232" s="39" t="n">
        <f aca="false">Resumo!$B$13*CEILING(I232,1)</f>
        <v>17.1</v>
      </c>
      <c r="AB232" s="39" t="n">
        <f aca="false">SUM(U232:AA232)</f>
        <v>120.06257</v>
      </c>
      <c r="AC232" s="39" t="n">
        <f aca="false">AB232/(1-Resumo!$B$5)</f>
        <v>136.434738636364</v>
      </c>
      <c r="AD232" s="39" t="n">
        <f aca="false">(AB232-AA232)/(1-Resumo!$B$5)</f>
        <v>117.002920454545</v>
      </c>
      <c r="AE232" s="39" t="n">
        <f aca="false">AC232-T232</f>
        <v>23.5416343181818</v>
      </c>
      <c r="AF232" s="40" t="n">
        <f aca="false">AC232/T232-1</f>
        <v>0.208530312461169</v>
      </c>
      <c r="AG232" s="37" t="str">
        <f aca="false">IF(AC232&lt;T232,"SIM","NÃO")</f>
        <v>NÃO</v>
      </c>
      <c r="AH232" s="37" t="n">
        <v>10</v>
      </c>
      <c r="AI232" s="37" t="n">
        <v>5</v>
      </c>
      <c r="AJ232" s="37" t="s">
        <v>327</v>
      </c>
    </row>
    <row r="233" customFormat="false" ht="15" hidden="false" customHeight="false" outlineLevel="0" collapsed="false">
      <c r="A233" s="37" t="n">
        <v>361751893</v>
      </c>
      <c r="B233" s="38" t="n">
        <v>46221.6286689815</v>
      </c>
      <c r="C233" s="37" t="s">
        <v>320</v>
      </c>
      <c r="D233" s="37" t="s">
        <v>560</v>
      </c>
      <c r="E233" s="37" t="n">
        <v>23040400</v>
      </c>
      <c r="F233" s="37" t="s">
        <v>139</v>
      </c>
      <c r="G233" s="37" t="s">
        <v>198</v>
      </c>
      <c r="H233" s="37" t="s">
        <v>168</v>
      </c>
      <c r="I233" s="37" t="n">
        <v>31.9</v>
      </c>
      <c r="J233" s="39" t="n">
        <v>568.28</v>
      </c>
      <c r="K233" s="37" t="s">
        <v>498</v>
      </c>
      <c r="L233" s="39" t="n">
        <v>83.51</v>
      </c>
      <c r="M233" s="39" t="n">
        <v>54.1</v>
      </c>
      <c r="N233" s="39" t="n">
        <f aca="false">J233*Resumo!$C$7</f>
        <v>1.13656</v>
      </c>
      <c r="O233" s="39" t="n">
        <f aca="false">J233*Resumo!$C$8</f>
        <v>1.13656</v>
      </c>
      <c r="P233" s="39" t="n">
        <f aca="false">Resumo!$C$10*CEILING(I233/100,1)</f>
        <v>1</v>
      </c>
      <c r="Q233" s="39" t="n">
        <f aca="false">Resumo!$C$9</f>
        <v>11.9</v>
      </c>
      <c r="R233" s="39" t="n">
        <f aca="false">SUM(M233:Q233)*Resumo!$C$11</f>
        <v>3.8100216</v>
      </c>
      <c r="S233" s="39" t="n">
        <f aca="false">SUM(M233:R233)</f>
        <v>73.0831416</v>
      </c>
      <c r="T233" s="39" t="n">
        <f aca="false">S233/(1-Resumo!$C$5)</f>
        <v>83.0490245454546</v>
      </c>
      <c r="U233" s="39" t="n">
        <v>82.21</v>
      </c>
      <c r="V233" s="39" t="n">
        <f aca="false">J233*Resumo!$B$6</f>
        <v>0.56828</v>
      </c>
      <c r="W233" s="39" t="n">
        <f aca="false">J233*Resumo!$B$7</f>
        <v>1.13656</v>
      </c>
      <c r="X233" s="39" t="n">
        <f aca="false">Resumo!$B$9</f>
        <v>1</v>
      </c>
      <c r="Y233" s="39" t="n">
        <f aca="false">Resumo!$B$10*CEILING(I233/100,1)</f>
        <v>4.5</v>
      </c>
      <c r="Z233" s="39" t="n">
        <f aca="false">Resumo!$B$12*CEILING(I233,1)</f>
        <v>1.92</v>
      </c>
      <c r="AA233" s="39" t="n">
        <f aca="false">Resumo!$B$13*CEILING(I233,1)</f>
        <v>14.4</v>
      </c>
      <c r="AB233" s="39" t="n">
        <f aca="false">SUM(U233:AA233)</f>
        <v>105.73484</v>
      </c>
      <c r="AC233" s="39" t="n">
        <f aca="false">AB233/(1-Resumo!$B$5)</f>
        <v>120.153227272727</v>
      </c>
      <c r="AD233" s="39" t="n">
        <f aca="false">(AB233-AA233)/(1-Resumo!$B$5)</f>
        <v>103.789590909091</v>
      </c>
      <c r="AE233" s="39" t="n">
        <f aca="false">AC233-T233</f>
        <v>37.1042027272727</v>
      </c>
      <c r="AF233" s="40" t="n">
        <f aca="false">AC233/T233-1</f>
        <v>0.446774696395919</v>
      </c>
      <c r="AG233" s="37" t="str">
        <f aca="false">IF(AC233&lt;T233,"SIM","NÃO")</f>
        <v>NÃO</v>
      </c>
      <c r="AH233" s="37" t="n">
        <v>8</v>
      </c>
      <c r="AI233" s="37" t="n">
        <v>5</v>
      </c>
      <c r="AJ233" s="37" t="s">
        <v>323</v>
      </c>
    </row>
    <row r="234" customFormat="false" ht="15" hidden="false" customHeight="false" outlineLevel="0" collapsed="false">
      <c r="A234" s="37" t="n">
        <v>361762525</v>
      </c>
      <c r="B234" s="38" t="n">
        <v>46221.6542592593</v>
      </c>
      <c r="C234" s="37" t="s">
        <v>320</v>
      </c>
      <c r="D234" s="37" t="s">
        <v>561</v>
      </c>
      <c r="E234" s="37" t="n">
        <v>28611320</v>
      </c>
      <c r="F234" s="37" t="s">
        <v>157</v>
      </c>
      <c r="G234" s="37" t="s">
        <v>201</v>
      </c>
      <c r="H234" s="37" t="s">
        <v>169</v>
      </c>
      <c r="I234" s="37" t="n">
        <v>38.15</v>
      </c>
      <c r="J234" s="39" t="n">
        <v>459.99</v>
      </c>
      <c r="K234" s="37" t="s">
        <v>498</v>
      </c>
      <c r="L234" s="39" t="n">
        <v>123.93</v>
      </c>
      <c r="M234" s="39" t="n">
        <v>87.4</v>
      </c>
      <c r="N234" s="39" t="n">
        <f aca="false">J234*Resumo!$C$7</f>
        <v>0.91998</v>
      </c>
      <c r="O234" s="39" t="n">
        <f aca="false">J234*Resumo!$C$8</f>
        <v>0.91998</v>
      </c>
      <c r="P234" s="39" t="n">
        <f aca="false">Resumo!$C$10*CEILING(I234/100,1)</f>
        <v>1</v>
      </c>
      <c r="Q234" s="39" t="n">
        <f aca="false">Resumo!$C$9</f>
        <v>11.9</v>
      </c>
      <c r="R234" s="39" t="n">
        <f aca="false">SUM(M234:Q234)*Resumo!$C$11</f>
        <v>5.6176978</v>
      </c>
      <c r="S234" s="39" t="n">
        <f aca="false">SUM(M234:R234)</f>
        <v>107.7576578</v>
      </c>
      <c r="T234" s="39" t="n">
        <f aca="false">S234/(1-Resumo!$C$5)</f>
        <v>122.451883863636</v>
      </c>
      <c r="U234" s="39" t="n">
        <v>125.63</v>
      </c>
      <c r="V234" s="39" t="n">
        <f aca="false">J234*Resumo!$B$6</f>
        <v>0.45999</v>
      </c>
      <c r="W234" s="39" t="n">
        <f aca="false">J234*Resumo!$B$7</f>
        <v>0.91998</v>
      </c>
      <c r="X234" s="39" t="n">
        <f aca="false">Resumo!$B$9</f>
        <v>1</v>
      </c>
      <c r="Y234" s="39" t="n">
        <f aca="false">Resumo!$B$10*CEILING(I234/100,1)</f>
        <v>4.5</v>
      </c>
      <c r="Z234" s="39" t="n">
        <f aca="false">Resumo!$B$12*CEILING(I234,1)</f>
        <v>2.34</v>
      </c>
      <c r="AA234" s="39" t="n">
        <f aca="false">Resumo!$B$13*CEILING(I234,1)</f>
        <v>17.55</v>
      </c>
      <c r="AB234" s="39" t="n">
        <f aca="false">SUM(U234:AA234)</f>
        <v>152.39997</v>
      </c>
      <c r="AC234" s="39" t="n">
        <f aca="false">AB234/(1-Resumo!$B$5)</f>
        <v>173.181784090909</v>
      </c>
      <c r="AD234" s="39" t="n">
        <f aca="false">(AB234-AA234)/(1-Resumo!$B$5)</f>
        <v>153.238602272727</v>
      </c>
      <c r="AE234" s="39" t="n">
        <f aca="false">AC234-T234</f>
        <v>50.7299002272727</v>
      </c>
      <c r="AF234" s="40" t="n">
        <f aca="false">AC234/T234-1</f>
        <v>0.414284359101948</v>
      </c>
      <c r="AG234" s="37" t="str">
        <f aca="false">IF(AC234&lt;T234,"SIM","NÃO")</f>
        <v>NÃO</v>
      </c>
      <c r="AH234" s="37" t="n">
        <v>13</v>
      </c>
      <c r="AI234" s="37" t="n">
        <v>10</v>
      </c>
      <c r="AJ234" s="37" t="s">
        <v>323</v>
      </c>
    </row>
    <row r="235" customFormat="false" ht="15" hidden="false" customHeight="false" outlineLevel="0" collapsed="false">
      <c r="A235" s="37" t="n">
        <v>361773470</v>
      </c>
      <c r="B235" s="38" t="n">
        <v>46221.6788657407</v>
      </c>
      <c r="C235" s="37" t="s">
        <v>325</v>
      </c>
      <c r="D235" s="37" t="s">
        <v>562</v>
      </c>
      <c r="E235" s="37" t="n">
        <v>26950000</v>
      </c>
      <c r="F235" s="37" t="s">
        <v>229</v>
      </c>
      <c r="G235" s="37" t="s">
        <v>201</v>
      </c>
      <c r="H235" s="37" t="s">
        <v>172</v>
      </c>
      <c r="I235" s="37" t="n">
        <v>61.4</v>
      </c>
      <c r="J235" s="39" t="n">
        <v>863.2</v>
      </c>
      <c r="K235" s="37" t="s">
        <v>498</v>
      </c>
      <c r="L235" s="39" t="n">
        <v>154.91</v>
      </c>
      <c r="M235" s="39" t="n">
        <v>113.9</v>
      </c>
      <c r="N235" s="39" t="n">
        <f aca="false">J235*Resumo!$C$7</f>
        <v>1.7264</v>
      </c>
      <c r="O235" s="39" t="n">
        <f aca="false">J235*Resumo!$C$8</f>
        <v>1.7264</v>
      </c>
      <c r="P235" s="39" t="n">
        <f aca="false">Resumo!$C$10*CEILING(I235/100,1)</f>
        <v>1</v>
      </c>
      <c r="Q235" s="39" t="n">
        <f aca="false">Resumo!$C$9</f>
        <v>11.9</v>
      </c>
      <c r="R235" s="39" t="n">
        <f aca="false">SUM(M235:Q235)*Resumo!$C$11</f>
        <v>7.163904</v>
      </c>
      <c r="S235" s="39" t="n">
        <f aca="false">SUM(M235:R235)</f>
        <v>137.416704</v>
      </c>
      <c r="T235" s="39" t="n">
        <f aca="false">S235/(1-Resumo!$C$5)</f>
        <v>156.155345454545</v>
      </c>
      <c r="U235" s="39" t="n">
        <v>166.05</v>
      </c>
      <c r="V235" s="39" t="n">
        <f aca="false">J235*Resumo!$B$6</f>
        <v>0.8632</v>
      </c>
      <c r="W235" s="39" t="n">
        <f aca="false">J235*Resumo!$B$7</f>
        <v>1.7264</v>
      </c>
      <c r="X235" s="39" t="n">
        <f aca="false">Resumo!$B$9</f>
        <v>1</v>
      </c>
      <c r="Y235" s="39" t="n">
        <f aca="false">Resumo!$B$10*CEILING(I235/100,1)</f>
        <v>4.5</v>
      </c>
      <c r="Z235" s="39" t="n">
        <f aca="false">Resumo!$B$12*CEILING(I235,1)</f>
        <v>3.72</v>
      </c>
      <c r="AA235" s="39" t="n">
        <f aca="false">Resumo!$B$13*CEILING(I235,1)</f>
        <v>27.9</v>
      </c>
      <c r="AB235" s="39" t="n">
        <f aca="false">SUM(U235:AA235)</f>
        <v>205.7596</v>
      </c>
      <c r="AC235" s="39" t="n">
        <f aca="false">AB235/(1-Resumo!$B$5)</f>
        <v>233.817727272727</v>
      </c>
      <c r="AD235" s="39" t="n">
        <f aca="false">(AB235-AA235)/(1-Resumo!$B$5)</f>
        <v>202.113181818182</v>
      </c>
      <c r="AE235" s="39" t="n">
        <f aca="false">AC235-T235</f>
        <v>77.6623818181818</v>
      </c>
      <c r="AF235" s="40" t="n">
        <f aca="false">AC235/T235-1</f>
        <v>0.497340527102149</v>
      </c>
      <c r="AG235" s="37" t="str">
        <f aca="false">IF(AC235&lt;T235,"SIM","NÃO")</f>
        <v>NÃO</v>
      </c>
      <c r="AH235" s="37" t="n">
        <v>13</v>
      </c>
      <c r="AI235" s="37" t="n">
        <v>10</v>
      </c>
      <c r="AJ235" s="37" t="s">
        <v>327</v>
      </c>
    </row>
    <row r="236" customFormat="false" ht="15" hidden="false" customHeight="false" outlineLevel="0" collapsed="false">
      <c r="A236" s="37" t="n">
        <v>361773277</v>
      </c>
      <c r="B236" s="38" t="n">
        <v>46221.681400463</v>
      </c>
      <c r="C236" s="37" t="s">
        <v>355</v>
      </c>
      <c r="D236" s="37" t="s">
        <v>563</v>
      </c>
      <c r="E236" s="37" t="n">
        <v>25515180</v>
      </c>
      <c r="F236" s="37" t="s">
        <v>147</v>
      </c>
      <c r="G236" s="37" t="s">
        <v>207</v>
      </c>
      <c r="H236" s="37" t="s">
        <v>174</v>
      </c>
      <c r="I236" s="37" t="n">
        <v>83.9</v>
      </c>
      <c r="J236" s="39" t="n">
        <v>1008.59</v>
      </c>
      <c r="K236" s="37" t="s">
        <v>498</v>
      </c>
      <c r="L236" s="39" t="n">
        <v>169.27</v>
      </c>
      <c r="M236" s="39" t="n">
        <v>127.92</v>
      </c>
      <c r="N236" s="39" t="n">
        <f aca="false">J236*Resumo!$C$7</f>
        <v>2.01718</v>
      </c>
      <c r="O236" s="39" t="n">
        <f aca="false">J236*Resumo!$C$8</f>
        <v>2.01718</v>
      </c>
      <c r="P236" s="39" t="n">
        <f aca="false">Resumo!$C$10*CEILING(I236/100,1)</f>
        <v>1</v>
      </c>
      <c r="Q236" s="39" t="n">
        <f aca="false">Resumo!$C$9</f>
        <v>11.9</v>
      </c>
      <c r="R236" s="39" t="n">
        <f aca="false">SUM(M236:Q236)*Resumo!$C$11</f>
        <v>7.9669898</v>
      </c>
      <c r="S236" s="39" t="n">
        <f aca="false">SUM(M236:R236)</f>
        <v>152.8213498</v>
      </c>
      <c r="T236" s="39" t="n">
        <f aca="false">S236/(1-Resumo!$C$5)</f>
        <v>173.660624772727</v>
      </c>
      <c r="U236" s="39" t="n">
        <v>167.99</v>
      </c>
      <c r="V236" s="39" t="n">
        <f aca="false">J236*Resumo!$B$6</f>
        <v>1.00859</v>
      </c>
      <c r="W236" s="39" t="n">
        <f aca="false">J236*Resumo!$B$7</f>
        <v>2.01718</v>
      </c>
      <c r="X236" s="39" t="n">
        <f aca="false">Resumo!$B$9</f>
        <v>1</v>
      </c>
      <c r="Y236" s="39" t="n">
        <f aca="false">Resumo!$B$10*CEILING(I236/100,1)</f>
        <v>4.5</v>
      </c>
      <c r="Z236" s="39" t="n">
        <f aca="false">Resumo!$B$12*CEILING(I236,1)</f>
        <v>5.04</v>
      </c>
      <c r="AA236" s="39" t="n">
        <f aca="false">Resumo!$B$13*CEILING(I236,1)</f>
        <v>37.8</v>
      </c>
      <c r="AB236" s="39" t="n">
        <f aca="false">SUM(U236:AA236)</f>
        <v>219.35577</v>
      </c>
      <c r="AC236" s="39" t="n">
        <f aca="false">AB236/(1-Resumo!$B$5)</f>
        <v>249.267920454545</v>
      </c>
      <c r="AD236" s="39" t="n">
        <f aca="false">(AB236-AA236)/(1-Resumo!$B$5)</f>
        <v>206.313375</v>
      </c>
      <c r="AE236" s="39" t="n">
        <f aca="false">AC236-T236</f>
        <v>75.6072956818182</v>
      </c>
      <c r="AF236" s="40" t="n">
        <f aca="false">AC236/T236-1</f>
        <v>0.43537385507375</v>
      </c>
      <c r="AG236" s="37" t="str">
        <f aca="false">IF(AC236&lt;T236,"SIM","NÃO")</f>
        <v>NÃO</v>
      </c>
      <c r="AH236" s="37" t="n">
        <v>10</v>
      </c>
      <c r="AI236" s="37" t="n">
        <v>5</v>
      </c>
      <c r="AJ236" s="37" t="s">
        <v>323</v>
      </c>
    </row>
    <row r="237" customFormat="false" ht="15" hidden="false" customHeight="false" outlineLevel="0" collapsed="false">
      <c r="A237" s="37" t="n">
        <v>361780299</v>
      </c>
      <c r="B237" s="38" t="n">
        <v>46221.6937731481</v>
      </c>
      <c r="C237" s="37" t="s">
        <v>320</v>
      </c>
      <c r="D237" s="37" t="s">
        <v>564</v>
      </c>
      <c r="E237" s="37" t="n">
        <v>24913350</v>
      </c>
      <c r="F237" s="37" t="s">
        <v>151</v>
      </c>
      <c r="G237" s="37" t="s">
        <v>201</v>
      </c>
      <c r="H237" s="37" t="s">
        <v>171</v>
      </c>
      <c r="I237" s="37" t="n">
        <v>58.6</v>
      </c>
      <c r="J237" s="39" t="n">
        <v>769.99</v>
      </c>
      <c r="K237" s="37" t="s">
        <v>498</v>
      </c>
      <c r="L237" s="39" t="n">
        <v>145.42</v>
      </c>
      <c r="M237" s="39" t="n">
        <v>103.6</v>
      </c>
      <c r="N237" s="39" t="n">
        <f aca="false">J237*Resumo!$C$7</f>
        <v>1.53998</v>
      </c>
      <c r="O237" s="39" t="n">
        <f aca="false">J237*Resumo!$C$8</f>
        <v>1.53998</v>
      </c>
      <c r="P237" s="39" t="n">
        <f aca="false">Resumo!$C$10*CEILING(I237/100,1)</f>
        <v>1</v>
      </c>
      <c r="Q237" s="39" t="n">
        <f aca="false">Resumo!$C$9</f>
        <v>11.9</v>
      </c>
      <c r="R237" s="39" t="n">
        <f aca="false">SUM(M237:Q237)*Resumo!$C$11</f>
        <v>6.5768978</v>
      </c>
      <c r="S237" s="39" t="n">
        <f aca="false">SUM(M237:R237)</f>
        <v>126.1568578</v>
      </c>
      <c r="T237" s="39" t="n">
        <f aca="false">S237/(1-Resumo!$C$5)</f>
        <v>143.360065681818</v>
      </c>
      <c r="U237" s="39" t="n">
        <v>128.14</v>
      </c>
      <c r="V237" s="39" t="n">
        <f aca="false">J237*Resumo!$B$6</f>
        <v>0.76999</v>
      </c>
      <c r="W237" s="39" t="n">
        <f aca="false">J237*Resumo!$B$7</f>
        <v>1.53998</v>
      </c>
      <c r="X237" s="39" t="n">
        <f aca="false">Resumo!$B$9</f>
        <v>1</v>
      </c>
      <c r="Y237" s="39" t="n">
        <f aca="false">Resumo!$B$10*CEILING(I237/100,1)</f>
        <v>4.5</v>
      </c>
      <c r="Z237" s="39" t="n">
        <f aca="false">Resumo!$B$12*CEILING(I237,1)</f>
        <v>3.54</v>
      </c>
      <c r="AA237" s="39" t="n">
        <f aca="false">Resumo!$B$13*CEILING(I237,1)</f>
        <v>26.55</v>
      </c>
      <c r="AB237" s="39" t="n">
        <f aca="false">SUM(U237:AA237)</f>
        <v>166.03997</v>
      </c>
      <c r="AC237" s="39" t="n">
        <f aca="false">AB237/(1-Resumo!$B$5)</f>
        <v>188.681784090909</v>
      </c>
      <c r="AD237" s="39" t="n">
        <f aca="false">(AB237-AA237)/(1-Resumo!$B$5)</f>
        <v>158.511329545455</v>
      </c>
      <c r="AE237" s="39" t="n">
        <f aca="false">AC237-T237</f>
        <v>45.3217184090909</v>
      </c>
      <c r="AF237" s="40" t="n">
        <f aca="false">AC237/T237-1</f>
        <v>0.316139073971134</v>
      </c>
      <c r="AG237" s="37" t="str">
        <f aca="false">IF(AC237&lt;T237,"SIM","NÃO")</f>
        <v>NÃO</v>
      </c>
      <c r="AH237" s="37" t="n">
        <v>13</v>
      </c>
      <c r="AI237" s="37" t="n">
        <v>7</v>
      </c>
      <c r="AJ237" s="37" t="s">
        <v>323</v>
      </c>
    </row>
    <row r="238" customFormat="false" ht="15" hidden="false" customHeight="false" outlineLevel="0" collapsed="false">
      <c r="A238" s="37" t="n">
        <v>361794393</v>
      </c>
      <c r="B238" s="38" t="n">
        <v>46221.7251273148</v>
      </c>
      <c r="C238" s="37" t="s">
        <v>325</v>
      </c>
      <c r="D238" s="37" t="s">
        <v>565</v>
      </c>
      <c r="E238" s="37" t="n">
        <v>23565005</v>
      </c>
      <c r="F238" s="37" t="s">
        <v>139</v>
      </c>
      <c r="G238" s="37" t="s">
        <v>198</v>
      </c>
      <c r="H238" s="37" t="s">
        <v>168</v>
      </c>
      <c r="I238" s="37" t="n">
        <v>33</v>
      </c>
      <c r="J238" s="39" t="n">
        <v>399.99</v>
      </c>
      <c r="K238" s="37" t="s">
        <v>498</v>
      </c>
      <c r="L238" s="39" t="n">
        <v>83.23</v>
      </c>
      <c r="M238" s="39" t="n">
        <v>54.1</v>
      </c>
      <c r="N238" s="39" t="n">
        <f aca="false">J238*Resumo!$C$7</f>
        <v>0.79998</v>
      </c>
      <c r="O238" s="39" t="n">
        <f aca="false">J238*Resumo!$C$8</f>
        <v>0.79998</v>
      </c>
      <c r="P238" s="39" t="n">
        <f aca="false">Resumo!$C$10*CEILING(I238/100,1)</f>
        <v>1</v>
      </c>
      <c r="Q238" s="39" t="n">
        <f aca="false">Resumo!$C$9</f>
        <v>11.9</v>
      </c>
      <c r="R238" s="39" t="n">
        <f aca="false">SUM(M238:Q238)*Resumo!$C$11</f>
        <v>3.7729978</v>
      </c>
      <c r="S238" s="39" t="n">
        <f aca="false">SUM(M238:R238)</f>
        <v>72.3729578</v>
      </c>
      <c r="T238" s="39" t="n">
        <f aca="false">S238/(1-Resumo!$C$5)</f>
        <v>82.2419975</v>
      </c>
      <c r="U238" s="39" t="n">
        <v>82.21</v>
      </c>
      <c r="V238" s="39" t="n">
        <f aca="false">J238*Resumo!$B$6</f>
        <v>0.39999</v>
      </c>
      <c r="W238" s="39" t="n">
        <f aca="false">J238*Resumo!$B$7</f>
        <v>0.79998</v>
      </c>
      <c r="X238" s="39" t="n">
        <f aca="false">Resumo!$B$9</f>
        <v>1</v>
      </c>
      <c r="Y238" s="39" t="n">
        <f aca="false">Resumo!$B$10*CEILING(I238/100,1)</f>
        <v>4.5</v>
      </c>
      <c r="Z238" s="39" t="n">
        <f aca="false">Resumo!$B$12*CEILING(I238,1)</f>
        <v>1.98</v>
      </c>
      <c r="AA238" s="39" t="n">
        <f aca="false">Resumo!$B$13*CEILING(I238,1)</f>
        <v>14.85</v>
      </c>
      <c r="AB238" s="39" t="n">
        <f aca="false">SUM(U238:AA238)</f>
        <v>105.73997</v>
      </c>
      <c r="AC238" s="39" t="n">
        <f aca="false">AB238/(1-Resumo!$B$5)</f>
        <v>120.159056818182</v>
      </c>
      <c r="AD238" s="39" t="n">
        <f aca="false">(AB238-AA238)/(1-Resumo!$B$5)</f>
        <v>103.284056818182</v>
      </c>
      <c r="AE238" s="39" t="n">
        <f aca="false">AC238-T238</f>
        <v>37.9170593181818</v>
      </c>
      <c r="AF238" s="40" t="n">
        <f aca="false">AC238/T238-1</f>
        <v>0.461042538736754</v>
      </c>
      <c r="AG238" s="37" t="str">
        <f aca="false">IF(AC238&lt;T238,"SIM","NÃO")</f>
        <v>NÃO</v>
      </c>
      <c r="AH238" s="37" t="n">
        <v>8</v>
      </c>
      <c r="AI238" s="37" t="n">
        <v>5</v>
      </c>
      <c r="AJ238" s="37" t="s">
        <v>323</v>
      </c>
    </row>
    <row r="239" customFormat="false" ht="15" hidden="false" customHeight="false" outlineLevel="0" collapsed="false">
      <c r="A239" s="37" t="n">
        <v>361825833</v>
      </c>
      <c r="B239" s="38" t="n">
        <v>46221.794525463</v>
      </c>
      <c r="C239" s="37" t="s">
        <v>359</v>
      </c>
      <c r="D239" s="37" t="s">
        <v>566</v>
      </c>
      <c r="E239" s="37" t="n">
        <v>22790430</v>
      </c>
      <c r="F239" s="37" t="s">
        <v>139</v>
      </c>
      <c r="G239" s="37" t="s">
        <v>198</v>
      </c>
      <c r="H239" s="37" t="s">
        <v>171</v>
      </c>
      <c r="I239" s="37" t="n">
        <v>55</v>
      </c>
      <c r="J239" s="39" t="n">
        <v>719.98</v>
      </c>
      <c r="K239" s="37" t="s">
        <v>322</v>
      </c>
      <c r="L239" s="39" t="n">
        <v>114.6</v>
      </c>
      <c r="M239" s="39" t="n">
        <v>79.81</v>
      </c>
      <c r="N239" s="39" t="n">
        <f aca="false">J239*Resumo!$C$7</f>
        <v>1.43996</v>
      </c>
      <c r="O239" s="39" t="n">
        <f aca="false">J239*Resumo!$C$8</f>
        <v>1.43996</v>
      </c>
      <c r="P239" s="39" t="n">
        <f aca="false">Resumo!$C$10*CEILING(I239/100,1)</f>
        <v>1</v>
      </c>
      <c r="Q239" s="39" t="n">
        <f aca="false">Resumo!$C$9</f>
        <v>11.9</v>
      </c>
      <c r="R239" s="39" t="n">
        <f aca="false">SUM(M239:Q239)*Resumo!$C$11</f>
        <v>5.2574456</v>
      </c>
      <c r="S239" s="39" t="n">
        <f aca="false">SUM(M239:R239)</f>
        <v>100.8473656</v>
      </c>
      <c r="T239" s="39" t="n">
        <f aca="false">S239/(1-Resumo!$C$5)</f>
        <v>114.599279090909</v>
      </c>
      <c r="U239" s="39" t="n">
        <v>112.3</v>
      </c>
      <c r="V239" s="39" t="n">
        <f aca="false">J239*Resumo!$B$6</f>
        <v>0.71998</v>
      </c>
      <c r="W239" s="39" t="n">
        <f aca="false">J239*Resumo!$B$7</f>
        <v>1.43996</v>
      </c>
      <c r="X239" s="39" t="n">
        <f aca="false">Resumo!$B$9</f>
        <v>1</v>
      </c>
      <c r="Y239" s="39" t="n">
        <f aca="false">Resumo!$B$10*CEILING(I239/100,1)</f>
        <v>4.5</v>
      </c>
      <c r="Z239" s="39" t="n">
        <f aca="false">Resumo!$B$12*CEILING(I239,1)</f>
        <v>3.3</v>
      </c>
      <c r="AA239" s="39" t="n">
        <f aca="false">Resumo!$B$13*CEILING(I239,1)</f>
        <v>24.75</v>
      </c>
      <c r="AB239" s="39" t="n">
        <f aca="false">SUM(U239:AA239)</f>
        <v>148.00994</v>
      </c>
      <c r="AC239" s="39" t="n">
        <f aca="false">AB239/(1-Resumo!$B$5)</f>
        <v>168.193113636364</v>
      </c>
      <c r="AD239" s="39" t="n">
        <f aca="false">(AB239-AA239)/(1-Resumo!$B$5)</f>
        <v>140.068113636364</v>
      </c>
      <c r="AE239" s="39" t="n">
        <f aca="false">AC239-T239</f>
        <v>53.5938345454546</v>
      </c>
      <c r="AF239" s="40" t="n">
        <f aca="false">AC239/T239-1</f>
        <v>0.467662929213889</v>
      </c>
      <c r="AG239" s="37" t="str">
        <f aca="false">IF(AC239&lt;T239,"SIM","NÃO")</f>
        <v>NÃO</v>
      </c>
      <c r="AH239" s="37" t="n">
        <v>8</v>
      </c>
      <c r="AI239" s="37" t="n">
        <v>5</v>
      </c>
      <c r="AJ239" s="37" t="s">
        <v>323</v>
      </c>
    </row>
    <row r="240" customFormat="false" ht="15" hidden="false" customHeight="false" outlineLevel="0" collapsed="false">
      <c r="A240" s="37" t="n">
        <v>361834758</v>
      </c>
      <c r="B240" s="38" t="n">
        <v>46221.8145949074</v>
      </c>
      <c r="C240" s="37" t="s">
        <v>320</v>
      </c>
      <c r="D240" s="37" t="s">
        <v>567</v>
      </c>
      <c r="E240" s="37" t="n">
        <v>26250380</v>
      </c>
      <c r="F240" s="37" t="s">
        <v>142</v>
      </c>
      <c r="G240" s="37" t="s">
        <v>207</v>
      </c>
      <c r="H240" s="37" t="s">
        <v>168</v>
      </c>
      <c r="I240" s="37" t="n">
        <v>31.9</v>
      </c>
      <c r="J240" s="39" t="n">
        <v>568.28</v>
      </c>
      <c r="K240" s="37" t="s">
        <v>322</v>
      </c>
      <c r="L240" s="39" t="n">
        <v>102.11</v>
      </c>
      <c r="M240" s="39" t="n">
        <v>70</v>
      </c>
      <c r="N240" s="39" t="n">
        <f aca="false">J240*Resumo!$C$7</f>
        <v>1.13656</v>
      </c>
      <c r="O240" s="39" t="n">
        <f aca="false">J240*Resumo!$C$8</f>
        <v>1.13656</v>
      </c>
      <c r="P240" s="39" t="n">
        <f aca="false">Resumo!$C$10*CEILING(I240/100,1)</f>
        <v>1</v>
      </c>
      <c r="Q240" s="39" t="n">
        <f aca="false">Resumo!$C$9</f>
        <v>11.9</v>
      </c>
      <c r="R240" s="39" t="n">
        <f aca="false">SUM(M240:Q240)*Resumo!$C$11</f>
        <v>4.6845216</v>
      </c>
      <c r="S240" s="39" t="n">
        <f aca="false">SUM(M240:R240)</f>
        <v>89.8576416</v>
      </c>
      <c r="T240" s="39" t="n">
        <f aca="false">S240/(1-Resumo!$C$5)</f>
        <v>102.110956363636</v>
      </c>
      <c r="U240" s="39" t="n">
        <v>82.21</v>
      </c>
      <c r="V240" s="39" t="n">
        <f aca="false">J240*Resumo!$B$6</f>
        <v>0.56828</v>
      </c>
      <c r="W240" s="39" t="n">
        <f aca="false">J240*Resumo!$B$7</f>
        <v>1.13656</v>
      </c>
      <c r="X240" s="39" t="n">
        <f aca="false">Resumo!$B$9</f>
        <v>1</v>
      </c>
      <c r="Y240" s="39" t="n">
        <f aca="false">Resumo!$B$10*CEILING(I240/100,1)</f>
        <v>4.5</v>
      </c>
      <c r="Z240" s="39" t="n">
        <f aca="false">Resumo!$B$12*CEILING(I240,1)</f>
        <v>1.92</v>
      </c>
      <c r="AA240" s="39" t="n">
        <f aca="false">Resumo!$B$13*CEILING(I240,1)</f>
        <v>14.4</v>
      </c>
      <c r="AB240" s="39" t="n">
        <f aca="false">SUM(U240:AA240)</f>
        <v>105.73484</v>
      </c>
      <c r="AC240" s="39" t="n">
        <f aca="false">AB240/(1-Resumo!$B$5)</f>
        <v>120.153227272727</v>
      </c>
      <c r="AD240" s="39" t="n">
        <f aca="false">(AB240-AA240)/(1-Resumo!$B$5)</f>
        <v>103.789590909091</v>
      </c>
      <c r="AE240" s="39" t="n">
        <f aca="false">AC240-T240</f>
        <v>18.0422709090909</v>
      </c>
      <c r="AF240" s="40" t="n">
        <f aca="false">AC240/T240-1</f>
        <v>0.17669280116072</v>
      </c>
      <c r="AG240" s="37" t="str">
        <f aca="false">IF(AC240&lt;T240,"SIM","NÃO")</f>
        <v>NÃO</v>
      </c>
      <c r="AH240" s="37" t="n">
        <v>10</v>
      </c>
      <c r="AI240" s="37" t="n">
        <v>5</v>
      </c>
      <c r="AJ240" s="37" t="s">
        <v>323</v>
      </c>
    </row>
    <row r="241" customFormat="false" ht="15" hidden="false" customHeight="false" outlineLevel="0" collapsed="false">
      <c r="A241" s="37" t="n">
        <v>361862838</v>
      </c>
      <c r="B241" s="38" t="n">
        <v>46221.8712847222</v>
      </c>
      <c r="C241" s="37" t="s">
        <v>320</v>
      </c>
      <c r="D241" s="37" t="s">
        <v>568</v>
      </c>
      <c r="E241" s="37" t="n">
        <v>27963834</v>
      </c>
      <c r="F241" s="37" t="s">
        <v>146</v>
      </c>
      <c r="G241" s="37" t="s">
        <v>201</v>
      </c>
      <c r="H241" s="37" t="s">
        <v>171</v>
      </c>
      <c r="I241" s="37" t="n">
        <v>58.6</v>
      </c>
      <c r="J241" s="39" t="n">
        <v>769.99</v>
      </c>
      <c r="K241" s="37" t="s">
        <v>498</v>
      </c>
      <c r="L241" s="39" t="n">
        <v>145.42</v>
      </c>
      <c r="M241" s="39" t="n">
        <v>103.6</v>
      </c>
      <c r="N241" s="39" t="n">
        <f aca="false">J241*Resumo!$C$7</f>
        <v>1.53998</v>
      </c>
      <c r="O241" s="39" t="n">
        <f aca="false">J241*Resumo!$C$8</f>
        <v>1.53998</v>
      </c>
      <c r="P241" s="39" t="n">
        <f aca="false">Resumo!$C$10*CEILING(I241/100,1)</f>
        <v>1</v>
      </c>
      <c r="Q241" s="39" t="n">
        <f aca="false">Resumo!$C$9</f>
        <v>11.9</v>
      </c>
      <c r="R241" s="39" t="n">
        <f aca="false">SUM(M241:Q241)*Resumo!$C$11</f>
        <v>6.5768978</v>
      </c>
      <c r="S241" s="39" t="n">
        <f aca="false">SUM(M241:R241)</f>
        <v>126.1568578</v>
      </c>
      <c r="T241" s="39" t="n">
        <f aca="false">S241/(1-Resumo!$C$5)</f>
        <v>143.360065681818</v>
      </c>
      <c r="U241" s="39" t="n">
        <v>162.04</v>
      </c>
      <c r="V241" s="39" t="n">
        <f aca="false">J241*Resumo!$B$6</f>
        <v>0.76999</v>
      </c>
      <c r="W241" s="39" t="n">
        <f aca="false">J241*Resumo!$B$7</f>
        <v>1.53998</v>
      </c>
      <c r="X241" s="39" t="n">
        <f aca="false">Resumo!$B$9</f>
        <v>1</v>
      </c>
      <c r="Y241" s="39" t="n">
        <f aca="false">Resumo!$B$10*CEILING(I241/100,1)</f>
        <v>4.5</v>
      </c>
      <c r="Z241" s="39" t="n">
        <f aca="false">Resumo!$B$12*CEILING(I241,1)</f>
        <v>3.54</v>
      </c>
      <c r="AA241" s="39" t="n">
        <f aca="false">Resumo!$B$13*CEILING(I241,1)</f>
        <v>26.55</v>
      </c>
      <c r="AB241" s="39" t="n">
        <f aca="false">SUM(U241:AA241)</f>
        <v>199.93997</v>
      </c>
      <c r="AC241" s="39" t="n">
        <f aca="false">AB241/(1-Resumo!$B$5)</f>
        <v>227.204511363636</v>
      </c>
      <c r="AD241" s="39" t="n">
        <f aca="false">(AB241-AA241)/(1-Resumo!$B$5)</f>
        <v>197.034056818182</v>
      </c>
      <c r="AE241" s="39" t="n">
        <f aca="false">AC241-T241</f>
        <v>83.8444456818182</v>
      </c>
      <c r="AF241" s="40" t="n">
        <f aca="false">AC241/T241-1</f>
        <v>0.584852171230917</v>
      </c>
      <c r="AG241" s="37" t="str">
        <f aca="false">IF(AC241&lt;T241,"SIM","NÃO")</f>
        <v>NÃO</v>
      </c>
      <c r="AH241" s="37" t="n">
        <v>13</v>
      </c>
      <c r="AI241" s="37" t="n">
        <v>11</v>
      </c>
      <c r="AJ241" s="37" t="s">
        <v>323</v>
      </c>
    </row>
    <row r="242" customFormat="false" ht="15" hidden="false" customHeight="false" outlineLevel="0" collapsed="false">
      <c r="A242" s="37" t="n">
        <v>361867913</v>
      </c>
      <c r="B242" s="38" t="n">
        <v>46221.8801273148</v>
      </c>
      <c r="C242" s="37" t="s">
        <v>320</v>
      </c>
      <c r="D242" s="37" t="s">
        <v>569</v>
      </c>
      <c r="E242" s="37" t="n">
        <v>23030372</v>
      </c>
      <c r="F242" s="37" t="s">
        <v>139</v>
      </c>
      <c r="G242" s="37" t="s">
        <v>198</v>
      </c>
      <c r="H242" s="37" t="s">
        <v>167</v>
      </c>
      <c r="I242" s="37" t="n">
        <v>19.5</v>
      </c>
      <c r="J242" s="39" t="n">
        <v>389.99</v>
      </c>
      <c r="K242" s="37" t="s">
        <v>498</v>
      </c>
      <c r="L242" s="39" t="n">
        <v>66.66</v>
      </c>
      <c r="M242" s="39" t="n">
        <v>39.83</v>
      </c>
      <c r="N242" s="39" t="n">
        <f aca="false">J242*Resumo!$C$7</f>
        <v>0.77998</v>
      </c>
      <c r="O242" s="39" t="n">
        <f aca="false">J242*Resumo!$C$8</f>
        <v>0.77998</v>
      </c>
      <c r="P242" s="39" t="n">
        <f aca="false">Resumo!$C$10*CEILING(I242/100,1)</f>
        <v>1</v>
      </c>
      <c r="Q242" s="39" t="n">
        <f aca="false">Resumo!$C$9</f>
        <v>11.9</v>
      </c>
      <c r="R242" s="39" t="n">
        <f aca="false">SUM(M242:Q242)*Resumo!$C$11</f>
        <v>2.9859478</v>
      </c>
      <c r="S242" s="39" t="n">
        <f aca="false">SUM(M242:R242)</f>
        <v>57.2759078</v>
      </c>
      <c r="T242" s="39" t="n">
        <f aca="false">S242/(1-Resumo!$C$5)</f>
        <v>65.0862588636364</v>
      </c>
      <c r="U242" s="39" t="n">
        <v>46.98</v>
      </c>
      <c r="V242" s="39" t="n">
        <f aca="false">J242*Resumo!$B$6</f>
        <v>0.38999</v>
      </c>
      <c r="W242" s="39" t="n">
        <f aca="false">J242*Resumo!$B$7</f>
        <v>0.77998</v>
      </c>
      <c r="X242" s="39" t="n">
        <f aca="false">Resumo!$B$9</f>
        <v>1</v>
      </c>
      <c r="Y242" s="39" t="n">
        <f aca="false">Resumo!$B$10*CEILING(I242/100,1)</f>
        <v>4.5</v>
      </c>
      <c r="Z242" s="39" t="n">
        <f aca="false">Resumo!$B$12*CEILING(I242,1)</f>
        <v>1.2</v>
      </c>
      <c r="AA242" s="39" t="n">
        <f aca="false">Resumo!$B$13*CEILING(I242,1)</f>
        <v>9</v>
      </c>
      <c r="AB242" s="39" t="n">
        <f aca="false">SUM(U242:AA242)</f>
        <v>63.84997</v>
      </c>
      <c r="AC242" s="39" t="n">
        <f aca="false">AB242/(1-Resumo!$B$5)</f>
        <v>72.5567840909091</v>
      </c>
      <c r="AD242" s="39" t="n">
        <f aca="false">(AB242-AA242)/(1-Resumo!$B$5)</f>
        <v>62.3295113636364</v>
      </c>
      <c r="AE242" s="39" t="n">
        <f aca="false">AC242-T242</f>
        <v>7.47052522727273</v>
      </c>
      <c r="AF242" s="40" t="n">
        <f aca="false">AC242/T242-1</f>
        <v>0.114778839000785</v>
      </c>
      <c r="AG242" s="37" t="str">
        <f aca="false">IF(AC242&lt;T242,"SIM","NÃO")</f>
        <v>NÃO</v>
      </c>
      <c r="AH242" s="37" t="n">
        <v>8</v>
      </c>
      <c r="AI242" s="37" t="n">
        <v>5</v>
      </c>
      <c r="AJ242" s="37" t="s">
        <v>323</v>
      </c>
    </row>
    <row r="243" customFormat="false" ht="15" hidden="false" customHeight="false" outlineLevel="0" collapsed="false">
      <c r="A243" s="37" t="n">
        <v>361890824</v>
      </c>
      <c r="B243" s="38" t="n">
        <v>46221.9493402778</v>
      </c>
      <c r="C243" s="37" t="s">
        <v>352</v>
      </c>
      <c r="D243" s="37" t="s">
        <v>570</v>
      </c>
      <c r="E243" s="37" t="n">
        <v>27963738</v>
      </c>
      <c r="F243" s="37" t="s">
        <v>146</v>
      </c>
      <c r="G243" s="37" t="s">
        <v>201</v>
      </c>
      <c r="H243" s="37" t="s">
        <v>169</v>
      </c>
      <c r="I243" s="37" t="n">
        <v>40</v>
      </c>
      <c r="J243" s="39" t="n">
        <v>495.99</v>
      </c>
      <c r="K243" s="37" t="s">
        <v>498</v>
      </c>
      <c r="L243" s="39" t="n">
        <v>124.6</v>
      </c>
      <c r="M243" s="39" t="n">
        <v>87.4</v>
      </c>
      <c r="N243" s="39" t="n">
        <f aca="false">J243*Resumo!$C$7</f>
        <v>0.99198</v>
      </c>
      <c r="O243" s="39" t="n">
        <f aca="false">J243*Resumo!$C$8</f>
        <v>0.99198</v>
      </c>
      <c r="P243" s="39" t="n">
        <f aca="false">Resumo!$C$10*CEILING(I243/100,1)</f>
        <v>1</v>
      </c>
      <c r="Q243" s="39" t="n">
        <f aca="false">Resumo!$C$9</f>
        <v>11.9</v>
      </c>
      <c r="R243" s="39" t="n">
        <f aca="false">SUM(M243:Q243)*Resumo!$C$11</f>
        <v>5.6256178</v>
      </c>
      <c r="S243" s="39" t="n">
        <f aca="false">SUM(M243:R243)</f>
        <v>107.9095778</v>
      </c>
      <c r="T243" s="39" t="n">
        <f aca="false">S243/(1-Resumo!$C$5)</f>
        <v>122.624520227273</v>
      </c>
      <c r="U243" s="39" t="n">
        <v>143.04</v>
      </c>
      <c r="V243" s="39" t="n">
        <f aca="false">J243*Resumo!$B$6</f>
        <v>0.49599</v>
      </c>
      <c r="W243" s="39" t="n">
        <f aca="false">J243*Resumo!$B$7</f>
        <v>0.99198</v>
      </c>
      <c r="X243" s="39" t="n">
        <f aca="false">Resumo!$B$9</f>
        <v>1</v>
      </c>
      <c r="Y243" s="39" t="n">
        <f aca="false">Resumo!$B$10*CEILING(I243/100,1)</f>
        <v>4.5</v>
      </c>
      <c r="Z243" s="39" t="n">
        <f aca="false">Resumo!$B$12*CEILING(I243,1)</f>
        <v>2.4</v>
      </c>
      <c r="AA243" s="39" t="n">
        <f aca="false">Resumo!$B$13*CEILING(I243,1)</f>
        <v>18</v>
      </c>
      <c r="AB243" s="39" t="n">
        <f aca="false">SUM(U243:AA243)</f>
        <v>170.42797</v>
      </c>
      <c r="AC243" s="39" t="n">
        <f aca="false">AB243/(1-Resumo!$B$5)</f>
        <v>193.668147727273</v>
      </c>
      <c r="AD243" s="39" t="n">
        <f aca="false">(AB243-AA243)/(1-Resumo!$B$5)</f>
        <v>173.213602272727</v>
      </c>
      <c r="AE243" s="39" t="n">
        <f aca="false">AC243-T243</f>
        <v>71.0436275</v>
      </c>
      <c r="AF243" s="40" t="n">
        <f aca="false">AC243/T243-1</f>
        <v>0.57935906593826</v>
      </c>
      <c r="AG243" s="37" t="str">
        <f aca="false">IF(AC243&lt;T243,"SIM","NÃO")</f>
        <v>NÃO</v>
      </c>
      <c r="AH243" s="37" t="n">
        <v>13</v>
      </c>
      <c r="AI243" s="37" t="n">
        <v>11</v>
      </c>
      <c r="AJ243" s="37" t="s">
        <v>323</v>
      </c>
    </row>
    <row r="244" customFormat="false" ht="15" hidden="false" customHeight="false" outlineLevel="0" collapsed="false">
      <c r="A244" s="37" t="n">
        <v>361905940</v>
      </c>
      <c r="B244" s="38" t="n">
        <v>46221.9774305556</v>
      </c>
      <c r="C244" s="37" t="s">
        <v>341</v>
      </c>
      <c r="D244" s="37" t="s">
        <v>571</v>
      </c>
      <c r="E244" s="37" t="n">
        <v>23894694</v>
      </c>
      <c r="F244" s="37" t="s">
        <v>205</v>
      </c>
      <c r="G244" s="37" t="s">
        <v>201</v>
      </c>
      <c r="H244" s="37" t="s">
        <v>170</v>
      </c>
      <c r="I244" s="37" t="n">
        <v>46.8</v>
      </c>
      <c r="J244" s="39" t="n">
        <v>559.99</v>
      </c>
      <c r="K244" s="37" t="s">
        <v>498</v>
      </c>
      <c r="L244" s="39" t="n">
        <v>131.6</v>
      </c>
      <c r="M244" s="39" t="n">
        <v>94</v>
      </c>
      <c r="N244" s="39" t="n">
        <f aca="false">J244*Resumo!$C$7</f>
        <v>1.11998</v>
      </c>
      <c r="O244" s="39" t="n">
        <f aca="false">J244*Resumo!$C$8</f>
        <v>1.11998</v>
      </c>
      <c r="P244" s="39" t="n">
        <f aca="false">Resumo!$C$10*CEILING(I244/100,1)</f>
        <v>1</v>
      </c>
      <c r="Q244" s="39" t="n">
        <f aca="false">Resumo!$C$9</f>
        <v>11.9</v>
      </c>
      <c r="R244" s="39" t="n">
        <f aca="false">SUM(M244:Q244)*Resumo!$C$11</f>
        <v>6.0026978</v>
      </c>
      <c r="S244" s="39" t="n">
        <f aca="false">SUM(M244:R244)</f>
        <v>115.1426578</v>
      </c>
      <c r="T244" s="39" t="n">
        <f aca="false">S244/(1-Resumo!$C$5)</f>
        <v>130.843929318182</v>
      </c>
      <c r="U244" s="39" t="n">
        <v>103.97</v>
      </c>
      <c r="V244" s="39" t="n">
        <f aca="false">J244*Resumo!$B$6</f>
        <v>0.55999</v>
      </c>
      <c r="W244" s="39" t="n">
        <f aca="false">J244*Resumo!$B$7</f>
        <v>1.11998</v>
      </c>
      <c r="X244" s="39" t="n">
        <f aca="false">Resumo!$B$9</f>
        <v>1</v>
      </c>
      <c r="Y244" s="39" t="n">
        <f aca="false">Resumo!$B$10*CEILING(I244/100,1)</f>
        <v>4.5</v>
      </c>
      <c r="Z244" s="39" t="n">
        <f aca="false">Resumo!$B$12*CEILING(I244,1)</f>
        <v>2.82</v>
      </c>
      <c r="AA244" s="39" t="n">
        <f aca="false">Resumo!$B$13*CEILING(I244,1)</f>
        <v>21.15</v>
      </c>
      <c r="AB244" s="39" t="n">
        <f aca="false">SUM(U244:AA244)</f>
        <v>135.11997</v>
      </c>
      <c r="AC244" s="39" t="n">
        <f aca="false">AB244/(1-Resumo!$B$5)</f>
        <v>153.545420454545</v>
      </c>
      <c r="AD244" s="39" t="n">
        <f aca="false">(AB244-AA244)/(1-Resumo!$B$5)</f>
        <v>129.511329545455</v>
      </c>
      <c r="AE244" s="39" t="n">
        <f aca="false">AC244-T244</f>
        <v>22.7014911363636</v>
      </c>
      <c r="AF244" s="40" t="n">
        <f aca="false">AC244/T244-1</f>
        <v>0.173500530400298</v>
      </c>
      <c r="AG244" s="37" t="str">
        <f aca="false">IF(AC244&lt;T244,"SIM","NÃO")</f>
        <v>NÃO</v>
      </c>
      <c r="AH244" s="37" t="n">
        <v>13</v>
      </c>
      <c r="AI244" s="37" t="n">
        <v>5</v>
      </c>
      <c r="AJ244" s="37" t="s">
        <v>327</v>
      </c>
    </row>
    <row r="245" customFormat="false" ht="15" hidden="false" customHeight="false" outlineLevel="0" collapsed="false">
      <c r="A245" s="37" t="n">
        <v>361953735</v>
      </c>
      <c r="B245" s="38" t="n">
        <v>46222.1045138889</v>
      </c>
      <c r="C245" s="37" t="s">
        <v>325</v>
      </c>
      <c r="D245" s="37" t="s">
        <v>572</v>
      </c>
      <c r="E245" s="37" t="n">
        <v>22780070</v>
      </c>
      <c r="F245" s="37" t="s">
        <v>139</v>
      </c>
      <c r="G245" s="37" t="s">
        <v>198</v>
      </c>
      <c r="H245" s="37" t="s">
        <v>172</v>
      </c>
      <c r="I245" s="37" t="n">
        <v>63.1</v>
      </c>
      <c r="J245" s="39" t="n">
        <v>754.93</v>
      </c>
      <c r="K245" s="37" t="s">
        <v>322</v>
      </c>
      <c r="L245" s="39" t="n">
        <v>124.83</v>
      </c>
      <c r="M245" s="39" t="n">
        <v>88.2</v>
      </c>
      <c r="N245" s="39" t="n">
        <f aca="false">J245*Resumo!$C$7</f>
        <v>1.50986</v>
      </c>
      <c r="O245" s="39" t="n">
        <f aca="false">J245*Resumo!$C$8</f>
        <v>1.50986</v>
      </c>
      <c r="P245" s="39" t="n">
        <f aca="false">Resumo!$C$10*CEILING(I245/100,1)</f>
        <v>1</v>
      </c>
      <c r="Q245" s="39" t="n">
        <f aca="false">Resumo!$C$9</f>
        <v>11.9</v>
      </c>
      <c r="R245" s="39" t="n">
        <f aca="false">SUM(M245:Q245)*Resumo!$C$11</f>
        <v>5.7265846</v>
      </c>
      <c r="S245" s="39" t="n">
        <f aca="false">SUM(M245:R245)</f>
        <v>109.8463046</v>
      </c>
      <c r="T245" s="39" t="n">
        <f aca="false">S245/(1-Resumo!$C$5)</f>
        <v>124.825346136364</v>
      </c>
      <c r="U245" s="39" t="n">
        <v>131.02</v>
      </c>
      <c r="V245" s="39" t="n">
        <f aca="false">J245*Resumo!$B$6</f>
        <v>0.75493</v>
      </c>
      <c r="W245" s="39" t="n">
        <f aca="false">J245*Resumo!$B$7</f>
        <v>1.50986</v>
      </c>
      <c r="X245" s="39" t="n">
        <f aca="false">Resumo!$B$9</f>
        <v>1</v>
      </c>
      <c r="Y245" s="39" t="n">
        <f aca="false">Resumo!$B$10*CEILING(I245/100,1)</f>
        <v>4.5</v>
      </c>
      <c r="Z245" s="39" t="n">
        <f aca="false">Resumo!$B$12*CEILING(I245,1)</f>
        <v>3.84</v>
      </c>
      <c r="AA245" s="39" t="n">
        <f aca="false">Resumo!$B$13*CEILING(I245,1)</f>
        <v>28.8</v>
      </c>
      <c r="AB245" s="39" t="n">
        <f aca="false">SUM(U245:AA245)</f>
        <v>171.42479</v>
      </c>
      <c r="AC245" s="39" t="n">
        <f aca="false">AB245/(1-Resumo!$B$5)</f>
        <v>194.800897727273</v>
      </c>
      <c r="AD245" s="39" t="n">
        <f aca="false">(AB245-AA245)/(1-Resumo!$B$5)</f>
        <v>162.073625</v>
      </c>
      <c r="AE245" s="39" t="n">
        <f aca="false">AC245-T245</f>
        <v>69.9755515909091</v>
      </c>
      <c r="AF245" s="40" t="n">
        <f aca="false">AC245/T245-1</f>
        <v>0.560587683165448</v>
      </c>
      <c r="AG245" s="37" t="str">
        <f aca="false">IF(AC245&lt;T245,"SIM","NÃO")</f>
        <v>NÃO</v>
      </c>
      <c r="AH245" s="37" t="n">
        <v>8</v>
      </c>
      <c r="AI245" s="37" t="n">
        <v>5</v>
      </c>
      <c r="AJ245" s="37" t="s">
        <v>323</v>
      </c>
    </row>
    <row r="246" customFormat="false" ht="15" hidden="false" customHeight="false" outlineLevel="0" collapsed="false">
      <c r="A246" s="37" t="n">
        <v>361979410</v>
      </c>
      <c r="B246" s="38" t="n">
        <v>46222.1972222222</v>
      </c>
      <c r="C246" s="37" t="s">
        <v>320</v>
      </c>
      <c r="D246" s="37" t="s">
        <v>573</v>
      </c>
      <c r="E246" s="37" t="n">
        <v>26298396</v>
      </c>
      <c r="F246" s="37" t="s">
        <v>142</v>
      </c>
      <c r="G246" s="37" t="s">
        <v>207</v>
      </c>
      <c r="H246" s="37" t="s">
        <v>169</v>
      </c>
      <c r="I246" s="37" t="n">
        <v>36.8</v>
      </c>
      <c r="J246" s="39" t="n">
        <v>469.99</v>
      </c>
      <c r="K246" s="37" t="s">
        <v>322</v>
      </c>
      <c r="L246" s="39" t="n">
        <v>113.2</v>
      </c>
      <c r="M246" s="39" t="n">
        <v>79.65</v>
      </c>
      <c r="N246" s="39" t="n">
        <f aca="false">J246*Resumo!$C$7</f>
        <v>0.93998</v>
      </c>
      <c r="O246" s="39" t="n">
        <f aca="false">J246*Resumo!$C$8</f>
        <v>0.93998</v>
      </c>
      <c r="P246" s="39" t="n">
        <f aca="false">Resumo!$C$10*CEILING(I246/100,1)</f>
        <v>1</v>
      </c>
      <c r="Q246" s="39" t="n">
        <f aca="false">Resumo!$C$9</f>
        <v>11.9</v>
      </c>
      <c r="R246" s="39" t="n">
        <f aca="false">SUM(M246:Q246)*Resumo!$C$11</f>
        <v>5.1936478</v>
      </c>
      <c r="S246" s="39" t="n">
        <f aca="false">SUM(M246:R246)</f>
        <v>99.6236078</v>
      </c>
      <c r="T246" s="39" t="n">
        <f aca="false">S246/(1-Resumo!$C$5)</f>
        <v>113.208645227273</v>
      </c>
      <c r="U246" s="39" t="n">
        <v>93.97</v>
      </c>
      <c r="V246" s="39" t="n">
        <f aca="false">J246*Resumo!$B$6</f>
        <v>0.46999</v>
      </c>
      <c r="W246" s="39" t="n">
        <f aca="false">J246*Resumo!$B$7</f>
        <v>0.93998</v>
      </c>
      <c r="X246" s="39" t="n">
        <f aca="false">Resumo!$B$9</f>
        <v>1</v>
      </c>
      <c r="Y246" s="39" t="n">
        <f aca="false">Resumo!$B$10*CEILING(I246/100,1)</f>
        <v>4.5</v>
      </c>
      <c r="Z246" s="39" t="n">
        <f aca="false">Resumo!$B$12*CEILING(I246,1)</f>
        <v>2.22</v>
      </c>
      <c r="AA246" s="39" t="n">
        <f aca="false">Resumo!$B$13*CEILING(I246,1)</f>
        <v>16.65</v>
      </c>
      <c r="AB246" s="39" t="n">
        <f aca="false">SUM(U246:AA246)</f>
        <v>119.74997</v>
      </c>
      <c r="AC246" s="39" t="n">
        <f aca="false">AB246/(1-Resumo!$B$5)</f>
        <v>136.079511363636</v>
      </c>
      <c r="AD246" s="39" t="n">
        <f aca="false">(AB246-AA246)/(1-Resumo!$B$5)</f>
        <v>117.159056818182</v>
      </c>
      <c r="AE246" s="39" t="n">
        <f aca="false">AC246-T246</f>
        <v>22.8708661363636</v>
      </c>
      <c r="AF246" s="40" t="n">
        <f aca="false">AC246/T246-1</f>
        <v>0.202024024670988</v>
      </c>
      <c r="AG246" s="37" t="str">
        <f aca="false">IF(AC246&lt;T246,"SIM","NÃO")</f>
        <v>NÃO</v>
      </c>
      <c r="AH246" s="37" t="n">
        <v>10</v>
      </c>
      <c r="AI246" s="37" t="n">
        <v>5</v>
      </c>
      <c r="AJ246" s="37" t="s">
        <v>323</v>
      </c>
    </row>
    <row r="247" customFormat="false" ht="15" hidden="false" customHeight="false" outlineLevel="0" collapsed="false">
      <c r="A247" s="37" t="n">
        <v>361977614</v>
      </c>
      <c r="B247" s="38" t="n">
        <v>46222.2396643519</v>
      </c>
      <c r="C247" s="37" t="s">
        <v>355</v>
      </c>
      <c r="D247" s="37" t="s">
        <v>574</v>
      </c>
      <c r="E247" s="37" t="n">
        <v>22795006</v>
      </c>
      <c r="F247" s="37" t="s">
        <v>139</v>
      </c>
      <c r="G247" s="37" t="s">
        <v>198</v>
      </c>
      <c r="H247" s="37" t="s">
        <v>169</v>
      </c>
      <c r="I247" s="37" t="n">
        <v>37.59</v>
      </c>
      <c r="J247" s="39" t="n">
        <v>442.79</v>
      </c>
      <c r="K247" s="37" t="s">
        <v>322</v>
      </c>
      <c r="L247" s="39" t="n">
        <v>91.99</v>
      </c>
      <c r="M247" s="39" t="n">
        <v>62.05</v>
      </c>
      <c r="N247" s="39" t="n">
        <f aca="false">J247*Resumo!$C$7</f>
        <v>0.88558</v>
      </c>
      <c r="O247" s="39" t="n">
        <f aca="false">J247*Resumo!$C$8</f>
        <v>0.88558</v>
      </c>
      <c r="P247" s="39" t="n">
        <f aca="false">Resumo!$C$10*CEILING(I247/100,1)</f>
        <v>1</v>
      </c>
      <c r="Q247" s="39" t="n">
        <f aca="false">Resumo!$C$9</f>
        <v>11.9</v>
      </c>
      <c r="R247" s="39" t="n">
        <f aca="false">SUM(M247:Q247)*Resumo!$C$11</f>
        <v>4.2196638</v>
      </c>
      <c r="S247" s="39" t="n">
        <f aca="false">SUM(M247:R247)</f>
        <v>80.9408238</v>
      </c>
      <c r="T247" s="39" t="n">
        <f aca="false">S247/(1-Resumo!$C$5)</f>
        <v>91.9782088636364</v>
      </c>
      <c r="U247" s="39" t="n">
        <v>93.97</v>
      </c>
      <c r="V247" s="39" t="n">
        <f aca="false">J247*Resumo!$B$6</f>
        <v>0.44279</v>
      </c>
      <c r="W247" s="39" t="n">
        <f aca="false">J247*Resumo!$B$7</f>
        <v>0.88558</v>
      </c>
      <c r="X247" s="39" t="n">
        <f aca="false">Resumo!$B$9</f>
        <v>1</v>
      </c>
      <c r="Y247" s="39" t="n">
        <f aca="false">Resumo!$B$10*CEILING(I247/100,1)</f>
        <v>4.5</v>
      </c>
      <c r="Z247" s="39" t="n">
        <f aca="false">Resumo!$B$12*CEILING(I247,1)</f>
        <v>2.28</v>
      </c>
      <c r="AA247" s="39" t="n">
        <f aca="false">Resumo!$B$13*CEILING(I247,1)</f>
        <v>17.1</v>
      </c>
      <c r="AB247" s="39" t="n">
        <f aca="false">SUM(U247:AA247)</f>
        <v>120.17837</v>
      </c>
      <c r="AC247" s="39" t="n">
        <f aca="false">AB247/(1-Resumo!$B$5)</f>
        <v>136.566329545455</v>
      </c>
      <c r="AD247" s="39" t="n">
        <f aca="false">(AB247-AA247)/(1-Resumo!$B$5)</f>
        <v>117.134511363636</v>
      </c>
      <c r="AE247" s="39" t="n">
        <f aca="false">AC247-T247</f>
        <v>44.5881206818182</v>
      </c>
      <c r="AF247" s="40" t="n">
        <f aca="false">AC247/T247-1</f>
        <v>0.484768307979588</v>
      </c>
      <c r="AG247" s="37" t="str">
        <f aca="false">IF(AC247&lt;T247,"SIM","NÃO")</f>
        <v>NÃO</v>
      </c>
      <c r="AH247" s="37" t="n">
        <v>8</v>
      </c>
      <c r="AI247" s="37" t="n">
        <v>5</v>
      </c>
      <c r="AJ247" s="37" t="s">
        <v>323</v>
      </c>
    </row>
    <row r="248" customFormat="false" ht="15" hidden="false" customHeight="false" outlineLevel="0" collapsed="false">
      <c r="A248" s="37" t="n">
        <v>362013479</v>
      </c>
      <c r="B248" s="38" t="n">
        <v>46222.3481828704</v>
      </c>
      <c r="C248" s="37" t="s">
        <v>320</v>
      </c>
      <c r="D248" s="37" t="s">
        <v>575</v>
      </c>
      <c r="E248" s="37" t="n">
        <v>23895670</v>
      </c>
      <c r="F248" s="37" t="s">
        <v>205</v>
      </c>
      <c r="G248" s="37" t="s">
        <v>201</v>
      </c>
      <c r="H248" s="37" t="s">
        <v>168</v>
      </c>
      <c r="I248" s="37" t="n">
        <v>31</v>
      </c>
      <c r="J248" s="39" t="n">
        <v>299.99</v>
      </c>
      <c r="K248" s="37" t="s">
        <v>498</v>
      </c>
      <c r="L248" s="39" t="n">
        <v>108.45</v>
      </c>
      <c r="M248" s="39" t="n">
        <v>76.5</v>
      </c>
      <c r="N248" s="39" t="n">
        <f aca="false">J248*Resumo!$C$7</f>
        <v>0.59998</v>
      </c>
      <c r="O248" s="39" t="n">
        <f aca="false">J248*Resumo!$C$8</f>
        <v>0.59998</v>
      </c>
      <c r="P248" s="39" t="n">
        <f aca="false">Resumo!$C$10*CEILING(I248/100,1)</f>
        <v>1</v>
      </c>
      <c r="Q248" s="39" t="n">
        <f aca="false">Resumo!$C$9</f>
        <v>11.9</v>
      </c>
      <c r="R248" s="39" t="n">
        <f aca="false">SUM(M248:Q248)*Resumo!$C$11</f>
        <v>4.9829978</v>
      </c>
      <c r="S248" s="39" t="n">
        <f aca="false">SUM(M248:R248)</f>
        <v>95.5829578</v>
      </c>
      <c r="T248" s="39" t="n">
        <f aca="false">S248/(1-Resumo!$C$5)</f>
        <v>108.6169975</v>
      </c>
      <c r="U248" s="39" t="n">
        <v>92.21</v>
      </c>
      <c r="V248" s="39" t="n">
        <f aca="false">J248*Resumo!$B$6</f>
        <v>0.29999</v>
      </c>
      <c r="W248" s="39" t="n">
        <f aca="false">J248*Resumo!$B$7</f>
        <v>0.59998</v>
      </c>
      <c r="X248" s="39" t="n">
        <f aca="false">Resumo!$B$9</f>
        <v>1</v>
      </c>
      <c r="Y248" s="39" t="n">
        <f aca="false">Resumo!$B$10*CEILING(I248/100,1)</f>
        <v>4.5</v>
      </c>
      <c r="Z248" s="39" t="n">
        <f aca="false">Resumo!$B$12*CEILING(I248,1)</f>
        <v>1.86</v>
      </c>
      <c r="AA248" s="39" t="n">
        <f aca="false">Resumo!$B$13*CEILING(I248,1)</f>
        <v>13.95</v>
      </c>
      <c r="AB248" s="39" t="n">
        <f aca="false">SUM(U248:AA248)</f>
        <v>114.41997</v>
      </c>
      <c r="AC248" s="39" t="n">
        <f aca="false">AB248/(1-Resumo!$B$5)</f>
        <v>130.022693181818</v>
      </c>
      <c r="AD248" s="39" t="n">
        <f aca="false">(AB248-AA248)/(1-Resumo!$B$5)</f>
        <v>114.170420454545</v>
      </c>
      <c r="AE248" s="39" t="n">
        <f aca="false">AC248-T248</f>
        <v>21.4056956818182</v>
      </c>
      <c r="AF248" s="40" t="n">
        <f aca="false">AC248/T248-1</f>
        <v>0.197075008281445</v>
      </c>
      <c r="AG248" s="37" t="str">
        <f aca="false">IF(AC248&lt;T248,"SIM","NÃO")</f>
        <v>NÃO</v>
      </c>
      <c r="AH248" s="37" t="n">
        <v>13</v>
      </c>
      <c r="AI248" s="37" t="n">
        <v>5</v>
      </c>
      <c r="AJ248" s="37" t="s">
        <v>327</v>
      </c>
    </row>
    <row r="249" customFormat="false" ht="15" hidden="false" customHeight="false" outlineLevel="0" collapsed="false">
      <c r="A249" s="37" t="n">
        <v>362036575</v>
      </c>
      <c r="B249" s="38" t="n">
        <v>46222.4030092593</v>
      </c>
      <c r="C249" s="37" t="s">
        <v>320</v>
      </c>
      <c r="D249" s="37" t="s">
        <v>576</v>
      </c>
      <c r="E249" s="37" t="n">
        <v>24110556</v>
      </c>
      <c r="F249" s="37" t="s">
        <v>143</v>
      </c>
      <c r="G249" s="37" t="s">
        <v>207</v>
      </c>
      <c r="H249" s="37" t="s">
        <v>171</v>
      </c>
      <c r="I249" s="37" t="n">
        <v>59.9</v>
      </c>
      <c r="J249" s="39" t="n">
        <v>949.99</v>
      </c>
      <c r="K249" s="37" t="s">
        <v>322</v>
      </c>
      <c r="L249" s="39" t="n">
        <v>129.84</v>
      </c>
      <c r="M249" s="39" t="n">
        <v>91.6</v>
      </c>
      <c r="N249" s="39" t="n">
        <f aca="false">J249*Resumo!$C$7</f>
        <v>1.89998</v>
      </c>
      <c r="O249" s="39" t="n">
        <f aca="false">J249*Resumo!$C$8</f>
        <v>1.89998</v>
      </c>
      <c r="P249" s="39" t="n">
        <f aca="false">Resumo!$C$10*CEILING(I249/100,1)</f>
        <v>1</v>
      </c>
      <c r="Q249" s="39" t="n">
        <f aca="false">Resumo!$C$9</f>
        <v>11.9</v>
      </c>
      <c r="R249" s="39" t="n">
        <f aca="false">SUM(M249:Q249)*Resumo!$C$11</f>
        <v>5.9564978</v>
      </c>
      <c r="S249" s="39" t="n">
        <f aca="false">SUM(M249:R249)</f>
        <v>114.2564578</v>
      </c>
      <c r="T249" s="39" t="n">
        <f aca="false">S249/(1-Resumo!$C$5)</f>
        <v>129.836883863636</v>
      </c>
      <c r="U249" s="39" t="n">
        <v>128.14</v>
      </c>
      <c r="V249" s="39" t="n">
        <f aca="false">J249*Resumo!$B$6</f>
        <v>0.94999</v>
      </c>
      <c r="W249" s="39" t="n">
        <f aca="false">J249*Resumo!$B$7</f>
        <v>1.89998</v>
      </c>
      <c r="X249" s="39" t="n">
        <f aca="false">Resumo!$B$9</f>
        <v>1</v>
      </c>
      <c r="Y249" s="39" t="n">
        <f aca="false">Resumo!$B$10*CEILING(I249/100,1)</f>
        <v>4.5</v>
      </c>
      <c r="Z249" s="39" t="n">
        <f aca="false">Resumo!$B$12*CEILING(I249,1)</f>
        <v>3.6</v>
      </c>
      <c r="AA249" s="39" t="n">
        <f aca="false">Resumo!$B$13*CEILING(I249,1)</f>
        <v>27</v>
      </c>
      <c r="AB249" s="39" t="n">
        <f aca="false">SUM(U249:AA249)</f>
        <v>167.08997</v>
      </c>
      <c r="AC249" s="39" t="n">
        <f aca="false">AB249/(1-Resumo!$B$5)</f>
        <v>189.874965909091</v>
      </c>
      <c r="AD249" s="39" t="n">
        <f aca="false">(AB249-AA249)/(1-Resumo!$B$5)</f>
        <v>159.193147727273</v>
      </c>
      <c r="AE249" s="39" t="n">
        <f aca="false">AC249-T249</f>
        <v>60.0380820454545</v>
      </c>
      <c r="AF249" s="40" t="n">
        <f aca="false">AC249/T249-1</f>
        <v>0.462411606462388</v>
      </c>
      <c r="AG249" s="37" t="str">
        <f aca="false">IF(AC249&lt;T249,"SIM","NÃO")</f>
        <v>NÃO</v>
      </c>
      <c r="AH249" s="37" t="n">
        <v>10</v>
      </c>
      <c r="AI249" s="37" t="n">
        <v>7</v>
      </c>
      <c r="AJ249" s="37" t="s">
        <v>323</v>
      </c>
    </row>
    <row r="250" customFormat="false" ht="15" hidden="false" customHeight="false" outlineLevel="0" collapsed="false">
      <c r="A250" s="37" t="n">
        <v>362049935</v>
      </c>
      <c r="B250" s="38" t="n">
        <v>46222.4424074074</v>
      </c>
      <c r="C250" s="37" t="s">
        <v>325</v>
      </c>
      <c r="D250" s="37" t="s">
        <v>577</v>
      </c>
      <c r="E250" s="37" t="n">
        <v>23970000</v>
      </c>
      <c r="F250" s="37" t="s">
        <v>206</v>
      </c>
      <c r="G250" s="37" t="s">
        <v>201</v>
      </c>
      <c r="H250" s="37" t="s">
        <v>174</v>
      </c>
      <c r="I250" s="37" t="n">
        <v>97.2</v>
      </c>
      <c r="J250" s="39" t="n">
        <v>1164.49</v>
      </c>
      <c r="K250" s="37" t="s">
        <v>498</v>
      </c>
      <c r="L250" s="39" t="n">
        <v>196.85</v>
      </c>
      <c r="M250" s="39" t="n">
        <v>144.41</v>
      </c>
      <c r="N250" s="39" t="n">
        <f aca="false">J250*Resumo!$C$7</f>
        <v>2.32898</v>
      </c>
      <c r="O250" s="39" t="n">
        <f aca="false">J250*Resumo!$C$8</f>
        <v>2.32898</v>
      </c>
      <c r="P250" s="39" t="n">
        <f aca="false">Resumo!$C$10*CEILING(I250/100,1)</f>
        <v>1</v>
      </c>
      <c r="Q250" s="39" t="n">
        <f aca="false">Resumo!$C$9</f>
        <v>11.9</v>
      </c>
      <c r="R250" s="39" t="n">
        <f aca="false">SUM(M250:Q250)*Resumo!$C$11</f>
        <v>8.9082378</v>
      </c>
      <c r="S250" s="39" t="n">
        <f aca="false">SUM(M250:R250)</f>
        <v>170.8761978</v>
      </c>
      <c r="T250" s="39" t="n">
        <f aca="false">S250/(1-Resumo!$C$5)</f>
        <v>194.1774975</v>
      </c>
      <c r="U250" s="39" t="n">
        <v>197.35</v>
      </c>
      <c r="V250" s="39" t="n">
        <f aca="false">J250*Resumo!$B$6</f>
        <v>1.16449</v>
      </c>
      <c r="W250" s="39" t="n">
        <f aca="false">J250*Resumo!$B$7</f>
        <v>2.32898</v>
      </c>
      <c r="X250" s="39" t="n">
        <f aca="false">Resumo!$B$9</f>
        <v>1</v>
      </c>
      <c r="Y250" s="39" t="n">
        <f aca="false">Resumo!$B$10*CEILING(I250/100,1)</f>
        <v>4.5</v>
      </c>
      <c r="Z250" s="39" t="n">
        <f aca="false">Resumo!$B$12*CEILING(I250,1)</f>
        <v>5.88</v>
      </c>
      <c r="AA250" s="39" t="n">
        <f aca="false">Resumo!$B$13*CEILING(I250,1)</f>
        <v>44.1</v>
      </c>
      <c r="AB250" s="39" t="n">
        <f aca="false">SUM(U250:AA250)</f>
        <v>256.32347</v>
      </c>
      <c r="AC250" s="39" t="n">
        <f aca="false">AB250/(1-Resumo!$B$5)</f>
        <v>291.276670454545</v>
      </c>
      <c r="AD250" s="39" t="n">
        <f aca="false">(AB250-AA250)/(1-Resumo!$B$5)</f>
        <v>241.163034090909</v>
      </c>
      <c r="AE250" s="39" t="n">
        <f aca="false">AC250-T250</f>
        <v>97.0991729545454</v>
      </c>
      <c r="AF250" s="40" t="n">
        <f aca="false">AC250/T250-1</f>
        <v>0.500053683895815</v>
      </c>
      <c r="AG250" s="37" t="str">
        <f aca="false">IF(AC250&lt;T250,"SIM","NÃO")</f>
        <v>NÃO</v>
      </c>
      <c r="AH250" s="37" t="n">
        <v>13</v>
      </c>
      <c r="AI250" s="37" t="n">
        <v>10</v>
      </c>
      <c r="AJ250" s="37" t="s">
        <v>327</v>
      </c>
    </row>
    <row r="251" customFormat="false" ht="15" hidden="false" customHeight="false" outlineLevel="0" collapsed="false">
      <c r="A251" s="37" t="n">
        <v>362127089</v>
      </c>
      <c r="B251" s="38" t="n">
        <v>46222.5976967593</v>
      </c>
      <c r="C251" s="37" t="s">
        <v>320</v>
      </c>
      <c r="D251" s="37" t="s">
        <v>578</v>
      </c>
      <c r="E251" s="37" t="n">
        <v>26385030</v>
      </c>
      <c r="F251" s="37" t="s">
        <v>222</v>
      </c>
      <c r="G251" s="37" t="s">
        <v>207</v>
      </c>
      <c r="H251" s="37" t="s">
        <v>172</v>
      </c>
      <c r="I251" s="37" t="n">
        <v>63</v>
      </c>
      <c r="J251" s="39" t="n">
        <v>942.64</v>
      </c>
      <c r="K251" s="37" t="s">
        <v>498</v>
      </c>
      <c r="L251" s="39" t="n">
        <v>140.3</v>
      </c>
      <c r="M251" s="39" t="n">
        <v>100.9</v>
      </c>
      <c r="N251" s="39" t="n">
        <f aca="false">J251*Resumo!$C$7</f>
        <v>1.88528</v>
      </c>
      <c r="O251" s="39" t="n">
        <f aca="false">J251*Resumo!$C$8</f>
        <v>1.88528</v>
      </c>
      <c r="P251" s="39" t="n">
        <f aca="false">Resumo!$C$10*CEILING(I251/100,1)</f>
        <v>1</v>
      </c>
      <c r="Q251" s="39" t="n">
        <f aca="false">Resumo!$C$9</f>
        <v>11.9</v>
      </c>
      <c r="R251" s="39" t="n">
        <f aca="false">SUM(M251:Q251)*Resumo!$C$11</f>
        <v>6.4663808</v>
      </c>
      <c r="S251" s="39" t="n">
        <f aca="false">SUM(M251:R251)</f>
        <v>124.0369408</v>
      </c>
      <c r="T251" s="39" t="n">
        <f aca="false">S251/(1-Resumo!$C$5)</f>
        <v>140.951069090909</v>
      </c>
      <c r="U251" s="39" t="n">
        <v>131.02</v>
      </c>
      <c r="V251" s="39" t="n">
        <f aca="false">J251*Resumo!$B$6</f>
        <v>0.94264</v>
      </c>
      <c r="W251" s="39" t="n">
        <f aca="false">J251*Resumo!$B$7</f>
        <v>1.88528</v>
      </c>
      <c r="X251" s="39" t="n">
        <f aca="false">Resumo!$B$9</f>
        <v>1</v>
      </c>
      <c r="Y251" s="39" t="n">
        <f aca="false">Resumo!$B$10*CEILING(I251/100,1)</f>
        <v>4.5</v>
      </c>
      <c r="Z251" s="39" t="n">
        <f aca="false">Resumo!$B$12*CEILING(I251,1)</f>
        <v>3.78</v>
      </c>
      <c r="AA251" s="39" t="n">
        <f aca="false">Resumo!$B$13*CEILING(I251,1)</f>
        <v>28.35</v>
      </c>
      <c r="AB251" s="39" t="n">
        <f aca="false">SUM(U251:AA251)</f>
        <v>171.47792</v>
      </c>
      <c r="AC251" s="39" t="n">
        <f aca="false">AB251/(1-Resumo!$B$5)</f>
        <v>194.861272727273</v>
      </c>
      <c r="AD251" s="39" t="n">
        <f aca="false">(AB251-AA251)/(1-Resumo!$B$5)</f>
        <v>162.645363636364</v>
      </c>
      <c r="AE251" s="39" t="n">
        <f aca="false">AC251-T251</f>
        <v>53.9102036363637</v>
      </c>
      <c r="AF251" s="40" t="n">
        <f aca="false">AC251/T251-1</f>
        <v>0.38247459905106</v>
      </c>
      <c r="AG251" s="37" t="str">
        <f aca="false">IF(AC251&lt;T251,"SIM","NÃO")</f>
        <v>NÃO</v>
      </c>
      <c r="AH251" s="37" t="n">
        <v>10</v>
      </c>
      <c r="AI251" s="37" t="n">
        <v>5</v>
      </c>
      <c r="AJ251" s="37" t="s">
        <v>327</v>
      </c>
    </row>
    <row r="252" customFormat="false" ht="15" hidden="false" customHeight="false" outlineLevel="0" collapsed="false">
      <c r="A252" s="37" t="n">
        <v>362163278</v>
      </c>
      <c r="B252" s="38" t="n">
        <v>46222.6770717593</v>
      </c>
      <c r="C252" s="37" t="s">
        <v>341</v>
      </c>
      <c r="D252" s="37" t="s">
        <v>579</v>
      </c>
      <c r="E252" s="37" t="n">
        <v>26160225</v>
      </c>
      <c r="F252" s="37" t="s">
        <v>145</v>
      </c>
      <c r="G252" s="37" t="s">
        <v>207</v>
      </c>
      <c r="H252" s="37" t="s">
        <v>170</v>
      </c>
      <c r="I252" s="37" t="n">
        <v>45.3</v>
      </c>
      <c r="J252" s="39" t="n">
        <v>629.99</v>
      </c>
      <c r="K252" s="37" t="s">
        <v>498</v>
      </c>
      <c r="L252" s="39" t="n">
        <v>117.39</v>
      </c>
      <c r="M252" s="39" t="n">
        <v>82.25</v>
      </c>
      <c r="N252" s="39" t="n">
        <f aca="false">J252*Resumo!$C$7</f>
        <v>1.25998</v>
      </c>
      <c r="O252" s="39" t="n">
        <f aca="false">J252*Resumo!$C$8</f>
        <v>1.25998</v>
      </c>
      <c r="P252" s="39" t="n">
        <f aca="false">Resumo!$C$10*CEILING(I252/100,1)</f>
        <v>1</v>
      </c>
      <c r="Q252" s="39" t="n">
        <f aca="false">Resumo!$C$9</f>
        <v>11.9</v>
      </c>
      <c r="R252" s="39" t="n">
        <f aca="false">SUM(M252:Q252)*Resumo!$C$11</f>
        <v>5.3718478</v>
      </c>
      <c r="S252" s="39" t="n">
        <f aca="false">SUM(M252:R252)</f>
        <v>103.0418078</v>
      </c>
      <c r="T252" s="39" t="n">
        <f aca="false">S252/(1-Resumo!$C$5)</f>
        <v>117.092963409091</v>
      </c>
      <c r="U252" s="39" t="n">
        <v>93.97</v>
      </c>
      <c r="V252" s="39" t="n">
        <f aca="false">J252*Resumo!$B$6</f>
        <v>0.62999</v>
      </c>
      <c r="W252" s="39" t="n">
        <f aca="false">J252*Resumo!$B$7</f>
        <v>1.25998</v>
      </c>
      <c r="X252" s="39" t="n">
        <f aca="false">Resumo!$B$9</f>
        <v>1</v>
      </c>
      <c r="Y252" s="39" t="n">
        <f aca="false">Resumo!$B$10*CEILING(I252/100,1)</f>
        <v>4.5</v>
      </c>
      <c r="Z252" s="39" t="n">
        <f aca="false">Resumo!$B$12*CEILING(I252,1)</f>
        <v>2.76</v>
      </c>
      <c r="AA252" s="39" t="n">
        <f aca="false">Resumo!$B$13*CEILING(I252,1)</f>
        <v>20.7</v>
      </c>
      <c r="AB252" s="39" t="n">
        <f aca="false">SUM(U252:AA252)</f>
        <v>124.81997</v>
      </c>
      <c r="AC252" s="39" t="n">
        <f aca="false">AB252/(1-Resumo!$B$5)</f>
        <v>141.840875</v>
      </c>
      <c r="AD252" s="39" t="n">
        <f aca="false">(AB252-AA252)/(1-Resumo!$B$5)</f>
        <v>118.318147727273</v>
      </c>
      <c r="AE252" s="39" t="n">
        <f aca="false">AC252-T252</f>
        <v>24.7479115909091</v>
      </c>
      <c r="AF252" s="40" t="n">
        <f aca="false">AC252/T252-1</f>
        <v>0.211352679703277</v>
      </c>
      <c r="AG252" s="37" t="str">
        <f aca="false">IF(AC252&lt;T252,"SIM","NÃO")</f>
        <v>NÃO</v>
      </c>
      <c r="AH252" s="37" t="n">
        <v>10</v>
      </c>
      <c r="AI252" s="37" t="n">
        <v>5</v>
      </c>
      <c r="AJ252" s="37" t="s">
        <v>323</v>
      </c>
    </row>
    <row r="253" customFormat="false" ht="15" hidden="false" customHeight="false" outlineLevel="0" collapsed="false">
      <c r="A253" s="37" t="n">
        <v>362168341</v>
      </c>
      <c r="B253" s="38" t="n">
        <v>46222.6880324074</v>
      </c>
      <c r="C253" s="37" t="s">
        <v>325</v>
      </c>
      <c r="D253" s="37" t="s">
        <v>580</v>
      </c>
      <c r="E253" s="37" t="n">
        <v>22765590</v>
      </c>
      <c r="F253" s="37" t="s">
        <v>139</v>
      </c>
      <c r="G253" s="37" t="s">
        <v>198</v>
      </c>
      <c r="H253" s="37" t="s">
        <v>169</v>
      </c>
      <c r="I253" s="37" t="n">
        <v>36.8</v>
      </c>
      <c r="J253" s="39" t="n">
        <v>449.99</v>
      </c>
      <c r="K253" s="37" t="s">
        <v>322</v>
      </c>
      <c r="L253" s="39" t="n">
        <v>92.01</v>
      </c>
      <c r="M253" s="39" t="n">
        <v>62.05</v>
      </c>
      <c r="N253" s="39" t="n">
        <f aca="false">J253*Resumo!$C$7</f>
        <v>0.89998</v>
      </c>
      <c r="O253" s="39" t="n">
        <f aca="false">J253*Resumo!$C$8</f>
        <v>0.89998</v>
      </c>
      <c r="P253" s="39" t="n">
        <f aca="false">Resumo!$C$10*CEILING(I253/100,1)</f>
        <v>1</v>
      </c>
      <c r="Q253" s="39" t="n">
        <f aca="false">Resumo!$C$9</f>
        <v>11.9</v>
      </c>
      <c r="R253" s="39" t="n">
        <f aca="false">SUM(M253:Q253)*Resumo!$C$11</f>
        <v>4.2212478</v>
      </c>
      <c r="S253" s="39" t="n">
        <f aca="false">SUM(M253:R253)</f>
        <v>80.9712078</v>
      </c>
      <c r="T253" s="39" t="n">
        <f aca="false">S253/(1-Resumo!$C$5)</f>
        <v>92.0127361363636</v>
      </c>
      <c r="U253" s="39" t="n">
        <v>93.97</v>
      </c>
      <c r="V253" s="39" t="n">
        <f aca="false">J253*Resumo!$B$6</f>
        <v>0.44999</v>
      </c>
      <c r="W253" s="39" t="n">
        <f aca="false">J253*Resumo!$B$7</f>
        <v>0.89998</v>
      </c>
      <c r="X253" s="39" t="n">
        <f aca="false">Resumo!$B$9</f>
        <v>1</v>
      </c>
      <c r="Y253" s="39" t="n">
        <f aca="false">Resumo!$B$10*CEILING(I253/100,1)</f>
        <v>4.5</v>
      </c>
      <c r="Z253" s="39" t="n">
        <f aca="false">Resumo!$B$12*CEILING(I253,1)</f>
        <v>2.22</v>
      </c>
      <c r="AA253" s="39" t="n">
        <f aca="false">Resumo!$B$13*CEILING(I253,1)</f>
        <v>16.65</v>
      </c>
      <c r="AB253" s="39" t="n">
        <f aca="false">SUM(U253:AA253)</f>
        <v>119.68997</v>
      </c>
      <c r="AC253" s="39" t="n">
        <f aca="false">AB253/(1-Resumo!$B$5)</f>
        <v>136.011329545455</v>
      </c>
      <c r="AD253" s="39" t="n">
        <f aca="false">(AB253-AA253)/(1-Resumo!$B$5)</f>
        <v>117.090875</v>
      </c>
      <c r="AE253" s="39" t="n">
        <f aca="false">AC253-T253</f>
        <v>43.9985934090909</v>
      </c>
      <c r="AF253" s="40" t="n">
        <f aca="false">AC253/T253-1</f>
        <v>0.478179383165876</v>
      </c>
      <c r="AG253" s="37" t="str">
        <f aca="false">IF(AC253&lt;T253,"SIM","NÃO")</f>
        <v>NÃO</v>
      </c>
      <c r="AH253" s="37" t="n">
        <v>8</v>
      </c>
      <c r="AI253" s="37" t="n">
        <v>5</v>
      </c>
      <c r="AJ253" s="37" t="s">
        <v>323</v>
      </c>
    </row>
    <row r="254" customFormat="false" ht="15" hidden="false" customHeight="false" outlineLevel="0" collapsed="false">
      <c r="A254" s="37" t="n">
        <v>362168495</v>
      </c>
      <c r="B254" s="38" t="n">
        <v>46222.6884606482</v>
      </c>
      <c r="C254" s="37" t="s">
        <v>325</v>
      </c>
      <c r="D254" s="37" t="s">
        <v>581</v>
      </c>
      <c r="E254" s="37" t="n">
        <v>25730070</v>
      </c>
      <c r="F254" s="37" t="s">
        <v>150</v>
      </c>
      <c r="G254" s="37" t="s">
        <v>201</v>
      </c>
      <c r="H254" s="37" t="s">
        <v>176</v>
      </c>
      <c r="I254" s="37" t="n">
        <v>124.2</v>
      </c>
      <c r="J254" s="39" t="n">
        <v>1611.28</v>
      </c>
      <c r="K254" s="37" t="s">
        <v>498</v>
      </c>
      <c r="L254" s="39" t="n">
        <v>253.3</v>
      </c>
      <c r="M254" s="39" t="n">
        <v>197.37</v>
      </c>
      <c r="N254" s="39" t="n">
        <f aca="false">J254*Resumo!$C$7</f>
        <v>3.22256</v>
      </c>
      <c r="O254" s="39" t="n">
        <f aca="false">J254*Resumo!$C$8</f>
        <v>3.22256</v>
      </c>
      <c r="P254" s="39" t="n">
        <f aca="false">Resumo!$C$10*CEILING(I254/100,1)</f>
        <v>2</v>
      </c>
      <c r="Q254" s="39" t="n">
        <f aca="false">Resumo!$C$9</f>
        <v>11.9</v>
      </c>
      <c r="R254" s="39" t="n">
        <f aca="false">SUM(M254:Q254)*Resumo!$C$11</f>
        <v>11.9743316</v>
      </c>
      <c r="S254" s="39" t="n">
        <f aca="false">SUM(M254:R254)</f>
        <v>229.6894516</v>
      </c>
      <c r="T254" s="39" t="n">
        <f aca="false">S254/(1-Resumo!$C$5)</f>
        <v>261.010740454545</v>
      </c>
      <c r="U254" s="39" t="n">
        <v>264.84</v>
      </c>
      <c r="V254" s="39" t="n">
        <f aca="false">J254*Resumo!$B$6</f>
        <v>1.61128</v>
      </c>
      <c r="W254" s="39" t="n">
        <f aca="false">J254*Resumo!$B$7</f>
        <v>3.22256</v>
      </c>
      <c r="X254" s="39" t="n">
        <f aca="false">Resumo!$B$9</f>
        <v>1</v>
      </c>
      <c r="Y254" s="39" t="n">
        <f aca="false">Resumo!$B$10*CEILING(I254/100,1)</f>
        <v>9</v>
      </c>
      <c r="Z254" s="39" t="n">
        <f aca="false">Resumo!$B$12*CEILING(I254,1)</f>
        <v>7.5</v>
      </c>
      <c r="AA254" s="39" t="n">
        <f aca="false">Resumo!$B$13*CEILING(I254,1)</f>
        <v>56.25</v>
      </c>
      <c r="AB254" s="39" t="n">
        <f aca="false">SUM(U254:AA254)</f>
        <v>343.42384</v>
      </c>
      <c r="AC254" s="39" t="n">
        <f aca="false">AB254/(1-Resumo!$B$5)</f>
        <v>390.254363636364</v>
      </c>
      <c r="AD254" s="39" t="n">
        <f aca="false">(AB254-AA254)/(1-Resumo!$B$5)</f>
        <v>326.333909090909</v>
      </c>
      <c r="AE254" s="39" t="n">
        <f aca="false">AC254-T254</f>
        <v>129.243623181818</v>
      </c>
      <c r="AF254" s="40" t="n">
        <f aca="false">AC254/T254-1</f>
        <v>0.495165919060429</v>
      </c>
      <c r="AG254" s="37" t="str">
        <f aca="false">IF(AC254&lt;T254,"SIM","NÃO")</f>
        <v>NÃO</v>
      </c>
      <c r="AH254" s="37" t="n">
        <v>13</v>
      </c>
      <c r="AI254" s="37" t="n">
        <v>8</v>
      </c>
      <c r="AJ254" s="37" t="s">
        <v>323</v>
      </c>
    </row>
    <row r="255" customFormat="false" ht="15" hidden="false" customHeight="false" outlineLevel="0" collapsed="false">
      <c r="A255" s="37" t="n">
        <v>362185703</v>
      </c>
      <c r="B255" s="38" t="n">
        <v>46222.7369560185</v>
      </c>
      <c r="C255" s="37" t="s">
        <v>320</v>
      </c>
      <c r="D255" s="37" t="s">
        <v>582</v>
      </c>
      <c r="E255" s="37" t="n">
        <v>21011250</v>
      </c>
      <c r="F255" s="37" t="s">
        <v>139</v>
      </c>
      <c r="G255" s="37" t="s">
        <v>198</v>
      </c>
      <c r="H255" s="37" t="s">
        <v>168</v>
      </c>
      <c r="I255" s="37" t="n">
        <v>29.2</v>
      </c>
      <c r="J255" s="39" t="n">
        <v>449.99</v>
      </c>
      <c r="K255" s="37" t="s">
        <v>322</v>
      </c>
      <c r="L255" s="39" t="n">
        <v>82.48</v>
      </c>
      <c r="M255" s="39" t="n">
        <v>54.1</v>
      </c>
      <c r="N255" s="39" t="n">
        <f aca="false">J255*Resumo!$C$7</f>
        <v>0.89998</v>
      </c>
      <c r="O255" s="39" t="n">
        <f aca="false">J255*Resumo!$C$8</f>
        <v>0.89998</v>
      </c>
      <c r="P255" s="39" t="n">
        <f aca="false">Resumo!$C$10*CEILING(I255/100,1)</f>
        <v>1</v>
      </c>
      <c r="Q255" s="39" t="n">
        <f aca="false">Resumo!$C$9</f>
        <v>11.9</v>
      </c>
      <c r="R255" s="39" t="n">
        <f aca="false">SUM(M255:Q255)*Resumo!$C$11</f>
        <v>3.7839978</v>
      </c>
      <c r="S255" s="39" t="n">
        <f aca="false">SUM(M255:R255)</f>
        <v>72.5839578</v>
      </c>
      <c r="T255" s="39" t="n">
        <f aca="false">S255/(1-Resumo!$C$5)</f>
        <v>82.4817702272727</v>
      </c>
      <c r="U255" s="39" t="n">
        <v>82.21</v>
      </c>
      <c r="V255" s="39" t="n">
        <f aca="false">J255*Resumo!$B$6</f>
        <v>0.44999</v>
      </c>
      <c r="W255" s="39" t="n">
        <f aca="false">J255*Resumo!$B$7</f>
        <v>0.89998</v>
      </c>
      <c r="X255" s="39" t="n">
        <f aca="false">Resumo!$B$9</f>
        <v>1</v>
      </c>
      <c r="Y255" s="39" t="n">
        <f aca="false">Resumo!$B$10*CEILING(I255/100,1)</f>
        <v>4.5</v>
      </c>
      <c r="Z255" s="39" t="n">
        <f aca="false">Resumo!$B$12*CEILING(I255,1)</f>
        <v>1.8</v>
      </c>
      <c r="AA255" s="39" t="n">
        <f aca="false">Resumo!$B$13*CEILING(I255,1)</f>
        <v>13.5</v>
      </c>
      <c r="AB255" s="39" t="n">
        <f aca="false">SUM(U255:AA255)</f>
        <v>104.35997</v>
      </c>
      <c r="AC255" s="39" t="n">
        <f aca="false">AB255/(1-Resumo!$B$5)</f>
        <v>118.590875</v>
      </c>
      <c r="AD255" s="39" t="n">
        <f aca="false">(AB255-AA255)/(1-Resumo!$B$5)</f>
        <v>103.249965909091</v>
      </c>
      <c r="AE255" s="39" t="n">
        <f aca="false">AC255-T255</f>
        <v>36.1091047727273</v>
      </c>
      <c r="AF255" s="40" t="n">
        <f aca="false">AC255/T255-1</f>
        <v>0.437782853995873</v>
      </c>
      <c r="AG255" s="37" t="str">
        <f aca="false">IF(AC255&lt;T255,"SIM","NÃO")</f>
        <v>NÃO</v>
      </c>
      <c r="AH255" s="37" t="n">
        <v>8</v>
      </c>
      <c r="AI255" s="37" t="n">
        <v>5</v>
      </c>
      <c r="AJ255" s="37" t="s">
        <v>323</v>
      </c>
    </row>
    <row r="256" customFormat="false" ht="15" hidden="false" customHeight="false" outlineLevel="0" collapsed="false">
      <c r="A256" s="37" t="n">
        <v>362200434</v>
      </c>
      <c r="B256" s="38" t="n">
        <v>46222.772037037</v>
      </c>
      <c r="C256" s="37" t="s">
        <v>320</v>
      </c>
      <c r="D256" s="37" t="s">
        <v>583</v>
      </c>
      <c r="E256" s="37" t="n">
        <v>25261300</v>
      </c>
      <c r="F256" s="37" t="s">
        <v>141</v>
      </c>
      <c r="G256" s="37" t="s">
        <v>207</v>
      </c>
      <c r="H256" s="37" t="s">
        <v>176</v>
      </c>
      <c r="I256" s="37" t="n">
        <v>124.2</v>
      </c>
      <c r="J256" s="39" t="n">
        <v>1649.99</v>
      </c>
      <c r="K256" s="37" t="s">
        <v>322</v>
      </c>
      <c r="L256" s="39" t="n">
        <v>244.51</v>
      </c>
      <c r="M256" s="39" t="n">
        <v>183.45</v>
      </c>
      <c r="N256" s="39" t="n">
        <f aca="false">J256*Resumo!$C$7</f>
        <v>3.29998</v>
      </c>
      <c r="O256" s="39" t="n">
        <f aca="false">J256*Resumo!$C$8</f>
        <v>3.29998</v>
      </c>
      <c r="P256" s="39" t="n">
        <f aca="false">Resumo!$C$10*CEILING(I256/100,1)</f>
        <v>2</v>
      </c>
      <c r="Q256" s="39" t="n">
        <f aca="false">Resumo!$C$9</f>
        <v>11.9</v>
      </c>
      <c r="R256" s="39" t="n">
        <f aca="false">SUM(M256:Q256)*Resumo!$C$11</f>
        <v>11.2172478</v>
      </c>
      <c r="S256" s="39" t="n">
        <f aca="false">SUM(M256:R256)</f>
        <v>215.1672078</v>
      </c>
      <c r="T256" s="39" t="n">
        <f aca="false">S256/(1-Resumo!$C$5)</f>
        <v>244.508190681818</v>
      </c>
      <c r="U256" s="39" t="n">
        <v>239.25</v>
      </c>
      <c r="V256" s="39" t="n">
        <f aca="false">J256*Resumo!$B$6</f>
        <v>1.64999</v>
      </c>
      <c r="W256" s="39" t="n">
        <f aca="false">J256*Resumo!$B$7</f>
        <v>3.29998</v>
      </c>
      <c r="X256" s="39" t="n">
        <f aca="false">Resumo!$B$9</f>
        <v>1</v>
      </c>
      <c r="Y256" s="39" t="n">
        <f aca="false">Resumo!$B$10*CEILING(I256/100,1)</f>
        <v>9</v>
      </c>
      <c r="Z256" s="39" t="n">
        <f aca="false">Resumo!$B$12*CEILING(I256,1)</f>
        <v>7.5</v>
      </c>
      <c r="AA256" s="39" t="n">
        <f aca="false">Resumo!$B$13*CEILING(I256,1)</f>
        <v>56.25</v>
      </c>
      <c r="AB256" s="39" t="n">
        <f aca="false">SUM(U256:AA256)</f>
        <v>317.94997</v>
      </c>
      <c r="AC256" s="39" t="n">
        <f aca="false">AB256/(1-Resumo!$B$5)</f>
        <v>361.306784090909</v>
      </c>
      <c r="AD256" s="39" t="n">
        <f aca="false">(AB256-AA256)/(1-Resumo!$B$5)</f>
        <v>297.386329545455</v>
      </c>
      <c r="AE256" s="39" t="n">
        <f aca="false">AC256-T256</f>
        <v>116.798593409091</v>
      </c>
      <c r="AF256" s="40" t="n">
        <f aca="false">AC256/T256-1</f>
        <v>0.477687856113919</v>
      </c>
      <c r="AG256" s="37" t="str">
        <f aca="false">IF(AC256&lt;T256,"SIM","NÃO")</f>
        <v>NÃO</v>
      </c>
      <c r="AH256" s="37" t="n">
        <v>10</v>
      </c>
      <c r="AI256" s="37" t="n">
        <v>5</v>
      </c>
      <c r="AJ256" s="37" t="s">
        <v>323</v>
      </c>
    </row>
    <row r="257" customFormat="false" ht="15" hidden="false" customHeight="false" outlineLevel="0" collapsed="false">
      <c r="A257" s="37" t="n">
        <v>362225398</v>
      </c>
      <c r="B257" s="38" t="n">
        <v>46222.8196527778</v>
      </c>
      <c r="C257" s="37" t="s">
        <v>320</v>
      </c>
      <c r="D257" s="37" t="s">
        <v>584</v>
      </c>
      <c r="E257" s="37" t="n">
        <v>24476720</v>
      </c>
      <c r="F257" s="37" t="s">
        <v>140</v>
      </c>
      <c r="G257" s="37" t="s">
        <v>207</v>
      </c>
      <c r="H257" s="37" t="s">
        <v>168</v>
      </c>
      <c r="I257" s="37" t="n">
        <v>31.9</v>
      </c>
      <c r="J257" s="39" t="n">
        <v>508.42</v>
      </c>
      <c r="K257" s="37" t="s">
        <v>498</v>
      </c>
      <c r="L257" s="39" t="n">
        <v>102.2</v>
      </c>
      <c r="M257" s="39" t="n">
        <v>70</v>
      </c>
      <c r="N257" s="39" t="n">
        <f aca="false">J257*Resumo!$C$7</f>
        <v>1.01684</v>
      </c>
      <c r="O257" s="39" t="n">
        <f aca="false">J257*Resumo!$C$8</f>
        <v>1.01684</v>
      </c>
      <c r="P257" s="39" t="n">
        <f aca="false">Resumo!$C$10*CEILING(I257/100,1)</f>
        <v>1</v>
      </c>
      <c r="Q257" s="39" t="n">
        <f aca="false">Resumo!$C$9</f>
        <v>11.9</v>
      </c>
      <c r="R257" s="39" t="n">
        <f aca="false">SUM(M257:Q257)*Resumo!$C$11</f>
        <v>4.6713524</v>
      </c>
      <c r="S257" s="39" t="n">
        <f aca="false">SUM(M257:R257)</f>
        <v>89.6050324</v>
      </c>
      <c r="T257" s="39" t="n">
        <f aca="false">S257/(1-Resumo!$C$5)</f>
        <v>101.823900454545</v>
      </c>
      <c r="U257" s="39" t="n">
        <v>100.58</v>
      </c>
      <c r="V257" s="39" t="n">
        <f aca="false">J257*Resumo!$B$6</f>
        <v>0.50842</v>
      </c>
      <c r="W257" s="39" t="n">
        <f aca="false">J257*Resumo!$B$7</f>
        <v>1.01684</v>
      </c>
      <c r="X257" s="39" t="n">
        <f aca="false">Resumo!$B$9</f>
        <v>1</v>
      </c>
      <c r="Y257" s="39" t="n">
        <f aca="false">Resumo!$B$10*CEILING(I257/100,1)</f>
        <v>4.5</v>
      </c>
      <c r="Z257" s="39" t="n">
        <f aca="false">Resumo!$B$12*CEILING(I257,1)</f>
        <v>1.92</v>
      </c>
      <c r="AA257" s="39" t="n">
        <f aca="false">Resumo!$B$13*CEILING(I257,1)</f>
        <v>14.4</v>
      </c>
      <c r="AB257" s="39" t="n">
        <f aca="false">SUM(U257:AA257)</f>
        <v>123.92526</v>
      </c>
      <c r="AC257" s="39" t="n">
        <f aca="false">AB257/(1-Resumo!$B$5)</f>
        <v>140.824159090909</v>
      </c>
      <c r="AD257" s="39" t="n">
        <f aca="false">(AB257-AA257)/(1-Resumo!$B$5)</f>
        <v>124.460522727273</v>
      </c>
      <c r="AE257" s="39" t="n">
        <f aca="false">AC257-T257</f>
        <v>39.0002586363636</v>
      </c>
      <c r="AF257" s="40" t="n">
        <f aca="false">AC257/T257-1</f>
        <v>0.383016742260561</v>
      </c>
      <c r="AG257" s="37" t="str">
        <f aca="false">IF(AC257&lt;T257,"SIM","NÃO")</f>
        <v>NÃO</v>
      </c>
      <c r="AH257" s="37" t="n">
        <v>10</v>
      </c>
      <c r="AI257" s="37" t="n">
        <v>7</v>
      </c>
      <c r="AJ257" s="37" t="s">
        <v>323</v>
      </c>
    </row>
    <row r="258" customFormat="false" ht="15" hidden="false" customHeight="false" outlineLevel="0" collapsed="false">
      <c r="A258" s="37" t="n">
        <v>362243131</v>
      </c>
      <c r="B258" s="38" t="n">
        <v>46222.8546180556</v>
      </c>
      <c r="C258" s="37" t="s">
        <v>320</v>
      </c>
      <c r="D258" s="37" t="s">
        <v>585</v>
      </c>
      <c r="E258" s="37" t="n">
        <v>21532197</v>
      </c>
      <c r="F258" s="37" t="s">
        <v>139</v>
      </c>
      <c r="G258" s="37" t="s">
        <v>198</v>
      </c>
      <c r="H258" s="37" t="s">
        <v>168</v>
      </c>
      <c r="I258" s="37" t="n">
        <v>31</v>
      </c>
      <c r="J258" s="39" t="n">
        <v>299.99</v>
      </c>
      <c r="K258" s="37" t="s">
        <v>498</v>
      </c>
      <c r="L258" s="39" t="n">
        <v>81.73</v>
      </c>
      <c r="M258" s="39" t="n">
        <v>54.1</v>
      </c>
      <c r="N258" s="39" t="n">
        <f aca="false">J258*Resumo!$C$7</f>
        <v>0.59998</v>
      </c>
      <c r="O258" s="39" t="n">
        <f aca="false">J258*Resumo!$C$8</f>
        <v>0.59998</v>
      </c>
      <c r="P258" s="39" t="n">
        <f aca="false">Resumo!$C$10*CEILING(I258/100,1)</f>
        <v>1</v>
      </c>
      <c r="Q258" s="39" t="n">
        <f aca="false">Resumo!$C$9</f>
        <v>11.9</v>
      </c>
      <c r="R258" s="39" t="n">
        <f aca="false">SUM(M258:Q258)*Resumo!$C$11</f>
        <v>3.7509978</v>
      </c>
      <c r="S258" s="39" t="n">
        <f aca="false">SUM(M258:R258)</f>
        <v>71.9509578</v>
      </c>
      <c r="T258" s="39" t="n">
        <f aca="false">S258/(1-Resumo!$C$5)</f>
        <v>81.7624520454545</v>
      </c>
      <c r="U258" s="39" t="n">
        <v>82.21</v>
      </c>
      <c r="V258" s="39" t="n">
        <f aca="false">J258*Resumo!$B$6</f>
        <v>0.29999</v>
      </c>
      <c r="W258" s="39" t="n">
        <f aca="false">J258*Resumo!$B$7</f>
        <v>0.59998</v>
      </c>
      <c r="X258" s="39" t="n">
        <f aca="false">Resumo!$B$9</f>
        <v>1</v>
      </c>
      <c r="Y258" s="39" t="n">
        <f aca="false">Resumo!$B$10*CEILING(I258/100,1)</f>
        <v>4.5</v>
      </c>
      <c r="Z258" s="39" t="n">
        <f aca="false">Resumo!$B$12*CEILING(I258,1)</f>
        <v>1.86</v>
      </c>
      <c r="AA258" s="39" t="n">
        <f aca="false">Resumo!$B$13*CEILING(I258,1)</f>
        <v>13.95</v>
      </c>
      <c r="AB258" s="39" t="n">
        <f aca="false">SUM(U258:AA258)</f>
        <v>104.41997</v>
      </c>
      <c r="AC258" s="39" t="n">
        <f aca="false">AB258/(1-Resumo!$B$5)</f>
        <v>118.659056818182</v>
      </c>
      <c r="AD258" s="39" t="n">
        <f aca="false">(AB258-AA258)/(1-Resumo!$B$5)</f>
        <v>102.806784090909</v>
      </c>
      <c r="AE258" s="39" t="n">
        <f aca="false">AC258-T258</f>
        <v>36.8966047727273</v>
      </c>
      <c r="AF258" s="40" t="n">
        <f aca="false">AC258/T258-1</f>
        <v>0.451265878770553</v>
      </c>
      <c r="AG258" s="37" t="str">
        <f aca="false">IF(AC258&lt;T258,"SIM","NÃO")</f>
        <v>NÃO</v>
      </c>
      <c r="AH258" s="37" t="n">
        <v>8</v>
      </c>
      <c r="AI258" s="37" t="n">
        <v>5</v>
      </c>
      <c r="AJ258" s="37" t="s">
        <v>323</v>
      </c>
    </row>
    <row r="259" customFormat="false" ht="15" hidden="false" customHeight="false" outlineLevel="0" collapsed="false">
      <c r="A259" s="37" t="n">
        <v>362507018</v>
      </c>
      <c r="B259" s="38" t="n">
        <v>46223.4271875</v>
      </c>
      <c r="C259" s="37" t="s">
        <v>320</v>
      </c>
      <c r="D259" s="37" t="s">
        <v>586</v>
      </c>
      <c r="E259" s="37" t="n">
        <v>24913090</v>
      </c>
      <c r="F259" s="37" t="s">
        <v>151</v>
      </c>
      <c r="G259" s="37" t="s">
        <v>201</v>
      </c>
      <c r="H259" s="37" t="s">
        <v>173</v>
      </c>
      <c r="I259" s="37" t="n">
        <v>73</v>
      </c>
      <c r="J259" s="39" t="n">
        <v>999.99</v>
      </c>
      <c r="K259" s="37" t="s">
        <v>498</v>
      </c>
      <c r="L259" s="39" t="n">
        <v>168.66</v>
      </c>
      <c r="M259" s="39" t="n">
        <v>124.16</v>
      </c>
      <c r="N259" s="39" t="n">
        <f aca="false">J259*Resumo!$C$7</f>
        <v>1.99998</v>
      </c>
      <c r="O259" s="39" t="n">
        <f aca="false">J259*Resumo!$C$8</f>
        <v>1.99998</v>
      </c>
      <c r="P259" s="39" t="n">
        <f aca="false">Resumo!$C$10*CEILING(I259/100,1)</f>
        <v>1</v>
      </c>
      <c r="Q259" s="39" t="n">
        <f aca="false">Resumo!$C$9</f>
        <v>11.9</v>
      </c>
      <c r="R259" s="39" t="n">
        <f aca="false">SUM(M259:Q259)*Resumo!$C$11</f>
        <v>7.7582978</v>
      </c>
      <c r="S259" s="39" t="n">
        <f aca="false">SUM(M259:R259)</f>
        <v>148.8182578</v>
      </c>
      <c r="T259" s="39" t="n">
        <f aca="false">S259/(1-Resumo!$C$5)</f>
        <v>169.111656590909</v>
      </c>
      <c r="U259" s="39" t="n">
        <v>142.74</v>
      </c>
      <c r="V259" s="39" t="n">
        <f aca="false">J259*Resumo!$B$6</f>
        <v>0.99999</v>
      </c>
      <c r="W259" s="39" t="n">
        <f aca="false">J259*Resumo!$B$7</f>
        <v>1.99998</v>
      </c>
      <c r="X259" s="39" t="n">
        <f aca="false">Resumo!$B$9</f>
        <v>1</v>
      </c>
      <c r="Y259" s="39" t="n">
        <f aca="false">Resumo!$B$10*CEILING(I259/100,1)</f>
        <v>4.5</v>
      </c>
      <c r="Z259" s="39" t="n">
        <f aca="false">Resumo!$B$12*CEILING(I259,1)</f>
        <v>4.38</v>
      </c>
      <c r="AA259" s="39" t="n">
        <f aca="false">Resumo!$B$13*CEILING(I259,1)</f>
        <v>32.85</v>
      </c>
      <c r="AB259" s="39" t="n">
        <f aca="false">SUM(U259:AA259)</f>
        <v>188.46997</v>
      </c>
      <c r="AC259" s="39" t="n">
        <f aca="false">AB259/(1-Resumo!$B$5)</f>
        <v>214.170420454545</v>
      </c>
      <c r="AD259" s="39" t="n">
        <f aca="false">(AB259-AA259)/(1-Resumo!$B$5)</f>
        <v>176.840875</v>
      </c>
      <c r="AE259" s="39" t="n">
        <f aca="false">AC259-T259</f>
        <v>45.0587638636364</v>
      </c>
      <c r="AF259" s="40" t="n">
        <f aca="false">AC259/T259-1</f>
        <v>0.266443867749673</v>
      </c>
      <c r="AG259" s="37" t="str">
        <f aca="false">IF(AC259&lt;T259,"SIM","NÃO")</f>
        <v>NÃO</v>
      </c>
      <c r="AH259" s="37" t="n">
        <v>13</v>
      </c>
      <c r="AI259" s="37" t="n">
        <v>7</v>
      </c>
      <c r="AJ259" s="37" t="s">
        <v>323</v>
      </c>
    </row>
    <row r="260" customFormat="false" ht="15" hidden="false" customHeight="false" outlineLevel="0" collapsed="false">
      <c r="A260" s="37" t="n">
        <v>362540072</v>
      </c>
      <c r="B260" s="38" t="n">
        <v>46223.4930208333</v>
      </c>
      <c r="C260" s="37" t="s">
        <v>320</v>
      </c>
      <c r="D260" s="37" t="s">
        <v>587</v>
      </c>
      <c r="E260" s="37" t="n">
        <v>23092093</v>
      </c>
      <c r="F260" s="37" t="s">
        <v>139</v>
      </c>
      <c r="G260" s="37" t="s">
        <v>198</v>
      </c>
      <c r="H260" s="37" t="s">
        <v>168</v>
      </c>
      <c r="I260" s="37" t="n">
        <v>31</v>
      </c>
      <c r="J260" s="39" t="n">
        <v>299.99</v>
      </c>
      <c r="K260" s="37" t="s">
        <v>498</v>
      </c>
      <c r="L260" s="39" t="n">
        <v>81.73</v>
      </c>
      <c r="M260" s="39" t="n">
        <v>54.1</v>
      </c>
      <c r="N260" s="39" t="n">
        <f aca="false">J260*Resumo!$C$7</f>
        <v>0.59998</v>
      </c>
      <c r="O260" s="39" t="n">
        <f aca="false">J260*Resumo!$C$8</f>
        <v>0.59998</v>
      </c>
      <c r="P260" s="39" t="n">
        <f aca="false">Resumo!$C$10*CEILING(I260/100,1)</f>
        <v>1</v>
      </c>
      <c r="Q260" s="39" t="n">
        <f aca="false">Resumo!$C$9</f>
        <v>11.9</v>
      </c>
      <c r="R260" s="39" t="n">
        <f aca="false">SUM(M260:Q260)*Resumo!$C$11</f>
        <v>3.7509978</v>
      </c>
      <c r="S260" s="39" t="n">
        <f aca="false">SUM(M260:R260)</f>
        <v>71.9509578</v>
      </c>
      <c r="T260" s="39" t="n">
        <f aca="false">S260/(1-Resumo!$C$5)</f>
        <v>81.7624520454545</v>
      </c>
      <c r="U260" s="39" t="n">
        <v>82.21</v>
      </c>
      <c r="V260" s="39" t="n">
        <f aca="false">J260*Resumo!$B$6</f>
        <v>0.29999</v>
      </c>
      <c r="W260" s="39" t="n">
        <f aca="false">J260*Resumo!$B$7</f>
        <v>0.59998</v>
      </c>
      <c r="X260" s="39" t="n">
        <f aca="false">Resumo!$B$9</f>
        <v>1</v>
      </c>
      <c r="Y260" s="39" t="n">
        <f aca="false">Resumo!$B$10*CEILING(I260/100,1)</f>
        <v>4.5</v>
      </c>
      <c r="Z260" s="39" t="n">
        <f aca="false">Resumo!$B$12*CEILING(I260,1)</f>
        <v>1.86</v>
      </c>
      <c r="AA260" s="39" t="n">
        <f aca="false">Resumo!$B$13*CEILING(I260,1)</f>
        <v>13.95</v>
      </c>
      <c r="AB260" s="39" t="n">
        <f aca="false">SUM(U260:AA260)</f>
        <v>104.41997</v>
      </c>
      <c r="AC260" s="39" t="n">
        <f aca="false">AB260/(1-Resumo!$B$5)</f>
        <v>118.659056818182</v>
      </c>
      <c r="AD260" s="39" t="n">
        <f aca="false">(AB260-AA260)/(1-Resumo!$B$5)</f>
        <v>102.806784090909</v>
      </c>
      <c r="AE260" s="39" t="n">
        <f aca="false">AC260-T260</f>
        <v>36.8966047727273</v>
      </c>
      <c r="AF260" s="40" t="n">
        <f aca="false">AC260/T260-1</f>
        <v>0.451265878770553</v>
      </c>
      <c r="AG260" s="37" t="str">
        <f aca="false">IF(AC260&lt;T260,"SIM","NÃO")</f>
        <v>NÃO</v>
      </c>
      <c r="AH260" s="37" t="n">
        <v>8</v>
      </c>
      <c r="AI260" s="37" t="n">
        <v>5</v>
      </c>
      <c r="AJ260" s="37" t="s">
        <v>323</v>
      </c>
    </row>
    <row r="261" customFormat="false" ht="15" hidden="false" customHeight="false" outlineLevel="0" collapsed="false">
      <c r="A261" s="37" t="n">
        <v>362579744</v>
      </c>
      <c r="B261" s="38" t="n">
        <v>46223.5623726852</v>
      </c>
      <c r="C261" s="37" t="s">
        <v>320</v>
      </c>
      <c r="D261" s="37" t="s">
        <v>588</v>
      </c>
      <c r="E261" s="37" t="n">
        <v>27583864</v>
      </c>
      <c r="F261" s="37" t="s">
        <v>238</v>
      </c>
      <c r="G261" s="37" t="s">
        <v>201</v>
      </c>
      <c r="H261" s="37" t="s">
        <v>169</v>
      </c>
      <c r="I261" s="37" t="n">
        <v>36.8</v>
      </c>
      <c r="J261" s="39" t="n">
        <v>479.99</v>
      </c>
      <c r="K261" s="37" t="s">
        <v>498</v>
      </c>
      <c r="L261" s="39" t="n">
        <v>123</v>
      </c>
      <c r="M261" s="39" t="n">
        <v>87.4</v>
      </c>
      <c r="N261" s="39" t="n">
        <f aca="false">J261*Resumo!$C$7</f>
        <v>0.95998</v>
      </c>
      <c r="O261" s="39" t="n">
        <f aca="false">J261*Resumo!$C$8</f>
        <v>0.95998</v>
      </c>
      <c r="P261" s="39" t="n">
        <f aca="false">Resumo!$C$10*CEILING(I261/100,1)</f>
        <v>1</v>
      </c>
      <c r="Q261" s="39" t="n">
        <f aca="false">Resumo!$C$9</f>
        <v>11.9</v>
      </c>
      <c r="R261" s="39" t="n">
        <f aca="false">SUM(M261:Q261)*Resumo!$C$11</f>
        <v>5.6220978</v>
      </c>
      <c r="S261" s="39" t="n">
        <f aca="false">SUM(M261:R261)</f>
        <v>107.8420578</v>
      </c>
      <c r="T261" s="39" t="n">
        <f aca="false">S261/(1-Resumo!$C$5)</f>
        <v>122.547792954545</v>
      </c>
      <c r="U261" s="39" t="n">
        <v>124.38</v>
      </c>
      <c r="V261" s="39" t="n">
        <f aca="false">J261*Resumo!$B$6</f>
        <v>0.47999</v>
      </c>
      <c r="W261" s="39" t="n">
        <f aca="false">J261*Resumo!$B$7</f>
        <v>0.95998</v>
      </c>
      <c r="X261" s="39" t="n">
        <f aca="false">Resumo!$B$9</f>
        <v>1</v>
      </c>
      <c r="Y261" s="39" t="n">
        <f aca="false">Resumo!$B$10*CEILING(I261/100,1)</f>
        <v>4.5</v>
      </c>
      <c r="Z261" s="39" t="n">
        <f aca="false">Resumo!$B$12*CEILING(I261,1)</f>
        <v>2.22</v>
      </c>
      <c r="AA261" s="39" t="n">
        <f aca="false">Resumo!$B$13*CEILING(I261,1)</f>
        <v>16.65</v>
      </c>
      <c r="AB261" s="39" t="n">
        <f aca="false">SUM(U261:AA261)</f>
        <v>150.18997</v>
      </c>
      <c r="AC261" s="39" t="n">
        <f aca="false">AB261/(1-Resumo!$B$5)</f>
        <v>170.670420454545</v>
      </c>
      <c r="AD261" s="39" t="n">
        <f aca="false">(AB261-AA261)/(1-Resumo!$B$5)</f>
        <v>151.749965909091</v>
      </c>
      <c r="AE261" s="39" t="n">
        <f aca="false">AC261-T261</f>
        <v>48.1226275</v>
      </c>
      <c r="AF261" s="40" t="n">
        <f aca="false">AC261/T261-1</f>
        <v>0.392684570972643</v>
      </c>
      <c r="AG261" s="37" t="str">
        <f aca="false">IF(AC261&lt;T261,"SIM","NÃO")</f>
        <v>NÃO</v>
      </c>
      <c r="AH261" s="37" t="n">
        <v>13</v>
      </c>
      <c r="AI261" s="37" t="n">
        <v>10</v>
      </c>
      <c r="AJ261" s="37" t="s">
        <v>327</v>
      </c>
    </row>
    <row r="262" customFormat="false" ht="15" hidden="false" customHeight="false" outlineLevel="0" collapsed="false">
      <c r="A262" s="37" t="n">
        <v>362586052</v>
      </c>
      <c r="B262" s="38" t="n">
        <v>46223.5748958333</v>
      </c>
      <c r="C262" s="37" t="s">
        <v>325</v>
      </c>
      <c r="D262" s="37" t="s">
        <v>589</v>
      </c>
      <c r="E262" s="37" t="n">
        <v>28925832</v>
      </c>
      <c r="F262" s="37" t="s">
        <v>152</v>
      </c>
      <c r="G262" s="37" t="s">
        <v>201</v>
      </c>
      <c r="H262" s="37" t="s">
        <v>171</v>
      </c>
      <c r="I262" s="37" t="n">
        <v>56.7</v>
      </c>
      <c r="J262" s="39" t="n">
        <v>630.57</v>
      </c>
      <c r="K262" s="37" t="s">
        <v>498</v>
      </c>
      <c r="L262" s="39" t="n">
        <v>143.72</v>
      </c>
      <c r="M262" s="39" t="n">
        <v>103.6</v>
      </c>
      <c r="N262" s="39" t="n">
        <f aca="false">J262*Resumo!$C$7</f>
        <v>1.26114</v>
      </c>
      <c r="O262" s="39" t="n">
        <f aca="false">J262*Resumo!$C$8</f>
        <v>1.26114</v>
      </c>
      <c r="P262" s="39" t="n">
        <f aca="false">Resumo!$C$10*CEILING(I262/100,1)</f>
        <v>1</v>
      </c>
      <c r="Q262" s="39" t="n">
        <f aca="false">Resumo!$C$9</f>
        <v>11.9</v>
      </c>
      <c r="R262" s="39" t="n">
        <f aca="false">SUM(M262:Q262)*Resumo!$C$11</f>
        <v>6.5462254</v>
      </c>
      <c r="S262" s="39" t="n">
        <f aca="false">SUM(M262:R262)</f>
        <v>125.5685054</v>
      </c>
      <c r="T262" s="39" t="n">
        <f aca="false">S262/(1-Resumo!$C$5)</f>
        <v>142.691483409091</v>
      </c>
      <c r="U262" s="39" t="n">
        <v>142.32</v>
      </c>
      <c r="V262" s="39" t="n">
        <f aca="false">J262*Resumo!$B$6</f>
        <v>0.63057</v>
      </c>
      <c r="W262" s="39" t="n">
        <f aca="false">J262*Resumo!$B$7</f>
        <v>1.26114</v>
      </c>
      <c r="X262" s="39" t="n">
        <f aca="false">Resumo!$B$9</f>
        <v>1</v>
      </c>
      <c r="Y262" s="39" t="n">
        <f aca="false">Resumo!$B$10*CEILING(I262/100,1)</f>
        <v>4.5</v>
      </c>
      <c r="Z262" s="39" t="n">
        <f aca="false">Resumo!$B$12*CEILING(I262,1)</f>
        <v>3.42</v>
      </c>
      <c r="AA262" s="39" t="n">
        <f aca="false">Resumo!$B$13*CEILING(I262,1)</f>
        <v>25.65</v>
      </c>
      <c r="AB262" s="39" t="n">
        <f aca="false">SUM(U262:AA262)</f>
        <v>178.78171</v>
      </c>
      <c r="AC262" s="39" t="n">
        <f aca="false">AB262/(1-Resumo!$B$5)</f>
        <v>203.161034090909</v>
      </c>
      <c r="AD262" s="39" t="n">
        <f aca="false">(AB262-AA262)/(1-Resumo!$B$5)</f>
        <v>174.013306818182</v>
      </c>
      <c r="AE262" s="39" t="n">
        <f aca="false">AC262-T262</f>
        <v>60.4695506818182</v>
      </c>
      <c r="AF262" s="40" t="n">
        <f aca="false">AC262/T262-1</f>
        <v>0.42377827489854</v>
      </c>
      <c r="AG262" s="37" t="str">
        <f aca="false">IF(AC262&lt;T262,"SIM","NÃO")</f>
        <v>NÃO</v>
      </c>
      <c r="AH262" s="37" t="n">
        <v>13</v>
      </c>
      <c r="AI262" s="37" t="n">
        <v>10</v>
      </c>
      <c r="AJ262" s="37" t="s">
        <v>323</v>
      </c>
    </row>
    <row r="263" customFormat="false" ht="15" hidden="false" customHeight="false" outlineLevel="0" collapsed="false">
      <c r="A263" s="37" t="n">
        <v>362588416</v>
      </c>
      <c r="B263" s="38" t="n">
        <v>46223.5805324074</v>
      </c>
      <c r="C263" s="37" t="s">
        <v>320</v>
      </c>
      <c r="D263" s="37" t="s">
        <v>590</v>
      </c>
      <c r="E263" s="37" t="n">
        <v>21843040</v>
      </c>
      <c r="F263" s="37" t="s">
        <v>139</v>
      </c>
      <c r="G263" s="37" t="s">
        <v>198</v>
      </c>
      <c r="H263" s="37" t="s">
        <v>171</v>
      </c>
      <c r="I263" s="37" t="n">
        <v>56.7</v>
      </c>
      <c r="J263" s="39" t="n">
        <v>705.47</v>
      </c>
      <c r="K263" s="37" t="s">
        <v>322</v>
      </c>
      <c r="L263" s="39" t="n">
        <v>114.52</v>
      </c>
      <c r="M263" s="39" t="n">
        <v>79.81</v>
      </c>
      <c r="N263" s="39" t="n">
        <f aca="false">J263*Resumo!$C$7</f>
        <v>1.41094</v>
      </c>
      <c r="O263" s="39" t="n">
        <f aca="false">J263*Resumo!$C$8</f>
        <v>1.41094</v>
      </c>
      <c r="P263" s="39" t="n">
        <f aca="false">Resumo!$C$10*CEILING(I263/100,1)</f>
        <v>1</v>
      </c>
      <c r="Q263" s="39" t="n">
        <f aca="false">Resumo!$C$9</f>
        <v>11.9</v>
      </c>
      <c r="R263" s="39" t="n">
        <f aca="false">SUM(M263:Q263)*Resumo!$C$11</f>
        <v>5.2542534</v>
      </c>
      <c r="S263" s="39" t="n">
        <f aca="false">SUM(M263:R263)</f>
        <v>100.7861334</v>
      </c>
      <c r="T263" s="39" t="n">
        <f aca="false">S263/(1-Resumo!$C$5)</f>
        <v>114.529697045455</v>
      </c>
      <c r="U263" s="39" t="n">
        <v>112.3</v>
      </c>
      <c r="V263" s="39" t="n">
        <f aca="false">J263*Resumo!$B$6</f>
        <v>0.70547</v>
      </c>
      <c r="W263" s="39" t="n">
        <f aca="false">J263*Resumo!$B$7</f>
        <v>1.41094</v>
      </c>
      <c r="X263" s="39" t="n">
        <f aca="false">Resumo!$B$9</f>
        <v>1</v>
      </c>
      <c r="Y263" s="39" t="n">
        <f aca="false">Resumo!$B$10*CEILING(I263/100,1)</f>
        <v>4.5</v>
      </c>
      <c r="Z263" s="39" t="n">
        <f aca="false">Resumo!$B$12*CEILING(I263,1)</f>
        <v>3.42</v>
      </c>
      <c r="AA263" s="39" t="n">
        <f aca="false">Resumo!$B$13*CEILING(I263,1)</f>
        <v>25.65</v>
      </c>
      <c r="AB263" s="39" t="n">
        <f aca="false">SUM(U263:AA263)</f>
        <v>148.98641</v>
      </c>
      <c r="AC263" s="39" t="n">
        <f aca="false">AB263/(1-Resumo!$B$5)</f>
        <v>169.302738636364</v>
      </c>
      <c r="AD263" s="39" t="n">
        <f aca="false">(AB263-AA263)/(1-Resumo!$B$5)</f>
        <v>140.155011363636</v>
      </c>
      <c r="AE263" s="39" t="n">
        <f aca="false">AC263-T263</f>
        <v>54.7730415909091</v>
      </c>
      <c r="AF263" s="40" t="n">
        <f aca="false">AC263/T263-1</f>
        <v>0.478243136967094</v>
      </c>
      <c r="AG263" s="37" t="str">
        <f aca="false">IF(AC263&lt;T263,"SIM","NÃO")</f>
        <v>NÃO</v>
      </c>
      <c r="AH263" s="37" t="n">
        <v>8</v>
      </c>
      <c r="AI263" s="37" t="n">
        <v>5</v>
      </c>
      <c r="AJ263" s="37" t="s">
        <v>323</v>
      </c>
    </row>
    <row r="264" customFormat="false" ht="15" hidden="false" customHeight="false" outlineLevel="0" collapsed="false">
      <c r="A264" s="37" t="n">
        <v>362628696</v>
      </c>
      <c r="B264" s="38" t="n">
        <v>46223.6480671296</v>
      </c>
      <c r="C264" s="37" t="s">
        <v>320</v>
      </c>
      <c r="D264" s="37" t="s">
        <v>591</v>
      </c>
      <c r="E264" s="37" t="n">
        <v>24736220</v>
      </c>
      <c r="F264" s="37" t="s">
        <v>140</v>
      </c>
      <c r="G264" s="37" t="s">
        <v>207</v>
      </c>
      <c r="H264" s="37" t="s">
        <v>170</v>
      </c>
      <c r="I264" s="37" t="n">
        <v>45.3</v>
      </c>
      <c r="J264" s="39" t="n">
        <v>699.99</v>
      </c>
      <c r="K264" s="37" t="s">
        <v>498</v>
      </c>
      <c r="L264" s="39" t="n">
        <v>117.73</v>
      </c>
      <c r="M264" s="39" t="n">
        <v>82.25</v>
      </c>
      <c r="N264" s="39" t="n">
        <f aca="false">J264*Resumo!$C$7</f>
        <v>1.39998</v>
      </c>
      <c r="O264" s="39" t="n">
        <f aca="false">J264*Resumo!$C$8</f>
        <v>1.39998</v>
      </c>
      <c r="P264" s="39" t="n">
        <f aca="false">Resumo!$C$10*CEILING(I264/100,1)</f>
        <v>1</v>
      </c>
      <c r="Q264" s="39" t="n">
        <f aca="false">Resumo!$C$9</f>
        <v>11.9</v>
      </c>
      <c r="R264" s="39" t="n">
        <f aca="false">SUM(M264:Q264)*Resumo!$C$11</f>
        <v>5.3872478</v>
      </c>
      <c r="S264" s="39" t="n">
        <f aca="false">SUM(M264:R264)</f>
        <v>103.3372078</v>
      </c>
      <c r="T264" s="39" t="n">
        <f aca="false">S264/(1-Resumo!$C$5)</f>
        <v>117.428645227273</v>
      </c>
      <c r="U264" s="39" t="n">
        <v>114.95</v>
      </c>
      <c r="V264" s="39" t="n">
        <f aca="false">J264*Resumo!$B$6</f>
        <v>0.69999</v>
      </c>
      <c r="W264" s="39" t="n">
        <f aca="false">J264*Resumo!$B$7</f>
        <v>1.39998</v>
      </c>
      <c r="X264" s="39" t="n">
        <f aca="false">Resumo!$B$9</f>
        <v>1</v>
      </c>
      <c r="Y264" s="39" t="n">
        <f aca="false">Resumo!$B$10*CEILING(I264/100,1)</f>
        <v>4.5</v>
      </c>
      <c r="Z264" s="39" t="n">
        <f aca="false">Resumo!$B$12*CEILING(I264,1)</f>
        <v>2.76</v>
      </c>
      <c r="AA264" s="39" t="n">
        <f aca="false">Resumo!$B$13*CEILING(I264,1)</f>
        <v>20.7</v>
      </c>
      <c r="AB264" s="39" t="n">
        <f aca="false">SUM(U264:AA264)</f>
        <v>146.00997</v>
      </c>
      <c r="AC264" s="39" t="n">
        <f aca="false">AB264/(1-Resumo!$B$5)</f>
        <v>165.920420454545</v>
      </c>
      <c r="AD264" s="39" t="n">
        <f aca="false">(AB264-AA264)/(1-Resumo!$B$5)</f>
        <v>142.397693181818</v>
      </c>
      <c r="AE264" s="39" t="n">
        <f aca="false">AC264-T264</f>
        <v>48.4917752272728</v>
      </c>
      <c r="AF264" s="40" t="n">
        <f aca="false">AC264/T264-1</f>
        <v>0.412946731467618</v>
      </c>
      <c r="AG264" s="37" t="str">
        <f aca="false">IF(AC264&lt;T264,"SIM","NÃO")</f>
        <v>NÃO</v>
      </c>
      <c r="AH264" s="37" t="n">
        <v>10</v>
      </c>
      <c r="AI264" s="37" t="n">
        <v>7</v>
      </c>
      <c r="AJ264" s="37" t="s">
        <v>323</v>
      </c>
    </row>
    <row r="265" customFormat="false" ht="15" hidden="false" customHeight="false" outlineLevel="0" collapsed="false">
      <c r="A265" s="37" t="n">
        <v>362671141</v>
      </c>
      <c r="B265" s="38" t="n">
        <v>46223.7188310185</v>
      </c>
      <c r="C265" s="37" t="s">
        <v>352</v>
      </c>
      <c r="D265" s="37" t="s">
        <v>592</v>
      </c>
      <c r="E265" s="37" t="n">
        <v>22790661</v>
      </c>
      <c r="F265" s="37" t="s">
        <v>139</v>
      </c>
      <c r="G265" s="37" t="s">
        <v>198</v>
      </c>
      <c r="H265" s="37" t="s">
        <v>171</v>
      </c>
      <c r="I265" s="37" t="n">
        <v>58.5</v>
      </c>
      <c r="J265" s="39" t="n">
        <v>989.99</v>
      </c>
      <c r="K265" s="37" t="s">
        <v>322</v>
      </c>
      <c r="L265" s="39" t="n">
        <v>115.9</v>
      </c>
      <c r="M265" s="39" t="n">
        <v>79.81</v>
      </c>
      <c r="N265" s="39" t="n">
        <f aca="false">J265*Resumo!$C$7</f>
        <v>1.97998</v>
      </c>
      <c r="O265" s="39" t="n">
        <f aca="false">J265*Resumo!$C$8</f>
        <v>1.97998</v>
      </c>
      <c r="P265" s="39" t="n">
        <f aca="false">Resumo!$C$10*CEILING(I265/100,1)</f>
        <v>1</v>
      </c>
      <c r="Q265" s="39" t="n">
        <f aca="false">Resumo!$C$9</f>
        <v>11.9</v>
      </c>
      <c r="R265" s="39" t="n">
        <f aca="false">SUM(M265:Q265)*Resumo!$C$11</f>
        <v>5.3168478</v>
      </c>
      <c r="S265" s="39" t="n">
        <f aca="false">SUM(M265:R265)</f>
        <v>101.9868078</v>
      </c>
      <c r="T265" s="39" t="n">
        <f aca="false">S265/(1-Resumo!$C$5)</f>
        <v>115.894099772727</v>
      </c>
      <c r="U265" s="39" t="n">
        <v>112.3</v>
      </c>
      <c r="V265" s="39" t="n">
        <f aca="false">J265*Resumo!$B$6</f>
        <v>0.98999</v>
      </c>
      <c r="W265" s="39" t="n">
        <f aca="false">J265*Resumo!$B$7</f>
        <v>1.97998</v>
      </c>
      <c r="X265" s="39" t="n">
        <f aca="false">Resumo!$B$9</f>
        <v>1</v>
      </c>
      <c r="Y265" s="39" t="n">
        <f aca="false">Resumo!$B$10*CEILING(I265/100,1)</f>
        <v>4.5</v>
      </c>
      <c r="Z265" s="39" t="n">
        <f aca="false">Resumo!$B$12*CEILING(I265,1)</f>
        <v>3.54</v>
      </c>
      <c r="AA265" s="39" t="n">
        <f aca="false">Resumo!$B$13*CEILING(I265,1)</f>
        <v>26.55</v>
      </c>
      <c r="AB265" s="39" t="n">
        <f aca="false">SUM(U265:AA265)</f>
        <v>150.85997</v>
      </c>
      <c r="AC265" s="39" t="n">
        <f aca="false">AB265/(1-Resumo!$B$5)</f>
        <v>171.431784090909</v>
      </c>
      <c r="AD265" s="39" t="n">
        <f aca="false">(AB265-AA265)/(1-Resumo!$B$5)</f>
        <v>141.261329545455</v>
      </c>
      <c r="AE265" s="39" t="n">
        <f aca="false">AC265-T265</f>
        <v>55.5376843181818</v>
      </c>
      <c r="AF265" s="40" t="n">
        <f aca="false">AC265/T265-1</f>
        <v>0.479210627867107</v>
      </c>
      <c r="AG265" s="37" t="str">
        <f aca="false">IF(AC265&lt;T265,"SIM","NÃO")</f>
        <v>NÃO</v>
      </c>
      <c r="AH265" s="37" t="n">
        <v>8</v>
      </c>
      <c r="AI265" s="37" t="n">
        <v>5</v>
      </c>
      <c r="AJ265" s="37" t="s">
        <v>323</v>
      </c>
    </row>
    <row r="266" customFormat="false" ht="15" hidden="false" customHeight="false" outlineLevel="0" collapsed="false">
      <c r="A266" s="37" t="n">
        <v>362696085</v>
      </c>
      <c r="B266" s="38" t="n">
        <v>46223.769537037</v>
      </c>
      <c r="C266" s="37" t="s">
        <v>320</v>
      </c>
      <c r="D266" s="37" t="s">
        <v>593</v>
      </c>
      <c r="E266" s="37" t="n">
        <v>26050470</v>
      </c>
      <c r="F266" s="37" t="s">
        <v>142</v>
      </c>
      <c r="G266" s="37" t="s">
        <v>207</v>
      </c>
      <c r="H266" s="37" t="s">
        <v>168</v>
      </c>
      <c r="I266" s="37" t="n">
        <v>31</v>
      </c>
      <c r="J266" s="39" t="n">
        <v>299.99</v>
      </c>
      <c r="K266" s="37" t="s">
        <v>498</v>
      </c>
      <c r="L266" s="39" t="n">
        <v>100.69</v>
      </c>
      <c r="M266" s="39" t="n">
        <v>70</v>
      </c>
      <c r="N266" s="39" t="n">
        <f aca="false">J266*Resumo!$C$7</f>
        <v>0.59998</v>
      </c>
      <c r="O266" s="39" t="n">
        <f aca="false">J266*Resumo!$C$8</f>
        <v>0.59998</v>
      </c>
      <c r="P266" s="39" t="n">
        <f aca="false">Resumo!$C$10*CEILING(I266/100,1)</f>
        <v>1</v>
      </c>
      <c r="Q266" s="39" t="n">
        <f aca="false">Resumo!$C$9</f>
        <v>11.9</v>
      </c>
      <c r="R266" s="39" t="n">
        <f aca="false">SUM(M266:Q266)*Resumo!$C$11</f>
        <v>4.6254978</v>
      </c>
      <c r="S266" s="39" t="n">
        <f aca="false">SUM(M266:R266)</f>
        <v>88.7254578</v>
      </c>
      <c r="T266" s="39" t="n">
        <f aca="false">S266/(1-Resumo!$C$5)</f>
        <v>100.824383863636</v>
      </c>
      <c r="U266" s="39" t="n">
        <v>82.21</v>
      </c>
      <c r="V266" s="39" t="n">
        <f aca="false">J266*Resumo!$B$6</f>
        <v>0.29999</v>
      </c>
      <c r="W266" s="39" t="n">
        <f aca="false">J266*Resumo!$B$7</f>
        <v>0.59998</v>
      </c>
      <c r="X266" s="39" t="n">
        <f aca="false">Resumo!$B$9</f>
        <v>1</v>
      </c>
      <c r="Y266" s="39" t="n">
        <f aca="false">Resumo!$B$10*CEILING(I266/100,1)</f>
        <v>4.5</v>
      </c>
      <c r="Z266" s="39" t="n">
        <f aca="false">Resumo!$B$12*CEILING(I266,1)</f>
        <v>1.86</v>
      </c>
      <c r="AA266" s="39" t="n">
        <f aca="false">Resumo!$B$13*CEILING(I266,1)</f>
        <v>13.95</v>
      </c>
      <c r="AB266" s="39" t="n">
        <f aca="false">SUM(U266:AA266)</f>
        <v>104.41997</v>
      </c>
      <c r="AC266" s="39" t="n">
        <f aca="false">AB266/(1-Resumo!$B$5)</f>
        <v>118.659056818182</v>
      </c>
      <c r="AD266" s="39" t="n">
        <f aca="false">(AB266-AA266)/(1-Resumo!$B$5)</f>
        <v>102.806784090909</v>
      </c>
      <c r="AE266" s="39" t="n">
        <f aca="false">AC266-T266</f>
        <v>17.8346729545454</v>
      </c>
      <c r="AF266" s="40" t="n">
        <f aca="false">AC266/T266-1</f>
        <v>0.176888489382356</v>
      </c>
      <c r="AG266" s="37" t="str">
        <f aca="false">IF(AC266&lt;T266,"SIM","NÃO")</f>
        <v>NÃO</v>
      </c>
      <c r="AH266" s="37" t="n">
        <v>10</v>
      </c>
      <c r="AI266" s="37" t="n">
        <v>5</v>
      </c>
      <c r="AJ266" s="37" t="s">
        <v>323</v>
      </c>
    </row>
    <row r="267" customFormat="false" ht="15" hidden="false" customHeight="false" outlineLevel="0" collapsed="false">
      <c r="A267" s="37" t="n">
        <v>362702165</v>
      </c>
      <c r="B267" s="38" t="n">
        <v>46223.779224537</v>
      </c>
      <c r="C267" s="37" t="s">
        <v>325</v>
      </c>
      <c r="D267" s="37" t="s">
        <v>594</v>
      </c>
      <c r="E267" s="37" t="n">
        <v>25055625</v>
      </c>
      <c r="F267" s="37" t="s">
        <v>141</v>
      </c>
      <c r="G267" s="37" t="s">
        <v>207</v>
      </c>
      <c r="H267" s="37" t="s">
        <v>171</v>
      </c>
      <c r="I267" s="37" t="n">
        <v>52.3</v>
      </c>
      <c r="J267" s="39" t="n">
        <v>637.43</v>
      </c>
      <c r="K267" s="37" t="s">
        <v>498</v>
      </c>
      <c r="L267" s="39" t="n">
        <v>127.4</v>
      </c>
      <c r="M267" s="39" t="n">
        <v>91.6</v>
      </c>
      <c r="N267" s="39" t="n">
        <f aca="false">J267*Resumo!$C$7</f>
        <v>1.27486</v>
      </c>
      <c r="O267" s="39" t="n">
        <f aca="false">J267*Resumo!$C$8</f>
        <v>1.27486</v>
      </c>
      <c r="P267" s="39" t="n">
        <f aca="false">Resumo!$C$10*CEILING(I267/100,1)</f>
        <v>1</v>
      </c>
      <c r="Q267" s="39" t="n">
        <f aca="false">Resumo!$C$9</f>
        <v>11.9</v>
      </c>
      <c r="R267" s="39" t="n">
        <f aca="false">SUM(M267:Q267)*Resumo!$C$11</f>
        <v>5.8877346</v>
      </c>
      <c r="S267" s="39" t="n">
        <f aca="false">SUM(M267:R267)</f>
        <v>112.9374546</v>
      </c>
      <c r="T267" s="39" t="n">
        <f aca="false">S267/(1-Resumo!$C$5)</f>
        <v>128.338016590909</v>
      </c>
      <c r="U267" s="39" t="n">
        <v>112.3</v>
      </c>
      <c r="V267" s="39" t="n">
        <f aca="false">J267*Resumo!$B$6</f>
        <v>0.63743</v>
      </c>
      <c r="W267" s="39" t="n">
        <f aca="false">J267*Resumo!$B$7</f>
        <v>1.27486</v>
      </c>
      <c r="X267" s="39" t="n">
        <f aca="false">Resumo!$B$9</f>
        <v>1</v>
      </c>
      <c r="Y267" s="39" t="n">
        <f aca="false">Resumo!$B$10*CEILING(I267/100,1)</f>
        <v>4.5</v>
      </c>
      <c r="Z267" s="39" t="n">
        <f aca="false">Resumo!$B$12*CEILING(I267,1)</f>
        <v>3.18</v>
      </c>
      <c r="AA267" s="39" t="n">
        <f aca="false">Resumo!$B$13*CEILING(I267,1)</f>
        <v>23.85</v>
      </c>
      <c r="AB267" s="39" t="n">
        <f aca="false">SUM(U267:AA267)</f>
        <v>146.74229</v>
      </c>
      <c r="AC267" s="39" t="n">
        <f aca="false">AB267/(1-Resumo!$B$5)</f>
        <v>166.752602272727</v>
      </c>
      <c r="AD267" s="39" t="n">
        <f aca="false">(AB267-AA267)/(1-Resumo!$B$5)</f>
        <v>139.650329545455</v>
      </c>
      <c r="AE267" s="39" t="n">
        <f aca="false">AC267-T267</f>
        <v>38.4145856818182</v>
      </c>
      <c r="AF267" s="40" t="n">
        <f aca="false">AC267/T267-1</f>
        <v>0.299323510696513</v>
      </c>
      <c r="AG267" s="37" t="str">
        <f aca="false">IF(AC267&lt;T267,"SIM","NÃO")</f>
        <v>NÃO</v>
      </c>
      <c r="AH267" s="37" t="n">
        <v>10</v>
      </c>
      <c r="AI267" s="37" t="n">
        <v>5</v>
      </c>
      <c r="AJ267" s="37" t="s">
        <v>323</v>
      </c>
    </row>
    <row r="268" customFormat="false" ht="15" hidden="false" customHeight="false" outlineLevel="0" collapsed="false">
      <c r="A268" s="37" t="n">
        <v>362728848</v>
      </c>
      <c r="B268" s="38" t="n">
        <v>46223.8207638889</v>
      </c>
      <c r="C268" s="37" t="s">
        <v>320</v>
      </c>
      <c r="D268" s="37" t="s">
        <v>595</v>
      </c>
      <c r="E268" s="37" t="n">
        <v>20972290</v>
      </c>
      <c r="F268" s="37" t="s">
        <v>139</v>
      </c>
      <c r="G268" s="37" t="s">
        <v>198</v>
      </c>
      <c r="H268" s="37" t="s">
        <v>167</v>
      </c>
      <c r="I268" s="37" t="n">
        <v>19.5</v>
      </c>
      <c r="J268" s="39" t="n">
        <v>389.99</v>
      </c>
      <c r="K268" s="37" t="s">
        <v>322</v>
      </c>
      <c r="L268" s="39" t="n">
        <v>65.09</v>
      </c>
      <c r="M268" s="39" t="n">
        <v>39.83</v>
      </c>
      <c r="N268" s="39" t="n">
        <f aca="false">J268*Resumo!$C$7</f>
        <v>0.77998</v>
      </c>
      <c r="O268" s="39" t="n">
        <f aca="false">J268*Resumo!$C$8</f>
        <v>0.77998</v>
      </c>
      <c r="P268" s="39" t="n">
        <f aca="false">Resumo!$C$10*CEILING(I268/100,1)</f>
        <v>1</v>
      </c>
      <c r="Q268" s="39" t="n">
        <f aca="false">Resumo!$C$9</f>
        <v>11.9</v>
      </c>
      <c r="R268" s="39" t="n">
        <f aca="false">SUM(M268:Q268)*Resumo!$C$11</f>
        <v>2.9859478</v>
      </c>
      <c r="S268" s="39" t="n">
        <f aca="false">SUM(M268:R268)</f>
        <v>57.2759078</v>
      </c>
      <c r="T268" s="39" t="n">
        <f aca="false">S268/(1-Resumo!$C$5)</f>
        <v>65.0862588636364</v>
      </c>
      <c r="U268" s="39" t="n">
        <v>46.98</v>
      </c>
      <c r="V268" s="39" t="n">
        <f aca="false">J268*Resumo!$B$6</f>
        <v>0.38999</v>
      </c>
      <c r="W268" s="39" t="n">
        <f aca="false">J268*Resumo!$B$7</f>
        <v>0.77998</v>
      </c>
      <c r="X268" s="39" t="n">
        <f aca="false">Resumo!$B$9</f>
        <v>1</v>
      </c>
      <c r="Y268" s="39" t="n">
        <f aca="false">Resumo!$B$10*CEILING(I268/100,1)</f>
        <v>4.5</v>
      </c>
      <c r="Z268" s="39" t="n">
        <f aca="false">Resumo!$B$12*CEILING(I268,1)</f>
        <v>1.2</v>
      </c>
      <c r="AA268" s="39" t="n">
        <f aca="false">Resumo!$B$13*CEILING(I268,1)</f>
        <v>9</v>
      </c>
      <c r="AB268" s="39" t="n">
        <f aca="false">SUM(U268:AA268)</f>
        <v>63.84997</v>
      </c>
      <c r="AC268" s="39" t="n">
        <f aca="false">AB268/(1-Resumo!$B$5)</f>
        <v>72.5567840909091</v>
      </c>
      <c r="AD268" s="39" t="n">
        <f aca="false">(AB268-AA268)/(1-Resumo!$B$5)</f>
        <v>62.3295113636364</v>
      </c>
      <c r="AE268" s="39" t="n">
        <f aca="false">AC268-T268</f>
        <v>7.47052522727273</v>
      </c>
      <c r="AF268" s="40" t="n">
        <f aca="false">AC268/T268-1</f>
        <v>0.114778839000785</v>
      </c>
      <c r="AG268" s="37" t="str">
        <f aca="false">IF(AC268&lt;T268,"SIM","NÃO")</f>
        <v>NÃO</v>
      </c>
      <c r="AH268" s="37" t="n">
        <v>8</v>
      </c>
      <c r="AI268" s="37" t="n">
        <v>5</v>
      </c>
      <c r="AJ268" s="37" t="s">
        <v>323</v>
      </c>
    </row>
    <row r="269" customFormat="false" ht="15" hidden="false" customHeight="false" outlineLevel="0" collapsed="false">
      <c r="A269" s="37" t="n">
        <v>362743719</v>
      </c>
      <c r="B269" s="38" t="n">
        <v>46223.8447222222</v>
      </c>
      <c r="C269" s="37" t="s">
        <v>320</v>
      </c>
      <c r="D269" s="37" t="s">
        <v>596</v>
      </c>
      <c r="E269" s="37" t="n">
        <v>23052320</v>
      </c>
      <c r="F269" s="37" t="s">
        <v>139</v>
      </c>
      <c r="G269" s="37" t="s">
        <v>198</v>
      </c>
      <c r="H269" s="37" t="s">
        <v>167</v>
      </c>
      <c r="I269" s="37" t="n">
        <v>19.9</v>
      </c>
      <c r="J269" s="39" t="n">
        <v>259.99</v>
      </c>
      <c r="K269" s="37" t="s">
        <v>498</v>
      </c>
      <c r="L269" s="39" t="n">
        <v>66.05</v>
      </c>
      <c r="M269" s="39" t="n">
        <v>39.83</v>
      </c>
      <c r="N269" s="39" t="n">
        <f aca="false">J269*Resumo!$C$7</f>
        <v>0.51998</v>
      </c>
      <c r="O269" s="39" t="n">
        <f aca="false">J269*Resumo!$C$8</f>
        <v>0.51998</v>
      </c>
      <c r="P269" s="39" t="n">
        <f aca="false">Resumo!$C$10*CEILING(I269/100,1)</f>
        <v>1</v>
      </c>
      <c r="Q269" s="39" t="n">
        <f aca="false">Resumo!$C$9</f>
        <v>11.9</v>
      </c>
      <c r="R269" s="39" t="n">
        <f aca="false">SUM(M269:Q269)*Resumo!$C$11</f>
        <v>2.9573478</v>
      </c>
      <c r="S269" s="39" t="n">
        <f aca="false">SUM(M269:R269)</f>
        <v>56.7273078</v>
      </c>
      <c r="T269" s="39" t="n">
        <f aca="false">S269/(1-Resumo!$C$5)</f>
        <v>64.4628497727273</v>
      </c>
      <c r="U269" s="39" t="n">
        <v>46.98</v>
      </c>
      <c r="V269" s="39" t="n">
        <f aca="false">J269*Resumo!$B$6</f>
        <v>0.25999</v>
      </c>
      <c r="W269" s="39" t="n">
        <f aca="false">J269*Resumo!$B$7</f>
        <v>0.51998</v>
      </c>
      <c r="X269" s="39" t="n">
        <f aca="false">Resumo!$B$9</f>
        <v>1</v>
      </c>
      <c r="Y269" s="39" t="n">
        <f aca="false">Resumo!$B$10*CEILING(I269/100,1)</f>
        <v>4.5</v>
      </c>
      <c r="Z269" s="39" t="n">
        <f aca="false">Resumo!$B$12*CEILING(I269,1)</f>
        <v>1.2</v>
      </c>
      <c r="AA269" s="39" t="n">
        <f aca="false">Resumo!$B$13*CEILING(I269,1)</f>
        <v>9</v>
      </c>
      <c r="AB269" s="39" t="n">
        <f aca="false">SUM(U269:AA269)</f>
        <v>63.45997</v>
      </c>
      <c r="AC269" s="39" t="n">
        <f aca="false">AB269/(1-Resumo!$B$5)</f>
        <v>72.1136022727273</v>
      </c>
      <c r="AD269" s="39" t="n">
        <f aca="false">(AB269-AA269)/(1-Resumo!$B$5)</f>
        <v>61.8863295454545</v>
      </c>
      <c r="AE269" s="39" t="n">
        <f aca="false">AC269-T269</f>
        <v>7.65075250000001</v>
      </c>
      <c r="AF269" s="40" t="n">
        <f aca="false">AC269/T269-1</f>
        <v>0.118684676941429</v>
      </c>
      <c r="AG269" s="37" t="str">
        <f aca="false">IF(AC269&lt;T269,"SIM","NÃO")</f>
        <v>NÃO</v>
      </c>
      <c r="AH269" s="37" t="n">
        <v>8</v>
      </c>
      <c r="AI269" s="37" t="n">
        <v>5</v>
      </c>
      <c r="AJ269" s="37" t="s">
        <v>323</v>
      </c>
    </row>
    <row r="270" customFormat="false" ht="15" hidden="false" customHeight="false" outlineLevel="0" collapsed="false">
      <c r="A270" s="37" t="n">
        <v>362335823</v>
      </c>
      <c r="B270" s="38" t="n">
        <v>46223.8718634259</v>
      </c>
      <c r="C270" s="37" t="s">
        <v>341</v>
      </c>
      <c r="D270" s="37" t="s">
        <v>597</v>
      </c>
      <c r="E270" s="37" t="n">
        <v>22783111</v>
      </c>
      <c r="F270" s="37" t="s">
        <v>139</v>
      </c>
      <c r="G270" s="37" t="s">
        <v>198</v>
      </c>
      <c r="H270" s="37" t="s">
        <v>168</v>
      </c>
      <c r="I270" s="37" t="n">
        <v>31</v>
      </c>
      <c r="J270" s="39" t="n">
        <v>339.99</v>
      </c>
      <c r="K270" s="37" t="s">
        <v>498</v>
      </c>
      <c r="L270" s="39" t="n">
        <v>81.91</v>
      </c>
      <c r="M270" s="39" t="n">
        <v>54.1</v>
      </c>
      <c r="N270" s="39" t="n">
        <f aca="false">J270*Resumo!$C$7</f>
        <v>0.67998</v>
      </c>
      <c r="O270" s="39" t="n">
        <f aca="false">J270*Resumo!$C$8</f>
        <v>0.67998</v>
      </c>
      <c r="P270" s="39" t="n">
        <f aca="false">Resumo!$C$10*CEILING(I270/100,1)</f>
        <v>1</v>
      </c>
      <c r="Q270" s="39" t="n">
        <f aca="false">Resumo!$C$9</f>
        <v>11.9</v>
      </c>
      <c r="R270" s="39" t="n">
        <f aca="false">SUM(M270:Q270)*Resumo!$C$11</f>
        <v>3.7597978</v>
      </c>
      <c r="S270" s="39" t="n">
        <f aca="false">SUM(M270:R270)</f>
        <v>72.1197578</v>
      </c>
      <c r="T270" s="39" t="n">
        <f aca="false">S270/(1-Resumo!$C$5)</f>
        <v>81.9542702272727</v>
      </c>
      <c r="U270" s="39" t="n">
        <v>82.21</v>
      </c>
      <c r="V270" s="39" t="n">
        <f aca="false">J270*Resumo!$B$6</f>
        <v>0.33999</v>
      </c>
      <c r="W270" s="39" t="n">
        <f aca="false">J270*Resumo!$B$7</f>
        <v>0.67998</v>
      </c>
      <c r="X270" s="39" t="n">
        <f aca="false">Resumo!$B$9</f>
        <v>1</v>
      </c>
      <c r="Y270" s="39" t="n">
        <f aca="false">Resumo!$B$10*CEILING(I270/100,1)</f>
        <v>4.5</v>
      </c>
      <c r="Z270" s="39" t="n">
        <f aca="false">Resumo!$B$12*CEILING(I270,1)</f>
        <v>1.86</v>
      </c>
      <c r="AA270" s="39" t="n">
        <f aca="false">Resumo!$B$13*CEILING(I270,1)</f>
        <v>13.95</v>
      </c>
      <c r="AB270" s="39" t="n">
        <f aca="false">SUM(U270:AA270)</f>
        <v>104.53997</v>
      </c>
      <c r="AC270" s="39" t="n">
        <f aca="false">AB270/(1-Resumo!$B$5)</f>
        <v>118.795420454545</v>
      </c>
      <c r="AD270" s="39" t="n">
        <f aca="false">(AB270-AA270)/(1-Resumo!$B$5)</f>
        <v>102.943147727273</v>
      </c>
      <c r="AE270" s="39" t="n">
        <f aca="false">AC270-T270</f>
        <v>36.8411502272727</v>
      </c>
      <c r="AF270" s="40" t="n">
        <f aca="false">AC270/T270-1</f>
        <v>0.449533015486638</v>
      </c>
      <c r="AG270" s="37" t="str">
        <f aca="false">IF(AC270&lt;T270,"SIM","NÃO")</f>
        <v>NÃO</v>
      </c>
      <c r="AH270" s="37" t="n">
        <v>8</v>
      </c>
      <c r="AI270" s="37" t="n">
        <v>5</v>
      </c>
      <c r="AJ270" s="37" t="s">
        <v>323</v>
      </c>
    </row>
    <row r="271" customFormat="false" ht="15" hidden="false" customHeight="false" outlineLevel="0" collapsed="false">
      <c r="A271" s="37" t="n">
        <v>362769025</v>
      </c>
      <c r="B271" s="38" t="n">
        <v>46223.8948726852</v>
      </c>
      <c r="C271" s="37" t="s">
        <v>359</v>
      </c>
      <c r="D271" s="37" t="s">
        <v>598</v>
      </c>
      <c r="E271" s="37" t="n">
        <v>20725050</v>
      </c>
      <c r="F271" s="37" t="s">
        <v>139</v>
      </c>
      <c r="G271" s="37" t="s">
        <v>198</v>
      </c>
      <c r="H271" s="37" t="s">
        <v>171</v>
      </c>
      <c r="I271" s="37" t="n">
        <v>52.3</v>
      </c>
      <c r="J271" s="39" t="n">
        <v>616.99</v>
      </c>
      <c r="K271" s="37" t="s">
        <v>498</v>
      </c>
      <c r="L271" s="39" t="n">
        <v>113.24</v>
      </c>
      <c r="M271" s="39" t="n">
        <v>79.81</v>
      </c>
      <c r="N271" s="39" t="n">
        <f aca="false">J271*Resumo!$C$7</f>
        <v>1.23398</v>
      </c>
      <c r="O271" s="39" t="n">
        <f aca="false">J271*Resumo!$C$8</f>
        <v>1.23398</v>
      </c>
      <c r="P271" s="39" t="n">
        <f aca="false">Resumo!$C$10*CEILING(I271/100,1)</f>
        <v>1</v>
      </c>
      <c r="Q271" s="39" t="n">
        <f aca="false">Resumo!$C$9</f>
        <v>11.9</v>
      </c>
      <c r="R271" s="39" t="n">
        <f aca="false">SUM(M271:Q271)*Resumo!$C$11</f>
        <v>5.2347878</v>
      </c>
      <c r="S271" s="39" t="n">
        <f aca="false">SUM(M271:R271)</f>
        <v>100.4127478</v>
      </c>
      <c r="T271" s="39" t="n">
        <f aca="false">S271/(1-Resumo!$C$5)</f>
        <v>114.105395227273</v>
      </c>
      <c r="U271" s="39" t="n">
        <v>112.3</v>
      </c>
      <c r="V271" s="39" t="n">
        <f aca="false">J271*Resumo!$B$6</f>
        <v>0.61699</v>
      </c>
      <c r="W271" s="39" t="n">
        <f aca="false">J271*Resumo!$B$7</f>
        <v>1.23398</v>
      </c>
      <c r="X271" s="39" t="n">
        <f aca="false">Resumo!$B$9</f>
        <v>1</v>
      </c>
      <c r="Y271" s="39" t="n">
        <f aca="false">Resumo!$B$10*CEILING(I271/100,1)</f>
        <v>4.5</v>
      </c>
      <c r="Z271" s="39" t="n">
        <f aca="false">Resumo!$B$12*CEILING(I271,1)</f>
        <v>3.18</v>
      </c>
      <c r="AA271" s="39" t="n">
        <f aca="false">Resumo!$B$13*CEILING(I271,1)</f>
        <v>23.85</v>
      </c>
      <c r="AB271" s="39" t="n">
        <f aca="false">SUM(U271:AA271)</f>
        <v>146.68097</v>
      </c>
      <c r="AC271" s="39" t="n">
        <f aca="false">AB271/(1-Resumo!$B$5)</f>
        <v>166.682920454545</v>
      </c>
      <c r="AD271" s="39" t="n">
        <f aca="false">(AB271-AA271)/(1-Resumo!$B$5)</f>
        <v>139.580647727273</v>
      </c>
      <c r="AE271" s="39" t="n">
        <f aca="false">AC271-T271</f>
        <v>52.5775252272727</v>
      </c>
      <c r="AF271" s="40" t="n">
        <f aca="false">AC271/T271-1</f>
        <v>0.46078036119633</v>
      </c>
      <c r="AG271" s="37" t="str">
        <f aca="false">IF(AC271&lt;T271,"SIM","NÃO")</f>
        <v>NÃO</v>
      </c>
      <c r="AH271" s="37" t="n">
        <v>8</v>
      </c>
      <c r="AI271" s="37" t="n">
        <v>5</v>
      </c>
      <c r="AJ271" s="37" t="s">
        <v>323</v>
      </c>
    </row>
    <row r="272" customFormat="false" ht="15" hidden="false" customHeight="false" outlineLevel="0" collapsed="false">
      <c r="A272" s="37" t="n">
        <v>362781581</v>
      </c>
      <c r="B272" s="38" t="n">
        <v>46223.915162037</v>
      </c>
      <c r="C272" s="37" t="s">
        <v>320</v>
      </c>
      <c r="D272" s="37" t="s">
        <v>599</v>
      </c>
      <c r="E272" s="37" t="n">
        <v>23045830</v>
      </c>
      <c r="F272" s="37" t="s">
        <v>139</v>
      </c>
      <c r="G272" s="37" t="s">
        <v>198</v>
      </c>
      <c r="H272" s="37" t="s">
        <v>168</v>
      </c>
      <c r="I272" s="37" t="n">
        <v>31</v>
      </c>
      <c r="J272" s="39" t="n">
        <v>299.99</v>
      </c>
      <c r="K272" s="37" t="s">
        <v>498</v>
      </c>
      <c r="L272" s="39" t="n">
        <v>81.73</v>
      </c>
      <c r="M272" s="39" t="n">
        <v>54.1</v>
      </c>
      <c r="N272" s="39" t="n">
        <f aca="false">J272*Resumo!$C$7</f>
        <v>0.59998</v>
      </c>
      <c r="O272" s="39" t="n">
        <f aca="false">J272*Resumo!$C$8</f>
        <v>0.59998</v>
      </c>
      <c r="P272" s="39" t="n">
        <f aca="false">Resumo!$C$10*CEILING(I272/100,1)</f>
        <v>1</v>
      </c>
      <c r="Q272" s="39" t="n">
        <f aca="false">Resumo!$C$9</f>
        <v>11.9</v>
      </c>
      <c r="R272" s="39" t="n">
        <f aca="false">SUM(M272:Q272)*Resumo!$C$11</f>
        <v>3.7509978</v>
      </c>
      <c r="S272" s="39" t="n">
        <f aca="false">SUM(M272:R272)</f>
        <v>71.9509578</v>
      </c>
      <c r="T272" s="39" t="n">
        <f aca="false">S272/(1-Resumo!$C$5)</f>
        <v>81.7624520454545</v>
      </c>
      <c r="U272" s="39" t="n">
        <v>82.21</v>
      </c>
      <c r="V272" s="39" t="n">
        <f aca="false">J272*Resumo!$B$6</f>
        <v>0.29999</v>
      </c>
      <c r="W272" s="39" t="n">
        <f aca="false">J272*Resumo!$B$7</f>
        <v>0.59998</v>
      </c>
      <c r="X272" s="39" t="n">
        <f aca="false">Resumo!$B$9</f>
        <v>1</v>
      </c>
      <c r="Y272" s="39" t="n">
        <f aca="false">Resumo!$B$10*CEILING(I272/100,1)</f>
        <v>4.5</v>
      </c>
      <c r="Z272" s="39" t="n">
        <f aca="false">Resumo!$B$12*CEILING(I272,1)</f>
        <v>1.86</v>
      </c>
      <c r="AA272" s="39" t="n">
        <f aca="false">Resumo!$B$13*CEILING(I272,1)</f>
        <v>13.95</v>
      </c>
      <c r="AB272" s="39" t="n">
        <f aca="false">SUM(U272:AA272)</f>
        <v>104.41997</v>
      </c>
      <c r="AC272" s="39" t="n">
        <f aca="false">AB272/(1-Resumo!$B$5)</f>
        <v>118.659056818182</v>
      </c>
      <c r="AD272" s="39" t="n">
        <f aca="false">(AB272-AA272)/(1-Resumo!$B$5)</f>
        <v>102.806784090909</v>
      </c>
      <c r="AE272" s="39" t="n">
        <f aca="false">AC272-T272</f>
        <v>36.8966047727273</v>
      </c>
      <c r="AF272" s="40" t="n">
        <f aca="false">AC272/T272-1</f>
        <v>0.451265878770553</v>
      </c>
      <c r="AG272" s="37" t="str">
        <f aca="false">IF(AC272&lt;T272,"SIM","NÃO")</f>
        <v>NÃO</v>
      </c>
      <c r="AH272" s="37" t="n">
        <v>8</v>
      </c>
      <c r="AI272" s="37" t="n">
        <v>5</v>
      </c>
      <c r="AJ272" s="37" t="s">
        <v>323</v>
      </c>
    </row>
    <row r="273" customFormat="false" ht="15" hidden="false" customHeight="false" outlineLevel="0" collapsed="false">
      <c r="A273" s="37" t="n">
        <v>362786339</v>
      </c>
      <c r="B273" s="38" t="n">
        <v>46223.9234375</v>
      </c>
      <c r="C273" s="37" t="s">
        <v>320</v>
      </c>
      <c r="D273" s="37" t="s">
        <v>600</v>
      </c>
      <c r="E273" s="37" t="n">
        <v>27250800</v>
      </c>
      <c r="F273" s="37" t="s">
        <v>148</v>
      </c>
      <c r="G273" s="37" t="s">
        <v>201</v>
      </c>
      <c r="H273" s="37" t="s">
        <v>171</v>
      </c>
      <c r="I273" s="37" t="n">
        <v>56.7</v>
      </c>
      <c r="J273" s="39" t="n">
        <v>705.47</v>
      </c>
      <c r="K273" s="37" t="s">
        <v>498</v>
      </c>
      <c r="L273" s="39" t="n">
        <v>144.08</v>
      </c>
      <c r="M273" s="39" t="n">
        <v>103.6</v>
      </c>
      <c r="N273" s="39" t="n">
        <f aca="false">J273*Resumo!$C$7</f>
        <v>1.41094</v>
      </c>
      <c r="O273" s="39" t="n">
        <f aca="false">J273*Resumo!$C$8</f>
        <v>1.41094</v>
      </c>
      <c r="P273" s="39" t="n">
        <f aca="false">Resumo!$C$10*CEILING(I273/100,1)</f>
        <v>1</v>
      </c>
      <c r="Q273" s="39" t="n">
        <f aca="false">Resumo!$C$9</f>
        <v>11.9</v>
      </c>
      <c r="R273" s="39" t="n">
        <f aca="false">SUM(M273:Q273)*Resumo!$C$11</f>
        <v>6.5627034</v>
      </c>
      <c r="S273" s="39" t="n">
        <f aca="false">SUM(M273:R273)</f>
        <v>125.8845834</v>
      </c>
      <c r="T273" s="39" t="n">
        <f aca="false">S273/(1-Resumo!$C$5)</f>
        <v>143.050662954545</v>
      </c>
      <c r="U273" s="39" t="n">
        <v>142.32</v>
      </c>
      <c r="V273" s="39" t="n">
        <f aca="false">J273*Resumo!$B$6</f>
        <v>0.70547</v>
      </c>
      <c r="W273" s="39" t="n">
        <f aca="false">J273*Resumo!$B$7</f>
        <v>1.41094</v>
      </c>
      <c r="X273" s="39" t="n">
        <f aca="false">Resumo!$B$9</f>
        <v>1</v>
      </c>
      <c r="Y273" s="39" t="n">
        <f aca="false">Resumo!$B$10*CEILING(I273/100,1)</f>
        <v>4.5</v>
      </c>
      <c r="Z273" s="39" t="n">
        <f aca="false">Resumo!$B$12*CEILING(I273,1)</f>
        <v>3.42</v>
      </c>
      <c r="AA273" s="39" t="n">
        <f aca="false">Resumo!$B$13*CEILING(I273,1)</f>
        <v>25.65</v>
      </c>
      <c r="AB273" s="39" t="n">
        <f aca="false">SUM(U273:AA273)</f>
        <v>179.00641</v>
      </c>
      <c r="AC273" s="39" t="n">
        <f aca="false">AB273/(1-Resumo!$B$5)</f>
        <v>203.416375</v>
      </c>
      <c r="AD273" s="39" t="n">
        <f aca="false">(AB273-AA273)/(1-Resumo!$B$5)</f>
        <v>174.268647727273</v>
      </c>
      <c r="AE273" s="39" t="n">
        <f aca="false">AC273-T273</f>
        <v>60.3657120454545</v>
      </c>
      <c r="AF273" s="40" t="n">
        <f aca="false">AC273/T273-1</f>
        <v>0.421988341743203</v>
      </c>
      <c r="AG273" s="37" t="str">
        <f aca="false">IF(AC273&lt;T273,"SIM","NÃO")</f>
        <v>NÃO</v>
      </c>
      <c r="AH273" s="37" t="n">
        <v>13</v>
      </c>
      <c r="AI273" s="37" t="n">
        <v>10</v>
      </c>
      <c r="AJ273" s="37" t="s">
        <v>323</v>
      </c>
    </row>
    <row r="274" customFormat="false" ht="15" hidden="false" customHeight="false" outlineLevel="0" collapsed="false">
      <c r="A274" s="37" t="n">
        <v>362784636</v>
      </c>
      <c r="B274" s="38" t="n">
        <v>46223.9236111111</v>
      </c>
      <c r="C274" s="37" t="s">
        <v>352</v>
      </c>
      <c r="D274" s="37" t="s">
        <v>601</v>
      </c>
      <c r="E274" s="37" t="n">
        <v>21331660</v>
      </c>
      <c r="F274" s="37" t="s">
        <v>139</v>
      </c>
      <c r="G274" s="37" t="s">
        <v>198</v>
      </c>
      <c r="H274" s="37" t="s">
        <v>169</v>
      </c>
      <c r="I274" s="37" t="n">
        <v>37.58</v>
      </c>
      <c r="J274" s="39" t="n">
        <v>499.99</v>
      </c>
      <c r="K274" s="37" t="s">
        <v>322</v>
      </c>
      <c r="L274" s="39" t="n">
        <v>92.25</v>
      </c>
      <c r="M274" s="39" t="n">
        <v>62.05</v>
      </c>
      <c r="N274" s="39" t="n">
        <f aca="false">J274*Resumo!$C$7</f>
        <v>0.99998</v>
      </c>
      <c r="O274" s="39" t="n">
        <f aca="false">J274*Resumo!$C$8</f>
        <v>0.99998</v>
      </c>
      <c r="P274" s="39" t="n">
        <f aca="false">Resumo!$C$10*CEILING(I274/100,1)</f>
        <v>1</v>
      </c>
      <c r="Q274" s="39" t="n">
        <f aca="false">Resumo!$C$9</f>
        <v>11.9</v>
      </c>
      <c r="R274" s="39" t="n">
        <f aca="false">SUM(M274:Q274)*Resumo!$C$11</f>
        <v>4.2322478</v>
      </c>
      <c r="S274" s="39" t="n">
        <f aca="false">SUM(M274:R274)</f>
        <v>81.1822078</v>
      </c>
      <c r="T274" s="39" t="n">
        <f aca="false">S274/(1-Resumo!$C$5)</f>
        <v>92.2525088636364</v>
      </c>
      <c r="U274" s="39" t="n">
        <v>93.97</v>
      </c>
      <c r="V274" s="39" t="n">
        <f aca="false">J274*Resumo!$B$6</f>
        <v>0.49999</v>
      </c>
      <c r="W274" s="39" t="n">
        <f aca="false">J274*Resumo!$B$7</f>
        <v>0.99998</v>
      </c>
      <c r="X274" s="39" t="n">
        <f aca="false">Resumo!$B$9</f>
        <v>1</v>
      </c>
      <c r="Y274" s="39" t="n">
        <f aca="false">Resumo!$B$10*CEILING(I274/100,1)</f>
        <v>4.5</v>
      </c>
      <c r="Z274" s="39" t="n">
        <f aca="false">Resumo!$B$12*CEILING(I274,1)</f>
        <v>2.28</v>
      </c>
      <c r="AA274" s="39" t="n">
        <f aca="false">Resumo!$B$13*CEILING(I274,1)</f>
        <v>17.1</v>
      </c>
      <c r="AB274" s="39" t="n">
        <f aca="false">SUM(U274:AA274)</f>
        <v>120.34997</v>
      </c>
      <c r="AC274" s="39" t="n">
        <f aca="false">AB274/(1-Resumo!$B$5)</f>
        <v>136.761329545455</v>
      </c>
      <c r="AD274" s="39" t="n">
        <f aca="false">(AB274-AA274)/(1-Resumo!$B$5)</f>
        <v>117.329511363636</v>
      </c>
      <c r="AE274" s="39" t="n">
        <f aca="false">AC274-T274</f>
        <v>44.5088206818182</v>
      </c>
      <c r="AF274" s="40" t="n">
        <f aca="false">AC274/T274-1</f>
        <v>0.482467319643406</v>
      </c>
      <c r="AG274" s="37" t="str">
        <f aca="false">IF(AC274&lt;T274,"SIM","NÃO")</f>
        <v>NÃO</v>
      </c>
      <c r="AH274" s="37" t="n">
        <v>8</v>
      </c>
      <c r="AI274" s="37" t="n">
        <v>5</v>
      </c>
      <c r="AJ274" s="37" t="s">
        <v>323</v>
      </c>
    </row>
    <row r="275" customFormat="false" ht="15" hidden="false" customHeight="false" outlineLevel="0" collapsed="false">
      <c r="A275" s="37" t="n">
        <v>362787381</v>
      </c>
      <c r="B275" s="38" t="n">
        <v>46223.9249421296</v>
      </c>
      <c r="C275" s="37" t="s">
        <v>325</v>
      </c>
      <c r="D275" s="37" t="s">
        <v>602</v>
      </c>
      <c r="E275" s="37" t="n">
        <v>27325310</v>
      </c>
      <c r="F275" s="37" t="s">
        <v>233</v>
      </c>
      <c r="G275" s="37" t="s">
        <v>201</v>
      </c>
      <c r="H275" s="37" t="s">
        <v>168</v>
      </c>
      <c r="I275" s="37" t="n">
        <v>33</v>
      </c>
      <c r="J275" s="39" t="n">
        <v>523.75</v>
      </c>
      <c r="K275" s="37" t="s">
        <v>498</v>
      </c>
      <c r="L275" s="39" t="n">
        <v>110.55</v>
      </c>
      <c r="M275" s="39" t="n">
        <v>76.5</v>
      </c>
      <c r="N275" s="39" t="n">
        <f aca="false">J275*Resumo!$C$7</f>
        <v>1.0475</v>
      </c>
      <c r="O275" s="39" t="n">
        <f aca="false">J275*Resumo!$C$8</f>
        <v>1.0475</v>
      </c>
      <c r="P275" s="39" t="n">
        <f aca="false">Resumo!$C$10*CEILING(I275/100,1)</f>
        <v>1</v>
      </c>
      <c r="Q275" s="39" t="n">
        <f aca="false">Resumo!$C$9</f>
        <v>11.9</v>
      </c>
      <c r="R275" s="39" t="n">
        <f aca="false">SUM(M275:Q275)*Resumo!$C$11</f>
        <v>5.032225</v>
      </c>
      <c r="S275" s="39" t="n">
        <f aca="false">SUM(M275:R275)</f>
        <v>96.527225</v>
      </c>
      <c r="T275" s="39" t="n">
        <f aca="false">S275/(1-Resumo!$C$5)</f>
        <v>109.690028409091</v>
      </c>
      <c r="U275" s="39" t="n">
        <v>108.83</v>
      </c>
      <c r="V275" s="39" t="n">
        <f aca="false">J275*Resumo!$B$6</f>
        <v>0.52375</v>
      </c>
      <c r="W275" s="39" t="n">
        <f aca="false">J275*Resumo!$B$7</f>
        <v>1.0475</v>
      </c>
      <c r="X275" s="39" t="n">
        <f aca="false">Resumo!$B$9</f>
        <v>1</v>
      </c>
      <c r="Y275" s="39" t="n">
        <f aca="false">Resumo!$B$10*CEILING(I275/100,1)</f>
        <v>4.5</v>
      </c>
      <c r="Z275" s="39" t="n">
        <f aca="false">Resumo!$B$12*CEILING(I275,1)</f>
        <v>1.98</v>
      </c>
      <c r="AA275" s="39" t="n">
        <f aca="false">Resumo!$B$13*CEILING(I275,1)</f>
        <v>14.85</v>
      </c>
      <c r="AB275" s="39" t="n">
        <f aca="false">SUM(U275:AA275)</f>
        <v>132.73125</v>
      </c>
      <c r="AC275" s="39" t="n">
        <f aca="false">AB275/(1-Resumo!$B$5)</f>
        <v>150.830965909091</v>
      </c>
      <c r="AD275" s="39" t="n">
        <f aca="false">(AB275-AA275)/(1-Resumo!$B$5)</f>
        <v>133.955965909091</v>
      </c>
      <c r="AE275" s="39" t="n">
        <f aca="false">AC275-T275</f>
        <v>41.1409375</v>
      </c>
      <c r="AF275" s="40" t="n">
        <f aca="false">AC275/T275-1</f>
        <v>0.375065428432237</v>
      </c>
      <c r="AG275" s="37" t="str">
        <f aca="false">IF(AC275&lt;T275,"SIM","NÃO")</f>
        <v>NÃO</v>
      </c>
      <c r="AH275" s="37" t="n">
        <v>13</v>
      </c>
      <c r="AI275" s="37" t="n">
        <v>10</v>
      </c>
      <c r="AJ275" s="37" t="s">
        <v>327</v>
      </c>
    </row>
    <row r="276" customFormat="false" ht="15" hidden="false" customHeight="false" outlineLevel="0" collapsed="false">
      <c r="A276" s="37" t="n">
        <v>362787236</v>
      </c>
      <c r="B276" s="38" t="n">
        <v>46223.9250578704</v>
      </c>
      <c r="C276" s="37" t="s">
        <v>320</v>
      </c>
      <c r="D276" s="37" t="s">
        <v>527</v>
      </c>
      <c r="E276" s="37" t="n">
        <v>28380000</v>
      </c>
      <c r="F276" s="37" t="s">
        <v>252</v>
      </c>
      <c r="G276" s="37" t="s">
        <v>201</v>
      </c>
      <c r="H276" s="37" t="s">
        <v>171</v>
      </c>
      <c r="I276" s="37" t="n">
        <v>52.3</v>
      </c>
      <c r="J276" s="39" t="n">
        <v>619.99</v>
      </c>
      <c r="K276" s="37" t="s">
        <v>498</v>
      </c>
      <c r="L276" s="39" t="n">
        <v>141.63</v>
      </c>
      <c r="M276" s="39" t="n">
        <v>103.6</v>
      </c>
      <c r="N276" s="39" t="n">
        <f aca="false">J276*Resumo!$C$7</f>
        <v>1.23998</v>
      </c>
      <c r="O276" s="39" t="n">
        <f aca="false">J276*Resumo!$C$8</f>
        <v>1.23998</v>
      </c>
      <c r="P276" s="39" t="n">
        <f aca="false">Resumo!$C$10*CEILING(I276/100,1)</f>
        <v>1</v>
      </c>
      <c r="Q276" s="39" t="n">
        <f aca="false">Resumo!$C$9</f>
        <v>11.9</v>
      </c>
      <c r="R276" s="39" t="n">
        <f aca="false">SUM(M276:Q276)*Resumo!$C$11</f>
        <v>6.5438978</v>
      </c>
      <c r="S276" s="39" t="n">
        <f aca="false">SUM(M276:R276)</f>
        <v>125.5238578</v>
      </c>
      <c r="T276" s="39" t="n">
        <f aca="false">S276/(1-Resumo!$C$5)</f>
        <v>142.6407475</v>
      </c>
      <c r="U276" s="39" t="n">
        <v>162.04</v>
      </c>
      <c r="V276" s="39" t="n">
        <f aca="false">J276*Resumo!$B$6</f>
        <v>0.61999</v>
      </c>
      <c r="W276" s="39" t="n">
        <f aca="false">J276*Resumo!$B$7</f>
        <v>1.23998</v>
      </c>
      <c r="X276" s="39" t="n">
        <f aca="false">Resumo!$B$9</f>
        <v>1</v>
      </c>
      <c r="Y276" s="39" t="n">
        <f aca="false">Resumo!$B$10*CEILING(I276/100,1)</f>
        <v>4.5</v>
      </c>
      <c r="Z276" s="39" t="n">
        <f aca="false">Resumo!$B$12*CEILING(I276,1)</f>
        <v>3.18</v>
      </c>
      <c r="AA276" s="39" t="n">
        <f aca="false">Resumo!$B$13*CEILING(I276,1)</f>
        <v>23.85</v>
      </c>
      <c r="AB276" s="39" t="n">
        <f aca="false">SUM(U276:AA276)</f>
        <v>196.42997</v>
      </c>
      <c r="AC276" s="39" t="n">
        <f aca="false">AB276/(1-Resumo!$B$5)</f>
        <v>223.215875</v>
      </c>
      <c r="AD276" s="39" t="n">
        <f aca="false">(AB276-AA276)/(1-Resumo!$B$5)</f>
        <v>196.113602272727</v>
      </c>
      <c r="AE276" s="39" t="n">
        <f aca="false">AC276-T276</f>
        <v>80.5751275</v>
      </c>
      <c r="AF276" s="40" t="n">
        <f aca="false">AC276/T276-1</f>
        <v>0.564881556723474</v>
      </c>
      <c r="AG276" s="37" t="str">
        <f aca="false">IF(AC276&lt;T276,"SIM","NÃO")</f>
        <v>NÃO</v>
      </c>
      <c r="AH276" s="37" t="n">
        <v>13</v>
      </c>
      <c r="AI276" s="37" t="n">
        <v>11</v>
      </c>
      <c r="AJ276" s="37" t="s">
        <v>327</v>
      </c>
    </row>
    <row r="277" customFormat="false" ht="15" hidden="false" customHeight="false" outlineLevel="0" collapsed="false">
      <c r="A277" s="37" t="n">
        <v>362790049</v>
      </c>
      <c r="B277" s="38" t="n">
        <v>46223.9302662037</v>
      </c>
      <c r="C277" s="37" t="s">
        <v>320</v>
      </c>
      <c r="D277" s="37" t="s">
        <v>603</v>
      </c>
      <c r="E277" s="37" t="n">
        <v>26130336</v>
      </c>
      <c r="F277" s="37" t="s">
        <v>145</v>
      </c>
      <c r="G277" s="37" t="s">
        <v>207</v>
      </c>
      <c r="H277" s="37" t="s">
        <v>174</v>
      </c>
      <c r="I277" s="37" t="n">
        <v>82.4</v>
      </c>
      <c r="J277" s="39" t="n">
        <v>1210.05</v>
      </c>
      <c r="K277" s="37" t="s">
        <v>498</v>
      </c>
      <c r="L277" s="39" t="n">
        <v>169.72</v>
      </c>
      <c r="M277" s="39" t="n">
        <v>127.92</v>
      </c>
      <c r="N277" s="39" t="n">
        <f aca="false">J277*Resumo!$C$7</f>
        <v>2.4201</v>
      </c>
      <c r="O277" s="39" t="n">
        <f aca="false">J277*Resumo!$C$8</f>
        <v>2.4201</v>
      </c>
      <c r="P277" s="39" t="n">
        <f aca="false">Resumo!$C$10*CEILING(I277/100,1)</f>
        <v>1</v>
      </c>
      <c r="Q277" s="39" t="n">
        <f aca="false">Resumo!$C$9</f>
        <v>11.9</v>
      </c>
      <c r="R277" s="39" t="n">
        <f aca="false">SUM(M277:Q277)*Resumo!$C$11</f>
        <v>8.011311</v>
      </c>
      <c r="S277" s="39" t="n">
        <f aca="false">SUM(M277:R277)</f>
        <v>153.671511</v>
      </c>
      <c r="T277" s="39" t="n">
        <f aca="false">S277/(1-Resumo!$C$5)</f>
        <v>174.626717045455</v>
      </c>
      <c r="U277" s="39" t="n">
        <v>167.99</v>
      </c>
      <c r="V277" s="39" t="n">
        <f aca="false">J277*Resumo!$B$6</f>
        <v>1.21005</v>
      </c>
      <c r="W277" s="39" t="n">
        <f aca="false">J277*Resumo!$B$7</f>
        <v>2.4201</v>
      </c>
      <c r="X277" s="39" t="n">
        <f aca="false">Resumo!$B$9</f>
        <v>1</v>
      </c>
      <c r="Y277" s="39" t="n">
        <f aca="false">Resumo!$B$10*CEILING(I277/100,1)</f>
        <v>4.5</v>
      </c>
      <c r="Z277" s="39" t="n">
        <f aca="false">Resumo!$B$12*CEILING(I277,1)</f>
        <v>4.98</v>
      </c>
      <c r="AA277" s="39" t="n">
        <f aca="false">Resumo!$B$13*CEILING(I277,1)</f>
        <v>37.35</v>
      </c>
      <c r="AB277" s="39" t="n">
        <f aca="false">SUM(U277:AA277)</f>
        <v>219.45015</v>
      </c>
      <c r="AC277" s="39" t="n">
        <f aca="false">AB277/(1-Resumo!$B$5)</f>
        <v>249.375170454545</v>
      </c>
      <c r="AD277" s="39" t="n">
        <f aca="false">(AB277-AA277)/(1-Resumo!$B$5)</f>
        <v>206.931988636364</v>
      </c>
      <c r="AE277" s="39" t="n">
        <f aca="false">AC277-T277</f>
        <v>74.7484534090909</v>
      </c>
      <c r="AF277" s="40" t="n">
        <f aca="false">AC277/T277-1</f>
        <v>0.428047063323273</v>
      </c>
      <c r="AG277" s="37" t="str">
        <f aca="false">IF(AC277&lt;T277,"SIM","NÃO")</f>
        <v>NÃO</v>
      </c>
      <c r="AH277" s="37" t="n">
        <v>10</v>
      </c>
      <c r="AI277" s="37" t="n">
        <v>5</v>
      </c>
      <c r="AJ277" s="37" t="s">
        <v>323</v>
      </c>
    </row>
    <row r="278" customFormat="false" ht="15" hidden="false" customHeight="false" outlineLevel="0" collapsed="false">
      <c r="A278" s="37" t="n">
        <v>362819660</v>
      </c>
      <c r="B278" s="38" t="n">
        <v>46223.9947800926</v>
      </c>
      <c r="C278" s="37" t="s">
        <v>325</v>
      </c>
      <c r="D278" s="37" t="s">
        <v>604</v>
      </c>
      <c r="E278" s="37" t="n">
        <v>21250620</v>
      </c>
      <c r="F278" s="37" t="s">
        <v>139</v>
      </c>
      <c r="G278" s="37" t="s">
        <v>198</v>
      </c>
      <c r="H278" s="37" t="s">
        <v>172</v>
      </c>
      <c r="I278" s="37" t="n">
        <v>69.15</v>
      </c>
      <c r="J278" s="39" t="n">
        <v>715.06</v>
      </c>
      <c r="K278" s="37" t="s">
        <v>322</v>
      </c>
      <c r="L278" s="39" t="n">
        <v>124.64</v>
      </c>
      <c r="M278" s="39" t="n">
        <v>88.2</v>
      </c>
      <c r="N278" s="39" t="n">
        <f aca="false">J278*Resumo!$C$7</f>
        <v>1.43012</v>
      </c>
      <c r="O278" s="39" t="n">
        <f aca="false">J278*Resumo!$C$8</f>
        <v>1.43012</v>
      </c>
      <c r="P278" s="39" t="n">
        <f aca="false">Resumo!$C$10*CEILING(I278/100,1)</f>
        <v>1</v>
      </c>
      <c r="Q278" s="39" t="n">
        <f aca="false">Resumo!$C$9</f>
        <v>11.9</v>
      </c>
      <c r="R278" s="39" t="n">
        <f aca="false">SUM(M278:Q278)*Resumo!$C$11</f>
        <v>5.7178132</v>
      </c>
      <c r="S278" s="39" t="n">
        <f aca="false">SUM(M278:R278)</f>
        <v>109.6780532</v>
      </c>
      <c r="T278" s="39" t="n">
        <f aca="false">S278/(1-Resumo!$C$5)</f>
        <v>124.634151363636</v>
      </c>
      <c r="U278" s="39" t="n">
        <v>131.02</v>
      </c>
      <c r="V278" s="39" t="n">
        <f aca="false">J278*Resumo!$B$6</f>
        <v>0.71506</v>
      </c>
      <c r="W278" s="39" t="n">
        <f aca="false">J278*Resumo!$B$7</f>
        <v>1.43012</v>
      </c>
      <c r="X278" s="39" t="n">
        <f aca="false">Resumo!$B$9</f>
        <v>1</v>
      </c>
      <c r="Y278" s="39" t="n">
        <f aca="false">Resumo!$B$10*CEILING(I278/100,1)</f>
        <v>4.5</v>
      </c>
      <c r="Z278" s="39" t="n">
        <f aca="false">Resumo!$B$12*CEILING(I278,1)</f>
        <v>4.2</v>
      </c>
      <c r="AA278" s="39" t="n">
        <f aca="false">Resumo!$B$13*CEILING(I278,1)</f>
        <v>31.5</v>
      </c>
      <c r="AB278" s="39" t="n">
        <f aca="false">SUM(U278:AA278)</f>
        <v>174.36518</v>
      </c>
      <c r="AC278" s="39" t="n">
        <f aca="false">AB278/(1-Resumo!$B$5)</f>
        <v>198.14225</v>
      </c>
      <c r="AD278" s="39" t="n">
        <f aca="false">(AB278-AA278)/(1-Resumo!$B$5)</f>
        <v>162.346795454545</v>
      </c>
      <c r="AE278" s="39" t="n">
        <f aca="false">AC278-T278</f>
        <v>73.5080986363637</v>
      </c>
      <c r="AF278" s="40" t="n">
        <f aca="false">AC278/T278-1</f>
        <v>0.589790982905594</v>
      </c>
      <c r="AG278" s="37" t="str">
        <f aca="false">IF(AC278&lt;T278,"SIM","NÃO")</f>
        <v>NÃO</v>
      </c>
      <c r="AH278" s="37" t="n">
        <v>8</v>
      </c>
      <c r="AI278" s="37" t="n">
        <v>5</v>
      </c>
      <c r="AJ278" s="37" t="s">
        <v>323</v>
      </c>
    </row>
    <row r="279" customFormat="false" ht="15" hidden="false" customHeight="false" outlineLevel="0" collapsed="false">
      <c r="A279" s="37" t="n">
        <v>362875558</v>
      </c>
      <c r="B279" s="38" t="n">
        <v>46224.1478703704</v>
      </c>
      <c r="C279" s="37" t="s">
        <v>320</v>
      </c>
      <c r="D279" s="37" t="s">
        <v>605</v>
      </c>
      <c r="E279" s="37" t="n">
        <v>21675340</v>
      </c>
      <c r="F279" s="37" t="s">
        <v>139</v>
      </c>
      <c r="G279" s="37" t="s">
        <v>198</v>
      </c>
      <c r="H279" s="37" t="s">
        <v>168</v>
      </c>
      <c r="I279" s="37" t="n">
        <v>34.4</v>
      </c>
      <c r="J279" s="39" t="n">
        <v>399.99</v>
      </c>
      <c r="K279" s="37" t="s">
        <v>322</v>
      </c>
      <c r="L279" s="39" t="n">
        <v>82.24</v>
      </c>
      <c r="M279" s="39" t="n">
        <v>54.1</v>
      </c>
      <c r="N279" s="39" t="n">
        <f aca="false">J279*Resumo!$C$7</f>
        <v>0.79998</v>
      </c>
      <c r="O279" s="39" t="n">
        <f aca="false">J279*Resumo!$C$8</f>
        <v>0.79998</v>
      </c>
      <c r="P279" s="39" t="n">
        <f aca="false">Resumo!$C$10*CEILING(I279/100,1)</f>
        <v>1</v>
      </c>
      <c r="Q279" s="39" t="n">
        <f aca="false">Resumo!$C$9</f>
        <v>11.9</v>
      </c>
      <c r="R279" s="39" t="n">
        <f aca="false">SUM(M279:Q279)*Resumo!$C$11</f>
        <v>3.7729978</v>
      </c>
      <c r="S279" s="39" t="n">
        <f aca="false">SUM(M279:R279)</f>
        <v>72.3729578</v>
      </c>
      <c r="T279" s="39" t="n">
        <f aca="false">S279/(1-Resumo!$C$5)</f>
        <v>82.2419975</v>
      </c>
      <c r="U279" s="39" t="n">
        <v>82.21</v>
      </c>
      <c r="V279" s="39" t="n">
        <f aca="false">J279*Resumo!$B$6</f>
        <v>0.39999</v>
      </c>
      <c r="W279" s="39" t="n">
        <f aca="false">J279*Resumo!$B$7</f>
        <v>0.79998</v>
      </c>
      <c r="X279" s="39" t="n">
        <f aca="false">Resumo!$B$9</f>
        <v>1</v>
      </c>
      <c r="Y279" s="39" t="n">
        <f aca="false">Resumo!$B$10*CEILING(I279/100,1)</f>
        <v>4.5</v>
      </c>
      <c r="Z279" s="39" t="n">
        <f aca="false">Resumo!$B$12*CEILING(I279,1)</f>
        <v>2.1</v>
      </c>
      <c r="AA279" s="39" t="n">
        <f aca="false">Resumo!$B$13*CEILING(I279,1)</f>
        <v>15.75</v>
      </c>
      <c r="AB279" s="39" t="n">
        <f aca="false">SUM(U279:AA279)</f>
        <v>106.75997</v>
      </c>
      <c r="AC279" s="39" t="n">
        <f aca="false">AB279/(1-Resumo!$B$5)</f>
        <v>121.318147727273</v>
      </c>
      <c r="AD279" s="39" t="n">
        <f aca="false">(AB279-AA279)/(1-Resumo!$B$5)</f>
        <v>103.420420454545</v>
      </c>
      <c r="AE279" s="39" t="n">
        <f aca="false">AC279-T279</f>
        <v>39.0761502272727</v>
      </c>
      <c r="AF279" s="40" t="n">
        <f aca="false">AC279/T279-1</f>
        <v>0.475136200665271</v>
      </c>
      <c r="AG279" s="37" t="str">
        <f aca="false">IF(AC279&lt;T279,"SIM","NÃO")</f>
        <v>NÃO</v>
      </c>
      <c r="AH279" s="37" t="n">
        <v>8</v>
      </c>
      <c r="AI279" s="37" t="n">
        <v>5</v>
      </c>
      <c r="AJ279" s="37" t="s">
        <v>323</v>
      </c>
    </row>
    <row r="280" customFormat="false" ht="15" hidden="false" customHeight="false" outlineLevel="0" collapsed="false">
      <c r="A280" s="37" t="n">
        <v>363100760</v>
      </c>
      <c r="B280" s="38" t="n">
        <v>46224.6301157407</v>
      </c>
      <c r="C280" s="37" t="s">
        <v>325</v>
      </c>
      <c r="D280" s="37" t="s">
        <v>606</v>
      </c>
      <c r="E280" s="37" t="n">
        <v>22775033</v>
      </c>
      <c r="F280" s="37" t="s">
        <v>139</v>
      </c>
      <c r="G280" s="37" t="s">
        <v>198</v>
      </c>
      <c r="H280" s="37" t="s">
        <v>168</v>
      </c>
      <c r="I280" s="37" t="n">
        <v>33.21</v>
      </c>
      <c r="J280" s="39" t="n">
        <v>378.56</v>
      </c>
      <c r="K280" s="37" t="s">
        <v>322</v>
      </c>
      <c r="L280" s="39" t="n">
        <v>82.15</v>
      </c>
      <c r="M280" s="39" t="n">
        <v>54.1</v>
      </c>
      <c r="N280" s="39" t="n">
        <f aca="false">J280*Resumo!$C$7</f>
        <v>0.75712</v>
      </c>
      <c r="O280" s="39" t="n">
        <f aca="false">J280*Resumo!$C$8</f>
        <v>0.75712</v>
      </c>
      <c r="P280" s="39" t="n">
        <f aca="false">Resumo!$C$10*CEILING(I280/100,1)</f>
        <v>1</v>
      </c>
      <c r="Q280" s="39" t="n">
        <f aca="false">Resumo!$C$9</f>
        <v>11.9</v>
      </c>
      <c r="R280" s="39" t="n">
        <f aca="false">SUM(M280:Q280)*Resumo!$C$11</f>
        <v>3.7682832</v>
      </c>
      <c r="S280" s="39" t="n">
        <f aca="false">SUM(M280:R280)</f>
        <v>72.2825232</v>
      </c>
      <c r="T280" s="39" t="n">
        <f aca="false">S280/(1-Resumo!$C$5)</f>
        <v>82.1392309090909</v>
      </c>
      <c r="U280" s="39" t="n">
        <v>82.21</v>
      </c>
      <c r="V280" s="39" t="n">
        <f aca="false">J280*Resumo!$B$6</f>
        <v>0.37856</v>
      </c>
      <c r="W280" s="39" t="n">
        <f aca="false">J280*Resumo!$B$7</f>
        <v>0.75712</v>
      </c>
      <c r="X280" s="39" t="n">
        <f aca="false">Resumo!$B$9</f>
        <v>1</v>
      </c>
      <c r="Y280" s="39" t="n">
        <f aca="false">Resumo!$B$10*CEILING(I280/100,1)</f>
        <v>4.5</v>
      </c>
      <c r="Z280" s="39" t="n">
        <f aca="false">Resumo!$B$12*CEILING(I280,1)</f>
        <v>2.04</v>
      </c>
      <c r="AA280" s="39" t="n">
        <f aca="false">Resumo!$B$13*CEILING(I280,1)</f>
        <v>15.3</v>
      </c>
      <c r="AB280" s="39" t="n">
        <f aca="false">SUM(U280:AA280)</f>
        <v>106.18568</v>
      </c>
      <c r="AC280" s="39" t="n">
        <f aca="false">AB280/(1-Resumo!$B$5)</f>
        <v>120.665545454545</v>
      </c>
      <c r="AD280" s="39" t="n">
        <f aca="false">(AB280-AA280)/(1-Resumo!$B$5)</f>
        <v>103.279181818182</v>
      </c>
      <c r="AE280" s="39" t="n">
        <f aca="false">AC280-T280</f>
        <v>38.5263145454545</v>
      </c>
      <c r="AF280" s="40" t="n">
        <f aca="false">AC280/T280-1</f>
        <v>0.469036709000772</v>
      </c>
      <c r="AG280" s="37" t="str">
        <f aca="false">IF(AC280&lt;T280,"SIM","NÃO")</f>
        <v>NÃO</v>
      </c>
      <c r="AH280" s="37" t="n">
        <v>8</v>
      </c>
      <c r="AI280" s="37" t="n">
        <v>5</v>
      </c>
      <c r="AJ280" s="37" t="s">
        <v>323</v>
      </c>
    </row>
    <row r="281" customFormat="false" ht="15" hidden="false" customHeight="false" outlineLevel="0" collapsed="false">
      <c r="A281" s="37" t="n">
        <v>363176335</v>
      </c>
      <c r="B281" s="38" t="n">
        <v>46224.7577314815</v>
      </c>
      <c r="C281" s="37" t="s">
        <v>320</v>
      </c>
      <c r="D281" s="37" t="s">
        <v>607</v>
      </c>
      <c r="E281" s="37" t="n">
        <v>22780085</v>
      </c>
      <c r="F281" s="37" t="s">
        <v>139</v>
      </c>
      <c r="G281" s="37" t="s">
        <v>198</v>
      </c>
      <c r="H281" s="37" t="s">
        <v>170</v>
      </c>
      <c r="I281" s="37" t="n">
        <v>49.6</v>
      </c>
      <c r="J281" s="39" t="n">
        <v>799.99</v>
      </c>
      <c r="K281" s="37" t="s">
        <v>322</v>
      </c>
      <c r="L281" s="39" t="n">
        <v>104.42</v>
      </c>
      <c r="M281" s="39" t="n">
        <v>71</v>
      </c>
      <c r="N281" s="39" t="n">
        <f aca="false">J281*Resumo!$C$7</f>
        <v>1.59998</v>
      </c>
      <c r="O281" s="39" t="n">
        <f aca="false">J281*Resumo!$C$8</f>
        <v>1.59998</v>
      </c>
      <c r="P281" s="39" t="n">
        <f aca="false">Resumo!$C$10*CEILING(I281/100,1)</f>
        <v>1</v>
      </c>
      <c r="Q281" s="39" t="n">
        <f aca="false">Resumo!$C$9</f>
        <v>11.9</v>
      </c>
      <c r="R281" s="39" t="n">
        <f aca="false">SUM(M281:Q281)*Resumo!$C$11</f>
        <v>4.7904978</v>
      </c>
      <c r="S281" s="39" t="n">
        <f aca="false">SUM(M281:R281)</f>
        <v>91.8904578</v>
      </c>
      <c r="T281" s="39" t="n">
        <f aca="false">S281/(1-Resumo!$C$5)</f>
        <v>104.420974772727</v>
      </c>
      <c r="U281" s="39" t="n">
        <v>93.97</v>
      </c>
      <c r="V281" s="39" t="n">
        <f aca="false">J281*Resumo!$B$6</f>
        <v>0.79999</v>
      </c>
      <c r="W281" s="39" t="n">
        <f aca="false">J281*Resumo!$B$7</f>
        <v>1.59998</v>
      </c>
      <c r="X281" s="39" t="n">
        <f aca="false">Resumo!$B$9</f>
        <v>1</v>
      </c>
      <c r="Y281" s="39" t="n">
        <f aca="false">Resumo!$B$10*CEILING(I281/100,1)</f>
        <v>4.5</v>
      </c>
      <c r="Z281" s="39" t="n">
        <f aca="false">Resumo!$B$12*CEILING(I281,1)</f>
        <v>3</v>
      </c>
      <c r="AA281" s="39" t="n">
        <f aca="false">Resumo!$B$13*CEILING(I281,1)</f>
        <v>22.5</v>
      </c>
      <c r="AB281" s="39" t="n">
        <f aca="false">SUM(U281:AA281)</f>
        <v>127.36997</v>
      </c>
      <c r="AC281" s="39" t="n">
        <f aca="false">AB281/(1-Resumo!$B$5)</f>
        <v>144.738602272727</v>
      </c>
      <c r="AD281" s="39" t="n">
        <f aca="false">(AB281-AA281)/(1-Resumo!$B$5)</f>
        <v>119.170420454545</v>
      </c>
      <c r="AE281" s="39" t="n">
        <f aca="false">AC281-T281</f>
        <v>40.3176275</v>
      </c>
      <c r="AF281" s="40" t="n">
        <f aca="false">AC281/T281-1</f>
        <v>0.386106599634331</v>
      </c>
      <c r="AG281" s="37" t="str">
        <f aca="false">IF(AC281&lt;T281,"SIM","NÃO")</f>
        <v>NÃO</v>
      </c>
      <c r="AH281" s="37" t="n">
        <v>8</v>
      </c>
      <c r="AI281" s="37" t="n">
        <v>5</v>
      </c>
      <c r="AJ281" s="37" t="s">
        <v>323</v>
      </c>
    </row>
    <row r="282" customFormat="false" ht="15" hidden="false" customHeight="false" outlineLevel="0" collapsed="false">
      <c r="A282" s="37" t="n">
        <v>363206605</v>
      </c>
      <c r="B282" s="38" t="n">
        <v>46224.8074768519</v>
      </c>
      <c r="C282" s="37" t="s">
        <v>320</v>
      </c>
      <c r="D282" s="37" t="s">
        <v>608</v>
      </c>
      <c r="E282" s="37" t="n">
        <v>24725060</v>
      </c>
      <c r="F282" s="37" t="s">
        <v>140</v>
      </c>
      <c r="G282" s="37" t="s">
        <v>207</v>
      </c>
      <c r="H282" s="37" t="s">
        <v>170</v>
      </c>
      <c r="I282" s="37" t="n">
        <v>46.8</v>
      </c>
      <c r="J282" s="39" t="n">
        <v>509.99</v>
      </c>
      <c r="K282" s="37" t="s">
        <v>498</v>
      </c>
      <c r="L282" s="39" t="n">
        <v>117.33</v>
      </c>
      <c r="M282" s="39" t="n">
        <v>82.25</v>
      </c>
      <c r="N282" s="39" t="n">
        <f aca="false">J282*Resumo!$C$7</f>
        <v>1.01998</v>
      </c>
      <c r="O282" s="39" t="n">
        <f aca="false">J282*Resumo!$C$8</f>
        <v>1.01998</v>
      </c>
      <c r="P282" s="39" t="n">
        <f aca="false">Resumo!$C$10*CEILING(I282/100,1)</f>
        <v>1</v>
      </c>
      <c r="Q282" s="39" t="n">
        <f aca="false">Resumo!$C$9</f>
        <v>11.9</v>
      </c>
      <c r="R282" s="39" t="n">
        <f aca="false">SUM(M282:Q282)*Resumo!$C$11</f>
        <v>5.3454478</v>
      </c>
      <c r="S282" s="39" t="n">
        <f aca="false">SUM(M282:R282)</f>
        <v>102.5354078</v>
      </c>
      <c r="T282" s="39" t="n">
        <f aca="false">S282/(1-Resumo!$C$5)</f>
        <v>116.517508863636</v>
      </c>
      <c r="U282" s="39" t="n">
        <v>114.95</v>
      </c>
      <c r="V282" s="39" t="n">
        <f aca="false">J282*Resumo!$B$6</f>
        <v>0.50999</v>
      </c>
      <c r="W282" s="39" t="n">
        <f aca="false">J282*Resumo!$B$7</f>
        <v>1.01998</v>
      </c>
      <c r="X282" s="39" t="n">
        <f aca="false">Resumo!$B$9</f>
        <v>1</v>
      </c>
      <c r="Y282" s="39" t="n">
        <f aca="false">Resumo!$B$10*CEILING(I282/100,1)</f>
        <v>4.5</v>
      </c>
      <c r="Z282" s="39" t="n">
        <f aca="false">Resumo!$B$12*CEILING(I282,1)</f>
        <v>2.82</v>
      </c>
      <c r="AA282" s="39" t="n">
        <f aca="false">Resumo!$B$13*CEILING(I282,1)</f>
        <v>21.15</v>
      </c>
      <c r="AB282" s="39" t="n">
        <f aca="false">SUM(U282:AA282)</f>
        <v>145.94997</v>
      </c>
      <c r="AC282" s="39" t="n">
        <f aca="false">AB282/(1-Resumo!$B$5)</f>
        <v>165.852238636364</v>
      </c>
      <c r="AD282" s="39" t="n">
        <f aca="false">(AB282-AA282)/(1-Resumo!$B$5)</f>
        <v>141.818147727273</v>
      </c>
      <c r="AE282" s="39" t="n">
        <f aca="false">AC282-T282</f>
        <v>49.3347297727273</v>
      </c>
      <c r="AF282" s="40" t="n">
        <f aca="false">AC282/T282-1</f>
        <v>0.423410440661455</v>
      </c>
      <c r="AG282" s="37" t="str">
        <f aca="false">IF(AC282&lt;T282,"SIM","NÃO")</f>
        <v>NÃO</v>
      </c>
      <c r="AH282" s="37" t="n">
        <v>10</v>
      </c>
      <c r="AI282" s="37" t="n">
        <v>7</v>
      </c>
      <c r="AJ282" s="37" t="s">
        <v>323</v>
      </c>
    </row>
    <row r="283" customFormat="false" ht="15" hidden="false" customHeight="false" outlineLevel="0" collapsed="false">
      <c r="A283" s="37" t="n">
        <v>363210624</v>
      </c>
      <c r="B283" s="38" t="n">
        <v>46224.8176736111</v>
      </c>
      <c r="C283" s="37" t="s">
        <v>320</v>
      </c>
      <c r="D283" s="37" t="s">
        <v>609</v>
      </c>
      <c r="E283" s="37" t="n">
        <v>21770000</v>
      </c>
      <c r="F283" s="37" t="s">
        <v>139</v>
      </c>
      <c r="G283" s="37" t="s">
        <v>198</v>
      </c>
      <c r="H283" s="37" t="s">
        <v>171</v>
      </c>
      <c r="I283" s="37" t="n">
        <v>52.3</v>
      </c>
      <c r="J283" s="39" t="n">
        <v>699.99</v>
      </c>
      <c r="K283" s="37" t="s">
        <v>498</v>
      </c>
      <c r="L283" s="39" t="n">
        <v>113.63</v>
      </c>
      <c r="M283" s="39" t="n">
        <v>79.81</v>
      </c>
      <c r="N283" s="39" t="n">
        <f aca="false">J283*Resumo!$C$7</f>
        <v>1.39998</v>
      </c>
      <c r="O283" s="39" t="n">
        <f aca="false">J283*Resumo!$C$8</f>
        <v>1.39998</v>
      </c>
      <c r="P283" s="39" t="n">
        <f aca="false">Resumo!$C$10*CEILING(I283/100,1)</f>
        <v>1</v>
      </c>
      <c r="Q283" s="39" t="n">
        <f aca="false">Resumo!$C$9</f>
        <v>11.9</v>
      </c>
      <c r="R283" s="39" t="n">
        <f aca="false">SUM(M283:Q283)*Resumo!$C$11</f>
        <v>5.2530478</v>
      </c>
      <c r="S283" s="39" t="n">
        <f aca="false">SUM(M283:R283)</f>
        <v>100.7630078</v>
      </c>
      <c r="T283" s="39" t="n">
        <f aca="false">S283/(1-Resumo!$C$5)</f>
        <v>114.503417954545</v>
      </c>
      <c r="U283" s="39" t="n">
        <v>112.3</v>
      </c>
      <c r="V283" s="39" t="n">
        <f aca="false">J283*Resumo!$B$6</f>
        <v>0.69999</v>
      </c>
      <c r="W283" s="39" t="n">
        <f aca="false">J283*Resumo!$B$7</f>
        <v>1.39998</v>
      </c>
      <c r="X283" s="39" t="n">
        <f aca="false">Resumo!$B$9</f>
        <v>1</v>
      </c>
      <c r="Y283" s="39" t="n">
        <f aca="false">Resumo!$B$10*CEILING(I283/100,1)</f>
        <v>4.5</v>
      </c>
      <c r="Z283" s="39" t="n">
        <f aca="false">Resumo!$B$12*CEILING(I283,1)</f>
        <v>3.18</v>
      </c>
      <c r="AA283" s="39" t="n">
        <f aca="false">Resumo!$B$13*CEILING(I283,1)</f>
        <v>23.85</v>
      </c>
      <c r="AB283" s="39" t="n">
        <f aca="false">SUM(U283:AA283)</f>
        <v>146.92997</v>
      </c>
      <c r="AC283" s="39" t="n">
        <f aca="false">AB283/(1-Resumo!$B$5)</f>
        <v>166.965875</v>
      </c>
      <c r="AD283" s="39" t="n">
        <f aca="false">(AB283-AA283)/(1-Resumo!$B$5)</f>
        <v>139.863602272727</v>
      </c>
      <c r="AE283" s="39" t="n">
        <f aca="false">AC283-T283</f>
        <v>52.4624570454545</v>
      </c>
      <c r="AF283" s="40" t="n">
        <f aca="false">AC283/T283-1</f>
        <v>0.458173720772952</v>
      </c>
      <c r="AG283" s="37" t="str">
        <f aca="false">IF(AC283&lt;T283,"SIM","NÃO")</f>
        <v>NÃO</v>
      </c>
      <c r="AH283" s="37" t="n">
        <v>8</v>
      </c>
      <c r="AI283" s="37" t="n">
        <v>5</v>
      </c>
      <c r="AJ283" s="37" t="s">
        <v>323</v>
      </c>
    </row>
    <row r="284" customFormat="false" ht="15" hidden="false" customHeight="false" outlineLevel="0" collapsed="false">
      <c r="A284" s="37" t="n">
        <v>363265593</v>
      </c>
      <c r="B284" s="38" t="n">
        <v>46224.8861458333</v>
      </c>
      <c r="C284" s="37" t="s">
        <v>320</v>
      </c>
      <c r="D284" s="37" t="s">
        <v>610</v>
      </c>
      <c r="E284" s="37" t="n">
        <v>23520560</v>
      </c>
      <c r="F284" s="37" t="s">
        <v>139</v>
      </c>
      <c r="G284" s="37" t="s">
        <v>198</v>
      </c>
      <c r="H284" s="37" t="s">
        <v>169</v>
      </c>
      <c r="I284" s="37" t="n">
        <v>39.8</v>
      </c>
      <c r="J284" s="39" t="n">
        <v>449.99</v>
      </c>
      <c r="K284" s="37" t="s">
        <v>498</v>
      </c>
      <c r="L284" s="39" t="n">
        <v>94.13</v>
      </c>
      <c r="M284" s="39" t="n">
        <v>62.05</v>
      </c>
      <c r="N284" s="39" t="n">
        <f aca="false">J284*Resumo!$C$7</f>
        <v>0.89998</v>
      </c>
      <c r="O284" s="39" t="n">
        <f aca="false">J284*Resumo!$C$8</f>
        <v>0.89998</v>
      </c>
      <c r="P284" s="39" t="n">
        <f aca="false">Resumo!$C$10*CEILING(I284/100,1)</f>
        <v>1</v>
      </c>
      <c r="Q284" s="39" t="n">
        <f aca="false">Resumo!$C$9</f>
        <v>11.9</v>
      </c>
      <c r="R284" s="39" t="n">
        <f aca="false">SUM(M284:Q284)*Resumo!$C$11</f>
        <v>4.2212478</v>
      </c>
      <c r="S284" s="39" t="n">
        <f aca="false">SUM(M284:R284)</f>
        <v>80.9712078</v>
      </c>
      <c r="T284" s="39" t="n">
        <f aca="false">S284/(1-Resumo!$C$5)</f>
        <v>92.0127361363636</v>
      </c>
      <c r="U284" s="39" t="n">
        <v>93.97</v>
      </c>
      <c r="V284" s="39" t="n">
        <f aca="false">J284*Resumo!$B$6</f>
        <v>0.44999</v>
      </c>
      <c r="W284" s="39" t="n">
        <f aca="false">J284*Resumo!$B$7</f>
        <v>0.89998</v>
      </c>
      <c r="X284" s="39" t="n">
        <f aca="false">Resumo!$B$9</f>
        <v>1</v>
      </c>
      <c r="Y284" s="39" t="n">
        <f aca="false">Resumo!$B$10*CEILING(I284/100,1)</f>
        <v>4.5</v>
      </c>
      <c r="Z284" s="39" t="n">
        <f aca="false">Resumo!$B$12*CEILING(I284,1)</f>
        <v>2.4</v>
      </c>
      <c r="AA284" s="39" t="n">
        <f aca="false">Resumo!$B$13*CEILING(I284,1)</f>
        <v>18</v>
      </c>
      <c r="AB284" s="39" t="n">
        <f aca="false">SUM(U284:AA284)</f>
        <v>121.21997</v>
      </c>
      <c r="AC284" s="39" t="n">
        <f aca="false">AB284/(1-Resumo!$B$5)</f>
        <v>137.749965909091</v>
      </c>
      <c r="AD284" s="39" t="n">
        <f aca="false">(AB284-AA284)/(1-Resumo!$B$5)</f>
        <v>117.295420454545</v>
      </c>
      <c r="AE284" s="39" t="n">
        <f aca="false">AC284-T284</f>
        <v>45.7372297727273</v>
      </c>
      <c r="AF284" s="40" t="n">
        <f aca="false">AC284/T284-1</f>
        <v>0.497074988672702</v>
      </c>
      <c r="AG284" s="37" t="str">
        <f aca="false">IF(AC284&lt;T284,"SIM","NÃO")</f>
        <v>NÃO</v>
      </c>
      <c r="AH284" s="37" t="n">
        <v>8</v>
      </c>
      <c r="AI284" s="37" t="n">
        <v>5</v>
      </c>
      <c r="AJ284" s="37" t="s">
        <v>323</v>
      </c>
    </row>
    <row r="285" customFormat="false" ht="15" hidden="false" customHeight="false" outlineLevel="0" collapsed="false">
      <c r="A285" s="37" t="n">
        <v>363292006</v>
      </c>
      <c r="B285" s="38" t="n">
        <v>46224.9212152778</v>
      </c>
      <c r="C285" s="37" t="s">
        <v>320</v>
      </c>
      <c r="D285" s="37" t="s">
        <v>611</v>
      </c>
      <c r="E285" s="37" t="n">
        <v>23016010</v>
      </c>
      <c r="F285" s="37" t="s">
        <v>139</v>
      </c>
      <c r="G285" s="37" t="s">
        <v>198</v>
      </c>
      <c r="H285" s="37" t="s">
        <v>170</v>
      </c>
      <c r="I285" s="37" t="n">
        <v>46.8</v>
      </c>
      <c r="J285" s="39" t="n">
        <v>599.99</v>
      </c>
      <c r="K285" s="37" t="s">
        <v>498</v>
      </c>
      <c r="L285" s="39" t="n">
        <v>104.34</v>
      </c>
      <c r="M285" s="39" t="n">
        <v>71</v>
      </c>
      <c r="N285" s="39" t="n">
        <f aca="false">J285*Resumo!$C$7</f>
        <v>1.19998</v>
      </c>
      <c r="O285" s="39" t="n">
        <f aca="false">J285*Resumo!$C$8</f>
        <v>1.19998</v>
      </c>
      <c r="P285" s="39" t="n">
        <f aca="false">Resumo!$C$10*CEILING(I285/100,1)</f>
        <v>1</v>
      </c>
      <c r="Q285" s="39" t="n">
        <f aca="false">Resumo!$C$9</f>
        <v>11.9</v>
      </c>
      <c r="R285" s="39" t="n">
        <f aca="false">SUM(M285:Q285)*Resumo!$C$11</f>
        <v>4.7464978</v>
      </c>
      <c r="S285" s="39" t="n">
        <f aca="false">SUM(M285:R285)</f>
        <v>91.0464578</v>
      </c>
      <c r="T285" s="39" t="n">
        <f aca="false">S285/(1-Resumo!$C$5)</f>
        <v>103.461883863636</v>
      </c>
      <c r="U285" s="39" t="n">
        <v>93.97</v>
      </c>
      <c r="V285" s="39" t="n">
        <f aca="false">J285*Resumo!$B$6</f>
        <v>0.59999</v>
      </c>
      <c r="W285" s="39" t="n">
        <f aca="false">J285*Resumo!$B$7</f>
        <v>1.19998</v>
      </c>
      <c r="X285" s="39" t="n">
        <f aca="false">Resumo!$B$9</f>
        <v>1</v>
      </c>
      <c r="Y285" s="39" t="n">
        <f aca="false">Resumo!$B$10*CEILING(I285/100,1)</f>
        <v>4.5</v>
      </c>
      <c r="Z285" s="39" t="n">
        <f aca="false">Resumo!$B$12*CEILING(I285,1)</f>
        <v>2.82</v>
      </c>
      <c r="AA285" s="39" t="n">
        <f aca="false">Resumo!$B$13*CEILING(I285,1)</f>
        <v>21.15</v>
      </c>
      <c r="AB285" s="39" t="n">
        <f aca="false">SUM(U285:AA285)</f>
        <v>125.23997</v>
      </c>
      <c r="AC285" s="39" t="n">
        <f aca="false">AB285/(1-Resumo!$B$5)</f>
        <v>142.318147727273</v>
      </c>
      <c r="AD285" s="39" t="n">
        <f aca="false">(AB285-AA285)/(1-Resumo!$B$5)</f>
        <v>118.284056818182</v>
      </c>
      <c r="AE285" s="39" t="n">
        <f aca="false">AC285-T285</f>
        <v>38.8562638636364</v>
      </c>
      <c r="AF285" s="40" t="n">
        <f aca="false">AC285/T285-1</f>
        <v>0.375561147860494</v>
      </c>
      <c r="AG285" s="37" t="str">
        <f aca="false">IF(AC285&lt;T285,"SIM","NÃO")</f>
        <v>NÃO</v>
      </c>
      <c r="AH285" s="37" t="n">
        <v>8</v>
      </c>
      <c r="AI285" s="37" t="n">
        <v>5</v>
      </c>
      <c r="AJ285" s="37" t="s">
        <v>323</v>
      </c>
    </row>
    <row r="286" customFormat="false" ht="15" hidden="false" customHeight="false" outlineLevel="0" collapsed="false">
      <c r="A286" s="37" t="n">
        <v>363532299</v>
      </c>
      <c r="B286" s="38" t="n">
        <v>46225.3809606481</v>
      </c>
      <c r="C286" s="37" t="s">
        <v>325</v>
      </c>
      <c r="D286" s="37" t="s">
        <v>612</v>
      </c>
      <c r="E286" s="37" t="n">
        <v>22790735</v>
      </c>
      <c r="F286" s="37" t="s">
        <v>139</v>
      </c>
      <c r="G286" s="37" t="s">
        <v>198</v>
      </c>
      <c r="H286" s="37" t="s">
        <v>171</v>
      </c>
      <c r="I286" s="37" t="n">
        <v>52.3</v>
      </c>
      <c r="J286" s="39" t="n">
        <v>637.57</v>
      </c>
      <c r="K286" s="37" t="s">
        <v>498</v>
      </c>
      <c r="L286" s="39" t="n">
        <v>113.33</v>
      </c>
      <c r="M286" s="39" t="n">
        <v>79.81</v>
      </c>
      <c r="N286" s="39" t="n">
        <f aca="false">J286*Resumo!$C$7</f>
        <v>1.27514</v>
      </c>
      <c r="O286" s="39" t="n">
        <f aca="false">J286*Resumo!$C$8</f>
        <v>1.27514</v>
      </c>
      <c r="P286" s="39" t="n">
        <f aca="false">Resumo!$C$10*CEILING(I286/100,1)</f>
        <v>1</v>
      </c>
      <c r="Q286" s="39" t="n">
        <f aca="false">Resumo!$C$9</f>
        <v>11.9</v>
      </c>
      <c r="R286" s="39" t="n">
        <f aca="false">SUM(M286:Q286)*Resumo!$C$11</f>
        <v>5.2393154</v>
      </c>
      <c r="S286" s="39" t="n">
        <f aca="false">SUM(M286:R286)</f>
        <v>100.4995954</v>
      </c>
      <c r="T286" s="39" t="n">
        <f aca="false">S286/(1-Resumo!$C$5)</f>
        <v>114.204085681818</v>
      </c>
      <c r="U286" s="39" t="n">
        <v>112.3</v>
      </c>
      <c r="V286" s="39" t="n">
        <f aca="false">J286*Resumo!$B$6</f>
        <v>0.63757</v>
      </c>
      <c r="W286" s="39" t="n">
        <f aca="false">J286*Resumo!$B$7</f>
        <v>1.27514</v>
      </c>
      <c r="X286" s="39" t="n">
        <f aca="false">Resumo!$B$9</f>
        <v>1</v>
      </c>
      <c r="Y286" s="39" t="n">
        <f aca="false">Resumo!$B$10*CEILING(I286/100,1)</f>
        <v>4.5</v>
      </c>
      <c r="Z286" s="39" t="n">
        <f aca="false">Resumo!$B$12*CEILING(I286,1)</f>
        <v>3.18</v>
      </c>
      <c r="AA286" s="39" t="n">
        <f aca="false">Resumo!$B$13*CEILING(I286,1)</f>
        <v>23.85</v>
      </c>
      <c r="AB286" s="39" t="n">
        <f aca="false">SUM(U286:AA286)</f>
        <v>146.74271</v>
      </c>
      <c r="AC286" s="39" t="n">
        <f aca="false">AB286/(1-Resumo!$B$5)</f>
        <v>166.753079545455</v>
      </c>
      <c r="AD286" s="39" t="n">
        <f aca="false">(AB286-AA286)/(1-Resumo!$B$5)</f>
        <v>139.650806818182</v>
      </c>
      <c r="AE286" s="39" t="n">
        <f aca="false">AC286-T286</f>
        <v>52.5489938636364</v>
      </c>
      <c r="AF286" s="40" t="n">
        <f aca="false">AC286/T286-1</f>
        <v>0.460132345965643</v>
      </c>
      <c r="AG286" s="37" t="str">
        <f aca="false">IF(AC286&lt;T286,"SIM","NÃO")</f>
        <v>NÃO</v>
      </c>
      <c r="AH286" s="37" t="n">
        <v>8</v>
      </c>
      <c r="AI286" s="37" t="n">
        <v>5</v>
      </c>
      <c r="AJ286" s="37" t="s">
        <v>323</v>
      </c>
    </row>
    <row r="287" customFormat="false" ht="15" hidden="false" customHeight="false" outlineLevel="0" collapsed="false">
      <c r="A287" s="37" t="n">
        <v>363533063</v>
      </c>
      <c r="B287" s="38" t="n">
        <v>46225.3823726852</v>
      </c>
      <c r="C287" s="37" t="s">
        <v>320</v>
      </c>
      <c r="D287" s="37" t="s">
        <v>613</v>
      </c>
      <c r="E287" s="37" t="n">
        <v>24230000</v>
      </c>
      <c r="F287" s="37" t="s">
        <v>143</v>
      </c>
      <c r="G287" s="37" t="s">
        <v>207</v>
      </c>
      <c r="H287" s="37" t="s">
        <v>171</v>
      </c>
      <c r="I287" s="37" t="n">
        <v>52.3</v>
      </c>
      <c r="J287" s="39" t="n">
        <v>685.84</v>
      </c>
      <c r="K287" s="37" t="s">
        <v>498</v>
      </c>
      <c r="L287" s="39" t="n">
        <v>127.62</v>
      </c>
      <c r="M287" s="39" t="n">
        <v>91.6</v>
      </c>
      <c r="N287" s="39" t="n">
        <f aca="false">J287*Resumo!$C$7</f>
        <v>1.37168</v>
      </c>
      <c r="O287" s="39" t="n">
        <f aca="false">J287*Resumo!$C$8</f>
        <v>1.37168</v>
      </c>
      <c r="P287" s="39" t="n">
        <f aca="false">Resumo!$C$10*CEILING(I287/100,1)</f>
        <v>1</v>
      </c>
      <c r="Q287" s="39" t="n">
        <f aca="false">Resumo!$C$9</f>
        <v>11.9</v>
      </c>
      <c r="R287" s="39" t="n">
        <f aca="false">SUM(M287:Q287)*Resumo!$C$11</f>
        <v>5.8983848</v>
      </c>
      <c r="S287" s="39" t="n">
        <f aca="false">SUM(M287:R287)</f>
        <v>113.1417448</v>
      </c>
      <c r="T287" s="39" t="n">
        <f aca="false">S287/(1-Resumo!$C$5)</f>
        <v>128.570164545455</v>
      </c>
      <c r="U287" s="39" t="n">
        <v>128.14</v>
      </c>
      <c r="V287" s="39" t="n">
        <f aca="false">J287*Resumo!$B$6</f>
        <v>0.68584</v>
      </c>
      <c r="W287" s="39" t="n">
        <f aca="false">J287*Resumo!$B$7</f>
        <v>1.37168</v>
      </c>
      <c r="X287" s="39" t="n">
        <f aca="false">Resumo!$B$9</f>
        <v>1</v>
      </c>
      <c r="Y287" s="39" t="n">
        <f aca="false">Resumo!$B$10*CEILING(I287/100,1)</f>
        <v>4.5</v>
      </c>
      <c r="Z287" s="39" t="n">
        <f aca="false">Resumo!$B$12*CEILING(I287,1)</f>
        <v>3.18</v>
      </c>
      <c r="AA287" s="39" t="n">
        <f aca="false">Resumo!$B$13*CEILING(I287,1)</f>
        <v>23.85</v>
      </c>
      <c r="AB287" s="39" t="n">
        <f aca="false">SUM(U287:AA287)</f>
        <v>162.72752</v>
      </c>
      <c r="AC287" s="39" t="n">
        <f aca="false">AB287/(1-Resumo!$B$5)</f>
        <v>184.917636363636</v>
      </c>
      <c r="AD287" s="39" t="n">
        <f aca="false">(AB287-AA287)/(1-Resumo!$B$5)</f>
        <v>157.815363636364</v>
      </c>
      <c r="AE287" s="39" t="n">
        <f aca="false">AC287-T287</f>
        <v>56.3474718181818</v>
      </c>
      <c r="AF287" s="40" t="n">
        <f aca="false">AC287/T287-1</f>
        <v>0.438262422836527</v>
      </c>
      <c r="AG287" s="37" t="str">
        <f aca="false">IF(AC287&lt;T287,"SIM","NÃO")</f>
        <v>NÃO</v>
      </c>
      <c r="AH287" s="37" t="n">
        <v>10</v>
      </c>
      <c r="AI287" s="37" t="n">
        <v>7</v>
      </c>
      <c r="AJ287" s="37" t="s">
        <v>323</v>
      </c>
    </row>
    <row r="288" customFormat="false" ht="15" hidden="false" customHeight="false" outlineLevel="0" collapsed="false">
      <c r="A288" s="37" t="n">
        <v>363572779</v>
      </c>
      <c r="B288" s="38" t="n">
        <v>46225.4376388889</v>
      </c>
      <c r="C288" s="37" t="s">
        <v>325</v>
      </c>
      <c r="D288" s="37" t="s">
        <v>614</v>
      </c>
      <c r="E288" s="37" t="n">
        <v>23520660</v>
      </c>
      <c r="F288" s="37" t="s">
        <v>139</v>
      </c>
      <c r="G288" s="37" t="s">
        <v>198</v>
      </c>
      <c r="H288" s="37" t="s">
        <v>168</v>
      </c>
      <c r="I288" s="37" t="n">
        <v>33.21</v>
      </c>
      <c r="J288" s="39" t="n">
        <v>377.9</v>
      </c>
      <c r="K288" s="37" t="s">
        <v>498</v>
      </c>
      <c r="L288" s="39" t="n">
        <v>83.62</v>
      </c>
      <c r="M288" s="39" t="n">
        <v>54.1</v>
      </c>
      <c r="N288" s="39" t="n">
        <f aca="false">J288*Resumo!$C$7</f>
        <v>0.7558</v>
      </c>
      <c r="O288" s="39" t="n">
        <f aca="false">J288*Resumo!$C$8</f>
        <v>0.7558</v>
      </c>
      <c r="P288" s="39" t="n">
        <f aca="false">Resumo!$C$10*CEILING(I288/100,1)</f>
        <v>1</v>
      </c>
      <c r="Q288" s="39" t="n">
        <f aca="false">Resumo!$C$9</f>
        <v>11.9</v>
      </c>
      <c r="R288" s="39" t="n">
        <f aca="false">SUM(M288:Q288)*Resumo!$C$11</f>
        <v>3.768138</v>
      </c>
      <c r="S288" s="39" t="n">
        <f aca="false">SUM(M288:R288)</f>
        <v>72.279738</v>
      </c>
      <c r="T288" s="39" t="n">
        <f aca="false">S288/(1-Resumo!$C$5)</f>
        <v>82.1360659090909</v>
      </c>
      <c r="U288" s="39" t="n">
        <v>82.21</v>
      </c>
      <c r="V288" s="39" t="n">
        <f aca="false">J288*Resumo!$B$6</f>
        <v>0.3779</v>
      </c>
      <c r="W288" s="39" t="n">
        <f aca="false">J288*Resumo!$B$7</f>
        <v>0.7558</v>
      </c>
      <c r="X288" s="39" t="n">
        <f aca="false">Resumo!$B$9</f>
        <v>1</v>
      </c>
      <c r="Y288" s="39" t="n">
        <f aca="false">Resumo!$B$10*CEILING(I288/100,1)</f>
        <v>4.5</v>
      </c>
      <c r="Z288" s="39" t="n">
        <f aca="false">Resumo!$B$12*CEILING(I288,1)</f>
        <v>2.04</v>
      </c>
      <c r="AA288" s="39" t="n">
        <f aca="false">Resumo!$B$13*CEILING(I288,1)</f>
        <v>15.3</v>
      </c>
      <c r="AB288" s="39" t="n">
        <f aca="false">SUM(U288:AA288)</f>
        <v>106.1837</v>
      </c>
      <c r="AC288" s="39" t="n">
        <f aca="false">AB288/(1-Resumo!$B$5)</f>
        <v>120.663295454545</v>
      </c>
      <c r="AD288" s="39" t="n">
        <f aca="false">(AB288-AA288)/(1-Resumo!$B$5)</f>
        <v>103.276931818182</v>
      </c>
      <c r="AE288" s="39" t="n">
        <f aca="false">AC288-T288</f>
        <v>38.5272295454545</v>
      </c>
      <c r="AF288" s="40" t="n">
        <f aca="false">AC288/T288-1</f>
        <v>0.469065922734806</v>
      </c>
      <c r="AG288" s="37" t="str">
        <f aca="false">IF(AC288&lt;T288,"SIM","NÃO")</f>
        <v>NÃO</v>
      </c>
      <c r="AH288" s="37" t="n">
        <v>8</v>
      </c>
      <c r="AI288" s="37" t="n">
        <v>5</v>
      </c>
      <c r="AJ288" s="37" t="s">
        <v>323</v>
      </c>
    </row>
    <row r="289" customFormat="false" ht="15" hidden="false" customHeight="false" outlineLevel="0" collapsed="false">
      <c r="A289" s="37" t="n">
        <v>363602741</v>
      </c>
      <c r="B289" s="38" t="n">
        <v>46225.4850578704</v>
      </c>
      <c r="C289" s="37" t="s">
        <v>320</v>
      </c>
      <c r="D289" s="37" t="s">
        <v>615</v>
      </c>
      <c r="E289" s="37" t="n">
        <v>20755300</v>
      </c>
      <c r="F289" s="37" t="s">
        <v>139</v>
      </c>
      <c r="G289" s="37" t="s">
        <v>198</v>
      </c>
      <c r="H289" s="37" t="s">
        <v>171</v>
      </c>
      <c r="I289" s="37" t="n">
        <v>52.3</v>
      </c>
      <c r="J289" s="39" t="n">
        <v>685.84</v>
      </c>
      <c r="K289" s="37" t="s">
        <v>498</v>
      </c>
      <c r="L289" s="39" t="n">
        <v>113.56</v>
      </c>
      <c r="M289" s="39" t="n">
        <v>79.81</v>
      </c>
      <c r="N289" s="39" t="n">
        <f aca="false">J289*Resumo!$C$7</f>
        <v>1.37168</v>
      </c>
      <c r="O289" s="39" t="n">
        <f aca="false">J289*Resumo!$C$8</f>
        <v>1.37168</v>
      </c>
      <c r="P289" s="39" t="n">
        <f aca="false">Resumo!$C$10*CEILING(I289/100,1)</f>
        <v>1</v>
      </c>
      <c r="Q289" s="39" t="n">
        <f aca="false">Resumo!$C$9</f>
        <v>11.9</v>
      </c>
      <c r="R289" s="39" t="n">
        <f aca="false">SUM(M289:Q289)*Resumo!$C$11</f>
        <v>5.2499348</v>
      </c>
      <c r="S289" s="39" t="n">
        <f aca="false">SUM(M289:R289)</f>
        <v>100.7032948</v>
      </c>
      <c r="T289" s="39" t="n">
        <f aca="false">S289/(1-Resumo!$C$5)</f>
        <v>114.435562272727</v>
      </c>
      <c r="U289" s="39" t="n">
        <v>112.3</v>
      </c>
      <c r="V289" s="39" t="n">
        <f aca="false">J289*Resumo!$B$6</f>
        <v>0.68584</v>
      </c>
      <c r="W289" s="39" t="n">
        <f aca="false">J289*Resumo!$B$7</f>
        <v>1.37168</v>
      </c>
      <c r="X289" s="39" t="n">
        <f aca="false">Resumo!$B$9</f>
        <v>1</v>
      </c>
      <c r="Y289" s="39" t="n">
        <f aca="false">Resumo!$B$10*CEILING(I289/100,1)</f>
        <v>4.5</v>
      </c>
      <c r="Z289" s="39" t="n">
        <f aca="false">Resumo!$B$12*CEILING(I289,1)</f>
        <v>3.18</v>
      </c>
      <c r="AA289" s="39" t="n">
        <f aca="false">Resumo!$B$13*CEILING(I289,1)</f>
        <v>23.85</v>
      </c>
      <c r="AB289" s="39" t="n">
        <f aca="false">SUM(U289:AA289)</f>
        <v>146.88752</v>
      </c>
      <c r="AC289" s="39" t="n">
        <f aca="false">AB289/(1-Resumo!$B$5)</f>
        <v>166.917636363636</v>
      </c>
      <c r="AD289" s="39" t="n">
        <f aca="false">(AB289-AA289)/(1-Resumo!$B$5)</f>
        <v>139.815363636364</v>
      </c>
      <c r="AE289" s="39" t="n">
        <f aca="false">AC289-T289</f>
        <v>52.4820740909091</v>
      </c>
      <c r="AF289" s="40" t="n">
        <f aca="false">AC289/T289-1</f>
        <v>0.458616823726804</v>
      </c>
      <c r="AG289" s="37" t="str">
        <f aca="false">IF(AC289&lt;T289,"SIM","NÃO")</f>
        <v>NÃO</v>
      </c>
      <c r="AH289" s="37" t="n">
        <v>8</v>
      </c>
      <c r="AI289" s="37" t="n">
        <v>5</v>
      </c>
      <c r="AJ289" s="37" t="s">
        <v>323</v>
      </c>
    </row>
    <row r="290" customFormat="false" ht="15" hidden="false" customHeight="false" outlineLevel="0" collapsed="false">
      <c r="A290" s="37" t="n">
        <v>363655738</v>
      </c>
      <c r="B290" s="38" t="n">
        <v>46225.5594097222</v>
      </c>
      <c r="C290" s="37" t="s">
        <v>320</v>
      </c>
      <c r="D290" s="37" t="s">
        <v>616</v>
      </c>
      <c r="E290" s="37" t="n">
        <v>26560540</v>
      </c>
      <c r="F290" s="37" t="s">
        <v>155</v>
      </c>
      <c r="G290" s="37" t="s">
        <v>207</v>
      </c>
      <c r="H290" s="37" t="s">
        <v>168</v>
      </c>
      <c r="I290" s="37" t="n">
        <v>27.4</v>
      </c>
      <c r="J290" s="39" t="n">
        <v>359.99</v>
      </c>
      <c r="K290" s="37" t="s">
        <v>498</v>
      </c>
      <c r="L290" s="39" t="n">
        <v>99.45</v>
      </c>
      <c r="M290" s="39" t="n">
        <v>70</v>
      </c>
      <c r="N290" s="39" t="n">
        <f aca="false">J290*Resumo!$C$7</f>
        <v>0.71998</v>
      </c>
      <c r="O290" s="39" t="n">
        <f aca="false">J290*Resumo!$C$8</f>
        <v>0.71998</v>
      </c>
      <c r="P290" s="39" t="n">
        <f aca="false">Resumo!$C$10*CEILING(I290/100,1)</f>
        <v>1</v>
      </c>
      <c r="Q290" s="39" t="n">
        <f aca="false">Resumo!$C$9</f>
        <v>11.9</v>
      </c>
      <c r="R290" s="39" t="n">
        <f aca="false">SUM(M290:Q290)*Resumo!$C$11</f>
        <v>4.6386978</v>
      </c>
      <c r="S290" s="39" t="n">
        <f aca="false">SUM(M290:R290)</f>
        <v>88.9786578</v>
      </c>
      <c r="T290" s="39" t="n">
        <f aca="false">S290/(1-Resumo!$C$5)</f>
        <v>101.112111136364</v>
      </c>
      <c r="U290" s="39" t="n">
        <v>82.21</v>
      </c>
      <c r="V290" s="39" t="n">
        <f aca="false">J290*Resumo!$B$6</f>
        <v>0.35999</v>
      </c>
      <c r="W290" s="39" t="n">
        <f aca="false">J290*Resumo!$B$7</f>
        <v>0.71998</v>
      </c>
      <c r="X290" s="39" t="n">
        <f aca="false">Resumo!$B$9</f>
        <v>1</v>
      </c>
      <c r="Y290" s="39" t="n">
        <f aca="false">Resumo!$B$10*CEILING(I290/100,1)</f>
        <v>4.5</v>
      </c>
      <c r="Z290" s="39" t="n">
        <f aca="false">Resumo!$B$12*CEILING(I290,1)</f>
        <v>1.68</v>
      </c>
      <c r="AA290" s="39" t="n">
        <f aca="false">Resumo!$B$13*CEILING(I290,1)</f>
        <v>12.6</v>
      </c>
      <c r="AB290" s="39" t="n">
        <f aca="false">SUM(U290:AA290)</f>
        <v>103.06997</v>
      </c>
      <c r="AC290" s="39" t="n">
        <f aca="false">AB290/(1-Resumo!$B$5)</f>
        <v>117.124965909091</v>
      </c>
      <c r="AD290" s="39" t="n">
        <f aca="false">(AB290-AA290)/(1-Resumo!$B$5)</f>
        <v>102.806784090909</v>
      </c>
      <c r="AE290" s="39" t="n">
        <f aca="false">AC290-T290</f>
        <v>16.0128547727272</v>
      </c>
      <c r="AF290" s="40" t="n">
        <f aca="false">AC290/T290-1</f>
        <v>0.158367327046823</v>
      </c>
      <c r="AG290" s="37" t="str">
        <f aca="false">IF(AC290&lt;T290,"SIM","NÃO")</f>
        <v>NÃO</v>
      </c>
      <c r="AH290" s="37" t="n">
        <v>10</v>
      </c>
      <c r="AI290" s="37" t="n">
        <v>5</v>
      </c>
      <c r="AJ290" s="37" t="s">
        <v>323</v>
      </c>
    </row>
    <row r="291" customFormat="false" ht="15" hidden="false" customHeight="false" outlineLevel="0" collapsed="false">
      <c r="A291" s="37" t="n">
        <v>363763804</v>
      </c>
      <c r="B291" s="38" t="n">
        <v>46225.7134259259</v>
      </c>
      <c r="C291" s="37" t="s">
        <v>355</v>
      </c>
      <c r="D291" s="37" t="s">
        <v>617</v>
      </c>
      <c r="E291" s="37" t="n">
        <v>21655340</v>
      </c>
      <c r="F291" s="37" t="s">
        <v>139</v>
      </c>
      <c r="G291" s="37" t="s">
        <v>198</v>
      </c>
      <c r="H291" s="37" t="s">
        <v>170</v>
      </c>
      <c r="I291" s="37" t="n">
        <v>48</v>
      </c>
      <c r="J291" s="39" t="n">
        <v>737.99</v>
      </c>
      <c r="K291" s="37" t="s">
        <v>322</v>
      </c>
      <c r="L291" s="39" t="n">
        <v>104.14</v>
      </c>
      <c r="M291" s="39" t="n">
        <v>71</v>
      </c>
      <c r="N291" s="39" t="n">
        <f aca="false">J291*Resumo!$C$7</f>
        <v>1.47598</v>
      </c>
      <c r="O291" s="39" t="n">
        <f aca="false">J291*Resumo!$C$8</f>
        <v>1.47598</v>
      </c>
      <c r="P291" s="39" t="n">
        <f aca="false">Resumo!$C$10*CEILING(I291/100,1)</f>
        <v>1</v>
      </c>
      <c r="Q291" s="39" t="n">
        <f aca="false">Resumo!$C$9</f>
        <v>11.9</v>
      </c>
      <c r="R291" s="39" t="n">
        <f aca="false">SUM(M291:Q291)*Resumo!$C$11</f>
        <v>4.7768578</v>
      </c>
      <c r="S291" s="39" t="n">
        <f aca="false">SUM(M291:R291)</f>
        <v>91.6288178</v>
      </c>
      <c r="T291" s="39" t="n">
        <f aca="false">S291/(1-Resumo!$C$5)</f>
        <v>104.123656590909</v>
      </c>
      <c r="U291" s="39" t="n">
        <v>93.97</v>
      </c>
      <c r="V291" s="39" t="n">
        <f aca="false">J291*Resumo!$B$6</f>
        <v>0.73799</v>
      </c>
      <c r="W291" s="39" t="n">
        <f aca="false">J291*Resumo!$B$7</f>
        <v>1.47598</v>
      </c>
      <c r="X291" s="39" t="n">
        <f aca="false">Resumo!$B$9</f>
        <v>1</v>
      </c>
      <c r="Y291" s="39" t="n">
        <f aca="false">Resumo!$B$10*CEILING(I291/100,1)</f>
        <v>4.5</v>
      </c>
      <c r="Z291" s="39" t="n">
        <f aca="false">Resumo!$B$12*CEILING(I291,1)</f>
        <v>2.88</v>
      </c>
      <c r="AA291" s="39" t="n">
        <f aca="false">Resumo!$B$13*CEILING(I291,1)</f>
        <v>21.6</v>
      </c>
      <c r="AB291" s="39" t="n">
        <f aca="false">SUM(U291:AA291)</f>
        <v>126.16397</v>
      </c>
      <c r="AC291" s="39" t="n">
        <f aca="false">AB291/(1-Resumo!$B$5)</f>
        <v>143.368147727273</v>
      </c>
      <c r="AD291" s="39" t="n">
        <f aca="false">(AB291-AA291)/(1-Resumo!$B$5)</f>
        <v>118.822693181818</v>
      </c>
      <c r="AE291" s="39" t="n">
        <f aca="false">AC291-T291</f>
        <v>39.2444911363637</v>
      </c>
      <c r="AF291" s="40" t="n">
        <f aca="false">AC291/T291-1</f>
        <v>0.376902736815622</v>
      </c>
      <c r="AG291" s="37" t="str">
        <f aca="false">IF(AC291&lt;T291,"SIM","NÃO")</f>
        <v>NÃO</v>
      </c>
      <c r="AH291" s="37" t="n">
        <v>8</v>
      </c>
      <c r="AI291" s="37" t="n">
        <v>5</v>
      </c>
      <c r="AJ291" s="37" t="s">
        <v>323</v>
      </c>
    </row>
    <row r="292" customFormat="false" ht="15" hidden="false" customHeight="false" outlineLevel="0" collapsed="false">
      <c r="A292" s="37" t="n">
        <v>363787812</v>
      </c>
      <c r="B292" s="38" t="n">
        <v>46225.7394791667</v>
      </c>
      <c r="C292" s="37" t="s">
        <v>320</v>
      </c>
      <c r="D292" s="37" t="s">
        <v>618</v>
      </c>
      <c r="E292" s="37" t="n">
        <v>21635100</v>
      </c>
      <c r="F292" s="37" t="s">
        <v>139</v>
      </c>
      <c r="G292" s="37" t="s">
        <v>198</v>
      </c>
      <c r="H292" s="37" t="s">
        <v>168</v>
      </c>
      <c r="I292" s="37" t="n">
        <v>27.4</v>
      </c>
      <c r="J292" s="39" t="n">
        <v>359.99</v>
      </c>
      <c r="K292" s="37" t="s">
        <v>322</v>
      </c>
      <c r="L292" s="39" t="n">
        <v>82.05</v>
      </c>
      <c r="M292" s="39" t="n">
        <v>54.1</v>
      </c>
      <c r="N292" s="39" t="n">
        <f aca="false">J292*Resumo!$C$7</f>
        <v>0.71998</v>
      </c>
      <c r="O292" s="39" t="n">
        <f aca="false">J292*Resumo!$C$8</f>
        <v>0.71998</v>
      </c>
      <c r="P292" s="39" t="n">
        <f aca="false">Resumo!$C$10*CEILING(I292/100,1)</f>
        <v>1</v>
      </c>
      <c r="Q292" s="39" t="n">
        <f aca="false">Resumo!$C$9</f>
        <v>11.9</v>
      </c>
      <c r="R292" s="39" t="n">
        <f aca="false">SUM(M292:Q292)*Resumo!$C$11</f>
        <v>3.7641978</v>
      </c>
      <c r="S292" s="39" t="n">
        <f aca="false">SUM(M292:R292)</f>
        <v>72.2041578</v>
      </c>
      <c r="T292" s="39" t="n">
        <f aca="false">S292/(1-Resumo!$C$5)</f>
        <v>82.0501793181818</v>
      </c>
      <c r="U292" s="39" t="n">
        <v>82.21</v>
      </c>
      <c r="V292" s="39" t="n">
        <f aca="false">J292*Resumo!$B$6</f>
        <v>0.35999</v>
      </c>
      <c r="W292" s="39" t="n">
        <f aca="false">J292*Resumo!$B$7</f>
        <v>0.71998</v>
      </c>
      <c r="X292" s="39" t="n">
        <f aca="false">Resumo!$B$9</f>
        <v>1</v>
      </c>
      <c r="Y292" s="39" t="n">
        <f aca="false">Resumo!$B$10*CEILING(I292/100,1)</f>
        <v>4.5</v>
      </c>
      <c r="Z292" s="39" t="n">
        <f aca="false">Resumo!$B$12*CEILING(I292,1)</f>
        <v>1.68</v>
      </c>
      <c r="AA292" s="39" t="n">
        <f aca="false">Resumo!$B$13*CEILING(I292,1)</f>
        <v>12.6</v>
      </c>
      <c r="AB292" s="39" t="n">
        <f aca="false">SUM(U292:AA292)</f>
        <v>103.06997</v>
      </c>
      <c r="AC292" s="39" t="n">
        <f aca="false">AB292/(1-Resumo!$B$5)</f>
        <v>117.124965909091</v>
      </c>
      <c r="AD292" s="39" t="n">
        <f aca="false">(AB292-AA292)/(1-Resumo!$B$5)</f>
        <v>102.806784090909</v>
      </c>
      <c r="AE292" s="39" t="n">
        <f aca="false">AC292-T292</f>
        <v>35.0747865909091</v>
      </c>
      <c r="AF292" s="40" t="n">
        <f aca="false">AC292/T292-1</f>
        <v>0.427479706715726</v>
      </c>
      <c r="AG292" s="37" t="str">
        <f aca="false">IF(AC292&lt;T292,"SIM","NÃO")</f>
        <v>NÃO</v>
      </c>
      <c r="AH292" s="37" t="n">
        <v>8</v>
      </c>
      <c r="AI292" s="37" t="n">
        <v>5</v>
      </c>
      <c r="AJ292" s="37" t="s">
        <v>323</v>
      </c>
    </row>
    <row r="293" customFormat="false" ht="15" hidden="false" customHeight="false" outlineLevel="0" collapsed="false">
      <c r="A293" s="37" t="n">
        <v>363848931</v>
      </c>
      <c r="B293" s="38" t="n">
        <v>46225.8247800926</v>
      </c>
      <c r="C293" s="37" t="s">
        <v>320</v>
      </c>
      <c r="D293" s="37" t="s">
        <v>619</v>
      </c>
      <c r="E293" s="37" t="n">
        <v>24910750</v>
      </c>
      <c r="F293" s="37" t="s">
        <v>151</v>
      </c>
      <c r="G293" s="37" t="s">
        <v>201</v>
      </c>
      <c r="H293" s="37" t="s">
        <v>169</v>
      </c>
      <c r="I293" s="37" t="n">
        <v>40</v>
      </c>
      <c r="J293" s="39" t="n">
        <v>599.99</v>
      </c>
      <c r="K293" s="37" t="s">
        <v>498</v>
      </c>
      <c r="L293" s="39" t="n">
        <v>125.1</v>
      </c>
      <c r="M293" s="39" t="n">
        <v>87.4</v>
      </c>
      <c r="N293" s="39" t="n">
        <f aca="false">J293*Resumo!$C$7</f>
        <v>1.19998</v>
      </c>
      <c r="O293" s="39" t="n">
        <f aca="false">J293*Resumo!$C$8</f>
        <v>1.19998</v>
      </c>
      <c r="P293" s="39" t="n">
        <f aca="false">Resumo!$C$10*CEILING(I293/100,1)</f>
        <v>1</v>
      </c>
      <c r="Q293" s="39" t="n">
        <f aca="false">Resumo!$C$9</f>
        <v>11.9</v>
      </c>
      <c r="R293" s="39" t="n">
        <f aca="false">SUM(M293:Q293)*Resumo!$C$11</f>
        <v>5.6484978</v>
      </c>
      <c r="S293" s="39" t="n">
        <f aca="false">SUM(M293:R293)</f>
        <v>108.3484578</v>
      </c>
      <c r="T293" s="39" t="n">
        <f aca="false">S293/(1-Resumo!$C$5)</f>
        <v>123.1232475</v>
      </c>
      <c r="U293" s="39" t="n">
        <v>114.95</v>
      </c>
      <c r="V293" s="39" t="n">
        <f aca="false">J293*Resumo!$B$6</f>
        <v>0.59999</v>
      </c>
      <c r="W293" s="39" t="n">
        <f aca="false">J293*Resumo!$B$7</f>
        <v>1.19998</v>
      </c>
      <c r="X293" s="39" t="n">
        <f aca="false">Resumo!$B$9</f>
        <v>1</v>
      </c>
      <c r="Y293" s="39" t="n">
        <f aca="false">Resumo!$B$10*CEILING(I293/100,1)</f>
        <v>4.5</v>
      </c>
      <c r="Z293" s="39" t="n">
        <f aca="false">Resumo!$B$12*CEILING(I293,1)</f>
        <v>2.4</v>
      </c>
      <c r="AA293" s="39" t="n">
        <f aca="false">Resumo!$B$13*CEILING(I293,1)</f>
        <v>18</v>
      </c>
      <c r="AB293" s="39" t="n">
        <f aca="false">SUM(U293:AA293)</f>
        <v>142.64997</v>
      </c>
      <c r="AC293" s="39" t="n">
        <f aca="false">AB293/(1-Resumo!$B$5)</f>
        <v>162.102238636364</v>
      </c>
      <c r="AD293" s="39" t="n">
        <f aca="false">(AB293-AA293)/(1-Resumo!$B$5)</f>
        <v>141.647693181818</v>
      </c>
      <c r="AE293" s="39" t="n">
        <f aca="false">AC293-T293</f>
        <v>38.9789911363636</v>
      </c>
      <c r="AF293" s="40" t="n">
        <f aca="false">AC293/T293-1</f>
        <v>0.316585144786435</v>
      </c>
      <c r="AG293" s="37" t="str">
        <f aca="false">IF(AC293&lt;T293,"SIM","NÃO")</f>
        <v>NÃO</v>
      </c>
      <c r="AH293" s="37" t="n">
        <v>13</v>
      </c>
      <c r="AI293" s="37" t="n">
        <v>7</v>
      </c>
      <c r="AJ293" s="37" t="s">
        <v>323</v>
      </c>
    </row>
    <row r="294" customFormat="false" ht="15" hidden="false" customHeight="false" outlineLevel="0" collapsed="false">
      <c r="A294" s="37" t="n">
        <v>363872952</v>
      </c>
      <c r="B294" s="38" t="n">
        <v>46225.8529166667</v>
      </c>
      <c r="C294" s="37" t="s">
        <v>320</v>
      </c>
      <c r="D294" s="37" t="s">
        <v>620</v>
      </c>
      <c r="E294" s="37" t="n">
        <v>20211350</v>
      </c>
      <c r="F294" s="37" t="s">
        <v>139</v>
      </c>
      <c r="G294" s="37" t="s">
        <v>198</v>
      </c>
      <c r="H294" s="37" t="s">
        <v>171</v>
      </c>
      <c r="I294" s="37" t="n">
        <v>52.3</v>
      </c>
      <c r="J294" s="39" t="n">
        <v>699.99</v>
      </c>
      <c r="K294" s="37" t="s">
        <v>498</v>
      </c>
      <c r="L294" s="39" t="n">
        <v>113.63</v>
      </c>
      <c r="M294" s="39" t="n">
        <v>79.81</v>
      </c>
      <c r="N294" s="39" t="n">
        <f aca="false">J294*Resumo!$C$7</f>
        <v>1.39998</v>
      </c>
      <c r="O294" s="39" t="n">
        <f aca="false">J294*Resumo!$C$8</f>
        <v>1.39998</v>
      </c>
      <c r="P294" s="39" t="n">
        <f aca="false">Resumo!$C$10*CEILING(I294/100,1)</f>
        <v>1</v>
      </c>
      <c r="Q294" s="39" t="n">
        <f aca="false">Resumo!$C$9</f>
        <v>11.9</v>
      </c>
      <c r="R294" s="39" t="n">
        <f aca="false">SUM(M294:Q294)*Resumo!$C$11</f>
        <v>5.2530478</v>
      </c>
      <c r="S294" s="39" t="n">
        <f aca="false">SUM(M294:R294)</f>
        <v>100.7630078</v>
      </c>
      <c r="T294" s="39" t="n">
        <f aca="false">S294/(1-Resumo!$C$5)</f>
        <v>114.503417954545</v>
      </c>
      <c r="U294" s="39" t="n">
        <v>112.3</v>
      </c>
      <c r="V294" s="39" t="n">
        <f aca="false">J294*Resumo!$B$6</f>
        <v>0.69999</v>
      </c>
      <c r="W294" s="39" t="n">
        <f aca="false">J294*Resumo!$B$7</f>
        <v>1.39998</v>
      </c>
      <c r="X294" s="39" t="n">
        <f aca="false">Resumo!$B$9</f>
        <v>1</v>
      </c>
      <c r="Y294" s="39" t="n">
        <f aca="false">Resumo!$B$10*CEILING(I294/100,1)</f>
        <v>4.5</v>
      </c>
      <c r="Z294" s="39" t="n">
        <f aca="false">Resumo!$B$12*CEILING(I294,1)</f>
        <v>3.18</v>
      </c>
      <c r="AA294" s="39" t="n">
        <f aca="false">Resumo!$B$13*CEILING(I294,1)</f>
        <v>23.85</v>
      </c>
      <c r="AB294" s="39" t="n">
        <f aca="false">SUM(U294:AA294)</f>
        <v>146.92997</v>
      </c>
      <c r="AC294" s="39" t="n">
        <f aca="false">AB294/(1-Resumo!$B$5)</f>
        <v>166.965875</v>
      </c>
      <c r="AD294" s="39" t="n">
        <f aca="false">(AB294-AA294)/(1-Resumo!$B$5)</f>
        <v>139.863602272727</v>
      </c>
      <c r="AE294" s="39" t="n">
        <f aca="false">AC294-T294</f>
        <v>52.4624570454545</v>
      </c>
      <c r="AF294" s="40" t="n">
        <f aca="false">AC294/T294-1</f>
        <v>0.458173720772952</v>
      </c>
      <c r="AG294" s="37" t="str">
        <f aca="false">IF(AC294&lt;T294,"SIM","NÃO")</f>
        <v>NÃO</v>
      </c>
      <c r="AH294" s="37" t="n">
        <v>8</v>
      </c>
      <c r="AI294" s="37" t="n">
        <v>5</v>
      </c>
      <c r="AJ294" s="37" t="s">
        <v>323</v>
      </c>
    </row>
    <row r="295" customFormat="false" ht="15" hidden="false" customHeight="false" outlineLevel="0" collapsed="false">
      <c r="A295" s="37" t="n">
        <v>363897578</v>
      </c>
      <c r="B295" s="38" t="n">
        <v>46225.8781481482</v>
      </c>
      <c r="C295" s="37" t="s">
        <v>320</v>
      </c>
      <c r="D295" s="37" t="s">
        <v>621</v>
      </c>
      <c r="E295" s="37" t="n">
        <v>23510242</v>
      </c>
      <c r="F295" s="37" t="s">
        <v>139</v>
      </c>
      <c r="G295" s="37" t="s">
        <v>198</v>
      </c>
      <c r="H295" s="37" t="s">
        <v>170</v>
      </c>
      <c r="I295" s="37" t="n">
        <v>43.5</v>
      </c>
      <c r="J295" s="39" t="n">
        <v>769.99</v>
      </c>
      <c r="K295" s="37" t="s">
        <v>498</v>
      </c>
      <c r="L295" s="39" t="n">
        <v>103.63</v>
      </c>
      <c r="M295" s="39" t="n">
        <v>71</v>
      </c>
      <c r="N295" s="39" t="n">
        <f aca="false">J295*Resumo!$C$7</f>
        <v>1.53998</v>
      </c>
      <c r="O295" s="39" t="n">
        <f aca="false">J295*Resumo!$C$8</f>
        <v>1.53998</v>
      </c>
      <c r="P295" s="39" t="n">
        <f aca="false">Resumo!$C$10*CEILING(I295/100,1)</f>
        <v>1</v>
      </c>
      <c r="Q295" s="39" t="n">
        <f aca="false">Resumo!$C$9</f>
        <v>11.9</v>
      </c>
      <c r="R295" s="39" t="n">
        <f aca="false">SUM(M295:Q295)*Resumo!$C$11</f>
        <v>4.7838978</v>
      </c>
      <c r="S295" s="39" t="n">
        <f aca="false">SUM(M295:R295)</f>
        <v>91.7638578</v>
      </c>
      <c r="T295" s="39" t="n">
        <f aca="false">S295/(1-Resumo!$C$5)</f>
        <v>104.277111136364</v>
      </c>
      <c r="U295" s="39" t="n">
        <v>93.97</v>
      </c>
      <c r="V295" s="39" t="n">
        <f aca="false">J295*Resumo!$B$6</f>
        <v>0.76999</v>
      </c>
      <c r="W295" s="39" t="n">
        <f aca="false">J295*Resumo!$B$7</f>
        <v>1.53998</v>
      </c>
      <c r="X295" s="39" t="n">
        <f aca="false">Resumo!$B$9</f>
        <v>1</v>
      </c>
      <c r="Y295" s="39" t="n">
        <f aca="false">Resumo!$B$10*CEILING(I295/100,1)</f>
        <v>4.5</v>
      </c>
      <c r="Z295" s="39" t="n">
        <f aca="false">Resumo!$B$12*CEILING(I295,1)</f>
        <v>2.64</v>
      </c>
      <c r="AA295" s="39" t="n">
        <f aca="false">Resumo!$B$13*CEILING(I295,1)</f>
        <v>19.8</v>
      </c>
      <c r="AB295" s="39" t="n">
        <f aca="false">SUM(U295:AA295)</f>
        <v>124.21997</v>
      </c>
      <c r="AC295" s="39" t="n">
        <f aca="false">AB295/(1-Resumo!$B$5)</f>
        <v>141.159056818182</v>
      </c>
      <c r="AD295" s="39" t="n">
        <f aca="false">(AB295-AA295)/(1-Resumo!$B$5)</f>
        <v>118.659056818182</v>
      </c>
      <c r="AE295" s="39" t="n">
        <f aca="false">AC295-T295</f>
        <v>36.8819456818182</v>
      </c>
      <c r="AF295" s="40" t="n">
        <f aca="false">AC295/T295-1</f>
        <v>0.353691670970703</v>
      </c>
      <c r="AG295" s="37" t="str">
        <f aca="false">IF(AC295&lt;T295,"SIM","NÃO")</f>
        <v>NÃO</v>
      </c>
      <c r="AH295" s="37" t="n">
        <v>8</v>
      </c>
      <c r="AI295" s="37" t="n">
        <v>5</v>
      </c>
      <c r="AJ295" s="37" t="s">
        <v>323</v>
      </c>
    </row>
    <row r="296" customFormat="false" ht="15" hidden="false" customHeight="false" outlineLevel="0" collapsed="false">
      <c r="A296" s="37" t="n">
        <v>363921126</v>
      </c>
      <c r="B296" s="38" t="n">
        <v>46225.8906365741</v>
      </c>
      <c r="C296" s="37" t="s">
        <v>517</v>
      </c>
      <c r="D296" s="37" t="s">
        <v>622</v>
      </c>
      <c r="E296" s="37" t="n">
        <v>22730305</v>
      </c>
      <c r="F296" s="37" t="s">
        <v>139</v>
      </c>
      <c r="G296" s="37" t="s">
        <v>198</v>
      </c>
      <c r="H296" s="37" t="s">
        <v>170</v>
      </c>
      <c r="I296" s="37" t="n">
        <v>49.6</v>
      </c>
      <c r="J296" s="39" t="n">
        <v>649.79</v>
      </c>
      <c r="K296" s="37" t="s">
        <v>322</v>
      </c>
      <c r="L296" s="39" t="n">
        <v>103.7</v>
      </c>
      <c r="M296" s="39" t="n">
        <v>71</v>
      </c>
      <c r="N296" s="39" t="n">
        <f aca="false">J296*Resumo!$C$7</f>
        <v>1.29958</v>
      </c>
      <c r="O296" s="39" t="n">
        <f aca="false">J296*Resumo!$C$8</f>
        <v>1.29958</v>
      </c>
      <c r="P296" s="39" t="n">
        <f aca="false">Resumo!$C$10*CEILING(I296/100,1)</f>
        <v>1</v>
      </c>
      <c r="Q296" s="39" t="n">
        <f aca="false">Resumo!$C$9</f>
        <v>11.9</v>
      </c>
      <c r="R296" s="39" t="n">
        <f aca="false">SUM(M296:Q296)*Resumo!$C$11</f>
        <v>4.7574538</v>
      </c>
      <c r="S296" s="39" t="n">
        <f aca="false">SUM(M296:R296)</f>
        <v>91.2566138</v>
      </c>
      <c r="T296" s="39" t="n">
        <f aca="false">S296/(1-Resumo!$C$5)</f>
        <v>103.7006975</v>
      </c>
      <c r="U296" s="39" t="n">
        <v>93.97</v>
      </c>
      <c r="V296" s="39" t="n">
        <f aca="false">J296*Resumo!$B$6</f>
        <v>0.64979</v>
      </c>
      <c r="W296" s="39" t="n">
        <f aca="false">J296*Resumo!$B$7</f>
        <v>1.29958</v>
      </c>
      <c r="X296" s="39" t="n">
        <f aca="false">Resumo!$B$9</f>
        <v>1</v>
      </c>
      <c r="Y296" s="39" t="n">
        <f aca="false">Resumo!$B$10*CEILING(I296/100,1)</f>
        <v>4.5</v>
      </c>
      <c r="Z296" s="39" t="n">
        <f aca="false">Resumo!$B$12*CEILING(I296,1)</f>
        <v>3</v>
      </c>
      <c r="AA296" s="39" t="n">
        <f aca="false">Resumo!$B$13*CEILING(I296,1)</f>
        <v>22.5</v>
      </c>
      <c r="AB296" s="39" t="n">
        <f aca="false">SUM(U296:AA296)</f>
        <v>126.91937</v>
      </c>
      <c r="AC296" s="39" t="n">
        <f aca="false">AB296/(1-Resumo!$B$5)</f>
        <v>144.226556818182</v>
      </c>
      <c r="AD296" s="39" t="n">
        <f aca="false">(AB296-AA296)/(1-Resumo!$B$5)</f>
        <v>118.658375</v>
      </c>
      <c r="AE296" s="39" t="n">
        <f aca="false">AC296-T296</f>
        <v>40.5258593181818</v>
      </c>
      <c r="AF296" s="40" t="n">
        <f aca="false">AC296/T296-1</f>
        <v>0.39079640055634</v>
      </c>
      <c r="AG296" s="37" t="str">
        <f aca="false">IF(AC296&lt;T296,"SIM","NÃO")</f>
        <v>NÃO</v>
      </c>
      <c r="AH296" s="37" t="n">
        <v>8</v>
      </c>
      <c r="AI296" s="37" t="n">
        <v>5</v>
      </c>
      <c r="AJ296" s="37" t="s">
        <v>323</v>
      </c>
    </row>
    <row r="297" customFormat="false" ht="15" hidden="false" customHeight="false" outlineLevel="0" collapsed="false">
      <c r="A297" s="37" t="n">
        <v>363993202</v>
      </c>
      <c r="B297" s="38" t="n">
        <v>46226.0095486111</v>
      </c>
      <c r="C297" s="37" t="s">
        <v>320</v>
      </c>
      <c r="D297" s="37" t="s">
        <v>623</v>
      </c>
      <c r="E297" s="37" t="n">
        <v>21670380</v>
      </c>
      <c r="F297" s="37" t="s">
        <v>139</v>
      </c>
      <c r="G297" s="37" t="s">
        <v>198</v>
      </c>
      <c r="H297" s="37" t="s">
        <v>171</v>
      </c>
      <c r="I297" s="37" t="n">
        <v>52.3</v>
      </c>
      <c r="J297" s="39" t="n">
        <v>619.99</v>
      </c>
      <c r="K297" s="37" t="s">
        <v>498</v>
      </c>
      <c r="L297" s="39" t="n">
        <v>113.24</v>
      </c>
      <c r="M297" s="39" t="n">
        <v>79.81</v>
      </c>
      <c r="N297" s="39" t="n">
        <f aca="false">J297*Resumo!$C$7</f>
        <v>1.23998</v>
      </c>
      <c r="O297" s="39" t="n">
        <f aca="false">J297*Resumo!$C$8</f>
        <v>1.23998</v>
      </c>
      <c r="P297" s="39" t="n">
        <f aca="false">Resumo!$C$10*CEILING(I297/100,1)</f>
        <v>1</v>
      </c>
      <c r="Q297" s="39" t="n">
        <f aca="false">Resumo!$C$9</f>
        <v>11.9</v>
      </c>
      <c r="R297" s="39" t="n">
        <f aca="false">SUM(M297:Q297)*Resumo!$C$11</f>
        <v>5.2354478</v>
      </c>
      <c r="S297" s="39" t="n">
        <f aca="false">SUM(M297:R297)</f>
        <v>100.4254078</v>
      </c>
      <c r="T297" s="39" t="n">
        <f aca="false">S297/(1-Resumo!$C$5)</f>
        <v>114.119781590909</v>
      </c>
      <c r="U297" s="39" t="n">
        <v>112.3</v>
      </c>
      <c r="V297" s="39" t="n">
        <f aca="false">J297*Resumo!$B$6</f>
        <v>0.61999</v>
      </c>
      <c r="W297" s="39" t="n">
        <f aca="false">J297*Resumo!$B$7</f>
        <v>1.23998</v>
      </c>
      <c r="X297" s="39" t="n">
        <f aca="false">Resumo!$B$9</f>
        <v>1</v>
      </c>
      <c r="Y297" s="39" t="n">
        <f aca="false">Resumo!$B$10*CEILING(I297/100,1)</f>
        <v>4.5</v>
      </c>
      <c r="Z297" s="39" t="n">
        <f aca="false">Resumo!$B$12*CEILING(I297,1)</f>
        <v>3.18</v>
      </c>
      <c r="AA297" s="39" t="n">
        <f aca="false">Resumo!$B$13*CEILING(I297,1)</f>
        <v>23.85</v>
      </c>
      <c r="AB297" s="39" t="n">
        <f aca="false">SUM(U297:AA297)</f>
        <v>146.68997</v>
      </c>
      <c r="AC297" s="39" t="n">
        <f aca="false">AB297/(1-Resumo!$B$5)</f>
        <v>166.693147727273</v>
      </c>
      <c r="AD297" s="39" t="n">
        <f aca="false">(AB297-AA297)/(1-Resumo!$B$5)</f>
        <v>139.590875</v>
      </c>
      <c r="AE297" s="39" t="n">
        <f aca="false">AC297-T297</f>
        <v>52.5733661363636</v>
      </c>
      <c r="AF297" s="40" t="n">
        <f aca="false">AC297/T297-1</f>
        <v>0.460685828551846</v>
      </c>
      <c r="AG297" s="37" t="str">
        <f aca="false">IF(AC297&lt;T297,"SIM","NÃO")</f>
        <v>NÃO</v>
      </c>
      <c r="AH297" s="37" t="n">
        <v>8</v>
      </c>
      <c r="AI297" s="37" t="n">
        <v>5</v>
      </c>
      <c r="AJ297" s="37" t="s">
        <v>323</v>
      </c>
    </row>
    <row r="298" customFormat="false" ht="15" hidden="false" customHeight="false" outlineLevel="0" collapsed="false">
      <c r="A298" s="37" t="n">
        <v>364021104</v>
      </c>
      <c r="B298" s="38" t="n">
        <v>46226.0633449074</v>
      </c>
      <c r="C298" s="37" t="s">
        <v>320</v>
      </c>
      <c r="D298" s="37" t="s">
        <v>624</v>
      </c>
      <c r="E298" s="37" t="n">
        <v>20520160</v>
      </c>
      <c r="F298" s="37" t="s">
        <v>139</v>
      </c>
      <c r="G298" s="37" t="s">
        <v>198</v>
      </c>
      <c r="H298" s="37" t="s">
        <v>171</v>
      </c>
      <c r="I298" s="37" t="n">
        <v>52.3</v>
      </c>
      <c r="J298" s="39" t="n">
        <v>643.99</v>
      </c>
      <c r="K298" s="37" t="s">
        <v>498</v>
      </c>
      <c r="L298" s="39" t="n">
        <v>113.35</v>
      </c>
      <c r="M298" s="39" t="n">
        <v>79.81</v>
      </c>
      <c r="N298" s="39" t="n">
        <f aca="false">J298*Resumo!$C$7</f>
        <v>1.28798</v>
      </c>
      <c r="O298" s="39" t="n">
        <f aca="false">J298*Resumo!$C$8</f>
        <v>1.28798</v>
      </c>
      <c r="P298" s="39" t="n">
        <f aca="false">Resumo!$C$10*CEILING(I298/100,1)</f>
        <v>1</v>
      </c>
      <c r="Q298" s="39" t="n">
        <f aca="false">Resumo!$C$9</f>
        <v>11.9</v>
      </c>
      <c r="R298" s="39" t="n">
        <f aca="false">SUM(M298:Q298)*Resumo!$C$11</f>
        <v>5.2407278</v>
      </c>
      <c r="S298" s="39" t="n">
        <f aca="false">SUM(M298:R298)</f>
        <v>100.5266878</v>
      </c>
      <c r="T298" s="39" t="n">
        <f aca="false">S298/(1-Resumo!$C$5)</f>
        <v>114.2348725</v>
      </c>
      <c r="U298" s="39" t="n">
        <v>112.3</v>
      </c>
      <c r="V298" s="39" t="n">
        <f aca="false">J298*Resumo!$B$6</f>
        <v>0.64399</v>
      </c>
      <c r="W298" s="39" t="n">
        <f aca="false">J298*Resumo!$B$7</f>
        <v>1.28798</v>
      </c>
      <c r="X298" s="39" t="n">
        <f aca="false">Resumo!$B$9</f>
        <v>1</v>
      </c>
      <c r="Y298" s="39" t="n">
        <f aca="false">Resumo!$B$10*CEILING(I298/100,1)</f>
        <v>4.5</v>
      </c>
      <c r="Z298" s="39" t="n">
        <f aca="false">Resumo!$B$12*CEILING(I298,1)</f>
        <v>3.18</v>
      </c>
      <c r="AA298" s="39" t="n">
        <f aca="false">Resumo!$B$13*CEILING(I298,1)</f>
        <v>23.85</v>
      </c>
      <c r="AB298" s="39" t="n">
        <f aca="false">SUM(U298:AA298)</f>
        <v>146.76197</v>
      </c>
      <c r="AC298" s="39" t="n">
        <f aca="false">AB298/(1-Resumo!$B$5)</f>
        <v>166.774965909091</v>
      </c>
      <c r="AD298" s="39" t="n">
        <f aca="false">(AB298-AA298)/(1-Resumo!$B$5)</f>
        <v>139.672693181818</v>
      </c>
      <c r="AE298" s="39" t="n">
        <f aca="false">AC298-T298</f>
        <v>52.5400934090909</v>
      </c>
      <c r="AF298" s="40" t="n">
        <f aca="false">AC298/T298-1</f>
        <v>0.459930424565326</v>
      </c>
      <c r="AG298" s="37" t="str">
        <f aca="false">IF(AC298&lt;T298,"SIM","NÃO")</f>
        <v>NÃO</v>
      </c>
      <c r="AH298" s="37" t="n">
        <v>8</v>
      </c>
      <c r="AI298" s="37" t="n">
        <v>5</v>
      </c>
      <c r="AJ298" s="37" t="s">
        <v>323</v>
      </c>
    </row>
    <row r="299" customFormat="false" ht="15" hidden="false" customHeight="false" outlineLevel="0" collapsed="false">
      <c r="A299" s="37" t="n">
        <v>364057799</v>
      </c>
      <c r="B299" s="38" t="n">
        <v>46226.1292476852</v>
      </c>
      <c r="C299" s="37" t="s">
        <v>320</v>
      </c>
      <c r="D299" s="37" t="s">
        <v>625</v>
      </c>
      <c r="E299" s="37" t="n">
        <v>21235535</v>
      </c>
      <c r="F299" s="37" t="s">
        <v>139</v>
      </c>
      <c r="G299" s="37" t="s">
        <v>198</v>
      </c>
      <c r="H299" s="37" t="s">
        <v>168</v>
      </c>
      <c r="I299" s="37" t="n">
        <v>31</v>
      </c>
      <c r="J299" s="39" t="n">
        <v>297.99</v>
      </c>
      <c r="K299" s="37" t="s">
        <v>498</v>
      </c>
      <c r="L299" s="39" t="n">
        <v>81.73</v>
      </c>
      <c r="M299" s="39" t="n">
        <v>54.1</v>
      </c>
      <c r="N299" s="39" t="n">
        <f aca="false">J299*Resumo!$C$7</f>
        <v>0.59598</v>
      </c>
      <c r="O299" s="39" t="n">
        <f aca="false">J299*Resumo!$C$8</f>
        <v>0.59598</v>
      </c>
      <c r="P299" s="39" t="n">
        <f aca="false">Resumo!$C$10*CEILING(I299/100,1)</f>
        <v>1</v>
      </c>
      <c r="Q299" s="39" t="n">
        <f aca="false">Resumo!$C$9</f>
        <v>11.9</v>
      </c>
      <c r="R299" s="39" t="n">
        <f aca="false">SUM(M299:Q299)*Resumo!$C$11</f>
        <v>3.7505578</v>
      </c>
      <c r="S299" s="39" t="n">
        <f aca="false">SUM(M299:R299)</f>
        <v>71.9425178</v>
      </c>
      <c r="T299" s="39" t="n">
        <f aca="false">S299/(1-Resumo!$C$5)</f>
        <v>81.7528611363636</v>
      </c>
      <c r="U299" s="39" t="n">
        <v>82.21</v>
      </c>
      <c r="V299" s="39" t="n">
        <f aca="false">J299*Resumo!$B$6</f>
        <v>0.29799</v>
      </c>
      <c r="W299" s="39" t="n">
        <f aca="false">J299*Resumo!$B$7</f>
        <v>0.59598</v>
      </c>
      <c r="X299" s="39" t="n">
        <f aca="false">Resumo!$B$9</f>
        <v>1</v>
      </c>
      <c r="Y299" s="39" t="n">
        <f aca="false">Resumo!$B$10*CEILING(I299/100,1)</f>
        <v>4.5</v>
      </c>
      <c r="Z299" s="39" t="n">
        <f aca="false">Resumo!$B$12*CEILING(I299,1)</f>
        <v>1.86</v>
      </c>
      <c r="AA299" s="39" t="n">
        <f aca="false">Resumo!$B$13*CEILING(I299,1)</f>
        <v>13.95</v>
      </c>
      <c r="AB299" s="39" t="n">
        <f aca="false">SUM(U299:AA299)</f>
        <v>104.41397</v>
      </c>
      <c r="AC299" s="39" t="n">
        <f aca="false">AB299/(1-Resumo!$B$5)</f>
        <v>118.652238636364</v>
      </c>
      <c r="AD299" s="39" t="n">
        <f aca="false">(AB299-AA299)/(1-Resumo!$B$5)</f>
        <v>102.799965909091</v>
      </c>
      <c r="AE299" s="39" t="n">
        <f aca="false">AC299-T299</f>
        <v>36.8993775</v>
      </c>
      <c r="AF299" s="40" t="n">
        <f aca="false">AC299/T299-1</f>
        <v>0.451352735391755</v>
      </c>
      <c r="AG299" s="37" t="str">
        <f aca="false">IF(AC299&lt;T299,"SIM","NÃO")</f>
        <v>NÃO</v>
      </c>
      <c r="AH299" s="37" t="n">
        <v>8</v>
      </c>
      <c r="AI299" s="37" t="n">
        <v>5</v>
      </c>
      <c r="AJ299" s="37" t="s">
        <v>323</v>
      </c>
    </row>
    <row r="300" customFormat="false" ht="15" hidden="false" customHeight="false" outlineLevel="0" collapsed="false">
      <c r="A300" s="37" t="n">
        <v>364195273</v>
      </c>
      <c r="B300" s="38" t="n">
        <v>46226.3615740741</v>
      </c>
      <c r="C300" s="37" t="s">
        <v>320</v>
      </c>
      <c r="D300" s="37" t="s">
        <v>626</v>
      </c>
      <c r="E300" s="37" t="n">
        <v>26290198</v>
      </c>
      <c r="F300" s="37" t="s">
        <v>142</v>
      </c>
      <c r="G300" s="37" t="s">
        <v>207</v>
      </c>
      <c r="H300" s="37" t="s">
        <v>168</v>
      </c>
      <c r="I300" s="37" t="n">
        <v>31</v>
      </c>
      <c r="J300" s="39" t="n">
        <v>297.99</v>
      </c>
      <c r="K300" s="37" t="s">
        <v>498</v>
      </c>
      <c r="L300" s="39" t="n">
        <v>100.69</v>
      </c>
      <c r="M300" s="39" t="n">
        <v>70</v>
      </c>
      <c r="N300" s="39" t="n">
        <f aca="false">J300*Resumo!$C$7</f>
        <v>0.59598</v>
      </c>
      <c r="O300" s="39" t="n">
        <f aca="false">J300*Resumo!$C$8</f>
        <v>0.59598</v>
      </c>
      <c r="P300" s="39" t="n">
        <f aca="false">Resumo!$C$10*CEILING(I300/100,1)</f>
        <v>1</v>
      </c>
      <c r="Q300" s="39" t="n">
        <f aca="false">Resumo!$C$9</f>
        <v>11.9</v>
      </c>
      <c r="R300" s="39" t="n">
        <f aca="false">SUM(M300:Q300)*Resumo!$C$11</f>
        <v>4.6250578</v>
      </c>
      <c r="S300" s="39" t="n">
        <f aca="false">SUM(M300:R300)</f>
        <v>88.7170178</v>
      </c>
      <c r="T300" s="39" t="n">
        <f aca="false">S300/(1-Resumo!$C$5)</f>
        <v>100.814792954545</v>
      </c>
      <c r="U300" s="39" t="n">
        <v>82.21</v>
      </c>
      <c r="V300" s="39" t="n">
        <f aca="false">J300*Resumo!$B$6</f>
        <v>0.29799</v>
      </c>
      <c r="W300" s="39" t="n">
        <f aca="false">J300*Resumo!$B$7</f>
        <v>0.59598</v>
      </c>
      <c r="X300" s="39" t="n">
        <f aca="false">Resumo!$B$9</f>
        <v>1</v>
      </c>
      <c r="Y300" s="39" t="n">
        <f aca="false">Resumo!$B$10*CEILING(I300/100,1)</f>
        <v>4.5</v>
      </c>
      <c r="Z300" s="39" t="n">
        <f aca="false">Resumo!$B$12*CEILING(I300,1)</f>
        <v>1.86</v>
      </c>
      <c r="AA300" s="39" t="n">
        <f aca="false">Resumo!$B$13*CEILING(I300,1)</f>
        <v>13.95</v>
      </c>
      <c r="AB300" s="39" t="n">
        <f aca="false">SUM(U300:AA300)</f>
        <v>104.41397</v>
      </c>
      <c r="AC300" s="39" t="n">
        <f aca="false">AB300/(1-Resumo!$B$5)</f>
        <v>118.652238636364</v>
      </c>
      <c r="AD300" s="39" t="n">
        <f aca="false">(AB300-AA300)/(1-Resumo!$B$5)</f>
        <v>102.799965909091</v>
      </c>
      <c r="AE300" s="39" t="n">
        <f aca="false">AC300-T300</f>
        <v>17.8374456818182</v>
      </c>
      <c r="AF300" s="40" t="n">
        <f aca="false">AC300/T300-1</f>
        <v>0.176932820661156</v>
      </c>
      <c r="AG300" s="37" t="str">
        <f aca="false">IF(AC300&lt;T300,"SIM","NÃO")</f>
        <v>NÃO</v>
      </c>
      <c r="AH300" s="37" t="n">
        <v>10</v>
      </c>
      <c r="AI300" s="37" t="n">
        <v>5</v>
      </c>
      <c r="AJ300" s="37" t="s">
        <v>323</v>
      </c>
    </row>
    <row r="301" customFormat="false" ht="15" hidden="false" customHeight="false" outlineLevel="0" collapsed="false">
      <c r="A301" s="37" t="n">
        <v>364197304</v>
      </c>
      <c r="B301" s="38" t="n">
        <v>46226.3653819444</v>
      </c>
      <c r="C301" s="37" t="s">
        <v>359</v>
      </c>
      <c r="D301" s="37" t="s">
        <v>627</v>
      </c>
      <c r="E301" s="37" t="n">
        <v>22230080</v>
      </c>
      <c r="F301" s="37" t="s">
        <v>139</v>
      </c>
      <c r="G301" s="37" t="s">
        <v>198</v>
      </c>
      <c r="H301" s="37" t="s">
        <v>170</v>
      </c>
      <c r="I301" s="37" t="n">
        <v>41</v>
      </c>
      <c r="J301" s="39" t="n">
        <v>498.99</v>
      </c>
      <c r="K301" s="37" t="s">
        <v>498</v>
      </c>
      <c r="L301" s="39" t="n">
        <v>100.8</v>
      </c>
      <c r="M301" s="39" t="n">
        <v>71</v>
      </c>
      <c r="N301" s="39" t="n">
        <f aca="false">J301*Resumo!$C$7</f>
        <v>0.99798</v>
      </c>
      <c r="O301" s="39" t="n">
        <f aca="false">J301*Resumo!$C$8</f>
        <v>0.99798</v>
      </c>
      <c r="P301" s="39" t="n">
        <f aca="false">Resumo!$C$10*CEILING(I301/100,1)</f>
        <v>1</v>
      </c>
      <c r="Q301" s="39" t="n">
        <f aca="false">Resumo!$C$9</f>
        <v>11.9</v>
      </c>
      <c r="R301" s="39" t="n">
        <f aca="false">SUM(M301:Q301)*Resumo!$C$11</f>
        <v>4.7242778</v>
      </c>
      <c r="S301" s="39" t="n">
        <f aca="false">SUM(M301:R301)</f>
        <v>90.6202378</v>
      </c>
      <c r="T301" s="39" t="n">
        <f aca="false">S301/(1-Resumo!$C$5)</f>
        <v>102.977542954545</v>
      </c>
      <c r="U301" s="39" t="n">
        <v>93.97</v>
      </c>
      <c r="V301" s="39" t="n">
        <f aca="false">J301*Resumo!$B$6</f>
        <v>0.49899</v>
      </c>
      <c r="W301" s="39" t="n">
        <f aca="false">J301*Resumo!$B$7</f>
        <v>0.99798</v>
      </c>
      <c r="X301" s="39" t="n">
        <f aca="false">Resumo!$B$9</f>
        <v>1</v>
      </c>
      <c r="Y301" s="39" t="n">
        <f aca="false">Resumo!$B$10*CEILING(I301/100,1)</f>
        <v>4.5</v>
      </c>
      <c r="Z301" s="39" t="n">
        <f aca="false">Resumo!$B$12*CEILING(I301,1)</f>
        <v>2.46</v>
      </c>
      <c r="AA301" s="39" t="n">
        <f aca="false">Resumo!$B$13*CEILING(I301,1)</f>
        <v>18.45</v>
      </c>
      <c r="AB301" s="39" t="n">
        <f aca="false">SUM(U301:AA301)</f>
        <v>121.87697</v>
      </c>
      <c r="AC301" s="39" t="n">
        <f aca="false">AB301/(1-Resumo!$B$5)</f>
        <v>138.496556818182</v>
      </c>
      <c r="AD301" s="39" t="n">
        <f aca="false">(AB301-AA301)/(1-Resumo!$B$5)</f>
        <v>117.530647727273</v>
      </c>
      <c r="AE301" s="39" t="n">
        <f aca="false">AC301-T301</f>
        <v>35.5190138636364</v>
      </c>
      <c r="AF301" s="40" t="n">
        <f aca="false">AC301/T301-1</f>
        <v>0.344919997550481</v>
      </c>
      <c r="AG301" s="37" t="str">
        <f aca="false">IF(AC301&lt;T301,"SIM","NÃO")</f>
        <v>NÃO</v>
      </c>
      <c r="AH301" s="37" t="n">
        <v>8</v>
      </c>
      <c r="AI301" s="37" t="n">
        <v>5</v>
      </c>
      <c r="AJ301" s="37" t="s">
        <v>323</v>
      </c>
    </row>
    <row r="302" customFormat="false" ht="15" hidden="false" customHeight="false" outlineLevel="0" collapsed="false">
      <c r="A302" s="37" t="n">
        <v>364246264</v>
      </c>
      <c r="B302" s="38" t="n">
        <v>46226.4262037037</v>
      </c>
      <c r="C302" s="37" t="s">
        <v>320</v>
      </c>
      <c r="D302" s="37" t="s">
        <v>628</v>
      </c>
      <c r="E302" s="37" t="n">
        <v>25070330</v>
      </c>
      <c r="F302" s="37" t="s">
        <v>141</v>
      </c>
      <c r="G302" s="37" t="s">
        <v>207</v>
      </c>
      <c r="H302" s="37" t="s">
        <v>171</v>
      </c>
      <c r="I302" s="37" t="n">
        <v>52.3</v>
      </c>
      <c r="J302" s="39" t="n">
        <v>619.99</v>
      </c>
      <c r="K302" s="37" t="s">
        <v>498</v>
      </c>
      <c r="L302" s="39" t="n">
        <v>127.31</v>
      </c>
      <c r="M302" s="39" t="n">
        <v>91.6</v>
      </c>
      <c r="N302" s="39" t="n">
        <f aca="false">J302*Resumo!$C$7</f>
        <v>1.23998</v>
      </c>
      <c r="O302" s="39" t="n">
        <f aca="false">J302*Resumo!$C$8</f>
        <v>1.23998</v>
      </c>
      <c r="P302" s="39" t="n">
        <f aca="false">Resumo!$C$10*CEILING(I302/100,1)</f>
        <v>1</v>
      </c>
      <c r="Q302" s="39" t="n">
        <f aca="false">Resumo!$C$9</f>
        <v>11.9</v>
      </c>
      <c r="R302" s="39" t="n">
        <f aca="false">SUM(M302:Q302)*Resumo!$C$11</f>
        <v>5.8838978</v>
      </c>
      <c r="S302" s="39" t="n">
        <f aca="false">SUM(M302:R302)</f>
        <v>112.8638578</v>
      </c>
      <c r="T302" s="39" t="n">
        <f aca="false">S302/(1-Resumo!$C$5)</f>
        <v>128.254383863636</v>
      </c>
      <c r="U302" s="39" t="n">
        <v>112.3</v>
      </c>
      <c r="V302" s="39" t="n">
        <f aca="false">J302*Resumo!$B$6</f>
        <v>0.61999</v>
      </c>
      <c r="W302" s="39" t="n">
        <f aca="false">J302*Resumo!$B$7</f>
        <v>1.23998</v>
      </c>
      <c r="X302" s="39" t="n">
        <f aca="false">Resumo!$B$9</f>
        <v>1</v>
      </c>
      <c r="Y302" s="39" t="n">
        <f aca="false">Resumo!$B$10*CEILING(I302/100,1)</f>
        <v>4.5</v>
      </c>
      <c r="Z302" s="39" t="n">
        <f aca="false">Resumo!$B$12*CEILING(I302,1)</f>
        <v>3.18</v>
      </c>
      <c r="AA302" s="39" t="n">
        <f aca="false">Resumo!$B$13*CEILING(I302,1)</f>
        <v>23.85</v>
      </c>
      <c r="AB302" s="39" t="n">
        <f aca="false">SUM(U302:AA302)</f>
        <v>146.68997</v>
      </c>
      <c r="AC302" s="39" t="n">
        <f aca="false">AB302/(1-Resumo!$B$5)</f>
        <v>166.693147727273</v>
      </c>
      <c r="AD302" s="39" t="n">
        <f aca="false">(AB302-AA302)/(1-Resumo!$B$5)</f>
        <v>139.590875</v>
      </c>
      <c r="AE302" s="39" t="n">
        <f aca="false">AC302-T302</f>
        <v>38.4387638636364</v>
      </c>
      <c r="AF302" s="40" t="n">
        <f aca="false">AC302/T302-1</f>
        <v>0.29970721238274</v>
      </c>
      <c r="AG302" s="37" t="str">
        <f aca="false">IF(AC302&lt;T302,"SIM","NÃO")</f>
        <v>NÃO</v>
      </c>
      <c r="AH302" s="37" t="n">
        <v>10</v>
      </c>
      <c r="AI302" s="37" t="n">
        <v>5</v>
      </c>
      <c r="AJ302" s="37" t="s">
        <v>323</v>
      </c>
    </row>
    <row r="303" customFormat="false" ht="15" hidden="false" customHeight="false" outlineLevel="0" collapsed="false">
      <c r="A303" s="37" t="n">
        <v>364267881</v>
      </c>
      <c r="B303" s="38" t="n">
        <v>46226.4576736111</v>
      </c>
      <c r="C303" s="37" t="s">
        <v>325</v>
      </c>
      <c r="D303" s="37" t="s">
        <v>629</v>
      </c>
      <c r="E303" s="37" t="n">
        <v>23076360</v>
      </c>
      <c r="F303" s="37" t="s">
        <v>139</v>
      </c>
      <c r="G303" s="37" t="s">
        <v>198</v>
      </c>
      <c r="H303" s="37" t="s">
        <v>169</v>
      </c>
      <c r="I303" s="37" t="n">
        <v>37.5</v>
      </c>
      <c r="J303" s="39" t="n">
        <v>418.48</v>
      </c>
      <c r="K303" s="37" t="s">
        <v>498</v>
      </c>
      <c r="L303" s="39" t="n">
        <v>92.97</v>
      </c>
      <c r="M303" s="39" t="n">
        <v>62.05</v>
      </c>
      <c r="N303" s="39" t="n">
        <f aca="false">J303*Resumo!$C$7</f>
        <v>0.83696</v>
      </c>
      <c r="O303" s="39" t="n">
        <f aca="false">J303*Resumo!$C$8</f>
        <v>0.83696</v>
      </c>
      <c r="P303" s="39" t="n">
        <f aca="false">Resumo!$C$10*CEILING(I303/100,1)</f>
        <v>1</v>
      </c>
      <c r="Q303" s="39" t="n">
        <f aca="false">Resumo!$C$9</f>
        <v>11.9</v>
      </c>
      <c r="R303" s="39" t="n">
        <f aca="false">SUM(M303:Q303)*Resumo!$C$11</f>
        <v>4.2143156</v>
      </c>
      <c r="S303" s="39" t="n">
        <f aca="false">SUM(M303:R303)</f>
        <v>80.8382356</v>
      </c>
      <c r="T303" s="39" t="n">
        <f aca="false">S303/(1-Resumo!$C$5)</f>
        <v>91.8616313636364</v>
      </c>
      <c r="U303" s="39" t="n">
        <v>93.97</v>
      </c>
      <c r="V303" s="39" t="n">
        <f aca="false">J303*Resumo!$B$6</f>
        <v>0.41848</v>
      </c>
      <c r="W303" s="39" t="n">
        <f aca="false">J303*Resumo!$B$7</f>
        <v>0.83696</v>
      </c>
      <c r="X303" s="39" t="n">
        <f aca="false">Resumo!$B$9</f>
        <v>1</v>
      </c>
      <c r="Y303" s="39" t="n">
        <f aca="false">Resumo!$B$10*CEILING(I303/100,1)</f>
        <v>4.5</v>
      </c>
      <c r="Z303" s="39" t="n">
        <f aca="false">Resumo!$B$12*CEILING(I303,1)</f>
        <v>2.28</v>
      </c>
      <c r="AA303" s="39" t="n">
        <f aca="false">Resumo!$B$13*CEILING(I303,1)</f>
        <v>17.1</v>
      </c>
      <c r="AB303" s="39" t="n">
        <f aca="false">SUM(U303:AA303)</f>
        <v>120.10544</v>
      </c>
      <c r="AC303" s="39" t="n">
        <f aca="false">AB303/(1-Resumo!$B$5)</f>
        <v>136.483454545455</v>
      </c>
      <c r="AD303" s="39" t="n">
        <f aca="false">(AB303-AA303)/(1-Resumo!$B$5)</f>
        <v>117.051636363636</v>
      </c>
      <c r="AE303" s="39" t="n">
        <f aca="false">AC303-T303</f>
        <v>44.6218231818182</v>
      </c>
      <c r="AF303" s="40" t="n">
        <f aca="false">AC303/T303-1</f>
        <v>0.485750389138874</v>
      </c>
      <c r="AG303" s="37" t="str">
        <f aca="false">IF(AC303&lt;T303,"SIM","NÃO")</f>
        <v>NÃO</v>
      </c>
      <c r="AH303" s="37" t="n">
        <v>8</v>
      </c>
      <c r="AI303" s="37" t="n">
        <v>5</v>
      </c>
      <c r="AJ303" s="37" t="s">
        <v>323</v>
      </c>
    </row>
    <row r="304" customFormat="false" ht="15" hidden="false" customHeight="false" outlineLevel="0" collapsed="false">
      <c r="A304" s="37" t="n">
        <v>364296101</v>
      </c>
      <c r="B304" s="38" t="n">
        <v>46226.4911226852</v>
      </c>
      <c r="C304" s="37" t="s">
        <v>325</v>
      </c>
      <c r="D304" s="37" t="s">
        <v>630</v>
      </c>
      <c r="E304" s="37" t="n">
        <v>28050003</v>
      </c>
      <c r="F304" s="37" t="s">
        <v>144</v>
      </c>
      <c r="G304" s="37" t="s">
        <v>201</v>
      </c>
      <c r="H304" s="37" t="s">
        <v>168</v>
      </c>
      <c r="I304" s="37" t="n">
        <v>34.6</v>
      </c>
      <c r="J304" s="39" t="n">
        <v>629</v>
      </c>
      <c r="K304" s="37" t="s">
        <v>498</v>
      </c>
      <c r="L304" s="39" t="n">
        <v>112.07</v>
      </c>
      <c r="M304" s="39" t="n">
        <v>76.5</v>
      </c>
      <c r="N304" s="39" t="n">
        <f aca="false">J304*Resumo!$C$7</f>
        <v>1.258</v>
      </c>
      <c r="O304" s="39" t="n">
        <f aca="false">J304*Resumo!$C$8</f>
        <v>1.258</v>
      </c>
      <c r="P304" s="39" t="n">
        <f aca="false">Resumo!$C$10*CEILING(I304/100,1)</f>
        <v>1</v>
      </c>
      <c r="Q304" s="39" t="n">
        <f aca="false">Resumo!$C$9</f>
        <v>11.9</v>
      </c>
      <c r="R304" s="39" t="n">
        <f aca="false">SUM(M304:Q304)*Resumo!$C$11</f>
        <v>5.05538</v>
      </c>
      <c r="S304" s="39" t="n">
        <f aca="false">SUM(M304:R304)</f>
        <v>96.97138</v>
      </c>
      <c r="T304" s="39" t="n">
        <f aca="false">S304/(1-Resumo!$C$5)</f>
        <v>110.19475</v>
      </c>
      <c r="U304" s="39" t="n">
        <v>138.29</v>
      </c>
      <c r="V304" s="39" t="n">
        <f aca="false">J304*Resumo!$B$6</f>
        <v>0.629</v>
      </c>
      <c r="W304" s="39" t="n">
        <f aca="false">J304*Resumo!$B$7</f>
        <v>1.258</v>
      </c>
      <c r="X304" s="39" t="n">
        <f aca="false">Resumo!$B$9</f>
        <v>1</v>
      </c>
      <c r="Y304" s="39" t="n">
        <f aca="false">Resumo!$B$10*CEILING(I304/100,1)</f>
        <v>4.5</v>
      </c>
      <c r="Z304" s="39" t="n">
        <f aca="false">Resumo!$B$12*CEILING(I304,1)</f>
        <v>2.1</v>
      </c>
      <c r="AA304" s="39" t="n">
        <f aca="false">Resumo!$B$13*CEILING(I304,1)</f>
        <v>15.75</v>
      </c>
      <c r="AB304" s="39" t="n">
        <f aca="false">SUM(U304:AA304)</f>
        <v>163.527</v>
      </c>
      <c r="AC304" s="39" t="n">
        <f aca="false">AB304/(1-Resumo!$B$5)</f>
        <v>185.826136363636</v>
      </c>
      <c r="AD304" s="39" t="n">
        <f aca="false">(AB304-AA304)/(1-Resumo!$B$5)</f>
        <v>167.928409090909</v>
      </c>
      <c r="AE304" s="39" t="n">
        <f aca="false">AC304-T304</f>
        <v>75.6313863636364</v>
      </c>
      <c r="AF304" s="40" t="n">
        <f aca="false">AC304/T304-1</f>
        <v>0.686342918910714</v>
      </c>
      <c r="AG304" s="37" t="str">
        <f aca="false">IF(AC304&lt;T304,"SIM","NÃO")</f>
        <v>NÃO</v>
      </c>
      <c r="AH304" s="37" t="n">
        <v>13</v>
      </c>
      <c r="AI304" s="37" t="n">
        <v>11</v>
      </c>
      <c r="AJ304" s="37" t="s">
        <v>323</v>
      </c>
    </row>
    <row r="305" customFormat="false" ht="15" hidden="false" customHeight="false" outlineLevel="0" collapsed="false">
      <c r="A305" s="37" t="n">
        <v>364393577</v>
      </c>
      <c r="B305" s="38" t="n">
        <v>46226.632037037</v>
      </c>
      <c r="C305" s="37" t="s">
        <v>359</v>
      </c>
      <c r="D305" s="37" t="s">
        <v>631</v>
      </c>
      <c r="E305" s="37" t="n">
        <v>24230253</v>
      </c>
      <c r="F305" s="37" t="s">
        <v>143</v>
      </c>
      <c r="G305" s="37" t="s">
        <v>207</v>
      </c>
      <c r="H305" s="37" t="s">
        <v>170</v>
      </c>
      <c r="I305" s="37" t="n">
        <v>41</v>
      </c>
      <c r="J305" s="39" t="n">
        <v>498.99</v>
      </c>
      <c r="K305" s="37" t="s">
        <v>498</v>
      </c>
      <c r="L305" s="39" t="n">
        <v>114.22</v>
      </c>
      <c r="M305" s="39" t="n">
        <v>82.25</v>
      </c>
      <c r="N305" s="39" t="n">
        <f aca="false">J305*Resumo!$C$7</f>
        <v>0.99798</v>
      </c>
      <c r="O305" s="39" t="n">
        <f aca="false">J305*Resumo!$C$8</f>
        <v>0.99798</v>
      </c>
      <c r="P305" s="39" t="n">
        <f aca="false">Resumo!$C$10*CEILING(I305/100,1)</f>
        <v>1</v>
      </c>
      <c r="Q305" s="39" t="n">
        <f aca="false">Resumo!$C$9</f>
        <v>11.9</v>
      </c>
      <c r="R305" s="39" t="n">
        <f aca="false">SUM(M305:Q305)*Resumo!$C$11</f>
        <v>5.3430278</v>
      </c>
      <c r="S305" s="39" t="n">
        <f aca="false">SUM(M305:R305)</f>
        <v>102.4889878</v>
      </c>
      <c r="T305" s="39" t="n">
        <f aca="false">S305/(1-Resumo!$C$5)</f>
        <v>116.464758863636</v>
      </c>
      <c r="U305" s="39" t="n">
        <v>114.95</v>
      </c>
      <c r="V305" s="39" t="n">
        <f aca="false">J305*Resumo!$B$6</f>
        <v>0.49899</v>
      </c>
      <c r="W305" s="39" t="n">
        <f aca="false">J305*Resumo!$B$7</f>
        <v>0.99798</v>
      </c>
      <c r="X305" s="39" t="n">
        <f aca="false">Resumo!$B$9</f>
        <v>1</v>
      </c>
      <c r="Y305" s="39" t="n">
        <f aca="false">Resumo!$B$10*CEILING(I305/100,1)</f>
        <v>4.5</v>
      </c>
      <c r="Z305" s="39" t="n">
        <f aca="false">Resumo!$B$12*CEILING(I305,1)</f>
        <v>2.46</v>
      </c>
      <c r="AA305" s="39" t="n">
        <f aca="false">Resumo!$B$13*CEILING(I305,1)</f>
        <v>18.45</v>
      </c>
      <c r="AB305" s="39" t="n">
        <f aca="false">SUM(U305:AA305)</f>
        <v>142.85697</v>
      </c>
      <c r="AC305" s="39" t="n">
        <f aca="false">AB305/(1-Resumo!$B$5)</f>
        <v>162.337465909091</v>
      </c>
      <c r="AD305" s="39" t="n">
        <f aca="false">(AB305-AA305)/(1-Resumo!$B$5)</f>
        <v>141.371556818182</v>
      </c>
      <c r="AE305" s="39" t="n">
        <f aca="false">AC305-T305</f>
        <v>45.8727070454545</v>
      </c>
      <c r="AF305" s="40" t="n">
        <f aca="false">AC305/T305-1</f>
        <v>0.393876289214362</v>
      </c>
      <c r="AG305" s="37" t="str">
        <f aca="false">IF(AC305&lt;T305,"SIM","NÃO")</f>
        <v>NÃO</v>
      </c>
      <c r="AH305" s="37" t="n">
        <v>10</v>
      </c>
      <c r="AI305" s="37" t="n">
        <v>7</v>
      </c>
      <c r="AJ305" s="37" t="s">
        <v>323</v>
      </c>
    </row>
    <row r="306" customFormat="false" ht="15" hidden="false" customHeight="false" outlineLevel="0" collapsed="false">
      <c r="A306" s="37" t="n">
        <v>364396305</v>
      </c>
      <c r="B306" s="38" t="n">
        <v>46226.642962963</v>
      </c>
      <c r="C306" s="37" t="s">
        <v>341</v>
      </c>
      <c r="D306" s="37" t="s">
        <v>632</v>
      </c>
      <c r="E306" s="37" t="n">
        <v>23860000</v>
      </c>
      <c r="F306" s="37" t="s">
        <v>203</v>
      </c>
      <c r="G306" s="37" t="s">
        <v>201</v>
      </c>
      <c r="H306" s="37" t="s">
        <v>169</v>
      </c>
      <c r="I306" s="37" t="n">
        <v>36.9</v>
      </c>
      <c r="J306" s="39" t="n">
        <v>390.99</v>
      </c>
      <c r="K306" s="37" t="s">
        <v>498</v>
      </c>
      <c r="L306" s="39" t="n">
        <v>122.57</v>
      </c>
      <c r="M306" s="39" t="n">
        <v>87.4</v>
      </c>
      <c r="N306" s="39" t="n">
        <f aca="false">J306*Resumo!$C$7</f>
        <v>0.78198</v>
      </c>
      <c r="O306" s="39" t="n">
        <f aca="false">J306*Resumo!$C$8</f>
        <v>0.78198</v>
      </c>
      <c r="P306" s="39" t="n">
        <f aca="false">Resumo!$C$10*CEILING(I306/100,1)</f>
        <v>1</v>
      </c>
      <c r="Q306" s="39" t="n">
        <f aca="false">Resumo!$C$9</f>
        <v>11.9</v>
      </c>
      <c r="R306" s="39" t="n">
        <f aca="false">SUM(M306:Q306)*Resumo!$C$11</f>
        <v>5.6025178</v>
      </c>
      <c r="S306" s="39" t="n">
        <f aca="false">SUM(M306:R306)</f>
        <v>107.4664778</v>
      </c>
      <c r="T306" s="39" t="n">
        <f aca="false">S306/(1-Resumo!$C$5)</f>
        <v>122.1209975</v>
      </c>
      <c r="U306" s="39" t="n">
        <v>124.38</v>
      </c>
      <c r="V306" s="39" t="n">
        <f aca="false">J306*Resumo!$B$6</f>
        <v>0.39099</v>
      </c>
      <c r="W306" s="39" t="n">
        <f aca="false">J306*Resumo!$B$7</f>
        <v>0.78198</v>
      </c>
      <c r="X306" s="39" t="n">
        <f aca="false">Resumo!$B$9</f>
        <v>1</v>
      </c>
      <c r="Y306" s="39" t="n">
        <f aca="false">Resumo!$B$10*CEILING(I306/100,1)</f>
        <v>4.5</v>
      </c>
      <c r="Z306" s="39" t="n">
        <f aca="false">Resumo!$B$12*CEILING(I306,1)</f>
        <v>2.22</v>
      </c>
      <c r="AA306" s="39" t="n">
        <f aca="false">Resumo!$B$13*CEILING(I306,1)</f>
        <v>16.65</v>
      </c>
      <c r="AB306" s="39" t="n">
        <f aca="false">SUM(U306:AA306)</f>
        <v>149.92297</v>
      </c>
      <c r="AC306" s="39" t="n">
        <f aca="false">AB306/(1-Resumo!$B$5)</f>
        <v>170.367011363636</v>
      </c>
      <c r="AD306" s="39" t="n">
        <f aca="false">(AB306-AA306)/(1-Resumo!$B$5)</f>
        <v>151.446556818182</v>
      </c>
      <c r="AE306" s="39" t="n">
        <f aca="false">AC306-T306</f>
        <v>48.2460138636364</v>
      </c>
      <c r="AF306" s="40" t="n">
        <f aca="false">AC306/T306-1</f>
        <v>0.395067309073006</v>
      </c>
      <c r="AG306" s="37" t="str">
        <f aca="false">IF(AC306&lt;T306,"SIM","NÃO")</f>
        <v>NÃO</v>
      </c>
      <c r="AH306" s="37" t="n">
        <v>13</v>
      </c>
      <c r="AI306" s="37" t="n">
        <v>10</v>
      </c>
      <c r="AJ306" s="37" t="s">
        <v>327</v>
      </c>
    </row>
    <row r="307" customFormat="false" ht="15" hidden="false" customHeight="false" outlineLevel="0" collapsed="false">
      <c r="A307" s="37" t="n">
        <v>364444956</v>
      </c>
      <c r="B307" s="38" t="n">
        <v>46226.7175462963</v>
      </c>
      <c r="C307" s="37" t="s">
        <v>320</v>
      </c>
      <c r="D307" s="37" t="s">
        <v>633</v>
      </c>
      <c r="E307" s="37" t="n">
        <v>21921000</v>
      </c>
      <c r="F307" s="37" t="s">
        <v>139</v>
      </c>
      <c r="G307" s="37" t="s">
        <v>198</v>
      </c>
      <c r="H307" s="37" t="s">
        <v>171</v>
      </c>
      <c r="I307" s="37" t="n">
        <v>52.3</v>
      </c>
      <c r="J307" s="39" t="n">
        <v>643.99</v>
      </c>
      <c r="K307" s="37" t="s">
        <v>498</v>
      </c>
      <c r="L307" s="39" t="n">
        <v>113.35</v>
      </c>
      <c r="M307" s="39" t="n">
        <v>79.81</v>
      </c>
      <c r="N307" s="39" t="n">
        <f aca="false">J307*Resumo!$C$7</f>
        <v>1.28798</v>
      </c>
      <c r="O307" s="39" t="n">
        <f aca="false">J307*Resumo!$C$8</f>
        <v>1.28798</v>
      </c>
      <c r="P307" s="39" t="n">
        <f aca="false">Resumo!$C$10*CEILING(I307/100,1)</f>
        <v>1</v>
      </c>
      <c r="Q307" s="39" t="n">
        <f aca="false">Resumo!$C$9</f>
        <v>11.9</v>
      </c>
      <c r="R307" s="39" t="n">
        <f aca="false">SUM(M307:Q307)*Resumo!$C$11</f>
        <v>5.2407278</v>
      </c>
      <c r="S307" s="39" t="n">
        <f aca="false">SUM(M307:R307)</f>
        <v>100.5266878</v>
      </c>
      <c r="T307" s="39" t="n">
        <f aca="false">S307/(1-Resumo!$C$5)</f>
        <v>114.2348725</v>
      </c>
      <c r="U307" s="39" t="n">
        <v>112.3</v>
      </c>
      <c r="V307" s="39" t="n">
        <f aca="false">J307*Resumo!$B$6</f>
        <v>0.64399</v>
      </c>
      <c r="W307" s="39" t="n">
        <f aca="false">J307*Resumo!$B$7</f>
        <v>1.28798</v>
      </c>
      <c r="X307" s="39" t="n">
        <f aca="false">Resumo!$B$9</f>
        <v>1</v>
      </c>
      <c r="Y307" s="39" t="n">
        <f aca="false">Resumo!$B$10*CEILING(I307/100,1)</f>
        <v>4.5</v>
      </c>
      <c r="Z307" s="39" t="n">
        <f aca="false">Resumo!$B$12*CEILING(I307,1)</f>
        <v>3.18</v>
      </c>
      <c r="AA307" s="39" t="n">
        <f aca="false">Resumo!$B$13*CEILING(I307,1)</f>
        <v>23.85</v>
      </c>
      <c r="AB307" s="39" t="n">
        <f aca="false">SUM(U307:AA307)</f>
        <v>146.76197</v>
      </c>
      <c r="AC307" s="39" t="n">
        <f aca="false">AB307/(1-Resumo!$B$5)</f>
        <v>166.774965909091</v>
      </c>
      <c r="AD307" s="39" t="n">
        <f aca="false">(AB307-AA307)/(1-Resumo!$B$5)</f>
        <v>139.672693181818</v>
      </c>
      <c r="AE307" s="39" t="n">
        <f aca="false">AC307-T307</f>
        <v>52.5400934090909</v>
      </c>
      <c r="AF307" s="40" t="n">
        <f aca="false">AC307/T307-1</f>
        <v>0.459930424565326</v>
      </c>
      <c r="AG307" s="37" t="str">
        <f aca="false">IF(AC307&lt;T307,"SIM","NÃO")</f>
        <v>NÃO</v>
      </c>
      <c r="AH307" s="37" t="n">
        <v>8</v>
      </c>
      <c r="AI307" s="37" t="n">
        <v>5</v>
      </c>
      <c r="AJ307" s="37" t="s">
        <v>323</v>
      </c>
    </row>
    <row r="308" customFormat="false" ht="15" hidden="false" customHeight="false" outlineLevel="0" collapsed="false">
      <c r="A308" s="37" t="n">
        <v>364455233</v>
      </c>
      <c r="B308" s="38" t="n">
        <v>46226.7306365741</v>
      </c>
      <c r="C308" s="37" t="s">
        <v>320</v>
      </c>
      <c r="D308" s="37" t="s">
        <v>634</v>
      </c>
      <c r="E308" s="37" t="n">
        <v>27281270</v>
      </c>
      <c r="F308" s="37" t="s">
        <v>148</v>
      </c>
      <c r="G308" s="37" t="s">
        <v>201</v>
      </c>
      <c r="H308" s="37" t="s">
        <v>170</v>
      </c>
      <c r="I308" s="37" t="n">
        <v>48.3</v>
      </c>
      <c r="J308" s="39" t="n">
        <v>499.99</v>
      </c>
      <c r="K308" s="37" t="s">
        <v>498</v>
      </c>
      <c r="L308" s="39" t="n">
        <v>132.33</v>
      </c>
      <c r="M308" s="39" t="n">
        <v>94</v>
      </c>
      <c r="N308" s="39" t="n">
        <f aca="false">J308*Resumo!$C$7</f>
        <v>0.99998</v>
      </c>
      <c r="O308" s="39" t="n">
        <f aca="false">J308*Resumo!$C$8</f>
        <v>0.99998</v>
      </c>
      <c r="P308" s="39" t="n">
        <f aca="false">Resumo!$C$10*CEILING(I308/100,1)</f>
        <v>1</v>
      </c>
      <c r="Q308" s="39" t="n">
        <f aca="false">Resumo!$C$9</f>
        <v>11.9</v>
      </c>
      <c r="R308" s="39" t="n">
        <f aca="false">SUM(M308:Q308)*Resumo!$C$11</f>
        <v>5.9894978</v>
      </c>
      <c r="S308" s="39" t="n">
        <f aca="false">SUM(M308:R308)</f>
        <v>114.8894578</v>
      </c>
      <c r="T308" s="39" t="n">
        <f aca="false">S308/(1-Resumo!$C$5)</f>
        <v>130.556202045455</v>
      </c>
      <c r="U308" s="39" t="n">
        <v>124.38</v>
      </c>
      <c r="V308" s="39" t="n">
        <f aca="false">J308*Resumo!$B$6</f>
        <v>0.49999</v>
      </c>
      <c r="W308" s="39" t="n">
        <f aca="false">J308*Resumo!$B$7</f>
        <v>0.99998</v>
      </c>
      <c r="X308" s="39" t="n">
        <f aca="false">Resumo!$B$9</f>
        <v>1</v>
      </c>
      <c r="Y308" s="39" t="n">
        <f aca="false">Resumo!$B$10*CEILING(I308/100,1)</f>
        <v>4.5</v>
      </c>
      <c r="Z308" s="39" t="n">
        <f aca="false">Resumo!$B$12*CEILING(I308,1)</f>
        <v>2.94</v>
      </c>
      <c r="AA308" s="39" t="n">
        <f aca="false">Resumo!$B$13*CEILING(I308,1)</f>
        <v>22.05</v>
      </c>
      <c r="AB308" s="39" t="n">
        <f aca="false">SUM(U308:AA308)</f>
        <v>156.36997</v>
      </c>
      <c r="AC308" s="39" t="n">
        <f aca="false">AB308/(1-Resumo!$B$5)</f>
        <v>177.693147727273</v>
      </c>
      <c r="AD308" s="39" t="n">
        <f aca="false">(AB308-AA308)/(1-Resumo!$B$5)</f>
        <v>152.636329545455</v>
      </c>
      <c r="AE308" s="39" t="n">
        <f aca="false">AC308-T308</f>
        <v>47.1369456818182</v>
      </c>
      <c r="AF308" s="40" t="n">
        <f aca="false">AC308/T308-1</f>
        <v>0.361047157801105</v>
      </c>
      <c r="AG308" s="37" t="str">
        <f aca="false">IF(AC308&lt;T308,"SIM","NÃO")</f>
        <v>NÃO</v>
      </c>
      <c r="AH308" s="37" t="n">
        <v>13</v>
      </c>
      <c r="AI308" s="37" t="n">
        <v>10</v>
      </c>
      <c r="AJ308" s="37" t="s">
        <v>323</v>
      </c>
    </row>
    <row r="309" customFormat="false" ht="15" hidden="false" customHeight="false" outlineLevel="0" collapsed="false">
      <c r="A309" s="37" t="n">
        <v>364580811</v>
      </c>
      <c r="B309" s="38" t="n">
        <v>46226.8985416667</v>
      </c>
      <c r="C309" s="37" t="s">
        <v>320</v>
      </c>
      <c r="D309" s="37" t="s">
        <v>635</v>
      </c>
      <c r="E309" s="37" t="n">
        <v>24241002</v>
      </c>
      <c r="F309" s="37" t="s">
        <v>143</v>
      </c>
      <c r="G309" s="37" t="s">
        <v>207</v>
      </c>
      <c r="H309" s="37" t="s">
        <v>169</v>
      </c>
      <c r="I309" s="37" t="n">
        <v>35.4</v>
      </c>
      <c r="J309" s="39" t="n">
        <v>539.99</v>
      </c>
      <c r="K309" s="37" t="s">
        <v>322</v>
      </c>
      <c r="L309" s="39" t="n">
        <v>113.55</v>
      </c>
      <c r="M309" s="39" t="n">
        <v>79.65</v>
      </c>
      <c r="N309" s="39" t="n">
        <f aca="false">J309*Resumo!$C$7</f>
        <v>1.07998</v>
      </c>
      <c r="O309" s="39" t="n">
        <f aca="false">J309*Resumo!$C$8</f>
        <v>1.07998</v>
      </c>
      <c r="P309" s="39" t="n">
        <f aca="false">Resumo!$C$10*CEILING(I309/100,1)</f>
        <v>1</v>
      </c>
      <c r="Q309" s="39" t="n">
        <f aca="false">Resumo!$C$9</f>
        <v>11.9</v>
      </c>
      <c r="R309" s="39" t="n">
        <f aca="false">SUM(M309:Q309)*Resumo!$C$11</f>
        <v>5.2090478</v>
      </c>
      <c r="S309" s="39" t="n">
        <f aca="false">SUM(M309:R309)</f>
        <v>99.9190078</v>
      </c>
      <c r="T309" s="39" t="n">
        <f aca="false">S309/(1-Resumo!$C$5)</f>
        <v>113.544327045455</v>
      </c>
      <c r="U309" s="39" t="n">
        <v>114.95</v>
      </c>
      <c r="V309" s="39" t="n">
        <f aca="false">J309*Resumo!$B$6</f>
        <v>0.53999</v>
      </c>
      <c r="W309" s="39" t="n">
        <f aca="false">J309*Resumo!$B$7</f>
        <v>1.07998</v>
      </c>
      <c r="X309" s="39" t="n">
        <f aca="false">Resumo!$B$9</f>
        <v>1</v>
      </c>
      <c r="Y309" s="39" t="n">
        <f aca="false">Resumo!$B$10*CEILING(I309/100,1)</f>
        <v>4.5</v>
      </c>
      <c r="Z309" s="39" t="n">
        <f aca="false">Resumo!$B$12*CEILING(I309,1)</f>
        <v>2.16</v>
      </c>
      <c r="AA309" s="39" t="n">
        <f aca="false">Resumo!$B$13*CEILING(I309,1)</f>
        <v>16.2</v>
      </c>
      <c r="AB309" s="39" t="n">
        <f aca="false">SUM(U309:AA309)</f>
        <v>140.42997</v>
      </c>
      <c r="AC309" s="39" t="n">
        <f aca="false">AB309/(1-Resumo!$B$5)</f>
        <v>159.579511363636</v>
      </c>
      <c r="AD309" s="39" t="n">
        <f aca="false">(AB309-AA309)/(1-Resumo!$B$5)</f>
        <v>141.170420454545</v>
      </c>
      <c r="AE309" s="39" t="n">
        <f aca="false">AC309-T309</f>
        <v>46.0351843181818</v>
      </c>
      <c r="AF309" s="40" t="n">
        <f aca="false">AC309/T309-1</f>
        <v>0.405437995151909</v>
      </c>
      <c r="AG309" s="37" t="str">
        <f aca="false">IF(AC309&lt;T309,"SIM","NÃO")</f>
        <v>NÃO</v>
      </c>
      <c r="AH309" s="37" t="n">
        <v>10</v>
      </c>
      <c r="AI309" s="37" t="n">
        <v>7</v>
      </c>
      <c r="AJ309" s="37" t="s">
        <v>323</v>
      </c>
    </row>
    <row r="310" customFormat="false" ht="15" hidden="false" customHeight="false" outlineLevel="0" collapsed="false">
      <c r="A310" s="37" t="n">
        <v>364590376</v>
      </c>
      <c r="B310" s="38" t="n">
        <v>46226.9081597222</v>
      </c>
      <c r="C310" s="37" t="s">
        <v>320</v>
      </c>
      <c r="D310" s="37" t="s">
        <v>636</v>
      </c>
      <c r="E310" s="37" t="n">
        <v>22740361</v>
      </c>
      <c r="F310" s="37" t="s">
        <v>139</v>
      </c>
      <c r="G310" s="37" t="s">
        <v>198</v>
      </c>
      <c r="H310" s="37" t="s">
        <v>172</v>
      </c>
      <c r="I310" s="37" t="n">
        <v>66.8</v>
      </c>
      <c r="J310" s="39" t="n">
        <v>643.99</v>
      </c>
      <c r="K310" s="37" t="s">
        <v>322</v>
      </c>
      <c r="L310" s="39" t="n">
        <v>124.3</v>
      </c>
      <c r="M310" s="39" t="n">
        <v>88.2</v>
      </c>
      <c r="N310" s="39" t="n">
        <f aca="false">J310*Resumo!$C$7</f>
        <v>1.28798</v>
      </c>
      <c r="O310" s="39" t="n">
        <f aca="false">J310*Resumo!$C$8</f>
        <v>1.28798</v>
      </c>
      <c r="P310" s="39" t="n">
        <f aca="false">Resumo!$C$10*CEILING(I310/100,1)</f>
        <v>1</v>
      </c>
      <c r="Q310" s="39" t="n">
        <f aca="false">Resumo!$C$9</f>
        <v>11.9</v>
      </c>
      <c r="R310" s="39" t="n">
        <f aca="false">SUM(M310:Q310)*Resumo!$C$11</f>
        <v>5.7021778</v>
      </c>
      <c r="S310" s="39" t="n">
        <f aca="false">SUM(M310:R310)</f>
        <v>109.3781378</v>
      </c>
      <c r="T310" s="39" t="n">
        <f aca="false">S310/(1-Resumo!$C$5)</f>
        <v>124.293338409091</v>
      </c>
      <c r="U310" s="39" t="n">
        <v>131.02</v>
      </c>
      <c r="V310" s="39" t="n">
        <f aca="false">J310*Resumo!$B$6</f>
        <v>0.64399</v>
      </c>
      <c r="W310" s="39" t="n">
        <f aca="false">J310*Resumo!$B$7</f>
        <v>1.28798</v>
      </c>
      <c r="X310" s="39" t="n">
        <f aca="false">Resumo!$B$9</f>
        <v>1</v>
      </c>
      <c r="Y310" s="39" t="n">
        <f aca="false">Resumo!$B$10*CEILING(I310/100,1)</f>
        <v>4.5</v>
      </c>
      <c r="Z310" s="39" t="n">
        <f aca="false">Resumo!$B$12*CEILING(I310,1)</f>
        <v>4.02</v>
      </c>
      <c r="AA310" s="39" t="n">
        <f aca="false">Resumo!$B$13*CEILING(I310,1)</f>
        <v>30.15</v>
      </c>
      <c r="AB310" s="39" t="n">
        <f aca="false">SUM(U310:AA310)</f>
        <v>172.62197</v>
      </c>
      <c r="AC310" s="39" t="n">
        <f aca="false">AB310/(1-Resumo!$B$5)</f>
        <v>196.161329545455</v>
      </c>
      <c r="AD310" s="39" t="n">
        <f aca="false">(AB310-AA310)/(1-Resumo!$B$5)</f>
        <v>161.899965909091</v>
      </c>
      <c r="AE310" s="39" t="n">
        <f aca="false">AC310-T310</f>
        <v>71.8679911363636</v>
      </c>
      <c r="AF310" s="40" t="n">
        <f aca="false">AC310/T310-1</f>
        <v>0.578212734940163</v>
      </c>
      <c r="AG310" s="37" t="str">
        <f aca="false">IF(AC310&lt;T310,"SIM","NÃO")</f>
        <v>NÃO</v>
      </c>
      <c r="AH310" s="37" t="n">
        <v>8</v>
      </c>
      <c r="AI310" s="37" t="n">
        <v>5</v>
      </c>
      <c r="AJ310" s="37" t="s">
        <v>323</v>
      </c>
    </row>
    <row r="311" customFormat="false" ht="15" hidden="false" customHeight="false" outlineLevel="0" collapsed="false">
      <c r="A311" s="37" t="n">
        <v>364618453</v>
      </c>
      <c r="B311" s="38" t="n">
        <v>46226.9450694445</v>
      </c>
      <c r="C311" s="37" t="s">
        <v>320</v>
      </c>
      <c r="D311" s="37" t="s">
        <v>637</v>
      </c>
      <c r="E311" s="37" t="n">
        <v>26553390</v>
      </c>
      <c r="F311" s="37" t="s">
        <v>155</v>
      </c>
      <c r="G311" s="37" t="s">
        <v>207</v>
      </c>
      <c r="H311" s="37" t="s">
        <v>170</v>
      </c>
      <c r="I311" s="37" t="n">
        <v>48.3</v>
      </c>
      <c r="J311" s="39" t="n">
        <v>414.99</v>
      </c>
      <c r="K311" s="37" t="s">
        <v>498</v>
      </c>
      <c r="L311" s="39" t="n">
        <v>117.9</v>
      </c>
      <c r="M311" s="39" t="n">
        <v>82.25</v>
      </c>
      <c r="N311" s="39" t="n">
        <f aca="false">J311*Resumo!$C$7</f>
        <v>0.82998</v>
      </c>
      <c r="O311" s="39" t="n">
        <f aca="false">J311*Resumo!$C$8</f>
        <v>0.82998</v>
      </c>
      <c r="P311" s="39" t="n">
        <f aca="false">Resumo!$C$10*CEILING(I311/100,1)</f>
        <v>1</v>
      </c>
      <c r="Q311" s="39" t="n">
        <f aca="false">Resumo!$C$9</f>
        <v>11.9</v>
      </c>
      <c r="R311" s="39" t="n">
        <f aca="false">SUM(M311:Q311)*Resumo!$C$11</f>
        <v>5.3245478</v>
      </c>
      <c r="S311" s="39" t="n">
        <f aca="false">SUM(M311:R311)</f>
        <v>102.1345078</v>
      </c>
      <c r="T311" s="39" t="n">
        <f aca="false">S311/(1-Resumo!$C$5)</f>
        <v>116.061940681818</v>
      </c>
      <c r="U311" s="39" t="n">
        <v>93.97</v>
      </c>
      <c r="V311" s="39" t="n">
        <f aca="false">J311*Resumo!$B$6</f>
        <v>0.41499</v>
      </c>
      <c r="W311" s="39" t="n">
        <f aca="false">J311*Resumo!$B$7</f>
        <v>0.82998</v>
      </c>
      <c r="X311" s="39" t="n">
        <f aca="false">Resumo!$B$9</f>
        <v>1</v>
      </c>
      <c r="Y311" s="39" t="n">
        <f aca="false">Resumo!$B$10*CEILING(I311/100,1)</f>
        <v>4.5</v>
      </c>
      <c r="Z311" s="39" t="n">
        <f aca="false">Resumo!$B$12*CEILING(I311,1)</f>
        <v>2.94</v>
      </c>
      <c r="AA311" s="39" t="n">
        <f aca="false">Resumo!$B$13*CEILING(I311,1)</f>
        <v>22.05</v>
      </c>
      <c r="AB311" s="39" t="n">
        <f aca="false">SUM(U311:AA311)</f>
        <v>125.70497</v>
      </c>
      <c r="AC311" s="39" t="n">
        <f aca="false">AB311/(1-Resumo!$B$5)</f>
        <v>142.846556818182</v>
      </c>
      <c r="AD311" s="39" t="n">
        <f aca="false">(AB311-AA311)/(1-Resumo!$B$5)</f>
        <v>117.789738636364</v>
      </c>
      <c r="AE311" s="39" t="n">
        <f aca="false">AC311-T311</f>
        <v>26.7846161363636</v>
      </c>
      <c r="AF311" s="40" t="n">
        <f aca="false">AC311/T311-1</f>
        <v>0.230778634055355</v>
      </c>
      <c r="AG311" s="37" t="str">
        <f aca="false">IF(AC311&lt;T311,"SIM","NÃO")</f>
        <v>NÃO</v>
      </c>
      <c r="AH311" s="37" t="n">
        <v>10</v>
      </c>
      <c r="AI311" s="37" t="n">
        <v>5</v>
      </c>
      <c r="AJ311" s="37" t="s">
        <v>323</v>
      </c>
    </row>
    <row r="312" customFormat="false" ht="15" hidden="false" customHeight="false" outlineLevel="0" collapsed="false">
      <c r="A312" s="37" t="n">
        <v>364912688</v>
      </c>
      <c r="B312" s="38" t="n">
        <v>46227.5399421296</v>
      </c>
      <c r="C312" s="37" t="s">
        <v>341</v>
      </c>
      <c r="D312" s="37" t="s">
        <v>638</v>
      </c>
      <c r="E312" s="37" t="n">
        <v>21852413</v>
      </c>
      <c r="F312" s="37" t="s">
        <v>139</v>
      </c>
      <c r="G312" s="37" t="s">
        <v>198</v>
      </c>
      <c r="H312" s="37" t="s">
        <v>171</v>
      </c>
      <c r="I312" s="37" t="n">
        <v>60</v>
      </c>
      <c r="J312" s="39" t="n">
        <v>999.99</v>
      </c>
      <c r="K312" s="37" t="s">
        <v>322</v>
      </c>
      <c r="L312" s="39" t="n">
        <v>115.94</v>
      </c>
      <c r="M312" s="39" t="n">
        <v>79.81</v>
      </c>
      <c r="N312" s="39" t="n">
        <f aca="false">J312*Resumo!$C$7</f>
        <v>1.99998</v>
      </c>
      <c r="O312" s="39" t="n">
        <f aca="false">J312*Resumo!$C$8</f>
        <v>1.99998</v>
      </c>
      <c r="P312" s="39" t="n">
        <f aca="false">Resumo!$C$10*CEILING(I312/100,1)</f>
        <v>1</v>
      </c>
      <c r="Q312" s="39" t="n">
        <f aca="false">Resumo!$C$9</f>
        <v>11.9</v>
      </c>
      <c r="R312" s="39" t="n">
        <f aca="false">SUM(M312:Q312)*Resumo!$C$11</f>
        <v>5.3190478</v>
      </c>
      <c r="S312" s="39" t="n">
        <f aca="false">SUM(M312:R312)</f>
        <v>102.0290078</v>
      </c>
      <c r="T312" s="39" t="n">
        <f aca="false">S312/(1-Resumo!$C$5)</f>
        <v>115.942054318182</v>
      </c>
      <c r="U312" s="39" t="n">
        <v>112.3</v>
      </c>
      <c r="V312" s="39" t="n">
        <f aca="false">J312*Resumo!$B$6</f>
        <v>0.99999</v>
      </c>
      <c r="W312" s="39" t="n">
        <f aca="false">J312*Resumo!$B$7</f>
        <v>1.99998</v>
      </c>
      <c r="X312" s="39" t="n">
        <f aca="false">Resumo!$B$9</f>
        <v>1</v>
      </c>
      <c r="Y312" s="39" t="n">
        <f aca="false">Resumo!$B$10*CEILING(I312/100,1)</f>
        <v>4.5</v>
      </c>
      <c r="Z312" s="39" t="n">
        <f aca="false">Resumo!$B$12*CEILING(I312,1)</f>
        <v>3.6</v>
      </c>
      <c r="AA312" s="39" t="n">
        <f aca="false">Resumo!$B$13*CEILING(I312,1)</f>
        <v>27</v>
      </c>
      <c r="AB312" s="39" t="n">
        <f aca="false">SUM(U312:AA312)</f>
        <v>151.39997</v>
      </c>
      <c r="AC312" s="39" t="n">
        <f aca="false">AB312/(1-Resumo!$B$5)</f>
        <v>172.045420454545</v>
      </c>
      <c r="AD312" s="39" t="n">
        <f aca="false">(AB312-AA312)/(1-Resumo!$B$5)</f>
        <v>141.363602272727</v>
      </c>
      <c r="AE312" s="39" t="n">
        <f aca="false">AC312-T312</f>
        <v>56.1033661363636</v>
      </c>
      <c r="AF312" s="40" t="n">
        <f aca="false">AC312/T312-1</f>
        <v>0.483891427198609</v>
      </c>
      <c r="AG312" s="37" t="str">
        <f aca="false">IF(AC312&lt;T312,"SIM","NÃO")</f>
        <v>NÃO</v>
      </c>
      <c r="AH312" s="37" t="n">
        <v>8</v>
      </c>
      <c r="AI312" s="37" t="n">
        <v>5</v>
      </c>
      <c r="AJ312" s="37" t="s">
        <v>323</v>
      </c>
    </row>
    <row r="313" customFormat="false" ht="15" hidden="false" customHeight="false" outlineLevel="0" collapsed="false">
      <c r="A313" s="37" t="n">
        <v>364922421</v>
      </c>
      <c r="B313" s="38" t="n">
        <v>46227.5446875</v>
      </c>
      <c r="C313" s="37" t="s">
        <v>325</v>
      </c>
      <c r="D313" s="37" t="s">
        <v>639</v>
      </c>
      <c r="E313" s="37" t="n">
        <v>21555080</v>
      </c>
      <c r="F313" s="37" t="s">
        <v>139</v>
      </c>
      <c r="G313" s="37" t="s">
        <v>198</v>
      </c>
      <c r="H313" s="37" t="s">
        <v>177</v>
      </c>
      <c r="I313" s="37" t="n">
        <v>157.9</v>
      </c>
      <c r="J313" s="39" t="n">
        <v>1920.55</v>
      </c>
      <c r="K313" s="37" t="s">
        <v>322</v>
      </c>
      <c r="L313" s="39" t="n">
        <v>256.17</v>
      </c>
      <c r="M313" s="39" t="n">
        <v>192.1</v>
      </c>
      <c r="N313" s="39" t="n">
        <f aca="false">J313*Resumo!$C$7</f>
        <v>3.8411</v>
      </c>
      <c r="O313" s="39" t="n">
        <f aca="false">J313*Resumo!$C$8</f>
        <v>3.8411</v>
      </c>
      <c r="P313" s="39" t="n">
        <f aca="false">Resumo!$C$10*CEILING(I313/100,1)</f>
        <v>2</v>
      </c>
      <c r="Q313" s="39" t="n">
        <f aca="false">Resumo!$C$9</f>
        <v>11.9</v>
      </c>
      <c r="R313" s="39" t="n">
        <f aca="false">SUM(M313:Q313)*Resumo!$C$11</f>
        <v>11.752521</v>
      </c>
      <c r="S313" s="39" t="n">
        <f aca="false">SUM(M313:R313)</f>
        <v>225.434721</v>
      </c>
      <c r="T313" s="39" t="n">
        <f aca="false">S313/(1-Resumo!$C$5)</f>
        <v>256.175819318182</v>
      </c>
      <c r="U313" s="39" t="n">
        <v>271.15</v>
      </c>
      <c r="V313" s="39" t="n">
        <f aca="false">J313*Resumo!$B$6</f>
        <v>1.92055</v>
      </c>
      <c r="W313" s="39" t="n">
        <f aca="false">J313*Resumo!$B$7</f>
        <v>3.8411</v>
      </c>
      <c r="X313" s="39" t="n">
        <f aca="false">Resumo!$B$9</f>
        <v>1</v>
      </c>
      <c r="Y313" s="39" t="n">
        <f aca="false">Resumo!$B$10*CEILING(I313/100,1)</f>
        <v>9</v>
      </c>
      <c r="Z313" s="39" t="n">
        <f aca="false">Resumo!$B$12*CEILING(I313,1)</f>
        <v>9.48</v>
      </c>
      <c r="AA313" s="39" t="n">
        <f aca="false">Resumo!$B$13*CEILING(I313,1)</f>
        <v>71.1</v>
      </c>
      <c r="AB313" s="39" t="n">
        <f aca="false">SUM(U313:AA313)</f>
        <v>367.49165</v>
      </c>
      <c r="AC313" s="39" t="n">
        <f aca="false">AB313/(1-Resumo!$B$5)</f>
        <v>417.604147727273</v>
      </c>
      <c r="AD313" s="39" t="n">
        <f aca="false">(AB313-AA313)/(1-Resumo!$B$5)</f>
        <v>336.808693181818</v>
      </c>
      <c r="AE313" s="39" t="n">
        <f aca="false">AC313-T313</f>
        <v>161.428328409091</v>
      </c>
      <c r="AF313" s="40" t="n">
        <f aca="false">AC313/T313-1</f>
        <v>0.630146626792241</v>
      </c>
      <c r="AG313" s="37" t="str">
        <f aca="false">IF(AC313&lt;T313,"SIM","NÃO")</f>
        <v>NÃO</v>
      </c>
      <c r="AH313" s="37" t="n">
        <v>8</v>
      </c>
      <c r="AI313" s="37" t="n">
        <v>5</v>
      </c>
      <c r="AJ313" s="37" t="s">
        <v>323</v>
      </c>
    </row>
    <row r="314" customFormat="false" ht="15" hidden="false" customHeight="false" outlineLevel="0" collapsed="false">
      <c r="A314" s="37" t="n">
        <v>365005336</v>
      </c>
      <c r="B314" s="38" t="n">
        <v>46227.651087963</v>
      </c>
      <c r="C314" s="37" t="s">
        <v>341</v>
      </c>
      <c r="D314" s="37" t="s">
        <v>638</v>
      </c>
      <c r="E314" s="37" t="n">
        <v>21852413</v>
      </c>
      <c r="F314" s="37" t="s">
        <v>139</v>
      </c>
      <c r="G314" s="37" t="s">
        <v>198</v>
      </c>
      <c r="H314" s="37" t="s">
        <v>171</v>
      </c>
      <c r="I314" s="37" t="n">
        <v>60</v>
      </c>
      <c r="J314" s="39" t="n">
        <v>999.99</v>
      </c>
      <c r="K314" s="37" t="s">
        <v>322</v>
      </c>
      <c r="L314" s="39" t="n">
        <v>115.94</v>
      </c>
      <c r="M314" s="39" t="n">
        <v>79.81</v>
      </c>
      <c r="N314" s="39" t="n">
        <f aca="false">J314*Resumo!$C$7</f>
        <v>1.99998</v>
      </c>
      <c r="O314" s="39" t="n">
        <f aca="false">J314*Resumo!$C$8</f>
        <v>1.99998</v>
      </c>
      <c r="P314" s="39" t="n">
        <f aca="false">Resumo!$C$10*CEILING(I314/100,1)</f>
        <v>1</v>
      </c>
      <c r="Q314" s="39" t="n">
        <f aca="false">Resumo!$C$9</f>
        <v>11.9</v>
      </c>
      <c r="R314" s="39" t="n">
        <f aca="false">SUM(M314:Q314)*Resumo!$C$11</f>
        <v>5.3190478</v>
      </c>
      <c r="S314" s="39" t="n">
        <f aca="false">SUM(M314:R314)</f>
        <v>102.0290078</v>
      </c>
      <c r="T314" s="39" t="n">
        <f aca="false">S314/(1-Resumo!$C$5)</f>
        <v>115.942054318182</v>
      </c>
      <c r="U314" s="39" t="n">
        <v>112.3</v>
      </c>
      <c r="V314" s="39" t="n">
        <f aca="false">J314*Resumo!$B$6</f>
        <v>0.99999</v>
      </c>
      <c r="W314" s="39" t="n">
        <f aca="false">J314*Resumo!$B$7</f>
        <v>1.99998</v>
      </c>
      <c r="X314" s="39" t="n">
        <f aca="false">Resumo!$B$9</f>
        <v>1</v>
      </c>
      <c r="Y314" s="39" t="n">
        <f aca="false">Resumo!$B$10*CEILING(I314/100,1)</f>
        <v>4.5</v>
      </c>
      <c r="Z314" s="39" t="n">
        <f aca="false">Resumo!$B$12*CEILING(I314,1)</f>
        <v>3.6</v>
      </c>
      <c r="AA314" s="39" t="n">
        <f aca="false">Resumo!$B$13*CEILING(I314,1)</f>
        <v>27</v>
      </c>
      <c r="AB314" s="39" t="n">
        <f aca="false">SUM(U314:AA314)</f>
        <v>151.39997</v>
      </c>
      <c r="AC314" s="39" t="n">
        <f aca="false">AB314/(1-Resumo!$B$5)</f>
        <v>172.045420454545</v>
      </c>
      <c r="AD314" s="39" t="n">
        <f aca="false">(AB314-AA314)/(1-Resumo!$B$5)</f>
        <v>141.363602272727</v>
      </c>
      <c r="AE314" s="39" t="n">
        <f aca="false">AC314-T314</f>
        <v>56.1033661363636</v>
      </c>
      <c r="AF314" s="40" t="n">
        <f aca="false">AC314/T314-1</f>
        <v>0.483891427198609</v>
      </c>
      <c r="AG314" s="37" t="str">
        <f aca="false">IF(AC314&lt;T314,"SIM","NÃO")</f>
        <v>NÃO</v>
      </c>
      <c r="AH314" s="37" t="n">
        <v>8</v>
      </c>
      <c r="AI314" s="37" t="n">
        <v>5</v>
      </c>
      <c r="AJ314" s="37" t="s">
        <v>323</v>
      </c>
    </row>
    <row r="315" customFormat="false" ht="15" hidden="false" customHeight="false" outlineLevel="0" collapsed="false">
      <c r="A315" s="37" t="n">
        <v>365039970</v>
      </c>
      <c r="B315" s="38" t="n">
        <v>46227.6859837963</v>
      </c>
      <c r="C315" s="37" t="s">
        <v>320</v>
      </c>
      <c r="D315" s="37" t="s">
        <v>640</v>
      </c>
      <c r="E315" s="37" t="n">
        <v>22793075</v>
      </c>
      <c r="F315" s="37" t="s">
        <v>139</v>
      </c>
      <c r="G315" s="37" t="s">
        <v>198</v>
      </c>
      <c r="H315" s="37" t="s">
        <v>170</v>
      </c>
      <c r="I315" s="37" t="n">
        <v>48.3</v>
      </c>
      <c r="J315" s="39" t="n">
        <v>429.99</v>
      </c>
      <c r="K315" s="37" t="s">
        <v>322</v>
      </c>
      <c r="L315" s="39" t="n">
        <v>102.65</v>
      </c>
      <c r="M315" s="39" t="n">
        <v>71</v>
      </c>
      <c r="N315" s="39" t="n">
        <f aca="false">J315*Resumo!$C$7</f>
        <v>0.85998</v>
      </c>
      <c r="O315" s="39" t="n">
        <f aca="false">J315*Resumo!$C$8</f>
        <v>0.85998</v>
      </c>
      <c r="P315" s="39" t="n">
        <f aca="false">Resumo!$C$10*CEILING(I315/100,1)</f>
        <v>1</v>
      </c>
      <c r="Q315" s="39" t="n">
        <f aca="false">Resumo!$C$9</f>
        <v>11.9</v>
      </c>
      <c r="R315" s="39" t="n">
        <f aca="false">SUM(M315:Q315)*Resumo!$C$11</f>
        <v>4.7090978</v>
      </c>
      <c r="S315" s="39" t="n">
        <f aca="false">SUM(M315:R315)</f>
        <v>90.3290578</v>
      </c>
      <c r="T315" s="39" t="n">
        <f aca="false">S315/(1-Resumo!$C$5)</f>
        <v>102.646656590909</v>
      </c>
      <c r="U315" s="39" t="n">
        <v>93.97</v>
      </c>
      <c r="V315" s="39" t="n">
        <f aca="false">J315*Resumo!$B$6</f>
        <v>0.42999</v>
      </c>
      <c r="W315" s="39" t="n">
        <f aca="false">J315*Resumo!$B$7</f>
        <v>0.85998</v>
      </c>
      <c r="X315" s="39" t="n">
        <f aca="false">Resumo!$B$9</f>
        <v>1</v>
      </c>
      <c r="Y315" s="39" t="n">
        <f aca="false">Resumo!$B$10*CEILING(I315/100,1)</f>
        <v>4.5</v>
      </c>
      <c r="Z315" s="39" t="n">
        <f aca="false">Resumo!$B$12*CEILING(I315,1)</f>
        <v>2.94</v>
      </c>
      <c r="AA315" s="39" t="n">
        <f aca="false">Resumo!$B$13*CEILING(I315,1)</f>
        <v>22.05</v>
      </c>
      <c r="AB315" s="39" t="n">
        <f aca="false">SUM(U315:AA315)</f>
        <v>125.74997</v>
      </c>
      <c r="AC315" s="39" t="n">
        <f aca="false">AB315/(1-Resumo!$B$5)</f>
        <v>142.897693181818</v>
      </c>
      <c r="AD315" s="39" t="n">
        <f aca="false">(AB315-AA315)/(1-Resumo!$B$5)</f>
        <v>117.840875</v>
      </c>
      <c r="AE315" s="39" t="n">
        <f aca="false">AC315-T315</f>
        <v>40.2510365909091</v>
      </c>
      <c r="AF315" s="40" t="n">
        <f aca="false">AC315/T315-1</f>
        <v>0.392131979040747</v>
      </c>
      <c r="AG315" s="37" t="str">
        <f aca="false">IF(AC315&lt;T315,"SIM","NÃO")</f>
        <v>NÃO</v>
      </c>
      <c r="AH315" s="37" t="n">
        <v>8</v>
      </c>
      <c r="AI315" s="37" t="n">
        <v>5</v>
      </c>
      <c r="AJ315" s="37" t="s">
        <v>323</v>
      </c>
    </row>
    <row r="316" customFormat="false" ht="15" hidden="false" customHeight="false" outlineLevel="0" collapsed="false">
      <c r="A316" s="37" t="n">
        <v>365138826</v>
      </c>
      <c r="B316" s="38" t="n">
        <v>46227.8268055556</v>
      </c>
      <c r="C316" s="37" t="s">
        <v>320</v>
      </c>
      <c r="D316" s="37" t="s">
        <v>641</v>
      </c>
      <c r="E316" s="37" t="n">
        <v>22783123</v>
      </c>
      <c r="F316" s="37" t="s">
        <v>139</v>
      </c>
      <c r="G316" s="37" t="s">
        <v>198</v>
      </c>
      <c r="H316" s="37" t="s">
        <v>171</v>
      </c>
      <c r="I316" s="37" t="n">
        <v>52.3</v>
      </c>
      <c r="J316" s="39" t="n">
        <v>685.84</v>
      </c>
      <c r="K316" s="37" t="s">
        <v>498</v>
      </c>
      <c r="L316" s="39" t="n">
        <v>113.56</v>
      </c>
      <c r="M316" s="39" t="n">
        <v>79.81</v>
      </c>
      <c r="N316" s="39" t="n">
        <f aca="false">J316*Resumo!$C$7</f>
        <v>1.37168</v>
      </c>
      <c r="O316" s="39" t="n">
        <f aca="false">J316*Resumo!$C$8</f>
        <v>1.37168</v>
      </c>
      <c r="P316" s="39" t="n">
        <f aca="false">Resumo!$C$10*CEILING(I316/100,1)</f>
        <v>1</v>
      </c>
      <c r="Q316" s="39" t="n">
        <f aca="false">Resumo!$C$9</f>
        <v>11.9</v>
      </c>
      <c r="R316" s="39" t="n">
        <f aca="false">SUM(M316:Q316)*Resumo!$C$11</f>
        <v>5.2499348</v>
      </c>
      <c r="S316" s="39" t="n">
        <f aca="false">SUM(M316:R316)</f>
        <v>100.7032948</v>
      </c>
      <c r="T316" s="39" t="n">
        <f aca="false">S316/(1-Resumo!$C$5)</f>
        <v>114.435562272727</v>
      </c>
      <c r="U316" s="39" t="n">
        <v>112.3</v>
      </c>
      <c r="V316" s="39" t="n">
        <f aca="false">J316*Resumo!$B$6</f>
        <v>0.68584</v>
      </c>
      <c r="W316" s="39" t="n">
        <f aca="false">J316*Resumo!$B$7</f>
        <v>1.37168</v>
      </c>
      <c r="X316" s="39" t="n">
        <f aca="false">Resumo!$B$9</f>
        <v>1</v>
      </c>
      <c r="Y316" s="39" t="n">
        <f aca="false">Resumo!$B$10*CEILING(I316/100,1)</f>
        <v>4.5</v>
      </c>
      <c r="Z316" s="39" t="n">
        <f aca="false">Resumo!$B$12*CEILING(I316,1)</f>
        <v>3.18</v>
      </c>
      <c r="AA316" s="39" t="n">
        <f aca="false">Resumo!$B$13*CEILING(I316,1)</f>
        <v>23.85</v>
      </c>
      <c r="AB316" s="39" t="n">
        <f aca="false">SUM(U316:AA316)</f>
        <v>146.88752</v>
      </c>
      <c r="AC316" s="39" t="n">
        <f aca="false">AB316/(1-Resumo!$B$5)</f>
        <v>166.917636363636</v>
      </c>
      <c r="AD316" s="39" t="n">
        <f aca="false">(AB316-AA316)/(1-Resumo!$B$5)</f>
        <v>139.815363636364</v>
      </c>
      <c r="AE316" s="39" t="n">
        <f aca="false">AC316-T316</f>
        <v>52.4820740909091</v>
      </c>
      <c r="AF316" s="40" t="n">
        <f aca="false">AC316/T316-1</f>
        <v>0.458616823726804</v>
      </c>
      <c r="AG316" s="37" t="str">
        <f aca="false">IF(AC316&lt;T316,"SIM","NÃO")</f>
        <v>NÃO</v>
      </c>
      <c r="AH316" s="37" t="n">
        <v>8</v>
      </c>
      <c r="AI316" s="37" t="n">
        <v>5</v>
      </c>
      <c r="AJ316" s="37" t="s">
        <v>323</v>
      </c>
    </row>
    <row r="317" customFormat="false" ht="15" hidden="false" customHeight="false" outlineLevel="0" collapsed="false">
      <c r="A317" s="37" t="n">
        <v>365188333</v>
      </c>
      <c r="B317" s="38" t="n">
        <v>46227.8884143519</v>
      </c>
      <c r="C317" s="37" t="s">
        <v>320</v>
      </c>
      <c r="D317" s="37" t="s">
        <v>642</v>
      </c>
      <c r="E317" s="37" t="n">
        <v>26295607</v>
      </c>
      <c r="F317" s="37" t="s">
        <v>142</v>
      </c>
      <c r="G317" s="37" t="s">
        <v>207</v>
      </c>
      <c r="H317" s="37" t="s">
        <v>171</v>
      </c>
      <c r="I317" s="37" t="n">
        <v>52.3</v>
      </c>
      <c r="J317" s="39" t="n">
        <v>685.84</v>
      </c>
      <c r="K317" s="37" t="s">
        <v>498</v>
      </c>
      <c r="L317" s="39" t="n">
        <v>127.62</v>
      </c>
      <c r="M317" s="39" t="n">
        <v>91.6</v>
      </c>
      <c r="N317" s="39" t="n">
        <f aca="false">J317*Resumo!$C$7</f>
        <v>1.37168</v>
      </c>
      <c r="O317" s="39" t="n">
        <f aca="false">J317*Resumo!$C$8</f>
        <v>1.37168</v>
      </c>
      <c r="P317" s="39" t="n">
        <f aca="false">Resumo!$C$10*CEILING(I317/100,1)</f>
        <v>1</v>
      </c>
      <c r="Q317" s="39" t="n">
        <f aca="false">Resumo!$C$9</f>
        <v>11.9</v>
      </c>
      <c r="R317" s="39" t="n">
        <f aca="false">SUM(M317:Q317)*Resumo!$C$11</f>
        <v>5.8983848</v>
      </c>
      <c r="S317" s="39" t="n">
        <f aca="false">SUM(M317:R317)</f>
        <v>113.1417448</v>
      </c>
      <c r="T317" s="39" t="n">
        <f aca="false">S317/(1-Resumo!$C$5)</f>
        <v>128.570164545455</v>
      </c>
      <c r="U317" s="39" t="n">
        <v>112.3</v>
      </c>
      <c r="V317" s="39" t="n">
        <f aca="false">J317*Resumo!$B$6</f>
        <v>0.68584</v>
      </c>
      <c r="W317" s="39" t="n">
        <f aca="false">J317*Resumo!$B$7</f>
        <v>1.37168</v>
      </c>
      <c r="X317" s="39" t="n">
        <f aca="false">Resumo!$B$9</f>
        <v>1</v>
      </c>
      <c r="Y317" s="39" t="n">
        <f aca="false">Resumo!$B$10*CEILING(I317/100,1)</f>
        <v>4.5</v>
      </c>
      <c r="Z317" s="39" t="n">
        <f aca="false">Resumo!$B$12*CEILING(I317,1)</f>
        <v>3.18</v>
      </c>
      <c r="AA317" s="39" t="n">
        <f aca="false">Resumo!$B$13*CEILING(I317,1)</f>
        <v>23.85</v>
      </c>
      <c r="AB317" s="39" t="n">
        <f aca="false">SUM(U317:AA317)</f>
        <v>146.88752</v>
      </c>
      <c r="AC317" s="39" t="n">
        <f aca="false">AB317/(1-Resumo!$B$5)</f>
        <v>166.917636363636</v>
      </c>
      <c r="AD317" s="39" t="n">
        <f aca="false">(AB317-AA317)/(1-Resumo!$B$5)</f>
        <v>139.815363636364</v>
      </c>
      <c r="AE317" s="39" t="n">
        <f aca="false">AC317-T317</f>
        <v>38.3474718181818</v>
      </c>
      <c r="AF317" s="40" t="n">
        <f aca="false">AC317/T317-1</f>
        <v>0.298261046439157</v>
      </c>
      <c r="AG317" s="37" t="str">
        <f aca="false">IF(AC317&lt;T317,"SIM","NÃO")</f>
        <v>NÃO</v>
      </c>
      <c r="AH317" s="37" t="n">
        <v>10</v>
      </c>
      <c r="AI317" s="37" t="n">
        <v>5</v>
      </c>
      <c r="AJ317" s="37" t="s">
        <v>323</v>
      </c>
    </row>
    <row r="318" customFormat="false" ht="15" hidden="false" customHeight="false" outlineLevel="0" collapsed="false">
      <c r="A318" s="37" t="n">
        <v>365196543</v>
      </c>
      <c r="B318" s="38" t="n">
        <v>46227.9042824074</v>
      </c>
      <c r="C318" s="37" t="s">
        <v>359</v>
      </c>
      <c r="D318" s="37" t="s">
        <v>643</v>
      </c>
      <c r="E318" s="37" t="n">
        <v>22723391</v>
      </c>
      <c r="F318" s="37" t="s">
        <v>139</v>
      </c>
      <c r="G318" s="37" t="s">
        <v>198</v>
      </c>
      <c r="H318" s="37" t="s">
        <v>171</v>
      </c>
      <c r="I318" s="37" t="n">
        <v>52.3</v>
      </c>
      <c r="J318" s="39" t="n">
        <v>616.99</v>
      </c>
      <c r="K318" s="37" t="s">
        <v>498</v>
      </c>
      <c r="L318" s="39" t="n">
        <v>113.24</v>
      </c>
      <c r="M318" s="39" t="n">
        <v>79.81</v>
      </c>
      <c r="N318" s="39" t="n">
        <f aca="false">J318*Resumo!$C$7</f>
        <v>1.23398</v>
      </c>
      <c r="O318" s="39" t="n">
        <f aca="false">J318*Resumo!$C$8</f>
        <v>1.23398</v>
      </c>
      <c r="P318" s="39" t="n">
        <f aca="false">Resumo!$C$10*CEILING(I318/100,1)</f>
        <v>1</v>
      </c>
      <c r="Q318" s="39" t="n">
        <f aca="false">Resumo!$C$9</f>
        <v>11.9</v>
      </c>
      <c r="R318" s="39" t="n">
        <f aca="false">SUM(M318:Q318)*Resumo!$C$11</f>
        <v>5.2347878</v>
      </c>
      <c r="S318" s="39" t="n">
        <f aca="false">SUM(M318:R318)</f>
        <v>100.4127478</v>
      </c>
      <c r="T318" s="39" t="n">
        <f aca="false">S318/(1-Resumo!$C$5)</f>
        <v>114.105395227273</v>
      </c>
      <c r="U318" s="39" t="n">
        <v>112.3</v>
      </c>
      <c r="V318" s="39" t="n">
        <f aca="false">J318*Resumo!$B$6</f>
        <v>0.61699</v>
      </c>
      <c r="W318" s="39" t="n">
        <f aca="false">J318*Resumo!$B$7</f>
        <v>1.23398</v>
      </c>
      <c r="X318" s="39" t="n">
        <f aca="false">Resumo!$B$9</f>
        <v>1</v>
      </c>
      <c r="Y318" s="39" t="n">
        <f aca="false">Resumo!$B$10*CEILING(I318/100,1)</f>
        <v>4.5</v>
      </c>
      <c r="Z318" s="39" t="n">
        <f aca="false">Resumo!$B$12*CEILING(I318,1)</f>
        <v>3.18</v>
      </c>
      <c r="AA318" s="39" t="n">
        <f aca="false">Resumo!$B$13*CEILING(I318,1)</f>
        <v>23.85</v>
      </c>
      <c r="AB318" s="39" t="n">
        <f aca="false">SUM(U318:AA318)</f>
        <v>146.68097</v>
      </c>
      <c r="AC318" s="39" t="n">
        <f aca="false">AB318/(1-Resumo!$B$5)</f>
        <v>166.682920454545</v>
      </c>
      <c r="AD318" s="39" t="n">
        <f aca="false">(AB318-AA318)/(1-Resumo!$B$5)</f>
        <v>139.580647727273</v>
      </c>
      <c r="AE318" s="39" t="n">
        <f aca="false">AC318-T318</f>
        <v>52.5775252272727</v>
      </c>
      <c r="AF318" s="40" t="n">
        <f aca="false">AC318/T318-1</f>
        <v>0.46078036119633</v>
      </c>
      <c r="AG318" s="37" t="str">
        <f aca="false">IF(AC318&lt;T318,"SIM","NÃO")</f>
        <v>NÃO</v>
      </c>
      <c r="AH318" s="37" t="n">
        <v>8</v>
      </c>
      <c r="AI318" s="37" t="n">
        <v>5</v>
      </c>
      <c r="AJ318" s="37" t="s">
        <v>323</v>
      </c>
    </row>
    <row r="319" customFormat="false" ht="15" hidden="false" customHeight="false" outlineLevel="0" collapsed="false">
      <c r="A319" s="37" t="n">
        <v>365204504</v>
      </c>
      <c r="B319" s="38" t="n">
        <v>46227.9150462963</v>
      </c>
      <c r="C319" s="37" t="s">
        <v>320</v>
      </c>
      <c r="D319" s="37" t="s">
        <v>644</v>
      </c>
      <c r="E319" s="37" t="n">
        <v>22783200</v>
      </c>
      <c r="F319" s="37" t="s">
        <v>139</v>
      </c>
      <c r="G319" s="37" t="s">
        <v>198</v>
      </c>
      <c r="H319" s="37" t="s">
        <v>171</v>
      </c>
      <c r="I319" s="37" t="n">
        <v>52.3</v>
      </c>
      <c r="J319" s="39" t="n">
        <v>699.99</v>
      </c>
      <c r="K319" s="37" t="s">
        <v>498</v>
      </c>
      <c r="L319" s="39" t="n">
        <v>113.63</v>
      </c>
      <c r="M319" s="39" t="n">
        <v>79.81</v>
      </c>
      <c r="N319" s="39" t="n">
        <f aca="false">J319*Resumo!$C$7</f>
        <v>1.39998</v>
      </c>
      <c r="O319" s="39" t="n">
        <f aca="false">J319*Resumo!$C$8</f>
        <v>1.39998</v>
      </c>
      <c r="P319" s="39" t="n">
        <f aca="false">Resumo!$C$10*CEILING(I319/100,1)</f>
        <v>1</v>
      </c>
      <c r="Q319" s="39" t="n">
        <f aca="false">Resumo!$C$9</f>
        <v>11.9</v>
      </c>
      <c r="R319" s="39" t="n">
        <f aca="false">SUM(M319:Q319)*Resumo!$C$11</f>
        <v>5.2530478</v>
      </c>
      <c r="S319" s="39" t="n">
        <f aca="false">SUM(M319:R319)</f>
        <v>100.7630078</v>
      </c>
      <c r="T319" s="39" t="n">
        <f aca="false">S319/(1-Resumo!$C$5)</f>
        <v>114.503417954545</v>
      </c>
      <c r="U319" s="39" t="n">
        <v>112.3</v>
      </c>
      <c r="V319" s="39" t="n">
        <f aca="false">J319*Resumo!$B$6</f>
        <v>0.69999</v>
      </c>
      <c r="W319" s="39" t="n">
        <f aca="false">J319*Resumo!$B$7</f>
        <v>1.39998</v>
      </c>
      <c r="X319" s="39" t="n">
        <f aca="false">Resumo!$B$9</f>
        <v>1</v>
      </c>
      <c r="Y319" s="39" t="n">
        <f aca="false">Resumo!$B$10*CEILING(I319/100,1)</f>
        <v>4.5</v>
      </c>
      <c r="Z319" s="39" t="n">
        <f aca="false">Resumo!$B$12*CEILING(I319,1)</f>
        <v>3.18</v>
      </c>
      <c r="AA319" s="39" t="n">
        <f aca="false">Resumo!$B$13*CEILING(I319,1)</f>
        <v>23.85</v>
      </c>
      <c r="AB319" s="39" t="n">
        <f aca="false">SUM(U319:AA319)</f>
        <v>146.92997</v>
      </c>
      <c r="AC319" s="39" t="n">
        <f aca="false">AB319/(1-Resumo!$B$5)</f>
        <v>166.965875</v>
      </c>
      <c r="AD319" s="39" t="n">
        <f aca="false">(AB319-AA319)/(1-Resumo!$B$5)</f>
        <v>139.863602272727</v>
      </c>
      <c r="AE319" s="39" t="n">
        <f aca="false">AC319-T319</f>
        <v>52.4624570454545</v>
      </c>
      <c r="AF319" s="40" t="n">
        <f aca="false">AC319/T319-1</f>
        <v>0.458173720772952</v>
      </c>
      <c r="AG319" s="37" t="str">
        <f aca="false">IF(AC319&lt;T319,"SIM","NÃO")</f>
        <v>NÃO</v>
      </c>
      <c r="AH319" s="37" t="n">
        <v>8</v>
      </c>
      <c r="AI319" s="37" t="n">
        <v>5</v>
      </c>
      <c r="AJ319" s="37" t="s">
        <v>323</v>
      </c>
    </row>
    <row r="320" customFormat="false" ht="15" hidden="false" customHeight="false" outlineLevel="0" collapsed="false">
      <c r="A320" s="37" t="n">
        <v>365242625</v>
      </c>
      <c r="B320" s="38" t="n">
        <v>46227.9572569444</v>
      </c>
      <c r="C320" s="37" t="s">
        <v>325</v>
      </c>
      <c r="D320" s="37" t="s">
        <v>645</v>
      </c>
      <c r="E320" s="37" t="n">
        <v>23020230</v>
      </c>
      <c r="F320" s="37" t="s">
        <v>139</v>
      </c>
      <c r="G320" s="37" t="s">
        <v>198</v>
      </c>
      <c r="H320" s="37" t="s">
        <v>176</v>
      </c>
      <c r="I320" s="37" t="n">
        <v>145.8</v>
      </c>
      <c r="J320" s="39" t="n">
        <v>1869.99</v>
      </c>
      <c r="K320" s="37" t="s">
        <v>498</v>
      </c>
      <c r="L320" s="39" t="n">
        <v>238.41</v>
      </c>
      <c r="M320" s="39" t="n">
        <v>174.85</v>
      </c>
      <c r="N320" s="39" t="n">
        <f aca="false">J320*Resumo!$C$7</f>
        <v>3.73998</v>
      </c>
      <c r="O320" s="39" t="n">
        <f aca="false">J320*Resumo!$C$8</f>
        <v>3.73998</v>
      </c>
      <c r="P320" s="39" t="n">
        <f aca="false">Resumo!$C$10*CEILING(I320/100,1)</f>
        <v>2</v>
      </c>
      <c r="Q320" s="39" t="n">
        <f aca="false">Resumo!$C$9</f>
        <v>11.9</v>
      </c>
      <c r="R320" s="39" t="n">
        <f aca="false">SUM(M320:Q320)*Resumo!$C$11</f>
        <v>10.7926478</v>
      </c>
      <c r="S320" s="39" t="n">
        <f aca="false">SUM(M320:R320)</f>
        <v>207.0226078</v>
      </c>
      <c r="T320" s="39" t="n">
        <f aca="false">S320/(1-Resumo!$C$5)</f>
        <v>235.252963409091</v>
      </c>
      <c r="U320" s="39" t="n">
        <v>239.25</v>
      </c>
      <c r="V320" s="39" t="n">
        <f aca="false">J320*Resumo!$B$6</f>
        <v>1.86999</v>
      </c>
      <c r="W320" s="39" t="n">
        <f aca="false">J320*Resumo!$B$7</f>
        <v>3.73998</v>
      </c>
      <c r="X320" s="39" t="n">
        <f aca="false">Resumo!$B$9</f>
        <v>1</v>
      </c>
      <c r="Y320" s="39" t="n">
        <f aca="false">Resumo!$B$10*CEILING(I320/100,1)</f>
        <v>9</v>
      </c>
      <c r="Z320" s="39" t="n">
        <f aca="false">Resumo!$B$12*CEILING(I320,1)</f>
        <v>8.76</v>
      </c>
      <c r="AA320" s="39" t="n">
        <f aca="false">Resumo!$B$13*CEILING(I320,1)</f>
        <v>65.7</v>
      </c>
      <c r="AB320" s="39" t="n">
        <f aca="false">SUM(U320:AA320)</f>
        <v>329.31997</v>
      </c>
      <c r="AC320" s="39" t="n">
        <f aca="false">AB320/(1-Resumo!$B$5)</f>
        <v>374.227238636364</v>
      </c>
      <c r="AD320" s="39" t="n">
        <f aca="false">(AB320-AA320)/(1-Resumo!$B$5)</f>
        <v>299.568147727273</v>
      </c>
      <c r="AE320" s="39" t="n">
        <f aca="false">AC320-T320</f>
        <v>138.974275227273</v>
      </c>
      <c r="AF320" s="40" t="n">
        <f aca="false">AC320/T320-1</f>
        <v>0.590743994096282</v>
      </c>
      <c r="AG320" s="37" t="str">
        <f aca="false">IF(AC320&lt;T320,"SIM","NÃO")</f>
        <v>NÃO</v>
      </c>
      <c r="AH320" s="37" t="n">
        <v>8</v>
      </c>
      <c r="AI320" s="37" t="n">
        <v>5</v>
      </c>
      <c r="AJ320" s="37" t="s">
        <v>323</v>
      </c>
    </row>
    <row r="321" customFormat="false" ht="15" hidden="false" customHeight="false" outlineLevel="0" collapsed="false">
      <c r="A321" s="37" t="n">
        <v>365248742</v>
      </c>
      <c r="B321" s="38" t="n">
        <v>46227.9659837963</v>
      </c>
      <c r="C321" s="37" t="s">
        <v>320</v>
      </c>
      <c r="D321" s="37" t="s">
        <v>646</v>
      </c>
      <c r="E321" s="37" t="n">
        <v>24465531</v>
      </c>
      <c r="F321" s="37" t="s">
        <v>140</v>
      </c>
      <c r="G321" s="37" t="s">
        <v>207</v>
      </c>
      <c r="H321" s="37" t="s">
        <v>172</v>
      </c>
      <c r="I321" s="37" t="n">
        <v>66.8</v>
      </c>
      <c r="J321" s="39" t="n">
        <v>639.99</v>
      </c>
      <c r="K321" s="37" t="s">
        <v>498</v>
      </c>
      <c r="L321" s="39" t="n">
        <v>140.89</v>
      </c>
      <c r="M321" s="39" t="n">
        <v>100.9</v>
      </c>
      <c r="N321" s="39" t="n">
        <f aca="false">J321*Resumo!$C$7</f>
        <v>1.27998</v>
      </c>
      <c r="O321" s="39" t="n">
        <f aca="false">J321*Resumo!$C$8</f>
        <v>1.27998</v>
      </c>
      <c r="P321" s="39" t="n">
        <f aca="false">Resumo!$C$10*CEILING(I321/100,1)</f>
        <v>1</v>
      </c>
      <c r="Q321" s="39" t="n">
        <f aca="false">Resumo!$C$9</f>
        <v>11.9</v>
      </c>
      <c r="R321" s="39" t="n">
        <f aca="false">SUM(M321:Q321)*Resumo!$C$11</f>
        <v>6.3997978</v>
      </c>
      <c r="S321" s="39" t="n">
        <f aca="false">SUM(M321:R321)</f>
        <v>122.7597578</v>
      </c>
      <c r="T321" s="39" t="n">
        <f aca="false">S321/(1-Resumo!$C$5)</f>
        <v>139.499724772727</v>
      </c>
      <c r="U321" s="39" t="n">
        <v>149.5</v>
      </c>
      <c r="V321" s="39" t="n">
        <f aca="false">J321*Resumo!$B$6</f>
        <v>0.63999</v>
      </c>
      <c r="W321" s="39" t="n">
        <f aca="false">J321*Resumo!$B$7</f>
        <v>1.27998</v>
      </c>
      <c r="X321" s="39" t="n">
        <f aca="false">Resumo!$B$9</f>
        <v>1</v>
      </c>
      <c r="Y321" s="39" t="n">
        <f aca="false">Resumo!$B$10*CEILING(I321/100,1)</f>
        <v>4.5</v>
      </c>
      <c r="Z321" s="39" t="n">
        <f aca="false">Resumo!$B$12*CEILING(I321,1)</f>
        <v>4.02</v>
      </c>
      <c r="AA321" s="39" t="n">
        <f aca="false">Resumo!$B$13*CEILING(I321,1)</f>
        <v>30.15</v>
      </c>
      <c r="AB321" s="39" t="n">
        <f aca="false">SUM(U321:AA321)</f>
        <v>191.08997</v>
      </c>
      <c r="AC321" s="39" t="n">
        <f aca="false">AB321/(1-Resumo!$B$5)</f>
        <v>217.147693181818</v>
      </c>
      <c r="AD321" s="39" t="n">
        <f aca="false">(AB321-AA321)/(1-Resumo!$B$5)</f>
        <v>182.886329545455</v>
      </c>
      <c r="AE321" s="39" t="n">
        <f aca="false">AC321-T321</f>
        <v>77.6479684090909</v>
      </c>
      <c r="AF321" s="40" t="n">
        <f aca="false">AC321/T321-1</f>
        <v>0.55661735917827</v>
      </c>
      <c r="AG321" s="37" t="str">
        <f aca="false">IF(AC321&lt;T321,"SIM","NÃO")</f>
        <v>NÃO</v>
      </c>
      <c r="AH321" s="37" t="n">
        <v>10</v>
      </c>
      <c r="AI321" s="37" t="n">
        <v>7</v>
      </c>
      <c r="AJ321" s="37" t="s">
        <v>323</v>
      </c>
    </row>
    <row r="322" customFormat="false" ht="15" hidden="false" customHeight="false" outlineLevel="0" collapsed="false">
      <c r="A322" s="37" t="n">
        <v>365581559</v>
      </c>
      <c r="B322" s="38" t="n">
        <v>46228.4722453704</v>
      </c>
      <c r="C322" s="37" t="s">
        <v>320</v>
      </c>
      <c r="D322" s="37" t="s">
        <v>647</v>
      </c>
      <c r="E322" s="37" t="n">
        <v>24445790</v>
      </c>
      <c r="F322" s="37" t="s">
        <v>140</v>
      </c>
      <c r="G322" s="37" t="s">
        <v>207</v>
      </c>
      <c r="H322" s="37" t="s">
        <v>169</v>
      </c>
      <c r="I322" s="37" t="n">
        <v>37.2</v>
      </c>
      <c r="J322" s="39" t="n">
        <v>399.99</v>
      </c>
      <c r="K322" s="37" t="s">
        <v>498</v>
      </c>
      <c r="L322" s="39" t="n">
        <v>113.87</v>
      </c>
      <c r="M322" s="39" t="n">
        <v>79.65</v>
      </c>
      <c r="N322" s="39" t="n">
        <f aca="false">J322*Resumo!$C$7</f>
        <v>0.79998</v>
      </c>
      <c r="O322" s="39" t="n">
        <f aca="false">J322*Resumo!$C$8</f>
        <v>0.79998</v>
      </c>
      <c r="P322" s="39" t="n">
        <f aca="false">Resumo!$C$10*CEILING(I322/100,1)</f>
        <v>1</v>
      </c>
      <c r="Q322" s="39" t="n">
        <f aca="false">Resumo!$C$9</f>
        <v>11.9</v>
      </c>
      <c r="R322" s="39" t="n">
        <f aca="false">SUM(M322:Q322)*Resumo!$C$11</f>
        <v>5.1782478</v>
      </c>
      <c r="S322" s="39" t="n">
        <f aca="false">SUM(M322:R322)</f>
        <v>99.3282078</v>
      </c>
      <c r="T322" s="39" t="n">
        <f aca="false">S322/(1-Resumo!$C$5)</f>
        <v>112.872963409091</v>
      </c>
      <c r="U322" s="39" t="n">
        <v>114.95</v>
      </c>
      <c r="V322" s="39" t="n">
        <f aca="false">J322*Resumo!$B$6</f>
        <v>0.39999</v>
      </c>
      <c r="W322" s="39" t="n">
        <f aca="false">J322*Resumo!$B$7</f>
        <v>0.79998</v>
      </c>
      <c r="X322" s="39" t="n">
        <f aca="false">Resumo!$B$9</f>
        <v>1</v>
      </c>
      <c r="Y322" s="39" t="n">
        <f aca="false">Resumo!$B$10*CEILING(I322/100,1)</f>
        <v>4.5</v>
      </c>
      <c r="Z322" s="39" t="n">
        <f aca="false">Resumo!$B$12*CEILING(I322,1)</f>
        <v>2.28</v>
      </c>
      <c r="AA322" s="39" t="n">
        <f aca="false">Resumo!$B$13*CEILING(I322,1)</f>
        <v>17.1</v>
      </c>
      <c r="AB322" s="39" t="n">
        <f aca="false">SUM(U322:AA322)</f>
        <v>141.02997</v>
      </c>
      <c r="AC322" s="39" t="n">
        <f aca="false">AB322/(1-Resumo!$B$5)</f>
        <v>160.261329545455</v>
      </c>
      <c r="AD322" s="39" t="n">
        <f aca="false">(AB322-AA322)/(1-Resumo!$B$5)</f>
        <v>140.829511363636</v>
      </c>
      <c r="AE322" s="39" t="n">
        <f aca="false">AC322-T322</f>
        <v>47.3883661363636</v>
      </c>
      <c r="AF322" s="40" t="n">
        <f aca="false">AC322/T322-1</f>
        <v>0.419838061348772</v>
      </c>
      <c r="AG322" s="37" t="str">
        <f aca="false">IF(AC322&lt;T322,"SIM","NÃO")</f>
        <v>NÃO</v>
      </c>
      <c r="AH322" s="37" t="n">
        <v>10</v>
      </c>
      <c r="AI322" s="37" t="n">
        <v>7</v>
      </c>
      <c r="AJ322" s="37" t="s">
        <v>323</v>
      </c>
    </row>
    <row r="323" customFormat="false" ht="15" hidden="false" customHeight="false" outlineLevel="0" collapsed="false">
      <c r="A323" s="37" t="n">
        <v>365596763</v>
      </c>
      <c r="B323" s="38" t="n">
        <v>46228.4935763889</v>
      </c>
      <c r="C323" s="37" t="s">
        <v>320</v>
      </c>
      <c r="D323" s="37" t="s">
        <v>648</v>
      </c>
      <c r="E323" s="37" t="n">
        <v>24750070</v>
      </c>
      <c r="F323" s="37" t="s">
        <v>140</v>
      </c>
      <c r="G323" s="37" t="s">
        <v>207</v>
      </c>
      <c r="H323" s="37" t="s">
        <v>169</v>
      </c>
      <c r="I323" s="37" t="n">
        <v>40</v>
      </c>
      <c r="J323" s="39" t="n">
        <v>599.99</v>
      </c>
      <c r="K323" s="37" t="s">
        <v>498</v>
      </c>
      <c r="L323" s="39" t="n">
        <v>115.85</v>
      </c>
      <c r="M323" s="39" t="n">
        <v>79.65</v>
      </c>
      <c r="N323" s="39" t="n">
        <f aca="false">J323*Resumo!$C$7</f>
        <v>1.19998</v>
      </c>
      <c r="O323" s="39" t="n">
        <f aca="false">J323*Resumo!$C$8</f>
        <v>1.19998</v>
      </c>
      <c r="P323" s="39" t="n">
        <f aca="false">Resumo!$C$10*CEILING(I323/100,1)</f>
        <v>1</v>
      </c>
      <c r="Q323" s="39" t="n">
        <f aca="false">Resumo!$C$9</f>
        <v>11.9</v>
      </c>
      <c r="R323" s="39" t="n">
        <f aca="false">SUM(M323:Q323)*Resumo!$C$11</f>
        <v>5.2222478</v>
      </c>
      <c r="S323" s="39" t="n">
        <f aca="false">SUM(M323:R323)</f>
        <v>100.1722078</v>
      </c>
      <c r="T323" s="39" t="n">
        <f aca="false">S323/(1-Resumo!$C$5)</f>
        <v>113.832054318182</v>
      </c>
      <c r="U323" s="39" t="n">
        <v>114.95</v>
      </c>
      <c r="V323" s="39" t="n">
        <f aca="false">J323*Resumo!$B$6</f>
        <v>0.59999</v>
      </c>
      <c r="W323" s="39" t="n">
        <f aca="false">J323*Resumo!$B$7</f>
        <v>1.19998</v>
      </c>
      <c r="X323" s="39" t="n">
        <f aca="false">Resumo!$B$9</f>
        <v>1</v>
      </c>
      <c r="Y323" s="39" t="n">
        <f aca="false">Resumo!$B$10*CEILING(I323/100,1)</f>
        <v>4.5</v>
      </c>
      <c r="Z323" s="39" t="n">
        <f aca="false">Resumo!$B$12*CEILING(I323,1)</f>
        <v>2.4</v>
      </c>
      <c r="AA323" s="39" t="n">
        <f aca="false">Resumo!$B$13*CEILING(I323,1)</f>
        <v>18</v>
      </c>
      <c r="AB323" s="39" t="n">
        <f aca="false">SUM(U323:AA323)</f>
        <v>142.64997</v>
      </c>
      <c r="AC323" s="39" t="n">
        <f aca="false">AB323/(1-Resumo!$B$5)</f>
        <v>162.102238636364</v>
      </c>
      <c r="AD323" s="39" t="n">
        <f aca="false">(AB323-AA323)/(1-Resumo!$B$5)</f>
        <v>141.647693181818</v>
      </c>
      <c r="AE323" s="39" t="n">
        <f aca="false">AC323-T323</f>
        <v>48.2701843181818</v>
      </c>
      <c r="AF323" s="40" t="n">
        <f aca="false">AC323/T323-1</f>
        <v>0.424047379337086</v>
      </c>
      <c r="AG323" s="37" t="str">
        <f aca="false">IF(AC323&lt;T323,"SIM","NÃO")</f>
        <v>NÃO</v>
      </c>
      <c r="AH323" s="37" t="n">
        <v>10</v>
      </c>
      <c r="AI323" s="37" t="n">
        <v>7</v>
      </c>
      <c r="AJ323" s="37" t="s">
        <v>323</v>
      </c>
    </row>
    <row r="324" customFormat="false" ht="15" hidden="false" customHeight="false" outlineLevel="0" collapsed="false">
      <c r="A324" s="37" t="n">
        <v>365646208</v>
      </c>
      <c r="B324" s="38" t="n">
        <v>46228.5679166667</v>
      </c>
      <c r="C324" s="37" t="s">
        <v>341</v>
      </c>
      <c r="D324" s="37" t="s">
        <v>649</v>
      </c>
      <c r="E324" s="37" t="n">
        <v>24461290</v>
      </c>
      <c r="F324" s="37" t="s">
        <v>140</v>
      </c>
      <c r="G324" s="37" t="s">
        <v>207</v>
      </c>
      <c r="H324" s="37" t="s">
        <v>169</v>
      </c>
      <c r="I324" s="37" t="n">
        <v>37.2</v>
      </c>
      <c r="J324" s="39" t="n">
        <v>390.99</v>
      </c>
      <c r="K324" s="37" t="s">
        <v>498</v>
      </c>
      <c r="L324" s="39" t="n">
        <v>113.83</v>
      </c>
      <c r="M324" s="39" t="n">
        <v>79.65</v>
      </c>
      <c r="N324" s="39" t="n">
        <f aca="false">J324*Resumo!$C$7</f>
        <v>0.78198</v>
      </c>
      <c r="O324" s="39" t="n">
        <f aca="false">J324*Resumo!$C$8</f>
        <v>0.78198</v>
      </c>
      <c r="P324" s="39" t="n">
        <f aca="false">Resumo!$C$10*CEILING(I324/100,1)</f>
        <v>1</v>
      </c>
      <c r="Q324" s="39" t="n">
        <f aca="false">Resumo!$C$9</f>
        <v>11.9</v>
      </c>
      <c r="R324" s="39" t="n">
        <f aca="false">SUM(M324:Q324)*Resumo!$C$11</f>
        <v>5.1762678</v>
      </c>
      <c r="S324" s="39" t="n">
        <f aca="false">SUM(M324:R324)</f>
        <v>99.2902278</v>
      </c>
      <c r="T324" s="39" t="n">
        <f aca="false">S324/(1-Resumo!$C$5)</f>
        <v>112.829804318182</v>
      </c>
      <c r="U324" s="39" t="n">
        <v>114.95</v>
      </c>
      <c r="V324" s="39" t="n">
        <f aca="false">J324*Resumo!$B$6</f>
        <v>0.39099</v>
      </c>
      <c r="W324" s="39" t="n">
        <f aca="false">J324*Resumo!$B$7</f>
        <v>0.78198</v>
      </c>
      <c r="X324" s="39" t="n">
        <f aca="false">Resumo!$B$9</f>
        <v>1</v>
      </c>
      <c r="Y324" s="39" t="n">
        <f aca="false">Resumo!$B$10*CEILING(I324/100,1)</f>
        <v>4.5</v>
      </c>
      <c r="Z324" s="39" t="n">
        <f aca="false">Resumo!$B$12*CEILING(I324,1)</f>
        <v>2.28</v>
      </c>
      <c r="AA324" s="39" t="n">
        <f aca="false">Resumo!$B$13*CEILING(I324,1)</f>
        <v>17.1</v>
      </c>
      <c r="AB324" s="39" t="n">
        <f aca="false">SUM(U324:AA324)</f>
        <v>141.00297</v>
      </c>
      <c r="AC324" s="39" t="n">
        <f aca="false">AB324/(1-Resumo!$B$5)</f>
        <v>160.230647727273</v>
      </c>
      <c r="AD324" s="39" t="n">
        <f aca="false">(AB324-AA324)/(1-Resumo!$B$5)</f>
        <v>140.798829545455</v>
      </c>
      <c r="AE324" s="39" t="n">
        <f aca="false">AC324-T324</f>
        <v>47.4008434090909</v>
      </c>
      <c r="AF324" s="40" t="n">
        <f aca="false">AC324/T324-1</f>
        <v>0.420109240599406</v>
      </c>
      <c r="AG324" s="37" t="str">
        <f aca="false">IF(AC324&lt;T324,"SIM","NÃO")</f>
        <v>NÃO</v>
      </c>
      <c r="AH324" s="37" t="n">
        <v>10</v>
      </c>
      <c r="AI324" s="37" t="n">
        <v>7</v>
      </c>
      <c r="AJ324" s="37" t="s">
        <v>323</v>
      </c>
    </row>
    <row r="325" customFormat="false" ht="15" hidden="false" customHeight="false" outlineLevel="0" collapsed="false">
      <c r="A325" s="37" t="n">
        <v>365671494</v>
      </c>
      <c r="B325" s="38" t="n">
        <v>46228.5844791667</v>
      </c>
      <c r="C325" s="37" t="s">
        <v>359</v>
      </c>
      <c r="D325" s="37" t="s">
        <v>650</v>
      </c>
      <c r="E325" s="37" t="n">
        <v>25975450</v>
      </c>
      <c r="F325" s="37" t="s">
        <v>221</v>
      </c>
      <c r="G325" s="37" t="s">
        <v>201</v>
      </c>
      <c r="H325" s="37" t="s">
        <v>169</v>
      </c>
      <c r="I325" s="37" t="n">
        <v>40</v>
      </c>
      <c r="J325" s="39" t="n">
        <v>599.99</v>
      </c>
      <c r="K325" s="37" t="s">
        <v>498</v>
      </c>
      <c r="L325" s="39" t="n">
        <v>125.1</v>
      </c>
      <c r="M325" s="39" t="n">
        <v>87.4</v>
      </c>
      <c r="N325" s="39" t="n">
        <f aca="false">J325*Resumo!$C$7</f>
        <v>1.19998</v>
      </c>
      <c r="O325" s="39" t="n">
        <f aca="false">J325*Resumo!$C$8</f>
        <v>1.19998</v>
      </c>
      <c r="P325" s="39" t="n">
        <f aca="false">Resumo!$C$10*CEILING(I325/100,1)</f>
        <v>1</v>
      </c>
      <c r="Q325" s="39" t="n">
        <f aca="false">Resumo!$C$9</f>
        <v>11.9</v>
      </c>
      <c r="R325" s="39" t="n">
        <f aca="false">SUM(M325:Q325)*Resumo!$C$11</f>
        <v>5.6484978</v>
      </c>
      <c r="S325" s="39" t="n">
        <f aca="false">SUM(M325:R325)</f>
        <v>108.3484578</v>
      </c>
      <c r="T325" s="39" t="n">
        <f aca="false">S325/(1-Resumo!$C$5)</f>
        <v>123.1232475</v>
      </c>
      <c r="U325" s="39" t="n">
        <v>125.63</v>
      </c>
      <c r="V325" s="39" t="n">
        <f aca="false">J325*Resumo!$B$6</f>
        <v>0.59999</v>
      </c>
      <c r="W325" s="39" t="n">
        <f aca="false">J325*Resumo!$B$7</f>
        <v>1.19998</v>
      </c>
      <c r="X325" s="39" t="n">
        <f aca="false">Resumo!$B$9</f>
        <v>1</v>
      </c>
      <c r="Y325" s="39" t="n">
        <f aca="false">Resumo!$B$10*CEILING(I325/100,1)</f>
        <v>4.5</v>
      </c>
      <c r="Z325" s="39" t="n">
        <f aca="false">Resumo!$B$12*CEILING(I325,1)</f>
        <v>2.4</v>
      </c>
      <c r="AA325" s="39" t="n">
        <f aca="false">Resumo!$B$13*CEILING(I325,1)</f>
        <v>18</v>
      </c>
      <c r="AB325" s="39" t="n">
        <f aca="false">SUM(U325:AA325)</f>
        <v>153.32997</v>
      </c>
      <c r="AC325" s="39" t="n">
        <f aca="false">AB325/(1-Resumo!$B$5)</f>
        <v>174.238602272727</v>
      </c>
      <c r="AD325" s="39" t="n">
        <f aca="false">(AB325-AA325)/(1-Resumo!$B$5)</f>
        <v>153.784056818182</v>
      </c>
      <c r="AE325" s="39" t="n">
        <f aca="false">AC325-T325</f>
        <v>51.1153547727273</v>
      </c>
      <c r="AF325" s="40" t="n">
        <f aca="false">AC325/T325-1</f>
        <v>0.415155998648649</v>
      </c>
      <c r="AG325" s="37" t="str">
        <f aca="false">IF(AC325&lt;T325,"SIM","NÃO")</f>
        <v>NÃO</v>
      </c>
      <c r="AH325" s="37" t="n">
        <v>13</v>
      </c>
      <c r="AI325" s="37" t="n">
        <v>10</v>
      </c>
      <c r="AJ325" s="37" t="s">
        <v>327</v>
      </c>
    </row>
    <row r="326" customFormat="false" ht="15" hidden="false" customHeight="false" outlineLevel="0" collapsed="false">
      <c r="A326" s="37" t="n">
        <v>365718767</v>
      </c>
      <c r="B326" s="38" t="n">
        <v>46228.6526967593</v>
      </c>
      <c r="C326" s="37" t="s">
        <v>320</v>
      </c>
      <c r="D326" s="37" t="s">
        <v>651</v>
      </c>
      <c r="E326" s="37" t="n">
        <v>28927410</v>
      </c>
      <c r="F326" s="37" t="s">
        <v>152</v>
      </c>
      <c r="G326" s="37" t="s">
        <v>201</v>
      </c>
      <c r="H326" s="37" t="s">
        <v>170</v>
      </c>
      <c r="I326" s="37" t="n">
        <v>45.3</v>
      </c>
      <c r="J326" s="39" t="n">
        <v>699.99</v>
      </c>
      <c r="K326" s="37" t="s">
        <v>498</v>
      </c>
      <c r="L326" s="39" t="n">
        <v>131.75</v>
      </c>
      <c r="M326" s="39" t="n">
        <v>94</v>
      </c>
      <c r="N326" s="39" t="n">
        <f aca="false">J326*Resumo!$C$7</f>
        <v>1.39998</v>
      </c>
      <c r="O326" s="39" t="n">
        <f aca="false">J326*Resumo!$C$8</f>
        <v>1.39998</v>
      </c>
      <c r="P326" s="39" t="n">
        <f aca="false">Resumo!$C$10*CEILING(I326/100,1)</f>
        <v>1</v>
      </c>
      <c r="Q326" s="39" t="n">
        <f aca="false">Resumo!$C$9</f>
        <v>11.9</v>
      </c>
      <c r="R326" s="39" t="n">
        <f aca="false">SUM(M326:Q326)*Resumo!$C$11</f>
        <v>6.0334978</v>
      </c>
      <c r="S326" s="39" t="n">
        <f aca="false">SUM(M326:R326)</f>
        <v>115.7334578</v>
      </c>
      <c r="T326" s="39" t="n">
        <f aca="false">S326/(1-Resumo!$C$5)</f>
        <v>131.515292954545</v>
      </c>
      <c r="U326" s="39" t="n">
        <v>129.29</v>
      </c>
      <c r="V326" s="39" t="n">
        <f aca="false">J326*Resumo!$B$6</f>
        <v>0.69999</v>
      </c>
      <c r="W326" s="39" t="n">
        <f aca="false">J326*Resumo!$B$7</f>
        <v>1.39998</v>
      </c>
      <c r="X326" s="39" t="n">
        <f aca="false">Resumo!$B$9</f>
        <v>1</v>
      </c>
      <c r="Y326" s="39" t="n">
        <f aca="false">Resumo!$B$10*CEILING(I326/100,1)</f>
        <v>4.5</v>
      </c>
      <c r="Z326" s="39" t="n">
        <f aca="false">Resumo!$B$12*CEILING(I326,1)</f>
        <v>2.76</v>
      </c>
      <c r="AA326" s="39" t="n">
        <f aca="false">Resumo!$B$13*CEILING(I326,1)</f>
        <v>20.7</v>
      </c>
      <c r="AB326" s="39" t="n">
        <f aca="false">SUM(U326:AA326)</f>
        <v>160.34997</v>
      </c>
      <c r="AC326" s="39" t="n">
        <f aca="false">AB326/(1-Resumo!$B$5)</f>
        <v>182.215875</v>
      </c>
      <c r="AD326" s="39" t="n">
        <f aca="false">(AB326-AA326)/(1-Resumo!$B$5)</f>
        <v>158.693147727273</v>
      </c>
      <c r="AE326" s="39" t="n">
        <f aca="false">AC326-T326</f>
        <v>50.7005820454545</v>
      </c>
      <c r="AF326" s="40" t="n">
        <f aca="false">AC326/T326-1</f>
        <v>0.385510923531743</v>
      </c>
      <c r="AG326" s="37" t="str">
        <f aca="false">IF(AC326&lt;T326,"SIM","NÃO")</f>
        <v>NÃO</v>
      </c>
      <c r="AH326" s="37" t="n">
        <v>13</v>
      </c>
      <c r="AI326" s="37" t="n">
        <v>10</v>
      </c>
      <c r="AJ326" s="37" t="s">
        <v>323</v>
      </c>
    </row>
    <row r="327" customFormat="false" ht="15" hidden="false" customHeight="false" outlineLevel="0" collapsed="false">
      <c r="A327" s="37" t="n">
        <v>365723921</v>
      </c>
      <c r="B327" s="38" t="n">
        <v>46228.6613888889</v>
      </c>
      <c r="C327" s="37" t="s">
        <v>325</v>
      </c>
      <c r="D327" s="37" t="s">
        <v>630</v>
      </c>
      <c r="E327" s="37" t="n">
        <v>28050003</v>
      </c>
      <c r="F327" s="37" t="s">
        <v>144</v>
      </c>
      <c r="G327" s="37" t="s">
        <v>201</v>
      </c>
      <c r="H327" s="37" t="s">
        <v>172</v>
      </c>
      <c r="I327" s="37" t="n">
        <v>64.5</v>
      </c>
      <c r="J327" s="39" t="n">
        <v>959.99</v>
      </c>
      <c r="K327" s="37" t="s">
        <v>498</v>
      </c>
      <c r="L327" s="39" t="n">
        <v>156.92</v>
      </c>
      <c r="M327" s="39" t="n">
        <v>113.9</v>
      </c>
      <c r="N327" s="39" t="n">
        <f aca="false">J327*Resumo!$C$7</f>
        <v>1.91998</v>
      </c>
      <c r="O327" s="39" t="n">
        <f aca="false">J327*Resumo!$C$8</f>
        <v>1.91998</v>
      </c>
      <c r="P327" s="39" t="n">
        <f aca="false">Resumo!$C$10*CEILING(I327/100,1)</f>
        <v>1</v>
      </c>
      <c r="Q327" s="39" t="n">
        <f aca="false">Resumo!$C$9</f>
        <v>11.9</v>
      </c>
      <c r="R327" s="39" t="n">
        <f aca="false">SUM(M327:Q327)*Resumo!$C$11</f>
        <v>7.1851978</v>
      </c>
      <c r="S327" s="39" t="n">
        <f aca="false">SUM(M327:R327)</f>
        <v>137.8251578</v>
      </c>
      <c r="T327" s="39" t="n">
        <f aca="false">S327/(1-Resumo!$C$5)</f>
        <v>156.6194975</v>
      </c>
      <c r="U327" s="39" t="n">
        <v>171.54</v>
      </c>
      <c r="V327" s="39" t="n">
        <f aca="false">J327*Resumo!$B$6</f>
        <v>0.95999</v>
      </c>
      <c r="W327" s="39" t="n">
        <f aca="false">J327*Resumo!$B$7</f>
        <v>1.91998</v>
      </c>
      <c r="X327" s="39" t="n">
        <f aca="false">Resumo!$B$9</f>
        <v>1</v>
      </c>
      <c r="Y327" s="39" t="n">
        <f aca="false">Resumo!$B$10*CEILING(I327/100,1)</f>
        <v>4.5</v>
      </c>
      <c r="Z327" s="39" t="n">
        <f aca="false">Resumo!$B$12*CEILING(I327,1)</f>
        <v>3.9</v>
      </c>
      <c r="AA327" s="39" t="n">
        <f aca="false">Resumo!$B$13*CEILING(I327,1)</f>
        <v>29.25</v>
      </c>
      <c r="AB327" s="39" t="n">
        <f aca="false">SUM(U327:AA327)</f>
        <v>213.06997</v>
      </c>
      <c r="AC327" s="39" t="n">
        <f aca="false">AB327/(1-Resumo!$B$5)</f>
        <v>242.124965909091</v>
      </c>
      <c r="AD327" s="39" t="n">
        <f aca="false">(AB327-AA327)/(1-Resumo!$B$5)</f>
        <v>208.886329545455</v>
      </c>
      <c r="AE327" s="39" t="n">
        <f aca="false">AC327-T327</f>
        <v>85.5054684090909</v>
      </c>
      <c r="AF327" s="40" t="n">
        <f aca="false">AC327/T327-1</f>
        <v>0.545943958280743</v>
      </c>
      <c r="AG327" s="37" t="str">
        <f aca="false">IF(AC327&lt;T327,"SIM","NÃO")</f>
        <v>NÃO</v>
      </c>
      <c r="AH327" s="37" t="n">
        <v>13</v>
      </c>
      <c r="AI327" s="37" t="n">
        <v>11</v>
      </c>
      <c r="AJ327" s="37" t="s">
        <v>323</v>
      </c>
    </row>
    <row r="328" customFormat="false" ht="15" hidden="false" customHeight="false" outlineLevel="0" collapsed="false">
      <c r="A328" s="37" t="n">
        <v>365832106</v>
      </c>
      <c r="B328" s="38" t="n">
        <v>46228.8231481482</v>
      </c>
      <c r="C328" s="37" t="s">
        <v>355</v>
      </c>
      <c r="D328" s="37" t="s">
        <v>652</v>
      </c>
      <c r="E328" s="37" t="n">
        <v>22451263</v>
      </c>
      <c r="F328" s="37" t="s">
        <v>139</v>
      </c>
      <c r="G328" s="37" t="s">
        <v>198</v>
      </c>
      <c r="H328" s="37" t="s">
        <v>167</v>
      </c>
      <c r="I328" s="37" t="n">
        <v>9.95</v>
      </c>
      <c r="J328" s="39" t="n">
        <v>219.99</v>
      </c>
      <c r="K328" s="37" t="s">
        <v>498</v>
      </c>
      <c r="L328" s="39" t="n">
        <v>60.73</v>
      </c>
      <c r="M328" s="39" t="n">
        <v>39.83</v>
      </c>
      <c r="N328" s="39" t="n">
        <f aca="false">J328*Resumo!$C$7</f>
        <v>0.43998</v>
      </c>
      <c r="O328" s="39" t="n">
        <f aca="false">J328*Resumo!$C$8</f>
        <v>0.43998</v>
      </c>
      <c r="P328" s="39" t="n">
        <f aca="false">Resumo!$C$10*CEILING(I328/100,1)</f>
        <v>1</v>
      </c>
      <c r="Q328" s="39" t="n">
        <f aca="false">Resumo!$C$9</f>
        <v>11.9</v>
      </c>
      <c r="R328" s="39" t="n">
        <f aca="false">SUM(M328:Q328)*Resumo!$C$11</f>
        <v>2.9485478</v>
      </c>
      <c r="S328" s="39" t="n">
        <f aca="false">SUM(M328:R328)</f>
        <v>56.5585078</v>
      </c>
      <c r="T328" s="39" t="n">
        <f aca="false">S328/(1-Resumo!$C$5)</f>
        <v>64.2710315909091</v>
      </c>
      <c r="U328" s="39" t="n">
        <v>46.98</v>
      </c>
      <c r="V328" s="39" t="n">
        <f aca="false">J328*Resumo!$B$6</f>
        <v>0.21999</v>
      </c>
      <c r="W328" s="39" t="n">
        <f aca="false">J328*Resumo!$B$7</f>
        <v>0.43998</v>
      </c>
      <c r="X328" s="39" t="n">
        <f aca="false">Resumo!$B$9</f>
        <v>1</v>
      </c>
      <c r="Y328" s="39" t="n">
        <f aca="false">Resumo!$B$10*CEILING(I328/100,1)</f>
        <v>4.5</v>
      </c>
      <c r="Z328" s="39" t="n">
        <f aca="false">Resumo!$B$12*CEILING(I328,1)</f>
        <v>0.6</v>
      </c>
      <c r="AA328" s="39" t="n">
        <f aca="false">Resumo!$B$13*CEILING(I328,1)</f>
        <v>4.5</v>
      </c>
      <c r="AB328" s="39" t="n">
        <f aca="false">SUM(U328:AA328)</f>
        <v>58.23997</v>
      </c>
      <c r="AC328" s="39" t="n">
        <f aca="false">AB328/(1-Resumo!$B$5)</f>
        <v>66.1817840909091</v>
      </c>
      <c r="AD328" s="39" t="n">
        <f aca="false">(AB328-AA328)/(1-Resumo!$B$5)</f>
        <v>61.0681477272727</v>
      </c>
      <c r="AE328" s="39" t="n">
        <f aca="false">AC328-T328</f>
        <v>1.9107525</v>
      </c>
      <c r="AF328" s="40" t="n">
        <f aca="false">AC328/T328-1</f>
        <v>0.0297296068337927</v>
      </c>
      <c r="AG328" s="37" t="str">
        <f aca="false">IF(AC328&lt;T328,"SIM","NÃO")</f>
        <v>NÃO</v>
      </c>
      <c r="AH328" s="37" t="n">
        <v>8</v>
      </c>
      <c r="AI328" s="37" t="n">
        <v>5</v>
      </c>
      <c r="AJ328" s="37" t="s">
        <v>323</v>
      </c>
    </row>
    <row r="329" customFormat="false" ht="15" hidden="false" customHeight="false" outlineLevel="0" collapsed="false">
      <c r="A329" s="37" t="n">
        <v>365842106</v>
      </c>
      <c r="B329" s="38" t="n">
        <v>46228.833287037</v>
      </c>
      <c r="C329" s="37" t="s">
        <v>320</v>
      </c>
      <c r="D329" s="37" t="s">
        <v>653</v>
      </c>
      <c r="E329" s="37" t="n">
        <v>25035520</v>
      </c>
      <c r="F329" s="37" t="s">
        <v>141</v>
      </c>
      <c r="G329" s="37" t="s">
        <v>207</v>
      </c>
      <c r="H329" s="37" t="s">
        <v>171</v>
      </c>
      <c r="I329" s="37" t="n">
        <v>53.5</v>
      </c>
      <c r="J329" s="39" t="n">
        <v>629.99</v>
      </c>
      <c r="K329" s="37" t="s">
        <v>322</v>
      </c>
      <c r="L329" s="39" t="n">
        <v>128.31</v>
      </c>
      <c r="M329" s="39" t="n">
        <v>91.6</v>
      </c>
      <c r="N329" s="39" t="n">
        <f aca="false">J329*Resumo!$C$7</f>
        <v>1.25998</v>
      </c>
      <c r="O329" s="39" t="n">
        <f aca="false">J329*Resumo!$C$8</f>
        <v>1.25998</v>
      </c>
      <c r="P329" s="39" t="n">
        <f aca="false">Resumo!$C$10*CEILING(I329/100,1)</f>
        <v>1</v>
      </c>
      <c r="Q329" s="39" t="n">
        <f aca="false">Resumo!$C$9</f>
        <v>11.9</v>
      </c>
      <c r="R329" s="39" t="n">
        <f aca="false">SUM(M329:Q329)*Resumo!$C$11</f>
        <v>5.8860978</v>
      </c>
      <c r="S329" s="39" t="n">
        <f aca="false">SUM(M329:R329)</f>
        <v>112.9060578</v>
      </c>
      <c r="T329" s="39" t="n">
        <f aca="false">S329/(1-Resumo!$C$5)</f>
        <v>128.302338409091</v>
      </c>
      <c r="U329" s="39" t="n">
        <v>112.3</v>
      </c>
      <c r="V329" s="39" t="n">
        <f aca="false">J329*Resumo!$B$6</f>
        <v>0.62999</v>
      </c>
      <c r="W329" s="39" t="n">
        <f aca="false">J329*Resumo!$B$7</f>
        <v>1.25998</v>
      </c>
      <c r="X329" s="39" t="n">
        <f aca="false">Resumo!$B$9</f>
        <v>1</v>
      </c>
      <c r="Y329" s="39" t="n">
        <f aca="false">Resumo!$B$10*CEILING(I329/100,1)</f>
        <v>4.5</v>
      </c>
      <c r="Z329" s="39" t="n">
        <f aca="false">Resumo!$B$12*CEILING(I329,1)</f>
        <v>3.24</v>
      </c>
      <c r="AA329" s="39" t="n">
        <f aca="false">Resumo!$B$13*CEILING(I329,1)</f>
        <v>24.3</v>
      </c>
      <c r="AB329" s="39" t="n">
        <f aca="false">SUM(U329:AA329)</f>
        <v>147.22997</v>
      </c>
      <c r="AC329" s="39" t="n">
        <f aca="false">AB329/(1-Resumo!$B$5)</f>
        <v>167.306784090909</v>
      </c>
      <c r="AD329" s="39" t="n">
        <f aca="false">(AB329-AA329)/(1-Resumo!$B$5)</f>
        <v>139.693147727273</v>
      </c>
      <c r="AE329" s="39" t="n">
        <f aca="false">AC329-T329</f>
        <v>39.0044456818182</v>
      </c>
      <c r="AF329" s="40" t="n">
        <f aca="false">AC329/T329-1</f>
        <v>0.304004168321959</v>
      </c>
      <c r="AG329" s="37" t="str">
        <f aca="false">IF(AC329&lt;T329,"SIM","NÃO")</f>
        <v>NÃO</v>
      </c>
      <c r="AH329" s="37" t="n">
        <v>10</v>
      </c>
      <c r="AI329" s="37" t="n">
        <v>5</v>
      </c>
      <c r="AJ329" s="37" t="s">
        <v>323</v>
      </c>
    </row>
    <row r="330" customFormat="false" ht="15" hidden="false" customHeight="false" outlineLevel="0" collapsed="false">
      <c r="A330" s="37" t="n">
        <v>365938523</v>
      </c>
      <c r="B330" s="38" t="n">
        <v>46228.9591319444</v>
      </c>
      <c r="C330" s="37" t="s">
        <v>320</v>
      </c>
      <c r="D330" s="37" t="s">
        <v>654</v>
      </c>
      <c r="E330" s="37" t="n">
        <v>24715532</v>
      </c>
      <c r="F330" s="37" t="s">
        <v>140</v>
      </c>
      <c r="G330" s="37" t="s">
        <v>207</v>
      </c>
      <c r="H330" s="37" t="s">
        <v>168</v>
      </c>
      <c r="I330" s="37" t="n">
        <v>31</v>
      </c>
      <c r="J330" s="39" t="n">
        <v>329.99</v>
      </c>
      <c r="K330" s="37" t="s">
        <v>498</v>
      </c>
      <c r="L330" s="39" t="n">
        <v>100.83</v>
      </c>
      <c r="M330" s="39" t="n">
        <v>70</v>
      </c>
      <c r="N330" s="39" t="n">
        <f aca="false">J330*Resumo!$C$7</f>
        <v>0.65998</v>
      </c>
      <c r="O330" s="39" t="n">
        <f aca="false">J330*Resumo!$C$8</f>
        <v>0.65998</v>
      </c>
      <c r="P330" s="39" t="n">
        <f aca="false">Resumo!$C$10*CEILING(I330/100,1)</f>
        <v>1</v>
      </c>
      <c r="Q330" s="39" t="n">
        <f aca="false">Resumo!$C$9</f>
        <v>11.9</v>
      </c>
      <c r="R330" s="39" t="n">
        <f aca="false">SUM(M330:Q330)*Resumo!$C$11</f>
        <v>4.6320978</v>
      </c>
      <c r="S330" s="39" t="n">
        <f aca="false">SUM(M330:R330)</f>
        <v>88.8520578</v>
      </c>
      <c r="T330" s="39" t="n">
        <f aca="false">S330/(1-Resumo!$C$5)</f>
        <v>100.9682475</v>
      </c>
      <c r="U330" s="39" t="n">
        <v>100.58</v>
      </c>
      <c r="V330" s="39" t="n">
        <f aca="false">J330*Resumo!$B$6</f>
        <v>0.32999</v>
      </c>
      <c r="W330" s="39" t="n">
        <f aca="false">J330*Resumo!$B$7</f>
        <v>0.65998</v>
      </c>
      <c r="X330" s="39" t="n">
        <f aca="false">Resumo!$B$9</f>
        <v>1</v>
      </c>
      <c r="Y330" s="39" t="n">
        <f aca="false">Resumo!$B$10*CEILING(I330/100,1)</f>
        <v>4.5</v>
      </c>
      <c r="Z330" s="39" t="n">
        <f aca="false">Resumo!$B$12*CEILING(I330,1)</f>
        <v>1.86</v>
      </c>
      <c r="AA330" s="39" t="n">
        <f aca="false">Resumo!$B$13*CEILING(I330,1)</f>
        <v>13.95</v>
      </c>
      <c r="AB330" s="39" t="n">
        <f aca="false">SUM(U330:AA330)</f>
        <v>122.87997</v>
      </c>
      <c r="AC330" s="39" t="n">
        <f aca="false">AB330/(1-Resumo!$B$5)</f>
        <v>139.636329545455</v>
      </c>
      <c r="AD330" s="39" t="n">
        <f aca="false">(AB330-AA330)/(1-Resumo!$B$5)</f>
        <v>123.784056818182</v>
      </c>
      <c r="AE330" s="39" t="n">
        <f aca="false">AC330-T330</f>
        <v>38.6680820454546</v>
      </c>
      <c r="AF330" s="40" t="n">
        <f aca="false">AC330/T330-1</f>
        <v>0.382972696891214</v>
      </c>
      <c r="AG330" s="37" t="str">
        <f aca="false">IF(AC330&lt;T330,"SIM","NÃO")</f>
        <v>NÃO</v>
      </c>
      <c r="AH330" s="37" t="n">
        <v>10</v>
      </c>
      <c r="AI330" s="37" t="n">
        <v>7</v>
      </c>
      <c r="AJ330" s="37" t="s">
        <v>323</v>
      </c>
    </row>
    <row r="331" customFormat="false" ht="15" hidden="false" customHeight="false" outlineLevel="0" collapsed="false">
      <c r="A331" s="37" t="n">
        <v>366222669</v>
      </c>
      <c r="B331" s="38" t="n">
        <v>46229.3956944444</v>
      </c>
      <c r="C331" s="37" t="s">
        <v>320</v>
      </c>
      <c r="D331" s="37" t="s">
        <v>655</v>
      </c>
      <c r="E331" s="37" t="n">
        <v>24753600</v>
      </c>
      <c r="F331" s="37" t="s">
        <v>140</v>
      </c>
      <c r="G331" s="37" t="s">
        <v>207</v>
      </c>
      <c r="H331" s="37" t="s">
        <v>168</v>
      </c>
      <c r="I331" s="37" t="n">
        <v>31</v>
      </c>
      <c r="J331" s="39" t="n">
        <v>329.99</v>
      </c>
      <c r="K331" s="37" t="s">
        <v>498</v>
      </c>
      <c r="L331" s="39" t="n">
        <v>100.83</v>
      </c>
      <c r="M331" s="39" t="n">
        <v>70</v>
      </c>
      <c r="N331" s="39" t="n">
        <f aca="false">J331*Resumo!$C$7</f>
        <v>0.65998</v>
      </c>
      <c r="O331" s="39" t="n">
        <f aca="false">J331*Resumo!$C$8</f>
        <v>0.65998</v>
      </c>
      <c r="P331" s="39" t="n">
        <f aca="false">Resumo!$C$10*CEILING(I331/100,1)</f>
        <v>1</v>
      </c>
      <c r="Q331" s="39" t="n">
        <f aca="false">Resumo!$C$9</f>
        <v>11.9</v>
      </c>
      <c r="R331" s="39" t="n">
        <f aca="false">SUM(M331:Q331)*Resumo!$C$11</f>
        <v>4.6320978</v>
      </c>
      <c r="S331" s="39" t="n">
        <f aca="false">SUM(M331:R331)</f>
        <v>88.8520578</v>
      </c>
      <c r="T331" s="39" t="n">
        <f aca="false">S331/(1-Resumo!$C$5)</f>
        <v>100.9682475</v>
      </c>
      <c r="U331" s="39" t="n">
        <v>100.58</v>
      </c>
      <c r="V331" s="39" t="n">
        <f aca="false">J331*Resumo!$B$6</f>
        <v>0.32999</v>
      </c>
      <c r="W331" s="39" t="n">
        <f aca="false">J331*Resumo!$B$7</f>
        <v>0.65998</v>
      </c>
      <c r="X331" s="39" t="n">
        <f aca="false">Resumo!$B$9</f>
        <v>1</v>
      </c>
      <c r="Y331" s="39" t="n">
        <f aca="false">Resumo!$B$10*CEILING(I331/100,1)</f>
        <v>4.5</v>
      </c>
      <c r="Z331" s="39" t="n">
        <f aca="false">Resumo!$B$12*CEILING(I331,1)</f>
        <v>1.86</v>
      </c>
      <c r="AA331" s="39" t="n">
        <f aca="false">Resumo!$B$13*CEILING(I331,1)</f>
        <v>13.95</v>
      </c>
      <c r="AB331" s="39" t="n">
        <f aca="false">SUM(U331:AA331)</f>
        <v>122.87997</v>
      </c>
      <c r="AC331" s="39" t="n">
        <f aca="false">AB331/(1-Resumo!$B$5)</f>
        <v>139.636329545455</v>
      </c>
      <c r="AD331" s="39" t="n">
        <f aca="false">(AB331-AA331)/(1-Resumo!$B$5)</f>
        <v>123.784056818182</v>
      </c>
      <c r="AE331" s="39" t="n">
        <f aca="false">AC331-T331</f>
        <v>38.6680820454546</v>
      </c>
      <c r="AF331" s="40" t="n">
        <f aca="false">AC331/T331-1</f>
        <v>0.382972696891214</v>
      </c>
      <c r="AG331" s="37" t="str">
        <f aca="false">IF(AC331&lt;T331,"SIM","NÃO")</f>
        <v>NÃO</v>
      </c>
      <c r="AH331" s="37" t="n">
        <v>10</v>
      </c>
      <c r="AI331" s="37" t="n">
        <v>7</v>
      </c>
      <c r="AJ331" s="37" t="s">
        <v>323</v>
      </c>
    </row>
    <row r="332" customFormat="false" ht="15" hidden="false" customHeight="false" outlineLevel="0" collapsed="false">
      <c r="A332" s="37" t="n">
        <v>366247225</v>
      </c>
      <c r="B332" s="38" t="n">
        <v>46229.4313773148</v>
      </c>
      <c r="C332" s="37" t="s">
        <v>320</v>
      </c>
      <c r="D332" s="37" t="s">
        <v>656</v>
      </c>
      <c r="E332" s="37" t="n">
        <v>22790880</v>
      </c>
      <c r="F332" s="37" t="s">
        <v>139</v>
      </c>
      <c r="G332" s="37" t="s">
        <v>198</v>
      </c>
      <c r="H332" s="37" t="s">
        <v>171</v>
      </c>
      <c r="I332" s="37" t="n">
        <v>52.3</v>
      </c>
      <c r="J332" s="39" t="n">
        <v>699.99</v>
      </c>
      <c r="K332" s="37" t="s">
        <v>498</v>
      </c>
      <c r="L332" s="39" t="n">
        <v>113.63</v>
      </c>
      <c r="M332" s="39" t="n">
        <v>79.81</v>
      </c>
      <c r="N332" s="39" t="n">
        <f aca="false">J332*Resumo!$C$7</f>
        <v>1.39998</v>
      </c>
      <c r="O332" s="39" t="n">
        <f aca="false">J332*Resumo!$C$8</f>
        <v>1.39998</v>
      </c>
      <c r="P332" s="39" t="n">
        <f aca="false">Resumo!$C$10*CEILING(I332/100,1)</f>
        <v>1</v>
      </c>
      <c r="Q332" s="39" t="n">
        <f aca="false">Resumo!$C$9</f>
        <v>11.9</v>
      </c>
      <c r="R332" s="39" t="n">
        <f aca="false">SUM(M332:Q332)*Resumo!$C$11</f>
        <v>5.2530478</v>
      </c>
      <c r="S332" s="39" t="n">
        <f aca="false">SUM(M332:R332)</f>
        <v>100.7630078</v>
      </c>
      <c r="T332" s="39" t="n">
        <f aca="false">S332/(1-Resumo!$C$5)</f>
        <v>114.503417954545</v>
      </c>
      <c r="U332" s="39" t="n">
        <v>112.3</v>
      </c>
      <c r="V332" s="39" t="n">
        <f aca="false">J332*Resumo!$B$6</f>
        <v>0.69999</v>
      </c>
      <c r="W332" s="39" t="n">
        <f aca="false">J332*Resumo!$B$7</f>
        <v>1.39998</v>
      </c>
      <c r="X332" s="39" t="n">
        <f aca="false">Resumo!$B$9</f>
        <v>1</v>
      </c>
      <c r="Y332" s="39" t="n">
        <f aca="false">Resumo!$B$10*CEILING(I332/100,1)</f>
        <v>4.5</v>
      </c>
      <c r="Z332" s="39" t="n">
        <f aca="false">Resumo!$B$12*CEILING(I332,1)</f>
        <v>3.18</v>
      </c>
      <c r="AA332" s="39" t="n">
        <f aca="false">Resumo!$B$13*CEILING(I332,1)</f>
        <v>23.85</v>
      </c>
      <c r="AB332" s="39" t="n">
        <f aca="false">SUM(U332:AA332)</f>
        <v>146.92997</v>
      </c>
      <c r="AC332" s="39" t="n">
        <f aca="false">AB332/(1-Resumo!$B$5)</f>
        <v>166.965875</v>
      </c>
      <c r="AD332" s="39" t="n">
        <f aca="false">(AB332-AA332)/(1-Resumo!$B$5)</f>
        <v>139.863602272727</v>
      </c>
      <c r="AE332" s="39" t="n">
        <f aca="false">AC332-T332</f>
        <v>52.4624570454545</v>
      </c>
      <c r="AF332" s="40" t="n">
        <f aca="false">AC332/T332-1</f>
        <v>0.458173720772952</v>
      </c>
      <c r="AG332" s="37" t="str">
        <f aca="false">IF(AC332&lt;T332,"SIM","NÃO")</f>
        <v>NÃO</v>
      </c>
      <c r="AH332" s="37" t="n">
        <v>8</v>
      </c>
      <c r="AI332" s="37" t="n">
        <v>5</v>
      </c>
      <c r="AJ332" s="37" t="s">
        <v>323</v>
      </c>
    </row>
    <row r="333" customFormat="false" ht="15" hidden="false" customHeight="false" outlineLevel="0" collapsed="false">
      <c r="A333" s="37" t="n">
        <v>366326248</v>
      </c>
      <c r="B333" s="38" t="n">
        <v>46229.5356365741</v>
      </c>
      <c r="C333" s="37" t="s">
        <v>352</v>
      </c>
      <c r="D333" s="37" t="s">
        <v>657</v>
      </c>
      <c r="E333" s="37" t="n">
        <v>22290140</v>
      </c>
      <c r="F333" s="37" t="s">
        <v>139</v>
      </c>
      <c r="G333" s="37" t="s">
        <v>198</v>
      </c>
      <c r="H333" s="37" t="s">
        <v>167</v>
      </c>
      <c r="I333" s="37" t="n">
        <v>14.85</v>
      </c>
      <c r="J333" s="39" t="n">
        <v>191.99</v>
      </c>
      <c r="K333" s="37" t="s">
        <v>322</v>
      </c>
      <c r="L333" s="39" t="n">
        <v>64.13</v>
      </c>
      <c r="M333" s="39" t="n">
        <v>39.83</v>
      </c>
      <c r="N333" s="39" t="n">
        <f aca="false">J333*Resumo!$C$7</f>
        <v>0.38398</v>
      </c>
      <c r="O333" s="39" t="n">
        <f aca="false">J333*Resumo!$C$8</f>
        <v>0.38398</v>
      </c>
      <c r="P333" s="39" t="n">
        <f aca="false">Resumo!$C$10*CEILING(I333/100,1)</f>
        <v>1</v>
      </c>
      <c r="Q333" s="39" t="n">
        <f aca="false">Resumo!$C$9</f>
        <v>11.9</v>
      </c>
      <c r="R333" s="39" t="n">
        <f aca="false">SUM(M333:Q333)*Resumo!$C$11</f>
        <v>2.9423878</v>
      </c>
      <c r="S333" s="39" t="n">
        <f aca="false">SUM(M333:R333)</f>
        <v>56.4403478</v>
      </c>
      <c r="T333" s="39" t="n">
        <f aca="false">S333/(1-Resumo!$C$5)</f>
        <v>64.1367588636364</v>
      </c>
      <c r="U333" s="39" t="n">
        <v>46.98</v>
      </c>
      <c r="V333" s="39" t="n">
        <f aca="false">J333*Resumo!$B$6</f>
        <v>0.19199</v>
      </c>
      <c r="W333" s="39" t="n">
        <f aca="false">J333*Resumo!$B$7</f>
        <v>0.38398</v>
      </c>
      <c r="X333" s="39" t="n">
        <f aca="false">Resumo!$B$9</f>
        <v>1</v>
      </c>
      <c r="Y333" s="39" t="n">
        <f aca="false">Resumo!$B$10*CEILING(I333/100,1)</f>
        <v>4.5</v>
      </c>
      <c r="Z333" s="39" t="n">
        <f aca="false">Resumo!$B$12*CEILING(I333,1)</f>
        <v>0.9</v>
      </c>
      <c r="AA333" s="39" t="n">
        <f aca="false">Resumo!$B$13*CEILING(I333,1)</f>
        <v>6.75</v>
      </c>
      <c r="AB333" s="39" t="n">
        <f aca="false">SUM(U333:AA333)</f>
        <v>60.70597</v>
      </c>
      <c r="AC333" s="39" t="n">
        <f aca="false">AB333/(1-Resumo!$B$5)</f>
        <v>68.9840568181818</v>
      </c>
      <c r="AD333" s="39" t="n">
        <f aca="false">(AB333-AA333)/(1-Resumo!$B$5)</f>
        <v>61.3136022727273</v>
      </c>
      <c r="AE333" s="39" t="n">
        <f aca="false">AC333-T333</f>
        <v>4.84729795454545</v>
      </c>
      <c r="AF333" s="40" t="n">
        <f aca="false">AC333/T333-1</f>
        <v>0.0755775321427059</v>
      </c>
      <c r="AG333" s="37" t="str">
        <f aca="false">IF(AC333&lt;T333,"SIM","NÃO")</f>
        <v>NÃO</v>
      </c>
      <c r="AH333" s="37" t="n">
        <v>8</v>
      </c>
      <c r="AI333" s="37" t="n">
        <v>5</v>
      </c>
      <c r="AJ333" s="37" t="s">
        <v>323</v>
      </c>
    </row>
    <row r="334" customFormat="false" ht="15" hidden="false" customHeight="false" outlineLevel="0" collapsed="false">
      <c r="A334" s="37" t="n">
        <v>366385941</v>
      </c>
      <c r="B334" s="38" t="n">
        <v>46229.5977546296</v>
      </c>
      <c r="C334" s="37" t="s">
        <v>320</v>
      </c>
      <c r="D334" s="37" t="s">
        <v>658</v>
      </c>
      <c r="E334" s="37" t="n">
        <v>28983036</v>
      </c>
      <c r="F334" s="37" t="s">
        <v>153</v>
      </c>
      <c r="G334" s="37" t="s">
        <v>201</v>
      </c>
      <c r="H334" s="37" t="s">
        <v>168</v>
      </c>
      <c r="I334" s="37" t="n">
        <v>31.5</v>
      </c>
      <c r="J334" s="39" t="n">
        <v>429.99</v>
      </c>
      <c r="K334" s="37" t="s">
        <v>498</v>
      </c>
      <c r="L334" s="39" t="n">
        <v>109.58</v>
      </c>
      <c r="M334" s="39" t="n">
        <v>76.5</v>
      </c>
      <c r="N334" s="39" t="n">
        <f aca="false">J334*Resumo!$C$7</f>
        <v>0.85998</v>
      </c>
      <c r="O334" s="39" t="n">
        <f aca="false">J334*Resumo!$C$8</f>
        <v>0.85998</v>
      </c>
      <c r="P334" s="39" t="n">
        <f aca="false">Resumo!$C$10*CEILING(I334/100,1)</f>
        <v>1</v>
      </c>
      <c r="Q334" s="39" t="n">
        <f aca="false">Resumo!$C$9</f>
        <v>11.9</v>
      </c>
      <c r="R334" s="39" t="n">
        <f aca="false">SUM(M334:Q334)*Resumo!$C$11</f>
        <v>5.0115978</v>
      </c>
      <c r="S334" s="39" t="n">
        <f aca="false">SUM(M334:R334)</f>
        <v>96.1315578</v>
      </c>
      <c r="T334" s="39" t="n">
        <f aca="false">S334/(1-Resumo!$C$5)</f>
        <v>109.240406590909</v>
      </c>
      <c r="U334" s="39" t="n">
        <v>114.95</v>
      </c>
      <c r="V334" s="39" t="n">
        <f aca="false">J334*Resumo!$B$6</f>
        <v>0.42999</v>
      </c>
      <c r="W334" s="39" t="n">
        <f aca="false">J334*Resumo!$B$7</f>
        <v>0.85998</v>
      </c>
      <c r="X334" s="39" t="n">
        <f aca="false">Resumo!$B$9</f>
        <v>1</v>
      </c>
      <c r="Y334" s="39" t="n">
        <f aca="false">Resumo!$B$10*CEILING(I334/100,1)</f>
        <v>4.5</v>
      </c>
      <c r="Z334" s="39" t="n">
        <f aca="false">Resumo!$B$12*CEILING(I334,1)</f>
        <v>1.92</v>
      </c>
      <c r="AA334" s="39" t="n">
        <f aca="false">Resumo!$B$13*CEILING(I334,1)</f>
        <v>14.4</v>
      </c>
      <c r="AB334" s="39" t="n">
        <f aca="false">SUM(U334:AA334)</f>
        <v>138.05997</v>
      </c>
      <c r="AC334" s="39" t="n">
        <f aca="false">AB334/(1-Resumo!$B$5)</f>
        <v>156.886329545455</v>
      </c>
      <c r="AD334" s="39" t="n">
        <f aca="false">(AB334-AA334)/(1-Resumo!$B$5)</f>
        <v>140.522693181818</v>
      </c>
      <c r="AE334" s="39" t="n">
        <f aca="false">AC334-T334</f>
        <v>47.6459229545454</v>
      </c>
      <c r="AF334" s="40" t="n">
        <f aca="false">AC334/T334-1</f>
        <v>0.436156587488484</v>
      </c>
      <c r="AG334" s="37" t="str">
        <f aca="false">IF(AC334&lt;T334,"SIM","NÃO")</f>
        <v>NÃO</v>
      </c>
      <c r="AH334" s="37" t="n">
        <v>13</v>
      </c>
      <c r="AI334" s="37" t="n">
        <v>10</v>
      </c>
      <c r="AJ334" s="37" t="s">
        <v>323</v>
      </c>
    </row>
    <row r="335" customFormat="false" ht="15" hidden="false" customHeight="false" outlineLevel="0" collapsed="false">
      <c r="A335" s="37" t="n">
        <v>366416956</v>
      </c>
      <c r="B335" s="38" t="n">
        <v>46229.6320023148</v>
      </c>
      <c r="C335" s="37" t="s">
        <v>325</v>
      </c>
      <c r="D335" s="37" t="s">
        <v>659</v>
      </c>
      <c r="E335" s="37" t="n">
        <v>28890133</v>
      </c>
      <c r="F335" s="37" t="s">
        <v>158</v>
      </c>
      <c r="G335" s="37" t="s">
        <v>201</v>
      </c>
      <c r="H335" s="37" t="s">
        <v>171</v>
      </c>
      <c r="I335" s="37" t="n">
        <v>56.7</v>
      </c>
      <c r="J335" s="39" t="n">
        <v>688.47</v>
      </c>
      <c r="K335" s="37" t="s">
        <v>498</v>
      </c>
      <c r="L335" s="39" t="n">
        <v>144.01</v>
      </c>
      <c r="M335" s="39" t="n">
        <v>103.6</v>
      </c>
      <c r="N335" s="39" t="n">
        <f aca="false">J335*Resumo!$C$7</f>
        <v>1.37694</v>
      </c>
      <c r="O335" s="39" t="n">
        <f aca="false">J335*Resumo!$C$8</f>
        <v>1.37694</v>
      </c>
      <c r="P335" s="39" t="n">
        <f aca="false">Resumo!$C$10*CEILING(I335/100,1)</f>
        <v>1</v>
      </c>
      <c r="Q335" s="39" t="n">
        <f aca="false">Resumo!$C$9</f>
        <v>11.9</v>
      </c>
      <c r="R335" s="39" t="n">
        <f aca="false">SUM(M335:Q335)*Resumo!$C$11</f>
        <v>6.5589634</v>
      </c>
      <c r="S335" s="39" t="n">
        <f aca="false">SUM(M335:R335)</f>
        <v>125.8128434</v>
      </c>
      <c r="T335" s="39" t="n">
        <f aca="false">S335/(1-Resumo!$C$5)</f>
        <v>142.969140227273</v>
      </c>
      <c r="U335" s="39" t="n">
        <v>142.32</v>
      </c>
      <c r="V335" s="39" t="n">
        <f aca="false">J335*Resumo!$B$6</f>
        <v>0.68847</v>
      </c>
      <c r="W335" s="39" t="n">
        <f aca="false">J335*Resumo!$B$7</f>
        <v>1.37694</v>
      </c>
      <c r="X335" s="39" t="n">
        <f aca="false">Resumo!$B$9</f>
        <v>1</v>
      </c>
      <c r="Y335" s="39" t="n">
        <f aca="false">Resumo!$B$10*CEILING(I335/100,1)</f>
        <v>4.5</v>
      </c>
      <c r="Z335" s="39" t="n">
        <f aca="false">Resumo!$B$12*CEILING(I335,1)</f>
        <v>3.42</v>
      </c>
      <c r="AA335" s="39" t="n">
        <f aca="false">Resumo!$B$13*CEILING(I335,1)</f>
        <v>25.65</v>
      </c>
      <c r="AB335" s="39" t="n">
        <f aca="false">SUM(U335:AA335)</f>
        <v>178.95541</v>
      </c>
      <c r="AC335" s="39" t="n">
        <f aca="false">AB335/(1-Resumo!$B$5)</f>
        <v>203.358420454545</v>
      </c>
      <c r="AD335" s="39" t="n">
        <f aca="false">(AB335-AA335)/(1-Resumo!$B$5)</f>
        <v>174.210693181818</v>
      </c>
      <c r="AE335" s="39" t="n">
        <f aca="false">AC335-T335</f>
        <v>60.3892802272728</v>
      </c>
      <c r="AF335" s="40" t="n">
        <f aca="false">AC335/T335-1</f>
        <v>0.422393812617703</v>
      </c>
      <c r="AG335" s="37" t="str">
        <f aca="false">IF(AC335&lt;T335,"SIM","NÃO")</f>
        <v>NÃO</v>
      </c>
      <c r="AH335" s="37" t="n">
        <v>13</v>
      </c>
      <c r="AI335" s="37" t="n">
        <v>10</v>
      </c>
      <c r="AJ335" s="37" t="s">
        <v>323</v>
      </c>
    </row>
    <row r="336" customFormat="false" ht="15" hidden="false" customHeight="false" outlineLevel="0" collapsed="false">
      <c r="A336" s="37" t="n">
        <v>366449453</v>
      </c>
      <c r="B336" s="38" t="n">
        <v>46229.6685416667</v>
      </c>
      <c r="C336" s="37" t="s">
        <v>352</v>
      </c>
      <c r="D336" s="37" t="s">
        <v>660</v>
      </c>
      <c r="E336" s="37" t="n">
        <v>21530000</v>
      </c>
      <c r="F336" s="37" t="s">
        <v>139</v>
      </c>
      <c r="G336" s="37" t="s">
        <v>198</v>
      </c>
      <c r="H336" s="37" t="s">
        <v>170</v>
      </c>
      <c r="I336" s="37" t="n">
        <v>48.3</v>
      </c>
      <c r="J336" s="39" t="n">
        <v>391.99</v>
      </c>
      <c r="K336" s="37" t="s">
        <v>322</v>
      </c>
      <c r="L336" s="39" t="n">
        <v>102.45</v>
      </c>
      <c r="M336" s="39" t="n">
        <v>71</v>
      </c>
      <c r="N336" s="39" t="n">
        <f aca="false">J336*Resumo!$C$7</f>
        <v>0.78398</v>
      </c>
      <c r="O336" s="39" t="n">
        <f aca="false">J336*Resumo!$C$8</f>
        <v>0.78398</v>
      </c>
      <c r="P336" s="39" t="n">
        <f aca="false">Resumo!$C$10*CEILING(I336/100,1)</f>
        <v>1</v>
      </c>
      <c r="Q336" s="39" t="n">
        <f aca="false">Resumo!$C$9</f>
        <v>11.9</v>
      </c>
      <c r="R336" s="39" t="n">
        <f aca="false">SUM(M336:Q336)*Resumo!$C$11</f>
        <v>4.7007378</v>
      </c>
      <c r="S336" s="39" t="n">
        <f aca="false">SUM(M336:R336)</f>
        <v>90.1686978</v>
      </c>
      <c r="T336" s="39" t="n">
        <f aca="false">S336/(1-Resumo!$C$5)</f>
        <v>102.464429318182</v>
      </c>
      <c r="U336" s="39" t="n">
        <v>93.97</v>
      </c>
      <c r="V336" s="39" t="n">
        <f aca="false">J336*Resumo!$B$6</f>
        <v>0.39199</v>
      </c>
      <c r="W336" s="39" t="n">
        <f aca="false">J336*Resumo!$B$7</f>
        <v>0.78398</v>
      </c>
      <c r="X336" s="39" t="n">
        <f aca="false">Resumo!$B$9</f>
        <v>1</v>
      </c>
      <c r="Y336" s="39" t="n">
        <f aca="false">Resumo!$B$10*CEILING(I336/100,1)</f>
        <v>4.5</v>
      </c>
      <c r="Z336" s="39" t="n">
        <f aca="false">Resumo!$B$12*CEILING(I336,1)</f>
        <v>2.94</v>
      </c>
      <c r="AA336" s="39" t="n">
        <f aca="false">Resumo!$B$13*CEILING(I336,1)</f>
        <v>22.05</v>
      </c>
      <c r="AB336" s="39" t="n">
        <f aca="false">SUM(U336:AA336)</f>
        <v>125.63597</v>
      </c>
      <c r="AC336" s="39" t="n">
        <f aca="false">AB336/(1-Resumo!$B$5)</f>
        <v>142.768147727273</v>
      </c>
      <c r="AD336" s="39" t="n">
        <f aca="false">(AB336-AA336)/(1-Resumo!$B$5)</f>
        <v>117.711329545455</v>
      </c>
      <c r="AE336" s="39" t="n">
        <f aca="false">AC336-T336</f>
        <v>40.3037184090909</v>
      </c>
      <c r="AF336" s="40" t="n">
        <f aca="false">AC336/T336-1</f>
        <v>0.393343511277813</v>
      </c>
      <c r="AG336" s="37" t="str">
        <f aca="false">IF(AC336&lt;T336,"SIM","NÃO")</f>
        <v>NÃO</v>
      </c>
      <c r="AH336" s="37" t="n">
        <v>8</v>
      </c>
      <c r="AI336" s="37" t="n">
        <v>5</v>
      </c>
      <c r="AJ336" s="37" t="s">
        <v>323</v>
      </c>
    </row>
    <row r="337" customFormat="false" ht="15" hidden="false" customHeight="false" outlineLevel="0" collapsed="false">
      <c r="A337" s="37" t="n">
        <v>366477196</v>
      </c>
      <c r="B337" s="38" t="n">
        <v>46229.6940162037</v>
      </c>
      <c r="C337" s="37" t="s">
        <v>325</v>
      </c>
      <c r="D337" s="37" t="s">
        <v>661</v>
      </c>
      <c r="E337" s="37" t="n">
        <v>24924465</v>
      </c>
      <c r="F337" s="37" t="s">
        <v>151</v>
      </c>
      <c r="G337" s="37" t="s">
        <v>201</v>
      </c>
      <c r="H337" s="37" t="s">
        <v>176</v>
      </c>
      <c r="I337" s="37" t="n">
        <v>125.8</v>
      </c>
      <c r="J337" s="39" t="n">
        <v>1869.99</v>
      </c>
      <c r="K337" s="37" t="s">
        <v>498</v>
      </c>
      <c r="L337" s="39" t="n">
        <v>255.06</v>
      </c>
      <c r="M337" s="39" t="n">
        <v>197.37</v>
      </c>
      <c r="N337" s="39" t="n">
        <f aca="false">J337*Resumo!$C$7</f>
        <v>3.73998</v>
      </c>
      <c r="O337" s="39" t="n">
        <f aca="false">J337*Resumo!$C$8</f>
        <v>3.73998</v>
      </c>
      <c r="P337" s="39" t="n">
        <f aca="false">Resumo!$C$10*CEILING(I337/100,1)</f>
        <v>2</v>
      </c>
      <c r="Q337" s="39" t="n">
        <f aca="false">Resumo!$C$9</f>
        <v>11.9</v>
      </c>
      <c r="R337" s="39" t="n">
        <f aca="false">SUM(M337:Q337)*Resumo!$C$11</f>
        <v>12.0312478</v>
      </c>
      <c r="S337" s="39" t="n">
        <f aca="false">SUM(M337:R337)</f>
        <v>230.7812078</v>
      </c>
      <c r="T337" s="39" t="n">
        <f aca="false">S337/(1-Resumo!$C$5)</f>
        <v>262.2513725</v>
      </c>
      <c r="U337" s="39" t="n">
        <v>249.03</v>
      </c>
      <c r="V337" s="39" t="n">
        <f aca="false">J337*Resumo!$B$6</f>
        <v>1.86999</v>
      </c>
      <c r="W337" s="39" t="n">
        <f aca="false">J337*Resumo!$B$7</f>
        <v>3.73998</v>
      </c>
      <c r="X337" s="39" t="n">
        <f aca="false">Resumo!$B$9</f>
        <v>1</v>
      </c>
      <c r="Y337" s="39" t="n">
        <f aca="false">Resumo!$B$10*CEILING(I337/100,1)</f>
        <v>9</v>
      </c>
      <c r="Z337" s="39" t="n">
        <f aca="false">Resumo!$B$12*CEILING(I337,1)</f>
        <v>7.56</v>
      </c>
      <c r="AA337" s="39" t="n">
        <f aca="false">Resumo!$B$13*CEILING(I337,1)</f>
        <v>56.7</v>
      </c>
      <c r="AB337" s="39" t="n">
        <f aca="false">SUM(U337:AA337)</f>
        <v>328.89997</v>
      </c>
      <c r="AC337" s="39" t="n">
        <f aca="false">AB337/(1-Resumo!$B$5)</f>
        <v>373.749965909091</v>
      </c>
      <c r="AD337" s="39" t="n">
        <f aca="false">(AB337-AA337)/(1-Resumo!$B$5)</f>
        <v>309.318147727273</v>
      </c>
      <c r="AE337" s="39" t="n">
        <f aca="false">AC337-T337</f>
        <v>111.498593409091</v>
      </c>
      <c r="AF337" s="40" t="n">
        <f aca="false">AC337/T337-1</f>
        <v>0.425159236903864</v>
      </c>
      <c r="AG337" s="37" t="str">
        <f aca="false">IF(AC337&lt;T337,"SIM","NÃO")</f>
        <v>NÃO</v>
      </c>
      <c r="AH337" s="37" t="n">
        <v>13</v>
      </c>
      <c r="AI337" s="37" t="n">
        <v>7</v>
      </c>
      <c r="AJ337" s="37" t="s">
        <v>323</v>
      </c>
    </row>
    <row r="338" customFormat="false" ht="15" hidden="false" customHeight="false" outlineLevel="0" collapsed="false">
      <c r="A338" s="37" t="n">
        <v>366487630</v>
      </c>
      <c r="B338" s="38" t="n">
        <v>46229.704837963</v>
      </c>
      <c r="C338" s="37" t="s">
        <v>320</v>
      </c>
      <c r="D338" s="37" t="s">
        <v>662</v>
      </c>
      <c r="E338" s="37" t="n">
        <v>21710200</v>
      </c>
      <c r="F338" s="37" t="s">
        <v>139</v>
      </c>
      <c r="G338" s="37" t="s">
        <v>198</v>
      </c>
      <c r="H338" s="37" t="s">
        <v>171</v>
      </c>
      <c r="I338" s="37" t="n">
        <v>52.3</v>
      </c>
      <c r="J338" s="39" t="n">
        <v>699.99</v>
      </c>
      <c r="K338" s="37" t="s">
        <v>498</v>
      </c>
      <c r="L338" s="39" t="n">
        <v>113.63</v>
      </c>
      <c r="M338" s="39" t="n">
        <v>79.81</v>
      </c>
      <c r="N338" s="39" t="n">
        <f aca="false">J338*Resumo!$C$7</f>
        <v>1.39998</v>
      </c>
      <c r="O338" s="39" t="n">
        <f aca="false">J338*Resumo!$C$8</f>
        <v>1.39998</v>
      </c>
      <c r="P338" s="39" t="n">
        <f aca="false">Resumo!$C$10*CEILING(I338/100,1)</f>
        <v>1</v>
      </c>
      <c r="Q338" s="39" t="n">
        <f aca="false">Resumo!$C$9</f>
        <v>11.9</v>
      </c>
      <c r="R338" s="39" t="n">
        <f aca="false">SUM(M338:Q338)*Resumo!$C$11</f>
        <v>5.2530478</v>
      </c>
      <c r="S338" s="39" t="n">
        <f aca="false">SUM(M338:R338)</f>
        <v>100.7630078</v>
      </c>
      <c r="T338" s="39" t="n">
        <f aca="false">S338/(1-Resumo!$C$5)</f>
        <v>114.503417954545</v>
      </c>
      <c r="U338" s="39" t="n">
        <v>112.3</v>
      </c>
      <c r="V338" s="39" t="n">
        <f aca="false">J338*Resumo!$B$6</f>
        <v>0.69999</v>
      </c>
      <c r="W338" s="39" t="n">
        <f aca="false">J338*Resumo!$B$7</f>
        <v>1.39998</v>
      </c>
      <c r="X338" s="39" t="n">
        <f aca="false">Resumo!$B$9</f>
        <v>1</v>
      </c>
      <c r="Y338" s="39" t="n">
        <f aca="false">Resumo!$B$10*CEILING(I338/100,1)</f>
        <v>4.5</v>
      </c>
      <c r="Z338" s="39" t="n">
        <f aca="false">Resumo!$B$12*CEILING(I338,1)</f>
        <v>3.18</v>
      </c>
      <c r="AA338" s="39" t="n">
        <f aca="false">Resumo!$B$13*CEILING(I338,1)</f>
        <v>23.85</v>
      </c>
      <c r="AB338" s="39" t="n">
        <f aca="false">SUM(U338:AA338)</f>
        <v>146.92997</v>
      </c>
      <c r="AC338" s="39" t="n">
        <f aca="false">AB338/(1-Resumo!$B$5)</f>
        <v>166.965875</v>
      </c>
      <c r="AD338" s="39" t="n">
        <f aca="false">(AB338-AA338)/(1-Resumo!$B$5)</f>
        <v>139.863602272727</v>
      </c>
      <c r="AE338" s="39" t="n">
        <f aca="false">AC338-T338</f>
        <v>52.4624570454545</v>
      </c>
      <c r="AF338" s="40" t="n">
        <f aca="false">AC338/T338-1</f>
        <v>0.458173720772952</v>
      </c>
      <c r="AG338" s="37" t="str">
        <f aca="false">IF(AC338&lt;T338,"SIM","NÃO")</f>
        <v>NÃO</v>
      </c>
      <c r="AH338" s="37" t="n">
        <v>8</v>
      </c>
      <c r="AI338" s="37" t="n">
        <v>5</v>
      </c>
      <c r="AJ338" s="37" t="s">
        <v>323</v>
      </c>
    </row>
    <row r="339" customFormat="false" ht="15" hidden="false" customHeight="false" outlineLevel="0" collapsed="false">
      <c r="A339" s="37" t="n">
        <v>366531052</v>
      </c>
      <c r="B339" s="38" t="n">
        <v>46229.7728472222</v>
      </c>
      <c r="C339" s="37" t="s">
        <v>320</v>
      </c>
      <c r="D339" s="37" t="s">
        <v>663</v>
      </c>
      <c r="E339" s="37" t="n">
        <v>28300000</v>
      </c>
      <c r="F339" s="37" t="s">
        <v>248</v>
      </c>
      <c r="G339" s="37" t="s">
        <v>201</v>
      </c>
      <c r="H339" s="37" t="s">
        <v>170</v>
      </c>
      <c r="I339" s="37" t="n">
        <v>48.3</v>
      </c>
      <c r="J339" s="39" t="n">
        <v>459.99</v>
      </c>
      <c r="K339" s="37" t="s">
        <v>498</v>
      </c>
      <c r="L339" s="39" t="n">
        <v>132.15</v>
      </c>
      <c r="M339" s="39" t="n">
        <v>94</v>
      </c>
      <c r="N339" s="39" t="n">
        <f aca="false">J339*Resumo!$C$7</f>
        <v>0.91998</v>
      </c>
      <c r="O339" s="39" t="n">
        <f aca="false">J339*Resumo!$C$8</f>
        <v>0.91998</v>
      </c>
      <c r="P339" s="39" t="n">
        <f aca="false">Resumo!$C$10*CEILING(I339/100,1)</f>
        <v>1</v>
      </c>
      <c r="Q339" s="39" t="n">
        <f aca="false">Resumo!$C$9</f>
        <v>11.9</v>
      </c>
      <c r="R339" s="39" t="n">
        <f aca="false">SUM(M339:Q339)*Resumo!$C$11</f>
        <v>5.9806978</v>
      </c>
      <c r="S339" s="39" t="n">
        <f aca="false">SUM(M339:R339)</f>
        <v>114.7206578</v>
      </c>
      <c r="T339" s="39" t="n">
        <f aca="false">S339/(1-Resumo!$C$5)</f>
        <v>130.364383863636</v>
      </c>
      <c r="U339" s="39" t="n">
        <v>152.54</v>
      </c>
      <c r="V339" s="39" t="n">
        <f aca="false">J339*Resumo!$B$6</f>
        <v>0.45999</v>
      </c>
      <c r="W339" s="39" t="n">
        <f aca="false">J339*Resumo!$B$7</f>
        <v>0.91998</v>
      </c>
      <c r="X339" s="39" t="n">
        <f aca="false">Resumo!$B$9</f>
        <v>1</v>
      </c>
      <c r="Y339" s="39" t="n">
        <f aca="false">Resumo!$B$10*CEILING(I339/100,1)</f>
        <v>4.5</v>
      </c>
      <c r="Z339" s="39" t="n">
        <f aca="false">Resumo!$B$12*CEILING(I339,1)</f>
        <v>2.94</v>
      </c>
      <c r="AA339" s="39" t="n">
        <f aca="false">Resumo!$B$13*CEILING(I339,1)</f>
        <v>22.05</v>
      </c>
      <c r="AB339" s="39" t="n">
        <f aca="false">SUM(U339:AA339)</f>
        <v>184.40997</v>
      </c>
      <c r="AC339" s="39" t="n">
        <f aca="false">AB339/(1-Resumo!$B$5)</f>
        <v>209.556784090909</v>
      </c>
      <c r="AD339" s="39" t="n">
        <f aca="false">(AB339-AA339)/(1-Resumo!$B$5)</f>
        <v>184.499965909091</v>
      </c>
      <c r="AE339" s="39" t="n">
        <f aca="false">AC339-T339</f>
        <v>79.1924002272727</v>
      </c>
      <c r="AF339" s="40" t="n">
        <f aca="false">AC339/T339-1</f>
        <v>0.607469600823715</v>
      </c>
      <c r="AG339" s="37" t="str">
        <f aca="false">IF(AC339&lt;T339,"SIM","NÃO")</f>
        <v>NÃO</v>
      </c>
      <c r="AH339" s="37" t="n">
        <v>13</v>
      </c>
      <c r="AI339" s="37" t="n">
        <v>11</v>
      </c>
      <c r="AJ339" s="37" t="s">
        <v>327</v>
      </c>
    </row>
    <row r="340" customFormat="false" ht="15" hidden="false" customHeight="false" outlineLevel="0" collapsed="false">
      <c r="A340" s="37" t="n">
        <v>366546559</v>
      </c>
      <c r="B340" s="38" t="n">
        <v>46229.7944097222</v>
      </c>
      <c r="C340" s="37" t="s">
        <v>320</v>
      </c>
      <c r="D340" s="37" t="s">
        <v>394</v>
      </c>
      <c r="E340" s="37" t="n">
        <v>24110310</v>
      </c>
      <c r="F340" s="37" t="s">
        <v>143</v>
      </c>
      <c r="G340" s="37" t="s">
        <v>207</v>
      </c>
      <c r="H340" s="37" t="s">
        <v>171</v>
      </c>
      <c r="I340" s="37" t="n">
        <v>52.3</v>
      </c>
      <c r="J340" s="39" t="n">
        <v>685.84</v>
      </c>
      <c r="K340" s="37" t="s">
        <v>498</v>
      </c>
      <c r="L340" s="39" t="n">
        <v>127.62</v>
      </c>
      <c r="M340" s="39" t="n">
        <v>91.6</v>
      </c>
      <c r="N340" s="39" t="n">
        <f aca="false">J340*Resumo!$C$7</f>
        <v>1.37168</v>
      </c>
      <c r="O340" s="39" t="n">
        <f aca="false">J340*Resumo!$C$8</f>
        <v>1.37168</v>
      </c>
      <c r="P340" s="39" t="n">
        <f aca="false">Resumo!$C$10*CEILING(I340/100,1)</f>
        <v>1</v>
      </c>
      <c r="Q340" s="39" t="n">
        <f aca="false">Resumo!$C$9</f>
        <v>11.9</v>
      </c>
      <c r="R340" s="39" t="n">
        <f aca="false">SUM(M340:Q340)*Resumo!$C$11</f>
        <v>5.8983848</v>
      </c>
      <c r="S340" s="39" t="n">
        <f aca="false">SUM(M340:R340)</f>
        <v>113.1417448</v>
      </c>
      <c r="T340" s="39" t="n">
        <f aca="false">S340/(1-Resumo!$C$5)</f>
        <v>128.570164545455</v>
      </c>
      <c r="U340" s="39" t="n">
        <v>128.14</v>
      </c>
      <c r="V340" s="39" t="n">
        <f aca="false">J340*Resumo!$B$6</f>
        <v>0.68584</v>
      </c>
      <c r="W340" s="39" t="n">
        <f aca="false">J340*Resumo!$B$7</f>
        <v>1.37168</v>
      </c>
      <c r="X340" s="39" t="n">
        <f aca="false">Resumo!$B$9</f>
        <v>1</v>
      </c>
      <c r="Y340" s="39" t="n">
        <f aca="false">Resumo!$B$10*CEILING(I340/100,1)</f>
        <v>4.5</v>
      </c>
      <c r="Z340" s="39" t="n">
        <f aca="false">Resumo!$B$12*CEILING(I340,1)</f>
        <v>3.18</v>
      </c>
      <c r="AA340" s="39" t="n">
        <f aca="false">Resumo!$B$13*CEILING(I340,1)</f>
        <v>23.85</v>
      </c>
      <c r="AB340" s="39" t="n">
        <f aca="false">SUM(U340:AA340)</f>
        <v>162.72752</v>
      </c>
      <c r="AC340" s="39" t="n">
        <f aca="false">AB340/(1-Resumo!$B$5)</f>
        <v>184.917636363636</v>
      </c>
      <c r="AD340" s="39" t="n">
        <f aca="false">(AB340-AA340)/(1-Resumo!$B$5)</f>
        <v>157.815363636364</v>
      </c>
      <c r="AE340" s="39" t="n">
        <f aca="false">AC340-T340</f>
        <v>56.3474718181818</v>
      </c>
      <c r="AF340" s="40" t="n">
        <f aca="false">AC340/T340-1</f>
        <v>0.438262422836527</v>
      </c>
      <c r="AG340" s="37" t="str">
        <f aca="false">IF(AC340&lt;T340,"SIM","NÃO")</f>
        <v>NÃO</v>
      </c>
      <c r="AH340" s="37" t="n">
        <v>10</v>
      </c>
      <c r="AI340" s="37" t="n">
        <v>7</v>
      </c>
      <c r="AJ340" s="37" t="s">
        <v>323</v>
      </c>
    </row>
    <row r="341" customFormat="false" ht="15" hidden="false" customHeight="false" outlineLevel="0" collapsed="false">
      <c r="A341" s="37" t="n">
        <v>366584058</v>
      </c>
      <c r="B341" s="38" t="n">
        <v>46229.8339351852</v>
      </c>
      <c r="C341" s="37" t="s">
        <v>320</v>
      </c>
      <c r="D341" s="37" t="s">
        <v>664</v>
      </c>
      <c r="E341" s="37" t="n">
        <v>28920060</v>
      </c>
      <c r="F341" s="37" t="s">
        <v>152</v>
      </c>
      <c r="G341" s="37" t="s">
        <v>201</v>
      </c>
      <c r="H341" s="37" t="s">
        <v>170</v>
      </c>
      <c r="I341" s="37" t="n">
        <v>48.3</v>
      </c>
      <c r="J341" s="39" t="n">
        <v>459.99</v>
      </c>
      <c r="K341" s="37" t="s">
        <v>498</v>
      </c>
      <c r="L341" s="39" t="n">
        <v>132.15</v>
      </c>
      <c r="M341" s="39" t="n">
        <v>94</v>
      </c>
      <c r="N341" s="39" t="n">
        <f aca="false">J341*Resumo!$C$7</f>
        <v>0.91998</v>
      </c>
      <c r="O341" s="39" t="n">
        <f aca="false">J341*Resumo!$C$8</f>
        <v>0.91998</v>
      </c>
      <c r="P341" s="39" t="n">
        <f aca="false">Resumo!$C$10*CEILING(I341/100,1)</f>
        <v>1</v>
      </c>
      <c r="Q341" s="39" t="n">
        <f aca="false">Resumo!$C$9</f>
        <v>11.9</v>
      </c>
      <c r="R341" s="39" t="n">
        <f aca="false">SUM(M341:Q341)*Resumo!$C$11</f>
        <v>5.9806978</v>
      </c>
      <c r="S341" s="39" t="n">
        <f aca="false">SUM(M341:R341)</f>
        <v>114.7206578</v>
      </c>
      <c r="T341" s="39" t="n">
        <f aca="false">S341/(1-Resumo!$C$5)</f>
        <v>130.364383863636</v>
      </c>
      <c r="U341" s="39" t="n">
        <v>129.29</v>
      </c>
      <c r="V341" s="39" t="n">
        <f aca="false">J341*Resumo!$B$6</f>
        <v>0.45999</v>
      </c>
      <c r="W341" s="39" t="n">
        <f aca="false">J341*Resumo!$B$7</f>
        <v>0.91998</v>
      </c>
      <c r="X341" s="39" t="n">
        <f aca="false">Resumo!$B$9</f>
        <v>1</v>
      </c>
      <c r="Y341" s="39" t="n">
        <f aca="false">Resumo!$B$10*CEILING(I341/100,1)</f>
        <v>4.5</v>
      </c>
      <c r="Z341" s="39" t="n">
        <f aca="false">Resumo!$B$12*CEILING(I341,1)</f>
        <v>2.94</v>
      </c>
      <c r="AA341" s="39" t="n">
        <f aca="false">Resumo!$B$13*CEILING(I341,1)</f>
        <v>22.05</v>
      </c>
      <c r="AB341" s="39" t="n">
        <f aca="false">SUM(U341:AA341)</f>
        <v>161.15997</v>
      </c>
      <c r="AC341" s="39" t="n">
        <f aca="false">AB341/(1-Resumo!$B$5)</f>
        <v>183.136329545455</v>
      </c>
      <c r="AD341" s="39" t="n">
        <f aca="false">(AB341-AA341)/(1-Resumo!$B$5)</f>
        <v>158.079511363636</v>
      </c>
      <c r="AE341" s="39" t="n">
        <f aca="false">AC341-T341</f>
        <v>52.7719456818182</v>
      </c>
      <c r="AF341" s="40" t="n">
        <f aca="false">AC341/T341-1</f>
        <v>0.404803398887066</v>
      </c>
      <c r="AG341" s="37" t="str">
        <f aca="false">IF(AC341&lt;T341,"SIM","NÃO")</f>
        <v>NÃO</v>
      </c>
      <c r="AH341" s="37" t="n">
        <v>13</v>
      </c>
      <c r="AI341" s="37" t="n">
        <v>10</v>
      </c>
      <c r="AJ341" s="37" t="s">
        <v>323</v>
      </c>
    </row>
    <row r="342" customFormat="false" ht="15" hidden="false" customHeight="false" outlineLevel="0" collapsed="false">
      <c r="A342" s="37" t="n">
        <v>366711580</v>
      </c>
      <c r="B342" s="38" t="n">
        <v>46229.977974537</v>
      </c>
      <c r="C342" s="37" t="s">
        <v>320</v>
      </c>
      <c r="D342" s="37" t="s">
        <v>665</v>
      </c>
      <c r="E342" s="37" t="n">
        <v>26265190</v>
      </c>
      <c r="F342" s="37" t="s">
        <v>142</v>
      </c>
      <c r="G342" s="37" t="s">
        <v>207</v>
      </c>
      <c r="H342" s="37" t="s">
        <v>171</v>
      </c>
      <c r="I342" s="37" t="n">
        <v>52.3</v>
      </c>
      <c r="J342" s="39" t="n">
        <v>685.84</v>
      </c>
      <c r="K342" s="37" t="s">
        <v>498</v>
      </c>
      <c r="L342" s="39" t="n">
        <v>127.62</v>
      </c>
      <c r="M342" s="39" t="n">
        <v>91.6</v>
      </c>
      <c r="N342" s="39" t="n">
        <f aca="false">J342*Resumo!$C$7</f>
        <v>1.37168</v>
      </c>
      <c r="O342" s="39" t="n">
        <f aca="false">J342*Resumo!$C$8</f>
        <v>1.37168</v>
      </c>
      <c r="P342" s="39" t="n">
        <f aca="false">Resumo!$C$10*CEILING(I342/100,1)</f>
        <v>1</v>
      </c>
      <c r="Q342" s="39" t="n">
        <f aca="false">Resumo!$C$9</f>
        <v>11.9</v>
      </c>
      <c r="R342" s="39" t="n">
        <f aca="false">SUM(M342:Q342)*Resumo!$C$11</f>
        <v>5.8983848</v>
      </c>
      <c r="S342" s="39" t="n">
        <f aca="false">SUM(M342:R342)</f>
        <v>113.1417448</v>
      </c>
      <c r="T342" s="39" t="n">
        <f aca="false">S342/(1-Resumo!$C$5)</f>
        <v>128.570164545455</v>
      </c>
      <c r="U342" s="39" t="n">
        <v>112.3</v>
      </c>
      <c r="V342" s="39" t="n">
        <f aca="false">J342*Resumo!$B$6</f>
        <v>0.68584</v>
      </c>
      <c r="W342" s="39" t="n">
        <f aca="false">J342*Resumo!$B$7</f>
        <v>1.37168</v>
      </c>
      <c r="X342" s="39" t="n">
        <f aca="false">Resumo!$B$9</f>
        <v>1</v>
      </c>
      <c r="Y342" s="39" t="n">
        <f aca="false">Resumo!$B$10*CEILING(I342/100,1)</f>
        <v>4.5</v>
      </c>
      <c r="Z342" s="39" t="n">
        <f aca="false">Resumo!$B$12*CEILING(I342,1)</f>
        <v>3.18</v>
      </c>
      <c r="AA342" s="39" t="n">
        <f aca="false">Resumo!$B$13*CEILING(I342,1)</f>
        <v>23.85</v>
      </c>
      <c r="AB342" s="39" t="n">
        <f aca="false">SUM(U342:AA342)</f>
        <v>146.88752</v>
      </c>
      <c r="AC342" s="39" t="n">
        <f aca="false">AB342/(1-Resumo!$B$5)</f>
        <v>166.917636363636</v>
      </c>
      <c r="AD342" s="39" t="n">
        <f aca="false">(AB342-AA342)/(1-Resumo!$B$5)</f>
        <v>139.815363636364</v>
      </c>
      <c r="AE342" s="39" t="n">
        <f aca="false">AC342-T342</f>
        <v>38.3474718181818</v>
      </c>
      <c r="AF342" s="40" t="n">
        <f aca="false">AC342/T342-1</f>
        <v>0.298261046439157</v>
      </c>
      <c r="AG342" s="37" t="str">
        <f aca="false">IF(AC342&lt;T342,"SIM","NÃO")</f>
        <v>NÃO</v>
      </c>
      <c r="AH342" s="37" t="n">
        <v>10</v>
      </c>
      <c r="AI342" s="37" t="n">
        <v>5</v>
      </c>
      <c r="AJ342" s="37" t="s">
        <v>323</v>
      </c>
    </row>
    <row r="343" customFormat="false" ht="15" hidden="false" customHeight="false" outlineLevel="0" collapsed="false">
      <c r="A343" s="37" t="n">
        <v>366884105</v>
      </c>
      <c r="B343" s="38" t="n">
        <v>46230.3112384259</v>
      </c>
      <c r="C343" s="37" t="s">
        <v>325</v>
      </c>
      <c r="D343" s="37" t="s">
        <v>666</v>
      </c>
      <c r="E343" s="37" t="n">
        <v>24050330</v>
      </c>
      <c r="F343" s="37" t="s">
        <v>143</v>
      </c>
      <c r="G343" s="37" t="s">
        <v>207</v>
      </c>
      <c r="H343" s="37" t="s">
        <v>170</v>
      </c>
      <c r="I343" s="37" t="n">
        <v>48.53</v>
      </c>
      <c r="J343" s="39" t="n">
        <v>449.85</v>
      </c>
      <c r="K343" s="37" t="s">
        <v>322</v>
      </c>
      <c r="L343" s="39" t="n">
        <v>116.23</v>
      </c>
      <c r="M343" s="39" t="n">
        <v>82.25</v>
      </c>
      <c r="N343" s="39" t="n">
        <f aca="false">J343*Resumo!$C$7</f>
        <v>0.8997</v>
      </c>
      <c r="O343" s="39" t="n">
        <f aca="false">J343*Resumo!$C$8</f>
        <v>0.8997</v>
      </c>
      <c r="P343" s="39" t="n">
        <f aca="false">Resumo!$C$10*CEILING(I343/100,1)</f>
        <v>1</v>
      </c>
      <c r="Q343" s="39" t="n">
        <f aca="false">Resumo!$C$9</f>
        <v>11.9</v>
      </c>
      <c r="R343" s="39" t="n">
        <f aca="false">SUM(M343:Q343)*Resumo!$C$11</f>
        <v>5.332217</v>
      </c>
      <c r="S343" s="39" t="n">
        <f aca="false">SUM(M343:R343)</f>
        <v>102.281617</v>
      </c>
      <c r="T343" s="39" t="n">
        <f aca="false">S343/(1-Resumo!$C$5)</f>
        <v>116.229110227273</v>
      </c>
      <c r="U343" s="39" t="n">
        <v>114.95</v>
      </c>
      <c r="V343" s="39" t="n">
        <f aca="false">J343*Resumo!$B$6</f>
        <v>0.44985</v>
      </c>
      <c r="W343" s="39" t="n">
        <f aca="false">J343*Resumo!$B$7</f>
        <v>0.8997</v>
      </c>
      <c r="X343" s="39" t="n">
        <f aca="false">Resumo!$B$9</f>
        <v>1</v>
      </c>
      <c r="Y343" s="39" t="n">
        <f aca="false">Resumo!$B$10*CEILING(I343/100,1)</f>
        <v>4.5</v>
      </c>
      <c r="Z343" s="39" t="n">
        <f aca="false">Resumo!$B$12*CEILING(I343,1)</f>
        <v>2.94</v>
      </c>
      <c r="AA343" s="39" t="n">
        <f aca="false">Resumo!$B$13*CEILING(I343,1)</f>
        <v>22.05</v>
      </c>
      <c r="AB343" s="39" t="n">
        <f aca="false">SUM(U343:AA343)</f>
        <v>146.78955</v>
      </c>
      <c r="AC343" s="39" t="n">
        <f aca="false">AB343/(1-Resumo!$B$5)</f>
        <v>166.806306818182</v>
      </c>
      <c r="AD343" s="39" t="n">
        <f aca="false">(AB343-AA343)/(1-Resumo!$B$5)</f>
        <v>141.749488636364</v>
      </c>
      <c r="AE343" s="39" t="n">
        <f aca="false">AC343-T343</f>
        <v>50.5771965909091</v>
      </c>
      <c r="AF343" s="40" t="n">
        <f aca="false">AC343/T343-1</f>
        <v>0.435150854136379</v>
      </c>
      <c r="AG343" s="37" t="str">
        <f aca="false">IF(AC343&lt;T343,"SIM","NÃO")</f>
        <v>NÃO</v>
      </c>
      <c r="AH343" s="37" t="n">
        <v>10</v>
      </c>
      <c r="AI343" s="37" t="n">
        <v>7</v>
      </c>
      <c r="AJ343" s="37" t="s">
        <v>323</v>
      </c>
    </row>
    <row r="344" customFormat="false" ht="15" hidden="false" customHeight="false" outlineLevel="0" collapsed="false">
      <c r="A344" s="37" t="n">
        <v>366909396</v>
      </c>
      <c r="B344" s="38" t="n">
        <v>46230.3605092593</v>
      </c>
      <c r="C344" s="37" t="s">
        <v>325</v>
      </c>
      <c r="D344" s="37" t="s">
        <v>667</v>
      </c>
      <c r="E344" s="37" t="n">
        <v>23525002</v>
      </c>
      <c r="F344" s="37" t="s">
        <v>139</v>
      </c>
      <c r="G344" s="37" t="s">
        <v>198</v>
      </c>
      <c r="H344" s="37" t="s">
        <v>176</v>
      </c>
      <c r="I344" s="37" t="n">
        <v>124.2</v>
      </c>
      <c r="J344" s="39" t="n">
        <v>1589.99</v>
      </c>
      <c r="K344" s="37" t="s">
        <v>498</v>
      </c>
      <c r="L344" s="39" t="n">
        <v>226.33</v>
      </c>
      <c r="M344" s="39" t="n">
        <v>174.85</v>
      </c>
      <c r="N344" s="39" t="n">
        <f aca="false">J344*Resumo!$C$7</f>
        <v>3.17998</v>
      </c>
      <c r="O344" s="39" t="n">
        <f aca="false">J344*Resumo!$C$8</f>
        <v>3.17998</v>
      </c>
      <c r="P344" s="39" t="n">
        <f aca="false">Resumo!$C$10*CEILING(I344/100,1)</f>
        <v>2</v>
      </c>
      <c r="Q344" s="39" t="n">
        <f aca="false">Resumo!$C$9</f>
        <v>11.9</v>
      </c>
      <c r="R344" s="39" t="n">
        <f aca="false">SUM(M344:Q344)*Resumo!$C$11</f>
        <v>10.7310478</v>
      </c>
      <c r="S344" s="39" t="n">
        <f aca="false">SUM(M344:R344)</f>
        <v>205.8410078</v>
      </c>
      <c r="T344" s="39" t="n">
        <f aca="false">S344/(1-Resumo!$C$5)</f>
        <v>233.910236136364</v>
      </c>
      <c r="U344" s="39" t="n">
        <v>239.25</v>
      </c>
      <c r="V344" s="39" t="n">
        <f aca="false">J344*Resumo!$B$6</f>
        <v>1.58999</v>
      </c>
      <c r="W344" s="39" t="n">
        <f aca="false">J344*Resumo!$B$7</f>
        <v>3.17998</v>
      </c>
      <c r="X344" s="39" t="n">
        <f aca="false">Resumo!$B$9</f>
        <v>1</v>
      </c>
      <c r="Y344" s="39" t="n">
        <f aca="false">Resumo!$B$10*CEILING(I344/100,1)</f>
        <v>9</v>
      </c>
      <c r="Z344" s="39" t="n">
        <f aca="false">Resumo!$B$12*CEILING(I344,1)</f>
        <v>7.5</v>
      </c>
      <c r="AA344" s="39" t="n">
        <f aca="false">Resumo!$B$13*CEILING(I344,1)</f>
        <v>56.25</v>
      </c>
      <c r="AB344" s="39" t="n">
        <f aca="false">SUM(U344:AA344)</f>
        <v>317.76997</v>
      </c>
      <c r="AC344" s="39" t="n">
        <f aca="false">AB344/(1-Resumo!$B$5)</f>
        <v>361.102238636364</v>
      </c>
      <c r="AD344" s="39" t="n">
        <f aca="false">(AB344-AA344)/(1-Resumo!$B$5)</f>
        <v>297.181784090909</v>
      </c>
      <c r="AE344" s="39" t="n">
        <f aca="false">AC344-T344</f>
        <v>127.1920025</v>
      </c>
      <c r="AF344" s="40" t="n">
        <f aca="false">AC344/T344-1</f>
        <v>0.543764157571327</v>
      </c>
      <c r="AG344" s="37" t="str">
        <f aca="false">IF(AC344&lt;T344,"SIM","NÃO")</f>
        <v>NÃO</v>
      </c>
      <c r="AH344" s="37" t="n">
        <v>8</v>
      </c>
      <c r="AI344" s="37" t="n">
        <v>5</v>
      </c>
      <c r="AJ344" s="37" t="s">
        <v>323</v>
      </c>
    </row>
    <row r="345" customFormat="false" ht="15" hidden="false" customHeight="false" outlineLevel="0" collapsed="false">
      <c r="A345" s="37" t="n">
        <v>366935861</v>
      </c>
      <c r="B345" s="38" t="n">
        <v>46230.4009606482</v>
      </c>
      <c r="C345" s="37" t="s">
        <v>355</v>
      </c>
      <c r="D345" s="37" t="s">
        <v>668</v>
      </c>
      <c r="E345" s="37" t="n">
        <v>20931060</v>
      </c>
      <c r="F345" s="37" t="s">
        <v>139</v>
      </c>
      <c r="G345" s="37" t="s">
        <v>198</v>
      </c>
      <c r="H345" s="37" t="s">
        <v>171</v>
      </c>
      <c r="I345" s="37" t="n">
        <v>52.3</v>
      </c>
      <c r="J345" s="39" t="n">
        <v>552.65</v>
      </c>
      <c r="K345" s="37" t="s">
        <v>498</v>
      </c>
      <c r="L345" s="39" t="n">
        <v>112.92</v>
      </c>
      <c r="M345" s="39" t="n">
        <v>79.81</v>
      </c>
      <c r="N345" s="39" t="n">
        <f aca="false">J345*Resumo!$C$7</f>
        <v>1.1053</v>
      </c>
      <c r="O345" s="39" t="n">
        <f aca="false">J345*Resumo!$C$8</f>
        <v>1.1053</v>
      </c>
      <c r="P345" s="39" t="n">
        <f aca="false">Resumo!$C$10*CEILING(I345/100,1)</f>
        <v>1</v>
      </c>
      <c r="Q345" s="39" t="n">
        <f aca="false">Resumo!$C$9</f>
        <v>11.9</v>
      </c>
      <c r="R345" s="39" t="n">
        <f aca="false">SUM(M345:Q345)*Resumo!$C$11</f>
        <v>5.220633</v>
      </c>
      <c r="S345" s="39" t="n">
        <f aca="false">SUM(M345:R345)</f>
        <v>100.141233</v>
      </c>
      <c r="T345" s="39" t="n">
        <f aca="false">S345/(1-Resumo!$C$5)</f>
        <v>113.796855681818</v>
      </c>
      <c r="U345" s="39" t="n">
        <v>112.3</v>
      </c>
      <c r="V345" s="39" t="n">
        <f aca="false">J345*Resumo!$B$6</f>
        <v>0.55265</v>
      </c>
      <c r="W345" s="39" t="n">
        <f aca="false">J345*Resumo!$B$7</f>
        <v>1.1053</v>
      </c>
      <c r="X345" s="39" t="n">
        <f aca="false">Resumo!$B$9</f>
        <v>1</v>
      </c>
      <c r="Y345" s="39" t="n">
        <f aca="false">Resumo!$B$10*CEILING(I345/100,1)</f>
        <v>4.5</v>
      </c>
      <c r="Z345" s="39" t="n">
        <f aca="false">Resumo!$B$12*CEILING(I345,1)</f>
        <v>3.18</v>
      </c>
      <c r="AA345" s="39" t="n">
        <f aca="false">Resumo!$B$13*CEILING(I345,1)</f>
        <v>23.85</v>
      </c>
      <c r="AB345" s="39" t="n">
        <f aca="false">SUM(U345:AA345)</f>
        <v>146.48795</v>
      </c>
      <c r="AC345" s="39" t="n">
        <f aca="false">AB345/(1-Resumo!$B$5)</f>
        <v>166.463579545455</v>
      </c>
      <c r="AD345" s="39" t="n">
        <f aca="false">(AB345-AA345)/(1-Resumo!$B$5)</f>
        <v>139.361306818182</v>
      </c>
      <c r="AE345" s="39" t="n">
        <f aca="false">AC345-T345</f>
        <v>52.6667238636364</v>
      </c>
      <c r="AF345" s="40" t="n">
        <f aca="false">AC345/T345-1</f>
        <v>0.462813524574837</v>
      </c>
      <c r="AG345" s="37" t="str">
        <f aca="false">IF(AC345&lt;T345,"SIM","NÃO")</f>
        <v>NÃO</v>
      </c>
      <c r="AH345" s="37" t="n">
        <v>8</v>
      </c>
      <c r="AI345" s="37" t="n">
        <v>5</v>
      </c>
      <c r="AJ345" s="37" t="s">
        <v>323</v>
      </c>
    </row>
    <row r="346" customFormat="false" ht="15" hidden="false" customHeight="false" outlineLevel="0" collapsed="false">
      <c r="A346" s="37" t="n">
        <v>366975566</v>
      </c>
      <c r="B346" s="38" t="n">
        <v>46230.4808101852</v>
      </c>
      <c r="C346" s="37" t="s">
        <v>320</v>
      </c>
      <c r="D346" s="37" t="s">
        <v>669</v>
      </c>
      <c r="E346" s="37" t="n">
        <v>20756070</v>
      </c>
      <c r="F346" s="37" t="s">
        <v>139</v>
      </c>
      <c r="G346" s="37" t="s">
        <v>198</v>
      </c>
      <c r="H346" s="37" t="s">
        <v>171</v>
      </c>
      <c r="I346" s="37" t="n">
        <v>52.3</v>
      </c>
      <c r="J346" s="39" t="n">
        <v>699.99</v>
      </c>
      <c r="K346" s="37" t="s">
        <v>498</v>
      </c>
      <c r="L346" s="39" t="n">
        <v>113.63</v>
      </c>
      <c r="M346" s="39" t="n">
        <v>79.81</v>
      </c>
      <c r="N346" s="39" t="n">
        <f aca="false">J346*Resumo!$C$7</f>
        <v>1.39998</v>
      </c>
      <c r="O346" s="39" t="n">
        <f aca="false">J346*Resumo!$C$8</f>
        <v>1.39998</v>
      </c>
      <c r="P346" s="39" t="n">
        <f aca="false">Resumo!$C$10*CEILING(I346/100,1)</f>
        <v>1</v>
      </c>
      <c r="Q346" s="39" t="n">
        <f aca="false">Resumo!$C$9</f>
        <v>11.9</v>
      </c>
      <c r="R346" s="39" t="n">
        <f aca="false">SUM(M346:Q346)*Resumo!$C$11</f>
        <v>5.2530478</v>
      </c>
      <c r="S346" s="39" t="n">
        <f aca="false">SUM(M346:R346)</f>
        <v>100.7630078</v>
      </c>
      <c r="T346" s="39" t="n">
        <f aca="false">S346/(1-Resumo!$C$5)</f>
        <v>114.503417954545</v>
      </c>
      <c r="U346" s="39" t="n">
        <v>112.3</v>
      </c>
      <c r="V346" s="39" t="n">
        <f aca="false">J346*Resumo!$B$6</f>
        <v>0.69999</v>
      </c>
      <c r="W346" s="39" t="n">
        <f aca="false">J346*Resumo!$B$7</f>
        <v>1.39998</v>
      </c>
      <c r="X346" s="39" t="n">
        <f aca="false">Resumo!$B$9</f>
        <v>1</v>
      </c>
      <c r="Y346" s="39" t="n">
        <f aca="false">Resumo!$B$10*CEILING(I346/100,1)</f>
        <v>4.5</v>
      </c>
      <c r="Z346" s="39" t="n">
        <f aca="false">Resumo!$B$12*CEILING(I346,1)</f>
        <v>3.18</v>
      </c>
      <c r="AA346" s="39" t="n">
        <f aca="false">Resumo!$B$13*CEILING(I346,1)</f>
        <v>23.85</v>
      </c>
      <c r="AB346" s="39" t="n">
        <f aca="false">SUM(U346:AA346)</f>
        <v>146.92997</v>
      </c>
      <c r="AC346" s="39" t="n">
        <f aca="false">AB346/(1-Resumo!$B$5)</f>
        <v>166.965875</v>
      </c>
      <c r="AD346" s="39" t="n">
        <f aca="false">(AB346-AA346)/(1-Resumo!$B$5)</f>
        <v>139.863602272727</v>
      </c>
      <c r="AE346" s="39" t="n">
        <f aca="false">AC346-T346</f>
        <v>52.4624570454545</v>
      </c>
      <c r="AF346" s="40" t="n">
        <f aca="false">AC346/T346-1</f>
        <v>0.458173720772952</v>
      </c>
      <c r="AG346" s="37" t="str">
        <f aca="false">IF(AC346&lt;T346,"SIM","NÃO")</f>
        <v>NÃO</v>
      </c>
      <c r="AH346" s="37" t="n">
        <v>8</v>
      </c>
      <c r="AI346" s="37" t="n">
        <v>5</v>
      </c>
      <c r="AJ346" s="37" t="s">
        <v>323</v>
      </c>
    </row>
    <row r="347" customFormat="false" ht="15" hidden="false" customHeight="false" outlineLevel="0" collapsed="false">
      <c r="A347" s="37" t="n">
        <v>366975600</v>
      </c>
      <c r="B347" s="38" t="n">
        <v>46230.4809143519</v>
      </c>
      <c r="C347" s="37" t="s">
        <v>325</v>
      </c>
      <c r="D347" s="37" t="s">
        <v>670</v>
      </c>
      <c r="E347" s="37" t="n">
        <v>25710193</v>
      </c>
      <c r="F347" s="37" t="s">
        <v>150</v>
      </c>
      <c r="G347" s="37" t="s">
        <v>201</v>
      </c>
      <c r="H347" s="37" t="s">
        <v>171</v>
      </c>
      <c r="I347" s="37" t="n">
        <v>60</v>
      </c>
      <c r="J347" s="39" t="n">
        <v>862</v>
      </c>
      <c r="K347" s="37" t="s">
        <v>498</v>
      </c>
      <c r="L347" s="39" t="n">
        <v>146.36</v>
      </c>
      <c r="M347" s="39" t="n">
        <v>103.6</v>
      </c>
      <c r="N347" s="39" t="n">
        <f aca="false">J347*Resumo!$C$7</f>
        <v>1.724</v>
      </c>
      <c r="O347" s="39" t="n">
        <f aca="false">J347*Resumo!$C$8</f>
        <v>1.724</v>
      </c>
      <c r="P347" s="39" t="n">
        <f aca="false">Resumo!$C$10*CEILING(I347/100,1)</f>
        <v>1</v>
      </c>
      <c r="Q347" s="39" t="n">
        <f aca="false">Resumo!$C$9</f>
        <v>11.9</v>
      </c>
      <c r="R347" s="39" t="n">
        <f aca="false">SUM(M347:Q347)*Resumo!$C$11</f>
        <v>6.59714</v>
      </c>
      <c r="S347" s="39" t="n">
        <f aca="false">SUM(M347:R347)</f>
        <v>126.54514</v>
      </c>
      <c r="T347" s="39" t="n">
        <f aca="false">S347/(1-Resumo!$C$5)</f>
        <v>143.801295454545</v>
      </c>
      <c r="U347" s="39" t="n">
        <v>142.32</v>
      </c>
      <c r="V347" s="39" t="n">
        <f aca="false">J347*Resumo!$B$6</f>
        <v>0.862</v>
      </c>
      <c r="W347" s="39" t="n">
        <f aca="false">J347*Resumo!$B$7</f>
        <v>1.724</v>
      </c>
      <c r="X347" s="39" t="n">
        <f aca="false">Resumo!$B$9</f>
        <v>1</v>
      </c>
      <c r="Y347" s="39" t="n">
        <f aca="false">Resumo!$B$10*CEILING(I347/100,1)</f>
        <v>4.5</v>
      </c>
      <c r="Z347" s="39" t="n">
        <f aca="false">Resumo!$B$12*CEILING(I347,1)</f>
        <v>3.6</v>
      </c>
      <c r="AA347" s="39" t="n">
        <f aca="false">Resumo!$B$13*CEILING(I347,1)</f>
        <v>27</v>
      </c>
      <c r="AB347" s="39" t="n">
        <f aca="false">SUM(U347:AA347)</f>
        <v>181.006</v>
      </c>
      <c r="AC347" s="39" t="n">
        <f aca="false">AB347/(1-Resumo!$B$5)</f>
        <v>205.688636363636</v>
      </c>
      <c r="AD347" s="39" t="n">
        <f aca="false">(AB347-AA347)/(1-Resumo!$B$5)</f>
        <v>175.006818181818</v>
      </c>
      <c r="AE347" s="39" t="n">
        <f aca="false">AC347-T347</f>
        <v>61.8873409090909</v>
      </c>
      <c r="AF347" s="40" t="n">
        <f aca="false">AC347/T347-1</f>
        <v>0.430367061113528</v>
      </c>
      <c r="AG347" s="37" t="str">
        <f aca="false">IF(AC347&lt;T347,"SIM","NÃO")</f>
        <v>NÃO</v>
      </c>
      <c r="AH347" s="37" t="n">
        <v>13</v>
      </c>
      <c r="AI347" s="37" t="n">
        <v>8</v>
      </c>
      <c r="AJ347" s="37" t="s">
        <v>323</v>
      </c>
    </row>
    <row r="348" customFormat="false" ht="15" hidden="false" customHeight="false" outlineLevel="0" collapsed="false">
      <c r="A348" s="37" t="n">
        <v>367010544</v>
      </c>
      <c r="B348" s="38" t="n">
        <v>46230.5450115741</v>
      </c>
      <c r="C348" s="37" t="s">
        <v>320</v>
      </c>
      <c r="D348" s="37" t="s">
        <v>671</v>
      </c>
      <c r="E348" s="37" t="n">
        <v>23812720</v>
      </c>
      <c r="F348" s="37" t="s">
        <v>200</v>
      </c>
      <c r="G348" s="37" t="s">
        <v>201</v>
      </c>
      <c r="H348" s="37" t="s">
        <v>175</v>
      </c>
      <c r="I348" s="37" t="n">
        <v>117.5</v>
      </c>
      <c r="J348" s="39" t="n">
        <v>1349.99</v>
      </c>
      <c r="K348" s="37" t="s">
        <v>498</v>
      </c>
      <c r="L348" s="39" t="n">
        <v>220.35</v>
      </c>
      <c r="M348" s="39" t="n">
        <v>161.81</v>
      </c>
      <c r="N348" s="39" t="n">
        <f aca="false">J348*Resumo!$C$7</f>
        <v>2.69998</v>
      </c>
      <c r="O348" s="39" t="n">
        <f aca="false">J348*Resumo!$C$8</f>
        <v>2.69998</v>
      </c>
      <c r="P348" s="39" t="n">
        <f aca="false">Resumo!$C$10*CEILING(I348/100,1)</f>
        <v>2</v>
      </c>
      <c r="Q348" s="39" t="n">
        <f aca="false">Resumo!$C$9</f>
        <v>11.9</v>
      </c>
      <c r="R348" s="39" t="n">
        <f aca="false">SUM(M348:Q348)*Resumo!$C$11</f>
        <v>9.9610478</v>
      </c>
      <c r="S348" s="39" t="n">
        <f aca="false">SUM(M348:R348)</f>
        <v>191.0710078</v>
      </c>
      <c r="T348" s="39" t="n">
        <f aca="false">S348/(1-Resumo!$C$5)</f>
        <v>217.126145227273</v>
      </c>
      <c r="U348" s="39" t="n">
        <v>211.59</v>
      </c>
      <c r="V348" s="39" t="n">
        <f aca="false">J348*Resumo!$B$6</f>
        <v>1.34999</v>
      </c>
      <c r="W348" s="39" t="n">
        <f aca="false">J348*Resumo!$B$7</f>
        <v>2.69998</v>
      </c>
      <c r="X348" s="39" t="n">
        <f aca="false">Resumo!$B$9</f>
        <v>1</v>
      </c>
      <c r="Y348" s="39" t="n">
        <f aca="false">Resumo!$B$10*CEILING(I348/100,1)</f>
        <v>9</v>
      </c>
      <c r="Z348" s="39" t="n">
        <f aca="false">Resumo!$B$12*CEILING(I348,1)</f>
        <v>7.08</v>
      </c>
      <c r="AA348" s="39" t="n">
        <f aca="false">Resumo!$B$13*CEILING(I348,1)</f>
        <v>53.1</v>
      </c>
      <c r="AB348" s="39" t="n">
        <f aca="false">SUM(U348:AA348)</f>
        <v>285.81997</v>
      </c>
      <c r="AC348" s="39" t="n">
        <f aca="false">AB348/(1-Resumo!$B$5)</f>
        <v>324.795420454546</v>
      </c>
      <c r="AD348" s="39" t="n">
        <f aca="false">(AB348-AA348)/(1-Resumo!$B$5)</f>
        <v>264.454511363636</v>
      </c>
      <c r="AE348" s="39" t="n">
        <f aca="false">AC348-T348</f>
        <v>107.669275227273</v>
      </c>
      <c r="AF348" s="40" t="n">
        <f aca="false">AC348/T348-1</f>
        <v>0.495883511009565</v>
      </c>
      <c r="AG348" s="37" t="str">
        <f aca="false">IF(AC348&lt;T348,"SIM","NÃO")</f>
        <v>NÃO</v>
      </c>
      <c r="AH348" s="37" t="n">
        <v>13</v>
      </c>
      <c r="AI348" s="37" t="n">
        <v>5</v>
      </c>
      <c r="AJ348" s="37" t="s">
        <v>327</v>
      </c>
    </row>
    <row r="349" customFormat="false" ht="15" hidden="false" customHeight="false" outlineLevel="0" collapsed="false">
      <c r="A349" s="37" t="n">
        <v>367043399</v>
      </c>
      <c r="B349" s="38" t="n">
        <v>46230.5929050926</v>
      </c>
      <c r="C349" s="37" t="s">
        <v>325</v>
      </c>
      <c r="D349" s="37" t="s">
        <v>672</v>
      </c>
      <c r="E349" s="37" t="n">
        <v>26084185</v>
      </c>
      <c r="F349" s="37" t="s">
        <v>142</v>
      </c>
      <c r="G349" s="37" t="s">
        <v>207</v>
      </c>
      <c r="H349" s="37" t="s">
        <v>171</v>
      </c>
      <c r="I349" s="37" t="n">
        <v>52.3</v>
      </c>
      <c r="J349" s="39" t="n">
        <v>642.07</v>
      </c>
      <c r="K349" s="37" t="s">
        <v>498</v>
      </c>
      <c r="L349" s="39" t="n">
        <v>127.42</v>
      </c>
      <c r="M349" s="39" t="n">
        <v>91.6</v>
      </c>
      <c r="N349" s="39" t="n">
        <f aca="false">J349*Resumo!$C$7</f>
        <v>1.28414</v>
      </c>
      <c r="O349" s="39" t="n">
        <f aca="false">J349*Resumo!$C$8</f>
        <v>1.28414</v>
      </c>
      <c r="P349" s="39" t="n">
        <f aca="false">Resumo!$C$10*CEILING(I349/100,1)</f>
        <v>1</v>
      </c>
      <c r="Q349" s="39" t="n">
        <f aca="false">Resumo!$C$9</f>
        <v>11.9</v>
      </c>
      <c r="R349" s="39" t="n">
        <f aca="false">SUM(M349:Q349)*Resumo!$C$11</f>
        <v>5.8887554</v>
      </c>
      <c r="S349" s="39" t="n">
        <f aca="false">SUM(M349:R349)</f>
        <v>112.9570354</v>
      </c>
      <c r="T349" s="39" t="n">
        <f aca="false">S349/(1-Resumo!$C$5)</f>
        <v>128.3602675</v>
      </c>
      <c r="U349" s="39" t="n">
        <v>112.3</v>
      </c>
      <c r="V349" s="39" t="n">
        <f aca="false">J349*Resumo!$B$6</f>
        <v>0.64207</v>
      </c>
      <c r="W349" s="39" t="n">
        <f aca="false">J349*Resumo!$B$7</f>
        <v>1.28414</v>
      </c>
      <c r="X349" s="39" t="n">
        <f aca="false">Resumo!$B$9</f>
        <v>1</v>
      </c>
      <c r="Y349" s="39" t="n">
        <f aca="false">Resumo!$B$10*CEILING(I349/100,1)</f>
        <v>4.5</v>
      </c>
      <c r="Z349" s="39" t="n">
        <f aca="false">Resumo!$B$12*CEILING(I349,1)</f>
        <v>3.18</v>
      </c>
      <c r="AA349" s="39" t="n">
        <f aca="false">Resumo!$B$13*CEILING(I349,1)</f>
        <v>23.85</v>
      </c>
      <c r="AB349" s="39" t="n">
        <f aca="false">SUM(U349:AA349)</f>
        <v>146.75621</v>
      </c>
      <c r="AC349" s="39" t="n">
        <f aca="false">AB349/(1-Resumo!$B$5)</f>
        <v>166.768420454545</v>
      </c>
      <c r="AD349" s="39" t="n">
        <f aca="false">(AB349-AA349)/(1-Resumo!$B$5)</f>
        <v>139.666147727273</v>
      </c>
      <c r="AE349" s="39" t="n">
        <f aca="false">AC349-T349</f>
        <v>38.4081529545455</v>
      </c>
      <c r="AF349" s="40" t="n">
        <f aca="false">AC349/T349-1</f>
        <v>0.299221509136739</v>
      </c>
      <c r="AG349" s="37" t="str">
        <f aca="false">IF(AC349&lt;T349,"SIM","NÃO")</f>
        <v>NÃO</v>
      </c>
      <c r="AH349" s="37" t="n">
        <v>10</v>
      </c>
      <c r="AI349" s="37" t="n">
        <v>5</v>
      </c>
      <c r="AJ349" s="37" t="s">
        <v>323</v>
      </c>
    </row>
    <row r="350" customFormat="false" ht="15" hidden="false" customHeight="false" outlineLevel="0" collapsed="false">
      <c r="A350" s="37" t="n">
        <v>367050811</v>
      </c>
      <c r="B350" s="38" t="n">
        <v>46230.6031712963</v>
      </c>
      <c r="C350" s="37" t="s">
        <v>325</v>
      </c>
      <c r="D350" s="37" t="s">
        <v>673</v>
      </c>
      <c r="E350" s="37" t="n">
        <v>25056360</v>
      </c>
      <c r="F350" s="37" t="s">
        <v>141</v>
      </c>
      <c r="G350" s="37" t="s">
        <v>207</v>
      </c>
      <c r="H350" s="37" t="s">
        <v>171</v>
      </c>
      <c r="I350" s="37" t="n">
        <v>52.3</v>
      </c>
      <c r="J350" s="39" t="n">
        <v>637.57</v>
      </c>
      <c r="K350" s="37" t="s">
        <v>498</v>
      </c>
      <c r="L350" s="39" t="n">
        <v>127.4</v>
      </c>
      <c r="M350" s="39" t="n">
        <v>91.6</v>
      </c>
      <c r="N350" s="39" t="n">
        <f aca="false">J350*Resumo!$C$7</f>
        <v>1.27514</v>
      </c>
      <c r="O350" s="39" t="n">
        <f aca="false">J350*Resumo!$C$8</f>
        <v>1.27514</v>
      </c>
      <c r="P350" s="39" t="n">
        <f aca="false">Resumo!$C$10*CEILING(I350/100,1)</f>
        <v>1</v>
      </c>
      <c r="Q350" s="39" t="n">
        <f aca="false">Resumo!$C$9</f>
        <v>11.9</v>
      </c>
      <c r="R350" s="39" t="n">
        <f aca="false">SUM(M350:Q350)*Resumo!$C$11</f>
        <v>5.8877654</v>
      </c>
      <c r="S350" s="39" t="n">
        <f aca="false">SUM(M350:R350)</f>
        <v>112.9380454</v>
      </c>
      <c r="T350" s="39" t="n">
        <f aca="false">S350/(1-Resumo!$C$5)</f>
        <v>128.338687954545</v>
      </c>
      <c r="U350" s="39" t="n">
        <v>112.3</v>
      </c>
      <c r="V350" s="39" t="n">
        <f aca="false">J350*Resumo!$B$6</f>
        <v>0.63757</v>
      </c>
      <c r="W350" s="39" t="n">
        <f aca="false">J350*Resumo!$B$7</f>
        <v>1.27514</v>
      </c>
      <c r="X350" s="39" t="n">
        <f aca="false">Resumo!$B$9</f>
        <v>1</v>
      </c>
      <c r="Y350" s="39" t="n">
        <f aca="false">Resumo!$B$10*CEILING(I350/100,1)</f>
        <v>4.5</v>
      </c>
      <c r="Z350" s="39" t="n">
        <f aca="false">Resumo!$B$12*CEILING(I350,1)</f>
        <v>3.18</v>
      </c>
      <c r="AA350" s="39" t="n">
        <f aca="false">Resumo!$B$13*CEILING(I350,1)</f>
        <v>23.85</v>
      </c>
      <c r="AB350" s="39" t="n">
        <f aca="false">SUM(U350:AA350)</f>
        <v>146.74271</v>
      </c>
      <c r="AC350" s="39" t="n">
        <f aca="false">AB350/(1-Resumo!$B$5)</f>
        <v>166.753079545455</v>
      </c>
      <c r="AD350" s="39" t="n">
        <f aca="false">(AB350-AA350)/(1-Resumo!$B$5)</f>
        <v>139.650806818182</v>
      </c>
      <c r="AE350" s="39" t="n">
        <f aca="false">AC350-T350</f>
        <v>38.4143915909091</v>
      </c>
      <c r="AF350" s="40" t="n">
        <f aca="false">AC350/T350-1</f>
        <v>0.299320432545754</v>
      </c>
      <c r="AG350" s="37" t="str">
        <f aca="false">IF(AC350&lt;T350,"SIM","NÃO")</f>
        <v>NÃO</v>
      </c>
      <c r="AH350" s="37" t="n">
        <v>10</v>
      </c>
      <c r="AI350" s="37" t="n">
        <v>5</v>
      </c>
      <c r="AJ350" s="37" t="s">
        <v>323</v>
      </c>
    </row>
    <row r="351" customFormat="false" ht="15" hidden="false" customHeight="false" outlineLevel="0" collapsed="false">
      <c r="A351" s="37" t="n">
        <v>367091802</v>
      </c>
      <c r="B351" s="38" t="n">
        <v>46230.6725578704</v>
      </c>
      <c r="C351" s="37" t="s">
        <v>320</v>
      </c>
      <c r="D351" s="37" t="s">
        <v>674</v>
      </c>
      <c r="E351" s="37" t="n">
        <v>28400000</v>
      </c>
      <c r="F351" s="37" t="s">
        <v>254</v>
      </c>
      <c r="G351" s="37" t="s">
        <v>201</v>
      </c>
      <c r="H351" s="37" t="s">
        <v>176</v>
      </c>
      <c r="I351" s="37" t="n">
        <v>125.8</v>
      </c>
      <c r="J351" s="39" t="n">
        <v>1999.99</v>
      </c>
      <c r="K351" s="37" t="s">
        <v>498</v>
      </c>
      <c r="L351" s="39" t="n">
        <v>255.67</v>
      </c>
      <c r="M351" s="39" t="n">
        <v>197.37</v>
      </c>
      <c r="N351" s="39" t="n">
        <f aca="false">J351*Resumo!$C$7</f>
        <v>3.99998</v>
      </c>
      <c r="O351" s="39" t="n">
        <f aca="false">J351*Resumo!$C$8</f>
        <v>3.99998</v>
      </c>
      <c r="P351" s="39" t="n">
        <f aca="false">Resumo!$C$10*CEILING(I351/100,1)</f>
        <v>2</v>
      </c>
      <c r="Q351" s="39" t="n">
        <f aca="false">Resumo!$C$9</f>
        <v>11.9</v>
      </c>
      <c r="R351" s="39" t="n">
        <f aca="false">SUM(M351:Q351)*Resumo!$C$11</f>
        <v>12.0598478</v>
      </c>
      <c r="S351" s="39" t="n">
        <f aca="false">SUM(M351:R351)</f>
        <v>231.3298078</v>
      </c>
      <c r="T351" s="39" t="n">
        <f aca="false">S351/(1-Resumo!$C$5)</f>
        <v>262.874781590909</v>
      </c>
      <c r="U351" s="39" t="n">
        <v>264.84</v>
      </c>
      <c r="V351" s="39" t="n">
        <f aca="false">J351*Resumo!$B$6</f>
        <v>1.99999</v>
      </c>
      <c r="W351" s="39" t="n">
        <f aca="false">J351*Resumo!$B$7</f>
        <v>3.99998</v>
      </c>
      <c r="X351" s="39" t="n">
        <f aca="false">Resumo!$B$9</f>
        <v>1</v>
      </c>
      <c r="Y351" s="39" t="n">
        <f aca="false">Resumo!$B$10*CEILING(I351/100,1)</f>
        <v>9</v>
      </c>
      <c r="Z351" s="39" t="n">
        <f aca="false">Resumo!$B$12*CEILING(I351,1)</f>
        <v>7.56</v>
      </c>
      <c r="AA351" s="39" t="n">
        <f aca="false">Resumo!$B$13*CEILING(I351,1)</f>
        <v>56.7</v>
      </c>
      <c r="AB351" s="39" t="n">
        <f aca="false">SUM(U351:AA351)</f>
        <v>345.09997</v>
      </c>
      <c r="AC351" s="39" t="n">
        <f aca="false">AB351/(1-Resumo!$B$5)</f>
        <v>392.159056818182</v>
      </c>
      <c r="AD351" s="39" t="n">
        <f aca="false">(AB351-AA351)/(1-Resumo!$B$5)</f>
        <v>327.727238636364</v>
      </c>
      <c r="AE351" s="39" t="n">
        <f aca="false">AC351-T351</f>
        <v>129.284275227273</v>
      </c>
      <c r="AF351" s="40" t="n">
        <f aca="false">AC351/T351-1</f>
        <v>0.491809349093316</v>
      </c>
      <c r="AG351" s="37" t="str">
        <f aca="false">IF(AC351&lt;T351,"SIM","NÃO")</f>
        <v>NÃO</v>
      </c>
      <c r="AH351" s="37" t="n">
        <v>13</v>
      </c>
      <c r="AI351" s="37" t="n">
        <v>11</v>
      </c>
      <c r="AJ351" s="37" t="s">
        <v>327</v>
      </c>
    </row>
    <row r="352" customFormat="false" ht="15" hidden="false" customHeight="false" outlineLevel="0" collapsed="false">
      <c r="A352" s="37" t="n">
        <v>367166761</v>
      </c>
      <c r="B352" s="38" t="n">
        <v>46230.7930092593</v>
      </c>
      <c r="C352" s="37" t="s">
        <v>320</v>
      </c>
      <c r="D352" s="37" t="s">
        <v>675</v>
      </c>
      <c r="E352" s="37" t="n">
        <v>20911250</v>
      </c>
      <c r="F352" s="37" t="s">
        <v>139</v>
      </c>
      <c r="G352" s="37" t="s">
        <v>198</v>
      </c>
      <c r="H352" s="37" t="s">
        <v>170</v>
      </c>
      <c r="I352" s="37" t="n">
        <v>44.6</v>
      </c>
      <c r="J352" s="39" t="n">
        <v>579.99</v>
      </c>
      <c r="K352" s="37" t="s">
        <v>322</v>
      </c>
      <c r="L352" s="39" t="n">
        <v>103.36</v>
      </c>
      <c r="M352" s="39" t="n">
        <v>71</v>
      </c>
      <c r="N352" s="39" t="n">
        <f aca="false">J352*Resumo!$C$7</f>
        <v>1.15998</v>
      </c>
      <c r="O352" s="39" t="n">
        <f aca="false">J352*Resumo!$C$8</f>
        <v>1.15998</v>
      </c>
      <c r="P352" s="39" t="n">
        <f aca="false">Resumo!$C$10*CEILING(I352/100,1)</f>
        <v>1</v>
      </c>
      <c r="Q352" s="39" t="n">
        <f aca="false">Resumo!$C$9</f>
        <v>11.9</v>
      </c>
      <c r="R352" s="39" t="n">
        <f aca="false">SUM(M352:Q352)*Resumo!$C$11</f>
        <v>4.7420978</v>
      </c>
      <c r="S352" s="39" t="n">
        <f aca="false">SUM(M352:R352)</f>
        <v>90.9620578</v>
      </c>
      <c r="T352" s="39" t="n">
        <f aca="false">S352/(1-Resumo!$C$5)</f>
        <v>103.365974772727</v>
      </c>
      <c r="U352" s="39" t="n">
        <v>93.97</v>
      </c>
      <c r="V352" s="39" t="n">
        <f aca="false">J352*Resumo!$B$6</f>
        <v>0.57999</v>
      </c>
      <c r="W352" s="39" t="n">
        <f aca="false">J352*Resumo!$B$7</f>
        <v>1.15998</v>
      </c>
      <c r="X352" s="39" t="n">
        <f aca="false">Resumo!$B$9</f>
        <v>1</v>
      </c>
      <c r="Y352" s="39" t="n">
        <f aca="false">Resumo!$B$10*CEILING(I352/100,1)</f>
        <v>4.5</v>
      </c>
      <c r="Z352" s="39" t="n">
        <f aca="false">Resumo!$B$12*CEILING(I352,1)</f>
        <v>2.7</v>
      </c>
      <c r="AA352" s="39" t="n">
        <f aca="false">Resumo!$B$13*CEILING(I352,1)</f>
        <v>20.25</v>
      </c>
      <c r="AB352" s="39" t="n">
        <f aca="false">SUM(U352:AA352)</f>
        <v>124.15997</v>
      </c>
      <c r="AC352" s="39" t="n">
        <f aca="false">AB352/(1-Resumo!$B$5)</f>
        <v>141.090875</v>
      </c>
      <c r="AD352" s="39" t="n">
        <f aca="false">(AB352-AA352)/(1-Resumo!$B$5)</f>
        <v>118.079511363636</v>
      </c>
      <c r="AE352" s="39" t="n">
        <f aca="false">AC352-T352</f>
        <v>37.7249002272727</v>
      </c>
      <c r="AF352" s="40" t="n">
        <f aca="false">AC352/T352-1</f>
        <v>0.364964392878984</v>
      </c>
      <c r="AG352" s="37" t="str">
        <f aca="false">IF(AC352&lt;T352,"SIM","NÃO")</f>
        <v>NÃO</v>
      </c>
      <c r="AH352" s="37" t="n">
        <v>8</v>
      </c>
      <c r="AI352" s="37" t="n">
        <v>5</v>
      </c>
      <c r="AJ352" s="37" t="s">
        <v>323</v>
      </c>
    </row>
    <row r="353" customFormat="false" ht="15" hidden="false" customHeight="false" outlineLevel="0" collapsed="false">
      <c r="A353" s="37" t="n">
        <v>367168612</v>
      </c>
      <c r="B353" s="38" t="n">
        <v>46230.8002777778</v>
      </c>
      <c r="C353" s="37" t="s">
        <v>341</v>
      </c>
      <c r="D353" s="37" t="s">
        <v>676</v>
      </c>
      <c r="E353" s="37" t="n">
        <v>23092080</v>
      </c>
      <c r="F353" s="37" t="s">
        <v>139</v>
      </c>
      <c r="G353" s="37" t="s">
        <v>198</v>
      </c>
      <c r="H353" s="37" t="s">
        <v>167</v>
      </c>
      <c r="I353" s="37" t="n">
        <v>19.5</v>
      </c>
      <c r="J353" s="39" t="n">
        <v>549.99</v>
      </c>
      <c r="K353" s="37" t="s">
        <v>498</v>
      </c>
      <c r="L353" s="39" t="n">
        <v>67.41</v>
      </c>
      <c r="M353" s="39" t="n">
        <v>39.83</v>
      </c>
      <c r="N353" s="39" t="n">
        <f aca="false">J353*Resumo!$C$7</f>
        <v>1.09998</v>
      </c>
      <c r="O353" s="39" t="n">
        <f aca="false">J353*Resumo!$C$8</f>
        <v>1.09998</v>
      </c>
      <c r="P353" s="39" t="n">
        <f aca="false">Resumo!$C$10*CEILING(I353/100,1)</f>
        <v>1</v>
      </c>
      <c r="Q353" s="39" t="n">
        <f aca="false">Resumo!$C$9</f>
        <v>11.9</v>
      </c>
      <c r="R353" s="39" t="n">
        <f aca="false">SUM(M353:Q353)*Resumo!$C$11</f>
        <v>3.0211478</v>
      </c>
      <c r="S353" s="39" t="n">
        <f aca="false">SUM(M353:R353)</f>
        <v>57.9511078</v>
      </c>
      <c r="T353" s="39" t="n">
        <f aca="false">S353/(1-Resumo!$C$5)</f>
        <v>65.8535315909091</v>
      </c>
      <c r="U353" s="39" t="n">
        <v>46.98</v>
      </c>
      <c r="V353" s="39" t="n">
        <f aca="false">J353*Resumo!$B$6</f>
        <v>0.54999</v>
      </c>
      <c r="W353" s="39" t="n">
        <f aca="false">J353*Resumo!$B$7</f>
        <v>1.09998</v>
      </c>
      <c r="X353" s="39" t="n">
        <f aca="false">Resumo!$B$9</f>
        <v>1</v>
      </c>
      <c r="Y353" s="39" t="n">
        <f aca="false">Resumo!$B$10*CEILING(I353/100,1)</f>
        <v>4.5</v>
      </c>
      <c r="Z353" s="39" t="n">
        <f aca="false">Resumo!$B$12*CEILING(I353,1)</f>
        <v>1.2</v>
      </c>
      <c r="AA353" s="39" t="n">
        <f aca="false">Resumo!$B$13*CEILING(I353,1)</f>
        <v>9</v>
      </c>
      <c r="AB353" s="39" t="n">
        <f aca="false">SUM(U353:AA353)</f>
        <v>64.32997</v>
      </c>
      <c r="AC353" s="39" t="n">
        <f aca="false">AB353/(1-Resumo!$B$5)</f>
        <v>73.1022386363636</v>
      </c>
      <c r="AD353" s="39" t="n">
        <f aca="false">(AB353-AA353)/(1-Resumo!$B$5)</f>
        <v>62.8749659090909</v>
      </c>
      <c r="AE353" s="39" t="n">
        <f aca="false">AC353-T353</f>
        <v>7.24870704545454</v>
      </c>
      <c r="AF353" s="40" t="n">
        <f aca="false">AC353/T353-1</f>
        <v>0.110073171025731</v>
      </c>
      <c r="AG353" s="37" t="str">
        <f aca="false">IF(AC353&lt;T353,"SIM","NÃO")</f>
        <v>NÃO</v>
      </c>
      <c r="AH353" s="37" t="n">
        <v>8</v>
      </c>
      <c r="AI353" s="37" t="n">
        <v>5</v>
      </c>
      <c r="AJ353" s="37" t="s">
        <v>323</v>
      </c>
    </row>
    <row r="354" customFormat="false" ht="15" hidden="false" customHeight="false" outlineLevel="0" collapsed="false">
      <c r="A354" s="37" t="n">
        <v>367173178</v>
      </c>
      <c r="B354" s="38" t="n">
        <v>46230.8013888889</v>
      </c>
      <c r="C354" s="37" t="s">
        <v>320</v>
      </c>
      <c r="D354" s="37" t="s">
        <v>677</v>
      </c>
      <c r="E354" s="37" t="n">
        <v>24861008</v>
      </c>
      <c r="F354" s="37" t="s">
        <v>154</v>
      </c>
      <c r="G354" s="37" t="s">
        <v>201</v>
      </c>
      <c r="H354" s="37" t="s">
        <v>176</v>
      </c>
      <c r="I354" s="37" t="n">
        <v>124.2</v>
      </c>
      <c r="J354" s="39" t="n">
        <v>1699.99</v>
      </c>
      <c r="K354" s="37" t="s">
        <v>498</v>
      </c>
      <c r="L354" s="39" t="n">
        <v>253.73</v>
      </c>
      <c r="M354" s="39" t="n">
        <v>197.37</v>
      </c>
      <c r="N354" s="39" t="n">
        <f aca="false">J354*Resumo!$C$7</f>
        <v>3.39998</v>
      </c>
      <c r="O354" s="39" t="n">
        <f aca="false">J354*Resumo!$C$8</f>
        <v>3.39998</v>
      </c>
      <c r="P354" s="39" t="n">
        <f aca="false">Resumo!$C$10*CEILING(I354/100,1)</f>
        <v>2</v>
      </c>
      <c r="Q354" s="39" t="n">
        <f aca="false">Resumo!$C$9</f>
        <v>11.9</v>
      </c>
      <c r="R354" s="39" t="n">
        <f aca="false">SUM(M354:Q354)*Resumo!$C$11</f>
        <v>11.9938478</v>
      </c>
      <c r="S354" s="39" t="n">
        <f aca="false">SUM(M354:R354)</f>
        <v>230.0638078</v>
      </c>
      <c r="T354" s="39" t="n">
        <f aca="false">S354/(1-Resumo!$C$5)</f>
        <v>261.436145227273</v>
      </c>
      <c r="U354" s="39" t="n">
        <v>249.03</v>
      </c>
      <c r="V354" s="39" t="n">
        <f aca="false">J354*Resumo!$B$6</f>
        <v>1.69999</v>
      </c>
      <c r="W354" s="39" t="n">
        <f aca="false">J354*Resumo!$B$7</f>
        <v>3.39998</v>
      </c>
      <c r="X354" s="39" t="n">
        <f aca="false">Resumo!$B$9</f>
        <v>1</v>
      </c>
      <c r="Y354" s="39" t="n">
        <f aca="false">Resumo!$B$10*CEILING(I354/100,1)</f>
        <v>9</v>
      </c>
      <c r="Z354" s="39" t="n">
        <f aca="false">Resumo!$B$12*CEILING(I354,1)</f>
        <v>7.5</v>
      </c>
      <c r="AA354" s="39" t="n">
        <f aca="false">Resumo!$B$13*CEILING(I354,1)</f>
        <v>56.25</v>
      </c>
      <c r="AB354" s="39" t="n">
        <f aca="false">SUM(U354:AA354)</f>
        <v>327.87997</v>
      </c>
      <c r="AC354" s="39" t="n">
        <f aca="false">AB354/(1-Resumo!$B$5)</f>
        <v>372.590875</v>
      </c>
      <c r="AD354" s="39" t="n">
        <f aca="false">(AB354-AA354)/(1-Resumo!$B$5)</f>
        <v>308.670420454546</v>
      </c>
      <c r="AE354" s="39" t="n">
        <f aca="false">AC354-T354</f>
        <v>111.154729772727</v>
      </c>
      <c r="AF354" s="40" t="n">
        <f aca="false">AC354/T354-1</f>
        <v>0.4251697089402</v>
      </c>
      <c r="AG354" s="37" t="str">
        <f aca="false">IF(AC354&lt;T354,"SIM","NÃO")</f>
        <v>NÃO</v>
      </c>
      <c r="AH354" s="37" t="n">
        <v>13</v>
      </c>
      <c r="AI354" s="37" t="n">
        <v>7</v>
      </c>
      <c r="AJ354" s="37" t="s">
        <v>323</v>
      </c>
    </row>
    <row r="355" customFormat="false" ht="15" hidden="false" customHeight="false" outlineLevel="0" collapsed="false">
      <c r="A355" s="37" t="n">
        <v>367209313</v>
      </c>
      <c r="B355" s="38" t="n">
        <v>46230.8755555556</v>
      </c>
      <c r="C355" s="37" t="s">
        <v>325</v>
      </c>
      <c r="D355" s="37" t="s">
        <v>678</v>
      </c>
      <c r="E355" s="37" t="n">
        <v>28020197</v>
      </c>
      <c r="F355" s="37" t="s">
        <v>144</v>
      </c>
      <c r="G355" s="37" t="s">
        <v>201</v>
      </c>
      <c r="H355" s="37" t="s">
        <v>172</v>
      </c>
      <c r="I355" s="37" t="n">
        <v>61.4</v>
      </c>
      <c r="J355" s="39" t="n">
        <v>1099.99</v>
      </c>
      <c r="K355" s="37" t="s">
        <v>498</v>
      </c>
      <c r="L355" s="39" t="n">
        <v>156.05</v>
      </c>
      <c r="M355" s="39" t="n">
        <v>113.9</v>
      </c>
      <c r="N355" s="39" t="n">
        <f aca="false">J355*Resumo!$C$7</f>
        <v>2.19998</v>
      </c>
      <c r="O355" s="39" t="n">
        <f aca="false">J355*Resumo!$C$8</f>
        <v>2.19998</v>
      </c>
      <c r="P355" s="39" t="n">
        <f aca="false">Resumo!$C$10*CEILING(I355/100,1)</f>
        <v>1</v>
      </c>
      <c r="Q355" s="39" t="n">
        <f aca="false">Resumo!$C$9</f>
        <v>11.9</v>
      </c>
      <c r="R355" s="39" t="n">
        <f aca="false">SUM(M355:Q355)*Resumo!$C$11</f>
        <v>7.2159978</v>
      </c>
      <c r="S355" s="39" t="n">
        <f aca="false">SUM(M355:R355)</f>
        <v>138.4159578</v>
      </c>
      <c r="T355" s="39" t="n">
        <f aca="false">S355/(1-Resumo!$C$5)</f>
        <v>157.290861136364</v>
      </c>
      <c r="U355" s="39" t="n">
        <v>171.54</v>
      </c>
      <c r="V355" s="39" t="n">
        <f aca="false">J355*Resumo!$B$6</f>
        <v>1.09999</v>
      </c>
      <c r="W355" s="39" t="n">
        <f aca="false">J355*Resumo!$B$7</f>
        <v>2.19998</v>
      </c>
      <c r="X355" s="39" t="n">
        <f aca="false">Resumo!$B$9</f>
        <v>1</v>
      </c>
      <c r="Y355" s="39" t="n">
        <f aca="false">Resumo!$B$10*CEILING(I355/100,1)</f>
        <v>4.5</v>
      </c>
      <c r="Z355" s="39" t="n">
        <f aca="false">Resumo!$B$12*CEILING(I355,1)</f>
        <v>3.72</v>
      </c>
      <c r="AA355" s="39" t="n">
        <f aca="false">Resumo!$B$13*CEILING(I355,1)</f>
        <v>27.9</v>
      </c>
      <c r="AB355" s="39" t="n">
        <f aca="false">SUM(U355:AA355)</f>
        <v>211.95997</v>
      </c>
      <c r="AC355" s="39" t="n">
        <f aca="false">AB355/(1-Resumo!$B$5)</f>
        <v>240.863602272727</v>
      </c>
      <c r="AD355" s="39" t="n">
        <f aca="false">(AB355-AA355)/(1-Resumo!$B$5)</f>
        <v>209.159056818182</v>
      </c>
      <c r="AE355" s="39" t="n">
        <f aca="false">AC355-T355</f>
        <v>83.5727411363636</v>
      </c>
      <c r="AF355" s="40" t="n">
        <f aca="false">AC355/T355-1</f>
        <v>0.531326108412046</v>
      </c>
      <c r="AG355" s="37" t="str">
        <f aca="false">IF(AC355&lt;T355,"SIM","NÃO")</f>
        <v>NÃO</v>
      </c>
      <c r="AH355" s="37" t="n">
        <v>13</v>
      </c>
      <c r="AI355" s="37" t="n">
        <v>11</v>
      </c>
      <c r="AJ355" s="37" t="s">
        <v>323</v>
      </c>
    </row>
    <row r="356" customFormat="false" ht="15" hidden="false" customHeight="false" outlineLevel="0" collapsed="false">
      <c r="A356" s="37" t="n">
        <v>367210485</v>
      </c>
      <c r="B356" s="38" t="n">
        <v>46230.8781481482</v>
      </c>
      <c r="C356" s="37" t="s">
        <v>320</v>
      </c>
      <c r="D356" s="37" t="s">
        <v>679</v>
      </c>
      <c r="E356" s="37" t="n">
        <v>28928524</v>
      </c>
      <c r="F356" s="37" t="s">
        <v>152</v>
      </c>
      <c r="G356" s="37" t="s">
        <v>201</v>
      </c>
      <c r="H356" s="37" t="s">
        <v>172</v>
      </c>
      <c r="I356" s="37" t="n">
        <v>63</v>
      </c>
      <c r="J356" s="39" t="n">
        <v>779.99</v>
      </c>
      <c r="K356" s="37" t="s">
        <v>498</v>
      </c>
      <c r="L356" s="39" t="n">
        <v>155.03</v>
      </c>
      <c r="M356" s="39" t="n">
        <v>113.9</v>
      </c>
      <c r="N356" s="39" t="n">
        <f aca="false">J356*Resumo!$C$7</f>
        <v>1.55998</v>
      </c>
      <c r="O356" s="39" t="n">
        <f aca="false">J356*Resumo!$C$8</f>
        <v>1.55998</v>
      </c>
      <c r="P356" s="39" t="n">
        <f aca="false">Resumo!$C$10*CEILING(I356/100,1)</f>
        <v>1</v>
      </c>
      <c r="Q356" s="39" t="n">
        <f aca="false">Resumo!$C$9</f>
        <v>11.9</v>
      </c>
      <c r="R356" s="39" t="n">
        <f aca="false">SUM(M356:Q356)*Resumo!$C$11</f>
        <v>7.1455978</v>
      </c>
      <c r="S356" s="39" t="n">
        <f aca="false">SUM(M356:R356)</f>
        <v>137.0655578</v>
      </c>
      <c r="T356" s="39" t="n">
        <f aca="false">S356/(1-Resumo!$C$5)</f>
        <v>155.756315681818</v>
      </c>
      <c r="U356" s="39" t="n">
        <v>166.05</v>
      </c>
      <c r="V356" s="39" t="n">
        <f aca="false">J356*Resumo!$B$6</f>
        <v>0.77999</v>
      </c>
      <c r="W356" s="39" t="n">
        <f aca="false">J356*Resumo!$B$7</f>
        <v>1.55998</v>
      </c>
      <c r="X356" s="39" t="n">
        <f aca="false">Resumo!$B$9</f>
        <v>1</v>
      </c>
      <c r="Y356" s="39" t="n">
        <f aca="false">Resumo!$B$10*CEILING(I356/100,1)</f>
        <v>4.5</v>
      </c>
      <c r="Z356" s="39" t="n">
        <f aca="false">Resumo!$B$12*CEILING(I356,1)</f>
        <v>3.78</v>
      </c>
      <c r="AA356" s="39" t="n">
        <f aca="false">Resumo!$B$13*CEILING(I356,1)</f>
        <v>28.35</v>
      </c>
      <c r="AB356" s="39" t="n">
        <f aca="false">SUM(U356:AA356)</f>
        <v>206.01997</v>
      </c>
      <c r="AC356" s="39" t="n">
        <f aca="false">AB356/(1-Resumo!$B$5)</f>
        <v>234.113602272727</v>
      </c>
      <c r="AD356" s="39" t="n">
        <f aca="false">(AB356-AA356)/(1-Resumo!$B$5)</f>
        <v>201.897693181818</v>
      </c>
      <c r="AE356" s="39" t="n">
        <f aca="false">AC356-T356</f>
        <v>78.3572865909091</v>
      </c>
      <c r="AF356" s="40" t="n">
        <f aca="false">AC356/T356-1</f>
        <v>0.503076143319792</v>
      </c>
      <c r="AG356" s="37" t="str">
        <f aca="false">IF(AC356&lt;T356,"SIM","NÃO")</f>
        <v>NÃO</v>
      </c>
      <c r="AH356" s="37" t="n">
        <v>13</v>
      </c>
      <c r="AI356" s="37" t="n">
        <v>10</v>
      </c>
      <c r="AJ356" s="37" t="s">
        <v>323</v>
      </c>
    </row>
    <row r="357" customFormat="false" ht="15" hidden="false" customHeight="false" outlineLevel="0" collapsed="false">
      <c r="A357" s="37" t="n">
        <v>367223218</v>
      </c>
      <c r="B357" s="38" t="n">
        <v>46230.9035648148</v>
      </c>
      <c r="C357" s="37" t="s">
        <v>320</v>
      </c>
      <c r="D357" s="37" t="s">
        <v>680</v>
      </c>
      <c r="E357" s="37" t="n">
        <v>23028210</v>
      </c>
      <c r="F357" s="37" t="s">
        <v>139</v>
      </c>
      <c r="G357" s="37" t="s">
        <v>198</v>
      </c>
      <c r="H357" s="37" t="s">
        <v>169</v>
      </c>
      <c r="I357" s="37" t="n">
        <v>35.3</v>
      </c>
      <c r="J357" s="39" t="n">
        <v>479.79</v>
      </c>
      <c r="K357" s="37" t="s">
        <v>498</v>
      </c>
      <c r="L357" s="39" t="n">
        <v>92.24</v>
      </c>
      <c r="M357" s="39" t="n">
        <v>62.05</v>
      </c>
      <c r="N357" s="39" t="n">
        <f aca="false">J357*Resumo!$C$7</f>
        <v>0.95958</v>
      </c>
      <c r="O357" s="39" t="n">
        <f aca="false">J357*Resumo!$C$8</f>
        <v>0.95958</v>
      </c>
      <c r="P357" s="39" t="n">
        <f aca="false">Resumo!$C$10*CEILING(I357/100,1)</f>
        <v>1</v>
      </c>
      <c r="Q357" s="39" t="n">
        <f aca="false">Resumo!$C$9</f>
        <v>11.9</v>
      </c>
      <c r="R357" s="39" t="n">
        <f aca="false">SUM(M357:Q357)*Resumo!$C$11</f>
        <v>4.2278038</v>
      </c>
      <c r="S357" s="39" t="n">
        <f aca="false">SUM(M357:R357)</f>
        <v>81.0969638</v>
      </c>
      <c r="T357" s="39" t="n">
        <f aca="false">S357/(1-Resumo!$C$5)</f>
        <v>92.1556406818182</v>
      </c>
      <c r="U357" s="39" t="n">
        <v>93.97</v>
      </c>
      <c r="V357" s="39" t="n">
        <f aca="false">J357*Resumo!$B$6</f>
        <v>0.47979</v>
      </c>
      <c r="W357" s="39" t="n">
        <f aca="false">J357*Resumo!$B$7</f>
        <v>0.95958</v>
      </c>
      <c r="X357" s="39" t="n">
        <f aca="false">Resumo!$B$9</f>
        <v>1</v>
      </c>
      <c r="Y357" s="39" t="n">
        <f aca="false">Resumo!$B$10*CEILING(I357/100,1)</f>
        <v>4.5</v>
      </c>
      <c r="Z357" s="39" t="n">
        <f aca="false">Resumo!$B$12*CEILING(I357,1)</f>
        <v>2.16</v>
      </c>
      <c r="AA357" s="39" t="n">
        <f aca="false">Resumo!$B$13*CEILING(I357,1)</f>
        <v>16.2</v>
      </c>
      <c r="AB357" s="39" t="n">
        <f aca="false">SUM(U357:AA357)</f>
        <v>119.26937</v>
      </c>
      <c r="AC357" s="39" t="n">
        <f aca="false">AB357/(1-Resumo!$B$5)</f>
        <v>135.533375</v>
      </c>
      <c r="AD357" s="39" t="n">
        <f aca="false">(AB357-AA357)/(1-Resumo!$B$5)</f>
        <v>117.124284090909</v>
      </c>
      <c r="AE357" s="39" t="n">
        <f aca="false">AC357-T357</f>
        <v>43.3777343181818</v>
      </c>
      <c r="AF357" s="40" t="n">
        <f aca="false">AC357/T357-1</f>
        <v>0.470700805694035</v>
      </c>
      <c r="AG357" s="37" t="str">
        <f aca="false">IF(AC357&lt;T357,"SIM","NÃO")</f>
        <v>NÃO</v>
      </c>
      <c r="AH357" s="37" t="n">
        <v>8</v>
      </c>
      <c r="AI357" s="37" t="n">
        <v>5</v>
      </c>
      <c r="AJ357" s="37" t="s">
        <v>323</v>
      </c>
    </row>
    <row r="358" customFormat="false" ht="15" hidden="false" customHeight="false" outlineLevel="0" collapsed="false">
      <c r="A358" s="37" t="n">
        <v>367237101</v>
      </c>
      <c r="B358" s="38" t="n">
        <v>46230.9363541667</v>
      </c>
      <c r="C358" s="37" t="s">
        <v>341</v>
      </c>
      <c r="D358" s="37" t="s">
        <v>681</v>
      </c>
      <c r="E358" s="37" t="n">
        <v>26155040</v>
      </c>
      <c r="F358" s="37" t="s">
        <v>145</v>
      </c>
      <c r="G358" s="37" t="s">
        <v>207</v>
      </c>
      <c r="H358" s="37" t="s">
        <v>176</v>
      </c>
      <c r="I358" s="37" t="n">
        <v>148.7</v>
      </c>
      <c r="J358" s="39" t="n">
        <v>1699.99</v>
      </c>
      <c r="K358" s="37" t="s">
        <v>498</v>
      </c>
      <c r="L358" s="39" t="n">
        <v>249.39</v>
      </c>
      <c r="M358" s="39" t="n">
        <v>183.45</v>
      </c>
      <c r="N358" s="39" t="n">
        <f aca="false">J358*Resumo!$C$7</f>
        <v>3.39998</v>
      </c>
      <c r="O358" s="39" t="n">
        <f aca="false">J358*Resumo!$C$8</f>
        <v>3.39998</v>
      </c>
      <c r="P358" s="39" t="n">
        <f aca="false">Resumo!$C$10*CEILING(I358/100,1)</f>
        <v>2</v>
      </c>
      <c r="Q358" s="39" t="n">
        <f aca="false">Resumo!$C$9</f>
        <v>11.9</v>
      </c>
      <c r="R358" s="39" t="n">
        <f aca="false">SUM(M358:Q358)*Resumo!$C$11</f>
        <v>11.2282478</v>
      </c>
      <c r="S358" s="39" t="n">
        <f aca="false">SUM(M358:R358)</f>
        <v>215.3782078</v>
      </c>
      <c r="T358" s="39" t="n">
        <f aca="false">S358/(1-Resumo!$C$5)</f>
        <v>244.747963409091</v>
      </c>
      <c r="U358" s="39" t="n">
        <v>239.25</v>
      </c>
      <c r="V358" s="39" t="n">
        <f aca="false">J358*Resumo!$B$6</f>
        <v>1.69999</v>
      </c>
      <c r="W358" s="39" t="n">
        <f aca="false">J358*Resumo!$B$7</f>
        <v>3.39998</v>
      </c>
      <c r="X358" s="39" t="n">
        <f aca="false">Resumo!$B$9</f>
        <v>1</v>
      </c>
      <c r="Y358" s="39" t="n">
        <f aca="false">Resumo!$B$10*CEILING(I358/100,1)</f>
        <v>9</v>
      </c>
      <c r="Z358" s="39" t="n">
        <f aca="false">Resumo!$B$12*CEILING(I358,1)</f>
        <v>8.94</v>
      </c>
      <c r="AA358" s="39" t="n">
        <f aca="false">Resumo!$B$13*CEILING(I358,1)</f>
        <v>67.05</v>
      </c>
      <c r="AB358" s="39" t="n">
        <f aca="false">SUM(U358:AA358)</f>
        <v>330.33997</v>
      </c>
      <c r="AC358" s="39" t="n">
        <f aca="false">AB358/(1-Resumo!$B$5)</f>
        <v>375.386329545455</v>
      </c>
      <c r="AD358" s="39" t="n">
        <f aca="false">(AB358-AA358)/(1-Resumo!$B$5)</f>
        <v>299.193147727273</v>
      </c>
      <c r="AE358" s="39" t="n">
        <f aca="false">AC358-T358</f>
        <v>130.638366136364</v>
      </c>
      <c r="AF358" s="40" t="n">
        <f aca="false">AC358/T358-1</f>
        <v>0.533766918084644</v>
      </c>
      <c r="AG358" s="37" t="str">
        <f aca="false">IF(AC358&lt;T358,"SIM","NÃO")</f>
        <v>NÃO</v>
      </c>
      <c r="AH358" s="37" t="n">
        <v>10</v>
      </c>
      <c r="AI358" s="37" t="n">
        <v>5</v>
      </c>
      <c r="AJ358" s="37" t="s">
        <v>323</v>
      </c>
    </row>
    <row r="359" customFormat="false" ht="15" hidden="false" customHeight="false" outlineLevel="0" collapsed="false">
      <c r="A359" s="37" t="n">
        <v>367261347</v>
      </c>
      <c r="B359" s="38" t="n">
        <v>46230.989525463</v>
      </c>
      <c r="C359" s="37" t="s">
        <v>320</v>
      </c>
      <c r="D359" s="37" t="s">
        <v>682</v>
      </c>
      <c r="E359" s="37" t="n">
        <v>21830360</v>
      </c>
      <c r="F359" s="37" t="s">
        <v>139</v>
      </c>
      <c r="G359" s="37" t="s">
        <v>198</v>
      </c>
      <c r="H359" s="37" t="s">
        <v>169</v>
      </c>
      <c r="I359" s="37" t="n">
        <v>37.2</v>
      </c>
      <c r="J359" s="39" t="n">
        <v>399.99</v>
      </c>
      <c r="K359" s="37" t="s">
        <v>322</v>
      </c>
      <c r="L359" s="39" t="n">
        <v>91.77</v>
      </c>
      <c r="M359" s="39" t="n">
        <v>62.05</v>
      </c>
      <c r="N359" s="39" t="n">
        <f aca="false">J359*Resumo!$C$7</f>
        <v>0.79998</v>
      </c>
      <c r="O359" s="39" t="n">
        <f aca="false">J359*Resumo!$C$8</f>
        <v>0.79998</v>
      </c>
      <c r="P359" s="39" t="n">
        <f aca="false">Resumo!$C$10*CEILING(I359/100,1)</f>
        <v>1</v>
      </c>
      <c r="Q359" s="39" t="n">
        <f aca="false">Resumo!$C$9</f>
        <v>11.9</v>
      </c>
      <c r="R359" s="39" t="n">
        <f aca="false">SUM(M359:Q359)*Resumo!$C$11</f>
        <v>4.2102478</v>
      </c>
      <c r="S359" s="39" t="n">
        <f aca="false">SUM(M359:R359)</f>
        <v>80.7602078</v>
      </c>
      <c r="T359" s="39" t="n">
        <f aca="false">S359/(1-Resumo!$C$5)</f>
        <v>91.7729634090909</v>
      </c>
      <c r="U359" s="39" t="n">
        <v>93.97</v>
      </c>
      <c r="V359" s="39" t="n">
        <f aca="false">J359*Resumo!$B$6</f>
        <v>0.39999</v>
      </c>
      <c r="W359" s="39" t="n">
        <f aca="false">J359*Resumo!$B$7</f>
        <v>0.79998</v>
      </c>
      <c r="X359" s="39" t="n">
        <f aca="false">Resumo!$B$9</f>
        <v>1</v>
      </c>
      <c r="Y359" s="39" t="n">
        <f aca="false">Resumo!$B$10*CEILING(I359/100,1)</f>
        <v>4.5</v>
      </c>
      <c r="Z359" s="39" t="n">
        <f aca="false">Resumo!$B$12*CEILING(I359,1)</f>
        <v>2.28</v>
      </c>
      <c r="AA359" s="39" t="n">
        <f aca="false">Resumo!$B$13*CEILING(I359,1)</f>
        <v>17.1</v>
      </c>
      <c r="AB359" s="39" t="n">
        <f aca="false">SUM(U359:AA359)</f>
        <v>120.04997</v>
      </c>
      <c r="AC359" s="39" t="n">
        <f aca="false">AB359/(1-Resumo!$B$5)</f>
        <v>136.420420454545</v>
      </c>
      <c r="AD359" s="39" t="n">
        <f aca="false">(AB359-AA359)/(1-Resumo!$B$5)</f>
        <v>116.988602272727</v>
      </c>
      <c r="AE359" s="39" t="n">
        <f aca="false">AC359-T359</f>
        <v>44.6474570454545</v>
      </c>
      <c r="AF359" s="40" t="n">
        <f aca="false">AC359/T359-1</f>
        <v>0.486499023099344</v>
      </c>
      <c r="AG359" s="37" t="str">
        <f aca="false">IF(AC359&lt;T359,"SIM","NÃO")</f>
        <v>NÃO</v>
      </c>
      <c r="AH359" s="37" t="n">
        <v>8</v>
      </c>
      <c r="AI359" s="37" t="n">
        <v>5</v>
      </c>
      <c r="AJ359" s="37" t="s">
        <v>323</v>
      </c>
    </row>
    <row r="360" customFormat="false" ht="15" hidden="false" customHeight="false" outlineLevel="0" collapsed="false">
      <c r="A360" s="37" t="n">
        <v>367376901</v>
      </c>
      <c r="B360" s="38" t="n">
        <v>46231.3741087963</v>
      </c>
      <c r="C360" s="37" t="s">
        <v>320</v>
      </c>
      <c r="D360" s="37" t="s">
        <v>683</v>
      </c>
      <c r="E360" s="37" t="n">
        <v>21775370</v>
      </c>
      <c r="F360" s="37" t="s">
        <v>139</v>
      </c>
      <c r="G360" s="37" t="s">
        <v>198</v>
      </c>
      <c r="H360" s="37" t="s">
        <v>171</v>
      </c>
      <c r="I360" s="37" t="n">
        <v>52.3</v>
      </c>
      <c r="J360" s="39" t="n">
        <v>699.99</v>
      </c>
      <c r="K360" s="37" t="s">
        <v>498</v>
      </c>
      <c r="L360" s="39" t="n">
        <v>113.63</v>
      </c>
      <c r="M360" s="39" t="n">
        <v>79.81</v>
      </c>
      <c r="N360" s="39" t="n">
        <f aca="false">J360*Resumo!$C$7</f>
        <v>1.39998</v>
      </c>
      <c r="O360" s="39" t="n">
        <f aca="false">J360*Resumo!$C$8</f>
        <v>1.39998</v>
      </c>
      <c r="P360" s="39" t="n">
        <f aca="false">Resumo!$C$10*CEILING(I360/100,1)</f>
        <v>1</v>
      </c>
      <c r="Q360" s="39" t="n">
        <f aca="false">Resumo!$C$9</f>
        <v>11.9</v>
      </c>
      <c r="R360" s="39" t="n">
        <f aca="false">SUM(M360:Q360)*Resumo!$C$11</f>
        <v>5.2530478</v>
      </c>
      <c r="S360" s="39" t="n">
        <f aca="false">SUM(M360:R360)</f>
        <v>100.7630078</v>
      </c>
      <c r="T360" s="39" t="n">
        <f aca="false">S360/(1-Resumo!$C$5)</f>
        <v>114.503417954545</v>
      </c>
      <c r="U360" s="39" t="n">
        <v>112.3</v>
      </c>
      <c r="V360" s="39" t="n">
        <f aca="false">J360*Resumo!$B$6</f>
        <v>0.69999</v>
      </c>
      <c r="W360" s="39" t="n">
        <f aca="false">J360*Resumo!$B$7</f>
        <v>1.39998</v>
      </c>
      <c r="X360" s="39" t="n">
        <f aca="false">Resumo!$B$9</f>
        <v>1</v>
      </c>
      <c r="Y360" s="39" t="n">
        <f aca="false">Resumo!$B$10*CEILING(I360/100,1)</f>
        <v>4.5</v>
      </c>
      <c r="Z360" s="39" t="n">
        <f aca="false">Resumo!$B$12*CEILING(I360,1)</f>
        <v>3.18</v>
      </c>
      <c r="AA360" s="39" t="n">
        <f aca="false">Resumo!$B$13*CEILING(I360,1)</f>
        <v>23.85</v>
      </c>
      <c r="AB360" s="39" t="n">
        <f aca="false">SUM(U360:AA360)</f>
        <v>146.92997</v>
      </c>
      <c r="AC360" s="39" t="n">
        <f aca="false">AB360/(1-Resumo!$B$5)</f>
        <v>166.965875</v>
      </c>
      <c r="AD360" s="39" t="n">
        <f aca="false">(AB360-AA360)/(1-Resumo!$B$5)</f>
        <v>139.863602272727</v>
      </c>
      <c r="AE360" s="39" t="n">
        <f aca="false">AC360-T360</f>
        <v>52.4624570454545</v>
      </c>
      <c r="AF360" s="40" t="n">
        <f aca="false">AC360/T360-1</f>
        <v>0.458173720772952</v>
      </c>
      <c r="AG360" s="37" t="str">
        <f aca="false">IF(AC360&lt;T360,"SIM","NÃO")</f>
        <v>NÃO</v>
      </c>
      <c r="AH360" s="37" t="n">
        <v>8</v>
      </c>
      <c r="AI360" s="37" t="n">
        <v>5</v>
      </c>
      <c r="AJ360" s="37" t="s">
        <v>323</v>
      </c>
    </row>
    <row r="361" customFormat="false" ht="15" hidden="false" customHeight="false" outlineLevel="0" collapsed="false">
      <c r="A361" s="37" t="n">
        <v>367410133</v>
      </c>
      <c r="B361" s="38" t="n">
        <v>46231.4362615741</v>
      </c>
      <c r="C361" s="37" t="s">
        <v>325</v>
      </c>
      <c r="D361" s="37" t="s">
        <v>684</v>
      </c>
      <c r="E361" s="37" t="n">
        <v>25065210</v>
      </c>
      <c r="F361" s="37" t="s">
        <v>141</v>
      </c>
      <c r="G361" s="37" t="s">
        <v>207</v>
      </c>
      <c r="H361" s="37" t="s">
        <v>170</v>
      </c>
      <c r="I361" s="37" t="n">
        <v>48.6</v>
      </c>
      <c r="J361" s="39" t="n">
        <v>575.6</v>
      </c>
      <c r="K361" s="37" t="s">
        <v>322</v>
      </c>
      <c r="L361" s="39" t="n">
        <v>116.83</v>
      </c>
      <c r="M361" s="39" t="n">
        <v>82.25</v>
      </c>
      <c r="N361" s="39" t="n">
        <f aca="false">J361*Resumo!$C$7</f>
        <v>1.1512</v>
      </c>
      <c r="O361" s="39" t="n">
        <f aca="false">J361*Resumo!$C$8</f>
        <v>1.1512</v>
      </c>
      <c r="P361" s="39" t="n">
        <f aca="false">Resumo!$C$10*CEILING(I361/100,1)</f>
        <v>1</v>
      </c>
      <c r="Q361" s="39" t="n">
        <f aca="false">Resumo!$C$9</f>
        <v>11.9</v>
      </c>
      <c r="R361" s="39" t="n">
        <f aca="false">SUM(M361:Q361)*Resumo!$C$11</f>
        <v>5.359882</v>
      </c>
      <c r="S361" s="39" t="n">
        <f aca="false">SUM(M361:R361)</f>
        <v>102.812282</v>
      </c>
      <c r="T361" s="39" t="n">
        <f aca="false">S361/(1-Resumo!$C$5)</f>
        <v>116.832138636364</v>
      </c>
      <c r="U361" s="39" t="n">
        <v>93.97</v>
      </c>
      <c r="V361" s="39" t="n">
        <f aca="false">J361*Resumo!$B$6</f>
        <v>0.5756</v>
      </c>
      <c r="W361" s="39" t="n">
        <f aca="false">J361*Resumo!$B$7</f>
        <v>1.1512</v>
      </c>
      <c r="X361" s="39" t="n">
        <f aca="false">Resumo!$B$9</f>
        <v>1</v>
      </c>
      <c r="Y361" s="39" t="n">
        <f aca="false">Resumo!$B$10*CEILING(I361/100,1)</f>
        <v>4.5</v>
      </c>
      <c r="Z361" s="39" t="n">
        <f aca="false">Resumo!$B$12*CEILING(I361,1)</f>
        <v>2.94</v>
      </c>
      <c r="AA361" s="39" t="n">
        <f aca="false">Resumo!$B$13*CEILING(I361,1)</f>
        <v>22.05</v>
      </c>
      <c r="AB361" s="39" t="n">
        <f aca="false">SUM(U361:AA361)</f>
        <v>126.1868</v>
      </c>
      <c r="AC361" s="39" t="n">
        <f aca="false">AB361/(1-Resumo!$B$5)</f>
        <v>143.394090909091</v>
      </c>
      <c r="AD361" s="39" t="n">
        <f aca="false">(AB361-AA361)/(1-Resumo!$B$5)</f>
        <v>118.337272727273</v>
      </c>
      <c r="AE361" s="39" t="n">
        <f aca="false">AC361-T361</f>
        <v>26.5619522727273</v>
      </c>
      <c r="AF361" s="40" t="n">
        <f aca="false">AC361/T361-1</f>
        <v>0.227351417022336</v>
      </c>
      <c r="AG361" s="37" t="str">
        <f aca="false">IF(AC361&lt;T361,"SIM","NÃO")</f>
        <v>NÃO</v>
      </c>
      <c r="AH361" s="37" t="n">
        <v>10</v>
      </c>
      <c r="AI361" s="37" t="n">
        <v>5</v>
      </c>
      <c r="AJ361" s="37" t="s">
        <v>323</v>
      </c>
    </row>
    <row r="362" customFormat="false" ht="15" hidden="false" customHeight="false" outlineLevel="0" collapsed="false">
      <c r="A362" s="37" t="n">
        <v>367416594</v>
      </c>
      <c r="B362" s="38" t="n">
        <v>46231.4486805556</v>
      </c>
      <c r="C362" s="37" t="s">
        <v>359</v>
      </c>
      <c r="D362" s="37" t="s">
        <v>685</v>
      </c>
      <c r="E362" s="37" t="n">
        <v>22775045</v>
      </c>
      <c r="F362" s="37" t="s">
        <v>139</v>
      </c>
      <c r="G362" s="37" t="s">
        <v>198</v>
      </c>
      <c r="H362" s="37" t="s">
        <v>167</v>
      </c>
      <c r="I362" s="37" t="n">
        <v>17.2</v>
      </c>
      <c r="J362" s="39" t="n">
        <v>243.58</v>
      </c>
      <c r="K362" s="37" t="s">
        <v>322</v>
      </c>
      <c r="L362" s="39" t="n">
        <v>64.39</v>
      </c>
      <c r="M362" s="39" t="n">
        <v>39.83</v>
      </c>
      <c r="N362" s="39" t="n">
        <f aca="false">J362*Resumo!$C$7</f>
        <v>0.48716</v>
      </c>
      <c r="O362" s="39" t="n">
        <f aca="false">J362*Resumo!$C$8</f>
        <v>0.48716</v>
      </c>
      <c r="P362" s="39" t="n">
        <f aca="false">Resumo!$C$10*CEILING(I362/100,1)</f>
        <v>1</v>
      </c>
      <c r="Q362" s="39" t="n">
        <f aca="false">Resumo!$C$9</f>
        <v>11.9</v>
      </c>
      <c r="R362" s="39" t="n">
        <f aca="false">SUM(M362:Q362)*Resumo!$C$11</f>
        <v>2.9537376</v>
      </c>
      <c r="S362" s="39" t="n">
        <f aca="false">SUM(M362:R362)</f>
        <v>56.6580576</v>
      </c>
      <c r="T362" s="39" t="n">
        <f aca="false">S362/(1-Resumo!$C$5)</f>
        <v>64.3841563636364</v>
      </c>
      <c r="U362" s="39" t="n">
        <v>46.98</v>
      </c>
      <c r="V362" s="39" t="n">
        <f aca="false">J362*Resumo!$B$6</f>
        <v>0.24358</v>
      </c>
      <c r="W362" s="39" t="n">
        <f aca="false">J362*Resumo!$B$7</f>
        <v>0.48716</v>
      </c>
      <c r="X362" s="39" t="n">
        <f aca="false">Resumo!$B$9</f>
        <v>1</v>
      </c>
      <c r="Y362" s="39" t="n">
        <f aca="false">Resumo!$B$10*CEILING(I362/100,1)</f>
        <v>4.5</v>
      </c>
      <c r="Z362" s="39" t="n">
        <f aca="false">Resumo!$B$12*CEILING(I362,1)</f>
        <v>1.08</v>
      </c>
      <c r="AA362" s="39" t="n">
        <f aca="false">Resumo!$B$13*CEILING(I362,1)</f>
        <v>8.1</v>
      </c>
      <c r="AB362" s="39" t="n">
        <f aca="false">SUM(U362:AA362)</f>
        <v>62.39074</v>
      </c>
      <c r="AC362" s="39" t="n">
        <f aca="false">AB362/(1-Resumo!$B$5)</f>
        <v>70.8985681818182</v>
      </c>
      <c r="AD362" s="39" t="n">
        <f aca="false">(AB362-AA362)/(1-Resumo!$B$5)</f>
        <v>61.6940227272727</v>
      </c>
      <c r="AE362" s="39" t="n">
        <f aca="false">AC362-T362</f>
        <v>6.51441181818183</v>
      </c>
      <c r="AF362" s="40" t="n">
        <f aca="false">AC362/T362-1</f>
        <v>0.101180355325136</v>
      </c>
      <c r="AG362" s="37" t="str">
        <f aca="false">IF(AC362&lt;T362,"SIM","NÃO")</f>
        <v>NÃO</v>
      </c>
      <c r="AH362" s="37" t="n">
        <v>8</v>
      </c>
      <c r="AI362" s="37" t="n">
        <v>5</v>
      </c>
      <c r="AJ362" s="37" t="s">
        <v>323</v>
      </c>
    </row>
    <row r="363" customFormat="false" ht="15" hidden="false" customHeight="false" outlineLevel="0" collapsed="false">
      <c r="A363" s="37" t="n">
        <v>367430239</v>
      </c>
      <c r="B363" s="38" t="n">
        <v>46231.4730555556</v>
      </c>
      <c r="C363" s="37" t="s">
        <v>325</v>
      </c>
      <c r="D363" s="37" t="s">
        <v>686</v>
      </c>
      <c r="E363" s="37" t="n">
        <v>26291368</v>
      </c>
      <c r="F363" s="37" t="s">
        <v>142</v>
      </c>
      <c r="G363" s="37" t="s">
        <v>207</v>
      </c>
      <c r="H363" s="37" t="s">
        <v>176</v>
      </c>
      <c r="I363" s="37" t="n">
        <v>124.2</v>
      </c>
      <c r="J363" s="39" t="n">
        <v>1799.99</v>
      </c>
      <c r="K363" s="37" t="s">
        <v>322</v>
      </c>
      <c r="L363" s="39" t="n">
        <v>245.23</v>
      </c>
      <c r="M363" s="39" t="n">
        <v>183.45</v>
      </c>
      <c r="N363" s="39" t="n">
        <f aca="false">J363*Resumo!$C$7</f>
        <v>3.59998</v>
      </c>
      <c r="O363" s="39" t="n">
        <f aca="false">J363*Resumo!$C$8</f>
        <v>3.59998</v>
      </c>
      <c r="P363" s="39" t="n">
        <f aca="false">Resumo!$C$10*CEILING(I363/100,1)</f>
        <v>2</v>
      </c>
      <c r="Q363" s="39" t="n">
        <f aca="false">Resumo!$C$9</f>
        <v>11.9</v>
      </c>
      <c r="R363" s="39" t="n">
        <f aca="false">SUM(M363:Q363)*Resumo!$C$11</f>
        <v>11.2502478</v>
      </c>
      <c r="S363" s="39" t="n">
        <f aca="false">SUM(M363:R363)</f>
        <v>215.8002078</v>
      </c>
      <c r="T363" s="39" t="n">
        <f aca="false">S363/(1-Resumo!$C$5)</f>
        <v>245.227508863636</v>
      </c>
      <c r="U363" s="39" t="n">
        <v>239.25</v>
      </c>
      <c r="V363" s="39" t="n">
        <f aca="false">J363*Resumo!$B$6</f>
        <v>1.79999</v>
      </c>
      <c r="W363" s="39" t="n">
        <f aca="false">J363*Resumo!$B$7</f>
        <v>3.59998</v>
      </c>
      <c r="X363" s="39" t="n">
        <f aca="false">Resumo!$B$9</f>
        <v>1</v>
      </c>
      <c r="Y363" s="39" t="n">
        <f aca="false">Resumo!$B$10*CEILING(I363/100,1)</f>
        <v>9</v>
      </c>
      <c r="Z363" s="39" t="n">
        <f aca="false">Resumo!$B$12*CEILING(I363,1)</f>
        <v>7.5</v>
      </c>
      <c r="AA363" s="39" t="n">
        <f aca="false">Resumo!$B$13*CEILING(I363,1)</f>
        <v>56.25</v>
      </c>
      <c r="AB363" s="39" t="n">
        <f aca="false">SUM(U363:AA363)</f>
        <v>318.39997</v>
      </c>
      <c r="AC363" s="39" t="n">
        <f aca="false">AB363/(1-Resumo!$B$5)</f>
        <v>361.818147727273</v>
      </c>
      <c r="AD363" s="39" t="n">
        <f aca="false">(AB363-AA363)/(1-Resumo!$B$5)</f>
        <v>297.897693181818</v>
      </c>
      <c r="AE363" s="39" t="n">
        <f aca="false">AC363-T363</f>
        <v>116.590638863636</v>
      </c>
      <c r="AF363" s="40" t="n">
        <f aca="false">AC363/T363-1</f>
        <v>0.475438662668424</v>
      </c>
      <c r="AG363" s="37" t="str">
        <f aca="false">IF(AC363&lt;T363,"SIM","NÃO")</f>
        <v>NÃO</v>
      </c>
      <c r="AH363" s="37" t="n">
        <v>10</v>
      </c>
      <c r="AI363" s="37" t="n">
        <v>5</v>
      </c>
      <c r="AJ363" s="37" t="s">
        <v>323</v>
      </c>
    </row>
    <row r="364" customFormat="false" ht="15" hidden="false" customHeight="false" outlineLevel="0" collapsed="false">
      <c r="A364" s="37" t="n">
        <v>367446783</v>
      </c>
      <c r="B364" s="38" t="n">
        <v>46231.4821990741</v>
      </c>
      <c r="C364" s="37" t="s">
        <v>517</v>
      </c>
      <c r="D364" s="37" t="s">
        <v>687</v>
      </c>
      <c r="E364" s="37" t="n">
        <v>20920410</v>
      </c>
      <c r="F364" s="37" t="s">
        <v>139</v>
      </c>
      <c r="G364" s="37" t="s">
        <v>198</v>
      </c>
      <c r="H364" s="37" t="s">
        <v>169</v>
      </c>
      <c r="I364" s="37" t="n">
        <v>40</v>
      </c>
      <c r="J364" s="39" t="n">
        <v>509.6</v>
      </c>
      <c r="K364" s="37" t="s">
        <v>322</v>
      </c>
      <c r="L364" s="39" t="n">
        <v>92.3</v>
      </c>
      <c r="M364" s="39" t="n">
        <v>62.05</v>
      </c>
      <c r="N364" s="39" t="n">
        <f aca="false">J364*Resumo!$C$7</f>
        <v>1.0192</v>
      </c>
      <c r="O364" s="39" t="n">
        <f aca="false">J364*Resumo!$C$8</f>
        <v>1.0192</v>
      </c>
      <c r="P364" s="39" t="n">
        <f aca="false">Resumo!$C$10*CEILING(I364/100,1)</f>
        <v>1</v>
      </c>
      <c r="Q364" s="39" t="n">
        <f aca="false">Resumo!$C$9</f>
        <v>11.9</v>
      </c>
      <c r="R364" s="39" t="n">
        <f aca="false">SUM(M364:Q364)*Resumo!$C$11</f>
        <v>4.234362</v>
      </c>
      <c r="S364" s="39" t="n">
        <f aca="false">SUM(M364:R364)</f>
        <v>81.222762</v>
      </c>
      <c r="T364" s="39" t="n">
        <f aca="false">S364/(1-Resumo!$C$5)</f>
        <v>92.2985931818182</v>
      </c>
      <c r="U364" s="39" t="n">
        <v>93.97</v>
      </c>
      <c r="V364" s="39" t="n">
        <f aca="false">J364*Resumo!$B$6</f>
        <v>0.5096</v>
      </c>
      <c r="W364" s="39" t="n">
        <f aca="false">J364*Resumo!$B$7</f>
        <v>1.0192</v>
      </c>
      <c r="X364" s="39" t="n">
        <f aca="false">Resumo!$B$9</f>
        <v>1</v>
      </c>
      <c r="Y364" s="39" t="n">
        <f aca="false">Resumo!$B$10*CEILING(I364/100,1)</f>
        <v>4.5</v>
      </c>
      <c r="Z364" s="39" t="n">
        <f aca="false">Resumo!$B$12*CEILING(I364,1)</f>
        <v>2.4</v>
      </c>
      <c r="AA364" s="39" t="n">
        <f aca="false">Resumo!$B$13*CEILING(I364,1)</f>
        <v>18</v>
      </c>
      <c r="AB364" s="39" t="n">
        <f aca="false">SUM(U364:AA364)</f>
        <v>121.3988</v>
      </c>
      <c r="AC364" s="39" t="n">
        <f aca="false">AB364/(1-Resumo!$B$5)</f>
        <v>137.953181818182</v>
      </c>
      <c r="AD364" s="39" t="n">
        <f aca="false">(AB364-AA364)/(1-Resumo!$B$5)</f>
        <v>117.498636363636</v>
      </c>
      <c r="AE364" s="39" t="n">
        <f aca="false">AC364-T364</f>
        <v>45.6545886363636</v>
      </c>
      <c r="AF364" s="40" t="n">
        <f aca="false">AC364/T364-1</f>
        <v>0.494640135483203</v>
      </c>
      <c r="AG364" s="37" t="str">
        <f aca="false">IF(AC364&lt;T364,"SIM","NÃO")</f>
        <v>NÃO</v>
      </c>
      <c r="AH364" s="37" t="n">
        <v>8</v>
      </c>
      <c r="AI364" s="37" t="n">
        <v>5</v>
      </c>
      <c r="AJ364" s="37" t="s">
        <v>323</v>
      </c>
    </row>
    <row r="365" customFormat="false" ht="15" hidden="false" customHeight="false" outlineLevel="0" collapsed="false">
      <c r="A365" s="37" t="n">
        <v>367480619</v>
      </c>
      <c r="B365" s="38" t="n">
        <v>46231.5685648148</v>
      </c>
      <c r="C365" s="37" t="s">
        <v>320</v>
      </c>
      <c r="D365" s="37" t="s">
        <v>688</v>
      </c>
      <c r="E365" s="37" t="n">
        <v>26554220</v>
      </c>
      <c r="F365" s="37" t="s">
        <v>155</v>
      </c>
      <c r="G365" s="37" t="s">
        <v>207</v>
      </c>
      <c r="H365" s="37" t="s">
        <v>169</v>
      </c>
      <c r="I365" s="37" t="n">
        <v>39.6</v>
      </c>
      <c r="J365" s="39" t="n">
        <v>739.98</v>
      </c>
      <c r="K365" s="37" t="s">
        <v>498</v>
      </c>
      <c r="L365" s="39" t="n">
        <v>116.51</v>
      </c>
      <c r="M365" s="39" t="n">
        <v>79.65</v>
      </c>
      <c r="N365" s="39" t="n">
        <f aca="false">J365*Resumo!$C$7</f>
        <v>1.47996</v>
      </c>
      <c r="O365" s="39" t="n">
        <f aca="false">J365*Resumo!$C$8</f>
        <v>1.47996</v>
      </c>
      <c r="P365" s="39" t="n">
        <f aca="false">Resumo!$C$10*CEILING(I365/100,1)</f>
        <v>1</v>
      </c>
      <c r="Q365" s="39" t="n">
        <f aca="false">Resumo!$C$9</f>
        <v>11.9</v>
      </c>
      <c r="R365" s="39" t="n">
        <f aca="false">SUM(M365:Q365)*Resumo!$C$11</f>
        <v>5.2530456</v>
      </c>
      <c r="S365" s="39" t="n">
        <f aca="false">SUM(M365:R365)</f>
        <v>100.7629656</v>
      </c>
      <c r="T365" s="39" t="n">
        <f aca="false">S365/(1-Resumo!$C$5)</f>
        <v>114.50337</v>
      </c>
      <c r="U365" s="39" t="n">
        <v>93.97</v>
      </c>
      <c r="V365" s="39" t="n">
        <f aca="false">J365*Resumo!$B$6</f>
        <v>0.73998</v>
      </c>
      <c r="W365" s="39" t="n">
        <f aca="false">J365*Resumo!$B$7</f>
        <v>1.47996</v>
      </c>
      <c r="X365" s="39" t="n">
        <f aca="false">Resumo!$B$9</f>
        <v>1</v>
      </c>
      <c r="Y365" s="39" t="n">
        <f aca="false">Resumo!$B$10*CEILING(I365/100,1)</f>
        <v>4.5</v>
      </c>
      <c r="Z365" s="39" t="n">
        <f aca="false">Resumo!$B$12*CEILING(I365,1)</f>
        <v>2.4</v>
      </c>
      <c r="AA365" s="39" t="n">
        <f aca="false">Resumo!$B$13*CEILING(I365,1)</f>
        <v>18</v>
      </c>
      <c r="AB365" s="39" t="n">
        <f aca="false">SUM(U365:AA365)</f>
        <v>122.08994</v>
      </c>
      <c r="AC365" s="39" t="n">
        <f aca="false">AB365/(1-Resumo!$B$5)</f>
        <v>138.738568181818</v>
      </c>
      <c r="AD365" s="39" t="n">
        <f aca="false">(AB365-AA365)/(1-Resumo!$B$5)</f>
        <v>118.284022727273</v>
      </c>
      <c r="AE365" s="39" t="n">
        <f aca="false">AC365-T365</f>
        <v>24.2351981818182</v>
      </c>
      <c r="AF365" s="40" t="n">
        <f aca="false">AC365/T365-1</f>
        <v>0.211654889998593</v>
      </c>
      <c r="AG365" s="37" t="str">
        <f aca="false">IF(AC365&lt;T365,"SIM","NÃO")</f>
        <v>NÃO</v>
      </c>
      <c r="AH365" s="37" t="n">
        <v>10</v>
      </c>
      <c r="AI365" s="37" t="n">
        <v>5</v>
      </c>
      <c r="AJ365" s="37" t="s">
        <v>323</v>
      </c>
    </row>
    <row r="366" customFormat="false" ht="15" hidden="false" customHeight="false" outlineLevel="0" collapsed="false">
      <c r="A366" s="37" t="n">
        <v>367484806</v>
      </c>
      <c r="B366" s="38" t="n">
        <v>46231.576724537</v>
      </c>
      <c r="C366" s="37" t="s">
        <v>325</v>
      </c>
      <c r="D366" s="37" t="s">
        <v>689</v>
      </c>
      <c r="E366" s="37" t="n">
        <v>20785000</v>
      </c>
      <c r="F366" s="37" t="s">
        <v>139</v>
      </c>
      <c r="G366" s="37" t="s">
        <v>198</v>
      </c>
      <c r="H366" s="37" t="s">
        <v>171</v>
      </c>
      <c r="I366" s="37" t="n">
        <v>51.3</v>
      </c>
      <c r="J366" s="39" t="n">
        <v>578.42</v>
      </c>
      <c r="K366" s="37" t="s">
        <v>322</v>
      </c>
      <c r="L366" s="39" t="n">
        <v>113.93</v>
      </c>
      <c r="M366" s="39" t="n">
        <v>79.81</v>
      </c>
      <c r="N366" s="39" t="n">
        <f aca="false">J366*Resumo!$C$7</f>
        <v>1.15684</v>
      </c>
      <c r="O366" s="39" t="n">
        <f aca="false">J366*Resumo!$C$8</f>
        <v>1.15684</v>
      </c>
      <c r="P366" s="39" t="n">
        <f aca="false">Resumo!$C$10*CEILING(I366/100,1)</f>
        <v>1</v>
      </c>
      <c r="Q366" s="39" t="n">
        <f aca="false">Resumo!$C$9</f>
        <v>11.9</v>
      </c>
      <c r="R366" s="39" t="n">
        <f aca="false">SUM(M366:Q366)*Resumo!$C$11</f>
        <v>5.2263024</v>
      </c>
      <c r="S366" s="39" t="n">
        <f aca="false">SUM(M366:R366)</f>
        <v>100.2499824</v>
      </c>
      <c r="T366" s="39" t="n">
        <f aca="false">S366/(1-Resumo!$C$5)</f>
        <v>113.920434545455</v>
      </c>
      <c r="U366" s="39" t="n">
        <v>112.3</v>
      </c>
      <c r="V366" s="39" t="n">
        <f aca="false">J366*Resumo!$B$6</f>
        <v>0.57842</v>
      </c>
      <c r="W366" s="39" t="n">
        <f aca="false">J366*Resumo!$B$7</f>
        <v>1.15684</v>
      </c>
      <c r="X366" s="39" t="n">
        <f aca="false">Resumo!$B$9</f>
        <v>1</v>
      </c>
      <c r="Y366" s="39" t="n">
        <f aca="false">Resumo!$B$10*CEILING(I366/100,1)</f>
        <v>4.5</v>
      </c>
      <c r="Z366" s="39" t="n">
        <f aca="false">Resumo!$B$12*CEILING(I366,1)</f>
        <v>3.12</v>
      </c>
      <c r="AA366" s="39" t="n">
        <f aca="false">Resumo!$B$13*CEILING(I366,1)</f>
        <v>23.4</v>
      </c>
      <c r="AB366" s="39" t="n">
        <f aca="false">SUM(U366:AA366)</f>
        <v>146.05526</v>
      </c>
      <c r="AC366" s="39" t="n">
        <f aca="false">AB366/(1-Resumo!$B$5)</f>
        <v>165.971886363636</v>
      </c>
      <c r="AD366" s="39" t="n">
        <f aca="false">(AB366-AA366)/(1-Resumo!$B$5)</f>
        <v>139.380977272727</v>
      </c>
      <c r="AE366" s="39" t="n">
        <f aca="false">AC366-T366</f>
        <v>52.0514518181818</v>
      </c>
      <c r="AF366" s="40" t="n">
        <f aca="false">AC366/T366-1</f>
        <v>0.456910579966346</v>
      </c>
      <c r="AG366" s="37" t="str">
        <f aca="false">IF(AC366&lt;T366,"SIM","NÃO")</f>
        <v>NÃO</v>
      </c>
      <c r="AH366" s="37" t="n">
        <v>8</v>
      </c>
      <c r="AI366" s="37" t="n">
        <v>5</v>
      </c>
      <c r="AJ366" s="37" t="s">
        <v>323</v>
      </c>
    </row>
    <row r="367" customFormat="false" ht="15" hidden="false" customHeight="false" outlineLevel="0" collapsed="false">
      <c r="A367" s="37" t="n">
        <v>367487451</v>
      </c>
      <c r="B367" s="38" t="n">
        <v>46231.5817592593</v>
      </c>
      <c r="C367" s="37" t="s">
        <v>320</v>
      </c>
      <c r="D367" s="37" t="s">
        <v>690</v>
      </c>
      <c r="E367" s="37" t="n">
        <v>23587617</v>
      </c>
      <c r="F367" s="37" t="s">
        <v>139</v>
      </c>
      <c r="G367" s="37" t="s">
        <v>198</v>
      </c>
      <c r="H367" s="37" t="s">
        <v>169</v>
      </c>
      <c r="I367" s="37" t="n">
        <v>36.8</v>
      </c>
      <c r="J367" s="39" t="n">
        <v>469.99</v>
      </c>
      <c r="K367" s="37" t="s">
        <v>498</v>
      </c>
      <c r="L367" s="39" t="n">
        <v>92.7</v>
      </c>
      <c r="M367" s="39" t="n">
        <v>62.05</v>
      </c>
      <c r="N367" s="39" t="n">
        <f aca="false">J367*Resumo!$C$7</f>
        <v>0.93998</v>
      </c>
      <c r="O367" s="39" t="n">
        <f aca="false">J367*Resumo!$C$8</f>
        <v>0.93998</v>
      </c>
      <c r="P367" s="39" t="n">
        <f aca="false">Resumo!$C$10*CEILING(I367/100,1)</f>
        <v>1</v>
      </c>
      <c r="Q367" s="39" t="n">
        <f aca="false">Resumo!$C$9</f>
        <v>11.9</v>
      </c>
      <c r="R367" s="39" t="n">
        <f aca="false">SUM(M367:Q367)*Resumo!$C$11</f>
        <v>4.2256478</v>
      </c>
      <c r="S367" s="39" t="n">
        <f aca="false">SUM(M367:R367)</f>
        <v>81.0556078</v>
      </c>
      <c r="T367" s="39" t="n">
        <f aca="false">S367/(1-Resumo!$C$5)</f>
        <v>92.1086452272727</v>
      </c>
      <c r="U367" s="39" t="n">
        <v>93.97</v>
      </c>
      <c r="V367" s="39" t="n">
        <f aca="false">J367*Resumo!$B$6</f>
        <v>0.46999</v>
      </c>
      <c r="W367" s="39" t="n">
        <f aca="false">J367*Resumo!$B$7</f>
        <v>0.93998</v>
      </c>
      <c r="X367" s="39" t="n">
        <f aca="false">Resumo!$B$9</f>
        <v>1</v>
      </c>
      <c r="Y367" s="39" t="n">
        <f aca="false">Resumo!$B$10*CEILING(I367/100,1)</f>
        <v>4.5</v>
      </c>
      <c r="Z367" s="39" t="n">
        <f aca="false">Resumo!$B$12*CEILING(I367,1)</f>
        <v>2.22</v>
      </c>
      <c r="AA367" s="39" t="n">
        <f aca="false">Resumo!$B$13*CEILING(I367,1)</f>
        <v>16.65</v>
      </c>
      <c r="AB367" s="39" t="n">
        <f aca="false">SUM(U367:AA367)</f>
        <v>119.74997</v>
      </c>
      <c r="AC367" s="39" t="n">
        <f aca="false">AB367/(1-Resumo!$B$5)</f>
        <v>136.079511363636</v>
      </c>
      <c r="AD367" s="39" t="n">
        <f aca="false">(AB367-AA367)/(1-Resumo!$B$5)</f>
        <v>117.159056818182</v>
      </c>
      <c r="AE367" s="39" t="n">
        <f aca="false">AC367-T367</f>
        <v>43.9708661363636</v>
      </c>
      <c r="AF367" s="40" t="n">
        <f aca="false">AC367/T367-1</f>
        <v>0.477380445970821</v>
      </c>
      <c r="AG367" s="37" t="str">
        <f aca="false">IF(AC367&lt;T367,"SIM","NÃO")</f>
        <v>NÃO</v>
      </c>
      <c r="AH367" s="37" t="n">
        <v>8</v>
      </c>
      <c r="AI367" s="37" t="n">
        <v>5</v>
      </c>
      <c r="AJ367" s="37" t="s">
        <v>323</v>
      </c>
    </row>
    <row r="368" customFormat="false" ht="15" hidden="false" customHeight="false" outlineLevel="0" collapsed="false">
      <c r="A368" s="37" t="n">
        <v>367500356</v>
      </c>
      <c r="B368" s="38" t="n">
        <v>46231.6055439815</v>
      </c>
      <c r="C368" s="37" t="s">
        <v>325</v>
      </c>
      <c r="D368" s="37" t="s">
        <v>577</v>
      </c>
      <c r="E368" s="37" t="n">
        <v>23970000</v>
      </c>
      <c r="F368" s="37" t="s">
        <v>206</v>
      </c>
      <c r="G368" s="37" t="s">
        <v>201</v>
      </c>
      <c r="H368" s="37" t="s">
        <v>168</v>
      </c>
      <c r="I368" s="37" t="n">
        <v>22</v>
      </c>
      <c r="J368" s="39" t="n">
        <v>727.37</v>
      </c>
      <c r="K368" s="37" t="s">
        <v>498</v>
      </c>
      <c r="L368" s="39" t="n">
        <v>105.9</v>
      </c>
      <c r="M368" s="39" t="n">
        <v>76.5</v>
      </c>
      <c r="N368" s="39" t="n">
        <f aca="false">J368*Resumo!$C$7</f>
        <v>1.45474</v>
      </c>
      <c r="O368" s="39" t="n">
        <f aca="false">J368*Resumo!$C$8</f>
        <v>1.45474</v>
      </c>
      <c r="P368" s="39" t="n">
        <f aca="false">Resumo!$C$10*CEILING(I368/100,1)</f>
        <v>1</v>
      </c>
      <c r="Q368" s="39" t="n">
        <f aca="false">Resumo!$C$9</f>
        <v>11.9</v>
      </c>
      <c r="R368" s="39" t="n">
        <f aca="false">SUM(M368:Q368)*Resumo!$C$11</f>
        <v>5.0770214</v>
      </c>
      <c r="S368" s="39" t="n">
        <f aca="false">SUM(M368:R368)</f>
        <v>97.3865014</v>
      </c>
      <c r="T368" s="39" t="n">
        <f aca="false">S368/(1-Resumo!$C$5)</f>
        <v>110.666478863636</v>
      </c>
      <c r="U368" s="39" t="n">
        <v>108.83</v>
      </c>
      <c r="V368" s="39" t="n">
        <f aca="false">J368*Resumo!$B$6</f>
        <v>0.72737</v>
      </c>
      <c r="W368" s="39" t="n">
        <f aca="false">J368*Resumo!$B$7</f>
        <v>1.45474</v>
      </c>
      <c r="X368" s="39" t="n">
        <f aca="false">Resumo!$B$9</f>
        <v>1</v>
      </c>
      <c r="Y368" s="39" t="n">
        <f aca="false">Resumo!$B$10*CEILING(I368/100,1)</f>
        <v>4.5</v>
      </c>
      <c r="Z368" s="39" t="n">
        <f aca="false">Resumo!$B$12*CEILING(I368,1)</f>
        <v>1.32</v>
      </c>
      <c r="AA368" s="39" t="n">
        <f aca="false">Resumo!$B$13*CEILING(I368,1)</f>
        <v>9.9</v>
      </c>
      <c r="AB368" s="39" t="n">
        <f aca="false">SUM(U368:AA368)</f>
        <v>127.73211</v>
      </c>
      <c r="AC368" s="39" t="n">
        <f aca="false">AB368/(1-Resumo!$B$5)</f>
        <v>145.150125</v>
      </c>
      <c r="AD368" s="39" t="n">
        <f aca="false">(AB368-AA368)/(1-Resumo!$B$5)</f>
        <v>133.900125</v>
      </c>
      <c r="AE368" s="39" t="n">
        <f aca="false">AC368-T368</f>
        <v>34.4836461363636</v>
      </c>
      <c r="AF368" s="40" t="n">
        <f aca="false">AC368/T368-1</f>
        <v>0.311599740865113</v>
      </c>
      <c r="AG368" s="37" t="str">
        <f aca="false">IF(AC368&lt;T368,"SIM","NÃO")</f>
        <v>NÃO</v>
      </c>
      <c r="AH368" s="37" t="n">
        <v>13</v>
      </c>
      <c r="AI368" s="37" t="n">
        <v>10</v>
      </c>
      <c r="AJ368" s="37" t="s">
        <v>327</v>
      </c>
    </row>
    <row r="369" customFormat="false" ht="15" hidden="false" customHeight="false" outlineLevel="0" collapsed="false">
      <c r="A369" s="37" t="n">
        <v>367511290</v>
      </c>
      <c r="B369" s="38" t="n">
        <v>46231.6268055556</v>
      </c>
      <c r="C369" s="37" t="s">
        <v>320</v>
      </c>
      <c r="D369" s="37" t="s">
        <v>691</v>
      </c>
      <c r="E369" s="37" t="n">
        <v>20775000</v>
      </c>
      <c r="F369" s="37" t="s">
        <v>139</v>
      </c>
      <c r="G369" s="37" t="s">
        <v>198</v>
      </c>
      <c r="H369" s="37" t="s">
        <v>171</v>
      </c>
      <c r="I369" s="37" t="n">
        <v>52.3</v>
      </c>
      <c r="J369" s="39" t="n">
        <v>685.84</v>
      </c>
      <c r="K369" s="37" t="s">
        <v>498</v>
      </c>
      <c r="L369" s="39" t="n">
        <v>113.56</v>
      </c>
      <c r="M369" s="39" t="n">
        <v>79.81</v>
      </c>
      <c r="N369" s="39" t="n">
        <f aca="false">J369*Resumo!$C$7</f>
        <v>1.37168</v>
      </c>
      <c r="O369" s="39" t="n">
        <f aca="false">J369*Resumo!$C$8</f>
        <v>1.37168</v>
      </c>
      <c r="P369" s="39" t="n">
        <f aca="false">Resumo!$C$10*CEILING(I369/100,1)</f>
        <v>1</v>
      </c>
      <c r="Q369" s="39" t="n">
        <f aca="false">Resumo!$C$9</f>
        <v>11.9</v>
      </c>
      <c r="R369" s="39" t="n">
        <f aca="false">SUM(M369:Q369)*Resumo!$C$11</f>
        <v>5.2499348</v>
      </c>
      <c r="S369" s="39" t="n">
        <f aca="false">SUM(M369:R369)</f>
        <v>100.7032948</v>
      </c>
      <c r="T369" s="39" t="n">
        <f aca="false">S369/(1-Resumo!$C$5)</f>
        <v>114.435562272727</v>
      </c>
      <c r="U369" s="39" t="n">
        <v>112.3</v>
      </c>
      <c r="V369" s="39" t="n">
        <f aca="false">J369*Resumo!$B$6</f>
        <v>0.68584</v>
      </c>
      <c r="W369" s="39" t="n">
        <f aca="false">J369*Resumo!$B$7</f>
        <v>1.37168</v>
      </c>
      <c r="X369" s="39" t="n">
        <f aca="false">Resumo!$B$9</f>
        <v>1</v>
      </c>
      <c r="Y369" s="39" t="n">
        <f aca="false">Resumo!$B$10*CEILING(I369/100,1)</f>
        <v>4.5</v>
      </c>
      <c r="Z369" s="39" t="n">
        <f aca="false">Resumo!$B$12*CEILING(I369,1)</f>
        <v>3.18</v>
      </c>
      <c r="AA369" s="39" t="n">
        <f aca="false">Resumo!$B$13*CEILING(I369,1)</f>
        <v>23.85</v>
      </c>
      <c r="AB369" s="39" t="n">
        <f aca="false">SUM(U369:AA369)</f>
        <v>146.88752</v>
      </c>
      <c r="AC369" s="39" t="n">
        <f aca="false">AB369/(1-Resumo!$B$5)</f>
        <v>166.917636363636</v>
      </c>
      <c r="AD369" s="39" t="n">
        <f aca="false">(AB369-AA369)/(1-Resumo!$B$5)</f>
        <v>139.815363636364</v>
      </c>
      <c r="AE369" s="39" t="n">
        <f aca="false">AC369-T369</f>
        <v>52.4820740909091</v>
      </c>
      <c r="AF369" s="40" t="n">
        <f aca="false">AC369/T369-1</f>
        <v>0.458616823726804</v>
      </c>
      <c r="AG369" s="37" t="str">
        <f aca="false">IF(AC369&lt;T369,"SIM","NÃO")</f>
        <v>NÃO</v>
      </c>
      <c r="AH369" s="37" t="n">
        <v>8</v>
      </c>
      <c r="AI369" s="37" t="n">
        <v>5</v>
      </c>
      <c r="AJ369" s="37" t="s">
        <v>323</v>
      </c>
    </row>
    <row r="370" customFormat="false" ht="15" hidden="false" customHeight="false" outlineLevel="0" collapsed="false">
      <c r="A370" s="37" t="n">
        <v>367510741</v>
      </c>
      <c r="B370" s="38" t="n">
        <v>46231.6302314815</v>
      </c>
      <c r="C370" s="37" t="s">
        <v>341</v>
      </c>
      <c r="D370" s="37" t="s">
        <v>692</v>
      </c>
      <c r="E370" s="37" t="n">
        <v>22641190</v>
      </c>
      <c r="F370" s="37" t="s">
        <v>139</v>
      </c>
      <c r="G370" s="37" t="s">
        <v>198</v>
      </c>
      <c r="H370" s="37" t="s">
        <v>169</v>
      </c>
      <c r="I370" s="37" t="n">
        <v>36.9</v>
      </c>
      <c r="J370" s="39" t="n">
        <v>459.99</v>
      </c>
      <c r="K370" s="37" t="s">
        <v>322</v>
      </c>
      <c r="L370" s="39" t="n">
        <v>92.06</v>
      </c>
      <c r="M370" s="39" t="n">
        <v>62.05</v>
      </c>
      <c r="N370" s="39" t="n">
        <f aca="false">J370*Resumo!$C$7</f>
        <v>0.91998</v>
      </c>
      <c r="O370" s="39" t="n">
        <f aca="false">J370*Resumo!$C$8</f>
        <v>0.91998</v>
      </c>
      <c r="P370" s="39" t="n">
        <f aca="false">Resumo!$C$10*CEILING(I370/100,1)</f>
        <v>1</v>
      </c>
      <c r="Q370" s="39" t="n">
        <f aca="false">Resumo!$C$9</f>
        <v>11.9</v>
      </c>
      <c r="R370" s="39" t="n">
        <f aca="false">SUM(M370:Q370)*Resumo!$C$11</f>
        <v>4.2234478</v>
      </c>
      <c r="S370" s="39" t="n">
        <f aca="false">SUM(M370:R370)</f>
        <v>81.0134078</v>
      </c>
      <c r="T370" s="39" t="n">
        <f aca="false">S370/(1-Resumo!$C$5)</f>
        <v>92.0606906818182</v>
      </c>
      <c r="U370" s="39" t="n">
        <v>93.97</v>
      </c>
      <c r="V370" s="39" t="n">
        <f aca="false">J370*Resumo!$B$6</f>
        <v>0.45999</v>
      </c>
      <c r="W370" s="39" t="n">
        <f aca="false">J370*Resumo!$B$7</f>
        <v>0.91998</v>
      </c>
      <c r="X370" s="39" t="n">
        <f aca="false">Resumo!$B$9</f>
        <v>1</v>
      </c>
      <c r="Y370" s="39" t="n">
        <f aca="false">Resumo!$B$10*CEILING(I370/100,1)</f>
        <v>4.5</v>
      </c>
      <c r="Z370" s="39" t="n">
        <f aca="false">Resumo!$B$12*CEILING(I370,1)</f>
        <v>2.22</v>
      </c>
      <c r="AA370" s="39" t="n">
        <f aca="false">Resumo!$B$13*CEILING(I370,1)</f>
        <v>16.65</v>
      </c>
      <c r="AB370" s="39" t="n">
        <f aca="false">SUM(U370:AA370)</f>
        <v>119.71997</v>
      </c>
      <c r="AC370" s="39" t="n">
        <f aca="false">AB370/(1-Resumo!$B$5)</f>
        <v>136.045420454545</v>
      </c>
      <c r="AD370" s="39" t="n">
        <f aca="false">(AB370-AA370)/(1-Resumo!$B$5)</f>
        <v>117.124965909091</v>
      </c>
      <c r="AE370" s="39" t="n">
        <f aca="false">AC370-T370</f>
        <v>43.9847297727273</v>
      </c>
      <c r="AF370" s="40" t="n">
        <f aca="false">AC370/T370-1</f>
        <v>0.477779706484585</v>
      </c>
      <c r="AG370" s="37" t="str">
        <f aca="false">IF(AC370&lt;T370,"SIM","NÃO")</f>
        <v>NÃO</v>
      </c>
      <c r="AH370" s="37" t="n">
        <v>8</v>
      </c>
      <c r="AI370" s="37" t="n">
        <v>5</v>
      </c>
      <c r="AJ370" s="37" t="s">
        <v>323</v>
      </c>
    </row>
    <row r="371" customFormat="false" ht="15" hidden="false" customHeight="false" outlineLevel="0" collapsed="false">
      <c r="A371" s="37" t="n">
        <v>367547120</v>
      </c>
      <c r="B371" s="38" t="n">
        <v>46231.6924189815</v>
      </c>
      <c r="C371" s="37" t="s">
        <v>320</v>
      </c>
      <c r="D371" s="37" t="s">
        <v>693</v>
      </c>
      <c r="E371" s="37" t="n">
        <v>22452100</v>
      </c>
      <c r="F371" s="37" t="s">
        <v>139</v>
      </c>
      <c r="G371" s="37" t="s">
        <v>198</v>
      </c>
      <c r="H371" s="37" t="s">
        <v>169</v>
      </c>
      <c r="I371" s="37" t="n">
        <v>37.2</v>
      </c>
      <c r="J371" s="39" t="n">
        <v>399.99</v>
      </c>
      <c r="K371" s="37" t="s">
        <v>322</v>
      </c>
      <c r="L371" s="39" t="n">
        <v>91.77</v>
      </c>
      <c r="M371" s="39" t="n">
        <v>62.05</v>
      </c>
      <c r="N371" s="39" t="n">
        <f aca="false">J371*Resumo!$C$7</f>
        <v>0.79998</v>
      </c>
      <c r="O371" s="39" t="n">
        <f aca="false">J371*Resumo!$C$8</f>
        <v>0.79998</v>
      </c>
      <c r="P371" s="39" t="n">
        <f aca="false">Resumo!$C$10*CEILING(I371/100,1)</f>
        <v>1</v>
      </c>
      <c r="Q371" s="39" t="n">
        <f aca="false">Resumo!$C$9</f>
        <v>11.9</v>
      </c>
      <c r="R371" s="39" t="n">
        <f aca="false">SUM(M371:Q371)*Resumo!$C$11</f>
        <v>4.2102478</v>
      </c>
      <c r="S371" s="39" t="n">
        <f aca="false">SUM(M371:R371)</f>
        <v>80.7602078</v>
      </c>
      <c r="T371" s="39" t="n">
        <f aca="false">S371/(1-Resumo!$C$5)</f>
        <v>91.7729634090909</v>
      </c>
      <c r="U371" s="39" t="n">
        <v>93.97</v>
      </c>
      <c r="V371" s="39" t="n">
        <f aca="false">J371*Resumo!$B$6</f>
        <v>0.39999</v>
      </c>
      <c r="W371" s="39" t="n">
        <f aca="false">J371*Resumo!$B$7</f>
        <v>0.79998</v>
      </c>
      <c r="X371" s="39" t="n">
        <f aca="false">Resumo!$B$9</f>
        <v>1</v>
      </c>
      <c r="Y371" s="39" t="n">
        <f aca="false">Resumo!$B$10*CEILING(I371/100,1)</f>
        <v>4.5</v>
      </c>
      <c r="Z371" s="39" t="n">
        <f aca="false">Resumo!$B$12*CEILING(I371,1)</f>
        <v>2.28</v>
      </c>
      <c r="AA371" s="39" t="n">
        <f aca="false">Resumo!$B$13*CEILING(I371,1)</f>
        <v>17.1</v>
      </c>
      <c r="AB371" s="39" t="n">
        <f aca="false">SUM(U371:AA371)</f>
        <v>120.04997</v>
      </c>
      <c r="AC371" s="39" t="n">
        <f aca="false">AB371/(1-Resumo!$B$5)</f>
        <v>136.420420454545</v>
      </c>
      <c r="AD371" s="39" t="n">
        <f aca="false">(AB371-AA371)/(1-Resumo!$B$5)</f>
        <v>116.988602272727</v>
      </c>
      <c r="AE371" s="39" t="n">
        <f aca="false">AC371-T371</f>
        <v>44.6474570454545</v>
      </c>
      <c r="AF371" s="40" t="n">
        <f aca="false">AC371/T371-1</f>
        <v>0.486499023099344</v>
      </c>
      <c r="AG371" s="37" t="str">
        <f aca="false">IF(AC371&lt;T371,"SIM","NÃO")</f>
        <v>NÃO</v>
      </c>
      <c r="AH371" s="37" t="n">
        <v>8</v>
      </c>
      <c r="AI371" s="37" t="n">
        <v>5</v>
      </c>
      <c r="AJ371" s="37" t="s">
        <v>323</v>
      </c>
    </row>
    <row r="372" customFormat="false" ht="15" hidden="false" customHeight="false" outlineLevel="0" collapsed="false">
      <c r="A372" s="37" t="n">
        <v>367552295</v>
      </c>
      <c r="B372" s="38" t="n">
        <v>46231.7067708333</v>
      </c>
      <c r="C372" s="37" t="s">
        <v>320</v>
      </c>
      <c r="D372" s="37" t="s">
        <v>694</v>
      </c>
      <c r="E372" s="37" t="n">
        <v>20261004</v>
      </c>
      <c r="F372" s="37" t="s">
        <v>139</v>
      </c>
      <c r="G372" s="37" t="s">
        <v>198</v>
      </c>
      <c r="H372" s="37" t="s">
        <v>176</v>
      </c>
      <c r="I372" s="37" t="n">
        <v>132.8</v>
      </c>
      <c r="J372" s="39" t="n">
        <v>1665.88</v>
      </c>
      <c r="K372" s="37" t="s">
        <v>322</v>
      </c>
      <c r="L372" s="39" t="n">
        <v>234.27</v>
      </c>
      <c r="M372" s="39" t="n">
        <v>174.85</v>
      </c>
      <c r="N372" s="39" t="n">
        <f aca="false">J372*Resumo!$C$7</f>
        <v>3.33176</v>
      </c>
      <c r="O372" s="39" t="n">
        <f aca="false">J372*Resumo!$C$8</f>
        <v>3.33176</v>
      </c>
      <c r="P372" s="39" t="n">
        <f aca="false">Resumo!$C$10*CEILING(I372/100,1)</f>
        <v>2</v>
      </c>
      <c r="Q372" s="39" t="n">
        <f aca="false">Resumo!$C$9</f>
        <v>11.9</v>
      </c>
      <c r="R372" s="39" t="n">
        <f aca="false">SUM(M372:Q372)*Resumo!$C$11</f>
        <v>10.7477436</v>
      </c>
      <c r="S372" s="39" t="n">
        <f aca="false">SUM(M372:R372)</f>
        <v>206.1612636</v>
      </c>
      <c r="T372" s="39" t="n">
        <f aca="false">S372/(1-Resumo!$C$5)</f>
        <v>234.274163181818</v>
      </c>
      <c r="U372" s="39" t="n">
        <v>239.25</v>
      </c>
      <c r="V372" s="39" t="n">
        <f aca="false">J372*Resumo!$B$6</f>
        <v>1.66588</v>
      </c>
      <c r="W372" s="39" t="n">
        <f aca="false">J372*Resumo!$B$7</f>
        <v>3.33176</v>
      </c>
      <c r="X372" s="39" t="n">
        <f aca="false">Resumo!$B$9</f>
        <v>1</v>
      </c>
      <c r="Y372" s="39" t="n">
        <f aca="false">Resumo!$B$10*CEILING(I372/100,1)</f>
        <v>9</v>
      </c>
      <c r="Z372" s="39" t="n">
        <f aca="false">Resumo!$B$12*CEILING(I372,1)</f>
        <v>7.98</v>
      </c>
      <c r="AA372" s="39" t="n">
        <f aca="false">Resumo!$B$13*CEILING(I372,1)</f>
        <v>59.85</v>
      </c>
      <c r="AB372" s="39" t="n">
        <f aca="false">SUM(U372:AA372)</f>
        <v>322.07764</v>
      </c>
      <c r="AC372" s="39" t="n">
        <f aca="false">AB372/(1-Resumo!$B$5)</f>
        <v>365.997318181818</v>
      </c>
      <c r="AD372" s="39" t="n">
        <f aca="false">(AB372-AA372)/(1-Resumo!$B$5)</f>
        <v>297.985954545455</v>
      </c>
      <c r="AE372" s="39" t="n">
        <f aca="false">AC372-T372</f>
        <v>131.723155</v>
      </c>
      <c r="AF372" s="40" t="n">
        <f aca="false">AC372/T372-1</f>
        <v>0.562260700074599</v>
      </c>
      <c r="AG372" s="37" t="str">
        <f aca="false">IF(AC372&lt;T372,"SIM","NÃO")</f>
        <v>NÃO</v>
      </c>
      <c r="AH372" s="37" t="n">
        <v>8</v>
      </c>
      <c r="AI372" s="37" t="n">
        <v>5</v>
      </c>
      <c r="AJ372" s="37" t="s">
        <v>323</v>
      </c>
    </row>
    <row r="373" customFormat="false" ht="15" hidden="false" customHeight="false" outlineLevel="0" collapsed="false">
      <c r="A373" s="37" t="n">
        <v>367554894</v>
      </c>
      <c r="B373" s="38" t="n">
        <v>46231.7133912037</v>
      </c>
      <c r="C373" s="37" t="s">
        <v>320</v>
      </c>
      <c r="D373" s="37" t="s">
        <v>695</v>
      </c>
      <c r="E373" s="37" t="n">
        <v>23025070</v>
      </c>
      <c r="F373" s="37" t="s">
        <v>139</v>
      </c>
      <c r="G373" s="37" t="s">
        <v>198</v>
      </c>
      <c r="H373" s="37" t="s">
        <v>176</v>
      </c>
      <c r="I373" s="37" t="n">
        <v>141.5</v>
      </c>
      <c r="J373" s="39" t="n">
        <v>1699.99</v>
      </c>
      <c r="K373" s="37" t="s">
        <v>498</v>
      </c>
      <c r="L373" s="39" t="n">
        <v>235.55</v>
      </c>
      <c r="M373" s="39" t="n">
        <v>174.85</v>
      </c>
      <c r="N373" s="39" t="n">
        <f aca="false">J373*Resumo!$C$7</f>
        <v>3.39998</v>
      </c>
      <c r="O373" s="39" t="n">
        <f aca="false">J373*Resumo!$C$8</f>
        <v>3.39998</v>
      </c>
      <c r="P373" s="39" t="n">
        <f aca="false">Resumo!$C$10*CEILING(I373/100,1)</f>
        <v>2</v>
      </c>
      <c r="Q373" s="39" t="n">
        <f aca="false">Resumo!$C$9</f>
        <v>11.9</v>
      </c>
      <c r="R373" s="39" t="n">
        <f aca="false">SUM(M373:Q373)*Resumo!$C$11</f>
        <v>10.7552478</v>
      </c>
      <c r="S373" s="39" t="n">
        <f aca="false">SUM(M373:R373)</f>
        <v>206.3052078</v>
      </c>
      <c r="T373" s="39" t="n">
        <f aca="false">S373/(1-Resumo!$C$5)</f>
        <v>234.437736136364</v>
      </c>
      <c r="U373" s="39" t="n">
        <v>239.25</v>
      </c>
      <c r="V373" s="39" t="n">
        <f aca="false">J373*Resumo!$B$6</f>
        <v>1.69999</v>
      </c>
      <c r="W373" s="39" t="n">
        <f aca="false">J373*Resumo!$B$7</f>
        <v>3.39998</v>
      </c>
      <c r="X373" s="39" t="n">
        <f aca="false">Resumo!$B$9</f>
        <v>1</v>
      </c>
      <c r="Y373" s="39" t="n">
        <f aca="false">Resumo!$B$10*CEILING(I373/100,1)</f>
        <v>9</v>
      </c>
      <c r="Z373" s="39" t="n">
        <f aca="false">Resumo!$B$12*CEILING(I373,1)</f>
        <v>8.52</v>
      </c>
      <c r="AA373" s="39" t="n">
        <f aca="false">Resumo!$B$13*CEILING(I373,1)</f>
        <v>63.9</v>
      </c>
      <c r="AB373" s="39" t="n">
        <f aca="false">SUM(U373:AA373)</f>
        <v>326.76997</v>
      </c>
      <c r="AC373" s="39" t="n">
        <f aca="false">AB373/(1-Resumo!$B$5)</f>
        <v>371.329511363636</v>
      </c>
      <c r="AD373" s="39" t="n">
        <f aca="false">(AB373-AA373)/(1-Resumo!$B$5)</f>
        <v>298.715875</v>
      </c>
      <c r="AE373" s="39" t="n">
        <f aca="false">AC373-T373</f>
        <v>136.891775227273</v>
      </c>
      <c r="AF373" s="40" t="n">
        <f aca="false">AC373/T373-1</f>
        <v>0.583915275259474</v>
      </c>
      <c r="AG373" s="37" t="str">
        <f aca="false">IF(AC373&lt;T373,"SIM","NÃO")</f>
        <v>NÃO</v>
      </c>
      <c r="AH373" s="37" t="n">
        <v>8</v>
      </c>
      <c r="AI373" s="37" t="n">
        <v>5</v>
      </c>
      <c r="AJ373" s="37" t="s">
        <v>323</v>
      </c>
    </row>
    <row r="374" customFormat="false" ht="15" hidden="false" customHeight="false" outlineLevel="0" collapsed="false">
      <c r="A374" s="37" t="n">
        <v>367691253</v>
      </c>
      <c r="B374" s="38" t="n">
        <v>46231.9431365741</v>
      </c>
      <c r="C374" s="37" t="s">
        <v>320</v>
      </c>
      <c r="D374" s="37" t="s">
        <v>696</v>
      </c>
      <c r="E374" s="37" t="n">
        <v>22730521</v>
      </c>
      <c r="F374" s="37" t="s">
        <v>139</v>
      </c>
      <c r="G374" s="37" t="s">
        <v>198</v>
      </c>
      <c r="H374" s="37" t="s">
        <v>171</v>
      </c>
      <c r="I374" s="37" t="n">
        <v>52.3</v>
      </c>
      <c r="J374" s="39" t="n">
        <v>685.84</v>
      </c>
      <c r="K374" s="37" t="s">
        <v>498</v>
      </c>
      <c r="L374" s="39" t="n">
        <v>113.56</v>
      </c>
      <c r="M374" s="39" t="n">
        <v>79.81</v>
      </c>
      <c r="N374" s="39" t="n">
        <f aca="false">J374*Resumo!$C$7</f>
        <v>1.37168</v>
      </c>
      <c r="O374" s="39" t="n">
        <f aca="false">J374*Resumo!$C$8</f>
        <v>1.37168</v>
      </c>
      <c r="P374" s="39" t="n">
        <f aca="false">Resumo!$C$10*CEILING(I374/100,1)</f>
        <v>1</v>
      </c>
      <c r="Q374" s="39" t="n">
        <f aca="false">Resumo!$C$9</f>
        <v>11.9</v>
      </c>
      <c r="R374" s="39" t="n">
        <f aca="false">SUM(M374:Q374)*Resumo!$C$11</f>
        <v>5.2499348</v>
      </c>
      <c r="S374" s="39" t="n">
        <f aca="false">SUM(M374:R374)</f>
        <v>100.7032948</v>
      </c>
      <c r="T374" s="39" t="n">
        <f aca="false">S374/(1-Resumo!$C$5)</f>
        <v>114.435562272727</v>
      </c>
      <c r="U374" s="39" t="n">
        <v>112.3</v>
      </c>
      <c r="V374" s="39" t="n">
        <f aca="false">J374*Resumo!$B$6</f>
        <v>0.68584</v>
      </c>
      <c r="W374" s="39" t="n">
        <f aca="false">J374*Resumo!$B$7</f>
        <v>1.37168</v>
      </c>
      <c r="X374" s="39" t="n">
        <f aca="false">Resumo!$B$9</f>
        <v>1</v>
      </c>
      <c r="Y374" s="39" t="n">
        <f aca="false">Resumo!$B$10*CEILING(I374/100,1)</f>
        <v>4.5</v>
      </c>
      <c r="Z374" s="39" t="n">
        <f aca="false">Resumo!$B$12*CEILING(I374,1)</f>
        <v>3.18</v>
      </c>
      <c r="AA374" s="39" t="n">
        <f aca="false">Resumo!$B$13*CEILING(I374,1)</f>
        <v>23.85</v>
      </c>
      <c r="AB374" s="39" t="n">
        <f aca="false">SUM(U374:AA374)</f>
        <v>146.88752</v>
      </c>
      <c r="AC374" s="39" t="n">
        <f aca="false">AB374/(1-Resumo!$B$5)</f>
        <v>166.917636363636</v>
      </c>
      <c r="AD374" s="39" t="n">
        <f aca="false">(AB374-AA374)/(1-Resumo!$B$5)</f>
        <v>139.815363636364</v>
      </c>
      <c r="AE374" s="39" t="n">
        <f aca="false">AC374-T374</f>
        <v>52.4820740909091</v>
      </c>
      <c r="AF374" s="40" t="n">
        <f aca="false">AC374/T374-1</f>
        <v>0.458616823726804</v>
      </c>
      <c r="AG374" s="37" t="str">
        <f aca="false">IF(AC374&lt;T374,"SIM","NÃO")</f>
        <v>NÃO</v>
      </c>
      <c r="AH374" s="37" t="n">
        <v>8</v>
      </c>
      <c r="AI374" s="37" t="n">
        <v>5</v>
      </c>
      <c r="AJ374" s="37" t="s">
        <v>323</v>
      </c>
    </row>
    <row r="375" customFormat="false" ht="15" hidden="false" customHeight="false" outlineLevel="0" collapsed="false">
      <c r="A375" s="37" t="n">
        <v>367698848</v>
      </c>
      <c r="B375" s="38" t="n">
        <v>46231.9587268519</v>
      </c>
      <c r="C375" s="37" t="s">
        <v>320</v>
      </c>
      <c r="D375" s="37" t="s">
        <v>697</v>
      </c>
      <c r="E375" s="37" t="n">
        <v>21331050</v>
      </c>
      <c r="F375" s="37" t="s">
        <v>139</v>
      </c>
      <c r="G375" s="37" t="s">
        <v>198</v>
      </c>
      <c r="H375" s="37" t="s">
        <v>175</v>
      </c>
      <c r="I375" s="37" t="n">
        <v>106.5</v>
      </c>
      <c r="J375" s="39" t="n">
        <v>1249.99</v>
      </c>
      <c r="K375" s="37" t="s">
        <v>322</v>
      </c>
      <c r="L375" s="39" t="n">
        <v>185.64</v>
      </c>
      <c r="M375" s="39" t="n">
        <v>135.94</v>
      </c>
      <c r="N375" s="39" t="n">
        <f aca="false">J375*Resumo!$C$7</f>
        <v>2.49998</v>
      </c>
      <c r="O375" s="39" t="n">
        <f aca="false">J375*Resumo!$C$8</f>
        <v>2.49998</v>
      </c>
      <c r="P375" s="39" t="n">
        <f aca="false">Resumo!$C$10*CEILING(I375/100,1)</f>
        <v>2</v>
      </c>
      <c r="Q375" s="39" t="n">
        <f aca="false">Resumo!$C$9</f>
        <v>11.9</v>
      </c>
      <c r="R375" s="39" t="n">
        <f aca="false">SUM(M375:Q375)*Resumo!$C$11</f>
        <v>8.5161978</v>
      </c>
      <c r="S375" s="39" t="n">
        <f aca="false">SUM(M375:R375)</f>
        <v>163.3561578</v>
      </c>
      <c r="T375" s="39" t="n">
        <f aca="false">S375/(1-Resumo!$C$5)</f>
        <v>185.6319975</v>
      </c>
      <c r="U375" s="39" t="n">
        <v>201.59</v>
      </c>
      <c r="V375" s="39" t="n">
        <f aca="false">J375*Resumo!$B$6</f>
        <v>1.24999</v>
      </c>
      <c r="W375" s="39" t="n">
        <f aca="false">J375*Resumo!$B$7</f>
        <v>2.49998</v>
      </c>
      <c r="X375" s="39" t="n">
        <f aca="false">Resumo!$B$9</f>
        <v>1</v>
      </c>
      <c r="Y375" s="39" t="n">
        <f aca="false">Resumo!$B$10*CEILING(I375/100,1)</f>
        <v>9</v>
      </c>
      <c r="Z375" s="39" t="n">
        <f aca="false">Resumo!$B$12*CEILING(I375,1)</f>
        <v>6.42</v>
      </c>
      <c r="AA375" s="39" t="n">
        <f aca="false">Resumo!$B$13*CEILING(I375,1)</f>
        <v>48.15</v>
      </c>
      <c r="AB375" s="39" t="n">
        <f aca="false">SUM(U375:AA375)</f>
        <v>269.90997</v>
      </c>
      <c r="AC375" s="39" t="n">
        <f aca="false">AB375/(1-Resumo!$B$5)</f>
        <v>306.715875</v>
      </c>
      <c r="AD375" s="39" t="n">
        <f aca="false">(AB375-AA375)/(1-Resumo!$B$5)</f>
        <v>251.999965909091</v>
      </c>
      <c r="AE375" s="39" t="n">
        <f aca="false">AC375-T375</f>
        <v>121.0838775</v>
      </c>
      <c r="AF375" s="40" t="n">
        <f aca="false">AC375/T375-1</f>
        <v>0.652279128225187</v>
      </c>
      <c r="AG375" s="37" t="str">
        <f aca="false">IF(AC375&lt;T375,"SIM","NÃO")</f>
        <v>NÃO</v>
      </c>
      <c r="AH375" s="37" t="n">
        <v>8</v>
      </c>
      <c r="AI375" s="37" t="n">
        <v>5</v>
      </c>
      <c r="AJ375" s="37" t="s">
        <v>323</v>
      </c>
    </row>
    <row r="376" customFormat="false" ht="15" hidden="false" customHeight="false" outlineLevel="0" collapsed="false">
      <c r="A376" s="37" t="n">
        <v>367884392</v>
      </c>
      <c r="B376" s="38" t="n">
        <v>46232.4217939815</v>
      </c>
      <c r="C376" s="37" t="s">
        <v>320</v>
      </c>
      <c r="D376" s="37" t="s">
        <v>698</v>
      </c>
      <c r="E376" s="37" t="n">
        <v>27130050</v>
      </c>
      <c r="F376" s="37" t="s">
        <v>230</v>
      </c>
      <c r="G376" s="37" t="s">
        <v>201</v>
      </c>
      <c r="H376" s="37" t="s">
        <v>169</v>
      </c>
      <c r="I376" s="37" t="n">
        <v>40</v>
      </c>
      <c r="J376" s="39" t="n">
        <v>599.99</v>
      </c>
      <c r="K376" s="37" t="s">
        <v>498</v>
      </c>
      <c r="L376" s="39" t="n">
        <v>125.1</v>
      </c>
      <c r="M376" s="39" t="n">
        <v>87.4</v>
      </c>
      <c r="N376" s="39" t="n">
        <f aca="false">J376*Resumo!$C$7</f>
        <v>1.19998</v>
      </c>
      <c r="O376" s="39" t="n">
        <f aca="false">J376*Resumo!$C$8</f>
        <v>1.19998</v>
      </c>
      <c r="P376" s="39" t="n">
        <f aca="false">Resumo!$C$10*CEILING(I376/100,1)</f>
        <v>1</v>
      </c>
      <c r="Q376" s="39" t="n">
        <f aca="false">Resumo!$C$9</f>
        <v>11.9</v>
      </c>
      <c r="R376" s="39" t="n">
        <f aca="false">SUM(M376:Q376)*Resumo!$C$11</f>
        <v>5.6484978</v>
      </c>
      <c r="S376" s="39" t="n">
        <f aca="false">SUM(M376:R376)</f>
        <v>108.3484578</v>
      </c>
      <c r="T376" s="39" t="n">
        <f aca="false">S376/(1-Resumo!$C$5)</f>
        <v>123.1232475</v>
      </c>
      <c r="U376" s="39" t="n">
        <v>124.38</v>
      </c>
      <c r="V376" s="39" t="n">
        <f aca="false">J376*Resumo!$B$6</f>
        <v>0.59999</v>
      </c>
      <c r="W376" s="39" t="n">
        <f aca="false">J376*Resumo!$B$7</f>
        <v>1.19998</v>
      </c>
      <c r="X376" s="39" t="n">
        <f aca="false">Resumo!$B$9</f>
        <v>1</v>
      </c>
      <c r="Y376" s="39" t="n">
        <f aca="false">Resumo!$B$10*CEILING(I376/100,1)</f>
        <v>4.5</v>
      </c>
      <c r="Z376" s="39" t="n">
        <f aca="false">Resumo!$B$12*CEILING(I376,1)</f>
        <v>2.4</v>
      </c>
      <c r="AA376" s="39" t="n">
        <f aca="false">Resumo!$B$13*CEILING(I376,1)</f>
        <v>18</v>
      </c>
      <c r="AB376" s="39" t="n">
        <f aca="false">SUM(U376:AA376)</f>
        <v>152.07997</v>
      </c>
      <c r="AC376" s="39" t="n">
        <f aca="false">AB376/(1-Resumo!$B$5)</f>
        <v>172.818147727273</v>
      </c>
      <c r="AD376" s="39" t="n">
        <f aca="false">(AB376-AA376)/(1-Resumo!$B$5)</f>
        <v>152.363602272727</v>
      </c>
      <c r="AE376" s="39" t="n">
        <f aca="false">AC376-T376</f>
        <v>49.6949002272727</v>
      </c>
      <c r="AF376" s="40" t="n">
        <f aca="false">AC376/T376-1</f>
        <v>0.403619147775263</v>
      </c>
      <c r="AG376" s="37" t="str">
        <f aca="false">IF(AC376&lt;T376,"SIM","NÃO")</f>
        <v>NÃO</v>
      </c>
      <c r="AH376" s="37" t="n">
        <v>13</v>
      </c>
      <c r="AI376" s="37" t="n">
        <v>10</v>
      </c>
      <c r="AJ376" s="37" t="s">
        <v>327</v>
      </c>
    </row>
    <row r="377" customFormat="false" ht="15" hidden="false" customHeight="false" outlineLevel="0" collapsed="false">
      <c r="A377" s="37" t="n">
        <v>367898631</v>
      </c>
      <c r="B377" s="38" t="n">
        <v>46232.4442939815</v>
      </c>
      <c r="C377" s="37" t="s">
        <v>320</v>
      </c>
      <c r="D377" s="37" t="s">
        <v>699</v>
      </c>
      <c r="E377" s="37" t="n">
        <v>25025237</v>
      </c>
      <c r="F377" s="37" t="s">
        <v>141</v>
      </c>
      <c r="G377" s="37" t="s">
        <v>207</v>
      </c>
      <c r="H377" s="37" t="s">
        <v>168</v>
      </c>
      <c r="I377" s="37" t="n">
        <v>23</v>
      </c>
      <c r="J377" s="39" t="n">
        <v>349.99</v>
      </c>
      <c r="K377" s="37" t="s">
        <v>322</v>
      </c>
      <c r="L377" s="39" t="n">
        <v>101.07</v>
      </c>
      <c r="M377" s="39" t="n">
        <v>70</v>
      </c>
      <c r="N377" s="39" t="n">
        <f aca="false">J377*Resumo!$C$7</f>
        <v>0.69998</v>
      </c>
      <c r="O377" s="39" t="n">
        <f aca="false">J377*Resumo!$C$8</f>
        <v>0.69998</v>
      </c>
      <c r="P377" s="39" t="n">
        <f aca="false">Resumo!$C$10*CEILING(I377/100,1)</f>
        <v>1</v>
      </c>
      <c r="Q377" s="39" t="n">
        <f aca="false">Resumo!$C$9</f>
        <v>11.9</v>
      </c>
      <c r="R377" s="39" t="n">
        <f aca="false">SUM(M377:Q377)*Resumo!$C$11</f>
        <v>4.6364978</v>
      </c>
      <c r="S377" s="39" t="n">
        <f aca="false">SUM(M377:R377)</f>
        <v>88.9364578</v>
      </c>
      <c r="T377" s="39" t="n">
        <f aca="false">S377/(1-Resumo!$C$5)</f>
        <v>101.064156590909</v>
      </c>
      <c r="U377" s="39" t="n">
        <v>82.21</v>
      </c>
      <c r="V377" s="39" t="n">
        <f aca="false">J377*Resumo!$B$6</f>
        <v>0.34999</v>
      </c>
      <c r="W377" s="39" t="n">
        <f aca="false">J377*Resumo!$B$7</f>
        <v>0.69998</v>
      </c>
      <c r="X377" s="39" t="n">
        <f aca="false">Resumo!$B$9</f>
        <v>1</v>
      </c>
      <c r="Y377" s="39" t="n">
        <f aca="false">Resumo!$B$10*CEILING(I377/100,1)</f>
        <v>4.5</v>
      </c>
      <c r="Z377" s="39" t="n">
        <f aca="false">Resumo!$B$12*CEILING(I377,1)</f>
        <v>1.38</v>
      </c>
      <c r="AA377" s="39" t="n">
        <f aca="false">Resumo!$B$13*CEILING(I377,1)</f>
        <v>10.35</v>
      </c>
      <c r="AB377" s="39" t="n">
        <f aca="false">SUM(U377:AA377)</f>
        <v>100.48997</v>
      </c>
      <c r="AC377" s="39" t="n">
        <f aca="false">AB377/(1-Resumo!$B$5)</f>
        <v>114.193147727273</v>
      </c>
      <c r="AD377" s="39" t="n">
        <f aca="false">(AB377-AA377)/(1-Resumo!$B$5)</f>
        <v>102.431784090909</v>
      </c>
      <c r="AE377" s="39" t="n">
        <f aca="false">AC377-T377</f>
        <v>13.1289911363636</v>
      </c>
      <c r="AF377" s="40" t="n">
        <f aca="false">AC377/T377-1</f>
        <v>0.12990749222306</v>
      </c>
      <c r="AG377" s="37" t="str">
        <f aca="false">IF(AC377&lt;T377,"SIM","NÃO")</f>
        <v>NÃO</v>
      </c>
      <c r="AH377" s="37" t="n">
        <v>10</v>
      </c>
      <c r="AI377" s="37" t="n">
        <v>5</v>
      </c>
      <c r="AJ377" s="37" t="s">
        <v>323</v>
      </c>
    </row>
    <row r="378" customFormat="false" ht="15" hidden="false" customHeight="false" outlineLevel="0" collapsed="false">
      <c r="A378" s="37" t="n">
        <v>367914862</v>
      </c>
      <c r="B378" s="38" t="n">
        <v>46232.4758333333</v>
      </c>
      <c r="C378" s="37" t="s">
        <v>355</v>
      </c>
      <c r="D378" s="37" t="s">
        <v>700</v>
      </c>
      <c r="E378" s="37" t="n">
        <v>21715421</v>
      </c>
      <c r="F378" s="37" t="s">
        <v>139</v>
      </c>
      <c r="G378" s="37" t="s">
        <v>198</v>
      </c>
      <c r="H378" s="37" t="s">
        <v>168</v>
      </c>
      <c r="I378" s="37" t="n">
        <v>33.7</v>
      </c>
      <c r="J378" s="39" t="n">
        <v>387.19</v>
      </c>
      <c r="K378" s="37" t="s">
        <v>322</v>
      </c>
      <c r="L378" s="39" t="n">
        <v>82.17</v>
      </c>
      <c r="M378" s="39" t="n">
        <v>54.1</v>
      </c>
      <c r="N378" s="39" t="n">
        <f aca="false">J378*Resumo!$C$7</f>
        <v>0.77438</v>
      </c>
      <c r="O378" s="39" t="n">
        <f aca="false">J378*Resumo!$C$8</f>
        <v>0.77438</v>
      </c>
      <c r="P378" s="39" t="n">
        <f aca="false">Resumo!$C$10*CEILING(I378/100,1)</f>
        <v>1</v>
      </c>
      <c r="Q378" s="39" t="n">
        <f aca="false">Resumo!$C$9</f>
        <v>11.9</v>
      </c>
      <c r="R378" s="39" t="n">
        <f aca="false">SUM(M378:Q378)*Resumo!$C$11</f>
        <v>3.7701818</v>
      </c>
      <c r="S378" s="39" t="n">
        <f aca="false">SUM(M378:R378)</f>
        <v>72.3189418</v>
      </c>
      <c r="T378" s="39" t="n">
        <f aca="false">S378/(1-Resumo!$C$5)</f>
        <v>82.1806156818182</v>
      </c>
      <c r="U378" s="39" t="n">
        <v>82.21</v>
      </c>
      <c r="V378" s="39" t="n">
        <f aca="false">J378*Resumo!$B$6</f>
        <v>0.38719</v>
      </c>
      <c r="W378" s="39" t="n">
        <f aca="false">J378*Resumo!$B$7</f>
        <v>0.77438</v>
      </c>
      <c r="X378" s="39" t="n">
        <f aca="false">Resumo!$B$9</f>
        <v>1</v>
      </c>
      <c r="Y378" s="39" t="n">
        <f aca="false">Resumo!$B$10*CEILING(I378/100,1)</f>
        <v>4.5</v>
      </c>
      <c r="Z378" s="39" t="n">
        <f aca="false">Resumo!$B$12*CEILING(I378,1)</f>
        <v>2.04</v>
      </c>
      <c r="AA378" s="39" t="n">
        <f aca="false">Resumo!$B$13*CEILING(I378,1)</f>
        <v>15.3</v>
      </c>
      <c r="AB378" s="39" t="n">
        <f aca="false">SUM(U378:AA378)</f>
        <v>106.21157</v>
      </c>
      <c r="AC378" s="39" t="n">
        <f aca="false">AB378/(1-Resumo!$B$5)</f>
        <v>120.694965909091</v>
      </c>
      <c r="AD378" s="39" t="n">
        <f aca="false">(AB378-AA378)/(1-Resumo!$B$5)</f>
        <v>103.308602272727</v>
      </c>
      <c r="AE378" s="39" t="n">
        <f aca="false">AC378-T378</f>
        <v>38.5143502272727</v>
      </c>
      <c r="AF378" s="40" t="n">
        <f aca="false">AC378/T378-1</f>
        <v>0.468654924372801</v>
      </c>
      <c r="AG378" s="37" t="str">
        <f aca="false">IF(AC378&lt;T378,"SIM","NÃO")</f>
        <v>NÃO</v>
      </c>
      <c r="AH378" s="37" t="n">
        <v>8</v>
      </c>
      <c r="AI378" s="37" t="n">
        <v>5</v>
      </c>
      <c r="AJ378" s="37" t="s">
        <v>323</v>
      </c>
    </row>
    <row r="379" customFormat="false" ht="15" hidden="false" customHeight="false" outlineLevel="0" collapsed="false">
      <c r="A379" s="37" t="n">
        <v>367921582</v>
      </c>
      <c r="B379" s="38" t="n">
        <v>46232.4829282407</v>
      </c>
      <c r="C379" s="37" t="s">
        <v>320</v>
      </c>
      <c r="D379" s="37" t="s">
        <v>701</v>
      </c>
      <c r="E379" s="37" t="n">
        <v>23912440</v>
      </c>
      <c r="F379" s="37" t="s">
        <v>149</v>
      </c>
      <c r="G379" s="37" t="s">
        <v>201</v>
      </c>
      <c r="H379" s="37" t="s">
        <v>170</v>
      </c>
      <c r="I379" s="37" t="n">
        <v>44.5</v>
      </c>
      <c r="J379" s="39" t="n">
        <v>685.62</v>
      </c>
      <c r="K379" s="37" t="s">
        <v>498</v>
      </c>
      <c r="L379" s="39" t="n">
        <v>131.17</v>
      </c>
      <c r="M379" s="39" t="n">
        <v>94</v>
      </c>
      <c r="N379" s="39" t="n">
        <f aca="false">J379*Resumo!$C$7</f>
        <v>1.37124</v>
      </c>
      <c r="O379" s="39" t="n">
        <f aca="false">J379*Resumo!$C$8</f>
        <v>1.37124</v>
      </c>
      <c r="P379" s="39" t="n">
        <f aca="false">Resumo!$C$10*CEILING(I379/100,1)</f>
        <v>1</v>
      </c>
      <c r="Q379" s="39" t="n">
        <f aca="false">Resumo!$C$9</f>
        <v>11.9</v>
      </c>
      <c r="R379" s="39" t="n">
        <f aca="false">SUM(M379:Q379)*Resumo!$C$11</f>
        <v>6.0303364</v>
      </c>
      <c r="S379" s="39" t="n">
        <f aca="false">SUM(M379:R379)</f>
        <v>115.6728164</v>
      </c>
      <c r="T379" s="39" t="n">
        <f aca="false">S379/(1-Resumo!$C$5)</f>
        <v>131.446382272727</v>
      </c>
      <c r="U379" s="39" t="n">
        <v>124.38</v>
      </c>
      <c r="V379" s="39" t="n">
        <f aca="false">J379*Resumo!$B$6</f>
        <v>0.68562</v>
      </c>
      <c r="W379" s="39" t="n">
        <f aca="false">J379*Resumo!$B$7</f>
        <v>1.37124</v>
      </c>
      <c r="X379" s="39" t="n">
        <f aca="false">Resumo!$B$9</f>
        <v>1</v>
      </c>
      <c r="Y379" s="39" t="n">
        <f aca="false">Resumo!$B$10*CEILING(I379/100,1)</f>
        <v>4.5</v>
      </c>
      <c r="Z379" s="39" t="n">
        <f aca="false">Resumo!$B$12*CEILING(I379,1)</f>
        <v>2.7</v>
      </c>
      <c r="AA379" s="39" t="n">
        <f aca="false">Resumo!$B$13*CEILING(I379,1)</f>
        <v>20.25</v>
      </c>
      <c r="AB379" s="39" t="n">
        <f aca="false">SUM(U379:AA379)</f>
        <v>154.88686</v>
      </c>
      <c r="AC379" s="39" t="n">
        <f aca="false">AB379/(1-Resumo!$B$5)</f>
        <v>176.007795454545</v>
      </c>
      <c r="AD379" s="39" t="n">
        <f aca="false">(AB379-AA379)/(1-Resumo!$B$5)</f>
        <v>152.996431818182</v>
      </c>
      <c r="AE379" s="39" t="n">
        <f aca="false">AC379-T379</f>
        <v>44.5614131818182</v>
      </c>
      <c r="AF379" s="40" t="n">
        <f aca="false">AC379/T379-1</f>
        <v>0.339008289245735</v>
      </c>
      <c r="AG379" s="37" t="str">
        <f aca="false">IF(AC379&lt;T379,"SIM","NÃO")</f>
        <v>NÃO</v>
      </c>
      <c r="AH379" s="37" t="n">
        <v>13</v>
      </c>
      <c r="AI379" s="37" t="n">
        <v>10</v>
      </c>
      <c r="AJ379" s="37" t="s">
        <v>323</v>
      </c>
    </row>
    <row r="380" customFormat="false" ht="15" hidden="false" customHeight="false" outlineLevel="0" collapsed="false">
      <c r="A380" s="37" t="n">
        <v>367960788</v>
      </c>
      <c r="B380" s="38" t="n">
        <v>46232.5584027778</v>
      </c>
      <c r="C380" s="37" t="s">
        <v>320</v>
      </c>
      <c r="D380" s="37" t="s">
        <v>702</v>
      </c>
      <c r="E380" s="37" t="n">
        <v>23555090</v>
      </c>
      <c r="F380" s="37" t="s">
        <v>139</v>
      </c>
      <c r="G380" s="37" t="s">
        <v>198</v>
      </c>
      <c r="H380" s="37" t="s">
        <v>167</v>
      </c>
      <c r="I380" s="37" t="n">
        <v>19.9</v>
      </c>
      <c r="J380" s="39" t="n">
        <v>309.99</v>
      </c>
      <c r="K380" s="37" t="s">
        <v>498</v>
      </c>
      <c r="L380" s="39" t="n">
        <v>66.27</v>
      </c>
      <c r="M380" s="39" t="n">
        <v>39.83</v>
      </c>
      <c r="N380" s="39" t="n">
        <f aca="false">J380*Resumo!$C$7</f>
        <v>0.61998</v>
      </c>
      <c r="O380" s="39" t="n">
        <f aca="false">J380*Resumo!$C$8</f>
        <v>0.61998</v>
      </c>
      <c r="P380" s="39" t="n">
        <f aca="false">Resumo!$C$10*CEILING(I380/100,1)</f>
        <v>1</v>
      </c>
      <c r="Q380" s="39" t="n">
        <f aca="false">Resumo!$C$9</f>
        <v>11.9</v>
      </c>
      <c r="R380" s="39" t="n">
        <f aca="false">SUM(M380:Q380)*Resumo!$C$11</f>
        <v>2.9683478</v>
      </c>
      <c r="S380" s="39" t="n">
        <f aca="false">SUM(M380:R380)</f>
        <v>56.9383078</v>
      </c>
      <c r="T380" s="39" t="n">
        <f aca="false">S380/(1-Resumo!$C$5)</f>
        <v>64.7026225</v>
      </c>
      <c r="U380" s="39" t="n">
        <v>46.98</v>
      </c>
      <c r="V380" s="39" t="n">
        <f aca="false">J380*Resumo!$B$6</f>
        <v>0.30999</v>
      </c>
      <c r="W380" s="39" t="n">
        <f aca="false">J380*Resumo!$B$7</f>
        <v>0.61998</v>
      </c>
      <c r="X380" s="39" t="n">
        <f aca="false">Resumo!$B$9</f>
        <v>1</v>
      </c>
      <c r="Y380" s="39" t="n">
        <f aca="false">Resumo!$B$10*CEILING(I380/100,1)</f>
        <v>4.5</v>
      </c>
      <c r="Z380" s="39" t="n">
        <f aca="false">Resumo!$B$12*CEILING(I380,1)</f>
        <v>1.2</v>
      </c>
      <c r="AA380" s="39" t="n">
        <f aca="false">Resumo!$B$13*CEILING(I380,1)</f>
        <v>9</v>
      </c>
      <c r="AB380" s="39" t="n">
        <f aca="false">SUM(U380:AA380)</f>
        <v>63.60997</v>
      </c>
      <c r="AC380" s="39" t="n">
        <f aca="false">AB380/(1-Resumo!$B$5)</f>
        <v>72.2840568181818</v>
      </c>
      <c r="AD380" s="39" t="n">
        <f aca="false">(AB380-AA380)/(1-Resumo!$B$5)</f>
        <v>62.0567840909091</v>
      </c>
      <c r="AE380" s="39" t="n">
        <f aca="false">AC380-T380</f>
        <v>7.58143431818181</v>
      </c>
      <c r="AF380" s="40" t="n">
        <f aca="false">AC380/T380-1</f>
        <v>0.117173524429892</v>
      </c>
      <c r="AG380" s="37" t="str">
        <f aca="false">IF(AC380&lt;T380,"SIM","NÃO")</f>
        <v>NÃO</v>
      </c>
      <c r="AH380" s="37" t="n">
        <v>8</v>
      </c>
      <c r="AI380" s="37" t="n">
        <v>5</v>
      </c>
      <c r="AJ380" s="37" t="s">
        <v>323</v>
      </c>
    </row>
    <row r="381" customFormat="false" ht="15" hidden="false" customHeight="false" outlineLevel="0" collapsed="false">
      <c r="A381" s="37" t="n">
        <v>367995414</v>
      </c>
      <c r="B381" s="38" t="n">
        <v>46232.6030439815</v>
      </c>
      <c r="C381" s="37" t="s">
        <v>325</v>
      </c>
      <c r="D381" s="37" t="s">
        <v>703</v>
      </c>
      <c r="E381" s="37" t="n">
        <v>25268410</v>
      </c>
      <c r="F381" s="37" t="s">
        <v>141</v>
      </c>
      <c r="G381" s="37" t="s">
        <v>207</v>
      </c>
      <c r="H381" s="37" t="s">
        <v>168</v>
      </c>
      <c r="I381" s="37" t="n">
        <v>33.21</v>
      </c>
      <c r="J381" s="39" t="n">
        <v>378.64</v>
      </c>
      <c r="K381" s="37" t="s">
        <v>322</v>
      </c>
      <c r="L381" s="39" t="n">
        <v>101.2</v>
      </c>
      <c r="M381" s="39" t="n">
        <v>70</v>
      </c>
      <c r="N381" s="39" t="n">
        <f aca="false">J381*Resumo!$C$7</f>
        <v>0.75728</v>
      </c>
      <c r="O381" s="39" t="n">
        <f aca="false">J381*Resumo!$C$8</f>
        <v>0.75728</v>
      </c>
      <c r="P381" s="39" t="n">
        <f aca="false">Resumo!$C$10*CEILING(I381/100,1)</f>
        <v>1</v>
      </c>
      <c r="Q381" s="39" t="n">
        <f aca="false">Resumo!$C$9</f>
        <v>11.9</v>
      </c>
      <c r="R381" s="39" t="n">
        <f aca="false">SUM(M381:Q381)*Resumo!$C$11</f>
        <v>4.6428008</v>
      </c>
      <c r="S381" s="39" t="n">
        <f aca="false">SUM(M381:R381)</f>
        <v>89.0573608</v>
      </c>
      <c r="T381" s="39" t="n">
        <f aca="false">S381/(1-Resumo!$C$5)</f>
        <v>101.201546363636</v>
      </c>
      <c r="U381" s="39" t="n">
        <v>82.21</v>
      </c>
      <c r="V381" s="39" t="n">
        <f aca="false">J381*Resumo!$B$6</f>
        <v>0.37864</v>
      </c>
      <c r="W381" s="39" t="n">
        <f aca="false">J381*Resumo!$B$7</f>
        <v>0.75728</v>
      </c>
      <c r="X381" s="39" t="n">
        <f aca="false">Resumo!$B$9</f>
        <v>1</v>
      </c>
      <c r="Y381" s="39" t="n">
        <f aca="false">Resumo!$B$10*CEILING(I381/100,1)</f>
        <v>4.5</v>
      </c>
      <c r="Z381" s="39" t="n">
        <f aca="false">Resumo!$B$12*CEILING(I381,1)</f>
        <v>2.04</v>
      </c>
      <c r="AA381" s="39" t="n">
        <f aca="false">Resumo!$B$13*CEILING(I381,1)</f>
        <v>15.3</v>
      </c>
      <c r="AB381" s="39" t="n">
        <f aca="false">SUM(U381:AA381)</f>
        <v>106.18592</v>
      </c>
      <c r="AC381" s="39" t="n">
        <f aca="false">AB381/(1-Resumo!$B$5)</f>
        <v>120.665818181818</v>
      </c>
      <c r="AD381" s="39" t="n">
        <f aca="false">(AB381-AA381)/(1-Resumo!$B$5)</f>
        <v>103.279454545455</v>
      </c>
      <c r="AE381" s="39" t="n">
        <f aca="false">AC381-T381</f>
        <v>19.4642718181818</v>
      </c>
      <c r="AF381" s="40" t="n">
        <f aca="false">AC381/T381-1</f>
        <v>0.19233176287883</v>
      </c>
      <c r="AG381" s="37" t="str">
        <f aca="false">IF(AC381&lt;T381,"SIM","NÃO")</f>
        <v>NÃO</v>
      </c>
      <c r="AH381" s="37" t="n">
        <v>10</v>
      </c>
      <c r="AI381" s="37" t="n">
        <v>5</v>
      </c>
      <c r="AJ381" s="37" t="s">
        <v>323</v>
      </c>
    </row>
    <row r="382" customFormat="false" ht="15" hidden="false" customHeight="false" outlineLevel="0" collapsed="false">
      <c r="A382" s="37" t="n">
        <v>368000576</v>
      </c>
      <c r="B382" s="38" t="n">
        <v>46232.6139699074</v>
      </c>
      <c r="C382" s="37" t="s">
        <v>320</v>
      </c>
      <c r="D382" s="37" t="s">
        <v>704</v>
      </c>
      <c r="E382" s="37" t="n">
        <v>21745310</v>
      </c>
      <c r="F382" s="37" t="s">
        <v>139</v>
      </c>
      <c r="G382" s="37" t="s">
        <v>198</v>
      </c>
      <c r="H382" s="37" t="s">
        <v>175</v>
      </c>
      <c r="I382" s="37" t="n">
        <v>106.5</v>
      </c>
      <c r="J382" s="39" t="n">
        <v>1199.99</v>
      </c>
      <c r="K382" s="37" t="s">
        <v>322</v>
      </c>
      <c r="L382" s="39" t="n">
        <v>185.4</v>
      </c>
      <c r="M382" s="39" t="n">
        <v>135.94</v>
      </c>
      <c r="N382" s="39" t="n">
        <f aca="false">J382*Resumo!$C$7</f>
        <v>2.39998</v>
      </c>
      <c r="O382" s="39" t="n">
        <f aca="false">J382*Resumo!$C$8</f>
        <v>2.39998</v>
      </c>
      <c r="P382" s="39" t="n">
        <f aca="false">Resumo!$C$10*CEILING(I382/100,1)</f>
        <v>2</v>
      </c>
      <c r="Q382" s="39" t="n">
        <f aca="false">Resumo!$C$9</f>
        <v>11.9</v>
      </c>
      <c r="R382" s="39" t="n">
        <f aca="false">SUM(M382:Q382)*Resumo!$C$11</f>
        <v>8.5051978</v>
      </c>
      <c r="S382" s="39" t="n">
        <f aca="false">SUM(M382:R382)</f>
        <v>163.1451578</v>
      </c>
      <c r="T382" s="39" t="n">
        <f aca="false">S382/(1-Resumo!$C$5)</f>
        <v>185.392224772727</v>
      </c>
      <c r="U382" s="39" t="n">
        <v>201.59</v>
      </c>
      <c r="V382" s="39" t="n">
        <f aca="false">J382*Resumo!$B$6</f>
        <v>1.19999</v>
      </c>
      <c r="W382" s="39" t="n">
        <f aca="false">J382*Resumo!$B$7</f>
        <v>2.39998</v>
      </c>
      <c r="X382" s="39" t="n">
        <f aca="false">Resumo!$B$9</f>
        <v>1</v>
      </c>
      <c r="Y382" s="39" t="n">
        <f aca="false">Resumo!$B$10*CEILING(I382/100,1)</f>
        <v>9</v>
      </c>
      <c r="Z382" s="39" t="n">
        <f aca="false">Resumo!$B$12*CEILING(I382,1)</f>
        <v>6.42</v>
      </c>
      <c r="AA382" s="39" t="n">
        <f aca="false">Resumo!$B$13*CEILING(I382,1)</f>
        <v>48.15</v>
      </c>
      <c r="AB382" s="39" t="n">
        <f aca="false">SUM(U382:AA382)</f>
        <v>269.75997</v>
      </c>
      <c r="AC382" s="39" t="n">
        <f aca="false">AB382/(1-Resumo!$B$5)</f>
        <v>306.545420454546</v>
      </c>
      <c r="AD382" s="39" t="n">
        <f aca="false">(AB382-AA382)/(1-Resumo!$B$5)</f>
        <v>251.829511363636</v>
      </c>
      <c r="AE382" s="39" t="n">
        <f aca="false">AC382-T382</f>
        <v>121.153195681818</v>
      </c>
      <c r="AF382" s="40" t="n">
        <f aca="false">AC382/T382-1</f>
        <v>0.653496638439612</v>
      </c>
      <c r="AG382" s="37" t="str">
        <f aca="false">IF(AC382&lt;T382,"SIM","NÃO")</f>
        <v>NÃO</v>
      </c>
      <c r="AH382" s="37" t="n">
        <v>8</v>
      </c>
      <c r="AI382" s="37" t="n">
        <v>5</v>
      </c>
      <c r="AJ382" s="37" t="s">
        <v>323</v>
      </c>
    </row>
    <row r="383" customFormat="false" ht="15" hidden="false" customHeight="false" outlineLevel="0" collapsed="false">
      <c r="A383" s="37" t="n">
        <v>368000867</v>
      </c>
      <c r="B383" s="38" t="n">
        <v>46232.6148611111</v>
      </c>
      <c r="C383" s="37" t="s">
        <v>320</v>
      </c>
      <c r="D383" s="37" t="s">
        <v>705</v>
      </c>
      <c r="E383" s="37" t="n">
        <v>26425320</v>
      </c>
      <c r="F383" s="37" t="s">
        <v>223</v>
      </c>
      <c r="G383" s="37" t="s">
        <v>201</v>
      </c>
      <c r="H383" s="37" t="s">
        <v>172</v>
      </c>
      <c r="I383" s="37" t="n">
        <v>62.8</v>
      </c>
      <c r="J383" s="39" t="n">
        <v>819.99</v>
      </c>
      <c r="K383" s="37" t="s">
        <v>498</v>
      </c>
      <c r="L383" s="39" t="n">
        <v>155.22</v>
      </c>
      <c r="M383" s="39" t="n">
        <v>113.9</v>
      </c>
      <c r="N383" s="39" t="n">
        <f aca="false">J383*Resumo!$C$7</f>
        <v>1.63998</v>
      </c>
      <c r="O383" s="39" t="n">
        <f aca="false">J383*Resumo!$C$8</f>
        <v>1.63998</v>
      </c>
      <c r="P383" s="39" t="n">
        <f aca="false">Resumo!$C$10*CEILING(I383/100,1)</f>
        <v>1</v>
      </c>
      <c r="Q383" s="39" t="n">
        <f aca="false">Resumo!$C$9</f>
        <v>11.9</v>
      </c>
      <c r="R383" s="39" t="n">
        <f aca="false">SUM(M383:Q383)*Resumo!$C$11</f>
        <v>7.1543978</v>
      </c>
      <c r="S383" s="39" t="n">
        <f aca="false">SUM(M383:R383)</f>
        <v>137.2343578</v>
      </c>
      <c r="T383" s="39" t="n">
        <f aca="false">S383/(1-Resumo!$C$5)</f>
        <v>155.948133863636</v>
      </c>
      <c r="U383" s="39" t="n">
        <v>131.02</v>
      </c>
      <c r="V383" s="39" t="n">
        <f aca="false">J383*Resumo!$B$6</f>
        <v>0.81999</v>
      </c>
      <c r="W383" s="39" t="n">
        <f aca="false">J383*Resumo!$B$7</f>
        <v>1.63998</v>
      </c>
      <c r="X383" s="39" t="n">
        <f aca="false">Resumo!$B$9</f>
        <v>1</v>
      </c>
      <c r="Y383" s="39" t="n">
        <f aca="false">Resumo!$B$10*CEILING(I383/100,1)</f>
        <v>4.5</v>
      </c>
      <c r="Z383" s="39" t="n">
        <f aca="false">Resumo!$B$12*CEILING(I383,1)</f>
        <v>3.78</v>
      </c>
      <c r="AA383" s="39" t="n">
        <f aca="false">Resumo!$B$13*CEILING(I383,1)</f>
        <v>28.35</v>
      </c>
      <c r="AB383" s="39" t="n">
        <f aca="false">SUM(U383:AA383)</f>
        <v>171.10997</v>
      </c>
      <c r="AC383" s="39" t="n">
        <f aca="false">AB383/(1-Resumo!$B$5)</f>
        <v>194.443147727273</v>
      </c>
      <c r="AD383" s="39" t="n">
        <f aca="false">(AB383-AA383)/(1-Resumo!$B$5)</f>
        <v>162.227238636364</v>
      </c>
      <c r="AE383" s="39" t="n">
        <f aca="false">AC383-T383</f>
        <v>38.4950138636364</v>
      </c>
      <c r="AF383" s="40" t="n">
        <f aca="false">AC383/T383-1</f>
        <v>0.246844979224292</v>
      </c>
      <c r="AG383" s="37" t="str">
        <f aca="false">IF(AC383&lt;T383,"SIM","NÃO")</f>
        <v>NÃO</v>
      </c>
      <c r="AH383" s="37" t="n">
        <v>13</v>
      </c>
      <c r="AI383" s="37" t="n">
        <v>5</v>
      </c>
      <c r="AJ383" s="37" t="s">
        <v>327</v>
      </c>
    </row>
    <row r="384" customFormat="false" ht="15" hidden="false" customHeight="false" outlineLevel="0" collapsed="false">
      <c r="A384" s="37" t="n">
        <v>368003777</v>
      </c>
      <c r="B384" s="38" t="n">
        <v>46232.6208333333</v>
      </c>
      <c r="C384" s="37" t="s">
        <v>325</v>
      </c>
      <c r="D384" s="37" t="s">
        <v>706</v>
      </c>
      <c r="E384" s="37" t="n">
        <v>22753005</v>
      </c>
      <c r="F384" s="37" t="s">
        <v>139</v>
      </c>
      <c r="G384" s="37" t="s">
        <v>198</v>
      </c>
      <c r="H384" s="37" t="s">
        <v>170</v>
      </c>
      <c r="I384" s="37" t="n">
        <v>48.8</v>
      </c>
      <c r="J384" s="39" t="n">
        <v>549.99</v>
      </c>
      <c r="K384" s="37" t="s">
        <v>322</v>
      </c>
      <c r="L384" s="39" t="n">
        <v>103.23</v>
      </c>
      <c r="M384" s="39" t="n">
        <v>71</v>
      </c>
      <c r="N384" s="39" t="n">
        <f aca="false">J384*Resumo!$C$7</f>
        <v>1.09998</v>
      </c>
      <c r="O384" s="39" t="n">
        <f aca="false">J384*Resumo!$C$8</f>
        <v>1.09998</v>
      </c>
      <c r="P384" s="39" t="n">
        <f aca="false">Resumo!$C$10*CEILING(I384/100,1)</f>
        <v>1</v>
      </c>
      <c r="Q384" s="39" t="n">
        <f aca="false">Resumo!$C$9</f>
        <v>11.9</v>
      </c>
      <c r="R384" s="39" t="n">
        <f aca="false">SUM(M384:Q384)*Resumo!$C$11</f>
        <v>4.7354978</v>
      </c>
      <c r="S384" s="39" t="n">
        <f aca="false">SUM(M384:R384)</f>
        <v>90.8354578</v>
      </c>
      <c r="T384" s="39" t="n">
        <f aca="false">S384/(1-Resumo!$C$5)</f>
        <v>103.222111136364</v>
      </c>
      <c r="U384" s="39" t="n">
        <v>93.97</v>
      </c>
      <c r="V384" s="39" t="n">
        <f aca="false">J384*Resumo!$B$6</f>
        <v>0.54999</v>
      </c>
      <c r="W384" s="39" t="n">
        <f aca="false">J384*Resumo!$B$7</f>
        <v>1.09998</v>
      </c>
      <c r="X384" s="39" t="n">
        <f aca="false">Resumo!$B$9</f>
        <v>1</v>
      </c>
      <c r="Y384" s="39" t="n">
        <f aca="false">Resumo!$B$10*CEILING(I384/100,1)</f>
        <v>4.5</v>
      </c>
      <c r="Z384" s="39" t="n">
        <f aca="false">Resumo!$B$12*CEILING(I384,1)</f>
        <v>2.94</v>
      </c>
      <c r="AA384" s="39" t="n">
        <f aca="false">Resumo!$B$13*CEILING(I384,1)</f>
        <v>22.05</v>
      </c>
      <c r="AB384" s="39" t="n">
        <f aca="false">SUM(U384:AA384)</f>
        <v>126.10997</v>
      </c>
      <c r="AC384" s="39" t="n">
        <f aca="false">AB384/(1-Resumo!$B$5)</f>
        <v>143.306784090909</v>
      </c>
      <c r="AD384" s="39" t="n">
        <f aca="false">(AB384-AA384)/(1-Resumo!$B$5)</f>
        <v>118.249965909091</v>
      </c>
      <c r="AE384" s="39" t="n">
        <f aca="false">AC384-T384</f>
        <v>40.0846729545454</v>
      </c>
      <c r="AF384" s="40" t="n">
        <f aca="false">AC384/T384-1</f>
        <v>0.388334170976127</v>
      </c>
      <c r="AG384" s="37" t="str">
        <f aca="false">IF(AC384&lt;T384,"SIM","NÃO")</f>
        <v>NÃO</v>
      </c>
      <c r="AH384" s="37" t="n">
        <v>8</v>
      </c>
      <c r="AI384" s="37" t="n">
        <v>5</v>
      </c>
      <c r="AJ384" s="37" t="s">
        <v>323</v>
      </c>
    </row>
    <row r="385" customFormat="false" ht="15" hidden="false" customHeight="false" outlineLevel="0" collapsed="false">
      <c r="A385" s="37" t="n">
        <v>368016648</v>
      </c>
      <c r="B385" s="38" t="n">
        <v>46232.6435185185</v>
      </c>
      <c r="C385" s="37" t="s">
        <v>320</v>
      </c>
      <c r="D385" s="37" t="s">
        <v>707</v>
      </c>
      <c r="E385" s="37" t="n">
        <v>24310340</v>
      </c>
      <c r="F385" s="37" t="s">
        <v>143</v>
      </c>
      <c r="G385" s="37" t="s">
        <v>207</v>
      </c>
      <c r="H385" s="37" t="s">
        <v>167</v>
      </c>
      <c r="I385" s="37" t="n">
        <v>19.5</v>
      </c>
      <c r="J385" s="39" t="n">
        <v>332.99</v>
      </c>
      <c r="K385" s="37" t="s">
        <v>322</v>
      </c>
      <c r="L385" s="39" t="n">
        <v>75.44</v>
      </c>
      <c r="M385" s="39" t="n">
        <v>48.69</v>
      </c>
      <c r="N385" s="39" t="n">
        <f aca="false">J385*Resumo!$C$7</f>
        <v>0.66598</v>
      </c>
      <c r="O385" s="39" t="n">
        <f aca="false">J385*Resumo!$C$8</f>
        <v>0.66598</v>
      </c>
      <c r="P385" s="39" t="n">
        <f aca="false">Resumo!$C$10*CEILING(I385/100,1)</f>
        <v>1</v>
      </c>
      <c r="Q385" s="39" t="n">
        <f aca="false">Resumo!$C$9</f>
        <v>11.9</v>
      </c>
      <c r="R385" s="39" t="n">
        <f aca="false">SUM(M385:Q385)*Resumo!$C$11</f>
        <v>3.4607078</v>
      </c>
      <c r="S385" s="39" t="n">
        <f aca="false">SUM(M385:R385)</f>
        <v>66.3826678</v>
      </c>
      <c r="T385" s="39" t="n">
        <f aca="false">S385/(1-Resumo!$C$5)</f>
        <v>75.4348497727273</v>
      </c>
      <c r="U385" s="39" t="n">
        <v>57.47</v>
      </c>
      <c r="V385" s="39" t="n">
        <f aca="false">J385*Resumo!$B$6</f>
        <v>0.33299</v>
      </c>
      <c r="W385" s="39" t="n">
        <f aca="false">J385*Resumo!$B$7</f>
        <v>0.66598</v>
      </c>
      <c r="X385" s="39" t="n">
        <f aca="false">Resumo!$B$9</f>
        <v>1</v>
      </c>
      <c r="Y385" s="39" t="n">
        <f aca="false">Resumo!$B$10*CEILING(I385/100,1)</f>
        <v>4.5</v>
      </c>
      <c r="Z385" s="39" t="n">
        <f aca="false">Resumo!$B$12*CEILING(I385,1)</f>
        <v>1.2</v>
      </c>
      <c r="AA385" s="39" t="n">
        <f aca="false">Resumo!$B$13*CEILING(I385,1)</f>
        <v>9</v>
      </c>
      <c r="AB385" s="39" t="n">
        <f aca="false">SUM(U385:AA385)</f>
        <v>74.16897</v>
      </c>
      <c r="AC385" s="39" t="n">
        <f aca="false">AB385/(1-Resumo!$B$5)</f>
        <v>84.2829204545455</v>
      </c>
      <c r="AD385" s="39" t="n">
        <f aca="false">(AB385-AA385)/(1-Resumo!$B$5)</f>
        <v>74.0556477272727</v>
      </c>
      <c r="AE385" s="39" t="n">
        <f aca="false">AC385-T385</f>
        <v>8.8480706818182</v>
      </c>
      <c r="AF385" s="40" t="n">
        <f aca="false">AC385/T385-1</f>
        <v>0.117294204316386</v>
      </c>
      <c r="AG385" s="37" t="str">
        <f aca="false">IF(AC385&lt;T385,"SIM","NÃO")</f>
        <v>NÃO</v>
      </c>
      <c r="AH385" s="37" t="n">
        <v>10</v>
      </c>
      <c r="AI385" s="37" t="n">
        <v>7</v>
      </c>
      <c r="AJ385" s="37" t="s">
        <v>323</v>
      </c>
    </row>
    <row r="386" customFormat="false" ht="15" hidden="false" customHeight="false" outlineLevel="0" collapsed="false">
      <c r="A386" s="37" t="n">
        <v>368081027</v>
      </c>
      <c r="B386" s="38" t="n">
        <v>46232.7472569444</v>
      </c>
      <c r="C386" s="37" t="s">
        <v>320</v>
      </c>
      <c r="D386" s="37" t="s">
        <v>708</v>
      </c>
      <c r="E386" s="37" t="n">
        <v>27211560</v>
      </c>
      <c r="F386" s="37" t="s">
        <v>148</v>
      </c>
      <c r="G386" s="37" t="s">
        <v>201</v>
      </c>
      <c r="H386" s="37" t="s">
        <v>170</v>
      </c>
      <c r="I386" s="37" t="n">
        <v>44.5</v>
      </c>
      <c r="J386" s="39" t="n">
        <v>685.62</v>
      </c>
      <c r="K386" s="37" t="s">
        <v>498</v>
      </c>
      <c r="L386" s="39" t="n">
        <v>131.17</v>
      </c>
      <c r="M386" s="39" t="n">
        <v>94</v>
      </c>
      <c r="N386" s="39" t="n">
        <f aca="false">J386*Resumo!$C$7</f>
        <v>1.37124</v>
      </c>
      <c r="O386" s="39" t="n">
        <f aca="false">J386*Resumo!$C$8</f>
        <v>1.37124</v>
      </c>
      <c r="P386" s="39" t="n">
        <f aca="false">Resumo!$C$10*CEILING(I386/100,1)</f>
        <v>1</v>
      </c>
      <c r="Q386" s="39" t="n">
        <f aca="false">Resumo!$C$9</f>
        <v>11.9</v>
      </c>
      <c r="R386" s="39" t="n">
        <f aca="false">SUM(M386:Q386)*Resumo!$C$11</f>
        <v>6.0303364</v>
      </c>
      <c r="S386" s="39" t="n">
        <f aca="false">SUM(M386:R386)</f>
        <v>115.6728164</v>
      </c>
      <c r="T386" s="39" t="n">
        <f aca="false">S386/(1-Resumo!$C$5)</f>
        <v>131.446382272727</v>
      </c>
      <c r="U386" s="39" t="n">
        <v>124.38</v>
      </c>
      <c r="V386" s="39" t="n">
        <f aca="false">J386*Resumo!$B$6</f>
        <v>0.68562</v>
      </c>
      <c r="W386" s="39" t="n">
        <f aca="false">J386*Resumo!$B$7</f>
        <v>1.37124</v>
      </c>
      <c r="X386" s="39" t="n">
        <f aca="false">Resumo!$B$9</f>
        <v>1</v>
      </c>
      <c r="Y386" s="39" t="n">
        <f aca="false">Resumo!$B$10*CEILING(I386/100,1)</f>
        <v>4.5</v>
      </c>
      <c r="Z386" s="39" t="n">
        <f aca="false">Resumo!$B$12*CEILING(I386,1)</f>
        <v>2.7</v>
      </c>
      <c r="AA386" s="39" t="n">
        <f aca="false">Resumo!$B$13*CEILING(I386,1)</f>
        <v>20.25</v>
      </c>
      <c r="AB386" s="39" t="n">
        <f aca="false">SUM(U386:AA386)</f>
        <v>154.88686</v>
      </c>
      <c r="AC386" s="39" t="n">
        <f aca="false">AB386/(1-Resumo!$B$5)</f>
        <v>176.007795454545</v>
      </c>
      <c r="AD386" s="39" t="n">
        <f aca="false">(AB386-AA386)/(1-Resumo!$B$5)</f>
        <v>152.996431818182</v>
      </c>
      <c r="AE386" s="39" t="n">
        <f aca="false">AC386-T386</f>
        <v>44.5614131818182</v>
      </c>
      <c r="AF386" s="40" t="n">
        <f aca="false">AC386/T386-1</f>
        <v>0.339008289245735</v>
      </c>
      <c r="AG386" s="37" t="str">
        <f aca="false">IF(AC386&lt;T386,"SIM","NÃO")</f>
        <v>NÃO</v>
      </c>
      <c r="AH386" s="37" t="n">
        <v>13</v>
      </c>
      <c r="AI386" s="37" t="n">
        <v>10</v>
      </c>
      <c r="AJ386" s="37" t="s">
        <v>323</v>
      </c>
    </row>
    <row r="387" customFormat="false" ht="15" hidden="false" customHeight="false" outlineLevel="0" collapsed="false">
      <c r="A387" s="37" t="n">
        <v>368089138</v>
      </c>
      <c r="B387" s="38" t="n">
        <v>46232.7633101852</v>
      </c>
      <c r="C387" s="37" t="s">
        <v>320</v>
      </c>
      <c r="D387" s="37" t="s">
        <v>532</v>
      </c>
      <c r="E387" s="37" t="n">
        <v>28540000</v>
      </c>
      <c r="F387" s="37" t="s">
        <v>261</v>
      </c>
      <c r="G387" s="37" t="s">
        <v>201</v>
      </c>
      <c r="H387" s="37" t="s">
        <v>167</v>
      </c>
      <c r="I387" s="37" t="n">
        <v>19.5</v>
      </c>
      <c r="J387" s="39" t="n">
        <v>332.99</v>
      </c>
      <c r="K387" s="37" t="s">
        <v>498</v>
      </c>
      <c r="L387" s="39" t="n">
        <v>81.76</v>
      </c>
      <c r="M387" s="39" t="n">
        <v>52.71</v>
      </c>
      <c r="N387" s="39" t="n">
        <f aca="false">J387*Resumo!$C$7</f>
        <v>0.66598</v>
      </c>
      <c r="O387" s="39" t="n">
        <f aca="false">J387*Resumo!$C$8</f>
        <v>0.66598</v>
      </c>
      <c r="P387" s="39" t="n">
        <f aca="false">Resumo!$C$10*CEILING(I387/100,1)</f>
        <v>1</v>
      </c>
      <c r="Q387" s="39" t="n">
        <f aca="false">Resumo!$C$9</f>
        <v>11.9</v>
      </c>
      <c r="R387" s="39" t="n">
        <f aca="false">SUM(M387:Q387)*Resumo!$C$11</f>
        <v>3.6818078</v>
      </c>
      <c r="S387" s="39" t="n">
        <f aca="false">SUM(M387:R387)</f>
        <v>70.6237678</v>
      </c>
      <c r="T387" s="39" t="n">
        <f aca="false">S387/(1-Resumo!$C$5)</f>
        <v>80.2542815909091</v>
      </c>
      <c r="U387" s="39" t="n">
        <v>106.53</v>
      </c>
      <c r="V387" s="39" t="n">
        <f aca="false">J387*Resumo!$B$6</f>
        <v>0.33299</v>
      </c>
      <c r="W387" s="39" t="n">
        <f aca="false">J387*Resumo!$B$7</f>
        <v>0.66598</v>
      </c>
      <c r="X387" s="39" t="n">
        <f aca="false">Resumo!$B$9</f>
        <v>1</v>
      </c>
      <c r="Y387" s="39" t="n">
        <f aca="false">Resumo!$B$10*CEILING(I387/100,1)</f>
        <v>4.5</v>
      </c>
      <c r="Z387" s="39" t="n">
        <f aca="false">Resumo!$B$12*CEILING(I387,1)</f>
        <v>1.2</v>
      </c>
      <c r="AA387" s="39" t="n">
        <f aca="false">Resumo!$B$13*CEILING(I387,1)</f>
        <v>9</v>
      </c>
      <c r="AB387" s="39" t="n">
        <f aca="false">SUM(U387:AA387)</f>
        <v>123.22897</v>
      </c>
      <c r="AC387" s="39" t="n">
        <f aca="false">AB387/(1-Resumo!$B$5)</f>
        <v>140.032920454545</v>
      </c>
      <c r="AD387" s="39" t="n">
        <f aca="false">(AB387-AA387)/(1-Resumo!$B$5)</f>
        <v>129.805647727273</v>
      </c>
      <c r="AE387" s="39" t="n">
        <f aca="false">AC387-T387</f>
        <v>59.7786388636364</v>
      </c>
      <c r="AF387" s="40" t="n">
        <f aca="false">AC387/T387-1</f>
        <v>0.744865416257217</v>
      </c>
      <c r="AG387" s="37" t="str">
        <f aca="false">IF(AC387&lt;T387,"SIM","NÃO")</f>
        <v>NÃO</v>
      </c>
      <c r="AH387" s="37" t="n">
        <v>13</v>
      </c>
      <c r="AI387" s="37" t="n">
        <v>10</v>
      </c>
      <c r="AJ387" s="37" t="s">
        <v>327</v>
      </c>
    </row>
    <row r="388" customFormat="false" ht="15" hidden="false" customHeight="false" outlineLevel="0" collapsed="false">
      <c r="A388" s="37" t="n">
        <v>368093150</v>
      </c>
      <c r="B388" s="38" t="n">
        <v>46232.7701041667</v>
      </c>
      <c r="C388" s="37" t="s">
        <v>325</v>
      </c>
      <c r="D388" s="37" t="s">
        <v>709</v>
      </c>
      <c r="E388" s="37" t="n">
        <v>28928788</v>
      </c>
      <c r="F388" s="37" t="s">
        <v>152</v>
      </c>
      <c r="G388" s="37" t="s">
        <v>201</v>
      </c>
      <c r="H388" s="37" t="s">
        <v>169</v>
      </c>
      <c r="I388" s="37" t="n">
        <v>36.8</v>
      </c>
      <c r="J388" s="39" t="n">
        <v>428.97</v>
      </c>
      <c r="K388" s="37" t="s">
        <v>498</v>
      </c>
      <c r="L388" s="39" t="n">
        <v>122.75</v>
      </c>
      <c r="M388" s="39" t="n">
        <v>87.4</v>
      </c>
      <c r="N388" s="39" t="n">
        <f aca="false">J388*Resumo!$C$7</f>
        <v>0.85794</v>
      </c>
      <c r="O388" s="39" t="n">
        <f aca="false">J388*Resumo!$C$8</f>
        <v>0.85794</v>
      </c>
      <c r="P388" s="39" t="n">
        <f aca="false">Resumo!$C$10*CEILING(I388/100,1)</f>
        <v>1</v>
      </c>
      <c r="Q388" s="39" t="n">
        <f aca="false">Resumo!$C$9</f>
        <v>11.9</v>
      </c>
      <c r="R388" s="39" t="n">
        <f aca="false">SUM(M388:Q388)*Resumo!$C$11</f>
        <v>5.6108734</v>
      </c>
      <c r="S388" s="39" t="n">
        <f aca="false">SUM(M388:R388)</f>
        <v>107.6267534</v>
      </c>
      <c r="T388" s="39" t="n">
        <f aca="false">S388/(1-Resumo!$C$5)</f>
        <v>122.303128863636</v>
      </c>
      <c r="U388" s="39" t="n">
        <v>124.38</v>
      </c>
      <c r="V388" s="39" t="n">
        <f aca="false">J388*Resumo!$B$6</f>
        <v>0.42897</v>
      </c>
      <c r="W388" s="39" t="n">
        <f aca="false">J388*Resumo!$B$7</f>
        <v>0.85794</v>
      </c>
      <c r="X388" s="39" t="n">
        <f aca="false">Resumo!$B$9</f>
        <v>1</v>
      </c>
      <c r="Y388" s="39" t="n">
        <f aca="false">Resumo!$B$10*CEILING(I388/100,1)</f>
        <v>4.5</v>
      </c>
      <c r="Z388" s="39" t="n">
        <f aca="false">Resumo!$B$12*CEILING(I388,1)</f>
        <v>2.22</v>
      </c>
      <c r="AA388" s="39" t="n">
        <f aca="false">Resumo!$B$13*CEILING(I388,1)</f>
        <v>16.65</v>
      </c>
      <c r="AB388" s="39" t="n">
        <f aca="false">SUM(U388:AA388)</f>
        <v>150.03691</v>
      </c>
      <c r="AC388" s="39" t="n">
        <f aca="false">AB388/(1-Resumo!$B$5)</f>
        <v>170.496488636364</v>
      </c>
      <c r="AD388" s="39" t="n">
        <f aca="false">(AB388-AA388)/(1-Resumo!$B$5)</f>
        <v>151.576034090909</v>
      </c>
      <c r="AE388" s="39" t="n">
        <f aca="false">AC388-T388</f>
        <v>48.1933597727273</v>
      </c>
      <c r="AF388" s="40" t="n">
        <f aca="false">AC388/T388-1</f>
        <v>0.394048461560302</v>
      </c>
      <c r="AG388" s="37" t="str">
        <f aca="false">IF(AC388&lt;T388,"SIM","NÃO")</f>
        <v>NÃO</v>
      </c>
      <c r="AH388" s="37" t="n">
        <v>13</v>
      </c>
      <c r="AI388" s="37" t="n">
        <v>10</v>
      </c>
      <c r="AJ388" s="37" t="s">
        <v>323</v>
      </c>
    </row>
    <row r="389" customFormat="false" ht="15" hidden="false" customHeight="false" outlineLevel="0" collapsed="false">
      <c r="A389" s="37" t="n">
        <v>368119514</v>
      </c>
      <c r="B389" s="38" t="n">
        <v>46232.8123148148</v>
      </c>
      <c r="C389" s="37" t="s">
        <v>325</v>
      </c>
      <c r="D389" s="37" t="s">
        <v>710</v>
      </c>
      <c r="E389" s="37" t="n">
        <v>24350405</v>
      </c>
      <c r="F389" s="37" t="s">
        <v>143</v>
      </c>
      <c r="G389" s="37" t="s">
        <v>207</v>
      </c>
      <c r="H389" s="37" t="s">
        <v>174</v>
      </c>
      <c r="I389" s="37" t="n">
        <v>97.2</v>
      </c>
      <c r="J389" s="39" t="n">
        <v>1136</v>
      </c>
      <c r="K389" s="37" t="s">
        <v>322</v>
      </c>
      <c r="L389" s="39" t="n">
        <v>174.26</v>
      </c>
      <c r="M389" s="39" t="n">
        <v>127.92</v>
      </c>
      <c r="N389" s="39" t="n">
        <f aca="false">J389*Resumo!$C$7</f>
        <v>2.272</v>
      </c>
      <c r="O389" s="39" t="n">
        <f aca="false">J389*Resumo!$C$8</f>
        <v>2.272</v>
      </c>
      <c r="P389" s="39" t="n">
        <f aca="false">Resumo!$C$10*CEILING(I389/100,1)</f>
        <v>1</v>
      </c>
      <c r="Q389" s="39" t="n">
        <f aca="false">Resumo!$C$9</f>
        <v>11.9</v>
      </c>
      <c r="R389" s="39" t="n">
        <f aca="false">SUM(M389:Q389)*Resumo!$C$11</f>
        <v>7.99502</v>
      </c>
      <c r="S389" s="39" t="n">
        <f aca="false">SUM(M389:R389)</f>
        <v>153.35902</v>
      </c>
      <c r="T389" s="39" t="n">
        <f aca="false">S389/(1-Resumo!$C$5)</f>
        <v>174.271613636364</v>
      </c>
      <c r="U389" s="39" t="n">
        <v>178.42</v>
      </c>
      <c r="V389" s="39" t="n">
        <f aca="false">J389*Resumo!$B$6</f>
        <v>1.136</v>
      </c>
      <c r="W389" s="39" t="n">
        <f aca="false">J389*Resumo!$B$7</f>
        <v>2.272</v>
      </c>
      <c r="X389" s="39" t="n">
        <f aca="false">Resumo!$B$9</f>
        <v>1</v>
      </c>
      <c r="Y389" s="39" t="n">
        <f aca="false">Resumo!$B$10*CEILING(I389/100,1)</f>
        <v>4.5</v>
      </c>
      <c r="Z389" s="39" t="n">
        <f aca="false">Resumo!$B$12*CEILING(I389,1)</f>
        <v>5.88</v>
      </c>
      <c r="AA389" s="39" t="n">
        <f aca="false">Resumo!$B$13*CEILING(I389,1)</f>
        <v>44.1</v>
      </c>
      <c r="AB389" s="39" t="n">
        <f aca="false">SUM(U389:AA389)</f>
        <v>237.308</v>
      </c>
      <c r="AC389" s="39" t="n">
        <f aca="false">AB389/(1-Resumo!$B$5)</f>
        <v>269.668181818182</v>
      </c>
      <c r="AD389" s="39" t="n">
        <f aca="false">(AB389-AA389)/(1-Resumo!$B$5)</f>
        <v>219.554545454545</v>
      </c>
      <c r="AE389" s="39" t="n">
        <f aca="false">AC389-T389</f>
        <v>95.3965681818182</v>
      </c>
      <c r="AF389" s="40" t="n">
        <f aca="false">AC389/T389-1</f>
        <v>0.547401646150321</v>
      </c>
      <c r="AG389" s="37" t="str">
        <f aca="false">IF(AC389&lt;T389,"SIM","NÃO")</f>
        <v>NÃO</v>
      </c>
      <c r="AH389" s="37" t="n">
        <v>10</v>
      </c>
      <c r="AI389" s="37" t="n">
        <v>7</v>
      </c>
      <c r="AJ389" s="37" t="s">
        <v>323</v>
      </c>
    </row>
    <row r="390" customFormat="false" ht="15" hidden="false" customHeight="false" outlineLevel="0" collapsed="false">
      <c r="A390" s="37" t="n">
        <v>368123331</v>
      </c>
      <c r="B390" s="38" t="n">
        <v>46232.8212962963</v>
      </c>
      <c r="C390" s="37" t="s">
        <v>320</v>
      </c>
      <c r="D390" s="37" t="s">
        <v>711</v>
      </c>
      <c r="E390" s="37" t="n">
        <v>24452005</v>
      </c>
      <c r="F390" s="37" t="s">
        <v>140</v>
      </c>
      <c r="G390" s="37" t="s">
        <v>207</v>
      </c>
      <c r="H390" s="37" t="s">
        <v>169</v>
      </c>
      <c r="I390" s="37" t="n">
        <v>37.6</v>
      </c>
      <c r="J390" s="39" t="n">
        <v>391.04</v>
      </c>
      <c r="K390" s="37" t="s">
        <v>498</v>
      </c>
      <c r="L390" s="39" t="n">
        <v>113.83</v>
      </c>
      <c r="M390" s="39" t="n">
        <v>79.65</v>
      </c>
      <c r="N390" s="39" t="n">
        <f aca="false">J390*Resumo!$C$7</f>
        <v>0.78208</v>
      </c>
      <c r="O390" s="39" t="n">
        <f aca="false">J390*Resumo!$C$8</f>
        <v>0.78208</v>
      </c>
      <c r="P390" s="39" t="n">
        <f aca="false">Resumo!$C$10*CEILING(I390/100,1)</f>
        <v>1</v>
      </c>
      <c r="Q390" s="39" t="n">
        <f aca="false">Resumo!$C$9</f>
        <v>11.9</v>
      </c>
      <c r="R390" s="39" t="n">
        <f aca="false">SUM(M390:Q390)*Resumo!$C$11</f>
        <v>5.1762788</v>
      </c>
      <c r="S390" s="39" t="n">
        <f aca="false">SUM(M390:R390)</f>
        <v>99.2904388</v>
      </c>
      <c r="T390" s="39" t="n">
        <f aca="false">S390/(1-Resumo!$C$5)</f>
        <v>112.830044090909</v>
      </c>
      <c r="U390" s="39" t="n">
        <v>114.95</v>
      </c>
      <c r="V390" s="39" t="n">
        <f aca="false">J390*Resumo!$B$6</f>
        <v>0.39104</v>
      </c>
      <c r="W390" s="39" t="n">
        <f aca="false">J390*Resumo!$B$7</f>
        <v>0.78208</v>
      </c>
      <c r="X390" s="39" t="n">
        <f aca="false">Resumo!$B$9</f>
        <v>1</v>
      </c>
      <c r="Y390" s="39" t="n">
        <f aca="false">Resumo!$B$10*CEILING(I390/100,1)</f>
        <v>4.5</v>
      </c>
      <c r="Z390" s="39" t="n">
        <f aca="false">Resumo!$B$12*CEILING(I390,1)</f>
        <v>2.28</v>
      </c>
      <c r="AA390" s="39" t="n">
        <f aca="false">Resumo!$B$13*CEILING(I390,1)</f>
        <v>17.1</v>
      </c>
      <c r="AB390" s="39" t="n">
        <f aca="false">SUM(U390:AA390)</f>
        <v>141.00312</v>
      </c>
      <c r="AC390" s="39" t="n">
        <f aca="false">AB390/(1-Resumo!$B$5)</f>
        <v>160.230818181818</v>
      </c>
      <c r="AD390" s="39" t="n">
        <f aca="false">(AB390-AA390)/(1-Resumo!$B$5)</f>
        <v>140.799</v>
      </c>
      <c r="AE390" s="39" t="n">
        <f aca="false">AC390-T390</f>
        <v>47.4007740909091</v>
      </c>
      <c r="AF390" s="40" t="n">
        <f aca="false">AC390/T390-1</f>
        <v>0.420107733474937</v>
      </c>
      <c r="AG390" s="37" t="str">
        <f aca="false">IF(AC390&lt;T390,"SIM","NÃO")</f>
        <v>NÃO</v>
      </c>
      <c r="AH390" s="37" t="n">
        <v>10</v>
      </c>
      <c r="AI390" s="37" t="n">
        <v>7</v>
      </c>
      <c r="AJ390" s="37" t="s">
        <v>323</v>
      </c>
    </row>
    <row r="391" customFormat="false" ht="15" hidden="false" customHeight="false" outlineLevel="0" collapsed="false">
      <c r="A391" s="37" t="n">
        <v>368123432</v>
      </c>
      <c r="B391" s="38" t="n">
        <v>46232.8216666667</v>
      </c>
      <c r="C391" s="37" t="s">
        <v>320</v>
      </c>
      <c r="D391" s="37" t="s">
        <v>712</v>
      </c>
      <c r="E391" s="37" t="n">
        <v>22240004</v>
      </c>
      <c r="F391" s="37" t="s">
        <v>139</v>
      </c>
      <c r="G391" s="37" t="s">
        <v>198</v>
      </c>
      <c r="H391" s="37" t="s">
        <v>171</v>
      </c>
      <c r="I391" s="37" t="n">
        <v>52.3</v>
      </c>
      <c r="J391" s="39" t="n">
        <v>685.84</v>
      </c>
      <c r="K391" s="37" t="s">
        <v>498</v>
      </c>
      <c r="L391" s="39" t="n">
        <v>113.56</v>
      </c>
      <c r="M391" s="39" t="n">
        <v>79.81</v>
      </c>
      <c r="N391" s="39" t="n">
        <f aca="false">J391*Resumo!$C$7</f>
        <v>1.37168</v>
      </c>
      <c r="O391" s="39" t="n">
        <f aca="false">J391*Resumo!$C$8</f>
        <v>1.37168</v>
      </c>
      <c r="P391" s="39" t="n">
        <f aca="false">Resumo!$C$10*CEILING(I391/100,1)</f>
        <v>1</v>
      </c>
      <c r="Q391" s="39" t="n">
        <f aca="false">Resumo!$C$9</f>
        <v>11.9</v>
      </c>
      <c r="R391" s="39" t="n">
        <f aca="false">SUM(M391:Q391)*Resumo!$C$11</f>
        <v>5.2499348</v>
      </c>
      <c r="S391" s="39" t="n">
        <f aca="false">SUM(M391:R391)</f>
        <v>100.7032948</v>
      </c>
      <c r="T391" s="39" t="n">
        <f aca="false">S391/(1-Resumo!$C$5)</f>
        <v>114.435562272727</v>
      </c>
      <c r="U391" s="39" t="n">
        <v>112.3</v>
      </c>
      <c r="V391" s="39" t="n">
        <f aca="false">J391*Resumo!$B$6</f>
        <v>0.68584</v>
      </c>
      <c r="W391" s="39" t="n">
        <f aca="false">J391*Resumo!$B$7</f>
        <v>1.37168</v>
      </c>
      <c r="X391" s="39" t="n">
        <f aca="false">Resumo!$B$9</f>
        <v>1</v>
      </c>
      <c r="Y391" s="39" t="n">
        <f aca="false">Resumo!$B$10*CEILING(I391/100,1)</f>
        <v>4.5</v>
      </c>
      <c r="Z391" s="39" t="n">
        <f aca="false">Resumo!$B$12*CEILING(I391,1)</f>
        <v>3.18</v>
      </c>
      <c r="AA391" s="39" t="n">
        <f aca="false">Resumo!$B$13*CEILING(I391,1)</f>
        <v>23.85</v>
      </c>
      <c r="AB391" s="39" t="n">
        <f aca="false">SUM(U391:AA391)</f>
        <v>146.88752</v>
      </c>
      <c r="AC391" s="39" t="n">
        <f aca="false">AB391/(1-Resumo!$B$5)</f>
        <v>166.917636363636</v>
      </c>
      <c r="AD391" s="39" t="n">
        <f aca="false">(AB391-AA391)/(1-Resumo!$B$5)</f>
        <v>139.815363636364</v>
      </c>
      <c r="AE391" s="39" t="n">
        <f aca="false">AC391-T391</f>
        <v>52.4820740909091</v>
      </c>
      <c r="AF391" s="40" t="n">
        <f aca="false">AC391/T391-1</f>
        <v>0.458616823726804</v>
      </c>
      <c r="AG391" s="37" t="str">
        <f aca="false">IF(AC391&lt;T391,"SIM","NÃO")</f>
        <v>NÃO</v>
      </c>
      <c r="AH391" s="37" t="n">
        <v>8</v>
      </c>
      <c r="AI391" s="37" t="n">
        <v>5</v>
      </c>
      <c r="AJ391" s="37" t="s">
        <v>323</v>
      </c>
    </row>
    <row r="392" customFormat="false" ht="15" hidden="false" customHeight="false" outlineLevel="0" collapsed="false">
      <c r="A392" s="37" t="n">
        <v>368154400</v>
      </c>
      <c r="B392" s="38" t="n">
        <v>46232.8812268519</v>
      </c>
      <c r="C392" s="37" t="s">
        <v>320</v>
      </c>
      <c r="D392" s="37" t="s">
        <v>713</v>
      </c>
      <c r="E392" s="37" t="n">
        <v>21250150</v>
      </c>
      <c r="F392" s="37" t="s">
        <v>139</v>
      </c>
      <c r="G392" s="37" t="s">
        <v>198</v>
      </c>
      <c r="H392" s="37" t="s">
        <v>170</v>
      </c>
      <c r="I392" s="37" t="n">
        <v>43.5</v>
      </c>
      <c r="J392" s="39" t="n">
        <v>769.99</v>
      </c>
      <c r="K392" s="37" t="s">
        <v>322</v>
      </c>
      <c r="L392" s="39" t="n">
        <v>104.27</v>
      </c>
      <c r="M392" s="39" t="n">
        <v>71</v>
      </c>
      <c r="N392" s="39" t="n">
        <f aca="false">J392*Resumo!$C$7</f>
        <v>1.53998</v>
      </c>
      <c r="O392" s="39" t="n">
        <f aca="false">J392*Resumo!$C$8</f>
        <v>1.53998</v>
      </c>
      <c r="P392" s="39" t="n">
        <f aca="false">Resumo!$C$10*CEILING(I392/100,1)</f>
        <v>1</v>
      </c>
      <c r="Q392" s="39" t="n">
        <f aca="false">Resumo!$C$9</f>
        <v>11.9</v>
      </c>
      <c r="R392" s="39" t="n">
        <f aca="false">SUM(M392:Q392)*Resumo!$C$11</f>
        <v>4.7838978</v>
      </c>
      <c r="S392" s="39" t="n">
        <f aca="false">SUM(M392:R392)</f>
        <v>91.7638578</v>
      </c>
      <c r="T392" s="39" t="n">
        <f aca="false">S392/(1-Resumo!$C$5)</f>
        <v>104.277111136364</v>
      </c>
      <c r="U392" s="39" t="n">
        <v>93.97</v>
      </c>
      <c r="V392" s="39" t="n">
        <f aca="false">J392*Resumo!$B$6</f>
        <v>0.76999</v>
      </c>
      <c r="W392" s="39" t="n">
        <f aca="false">J392*Resumo!$B$7</f>
        <v>1.53998</v>
      </c>
      <c r="X392" s="39" t="n">
        <f aca="false">Resumo!$B$9</f>
        <v>1</v>
      </c>
      <c r="Y392" s="39" t="n">
        <f aca="false">Resumo!$B$10*CEILING(I392/100,1)</f>
        <v>4.5</v>
      </c>
      <c r="Z392" s="39" t="n">
        <f aca="false">Resumo!$B$12*CEILING(I392,1)</f>
        <v>2.64</v>
      </c>
      <c r="AA392" s="39" t="n">
        <f aca="false">Resumo!$B$13*CEILING(I392,1)</f>
        <v>19.8</v>
      </c>
      <c r="AB392" s="39" t="n">
        <f aca="false">SUM(U392:AA392)</f>
        <v>124.21997</v>
      </c>
      <c r="AC392" s="39" t="n">
        <f aca="false">AB392/(1-Resumo!$B$5)</f>
        <v>141.159056818182</v>
      </c>
      <c r="AD392" s="39" t="n">
        <f aca="false">(AB392-AA392)/(1-Resumo!$B$5)</f>
        <v>118.659056818182</v>
      </c>
      <c r="AE392" s="39" t="n">
        <f aca="false">AC392-T392</f>
        <v>36.8819456818182</v>
      </c>
      <c r="AF392" s="40" t="n">
        <f aca="false">AC392/T392-1</f>
        <v>0.353691670970703</v>
      </c>
      <c r="AG392" s="37" t="str">
        <f aca="false">IF(AC392&lt;T392,"SIM","NÃO")</f>
        <v>NÃO</v>
      </c>
      <c r="AH392" s="37" t="n">
        <v>8</v>
      </c>
      <c r="AI392" s="37" t="n">
        <v>5</v>
      </c>
      <c r="AJ392" s="37" t="s">
        <v>323</v>
      </c>
    </row>
    <row r="393" customFormat="false" ht="15" hidden="false" customHeight="false" outlineLevel="0" collapsed="false">
      <c r="A393" s="37" t="n">
        <v>368170099</v>
      </c>
      <c r="B393" s="38" t="n">
        <v>46232.9090509259</v>
      </c>
      <c r="C393" s="37" t="s">
        <v>325</v>
      </c>
      <c r="D393" s="37" t="s">
        <v>714</v>
      </c>
      <c r="E393" s="37" t="n">
        <v>28630590</v>
      </c>
      <c r="F393" s="37" t="s">
        <v>157</v>
      </c>
      <c r="G393" s="37" t="s">
        <v>201</v>
      </c>
      <c r="H393" s="37" t="s">
        <v>176</v>
      </c>
      <c r="I393" s="37" t="n">
        <v>124.2</v>
      </c>
      <c r="J393" s="39" t="n">
        <v>1630.39</v>
      </c>
      <c r="K393" s="37" t="s">
        <v>498</v>
      </c>
      <c r="L393" s="39" t="n">
        <v>253.39</v>
      </c>
      <c r="M393" s="39" t="n">
        <v>197.37</v>
      </c>
      <c r="N393" s="39" t="n">
        <f aca="false">J393*Resumo!$C$7</f>
        <v>3.26078</v>
      </c>
      <c r="O393" s="39" t="n">
        <f aca="false">J393*Resumo!$C$8</f>
        <v>3.26078</v>
      </c>
      <c r="P393" s="39" t="n">
        <f aca="false">Resumo!$C$10*CEILING(I393/100,1)</f>
        <v>2</v>
      </c>
      <c r="Q393" s="39" t="n">
        <f aca="false">Resumo!$C$9</f>
        <v>11.9</v>
      </c>
      <c r="R393" s="39" t="n">
        <f aca="false">SUM(M393:Q393)*Resumo!$C$11</f>
        <v>11.9785358</v>
      </c>
      <c r="S393" s="39" t="n">
        <f aca="false">SUM(M393:R393)</f>
        <v>229.7700958</v>
      </c>
      <c r="T393" s="39" t="n">
        <f aca="false">S393/(1-Resumo!$C$5)</f>
        <v>261.102381590909</v>
      </c>
      <c r="U393" s="39" t="n">
        <v>264.84</v>
      </c>
      <c r="V393" s="39" t="n">
        <f aca="false">J393*Resumo!$B$6</f>
        <v>1.63039</v>
      </c>
      <c r="W393" s="39" t="n">
        <f aca="false">J393*Resumo!$B$7</f>
        <v>3.26078</v>
      </c>
      <c r="X393" s="39" t="n">
        <f aca="false">Resumo!$B$9</f>
        <v>1</v>
      </c>
      <c r="Y393" s="39" t="n">
        <f aca="false">Resumo!$B$10*CEILING(I393/100,1)</f>
        <v>9</v>
      </c>
      <c r="Z393" s="39" t="n">
        <f aca="false">Resumo!$B$12*CEILING(I393,1)</f>
        <v>7.5</v>
      </c>
      <c r="AA393" s="39" t="n">
        <f aca="false">Resumo!$B$13*CEILING(I393,1)</f>
        <v>56.25</v>
      </c>
      <c r="AB393" s="39" t="n">
        <f aca="false">SUM(U393:AA393)</f>
        <v>343.48117</v>
      </c>
      <c r="AC393" s="39" t="n">
        <f aca="false">AB393/(1-Resumo!$B$5)</f>
        <v>390.319511363636</v>
      </c>
      <c r="AD393" s="39" t="n">
        <f aca="false">(AB393-AA393)/(1-Resumo!$B$5)</f>
        <v>326.399056818182</v>
      </c>
      <c r="AE393" s="39" t="n">
        <f aca="false">AC393-T393</f>
        <v>129.217129772727</v>
      </c>
      <c r="AF393" s="40" t="n">
        <f aca="false">AC393/T393-1</f>
        <v>0.4948906593092</v>
      </c>
      <c r="AG393" s="37" t="str">
        <f aca="false">IF(AC393&lt;T393,"SIM","NÃO")</f>
        <v>NÃO</v>
      </c>
      <c r="AH393" s="37" t="n">
        <v>13</v>
      </c>
      <c r="AI393" s="37" t="n">
        <v>10</v>
      </c>
      <c r="AJ393" s="37" t="s">
        <v>323</v>
      </c>
    </row>
    <row r="394" customFormat="false" ht="15" hidden="false" customHeight="false" outlineLevel="0" collapsed="false">
      <c r="A394" s="37" t="n">
        <v>368193269</v>
      </c>
      <c r="B394" s="38" t="n">
        <v>46232.9664699074</v>
      </c>
      <c r="C394" s="37" t="s">
        <v>325</v>
      </c>
      <c r="D394" s="37" t="s">
        <v>715</v>
      </c>
      <c r="E394" s="37" t="n">
        <v>22031112</v>
      </c>
      <c r="F394" s="37" t="s">
        <v>139</v>
      </c>
      <c r="G394" s="37" t="s">
        <v>198</v>
      </c>
      <c r="H394" s="37" t="s">
        <v>168</v>
      </c>
      <c r="I394" s="37" t="n">
        <v>22.9</v>
      </c>
      <c r="J394" s="39" t="n">
        <v>314.76</v>
      </c>
      <c r="K394" s="37" t="s">
        <v>322</v>
      </c>
      <c r="L394" s="39" t="n">
        <v>81.83</v>
      </c>
      <c r="M394" s="39" t="n">
        <v>54.1</v>
      </c>
      <c r="N394" s="39" t="n">
        <f aca="false">J394*Resumo!$C$7</f>
        <v>0.62952</v>
      </c>
      <c r="O394" s="39" t="n">
        <f aca="false">J394*Resumo!$C$8</f>
        <v>0.62952</v>
      </c>
      <c r="P394" s="39" t="n">
        <f aca="false">Resumo!$C$10*CEILING(I394/100,1)</f>
        <v>1</v>
      </c>
      <c r="Q394" s="39" t="n">
        <f aca="false">Resumo!$C$9</f>
        <v>11.9</v>
      </c>
      <c r="R394" s="39" t="n">
        <f aca="false">SUM(M394:Q394)*Resumo!$C$11</f>
        <v>3.7542472</v>
      </c>
      <c r="S394" s="39" t="n">
        <f aca="false">SUM(M394:R394)</f>
        <v>72.0132872</v>
      </c>
      <c r="T394" s="39" t="n">
        <f aca="false">S394/(1-Resumo!$C$5)</f>
        <v>81.8332809090909</v>
      </c>
      <c r="U394" s="39" t="n">
        <v>82.21</v>
      </c>
      <c r="V394" s="39" t="n">
        <f aca="false">J394*Resumo!$B$6</f>
        <v>0.31476</v>
      </c>
      <c r="W394" s="39" t="n">
        <f aca="false">J394*Resumo!$B$7</f>
        <v>0.62952</v>
      </c>
      <c r="X394" s="39" t="n">
        <f aca="false">Resumo!$B$9</f>
        <v>1</v>
      </c>
      <c r="Y394" s="39" t="n">
        <f aca="false">Resumo!$B$10*CEILING(I394/100,1)</f>
        <v>4.5</v>
      </c>
      <c r="Z394" s="39" t="n">
        <f aca="false">Resumo!$B$12*CEILING(I394,1)</f>
        <v>1.38</v>
      </c>
      <c r="AA394" s="39" t="n">
        <f aca="false">Resumo!$B$13*CEILING(I394,1)</f>
        <v>10.35</v>
      </c>
      <c r="AB394" s="39" t="n">
        <f aca="false">SUM(U394:AA394)</f>
        <v>100.38428</v>
      </c>
      <c r="AC394" s="39" t="n">
        <f aca="false">AB394/(1-Resumo!$B$5)</f>
        <v>114.073045454545</v>
      </c>
      <c r="AD394" s="39" t="n">
        <f aca="false">(AB394-AA394)/(1-Resumo!$B$5)</f>
        <v>102.311681818182</v>
      </c>
      <c r="AE394" s="39" t="n">
        <f aca="false">AC394-T394</f>
        <v>32.2397645454545</v>
      </c>
      <c r="AF394" s="40" t="n">
        <f aca="false">AC394/T394-1</f>
        <v>0.393968861901918</v>
      </c>
      <c r="AG394" s="37" t="str">
        <f aca="false">IF(AC394&lt;T394,"SIM","NÃO")</f>
        <v>NÃO</v>
      </c>
      <c r="AH394" s="37" t="n">
        <v>8</v>
      </c>
      <c r="AI394" s="37" t="n">
        <v>5</v>
      </c>
      <c r="AJ394" s="37" t="s">
        <v>323</v>
      </c>
    </row>
    <row r="395" customFormat="false" ht="15" hidden="false" customHeight="false" outlineLevel="0" collapsed="false">
      <c r="A395" s="37" t="n">
        <v>368199206</v>
      </c>
      <c r="B395" s="38" t="n">
        <v>46232.9820601852</v>
      </c>
      <c r="C395" s="37" t="s">
        <v>320</v>
      </c>
      <c r="D395" s="37" t="s">
        <v>716</v>
      </c>
      <c r="E395" s="37" t="n">
        <v>27320710</v>
      </c>
      <c r="F395" s="37" t="s">
        <v>233</v>
      </c>
      <c r="G395" s="37" t="s">
        <v>201</v>
      </c>
      <c r="H395" s="37" t="s">
        <v>176</v>
      </c>
      <c r="I395" s="37" t="n">
        <v>124.2</v>
      </c>
      <c r="J395" s="39" t="n">
        <v>1558.08</v>
      </c>
      <c r="K395" s="37" t="s">
        <v>498</v>
      </c>
      <c r="L395" s="39" t="n">
        <v>253.05</v>
      </c>
      <c r="M395" s="39" t="n">
        <v>197.37</v>
      </c>
      <c r="N395" s="39" t="n">
        <f aca="false">J395*Resumo!$C$7</f>
        <v>3.11616</v>
      </c>
      <c r="O395" s="39" t="n">
        <f aca="false">J395*Resumo!$C$8</f>
        <v>3.11616</v>
      </c>
      <c r="P395" s="39" t="n">
        <f aca="false">Resumo!$C$10*CEILING(I395/100,1)</f>
        <v>2</v>
      </c>
      <c r="Q395" s="39" t="n">
        <f aca="false">Resumo!$C$9</f>
        <v>11.9</v>
      </c>
      <c r="R395" s="39" t="n">
        <f aca="false">SUM(M395:Q395)*Resumo!$C$11</f>
        <v>11.9626276</v>
      </c>
      <c r="S395" s="39" t="n">
        <f aca="false">SUM(M395:R395)</f>
        <v>229.4649476</v>
      </c>
      <c r="T395" s="39" t="n">
        <f aca="false">S395/(1-Resumo!$C$5)</f>
        <v>260.755622272727</v>
      </c>
      <c r="U395" s="39" t="n">
        <v>264.84</v>
      </c>
      <c r="V395" s="39" t="n">
        <f aca="false">J395*Resumo!$B$6</f>
        <v>1.55808</v>
      </c>
      <c r="W395" s="39" t="n">
        <f aca="false">J395*Resumo!$B$7</f>
        <v>3.11616</v>
      </c>
      <c r="X395" s="39" t="n">
        <f aca="false">Resumo!$B$9</f>
        <v>1</v>
      </c>
      <c r="Y395" s="39" t="n">
        <f aca="false">Resumo!$B$10*CEILING(I395/100,1)</f>
        <v>9</v>
      </c>
      <c r="Z395" s="39" t="n">
        <f aca="false">Resumo!$B$12*CEILING(I395,1)</f>
        <v>7.5</v>
      </c>
      <c r="AA395" s="39" t="n">
        <f aca="false">Resumo!$B$13*CEILING(I395,1)</f>
        <v>56.25</v>
      </c>
      <c r="AB395" s="39" t="n">
        <f aca="false">SUM(U395:AA395)</f>
        <v>343.26424</v>
      </c>
      <c r="AC395" s="39" t="n">
        <f aca="false">AB395/(1-Resumo!$B$5)</f>
        <v>390.073</v>
      </c>
      <c r="AD395" s="39" t="n">
        <f aca="false">(AB395-AA395)/(1-Resumo!$B$5)</f>
        <v>326.152545454545</v>
      </c>
      <c r="AE395" s="39" t="n">
        <f aca="false">AC395-T395</f>
        <v>129.317377727273</v>
      </c>
      <c r="AF395" s="40" t="n">
        <f aca="false">AC395/T395-1</f>
        <v>0.495933228975666</v>
      </c>
      <c r="AG395" s="37" t="str">
        <f aca="false">IF(AC395&lt;T395,"SIM","NÃO")</f>
        <v>NÃO</v>
      </c>
      <c r="AH395" s="37" t="n">
        <v>13</v>
      </c>
      <c r="AI395" s="37" t="n">
        <v>10</v>
      </c>
      <c r="AJ395" s="37" t="s">
        <v>327</v>
      </c>
    </row>
    <row r="396" customFormat="false" ht="15" hidden="false" customHeight="false" outlineLevel="0" collapsed="false">
      <c r="A396" s="37" t="n">
        <v>368235505</v>
      </c>
      <c r="B396" s="38" t="n">
        <v>46233.0966782407</v>
      </c>
      <c r="C396" s="37" t="s">
        <v>320</v>
      </c>
      <c r="D396" s="37" t="s">
        <v>717</v>
      </c>
      <c r="E396" s="37" t="n">
        <v>21321740</v>
      </c>
      <c r="F396" s="37" t="s">
        <v>139</v>
      </c>
      <c r="G396" s="37" t="s">
        <v>198</v>
      </c>
      <c r="H396" s="37" t="s">
        <v>170</v>
      </c>
      <c r="I396" s="37" t="n">
        <v>41</v>
      </c>
      <c r="J396" s="39" t="n">
        <v>559.99</v>
      </c>
      <c r="K396" s="37" t="s">
        <v>498</v>
      </c>
      <c r="L396" s="39" t="n">
        <v>101.09</v>
      </c>
      <c r="M396" s="39" t="n">
        <v>71</v>
      </c>
      <c r="N396" s="39" t="n">
        <f aca="false">J396*Resumo!$C$7</f>
        <v>1.11998</v>
      </c>
      <c r="O396" s="39" t="n">
        <f aca="false">J396*Resumo!$C$8</f>
        <v>1.11998</v>
      </c>
      <c r="P396" s="39" t="n">
        <f aca="false">Resumo!$C$10*CEILING(I396/100,1)</f>
        <v>1</v>
      </c>
      <c r="Q396" s="39" t="n">
        <f aca="false">Resumo!$C$9</f>
        <v>11.9</v>
      </c>
      <c r="R396" s="39" t="n">
        <f aca="false">SUM(M396:Q396)*Resumo!$C$11</f>
        <v>4.7376978</v>
      </c>
      <c r="S396" s="39" t="n">
        <f aca="false">SUM(M396:R396)</f>
        <v>90.8776578</v>
      </c>
      <c r="T396" s="39" t="n">
        <f aca="false">S396/(1-Resumo!$C$5)</f>
        <v>103.270065681818</v>
      </c>
      <c r="U396" s="39" t="n">
        <v>93.97</v>
      </c>
      <c r="V396" s="39" t="n">
        <f aca="false">J396*Resumo!$B$6</f>
        <v>0.55999</v>
      </c>
      <c r="W396" s="39" t="n">
        <f aca="false">J396*Resumo!$B$7</f>
        <v>1.11998</v>
      </c>
      <c r="X396" s="39" t="n">
        <f aca="false">Resumo!$B$9</f>
        <v>1</v>
      </c>
      <c r="Y396" s="39" t="n">
        <f aca="false">Resumo!$B$10*CEILING(I396/100,1)</f>
        <v>4.5</v>
      </c>
      <c r="Z396" s="39" t="n">
        <f aca="false">Resumo!$B$12*CEILING(I396,1)</f>
        <v>2.46</v>
      </c>
      <c r="AA396" s="39" t="n">
        <f aca="false">Resumo!$B$13*CEILING(I396,1)</f>
        <v>18.45</v>
      </c>
      <c r="AB396" s="39" t="n">
        <f aca="false">SUM(U396:AA396)</f>
        <v>122.05997</v>
      </c>
      <c r="AC396" s="39" t="n">
        <f aca="false">AB396/(1-Resumo!$B$5)</f>
        <v>138.704511363636</v>
      </c>
      <c r="AD396" s="39" t="n">
        <f aca="false">(AB396-AA396)/(1-Resumo!$B$5)</f>
        <v>117.738602272727</v>
      </c>
      <c r="AE396" s="39" t="n">
        <f aca="false">AC396-T396</f>
        <v>35.4344456818182</v>
      </c>
      <c r="AF396" s="40" t="n">
        <f aca="false">AC396/T396-1</f>
        <v>0.343124074221024</v>
      </c>
      <c r="AG396" s="37" t="str">
        <f aca="false">IF(AC396&lt;T396,"SIM","NÃO")</f>
        <v>NÃO</v>
      </c>
      <c r="AH396" s="37" t="n">
        <v>8</v>
      </c>
      <c r="AI396" s="37" t="n">
        <v>5</v>
      </c>
      <c r="AJ396" s="37" t="s">
        <v>323</v>
      </c>
    </row>
    <row r="397" customFormat="false" ht="15" hidden="false" customHeight="false" outlineLevel="0" collapsed="false">
      <c r="A397" s="37" t="n">
        <v>368295630</v>
      </c>
      <c r="B397" s="38" t="n">
        <v>46233.3183101852</v>
      </c>
      <c r="C397" s="37" t="s">
        <v>325</v>
      </c>
      <c r="D397" s="37" t="s">
        <v>718</v>
      </c>
      <c r="E397" s="37" t="n">
        <v>21920070</v>
      </c>
      <c r="F397" s="37" t="s">
        <v>139</v>
      </c>
      <c r="G397" s="37" t="s">
        <v>198</v>
      </c>
      <c r="H397" s="37" t="s">
        <v>176</v>
      </c>
      <c r="I397" s="37" t="n">
        <v>124.2</v>
      </c>
      <c r="J397" s="39" t="n">
        <v>1630.39</v>
      </c>
      <c r="K397" s="37" t="s">
        <v>322</v>
      </c>
      <c r="L397" s="39" t="n">
        <v>234.1</v>
      </c>
      <c r="M397" s="39" t="n">
        <v>174.85</v>
      </c>
      <c r="N397" s="39" t="n">
        <f aca="false">J397*Resumo!$C$7</f>
        <v>3.26078</v>
      </c>
      <c r="O397" s="39" t="n">
        <f aca="false">J397*Resumo!$C$8</f>
        <v>3.26078</v>
      </c>
      <c r="P397" s="39" t="n">
        <f aca="false">Resumo!$C$10*CEILING(I397/100,1)</f>
        <v>2</v>
      </c>
      <c r="Q397" s="39" t="n">
        <f aca="false">Resumo!$C$9</f>
        <v>11.9</v>
      </c>
      <c r="R397" s="39" t="n">
        <f aca="false">SUM(M397:Q397)*Resumo!$C$11</f>
        <v>10.7399358</v>
      </c>
      <c r="S397" s="39" t="n">
        <f aca="false">SUM(M397:R397)</f>
        <v>206.0114958</v>
      </c>
      <c r="T397" s="39" t="n">
        <f aca="false">S397/(1-Resumo!$C$5)</f>
        <v>234.1039725</v>
      </c>
      <c r="U397" s="39" t="n">
        <v>239.25</v>
      </c>
      <c r="V397" s="39" t="n">
        <f aca="false">J397*Resumo!$B$6</f>
        <v>1.63039</v>
      </c>
      <c r="W397" s="39" t="n">
        <f aca="false">J397*Resumo!$B$7</f>
        <v>3.26078</v>
      </c>
      <c r="X397" s="39" t="n">
        <f aca="false">Resumo!$B$9</f>
        <v>1</v>
      </c>
      <c r="Y397" s="39" t="n">
        <f aca="false">Resumo!$B$10*CEILING(I397/100,1)</f>
        <v>9</v>
      </c>
      <c r="Z397" s="39" t="n">
        <f aca="false">Resumo!$B$12*CEILING(I397,1)</f>
        <v>7.5</v>
      </c>
      <c r="AA397" s="39" t="n">
        <f aca="false">Resumo!$B$13*CEILING(I397,1)</f>
        <v>56.25</v>
      </c>
      <c r="AB397" s="39" t="n">
        <f aca="false">SUM(U397:AA397)</f>
        <v>317.89117</v>
      </c>
      <c r="AC397" s="39" t="n">
        <f aca="false">AB397/(1-Resumo!$B$5)</f>
        <v>361.239965909091</v>
      </c>
      <c r="AD397" s="39" t="n">
        <f aca="false">(AB397-AA397)/(1-Resumo!$B$5)</f>
        <v>297.319511363636</v>
      </c>
      <c r="AE397" s="39" t="n">
        <f aca="false">AC397-T397</f>
        <v>127.135993409091</v>
      </c>
      <c r="AF397" s="40" t="n">
        <f aca="false">AC397/T397-1</f>
        <v>0.543074908346935</v>
      </c>
      <c r="AG397" s="37" t="str">
        <f aca="false">IF(AC397&lt;T397,"SIM","NÃO")</f>
        <v>NÃO</v>
      </c>
      <c r="AH397" s="37" t="n">
        <v>8</v>
      </c>
      <c r="AI397" s="37" t="n">
        <v>5</v>
      </c>
      <c r="AJ397" s="37" t="s">
        <v>323</v>
      </c>
    </row>
    <row r="398" customFormat="false" ht="15" hidden="false" customHeight="false" outlineLevel="0" collapsed="false">
      <c r="A398" s="37" t="n">
        <v>368303266</v>
      </c>
      <c r="B398" s="38" t="n">
        <v>46233.3419212963</v>
      </c>
      <c r="C398" s="37" t="s">
        <v>359</v>
      </c>
      <c r="D398" s="37" t="s">
        <v>394</v>
      </c>
      <c r="E398" s="37" t="n">
        <v>24110310</v>
      </c>
      <c r="F398" s="37" t="s">
        <v>143</v>
      </c>
      <c r="G398" s="37" t="s">
        <v>207</v>
      </c>
      <c r="H398" s="37" t="s">
        <v>171</v>
      </c>
      <c r="I398" s="37" t="n">
        <v>52.3</v>
      </c>
      <c r="J398" s="39" t="n">
        <v>597.99</v>
      </c>
      <c r="K398" s="37" t="s">
        <v>498</v>
      </c>
      <c r="L398" s="39" t="n">
        <v>127.22</v>
      </c>
      <c r="M398" s="39" t="n">
        <v>91.6</v>
      </c>
      <c r="N398" s="39" t="n">
        <f aca="false">J398*Resumo!$C$7</f>
        <v>1.19598</v>
      </c>
      <c r="O398" s="39" t="n">
        <f aca="false">J398*Resumo!$C$8</f>
        <v>1.19598</v>
      </c>
      <c r="P398" s="39" t="n">
        <f aca="false">Resumo!$C$10*CEILING(I398/100,1)</f>
        <v>1</v>
      </c>
      <c r="Q398" s="39" t="n">
        <f aca="false">Resumo!$C$9</f>
        <v>11.9</v>
      </c>
      <c r="R398" s="39" t="n">
        <f aca="false">SUM(M398:Q398)*Resumo!$C$11</f>
        <v>5.8790578</v>
      </c>
      <c r="S398" s="39" t="n">
        <f aca="false">SUM(M398:R398)</f>
        <v>112.7710178</v>
      </c>
      <c r="T398" s="39" t="n">
        <f aca="false">S398/(1-Resumo!$C$5)</f>
        <v>128.148883863636</v>
      </c>
      <c r="U398" s="39" t="n">
        <v>128.14</v>
      </c>
      <c r="V398" s="39" t="n">
        <f aca="false">J398*Resumo!$B$6</f>
        <v>0.59799</v>
      </c>
      <c r="W398" s="39" t="n">
        <f aca="false">J398*Resumo!$B$7</f>
        <v>1.19598</v>
      </c>
      <c r="X398" s="39" t="n">
        <f aca="false">Resumo!$B$9</f>
        <v>1</v>
      </c>
      <c r="Y398" s="39" t="n">
        <f aca="false">Resumo!$B$10*CEILING(I398/100,1)</f>
        <v>4.5</v>
      </c>
      <c r="Z398" s="39" t="n">
        <f aca="false">Resumo!$B$12*CEILING(I398,1)</f>
        <v>3.18</v>
      </c>
      <c r="AA398" s="39" t="n">
        <f aca="false">Resumo!$B$13*CEILING(I398,1)</f>
        <v>23.85</v>
      </c>
      <c r="AB398" s="39" t="n">
        <f aca="false">SUM(U398:AA398)</f>
        <v>162.46397</v>
      </c>
      <c r="AC398" s="39" t="n">
        <f aca="false">AB398/(1-Resumo!$B$5)</f>
        <v>184.618147727273</v>
      </c>
      <c r="AD398" s="39" t="n">
        <f aca="false">(AB398-AA398)/(1-Resumo!$B$5)</f>
        <v>157.515875</v>
      </c>
      <c r="AE398" s="39" t="n">
        <f aca="false">AC398-T398</f>
        <v>56.4692638636363</v>
      </c>
      <c r="AF398" s="40" t="n">
        <f aca="false">AC398/T398-1</f>
        <v>0.440653575443743</v>
      </c>
      <c r="AG398" s="37" t="str">
        <f aca="false">IF(AC398&lt;T398,"SIM","NÃO")</f>
        <v>NÃO</v>
      </c>
      <c r="AH398" s="37" t="n">
        <v>10</v>
      </c>
      <c r="AI398" s="37" t="n">
        <v>7</v>
      </c>
      <c r="AJ398" s="37" t="s">
        <v>323</v>
      </c>
    </row>
    <row r="399" customFormat="false" ht="15" hidden="false" customHeight="false" outlineLevel="0" collapsed="false">
      <c r="A399" s="37" t="n">
        <v>368306337</v>
      </c>
      <c r="B399" s="38" t="n">
        <v>46233.350775463</v>
      </c>
      <c r="C399" s="37" t="s">
        <v>320</v>
      </c>
      <c r="D399" s="37" t="s">
        <v>719</v>
      </c>
      <c r="E399" s="37" t="n">
        <v>24322535</v>
      </c>
      <c r="F399" s="37" t="s">
        <v>143</v>
      </c>
      <c r="G399" s="37" t="s">
        <v>207</v>
      </c>
      <c r="H399" s="37" t="s">
        <v>170</v>
      </c>
      <c r="I399" s="37" t="n">
        <v>44.5</v>
      </c>
      <c r="J399" s="39" t="n">
        <v>685.62</v>
      </c>
      <c r="K399" s="37" t="s">
        <v>322</v>
      </c>
      <c r="L399" s="39" t="n">
        <v>117.35</v>
      </c>
      <c r="M399" s="39" t="n">
        <v>82.25</v>
      </c>
      <c r="N399" s="39" t="n">
        <f aca="false">J399*Resumo!$C$7</f>
        <v>1.37124</v>
      </c>
      <c r="O399" s="39" t="n">
        <f aca="false">J399*Resumo!$C$8</f>
        <v>1.37124</v>
      </c>
      <c r="P399" s="39" t="n">
        <f aca="false">Resumo!$C$10*CEILING(I399/100,1)</f>
        <v>1</v>
      </c>
      <c r="Q399" s="39" t="n">
        <f aca="false">Resumo!$C$9</f>
        <v>11.9</v>
      </c>
      <c r="R399" s="39" t="n">
        <f aca="false">SUM(M399:Q399)*Resumo!$C$11</f>
        <v>5.3840864</v>
      </c>
      <c r="S399" s="39" t="n">
        <f aca="false">SUM(M399:R399)</f>
        <v>103.2765664</v>
      </c>
      <c r="T399" s="39" t="n">
        <f aca="false">S399/(1-Resumo!$C$5)</f>
        <v>117.359734545455</v>
      </c>
      <c r="U399" s="39" t="n">
        <v>114.95</v>
      </c>
      <c r="V399" s="39" t="n">
        <f aca="false">J399*Resumo!$B$6</f>
        <v>0.68562</v>
      </c>
      <c r="W399" s="39" t="n">
        <f aca="false">J399*Resumo!$B$7</f>
        <v>1.37124</v>
      </c>
      <c r="X399" s="39" t="n">
        <f aca="false">Resumo!$B$9</f>
        <v>1</v>
      </c>
      <c r="Y399" s="39" t="n">
        <f aca="false">Resumo!$B$10*CEILING(I399/100,1)</f>
        <v>4.5</v>
      </c>
      <c r="Z399" s="39" t="n">
        <f aca="false">Resumo!$B$12*CEILING(I399,1)</f>
        <v>2.7</v>
      </c>
      <c r="AA399" s="39" t="n">
        <f aca="false">Resumo!$B$13*CEILING(I399,1)</f>
        <v>20.25</v>
      </c>
      <c r="AB399" s="39" t="n">
        <f aca="false">SUM(U399:AA399)</f>
        <v>145.45686</v>
      </c>
      <c r="AC399" s="39" t="n">
        <f aca="false">AB399/(1-Resumo!$B$5)</f>
        <v>165.291886363636</v>
      </c>
      <c r="AD399" s="39" t="n">
        <f aca="false">(AB399-AA399)/(1-Resumo!$B$5)</f>
        <v>142.280522727273</v>
      </c>
      <c r="AE399" s="39" t="n">
        <f aca="false">AC399-T399</f>
        <v>47.9321518181818</v>
      </c>
      <c r="AF399" s="40" t="n">
        <f aca="false">AC399/T399-1</f>
        <v>0.408420758651403</v>
      </c>
      <c r="AG399" s="37" t="str">
        <f aca="false">IF(AC399&lt;T399,"SIM","NÃO")</f>
        <v>NÃO</v>
      </c>
      <c r="AH399" s="37" t="n">
        <v>10</v>
      </c>
      <c r="AI399" s="37" t="n">
        <v>7</v>
      </c>
      <c r="AJ399" s="37" t="s">
        <v>323</v>
      </c>
    </row>
    <row r="400" customFormat="false" ht="15" hidden="false" customHeight="false" outlineLevel="0" collapsed="false">
      <c r="A400" s="37" t="n">
        <v>368330685</v>
      </c>
      <c r="B400" s="38" t="n">
        <v>46233.3898611111</v>
      </c>
      <c r="C400" s="37" t="s">
        <v>517</v>
      </c>
      <c r="D400" s="37" t="s">
        <v>720</v>
      </c>
      <c r="E400" s="37" t="n">
        <v>22051002</v>
      </c>
      <c r="F400" s="37" t="s">
        <v>139</v>
      </c>
      <c r="G400" s="37" t="s">
        <v>198</v>
      </c>
      <c r="H400" s="37" t="s">
        <v>170</v>
      </c>
      <c r="I400" s="37" t="n">
        <v>48.3</v>
      </c>
      <c r="J400" s="39" t="n">
        <v>474.99</v>
      </c>
      <c r="K400" s="37" t="s">
        <v>322</v>
      </c>
      <c r="L400" s="39" t="n">
        <v>102.86</v>
      </c>
      <c r="M400" s="39" t="n">
        <v>71</v>
      </c>
      <c r="N400" s="39" t="n">
        <f aca="false">J400*Resumo!$C$7</f>
        <v>0.94998</v>
      </c>
      <c r="O400" s="39" t="n">
        <f aca="false">J400*Resumo!$C$8</f>
        <v>0.94998</v>
      </c>
      <c r="P400" s="39" t="n">
        <f aca="false">Resumo!$C$10*CEILING(I400/100,1)</f>
        <v>1</v>
      </c>
      <c r="Q400" s="39" t="n">
        <f aca="false">Resumo!$C$9</f>
        <v>11.9</v>
      </c>
      <c r="R400" s="39" t="n">
        <f aca="false">SUM(M400:Q400)*Resumo!$C$11</f>
        <v>4.7189978</v>
      </c>
      <c r="S400" s="39" t="n">
        <f aca="false">SUM(M400:R400)</f>
        <v>90.5189578</v>
      </c>
      <c r="T400" s="39" t="n">
        <f aca="false">S400/(1-Resumo!$C$5)</f>
        <v>102.862452045455</v>
      </c>
      <c r="U400" s="39" t="n">
        <v>93.97</v>
      </c>
      <c r="V400" s="39" t="n">
        <f aca="false">J400*Resumo!$B$6</f>
        <v>0.47499</v>
      </c>
      <c r="W400" s="39" t="n">
        <f aca="false">J400*Resumo!$B$7</f>
        <v>0.94998</v>
      </c>
      <c r="X400" s="39" t="n">
        <f aca="false">Resumo!$B$9</f>
        <v>1</v>
      </c>
      <c r="Y400" s="39" t="n">
        <f aca="false">Resumo!$B$10*CEILING(I400/100,1)</f>
        <v>4.5</v>
      </c>
      <c r="Z400" s="39" t="n">
        <f aca="false">Resumo!$B$12*CEILING(I400,1)</f>
        <v>2.94</v>
      </c>
      <c r="AA400" s="39" t="n">
        <f aca="false">Resumo!$B$13*CEILING(I400,1)</f>
        <v>22.05</v>
      </c>
      <c r="AB400" s="39" t="n">
        <f aca="false">SUM(U400:AA400)</f>
        <v>125.88497</v>
      </c>
      <c r="AC400" s="39" t="n">
        <f aca="false">AB400/(1-Resumo!$B$5)</f>
        <v>143.051102272727</v>
      </c>
      <c r="AD400" s="39" t="n">
        <f aca="false">(AB400-AA400)/(1-Resumo!$B$5)</f>
        <v>117.994284090909</v>
      </c>
      <c r="AE400" s="39" t="n">
        <f aca="false">AC400-T400</f>
        <v>40.1886502272727</v>
      </c>
      <c r="AF400" s="40" t="n">
        <f aca="false">AC400/T400-1</f>
        <v>0.390702821370752</v>
      </c>
      <c r="AG400" s="37" t="str">
        <f aca="false">IF(AC400&lt;T400,"SIM","NÃO")</f>
        <v>NÃO</v>
      </c>
      <c r="AH400" s="37" t="n">
        <v>8</v>
      </c>
      <c r="AI400" s="37" t="n">
        <v>5</v>
      </c>
      <c r="AJ400" s="37" t="s">
        <v>323</v>
      </c>
    </row>
    <row r="401" customFormat="false" ht="15" hidden="false" customHeight="false" outlineLevel="0" collapsed="false">
      <c r="A401" s="37" t="n">
        <v>368347140</v>
      </c>
      <c r="B401" s="38" t="n">
        <v>46233.4425347222</v>
      </c>
      <c r="C401" s="37" t="s">
        <v>355</v>
      </c>
      <c r="D401" s="37" t="s">
        <v>721</v>
      </c>
      <c r="E401" s="37" t="n">
        <v>23075067</v>
      </c>
      <c r="F401" s="37" t="s">
        <v>139</v>
      </c>
      <c r="G401" s="37" t="s">
        <v>198</v>
      </c>
      <c r="H401" s="37" t="s">
        <v>167</v>
      </c>
      <c r="I401" s="37" t="n">
        <v>19.9</v>
      </c>
      <c r="J401" s="39" t="n">
        <v>227.12</v>
      </c>
      <c r="K401" s="37" t="s">
        <v>498</v>
      </c>
      <c r="L401" s="39" t="n">
        <v>65.89</v>
      </c>
      <c r="M401" s="39" t="n">
        <v>39.83</v>
      </c>
      <c r="N401" s="39" t="n">
        <f aca="false">J401*Resumo!$C$7</f>
        <v>0.45424</v>
      </c>
      <c r="O401" s="39" t="n">
        <f aca="false">J401*Resumo!$C$8</f>
        <v>0.45424</v>
      </c>
      <c r="P401" s="39" t="n">
        <f aca="false">Resumo!$C$10*CEILING(I401/100,1)</f>
        <v>1</v>
      </c>
      <c r="Q401" s="39" t="n">
        <f aca="false">Resumo!$C$9</f>
        <v>11.9</v>
      </c>
      <c r="R401" s="39" t="n">
        <f aca="false">SUM(M401:Q401)*Resumo!$C$11</f>
        <v>2.9501164</v>
      </c>
      <c r="S401" s="39" t="n">
        <f aca="false">SUM(M401:R401)</f>
        <v>56.5885964</v>
      </c>
      <c r="T401" s="39" t="n">
        <f aca="false">S401/(1-Resumo!$C$5)</f>
        <v>64.3052231818182</v>
      </c>
      <c r="U401" s="39" t="n">
        <v>46.98</v>
      </c>
      <c r="V401" s="39" t="n">
        <f aca="false">J401*Resumo!$B$6</f>
        <v>0.22712</v>
      </c>
      <c r="W401" s="39" t="n">
        <f aca="false">J401*Resumo!$B$7</f>
        <v>0.45424</v>
      </c>
      <c r="X401" s="39" t="n">
        <f aca="false">Resumo!$B$9</f>
        <v>1</v>
      </c>
      <c r="Y401" s="39" t="n">
        <f aca="false">Resumo!$B$10*CEILING(I401/100,1)</f>
        <v>4.5</v>
      </c>
      <c r="Z401" s="39" t="n">
        <f aca="false">Resumo!$B$12*CEILING(I401,1)</f>
        <v>1.2</v>
      </c>
      <c r="AA401" s="39" t="n">
        <f aca="false">Resumo!$B$13*CEILING(I401,1)</f>
        <v>9</v>
      </c>
      <c r="AB401" s="39" t="n">
        <f aca="false">SUM(U401:AA401)</f>
        <v>63.36136</v>
      </c>
      <c r="AC401" s="39" t="n">
        <f aca="false">AB401/(1-Resumo!$B$5)</f>
        <v>72.0015454545455</v>
      </c>
      <c r="AD401" s="39" t="n">
        <f aca="false">(AB401-AA401)/(1-Resumo!$B$5)</f>
        <v>61.7742727272727</v>
      </c>
      <c r="AE401" s="39" t="n">
        <f aca="false">AC401-T401</f>
        <v>7.69632227272727</v>
      </c>
      <c r="AF401" s="40" t="n">
        <f aca="false">AC401/T401-1</f>
        <v>0.119684247902639</v>
      </c>
      <c r="AG401" s="37" t="str">
        <f aca="false">IF(AC401&lt;T401,"SIM","NÃO")</f>
        <v>NÃO</v>
      </c>
      <c r="AH401" s="37" t="n">
        <v>8</v>
      </c>
      <c r="AI401" s="37" t="n">
        <v>5</v>
      </c>
      <c r="AJ401" s="37" t="s">
        <v>323</v>
      </c>
    </row>
    <row r="402" customFormat="false" ht="15" hidden="false" customHeight="false" outlineLevel="0" collapsed="false">
      <c r="A402" s="37" t="n">
        <v>368352842</v>
      </c>
      <c r="B402" s="38" t="n">
        <v>46233.4518055556</v>
      </c>
      <c r="C402" s="37" t="s">
        <v>320</v>
      </c>
      <c r="D402" s="37" t="s">
        <v>722</v>
      </c>
      <c r="E402" s="37" t="n">
        <v>23903602</v>
      </c>
      <c r="F402" s="37" t="s">
        <v>149</v>
      </c>
      <c r="G402" s="37" t="s">
        <v>201</v>
      </c>
      <c r="H402" s="37" t="s">
        <v>171</v>
      </c>
      <c r="I402" s="37" t="n">
        <v>52.3</v>
      </c>
      <c r="J402" s="39" t="n">
        <v>685.84</v>
      </c>
      <c r="K402" s="37" t="s">
        <v>498</v>
      </c>
      <c r="L402" s="39" t="n">
        <v>141.94</v>
      </c>
      <c r="M402" s="39" t="n">
        <v>103.6</v>
      </c>
      <c r="N402" s="39" t="n">
        <f aca="false">J402*Resumo!$C$7</f>
        <v>1.37168</v>
      </c>
      <c r="O402" s="39" t="n">
        <f aca="false">J402*Resumo!$C$8</f>
        <v>1.37168</v>
      </c>
      <c r="P402" s="39" t="n">
        <f aca="false">Resumo!$C$10*CEILING(I402/100,1)</f>
        <v>1</v>
      </c>
      <c r="Q402" s="39" t="n">
        <f aca="false">Resumo!$C$9</f>
        <v>11.9</v>
      </c>
      <c r="R402" s="39" t="n">
        <f aca="false">SUM(M402:Q402)*Resumo!$C$11</f>
        <v>6.5583848</v>
      </c>
      <c r="S402" s="39" t="n">
        <f aca="false">SUM(M402:R402)</f>
        <v>125.8017448</v>
      </c>
      <c r="T402" s="39" t="n">
        <f aca="false">S402/(1-Resumo!$C$5)</f>
        <v>142.956528181818</v>
      </c>
      <c r="U402" s="39" t="n">
        <v>142.32</v>
      </c>
      <c r="V402" s="39" t="n">
        <f aca="false">J402*Resumo!$B$6</f>
        <v>0.68584</v>
      </c>
      <c r="W402" s="39" t="n">
        <f aca="false">J402*Resumo!$B$7</f>
        <v>1.37168</v>
      </c>
      <c r="X402" s="39" t="n">
        <f aca="false">Resumo!$B$9</f>
        <v>1</v>
      </c>
      <c r="Y402" s="39" t="n">
        <f aca="false">Resumo!$B$10*CEILING(I402/100,1)</f>
        <v>4.5</v>
      </c>
      <c r="Z402" s="39" t="n">
        <f aca="false">Resumo!$B$12*CEILING(I402,1)</f>
        <v>3.18</v>
      </c>
      <c r="AA402" s="39" t="n">
        <f aca="false">Resumo!$B$13*CEILING(I402,1)</f>
        <v>23.85</v>
      </c>
      <c r="AB402" s="39" t="n">
        <f aca="false">SUM(U402:AA402)</f>
        <v>176.90752</v>
      </c>
      <c r="AC402" s="39" t="n">
        <f aca="false">AB402/(1-Resumo!$B$5)</f>
        <v>201.031272727273</v>
      </c>
      <c r="AD402" s="39" t="n">
        <f aca="false">(AB402-AA402)/(1-Resumo!$B$5)</f>
        <v>173.929</v>
      </c>
      <c r="AE402" s="39" t="n">
        <f aca="false">AC402-T402</f>
        <v>58.0747445454545</v>
      </c>
      <c r="AF402" s="40" t="n">
        <f aca="false">AC402/T402-1</f>
        <v>0.40624059134671</v>
      </c>
      <c r="AG402" s="37" t="str">
        <f aca="false">IF(AC402&lt;T402,"SIM","NÃO")</f>
        <v>NÃO</v>
      </c>
      <c r="AH402" s="37" t="n">
        <v>13</v>
      </c>
      <c r="AI402" s="37" t="n">
        <v>10</v>
      </c>
      <c r="AJ402" s="37" t="s">
        <v>323</v>
      </c>
    </row>
    <row r="403" customFormat="false" ht="15" hidden="false" customHeight="false" outlineLevel="0" collapsed="false">
      <c r="A403" s="37" t="n">
        <v>368357810</v>
      </c>
      <c r="B403" s="38" t="n">
        <v>46233.4588310185</v>
      </c>
      <c r="C403" s="37" t="s">
        <v>320</v>
      </c>
      <c r="D403" s="37" t="s">
        <v>723</v>
      </c>
      <c r="E403" s="37" t="n">
        <v>21073190</v>
      </c>
      <c r="F403" s="37" t="s">
        <v>139</v>
      </c>
      <c r="G403" s="37" t="s">
        <v>198</v>
      </c>
      <c r="H403" s="37" t="s">
        <v>168</v>
      </c>
      <c r="I403" s="37" t="n">
        <v>22</v>
      </c>
      <c r="J403" s="39" t="n">
        <v>829.99</v>
      </c>
      <c r="K403" s="37" t="s">
        <v>322</v>
      </c>
      <c r="L403" s="39" t="n">
        <v>84.31</v>
      </c>
      <c r="M403" s="39" t="n">
        <v>54.1</v>
      </c>
      <c r="N403" s="39" t="n">
        <f aca="false">J403*Resumo!$C$7</f>
        <v>1.65998</v>
      </c>
      <c r="O403" s="39" t="n">
        <f aca="false">J403*Resumo!$C$8</f>
        <v>1.65998</v>
      </c>
      <c r="P403" s="39" t="n">
        <f aca="false">Resumo!$C$10*CEILING(I403/100,1)</f>
        <v>1</v>
      </c>
      <c r="Q403" s="39" t="n">
        <f aca="false">Resumo!$C$9</f>
        <v>11.9</v>
      </c>
      <c r="R403" s="39" t="n">
        <f aca="false">SUM(M403:Q403)*Resumo!$C$11</f>
        <v>3.8675978</v>
      </c>
      <c r="S403" s="39" t="n">
        <f aca="false">SUM(M403:R403)</f>
        <v>74.1875578</v>
      </c>
      <c r="T403" s="39" t="n">
        <f aca="false">S403/(1-Resumo!$C$5)</f>
        <v>84.3040429545455</v>
      </c>
      <c r="U403" s="39" t="n">
        <v>82.21</v>
      </c>
      <c r="V403" s="39" t="n">
        <f aca="false">J403*Resumo!$B$6</f>
        <v>0.82999</v>
      </c>
      <c r="W403" s="39" t="n">
        <f aca="false">J403*Resumo!$B$7</f>
        <v>1.65998</v>
      </c>
      <c r="X403" s="39" t="n">
        <f aca="false">Resumo!$B$9</f>
        <v>1</v>
      </c>
      <c r="Y403" s="39" t="n">
        <f aca="false">Resumo!$B$10*CEILING(I403/100,1)</f>
        <v>4.5</v>
      </c>
      <c r="Z403" s="39" t="n">
        <f aca="false">Resumo!$B$12*CEILING(I403,1)</f>
        <v>1.32</v>
      </c>
      <c r="AA403" s="39" t="n">
        <f aca="false">Resumo!$B$13*CEILING(I403,1)</f>
        <v>9.9</v>
      </c>
      <c r="AB403" s="39" t="n">
        <f aca="false">SUM(U403:AA403)</f>
        <v>101.41997</v>
      </c>
      <c r="AC403" s="39" t="n">
        <f aca="false">AB403/(1-Resumo!$B$5)</f>
        <v>115.249965909091</v>
      </c>
      <c r="AD403" s="39" t="n">
        <f aca="false">(AB403-AA403)/(1-Resumo!$B$5)</f>
        <v>103.999965909091</v>
      </c>
      <c r="AE403" s="39" t="n">
        <f aca="false">AC403-T403</f>
        <v>30.9459229545455</v>
      </c>
      <c r="AF403" s="40" t="n">
        <f aca="false">AC403/T403-1</f>
        <v>0.367075194379832</v>
      </c>
      <c r="AG403" s="37" t="str">
        <f aca="false">IF(AC403&lt;T403,"SIM","NÃO")</f>
        <v>NÃO</v>
      </c>
      <c r="AH403" s="37" t="n">
        <v>8</v>
      </c>
      <c r="AI403" s="37" t="n">
        <v>5</v>
      </c>
      <c r="AJ403" s="37" t="s">
        <v>323</v>
      </c>
    </row>
    <row r="404" customFormat="false" ht="15" hidden="false" customHeight="false" outlineLevel="0" collapsed="false">
      <c r="A404" s="37" t="n">
        <v>368361033</v>
      </c>
      <c r="B404" s="38" t="n">
        <v>46233.463287037</v>
      </c>
      <c r="C404" s="37" t="s">
        <v>320</v>
      </c>
      <c r="D404" s="37" t="s">
        <v>724</v>
      </c>
      <c r="E404" s="37" t="n">
        <v>22471210</v>
      </c>
      <c r="F404" s="37" t="s">
        <v>139</v>
      </c>
      <c r="G404" s="37" t="s">
        <v>198</v>
      </c>
      <c r="H404" s="37" t="s">
        <v>169</v>
      </c>
      <c r="I404" s="37" t="n">
        <v>37.2</v>
      </c>
      <c r="J404" s="39" t="n">
        <v>399.99</v>
      </c>
      <c r="K404" s="37" t="s">
        <v>498</v>
      </c>
      <c r="L404" s="39" t="n">
        <v>92.87</v>
      </c>
      <c r="M404" s="39" t="n">
        <v>62.05</v>
      </c>
      <c r="N404" s="39" t="n">
        <f aca="false">J404*Resumo!$C$7</f>
        <v>0.79998</v>
      </c>
      <c r="O404" s="39" t="n">
        <f aca="false">J404*Resumo!$C$8</f>
        <v>0.79998</v>
      </c>
      <c r="P404" s="39" t="n">
        <f aca="false">Resumo!$C$10*CEILING(I404/100,1)</f>
        <v>1</v>
      </c>
      <c r="Q404" s="39" t="n">
        <f aca="false">Resumo!$C$9</f>
        <v>11.9</v>
      </c>
      <c r="R404" s="39" t="n">
        <f aca="false">SUM(M404:Q404)*Resumo!$C$11</f>
        <v>4.2102478</v>
      </c>
      <c r="S404" s="39" t="n">
        <f aca="false">SUM(M404:R404)</f>
        <v>80.7602078</v>
      </c>
      <c r="T404" s="39" t="n">
        <f aca="false">S404/(1-Resumo!$C$5)</f>
        <v>91.7729634090909</v>
      </c>
      <c r="U404" s="39" t="n">
        <v>93.97</v>
      </c>
      <c r="V404" s="39" t="n">
        <f aca="false">J404*Resumo!$B$6</f>
        <v>0.39999</v>
      </c>
      <c r="W404" s="39" t="n">
        <f aca="false">J404*Resumo!$B$7</f>
        <v>0.79998</v>
      </c>
      <c r="X404" s="39" t="n">
        <f aca="false">Resumo!$B$9</f>
        <v>1</v>
      </c>
      <c r="Y404" s="39" t="n">
        <f aca="false">Resumo!$B$10*CEILING(I404/100,1)</f>
        <v>4.5</v>
      </c>
      <c r="Z404" s="39" t="n">
        <f aca="false">Resumo!$B$12*CEILING(I404,1)</f>
        <v>2.28</v>
      </c>
      <c r="AA404" s="39" t="n">
        <f aca="false">Resumo!$B$13*CEILING(I404,1)</f>
        <v>17.1</v>
      </c>
      <c r="AB404" s="39" t="n">
        <f aca="false">SUM(U404:AA404)</f>
        <v>120.04997</v>
      </c>
      <c r="AC404" s="39" t="n">
        <f aca="false">AB404/(1-Resumo!$B$5)</f>
        <v>136.420420454545</v>
      </c>
      <c r="AD404" s="39" t="n">
        <f aca="false">(AB404-AA404)/(1-Resumo!$B$5)</f>
        <v>116.988602272727</v>
      </c>
      <c r="AE404" s="39" t="n">
        <f aca="false">AC404-T404</f>
        <v>44.6474570454545</v>
      </c>
      <c r="AF404" s="40" t="n">
        <f aca="false">AC404/T404-1</f>
        <v>0.486499023099344</v>
      </c>
      <c r="AG404" s="37" t="str">
        <f aca="false">IF(AC404&lt;T404,"SIM","NÃO")</f>
        <v>NÃO</v>
      </c>
      <c r="AH404" s="37" t="n">
        <v>8</v>
      </c>
      <c r="AI404" s="37" t="n">
        <v>5</v>
      </c>
      <c r="AJ404" s="37" t="s">
        <v>323</v>
      </c>
    </row>
    <row r="405" customFormat="false" ht="15" hidden="false" customHeight="false" outlineLevel="0" collapsed="false">
      <c r="A405" s="37" t="n">
        <v>368377370</v>
      </c>
      <c r="B405" s="38" t="n">
        <v>46233.4870949074</v>
      </c>
      <c r="C405" s="37" t="s">
        <v>320</v>
      </c>
      <c r="D405" s="37" t="s">
        <v>725</v>
      </c>
      <c r="E405" s="37" t="n">
        <v>27521071</v>
      </c>
      <c r="F405" s="37" t="s">
        <v>236</v>
      </c>
      <c r="G405" s="37" t="s">
        <v>201</v>
      </c>
      <c r="H405" s="37" t="s">
        <v>171</v>
      </c>
      <c r="I405" s="37" t="n">
        <v>54</v>
      </c>
      <c r="J405" s="39" t="n">
        <v>956.51</v>
      </c>
      <c r="K405" s="37" t="s">
        <v>498</v>
      </c>
      <c r="L405" s="39" t="n">
        <v>143.75</v>
      </c>
      <c r="M405" s="39" t="n">
        <v>103.6</v>
      </c>
      <c r="N405" s="39" t="n">
        <f aca="false">J405*Resumo!$C$7</f>
        <v>1.91302</v>
      </c>
      <c r="O405" s="39" t="n">
        <f aca="false">J405*Resumo!$C$8</f>
        <v>1.91302</v>
      </c>
      <c r="P405" s="39" t="n">
        <f aca="false">Resumo!$C$10*CEILING(I405/100,1)</f>
        <v>1</v>
      </c>
      <c r="Q405" s="39" t="n">
        <f aca="false">Resumo!$C$9</f>
        <v>11.9</v>
      </c>
      <c r="R405" s="39" t="n">
        <f aca="false">SUM(M405:Q405)*Resumo!$C$11</f>
        <v>6.6179322</v>
      </c>
      <c r="S405" s="39" t="n">
        <f aca="false">SUM(M405:R405)</f>
        <v>126.9439722</v>
      </c>
      <c r="T405" s="39" t="n">
        <f aca="false">S405/(1-Resumo!$C$5)</f>
        <v>144.254513863636</v>
      </c>
      <c r="U405" s="39" t="n">
        <v>142.32</v>
      </c>
      <c r="V405" s="39" t="n">
        <f aca="false">J405*Resumo!$B$6</f>
        <v>0.95651</v>
      </c>
      <c r="W405" s="39" t="n">
        <f aca="false">J405*Resumo!$B$7</f>
        <v>1.91302</v>
      </c>
      <c r="X405" s="39" t="n">
        <f aca="false">Resumo!$B$9</f>
        <v>1</v>
      </c>
      <c r="Y405" s="39" t="n">
        <f aca="false">Resumo!$B$10*CEILING(I405/100,1)</f>
        <v>4.5</v>
      </c>
      <c r="Z405" s="39" t="n">
        <f aca="false">Resumo!$B$12*CEILING(I405,1)</f>
        <v>3.24</v>
      </c>
      <c r="AA405" s="39" t="n">
        <f aca="false">Resumo!$B$13*CEILING(I405,1)</f>
        <v>24.3</v>
      </c>
      <c r="AB405" s="39" t="n">
        <f aca="false">SUM(U405:AA405)</f>
        <v>178.22953</v>
      </c>
      <c r="AC405" s="39" t="n">
        <f aca="false">AB405/(1-Resumo!$B$5)</f>
        <v>202.533556818182</v>
      </c>
      <c r="AD405" s="39" t="n">
        <f aca="false">(AB405-AA405)/(1-Resumo!$B$5)</f>
        <v>174.919920454545</v>
      </c>
      <c r="AE405" s="39" t="n">
        <f aca="false">AC405-T405</f>
        <v>58.2790429545455</v>
      </c>
      <c r="AF405" s="40" t="n">
        <f aca="false">AC405/T405-1</f>
        <v>0.404001520601543</v>
      </c>
      <c r="AG405" s="37" t="str">
        <f aca="false">IF(AC405&lt;T405,"SIM","NÃO")</f>
        <v>NÃO</v>
      </c>
      <c r="AH405" s="37" t="n">
        <v>13</v>
      </c>
      <c r="AI405" s="37" t="n">
        <v>10</v>
      </c>
      <c r="AJ405" s="37" t="s">
        <v>327</v>
      </c>
    </row>
    <row r="406" customFormat="false" ht="15" hidden="false" customHeight="false" outlineLevel="0" collapsed="false">
      <c r="A406" s="37" t="n">
        <v>368408124</v>
      </c>
      <c r="B406" s="38" t="n">
        <v>46233.5485532407</v>
      </c>
      <c r="C406" s="37" t="s">
        <v>320</v>
      </c>
      <c r="D406" s="37" t="s">
        <v>726</v>
      </c>
      <c r="E406" s="37" t="n">
        <v>26190420</v>
      </c>
      <c r="F406" s="37" t="s">
        <v>145</v>
      </c>
      <c r="G406" s="37" t="s">
        <v>207</v>
      </c>
      <c r="H406" s="37" t="s">
        <v>170</v>
      </c>
      <c r="I406" s="37" t="n">
        <v>46.8</v>
      </c>
      <c r="J406" s="39" t="n">
        <v>599.99</v>
      </c>
      <c r="K406" s="37" t="s">
        <v>498</v>
      </c>
      <c r="L406" s="39" t="n">
        <v>117.76</v>
      </c>
      <c r="M406" s="39" t="n">
        <v>82.25</v>
      </c>
      <c r="N406" s="39" t="n">
        <f aca="false">J406*Resumo!$C$7</f>
        <v>1.19998</v>
      </c>
      <c r="O406" s="39" t="n">
        <f aca="false">J406*Resumo!$C$8</f>
        <v>1.19998</v>
      </c>
      <c r="P406" s="39" t="n">
        <f aca="false">Resumo!$C$10*CEILING(I406/100,1)</f>
        <v>1</v>
      </c>
      <c r="Q406" s="39" t="n">
        <f aca="false">Resumo!$C$9</f>
        <v>11.9</v>
      </c>
      <c r="R406" s="39" t="n">
        <f aca="false">SUM(M406:Q406)*Resumo!$C$11</f>
        <v>5.3652478</v>
      </c>
      <c r="S406" s="39" t="n">
        <f aca="false">SUM(M406:R406)</f>
        <v>102.9152078</v>
      </c>
      <c r="T406" s="39" t="n">
        <f aca="false">S406/(1-Resumo!$C$5)</f>
        <v>116.949099772727</v>
      </c>
      <c r="U406" s="39" t="n">
        <v>93.97</v>
      </c>
      <c r="V406" s="39" t="n">
        <f aca="false">J406*Resumo!$B$6</f>
        <v>0.59999</v>
      </c>
      <c r="W406" s="39" t="n">
        <f aca="false">J406*Resumo!$B$7</f>
        <v>1.19998</v>
      </c>
      <c r="X406" s="39" t="n">
        <f aca="false">Resumo!$B$9</f>
        <v>1</v>
      </c>
      <c r="Y406" s="39" t="n">
        <f aca="false">Resumo!$B$10*CEILING(I406/100,1)</f>
        <v>4.5</v>
      </c>
      <c r="Z406" s="39" t="n">
        <f aca="false">Resumo!$B$12*CEILING(I406,1)</f>
        <v>2.82</v>
      </c>
      <c r="AA406" s="39" t="n">
        <f aca="false">Resumo!$B$13*CEILING(I406,1)</f>
        <v>21.15</v>
      </c>
      <c r="AB406" s="39" t="n">
        <f aca="false">SUM(U406:AA406)</f>
        <v>125.23997</v>
      </c>
      <c r="AC406" s="39" t="n">
        <f aca="false">AB406/(1-Resumo!$B$5)</f>
        <v>142.318147727273</v>
      </c>
      <c r="AD406" s="39" t="n">
        <f aca="false">(AB406-AA406)/(1-Resumo!$B$5)</f>
        <v>118.284056818182</v>
      </c>
      <c r="AE406" s="39" t="n">
        <f aca="false">AC406-T406</f>
        <v>25.3690479545455</v>
      </c>
      <c r="AF406" s="40" t="n">
        <f aca="false">AC406/T406-1</f>
        <v>0.216923841259542</v>
      </c>
      <c r="AG406" s="37" t="str">
        <f aca="false">IF(AC406&lt;T406,"SIM","NÃO")</f>
        <v>NÃO</v>
      </c>
      <c r="AH406" s="37" t="n">
        <v>10</v>
      </c>
      <c r="AI406" s="37" t="n">
        <v>5</v>
      </c>
      <c r="AJ406" s="37" t="s">
        <v>323</v>
      </c>
    </row>
    <row r="407" customFormat="false" ht="15" hidden="false" customHeight="false" outlineLevel="0" collapsed="false">
      <c r="A407" s="37" t="n">
        <v>368416343</v>
      </c>
      <c r="B407" s="38" t="n">
        <v>46233.5647337963</v>
      </c>
      <c r="C407" s="37" t="s">
        <v>320</v>
      </c>
      <c r="D407" s="37" t="s">
        <v>727</v>
      </c>
      <c r="E407" s="37" t="n">
        <v>25035060</v>
      </c>
      <c r="F407" s="37" t="s">
        <v>141</v>
      </c>
      <c r="G407" s="37" t="s">
        <v>207</v>
      </c>
      <c r="H407" s="37" t="s">
        <v>167</v>
      </c>
      <c r="I407" s="37" t="n">
        <v>19.9</v>
      </c>
      <c r="J407" s="39" t="n">
        <v>279.99</v>
      </c>
      <c r="K407" s="37" t="s">
        <v>322</v>
      </c>
      <c r="L407" s="39" t="n">
        <v>75.18</v>
      </c>
      <c r="M407" s="39" t="n">
        <v>48.69</v>
      </c>
      <c r="N407" s="39" t="n">
        <f aca="false">J407*Resumo!$C$7</f>
        <v>0.55998</v>
      </c>
      <c r="O407" s="39" t="n">
        <f aca="false">J407*Resumo!$C$8</f>
        <v>0.55998</v>
      </c>
      <c r="P407" s="39" t="n">
        <f aca="false">Resumo!$C$10*CEILING(I407/100,1)</f>
        <v>1</v>
      </c>
      <c r="Q407" s="39" t="n">
        <f aca="false">Resumo!$C$9</f>
        <v>11.9</v>
      </c>
      <c r="R407" s="39" t="n">
        <f aca="false">SUM(M407:Q407)*Resumo!$C$11</f>
        <v>3.4490478</v>
      </c>
      <c r="S407" s="39" t="n">
        <f aca="false">SUM(M407:R407)</f>
        <v>66.1590078</v>
      </c>
      <c r="T407" s="39" t="n">
        <f aca="false">S407/(1-Resumo!$C$5)</f>
        <v>75.1806906818182</v>
      </c>
      <c r="U407" s="39" t="n">
        <v>46.98</v>
      </c>
      <c r="V407" s="39" t="n">
        <f aca="false">J407*Resumo!$B$6</f>
        <v>0.27999</v>
      </c>
      <c r="W407" s="39" t="n">
        <f aca="false">J407*Resumo!$B$7</f>
        <v>0.55998</v>
      </c>
      <c r="X407" s="39" t="n">
        <f aca="false">Resumo!$B$9</f>
        <v>1</v>
      </c>
      <c r="Y407" s="39" t="n">
        <f aca="false">Resumo!$B$10*CEILING(I407/100,1)</f>
        <v>4.5</v>
      </c>
      <c r="Z407" s="39" t="n">
        <f aca="false">Resumo!$B$12*CEILING(I407,1)</f>
        <v>1.2</v>
      </c>
      <c r="AA407" s="39" t="n">
        <f aca="false">Resumo!$B$13*CEILING(I407,1)</f>
        <v>9</v>
      </c>
      <c r="AB407" s="39" t="n">
        <f aca="false">SUM(U407:AA407)</f>
        <v>63.51997</v>
      </c>
      <c r="AC407" s="39" t="n">
        <f aca="false">AB407/(1-Resumo!$B$5)</f>
        <v>72.1817840909091</v>
      </c>
      <c r="AD407" s="39" t="n">
        <f aca="false">(AB407-AA407)/(1-Resumo!$B$5)</f>
        <v>61.9545113636364</v>
      </c>
      <c r="AE407" s="39" t="n">
        <f aca="false">AC407-T407</f>
        <v>-2.9989065909091</v>
      </c>
      <c r="AF407" s="40" t="n">
        <f aca="false">AC407/T407-1</f>
        <v>-0.0398893195009495</v>
      </c>
      <c r="AG407" s="37" t="str">
        <f aca="false">IF(AC407&lt;T407,"SIM","NÃO")</f>
        <v>SIM</v>
      </c>
      <c r="AH407" s="37" t="n">
        <v>10</v>
      </c>
      <c r="AI407" s="37" t="n">
        <v>5</v>
      </c>
      <c r="AJ407" s="37" t="s">
        <v>323</v>
      </c>
    </row>
    <row r="408" customFormat="false" ht="15" hidden="false" customHeight="false" outlineLevel="0" collapsed="false">
      <c r="A408" s="37" t="n">
        <v>368440917</v>
      </c>
      <c r="B408" s="38" t="n">
        <v>46233.6147569444</v>
      </c>
      <c r="C408" s="37" t="s">
        <v>320</v>
      </c>
      <c r="D408" s="37" t="s">
        <v>728</v>
      </c>
      <c r="E408" s="37" t="n">
        <v>21740170</v>
      </c>
      <c r="F408" s="37" t="s">
        <v>139</v>
      </c>
      <c r="G408" s="37" t="s">
        <v>198</v>
      </c>
      <c r="H408" s="37" t="s">
        <v>169</v>
      </c>
      <c r="I408" s="37" t="n">
        <v>39</v>
      </c>
      <c r="J408" s="39" t="n">
        <v>515.19</v>
      </c>
      <c r="K408" s="37" t="s">
        <v>322</v>
      </c>
      <c r="L408" s="39" t="n">
        <v>92.33</v>
      </c>
      <c r="M408" s="39" t="n">
        <v>62.05</v>
      </c>
      <c r="N408" s="39" t="n">
        <f aca="false">J408*Resumo!$C$7</f>
        <v>1.03038</v>
      </c>
      <c r="O408" s="39" t="n">
        <f aca="false">J408*Resumo!$C$8</f>
        <v>1.03038</v>
      </c>
      <c r="P408" s="39" t="n">
        <f aca="false">Resumo!$C$10*CEILING(I408/100,1)</f>
        <v>1</v>
      </c>
      <c r="Q408" s="39" t="n">
        <f aca="false">Resumo!$C$9</f>
        <v>11.9</v>
      </c>
      <c r="R408" s="39" t="n">
        <f aca="false">SUM(M408:Q408)*Resumo!$C$11</f>
        <v>4.2355918</v>
      </c>
      <c r="S408" s="39" t="n">
        <f aca="false">SUM(M408:R408)</f>
        <v>81.2463518</v>
      </c>
      <c r="T408" s="39" t="n">
        <f aca="false">S408/(1-Resumo!$C$5)</f>
        <v>92.3253997727273</v>
      </c>
      <c r="U408" s="39" t="n">
        <v>93.97</v>
      </c>
      <c r="V408" s="39" t="n">
        <f aca="false">J408*Resumo!$B$6</f>
        <v>0.51519</v>
      </c>
      <c r="W408" s="39" t="n">
        <f aca="false">J408*Resumo!$B$7</f>
        <v>1.03038</v>
      </c>
      <c r="X408" s="39" t="n">
        <f aca="false">Resumo!$B$9</f>
        <v>1</v>
      </c>
      <c r="Y408" s="39" t="n">
        <f aca="false">Resumo!$B$10*CEILING(I408/100,1)</f>
        <v>4.5</v>
      </c>
      <c r="Z408" s="39" t="n">
        <f aca="false">Resumo!$B$12*CEILING(I408,1)</f>
        <v>2.34</v>
      </c>
      <c r="AA408" s="39" t="n">
        <f aca="false">Resumo!$B$13*CEILING(I408,1)</f>
        <v>17.55</v>
      </c>
      <c r="AB408" s="39" t="n">
        <f aca="false">SUM(U408:AA408)</f>
        <v>120.90557</v>
      </c>
      <c r="AC408" s="39" t="n">
        <f aca="false">AB408/(1-Resumo!$B$5)</f>
        <v>137.392693181818</v>
      </c>
      <c r="AD408" s="39" t="n">
        <f aca="false">(AB408-AA408)/(1-Resumo!$B$5)</f>
        <v>117.449511363636</v>
      </c>
      <c r="AE408" s="39" t="n">
        <f aca="false">AC408-T408</f>
        <v>45.0672934090909</v>
      </c>
      <c r="AF408" s="40" t="n">
        <f aca="false">AC408/T408-1</f>
        <v>0.488135372498042</v>
      </c>
      <c r="AG408" s="37" t="str">
        <f aca="false">IF(AC408&lt;T408,"SIM","NÃO")</f>
        <v>NÃO</v>
      </c>
      <c r="AH408" s="37" t="n">
        <v>8</v>
      </c>
      <c r="AI408" s="37" t="n">
        <v>5</v>
      </c>
      <c r="AJ408" s="37" t="s">
        <v>323</v>
      </c>
    </row>
    <row r="409" customFormat="false" ht="15" hidden="false" customHeight="false" outlineLevel="0" collapsed="false">
      <c r="A409" s="37" t="n">
        <v>368443840</v>
      </c>
      <c r="B409" s="38" t="n">
        <v>46233.6209953704</v>
      </c>
      <c r="C409" s="37" t="s">
        <v>320</v>
      </c>
      <c r="D409" s="37" t="s">
        <v>729</v>
      </c>
      <c r="E409" s="37" t="n">
        <v>20911300</v>
      </c>
      <c r="F409" s="37" t="s">
        <v>139</v>
      </c>
      <c r="G409" s="37" t="s">
        <v>198</v>
      </c>
      <c r="H409" s="37" t="s">
        <v>175</v>
      </c>
      <c r="I409" s="37" t="n">
        <v>117.5</v>
      </c>
      <c r="J409" s="39" t="n">
        <v>1349.99</v>
      </c>
      <c r="K409" s="37" t="s">
        <v>322</v>
      </c>
      <c r="L409" s="39" t="n">
        <v>186.11</v>
      </c>
      <c r="M409" s="39" t="n">
        <v>135.94</v>
      </c>
      <c r="N409" s="39" t="n">
        <f aca="false">J409*Resumo!$C$7</f>
        <v>2.69998</v>
      </c>
      <c r="O409" s="39" t="n">
        <f aca="false">J409*Resumo!$C$8</f>
        <v>2.69998</v>
      </c>
      <c r="P409" s="39" t="n">
        <f aca="false">Resumo!$C$10*CEILING(I409/100,1)</f>
        <v>2</v>
      </c>
      <c r="Q409" s="39" t="n">
        <f aca="false">Resumo!$C$9</f>
        <v>11.9</v>
      </c>
      <c r="R409" s="39" t="n">
        <f aca="false">SUM(M409:Q409)*Resumo!$C$11</f>
        <v>8.5381978</v>
      </c>
      <c r="S409" s="39" t="n">
        <f aca="false">SUM(M409:R409)</f>
        <v>163.7781578</v>
      </c>
      <c r="T409" s="39" t="n">
        <f aca="false">S409/(1-Resumo!$C$5)</f>
        <v>186.111542954545</v>
      </c>
      <c r="U409" s="39" t="n">
        <v>201.59</v>
      </c>
      <c r="V409" s="39" t="n">
        <f aca="false">J409*Resumo!$B$6</f>
        <v>1.34999</v>
      </c>
      <c r="W409" s="39" t="n">
        <f aca="false">J409*Resumo!$B$7</f>
        <v>2.69998</v>
      </c>
      <c r="X409" s="39" t="n">
        <f aca="false">Resumo!$B$9</f>
        <v>1</v>
      </c>
      <c r="Y409" s="39" t="n">
        <f aca="false">Resumo!$B$10*CEILING(I409/100,1)</f>
        <v>9</v>
      </c>
      <c r="Z409" s="39" t="n">
        <f aca="false">Resumo!$B$12*CEILING(I409,1)</f>
        <v>7.08</v>
      </c>
      <c r="AA409" s="39" t="n">
        <f aca="false">Resumo!$B$13*CEILING(I409,1)</f>
        <v>53.1</v>
      </c>
      <c r="AB409" s="39" t="n">
        <f aca="false">SUM(U409:AA409)</f>
        <v>275.81997</v>
      </c>
      <c r="AC409" s="39" t="n">
        <f aca="false">AB409/(1-Resumo!$B$5)</f>
        <v>313.431784090909</v>
      </c>
      <c r="AD409" s="39" t="n">
        <f aca="false">(AB409-AA409)/(1-Resumo!$B$5)</f>
        <v>253.090875</v>
      </c>
      <c r="AE409" s="39" t="n">
        <f aca="false">AC409-T409</f>
        <v>127.320241136364</v>
      </c>
      <c r="AF409" s="40" t="n">
        <f aca="false">AC409/T409-1</f>
        <v>0.684107170974663</v>
      </c>
      <c r="AG409" s="37" t="str">
        <f aca="false">IF(AC409&lt;T409,"SIM","NÃO")</f>
        <v>NÃO</v>
      </c>
      <c r="AH409" s="37" t="n">
        <v>8</v>
      </c>
      <c r="AI409" s="37" t="n">
        <v>5</v>
      </c>
      <c r="AJ409" s="37" t="s">
        <v>323</v>
      </c>
    </row>
    <row r="410" customFormat="false" ht="15" hidden="false" customHeight="false" outlineLevel="0" collapsed="false">
      <c r="A410" s="37" t="n">
        <v>368446760</v>
      </c>
      <c r="B410" s="38" t="n">
        <v>46233.6272800926</v>
      </c>
      <c r="C410" s="37" t="s">
        <v>320</v>
      </c>
      <c r="D410" s="37" t="s">
        <v>730</v>
      </c>
      <c r="E410" s="37" t="n">
        <v>28455130</v>
      </c>
      <c r="F410" s="37" t="s">
        <v>256</v>
      </c>
      <c r="G410" s="37" t="s">
        <v>201</v>
      </c>
      <c r="H410" s="37" t="s">
        <v>169</v>
      </c>
      <c r="I410" s="37" t="n">
        <v>36.9</v>
      </c>
      <c r="J410" s="39" t="n">
        <v>389.99</v>
      </c>
      <c r="K410" s="37" t="s">
        <v>498</v>
      </c>
      <c r="L410" s="39" t="n">
        <v>122.57</v>
      </c>
      <c r="M410" s="39" t="n">
        <v>87.4</v>
      </c>
      <c r="N410" s="39" t="n">
        <f aca="false">J410*Resumo!$C$7</f>
        <v>0.77998</v>
      </c>
      <c r="O410" s="39" t="n">
        <f aca="false">J410*Resumo!$C$8</f>
        <v>0.77998</v>
      </c>
      <c r="P410" s="39" t="n">
        <f aca="false">Resumo!$C$10*CEILING(I410/100,1)</f>
        <v>1</v>
      </c>
      <c r="Q410" s="39" t="n">
        <f aca="false">Resumo!$C$9</f>
        <v>11.9</v>
      </c>
      <c r="R410" s="39" t="n">
        <f aca="false">SUM(M410:Q410)*Resumo!$C$11</f>
        <v>5.6022978</v>
      </c>
      <c r="S410" s="39" t="n">
        <f aca="false">SUM(M410:R410)</f>
        <v>107.4622578</v>
      </c>
      <c r="T410" s="39" t="n">
        <f aca="false">S410/(1-Resumo!$C$5)</f>
        <v>122.116202045455</v>
      </c>
      <c r="U410" s="39" t="n">
        <v>143.04</v>
      </c>
      <c r="V410" s="39" t="n">
        <f aca="false">J410*Resumo!$B$6</f>
        <v>0.38999</v>
      </c>
      <c r="W410" s="39" t="n">
        <f aca="false">J410*Resumo!$B$7</f>
        <v>0.77998</v>
      </c>
      <c r="X410" s="39" t="n">
        <f aca="false">Resumo!$B$9</f>
        <v>1</v>
      </c>
      <c r="Y410" s="39" t="n">
        <f aca="false">Resumo!$B$10*CEILING(I410/100,1)</f>
        <v>4.5</v>
      </c>
      <c r="Z410" s="39" t="n">
        <f aca="false">Resumo!$B$12*CEILING(I410,1)</f>
        <v>2.22</v>
      </c>
      <c r="AA410" s="39" t="n">
        <f aca="false">Resumo!$B$13*CEILING(I410,1)</f>
        <v>16.65</v>
      </c>
      <c r="AB410" s="39" t="n">
        <f aca="false">SUM(U410:AA410)</f>
        <v>168.57997</v>
      </c>
      <c r="AC410" s="39" t="n">
        <f aca="false">AB410/(1-Resumo!$B$5)</f>
        <v>191.568147727273</v>
      </c>
      <c r="AD410" s="39" t="n">
        <f aca="false">(AB410-AA410)/(1-Resumo!$B$5)</f>
        <v>172.647693181818</v>
      </c>
      <c r="AE410" s="39" t="n">
        <f aca="false">AC410-T410</f>
        <v>69.4519456818182</v>
      </c>
      <c r="AF410" s="40" t="n">
        <f aca="false">AC410/T410-1</f>
        <v>0.568736535516938</v>
      </c>
      <c r="AG410" s="37" t="str">
        <f aca="false">IF(AC410&lt;T410,"SIM","NÃO")</f>
        <v>NÃO</v>
      </c>
      <c r="AH410" s="37" t="n">
        <v>13</v>
      </c>
      <c r="AI410" s="37" t="n">
        <v>11</v>
      </c>
      <c r="AJ410" s="37" t="s">
        <v>327</v>
      </c>
    </row>
    <row r="411" customFormat="false" ht="15" hidden="false" customHeight="false" outlineLevel="0" collapsed="false">
      <c r="A411" s="37" t="n">
        <v>368457198</v>
      </c>
      <c r="B411" s="38" t="n">
        <v>46233.6435069444</v>
      </c>
      <c r="C411" s="37" t="s">
        <v>320</v>
      </c>
      <c r="D411" s="37" t="s">
        <v>731</v>
      </c>
      <c r="E411" s="37" t="n">
        <v>23028340</v>
      </c>
      <c r="F411" s="37" t="s">
        <v>139</v>
      </c>
      <c r="G411" s="37" t="s">
        <v>198</v>
      </c>
      <c r="H411" s="37" t="s">
        <v>175</v>
      </c>
      <c r="I411" s="37" t="n">
        <v>106.5</v>
      </c>
      <c r="J411" s="39" t="n">
        <v>1199.99</v>
      </c>
      <c r="K411" s="37" t="s">
        <v>498</v>
      </c>
      <c r="L411" s="39" t="n">
        <v>183.16</v>
      </c>
      <c r="M411" s="39" t="n">
        <v>135.94</v>
      </c>
      <c r="N411" s="39" t="n">
        <f aca="false">J411*Resumo!$C$7</f>
        <v>2.39998</v>
      </c>
      <c r="O411" s="39" t="n">
        <f aca="false">J411*Resumo!$C$8</f>
        <v>2.39998</v>
      </c>
      <c r="P411" s="39" t="n">
        <f aca="false">Resumo!$C$10*CEILING(I411/100,1)</f>
        <v>2</v>
      </c>
      <c r="Q411" s="39" t="n">
        <f aca="false">Resumo!$C$9</f>
        <v>11.9</v>
      </c>
      <c r="R411" s="39" t="n">
        <f aca="false">SUM(M411:Q411)*Resumo!$C$11</f>
        <v>8.5051978</v>
      </c>
      <c r="S411" s="39" t="n">
        <f aca="false">SUM(M411:R411)</f>
        <v>163.1451578</v>
      </c>
      <c r="T411" s="39" t="n">
        <f aca="false">S411/(1-Resumo!$C$5)</f>
        <v>185.392224772727</v>
      </c>
      <c r="U411" s="39" t="n">
        <v>201.59</v>
      </c>
      <c r="V411" s="39" t="n">
        <f aca="false">J411*Resumo!$B$6</f>
        <v>1.19999</v>
      </c>
      <c r="W411" s="39" t="n">
        <f aca="false">J411*Resumo!$B$7</f>
        <v>2.39998</v>
      </c>
      <c r="X411" s="39" t="n">
        <f aca="false">Resumo!$B$9</f>
        <v>1</v>
      </c>
      <c r="Y411" s="39" t="n">
        <f aca="false">Resumo!$B$10*CEILING(I411/100,1)</f>
        <v>9</v>
      </c>
      <c r="Z411" s="39" t="n">
        <f aca="false">Resumo!$B$12*CEILING(I411,1)</f>
        <v>6.42</v>
      </c>
      <c r="AA411" s="39" t="n">
        <f aca="false">Resumo!$B$13*CEILING(I411,1)</f>
        <v>48.15</v>
      </c>
      <c r="AB411" s="39" t="n">
        <f aca="false">SUM(U411:AA411)</f>
        <v>269.75997</v>
      </c>
      <c r="AC411" s="39" t="n">
        <f aca="false">AB411/(1-Resumo!$B$5)</f>
        <v>306.545420454546</v>
      </c>
      <c r="AD411" s="39" t="n">
        <f aca="false">(AB411-AA411)/(1-Resumo!$B$5)</f>
        <v>251.829511363636</v>
      </c>
      <c r="AE411" s="39" t="n">
        <f aca="false">AC411-T411</f>
        <v>121.153195681818</v>
      </c>
      <c r="AF411" s="40" t="n">
        <f aca="false">AC411/T411-1</f>
        <v>0.653496638439612</v>
      </c>
      <c r="AG411" s="37" t="str">
        <f aca="false">IF(AC411&lt;T411,"SIM","NÃO")</f>
        <v>NÃO</v>
      </c>
      <c r="AH411" s="37" t="n">
        <v>8</v>
      </c>
      <c r="AI411" s="37" t="n">
        <v>5</v>
      </c>
      <c r="AJ411" s="37" t="s">
        <v>323</v>
      </c>
    </row>
    <row r="412" customFormat="false" ht="15" hidden="false" customHeight="false" outlineLevel="0" collapsed="false">
      <c r="A412" s="37" t="n">
        <v>368483774</v>
      </c>
      <c r="B412" s="38" t="n">
        <v>46233.6851041667</v>
      </c>
      <c r="C412" s="37" t="s">
        <v>325</v>
      </c>
      <c r="D412" s="37" t="s">
        <v>732</v>
      </c>
      <c r="E412" s="37" t="n">
        <v>22775002</v>
      </c>
      <c r="F412" s="37" t="s">
        <v>139</v>
      </c>
      <c r="G412" s="37" t="s">
        <v>198</v>
      </c>
      <c r="H412" s="37" t="s">
        <v>169</v>
      </c>
      <c r="I412" s="37" t="n">
        <v>38.15</v>
      </c>
      <c r="J412" s="39" t="n">
        <v>418</v>
      </c>
      <c r="K412" s="37" t="s">
        <v>322</v>
      </c>
      <c r="L412" s="39" t="n">
        <v>91.86</v>
      </c>
      <c r="M412" s="39" t="n">
        <v>62.05</v>
      </c>
      <c r="N412" s="39" t="n">
        <f aca="false">J412*Resumo!$C$7</f>
        <v>0.836</v>
      </c>
      <c r="O412" s="39" t="n">
        <f aca="false">J412*Resumo!$C$8</f>
        <v>0.836</v>
      </c>
      <c r="P412" s="39" t="n">
        <f aca="false">Resumo!$C$10*CEILING(I412/100,1)</f>
        <v>1</v>
      </c>
      <c r="Q412" s="39" t="n">
        <f aca="false">Resumo!$C$9</f>
        <v>11.9</v>
      </c>
      <c r="R412" s="39" t="n">
        <f aca="false">SUM(M412:Q412)*Resumo!$C$11</f>
        <v>4.21421</v>
      </c>
      <c r="S412" s="39" t="n">
        <f aca="false">SUM(M412:R412)</f>
        <v>80.83621</v>
      </c>
      <c r="T412" s="39" t="n">
        <f aca="false">S412/(1-Resumo!$C$5)</f>
        <v>91.8593295454545</v>
      </c>
      <c r="U412" s="39" t="n">
        <v>93.97</v>
      </c>
      <c r="V412" s="39" t="n">
        <f aca="false">J412*Resumo!$B$6</f>
        <v>0.418</v>
      </c>
      <c r="W412" s="39" t="n">
        <f aca="false">J412*Resumo!$B$7</f>
        <v>0.836</v>
      </c>
      <c r="X412" s="39" t="n">
        <f aca="false">Resumo!$B$9</f>
        <v>1</v>
      </c>
      <c r="Y412" s="39" t="n">
        <f aca="false">Resumo!$B$10*CEILING(I412/100,1)</f>
        <v>4.5</v>
      </c>
      <c r="Z412" s="39" t="n">
        <f aca="false">Resumo!$B$12*CEILING(I412,1)</f>
        <v>2.34</v>
      </c>
      <c r="AA412" s="39" t="n">
        <f aca="false">Resumo!$B$13*CEILING(I412,1)</f>
        <v>17.55</v>
      </c>
      <c r="AB412" s="39" t="n">
        <f aca="false">SUM(U412:AA412)</f>
        <v>120.614</v>
      </c>
      <c r="AC412" s="39" t="n">
        <f aca="false">AB412/(1-Resumo!$B$5)</f>
        <v>137.061363636364</v>
      </c>
      <c r="AD412" s="39" t="n">
        <f aca="false">(AB412-AA412)/(1-Resumo!$B$5)</f>
        <v>117.118181818182</v>
      </c>
      <c r="AE412" s="39" t="n">
        <f aca="false">AC412-T412</f>
        <v>45.2020340909091</v>
      </c>
      <c r="AF412" s="40" t="n">
        <f aca="false">AC412/T412-1</f>
        <v>0.492078859214206</v>
      </c>
      <c r="AG412" s="37" t="str">
        <f aca="false">IF(AC412&lt;T412,"SIM","NÃO")</f>
        <v>NÃO</v>
      </c>
      <c r="AH412" s="37" t="n">
        <v>8</v>
      </c>
      <c r="AI412" s="37" t="n">
        <v>5</v>
      </c>
      <c r="AJ412" s="37" t="s">
        <v>323</v>
      </c>
    </row>
    <row r="413" customFormat="false" ht="15" hidden="false" customHeight="false" outlineLevel="0" collapsed="false">
      <c r="A413" s="37" t="n">
        <v>368503920</v>
      </c>
      <c r="B413" s="38" t="n">
        <v>46233.7329050926</v>
      </c>
      <c r="C413" s="37" t="s">
        <v>320</v>
      </c>
      <c r="D413" s="37" t="s">
        <v>733</v>
      </c>
      <c r="E413" s="37" t="n">
        <v>21340120</v>
      </c>
      <c r="F413" s="37" t="s">
        <v>139</v>
      </c>
      <c r="G413" s="37" t="s">
        <v>198</v>
      </c>
      <c r="H413" s="37" t="s">
        <v>168</v>
      </c>
      <c r="I413" s="37" t="n">
        <v>27.4</v>
      </c>
      <c r="J413" s="39" t="n">
        <v>359.99</v>
      </c>
      <c r="K413" s="37" t="s">
        <v>322</v>
      </c>
      <c r="L413" s="39" t="n">
        <v>82.05</v>
      </c>
      <c r="M413" s="39" t="n">
        <v>54.1</v>
      </c>
      <c r="N413" s="39" t="n">
        <f aca="false">J413*Resumo!$C$7</f>
        <v>0.71998</v>
      </c>
      <c r="O413" s="39" t="n">
        <f aca="false">J413*Resumo!$C$8</f>
        <v>0.71998</v>
      </c>
      <c r="P413" s="39" t="n">
        <f aca="false">Resumo!$C$10*CEILING(I413/100,1)</f>
        <v>1</v>
      </c>
      <c r="Q413" s="39" t="n">
        <f aca="false">Resumo!$C$9</f>
        <v>11.9</v>
      </c>
      <c r="R413" s="39" t="n">
        <f aca="false">SUM(M413:Q413)*Resumo!$C$11</f>
        <v>3.7641978</v>
      </c>
      <c r="S413" s="39" t="n">
        <f aca="false">SUM(M413:R413)</f>
        <v>72.2041578</v>
      </c>
      <c r="T413" s="39" t="n">
        <f aca="false">S413/(1-Resumo!$C$5)</f>
        <v>82.0501793181818</v>
      </c>
      <c r="U413" s="39" t="n">
        <v>82.21</v>
      </c>
      <c r="V413" s="39" t="n">
        <f aca="false">J413*Resumo!$B$6</f>
        <v>0.35999</v>
      </c>
      <c r="W413" s="39" t="n">
        <f aca="false">J413*Resumo!$B$7</f>
        <v>0.71998</v>
      </c>
      <c r="X413" s="39" t="n">
        <f aca="false">Resumo!$B$9</f>
        <v>1</v>
      </c>
      <c r="Y413" s="39" t="n">
        <f aca="false">Resumo!$B$10*CEILING(I413/100,1)</f>
        <v>4.5</v>
      </c>
      <c r="Z413" s="39" t="n">
        <f aca="false">Resumo!$B$12*CEILING(I413,1)</f>
        <v>1.68</v>
      </c>
      <c r="AA413" s="39" t="n">
        <f aca="false">Resumo!$B$13*CEILING(I413,1)</f>
        <v>12.6</v>
      </c>
      <c r="AB413" s="39" t="n">
        <f aca="false">SUM(U413:AA413)</f>
        <v>103.06997</v>
      </c>
      <c r="AC413" s="39" t="n">
        <f aca="false">AB413/(1-Resumo!$B$5)</f>
        <v>117.124965909091</v>
      </c>
      <c r="AD413" s="39" t="n">
        <f aca="false">(AB413-AA413)/(1-Resumo!$B$5)</f>
        <v>102.806784090909</v>
      </c>
      <c r="AE413" s="39" t="n">
        <f aca="false">AC413-T413</f>
        <v>35.0747865909091</v>
      </c>
      <c r="AF413" s="40" t="n">
        <f aca="false">AC413/T413-1</f>
        <v>0.427479706715726</v>
      </c>
      <c r="AG413" s="37" t="str">
        <f aca="false">IF(AC413&lt;T413,"SIM","NÃO")</f>
        <v>NÃO</v>
      </c>
      <c r="AH413" s="37" t="n">
        <v>8</v>
      </c>
      <c r="AI413" s="37" t="n">
        <v>5</v>
      </c>
      <c r="AJ413" s="37" t="s">
        <v>323</v>
      </c>
    </row>
    <row r="414" customFormat="false" ht="15" hidden="false" customHeight="false" outlineLevel="0" collapsed="false">
      <c r="A414" s="37" t="n">
        <v>368506039</v>
      </c>
      <c r="B414" s="38" t="n">
        <v>46233.7376388889</v>
      </c>
      <c r="C414" s="37" t="s">
        <v>320</v>
      </c>
      <c r="D414" s="37" t="s">
        <v>734</v>
      </c>
      <c r="E414" s="37" t="n">
        <v>23075470</v>
      </c>
      <c r="F414" s="37" t="s">
        <v>139</v>
      </c>
      <c r="G414" s="37" t="s">
        <v>198</v>
      </c>
      <c r="H414" s="37" t="s">
        <v>170</v>
      </c>
      <c r="I414" s="37" t="n">
        <v>48.3</v>
      </c>
      <c r="J414" s="39" t="n">
        <v>559.99</v>
      </c>
      <c r="K414" s="37" t="s">
        <v>498</v>
      </c>
      <c r="L414" s="39" t="n">
        <v>105.18</v>
      </c>
      <c r="M414" s="39" t="n">
        <v>71</v>
      </c>
      <c r="N414" s="39" t="n">
        <f aca="false">J414*Resumo!$C$7</f>
        <v>1.11998</v>
      </c>
      <c r="O414" s="39" t="n">
        <f aca="false">J414*Resumo!$C$8</f>
        <v>1.11998</v>
      </c>
      <c r="P414" s="39" t="n">
        <f aca="false">Resumo!$C$10*CEILING(I414/100,1)</f>
        <v>1</v>
      </c>
      <c r="Q414" s="39" t="n">
        <f aca="false">Resumo!$C$9</f>
        <v>11.9</v>
      </c>
      <c r="R414" s="39" t="n">
        <f aca="false">SUM(M414:Q414)*Resumo!$C$11</f>
        <v>4.7376978</v>
      </c>
      <c r="S414" s="39" t="n">
        <f aca="false">SUM(M414:R414)</f>
        <v>90.8776578</v>
      </c>
      <c r="T414" s="39" t="n">
        <f aca="false">S414/(1-Resumo!$C$5)</f>
        <v>103.270065681818</v>
      </c>
      <c r="U414" s="39" t="n">
        <v>93.97</v>
      </c>
      <c r="V414" s="39" t="n">
        <f aca="false">J414*Resumo!$B$6</f>
        <v>0.55999</v>
      </c>
      <c r="W414" s="39" t="n">
        <f aca="false">J414*Resumo!$B$7</f>
        <v>1.11998</v>
      </c>
      <c r="X414" s="39" t="n">
        <f aca="false">Resumo!$B$9</f>
        <v>1</v>
      </c>
      <c r="Y414" s="39" t="n">
        <f aca="false">Resumo!$B$10*CEILING(I414/100,1)</f>
        <v>4.5</v>
      </c>
      <c r="Z414" s="39" t="n">
        <f aca="false">Resumo!$B$12*CEILING(I414,1)</f>
        <v>2.94</v>
      </c>
      <c r="AA414" s="39" t="n">
        <f aca="false">Resumo!$B$13*CEILING(I414,1)</f>
        <v>22.05</v>
      </c>
      <c r="AB414" s="39" t="n">
        <f aca="false">SUM(U414:AA414)</f>
        <v>126.13997</v>
      </c>
      <c r="AC414" s="39" t="n">
        <f aca="false">AB414/(1-Resumo!$B$5)</f>
        <v>143.340875</v>
      </c>
      <c r="AD414" s="39" t="n">
        <f aca="false">(AB414-AA414)/(1-Resumo!$B$5)</f>
        <v>118.284056818182</v>
      </c>
      <c r="AE414" s="39" t="n">
        <f aca="false">AC414-T414</f>
        <v>40.0708093181818</v>
      </c>
      <c r="AF414" s="40" t="n">
        <f aca="false">AC414/T414-1</f>
        <v>0.388019597485709</v>
      </c>
      <c r="AG414" s="37" t="str">
        <f aca="false">IF(AC414&lt;T414,"SIM","NÃO")</f>
        <v>NÃO</v>
      </c>
      <c r="AH414" s="37" t="n">
        <v>8</v>
      </c>
      <c r="AI414" s="37" t="n">
        <v>5</v>
      </c>
      <c r="AJ414" s="37" t="s">
        <v>323</v>
      </c>
    </row>
    <row r="415" customFormat="false" ht="15" hidden="false" customHeight="false" outlineLevel="0" collapsed="false">
      <c r="A415" s="37" t="n">
        <v>368512015</v>
      </c>
      <c r="B415" s="38" t="n">
        <v>46233.7516319445</v>
      </c>
      <c r="C415" s="37" t="s">
        <v>320</v>
      </c>
      <c r="D415" s="37" t="s">
        <v>735</v>
      </c>
      <c r="E415" s="37" t="n">
        <v>22610050</v>
      </c>
      <c r="F415" s="37" t="s">
        <v>139</v>
      </c>
      <c r="G415" s="37" t="s">
        <v>198</v>
      </c>
      <c r="H415" s="37" t="s">
        <v>171</v>
      </c>
      <c r="I415" s="37" t="n">
        <v>52.3</v>
      </c>
      <c r="J415" s="39" t="n">
        <v>685.84</v>
      </c>
      <c r="K415" s="37" t="s">
        <v>498</v>
      </c>
      <c r="L415" s="39" t="n">
        <v>113.56</v>
      </c>
      <c r="M415" s="39" t="n">
        <v>79.81</v>
      </c>
      <c r="N415" s="39" t="n">
        <f aca="false">J415*Resumo!$C$7</f>
        <v>1.37168</v>
      </c>
      <c r="O415" s="39" t="n">
        <f aca="false">J415*Resumo!$C$8</f>
        <v>1.37168</v>
      </c>
      <c r="P415" s="39" t="n">
        <f aca="false">Resumo!$C$10*CEILING(I415/100,1)</f>
        <v>1</v>
      </c>
      <c r="Q415" s="39" t="n">
        <f aca="false">Resumo!$C$9</f>
        <v>11.9</v>
      </c>
      <c r="R415" s="39" t="n">
        <f aca="false">SUM(M415:Q415)*Resumo!$C$11</f>
        <v>5.2499348</v>
      </c>
      <c r="S415" s="39" t="n">
        <f aca="false">SUM(M415:R415)</f>
        <v>100.7032948</v>
      </c>
      <c r="T415" s="39" t="n">
        <f aca="false">S415/(1-Resumo!$C$5)</f>
        <v>114.435562272727</v>
      </c>
      <c r="U415" s="39" t="n">
        <v>112.3</v>
      </c>
      <c r="V415" s="39" t="n">
        <f aca="false">J415*Resumo!$B$6</f>
        <v>0.68584</v>
      </c>
      <c r="W415" s="39" t="n">
        <f aca="false">J415*Resumo!$B$7</f>
        <v>1.37168</v>
      </c>
      <c r="X415" s="39" t="n">
        <f aca="false">Resumo!$B$9</f>
        <v>1</v>
      </c>
      <c r="Y415" s="39" t="n">
        <f aca="false">Resumo!$B$10*CEILING(I415/100,1)</f>
        <v>4.5</v>
      </c>
      <c r="Z415" s="39" t="n">
        <f aca="false">Resumo!$B$12*CEILING(I415,1)</f>
        <v>3.18</v>
      </c>
      <c r="AA415" s="39" t="n">
        <f aca="false">Resumo!$B$13*CEILING(I415,1)</f>
        <v>23.85</v>
      </c>
      <c r="AB415" s="39" t="n">
        <f aca="false">SUM(U415:AA415)</f>
        <v>146.88752</v>
      </c>
      <c r="AC415" s="39" t="n">
        <f aca="false">AB415/(1-Resumo!$B$5)</f>
        <v>166.917636363636</v>
      </c>
      <c r="AD415" s="39" t="n">
        <f aca="false">(AB415-AA415)/(1-Resumo!$B$5)</f>
        <v>139.815363636364</v>
      </c>
      <c r="AE415" s="39" t="n">
        <f aca="false">AC415-T415</f>
        <v>52.4820740909091</v>
      </c>
      <c r="AF415" s="40" t="n">
        <f aca="false">AC415/T415-1</f>
        <v>0.458616823726804</v>
      </c>
      <c r="AG415" s="37" t="str">
        <f aca="false">IF(AC415&lt;T415,"SIM","NÃO")</f>
        <v>NÃO</v>
      </c>
      <c r="AH415" s="37" t="n">
        <v>8</v>
      </c>
      <c r="AI415" s="37" t="n">
        <v>5</v>
      </c>
      <c r="AJ415" s="37" t="s">
        <v>323</v>
      </c>
    </row>
    <row r="416" customFormat="false" ht="15" hidden="false" customHeight="false" outlineLevel="0" collapsed="false">
      <c r="A416" s="37" t="n">
        <v>368510232</v>
      </c>
      <c r="B416" s="38" t="n">
        <v>46233.7567824074</v>
      </c>
      <c r="C416" s="37" t="s">
        <v>341</v>
      </c>
      <c r="D416" s="37" t="s">
        <v>736</v>
      </c>
      <c r="E416" s="37" t="n">
        <v>28650000</v>
      </c>
      <c r="F416" s="37" t="s">
        <v>267</v>
      </c>
      <c r="G416" s="37" t="s">
        <v>201</v>
      </c>
      <c r="H416" s="37" t="s">
        <v>168</v>
      </c>
      <c r="I416" s="37" t="n">
        <v>22.4</v>
      </c>
      <c r="J416" s="39" t="n">
        <v>424.99</v>
      </c>
      <c r="K416" s="37" t="s">
        <v>498</v>
      </c>
      <c r="L416" s="39" t="n">
        <v>104.95</v>
      </c>
      <c r="M416" s="39" t="n">
        <v>76.5</v>
      </c>
      <c r="N416" s="39" t="n">
        <f aca="false">J416*Resumo!$C$7</f>
        <v>0.84998</v>
      </c>
      <c r="O416" s="39" t="n">
        <f aca="false">J416*Resumo!$C$8</f>
        <v>0.84998</v>
      </c>
      <c r="P416" s="39" t="n">
        <f aca="false">Resumo!$C$10*CEILING(I416/100,1)</f>
        <v>1</v>
      </c>
      <c r="Q416" s="39" t="n">
        <f aca="false">Resumo!$C$9</f>
        <v>11.9</v>
      </c>
      <c r="R416" s="39" t="n">
        <f aca="false">SUM(M416:Q416)*Resumo!$C$11</f>
        <v>5.0104978</v>
      </c>
      <c r="S416" s="39" t="n">
        <f aca="false">SUM(M416:R416)</f>
        <v>96.1104578</v>
      </c>
      <c r="T416" s="39" t="n">
        <f aca="false">S416/(1-Resumo!$C$5)</f>
        <v>109.216429318182</v>
      </c>
      <c r="U416" s="39" t="n">
        <v>120.78</v>
      </c>
      <c r="V416" s="39" t="n">
        <f aca="false">J416*Resumo!$B$6</f>
        <v>0.42499</v>
      </c>
      <c r="W416" s="39" t="n">
        <f aca="false">J416*Resumo!$B$7</f>
        <v>0.84998</v>
      </c>
      <c r="X416" s="39" t="n">
        <f aca="false">Resumo!$B$9</f>
        <v>1</v>
      </c>
      <c r="Y416" s="39" t="n">
        <f aca="false">Resumo!$B$10*CEILING(I416/100,1)</f>
        <v>4.5</v>
      </c>
      <c r="Z416" s="39" t="n">
        <f aca="false">Resumo!$B$12*CEILING(I416,1)</f>
        <v>1.38</v>
      </c>
      <c r="AA416" s="39" t="n">
        <f aca="false">Resumo!$B$13*CEILING(I416,1)</f>
        <v>10.35</v>
      </c>
      <c r="AB416" s="39" t="n">
        <f aca="false">SUM(U416:AA416)</f>
        <v>139.28497</v>
      </c>
      <c r="AC416" s="39" t="n">
        <f aca="false">AB416/(1-Resumo!$B$5)</f>
        <v>158.278375</v>
      </c>
      <c r="AD416" s="39" t="n">
        <f aca="false">(AB416-AA416)/(1-Resumo!$B$5)</f>
        <v>146.517011363636</v>
      </c>
      <c r="AE416" s="39" t="n">
        <f aca="false">AC416-T416</f>
        <v>49.0619456818182</v>
      </c>
      <c r="AF416" s="40" t="n">
        <f aca="false">AC416/T416-1</f>
        <v>0.449217631340842</v>
      </c>
      <c r="AG416" s="37" t="str">
        <f aca="false">IF(AC416&lt;T416,"SIM","NÃO")</f>
        <v>NÃO</v>
      </c>
      <c r="AH416" s="37" t="n">
        <v>13</v>
      </c>
      <c r="AI416" s="37" t="n">
        <v>10</v>
      </c>
      <c r="AJ416" s="37" t="s">
        <v>327</v>
      </c>
    </row>
    <row r="417" customFormat="false" ht="15" hidden="false" customHeight="false" outlineLevel="0" collapsed="false">
      <c r="A417" s="37" t="n">
        <v>368532852</v>
      </c>
      <c r="B417" s="38" t="n">
        <v>46233.7978935185</v>
      </c>
      <c r="C417" s="37" t="s">
        <v>320</v>
      </c>
      <c r="D417" s="37" t="s">
        <v>737</v>
      </c>
      <c r="E417" s="37" t="n">
        <v>25253650</v>
      </c>
      <c r="F417" s="37" t="s">
        <v>141</v>
      </c>
      <c r="G417" s="37" t="s">
        <v>207</v>
      </c>
      <c r="H417" s="37" t="s">
        <v>175</v>
      </c>
      <c r="I417" s="37" t="n">
        <v>106.5</v>
      </c>
      <c r="J417" s="39" t="n">
        <v>1249.99</v>
      </c>
      <c r="K417" s="37" t="s">
        <v>322</v>
      </c>
      <c r="L417" s="39" t="n">
        <v>195.82</v>
      </c>
      <c r="M417" s="39" t="n">
        <v>144.44</v>
      </c>
      <c r="N417" s="39" t="n">
        <f aca="false">J417*Resumo!$C$7</f>
        <v>2.49998</v>
      </c>
      <c r="O417" s="39" t="n">
        <f aca="false">J417*Resumo!$C$8</f>
        <v>2.49998</v>
      </c>
      <c r="P417" s="39" t="n">
        <f aca="false">Resumo!$C$10*CEILING(I417/100,1)</f>
        <v>2</v>
      </c>
      <c r="Q417" s="39" t="n">
        <f aca="false">Resumo!$C$9</f>
        <v>11.9</v>
      </c>
      <c r="R417" s="39" t="n">
        <f aca="false">SUM(M417:Q417)*Resumo!$C$11</f>
        <v>8.9836978</v>
      </c>
      <c r="S417" s="39" t="n">
        <f aca="false">SUM(M417:R417)</f>
        <v>172.3236578</v>
      </c>
      <c r="T417" s="39" t="n">
        <f aca="false">S417/(1-Resumo!$C$5)</f>
        <v>195.822338409091</v>
      </c>
      <c r="U417" s="39" t="n">
        <v>201.59</v>
      </c>
      <c r="V417" s="39" t="n">
        <f aca="false">J417*Resumo!$B$6</f>
        <v>1.24999</v>
      </c>
      <c r="W417" s="39" t="n">
        <f aca="false">J417*Resumo!$B$7</f>
        <v>2.49998</v>
      </c>
      <c r="X417" s="39" t="n">
        <f aca="false">Resumo!$B$9</f>
        <v>1</v>
      </c>
      <c r="Y417" s="39" t="n">
        <f aca="false">Resumo!$B$10*CEILING(I417/100,1)</f>
        <v>9</v>
      </c>
      <c r="Z417" s="39" t="n">
        <f aca="false">Resumo!$B$12*CEILING(I417,1)</f>
        <v>6.42</v>
      </c>
      <c r="AA417" s="39" t="n">
        <f aca="false">Resumo!$B$13*CEILING(I417,1)</f>
        <v>48.15</v>
      </c>
      <c r="AB417" s="39" t="n">
        <f aca="false">SUM(U417:AA417)</f>
        <v>269.90997</v>
      </c>
      <c r="AC417" s="39" t="n">
        <f aca="false">AB417/(1-Resumo!$B$5)</f>
        <v>306.715875</v>
      </c>
      <c r="AD417" s="39" t="n">
        <f aca="false">(AB417-AA417)/(1-Resumo!$B$5)</f>
        <v>251.999965909091</v>
      </c>
      <c r="AE417" s="39" t="n">
        <f aca="false">AC417-T417</f>
        <v>110.893536590909</v>
      </c>
      <c r="AF417" s="40" t="n">
        <f aca="false">AC417/T417-1</f>
        <v>0.566296662024545</v>
      </c>
      <c r="AG417" s="37" t="str">
        <f aca="false">IF(AC417&lt;T417,"SIM","NÃO")</f>
        <v>NÃO</v>
      </c>
      <c r="AH417" s="37" t="n">
        <v>10</v>
      </c>
      <c r="AI417" s="37" t="n">
        <v>5</v>
      </c>
      <c r="AJ417" s="37" t="s">
        <v>323</v>
      </c>
    </row>
    <row r="418" customFormat="false" ht="15" hidden="false" customHeight="false" outlineLevel="0" collapsed="false">
      <c r="A418" s="37" t="n">
        <v>368538252</v>
      </c>
      <c r="B418" s="38" t="n">
        <v>46233.8104166667</v>
      </c>
      <c r="C418" s="37" t="s">
        <v>320</v>
      </c>
      <c r="D418" s="37" t="s">
        <v>738</v>
      </c>
      <c r="E418" s="37" t="n">
        <v>20220007</v>
      </c>
      <c r="F418" s="37" t="s">
        <v>139</v>
      </c>
      <c r="G418" s="37" t="s">
        <v>198</v>
      </c>
      <c r="H418" s="37" t="s">
        <v>171</v>
      </c>
      <c r="I418" s="37" t="n">
        <v>52.3</v>
      </c>
      <c r="J418" s="39" t="n">
        <v>685.84</v>
      </c>
      <c r="K418" s="37" t="s">
        <v>498</v>
      </c>
      <c r="L418" s="39" t="n">
        <v>113.56</v>
      </c>
      <c r="M418" s="39" t="n">
        <v>79.81</v>
      </c>
      <c r="N418" s="39" t="n">
        <f aca="false">J418*Resumo!$C$7</f>
        <v>1.37168</v>
      </c>
      <c r="O418" s="39" t="n">
        <f aca="false">J418*Resumo!$C$8</f>
        <v>1.37168</v>
      </c>
      <c r="P418" s="39" t="n">
        <f aca="false">Resumo!$C$10*CEILING(I418/100,1)</f>
        <v>1</v>
      </c>
      <c r="Q418" s="39" t="n">
        <f aca="false">Resumo!$C$9</f>
        <v>11.9</v>
      </c>
      <c r="R418" s="39" t="n">
        <f aca="false">SUM(M418:Q418)*Resumo!$C$11</f>
        <v>5.2499348</v>
      </c>
      <c r="S418" s="39" t="n">
        <f aca="false">SUM(M418:R418)</f>
        <v>100.7032948</v>
      </c>
      <c r="T418" s="39" t="n">
        <f aca="false">S418/(1-Resumo!$C$5)</f>
        <v>114.435562272727</v>
      </c>
      <c r="U418" s="39" t="n">
        <v>112.3</v>
      </c>
      <c r="V418" s="39" t="n">
        <f aca="false">J418*Resumo!$B$6</f>
        <v>0.68584</v>
      </c>
      <c r="W418" s="39" t="n">
        <f aca="false">J418*Resumo!$B$7</f>
        <v>1.37168</v>
      </c>
      <c r="X418" s="39" t="n">
        <f aca="false">Resumo!$B$9</f>
        <v>1</v>
      </c>
      <c r="Y418" s="39" t="n">
        <f aca="false">Resumo!$B$10*CEILING(I418/100,1)</f>
        <v>4.5</v>
      </c>
      <c r="Z418" s="39" t="n">
        <f aca="false">Resumo!$B$12*CEILING(I418,1)</f>
        <v>3.18</v>
      </c>
      <c r="AA418" s="39" t="n">
        <f aca="false">Resumo!$B$13*CEILING(I418,1)</f>
        <v>23.85</v>
      </c>
      <c r="AB418" s="39" t="n">
        <f aca="false">SUM(U418:AA418)</f>
        <v>146.88752</v>
      </c>
      <c r="AC418" s="39" t="n">
        <f aca="false">AB418/(1-Resumo!$B$5)</f>
        <v>166.917636363636</v>
      </c>
      <c r="AD418" s="39" t="n">
        <f aca="false">(AB418-AA418)/(1-Resumo!$B$5)</f>
        <v>139.815363636364</v>
      </c>
      <c r="AE418" s="39" t="n">
        <f aca="false">AC418-T418</f>
        <v>52.4820740909091</v>
      </c>
      <c r="AF418" s="40" t="n">
        <f aca="false">AC418/T418-1</f>
        <v>0.458616823726804</v>
      </c>
      <c r="AG418" s="37" t="str">
        <f aca="false">IF(AC418&lt;T418,"SIM","NÃO")</f>
        <v>NÃO</v>
      </c>
      <c r="AH418" s="37" t="n">
        <v>8</v>
      </c>
      <c r="AI418" s="37" t="n">
        <v>5</v>
      </c>
      <c r="AJ418" s="37" t="s">
        <v>323</v>
      </c>
    </row>
    <row r="419" customFormat="false" ht="15" hidden="false" customHeight="false" outlineLevel="0" collapsed="false">
      <c r="A419" s="37" t="n">
        <v>368552069</v>
      </c>
      <c r="B419" s="38" t="n">
        <v>46233.8405902778</v>
      </c>
      <c r="C419" s="37" t="s">
        <v>320</v>
      </c>
      <c r="D419" s="37" t="s">
        <v>739</v>
      </c>
      <c r="E419" s="37" t="n">
        <v>21853410</v>
      </c>
      <c r="F419" s="37" t="s">
        <v>139</v>
      </c>
      <c r="G419" s="37" t="s">
        <v>198</v>
      </c>
      <c r="H419" s="37" t="s">
        <v>171</v>
      </c>
      <c r="I419" s="37" t="n">
        <v>52.3</v>
      </c>
      <c r="J419" s="39" t="n">
        <v>685.84</v>
      </c>
      <c r="K419" s="37" t="s">
        <v>498</v>
      </c>
      <c r="L419" s="39" t="n">
        <v>113.56</v>
      </c>
      <c r="M419" s="39" t="n">
        <v>79.81</v>
      </c>
      <c r="N419" s="39" t="n">
        <f aca="false">J419*Resumo!$C$7</f>
        <v>1.37168</v>
      </c>
      <c r="O419" s="39" t="n">
        <f aca="false">J419*Resumo!$C$8</f>
        <v>1.37168</v>
      </c>
      <c r="P419" s="39" t="n">
        <f aca="false">Resumo!$C$10*CEILING(I419/100,1)</f>
        <v>1</v>
      </c>
      <c r="Q419" s="39" t="n">
        <f aca="false">Resumo!$C$9</f>
        <v>11.9</v>
      </c>
      <c r="R419" s="39" t="n">
        <f aca="false">SUM(M419:Q419)*Resumo!$C$11</f>
        <v>5.2499348</v>
      </c>
      <c r="S419" s="39" t="n">
        <f aca="false">SUM(M419:R419)</f>
        <v>100.7032948</v>
      </c>
      <c r="T419" s="39" t="n">
        <f aca="false">S419/(1-Resumo!$C$5)</f>
        <v>114.435562272727</v>
      </c>
      <c r="U419" s="39" t="n">
        <v>112.3</v>
      </c>
      <c r="V419" s="39" t="n">
        <f aca="false">J419*Resumo!$B$6</f>
        <v>0.68584</v>
      </c>
      <c r="W419" s="39" t="n">
        <f aca="false">J419*Resumo!$B$7</f>
        <v>1.37168</v>
      </c>
      <c r="X419" s="39" t="n">
        <f aca="false">Resumo!$B$9</f>
        <v>1</v>
      </c>
      <c r="Y419" s="39" t="n">
        <f aca="false">Resumo!$B$10*CEILING(I419/100,1)</f>
        <v>4.5</v>
      </c>
      <c r="Z419" s="39" t="n">
        <f aca="false">Resumo!$B$12*CEILING(I419,1)</f>
        <v>3.18</v>
      </c>
      <c r="AA419" s="39" t="n">
        <f aca="false">Resumo!$B$13*CEILING(I419,1)</f>
        <v>23.85</v>
      </c>
      <c r="AB419" s="39" t="n">
        <f aca="false">SUM(U419:AA419)</f>
        <v>146.88752</v>
      </c>
      <c r="AC419" s="39" t="n">
        <f aca="false">AB419/(1-Resumo!$B$5)</f>
        <v>166.917636363636</v>
      </c>
      <c r="AD419" s="39" t="n">
        <f aca="false">(AB419-AA419)/(1-Resumo!$B$5)</f>
        <v>139.815363636364</v>
      </c>
      <c r="AE419" s="39" t="n">
        <f aca="false">AC419-T419</f>
        <v>52.4820740909091</v>
      </c>
      <c r="AF419" s="40" t="n">
        <f aca="false">AC419/T419-1</f>
        <v>0.458616823726804</v>
      </c>
      <c r="AG419" s="37" t="str">
        <f aca="false">IF(AC419&lt;T419,"SIM","NÃO")</f>
        <v>NÃO</v>
      </c>
      <c r="AH419" s="37" t="n">
        <v>8</v>
      </c>
      <c r="AI419" s="37" t="n">
        <v>5</v>
      </c>
      <c r="AJ419" s="37" t="s">
        <v>323</v>
      </c>
    </row>
    <row r="420" customFormat="false" ht="15" hidden="false" customHeight="false" outlineLevel="0" collapsed="false">
      <c r="A420" s="37" t="n">
        <v>368561116</v>
      </c>
      <c r="B420" s="38" t="n">
        <v>46233.8573148148</v>
      </c>
      <c r="C420" s="37" t="s">
        <v>320</v>
      </c>
      <c r="D420" s="37" t="s">
        <v>740</v>
      </c>
      <c r="E420" s="37" t="n">
        <v>28983712</v>
      </c>
      <c r="F420" s="37" t="s">
        <v>153</v>
      </c>
      <c r="G420" s="37" t="s">
        <v>201</v>
      </c>
      <c r="H420" s="37" t="s">
        <v>171</v>
      </c>
      <c r="I420" s="37" t="n">
        <v>53.5</v>
      </c>
      <c r="J420" s="39" t="n">
        <v>649.99</v>
      </c>
      <c r="K420" s="37" t="s">
        <v>498</v>
      </c>
      <c r="L420" s="39" t="n">
        <v>142.27</v>
      </c>
      <c r="M420" s="39" t="n">
        <v>103.6</v>
      </c>
      <c r="N420" s="39" t="n">
        <f aca="false">J420*Resumo!$C$7</f>
        <v>1.29998</v>
      </c>
      <c r="O420" s="39" t="n">
        <f aca="false">J420*Resumo!$C$8</f>
        <v>1.29998</v>
      </c>
      <c r="P420" s="39" t="n">
        <f aca="false">Resumo!$C$10*CEILING(I420/100,1)</f>
        <v>1</v>
      </c>
      <c r="Q420" s="39" t="n">
        <f aca="false">Resumo!$C$9</f>
        <v>11.9</v>
      </c>
      <c r="R420" s="39" t="n">
        <f aca="false">SUM(M420:Q420)*Resumo!$C$11</f>
        <v>6.5504978</v>
      </c>
      <c r="S420" s="39" t="n">
        <f aca="false">SUM(M420:R420)</f>
        <v>125.6504578</v>
      </c>
      <c r="T420" s="39" t="n">
        <f aca="false">S420/(1-Resumo!$C$5)</f>
        <v>142.784611136364</v>
      </c>
      <c r="U420" s="39" t="n">
        <v>142.32</v>
      </c>
      <c r="V420" s="39" t="n">
        <f aca="false">J420*Resumo!$B$6</f>
        <v>0.64999</v>
      </c>
      <c r="W420" s="39" t="n">
        <f aca="false">J420*Resumo!$B$7</f>
        <v>1.29998</v>
      </c>
      <c r="X420" s="39" t="n">
        <f aca="false">Resumo!$B$9</f>
        <v>1</v>
      </c>
      <c r="Y420" s="39" t="n">
        <f aca="false">Resumo!$B$10*CEILING(I420/100,1)</f>
        <v>4.5</v>
      </c>
      <c r="Z420" s="39" t="n">
        <f aca="false">Resumo!$B$12*CEILING(I420,1)</f>
        <v>3.24</v>
      </c>
      <c r="AA420" s="39" t="n">
        <f aca="false">Resumo!$B$13*CEILING(I420,1)</f>
        <v>24.3</v>
      </c>
      <c r="AB420" s="39" t="n">
        <f aca="false">SUM(U420:AA420)</f>
        <v>177.30997</v>
      </c>
      <c r="AC420" s="39" t="n">
        <f aca="false">AB420/(1-Resumo!$B$5)</f>
        <v>201.488602272727</v>
      </c>
      <c r="AD420" s="39" t="n">
        <f aca="false">(AB420-AA420)/(1-Resumo!$B$5)</f>
        <v>173.874965909091</v>
      </c>
      <c r="AE420" s="39" t="n">
        <f aca="false">AC420-T420</f>
        <v>58.7039911363636</v>
      </c>
      <c r="AF420" s="40" t="n">
        <f aca="false">AC420/T420-1</f>
        <v>0.411136681111241</v>
      </c>
      <c r="AG420" s="37" t="str">
        <f aca="false">IF(AC420&lt;T420,"SIM","NÃO")</f>
        <v>NÃO</v>
      </c>
      <c r="AH420" s="37" t="n">
        <v>13</v>
      </c>
      <c r="AI420" s="37" t="n">
        <v>10</v>
      </c>
      <c r="AJ420" s="37" t="s">
        <v>323</v>
      </c>
    </row>
    <row r="421" customFormat="false" ht="15" hidden="false" customHeight="false" outlineLevel="0" collapsed="false">
      <c r="A421" s="37" t="n">
        <v>368598847</v>
      </c>
      <c r="B421" s="38" t="n">
        <v>46233.9275347222</v>
      </c>
      <c r="C421" s="37" t="s">
        <v>352</v>
      </c>
      <c r="D421" s="37" t="s">
        <v>741</v>
      </c>
      <c r="E421" s="37" t="n">
        <v>21370260</v>
      </c>
      <c r="F421" s="37" t="s">
        <v>139</v>
      </c>
      <c r="G421" s="37" t="s">
        <v>198</v>
      </c>
      <c r="H421" s="37" t="s">
        <v>171</v>
      </c>
      <c r="I421" s="37" t="n">
        <v>52.73</v>
      </c>
      <c r="J421" s="39" t="n">
        <v>568.64</v>
      </c>
      <c r="K421" s="37" t="s">
        <v>322</v>
      </c>
      <c r="L421" s="39" t="n">
        <v>113.87</v>
      </c>
      <c r="M421" s="39" t="n">
        <v>79.81</v>
      </c>
      <c r="N421" s="39" t="n">
        <f aca="false">J421*Resumo!$C$7</f>
        <v>1.13728</v>
      </c>
      <c r="O421" s="39" t="n">
        <f aca="false">J421*Resumo!$C$8</f>
        <v>1.13728</v>
      </c>
      <c r="P421" s="39" t="n">
        <f aca="false">Resumo!$C$10*CEILING(I421/100,1)</f>
        <v>1</v>
      </c>
      <c r="Q421" s="39" t="n">
        <f aca="false">Resumo!$C$9</f>
        <v>11.9</v>
      </c>
      <c r="R421" s="39" t="n">
        <f aca="false">SUM(M421:Q421)*Resumo!$C$11</f>
        <v>5.2241508</v>
      </c>
      <c r="S421" s="39" t="n">
        <f aca="false">SUM(M421:R421)</f>
        <v>100.2087108</v>
      </c>
      <c r="T421" s="39" t="n">
        <f aca="false">S421/(1-Resumo!$C$5)</f>
        <v>113.873535</v>
      </c>
      <c r="U421" s="39" t="n">
        <v>112.3</v>
      </c>
      <c r="V421" s="39" t="n">
        <f aca="false">J421*Resumo!$B$6</f>
        <v>0.56864</v>
      </c>
      <c r="W421" s="39" t="n">
        <f aca="false">J421*Resumo!$B$7</f>
        <v>1.13728</v>
      </c>
      <c r="X421" s="39" t="n">
        <f aca="false">Resumo!$B$9</f>
        <v>1</v>
      </c>
      <c r="Y421" s="39" t="n">
        <f aca="false">Resumo!$B$10*CEILING(I421/100,1)</f>
        <v>4.5</v>
      </c>
      <c r="Z421" s="39" t="n">
        <f aca="false">Resumo!$B$12*CEILING(I421,1)</f>
        <v>3.18</v>
      </c>
      <c r="AA421" s="39" t="n">
        <f aca="false">Resumo!$B$13*CEILING(I421,1)</f>
        <v>23.85</v>
      </c>
      <c r="AB421" s="39" t="n">
        <f aca="false">SUM(U421:AA421)</f>
        <v>146.53592</v>
      </c>
      <c r="AC421" s="39" t="n">
        <f aca="false">AB421/(1-Resumo!$B$5)</f>
        <v>166.518090909091</v>
      </c>
      <c r="AD421" s="39" t="n">
        <f aca="false">(AB421-AA421)/(1-Resumo!$B$5)</f>
        <v>139.415818181818</v>
      </c>
      <c r="AE421" s="39" t="n">
        <f aca="false">AC421-T421</f>
        <v>52.6445559090909</v>
      </c>
      <c r="AF421" s="40" t="n">
        <f aca="false">AC421/T421-1</f>
        <v>0.462307206929959</v>
      </c>
      <c r="AG421" s="37" t="str">
        <f aca="false">IF(AC421&lt;T421,"SIM","NÃO")</f>
        <v>NÃO</v>
      </c>
      <c r="AH421" s="37" t="n">
        <v>8</v>
      </c>
      <c r="AI421" s="37" t="n">
        <v>5</v>
      </c>
      <c r="AJ421" s="37" t="s">
        <v>323</v>
      </c>
    </row>
    <row r="422" customFormat="false" ht="15" hidden="false" customHeight="false" outlineLevel="0" collapsed="false">
      <c r="A422" s="37" t="n">
        <v>368601341</v>
      </c>
      <c r="B422" s="38" t="n">
        <v>46233.9296759259</v>
      </c>
      <c r="C422" s="37" t="s">
        <v>320</v>
      </c>
      <c r="D422" s="37" t="s">
        <v>742</v>
      </c>
      <c r="E422" s="37" t="n">
        <v>27963452</v>
      </c>
      <c r="F422" s="37" t="s">
        <v>146</v>
      </c>
      <c r="G422" s="37" t="s">
        <v>201</v>
      </c>
      <c r="H422" s="37" t="s">
        <v>170</v>
      </c>
      <c r="I422" s="37" t="n">
        <v>48.3</v>
      </c>
      <c r="J422" s="39" t="n">
        <v>459.99</v>
      </c>
      <c r="K422" s="37" t="s">
        <v>498</v>
      </c>
      <c r="L422" s="39" t="n">
        <v>132.15</v>
      </c>
      <c r="M422" s="39" t="n">
        <v>94</v>
      </c>
      <c r="N422" s="39" t="n">
        <f aca="false">J422*Resumo!$C$7</f>
        <v>0.91998</v>
      </c>
      <c r="O422" s="39" t="n">
        <f aca="false">J422*Resumo!$C$8</f>
        <v>0.91998</v>
      </c>
      <c r="P422" s="39" t="n">
        <f aca="false">Resumo!$C$10*CEILING(I422/100,1)</f>
        <v>1</v>
      </c>
      <c r="Q422" s="39" t="n">
        <f aca="false">Resumo!$C$9</f>
        <v>11.9</v>
      </c>
      <c r="R422" s="39" t="n">
        <f aca="false">SUM(M422:Q422)*Resumo!$C$11</f>
        <v>5.9806978</v>
      </c>
      <c r="S422" s="39" t="n">
        <f aca="false">SUM(M422:R422)</f>
        <v>114.7206578</v>
      </c>
      <c r="T422" s="39" t="n">
        <f aca="false">S422/(1-Resumo!$C$5)</f>
        <v>130.364383863636</v>
      </c>
      <c r="U422" s="39" t="n">
        <v>152.54</v>
      </c>
      <c r="V422" s="39" t="n">
        <f aca="false">J422*Resumo!$B$6</f>
        <v>0.45999</v>
      </c>
      <c r="W422" s="39" t="n">
        <f aca="false">J422*Resumo!$B$7</f>
        <v>0.91998</v>
      </c>
      <c r="X422" s="39" t="n">
        <f aca="false">Resumo!$B$9</f>
        <v>1</v>
      </c>
      <c r="Y422" s="39" t="n">
        <f aca="false">Resumo!$B$10*CEILING(I422/100,1)</f>
        <v>4.5</v>
      </c>
      <c r="Z422" s="39" t="n">
        <f aca="false">Resumo!$B$12*CEILING(I422,1)</f>
        <v>2.94</v>
      </c>
      <c r="AA422" s="39" t="n">
        <f aca="false">Resumo!$B$13*CEILING(I422,1)</f>
        <v>22.05</v>
      </c>
      <c r="AB422" s="39" t="n">
        <f aca="false">SUM(U422:AA422)</f>
        <v>184.40997</v>
      </c>
      <c r="AC422" s="39" t="n">
        <f aca="false">AB422/(1-Resumo!$B$5)</f>
        <v>209.556784090909</v>
      </c>
      <c r="AD422" s="39" t="n">
        <f aca="false">(AB422-AA422)/(1-Resumo!$B$5)</f>
        <v>184.499965909091</v>
      </c>
      <c r="AE422" s="39" t="n">
        <f aca="false">AC422-T422</f>
        <v>79.1924002272727</v>
      </c>
      <c r="AF422" s="40" t="n">
        <f aca="false">AC422/T422-1</f>
        <v>0.607469600823715</v>
      </c>
      <c r="AG422" s="37" t="str">
        <f aca="false">IF(AC422&lt;T422,"SIM","NÃO")</f>
        <v>NÃO</v>
      </c>
      <c r="AH422" s="37" t="n">
        <v>13</v>
      </c>
      <c r="AI422" s="37" t="n">
        <v>11</v>
      </c>
      <c r="AJ422" s="37" t="s">
        <v>323</v>
      </c>
    </row>
    <row r="423" customFormat="false" ht="15" hidden="false" customHeight="false" outlineLevel="0" collapsed="false">
      <c r="A423" s="37" t="n">
        <v>368603143</v>
      </c>
      <c r="B423" s="38" t="n">
        <v>46233.9340740741</v>
      </c>
      <c r="C423" s="37" t="s">
        <v>320</v>
      </c>
      <c r="D423" s="37" t="s">
        <v>743</v>
      </c>
      <c r="E423" s="37" t="n">
        <v>25270550</v>
      </c>
      <c r="F423" s="37" t="s">
        <v>141</v>
      </c>
      <c r="G423" s="37" t="s">
        <v>207</v>
      </c>
      <c r="H423" s="37" t="s">
        <v>169</v>
      </c>
      <c r="I423" s="37" t="n">
        <v>39.8</v>
      </c>
      <c r="J423" s="39" t="n">
        <v>499.99</v>
      </c>
      <c r="K423" s="37" t="s">
        <v>322</v>
      </c>
      <c r="L423" s="39" t="n">
        <v>113.35</v>
      </c>
      <c r="M423" s="39" t="n">
        <v>79.65</v>
      </c>
      <c r="N423" s="39" t="n">
        <f aca="false">J423*Resumo!$C$7</f>
        <v>0.99998</v>
      </c>
      <c r="O423" s="39" t="n">
        <f aca="false">J423*Resumo!$C$8</f>
        <v>0.99998</v>
      </c>
      <c r="P423" s="39" t="n">
        <f aca="false">Resumo!$C$10*CEILING(I423/100,1)</f>
        <v>1</v>
      </c>
      <c r="Q423" s="39" t="n">
        <f aca="false">Resumo!$C$9</f>
        <v>11.9</v>
      </c>
      <c r="R423" s="39" t="n">
        <f aca="false">SUM(M423:Q423)*Resumo!$C$11</f>
        <v>5.2002478</v>
      </c>
      <c r="S423" s="39" t="n">
        <f aca="false">SUM(M423:R423)</f>
        <v>99.7502078</v>
      </c>
      <c r="T423" s="39" t="n">
        <f aca="false">S423/(1-Resumo!$C$5)</f>
        <v>113.352508863636</v>
      </c>
      <c r="U423" s="39" t="n">
        <v>93.97</v>
      </c>
      <c r="V423" s="39" t="n">
        <f aca="false">J423*Resumo!$B$6</f>
        <v>0.49999</v>
      </c>
      <c r="W423" s="39" t="n">
        <f aca="false">J423*Resumo!$B$7</f>
        <v>0.99998</v>
      </c>
      <c r="X423" s="39" t="n">
        <f aca="false">Resumo!$B$9</f>
        <v>1</v>
      </c>
      <c r="Y423" s="39" t="n">
        <f aca="false">Resumo!$B$10*CEILING(I423/100,1)</f>
        <v>4.5</v>
      </c>
      <c r="Z423" s="39" t="n">
        <f aca="false">Resumo!$B$12*CEILING(I423,1)</f>
        <v>2.4</v>
      </c>
      <c r="AA423" s="39" t="n">
        <f aca="false">Resumo!$B$13*CEILING(I423,1)</f>
        <v>18</v>
      </c>
      <c r="AB423" s="39" t="n">
        <f aca="false">SUM(U423:AA423)</f>
        <v>121.36997</v>
      </c>
      <c r="AC423" s="39" t="n">
        <f aca="false">AB423/(1-Resumo!$B$5)</f>
        <v>137.920420454545</v>
      </c>
      <c r="AD423" s="39" t="n">
        <f aca="false">(AB423-AA423)/(1-Resumo!$B$5)</f>
        <v>117.465875</v>
      </c>
      <c r="AE423" s="39" t="n">
        <f aca="false">AC423-T423</f>
        <v>24.5679115909091</v>
      </c>
      <c r="AF423" s="40" t="n">
        <f aca="false">AC423/T423-1</f>
        <v>0.216739019164229</v>
      </c>
      <c r="AG423" s="37" t="str">
        <f aca="false">IF(AC423&lt;T423,"SIM","NÃO")</f>
        <v>NÃO</v>
      </c>
      <c r="AH423" s="37" t="n">
        <v>10</v>
      </c>
      <c r="AI423" s="37" t="n">
        <v>5</v>
      </c>
      <c r="AJ423" s="37" t="s">
        <v>323</v>
      </c>
    </row>
    <row r="424" customFormat="false" ht="15" hidden="false" customHeight="false" outlineLevel="0" collapsed="false">
      <c r="A424" s="37" t="n">
        <v>368613000</v>
      </c>
      <c r="B424" s="38" t="n">
        <v>46233.9577893519</v>
      </c>
      <c r="C424" s="37" t="s">
        <v>325</v>
      </c>
      <c r="D424" s="37" t="s">
        <v>744</v>
      </c>
      <c r="E424" s="37" t="n">
        <v>23891755</v>
      </c>
      <c r="F424" s="37" t="s">
        <v>205</v>
      </c>
      <c r="G424" s="37" t="s">
        <v>201</v>
      </c>
      <c r="H424" s="37" t="s">
        <v>171</v>
      </c>
      <c r="I424" s="37" t="n">
        <v>56.7</v>
      </c>
      <c r="J424" s="39" t="n">
        <v>663.52</v>
      </c>
      <c r="K424" s="37" t="s">
        <v>498</v>
      </c>
      <c r="L424" s="39" t="n">
        <v>143.88</v>
      </c>
      <c r="M424" s="39" t="n">
        <v>103.6</v>
      </c>
      <c r="N424" s="39" t="n">
        <f aca="false">J424*Resumo!$C$7</f>
        <v>1.32704</v>
      </c>
      <c r="O424" s="39" t="n">
        <f aca="false">J424*Resumo!$C$8</f>
        <v>1.32704</v>
      </c>
      <c r="P424" s="39" t="n">
        <f aca="false">Resumo!$C$10*CEILING(I424/100,1)</f>
        <v>1</v>
      </c>
      <c r="Q424" s="39" t="n">
        <f aca="false">Resumo!$C$9</f>
        <v>11.9</v>
      </c>
      <c r="R424" s="39" t="n">
        <f aca="false">SUM(M424:Q424)*Resumo!$C$11</f>
        <v>6.5534744</v>
      </c>
      <c r="S424" s="39" t="n">
        <f aca="false">SUM(M424:R424)</f>
        <v>125.7075544</v>
      </c>
      <c r="T424" s="39" t="n">
        <f aca="false">S424/(1-Resumo!$C$5)</f>
        <v>142.849493636364</v>
      </c>
      <c r="U424" s="39" t="n">
        <v>122.3</v>
      </c>
      <c r="V424" s="39" t="n">
        <f aca="false">J424*Resumo!$B$6</f>
        <v>0.66352</v>
      </c>
      <c r="W424" s="39" t="n">
        <f aca="false">J424*Resumo!$B$7</f>
        <v>1.32704</v>
      </c>
      <c r="X424" s="39" t="n">
        <f aca="false">Resumo!$B$9</f>
        <v>1</v>
      </c>
      <c r="Y424" s="39" t="n">
        <f aca="false">Resumo!$B$10*CEILING(I424/100,1)</f>
        <v>4.5</v>
      </c>
      <c r="Z424" s="39" t="n">
        <f aca="false">Resumo!$B$12*CEILING(I424,1)</f>
        <v>3.42</v>
      </c>
      <c r="AA424" s="39" t="n">
        <f aca="false">Resumo!$B$13*CEILING(I424,1)</f>
        <v>25.65</v>
      </c>
      <c r="AB424" s="39" t="n">
        <f aca="false">SUM(U424:AA424)</f>
        <v>158.86056</v>
      </c>
      <c r="AC424" s="39" t="n">
        <f aca="false">AB424/(1-Resumo!$B$5)</f>
        <v>180.523363636364</v>
      </c>
      <c r="AD424" s="39" t="n">
        <f aca="false">(AB424-AA424)/(1-Resumo!$B$5)</f>
        <v>151.375636363636</v>
      </c>
      <c r="AE424" s="39" t="n">
        <f aca="false">AC424-T424</f>
        <v>37.67387</v>
      </c>
      <c r="AF424" s="40" t="n">
        <f aca="false">AC424/T424-1</f>
        <v>0.263731211367835</v>
      </c>
      <c r="AG424" s="37" t="str">
        <f aca="false">IF(AC424&lt;T424,"SIM","NÃO")</f>
        <v>NÃO</v>
      </c>
      <c r="AH424" s="37" t="n">
        <v>13</v>
      </c>
      <c r="AI424" s="37" t="n">
        <v>5</v>
      </c>
      <c r="AJ424" s="37" t="s">
        <v>327</v>
      </c>
    </row>
    <row r="425" customFormat="false" ht="15" hidden="false" customHeight="false" outlineLevel="0" collapsed="false">
      <c r="A425" s="37" t="n">
        <v>368628102</v>
      </c>
      <c r="B425" s="38" t="n">
        <v>46234.0036689815</v>
      </c>
      <c r="C425" s="37" t="s">
        <v>355</v>
      </c>
      <c r="D425" s="37" t="s">
        <v>745</v>
      </c>
      <c r="E425" s="37" t="n">
        <v>23092190</v>
      </c>
      <c r="F425" s="37" t="s">
        <v>139</v>
      </c>
      <c r="G425" s="37" t="s">
        <v>198</v>
      </c>
      <c r="H425" s="37" t="s">
        <v>170</v>
      </c>
      <c r="I425" s="37" t="n">
        <v>48</v>
      </c>
      <c r="J425" s="39" t="n">
        <v>785.83</v>
      </c>
      <c r="K425" s="37" t="s">
        <v>498</v>
      </c>
      <c r="L425" s="39" t="n">
        <v>105.74</v>
      </c>
      <c r="M425" s="39" t="n">
        <v>71</v>
      </c>
      <c r="N425" s="39" t="n">
        <f aca="false">J425*Resumo!$C$7</f>
        <v>1.57166</v>
      </c>
      <c r="O425" s="39" t="n">
        <f aca="false">J425*Resumo!$C$8</f>
        <v>1.57166</v>
      </c>
      <c r="P425" s="39" t="n">
        <f aca="false">Resumo!$C$10*CEILING(I425/100,1)</f>
        <v>1</v>
      </c>
      <c r="Q425" s="39" t="n">
        <f aca="false">Resumo!$C$9</f>
        <v>11.9</v>
      </c>
      <c r="R425" s="39" t="n">
        <f aca="false">SUM(M425:Q425)*Resumo!$C$11</f>
        <v>4.7873826</v>
      </c>
      <c r="S425" s="39" t="n">
        <f aca="false">SUM(M425:R425)</f>
        <v>91.8307026</v>
      </c>
      <c r="T425" s="39" t="n">
        <f aca="false">S425/(1-Resumo!$C$5)</f>
        <v>104.353071136364</v>
      </c>
      <c r="U425" s="39" t="n">
        <v>93.97</v>
      </c>
      <c r="V425" s="39" t="n">
        <f aca="false">J425*Resumo!$B$6</f>
        <v>0.78583</v>
      </c>
      <c r="W425" s="39" t="n">
        <f aca="false">J425*Resumo!$B$7</f>
        <v>1.57166</v>
      </c>
      <c r="X425" s="39" t="n">
        <f aca="false">Resumo!$B$9</f>
        <v>1</v>
      </c>
      <c r="Y425" s="39" t="n">
        <f aca="false">Resumo!$B$10*CEILING(I425/100,1)</f>
        <v>4.5</v>
      </c>
      <c r="Z425" s="39" t="n">
        <f aca="false">Resumo!$B$12*CEILING(I425,1)</f>
        <v>2.88</v>
      </c>
      <c r="AA425" s="39" t="n">
        <f aca="false">Resumo!$B$13*CEILING(I425,1)</f>
        <v>21.6</v>
      </c>
      <c r="AB425" s="39" t="n">
        <f aca="false">SUM(U425:AA425)</f>
        <v>126.30749</v>
      </c>
      <c r="AC425" s="39" t="n">
        <f aca="false">AB425/(1-Resumo!$B$5)</f>
        <v>143.531238636364</v>
      </c>
      <c r="AD425" s="39" t="n">
        <f aca="false">(AB425-AA425)/(1-Resumo!$B$5)</f>
        <v>118.985784090909</v>
      </c>
      <c r="AE425" s="39" t="n">
        <f aca="false">AC425-T425</f>
        <v>39.1781675</v>
      </c>
      <c r="AF425" s="40" t="n">
        <f aca="false">AC425/T425-1</f>
        <v>0.37543856710076</v>
      </c>
      <c r="AG425" s="37" t="str">
        <f aca="false">IF(AC425&lt;T425,"SIM","NÃO")</f>
        <v>NÃO</v>
      </c>
      <c r="AH425" s="37" t="n">
        <v>8</v>
      </c>
      <c r="AI425" s="37" t="n">
        <v>5</v>
      </c>
      <c r="AJ425" s="37" t="s">
        <v>323</v>
      </c>
    </row>
    <row r="426" customFormat="false" ht="15" hidden="false" customHeight="false" outlineLevel="0" collapsed="false">
      <c r="A426" s="37" t="n">
        <v>368636536</v>
      </c>
      <c r="B426" s="38" t="n">
        <v>46234.0259143519</v>
      </c>
      <c r="C426" s="37" t="s">
        <v>320</v>
      </c>
      <c r="D426" s="37" t="s">
        <v>746</v>
      </c>
      <c r="E426" s="37" t="n">
        <v>20920460</v>
      </c>
      <c r="F426" s="37" t="s">
        <v>139</v>
      </c>
      <c r="G426" s="37" t="s">
        <v>198</v>
      </c>
      <c r="H426" s="37" t="s">
        <v>171</v>
      </c>
      <c r="I426" s="37" t="n">
        <v>52.3</v>
      </c>
      <c r="J426" s="39" t="n">
        <v>685.84</v>
      </c>
      <c r="K426" s="37" t="s">
        <v>498</v>
      </c>
      <c r="L426" s="39" t="n">
        <v>113.56</v>
      </c>
      <c r="M426" s="39" t="n">
        <v>79.81</v>
      </c>
      <c r="N426" s="39" t="n">
        <f aca="false">J426*Resumo!$C$7</f>
        <v>1.37168</v>
      </c>
      <c r="O426" s="39" t="n">
        <f aca="false">J426*Resumo!$C$8</f>
        <v>1.37168</v>
      </c>
      <c r="P426" s="39" t="n">
        <f aca="false">Resumo!$C$10*CEILING(I426/100,1)</f>
        <v>1</v>
      </c>
      <c r="Q426" s="39" t="n">
        <f aca="false">Resumo!$C$9</f>
        <v>11.9</v>
      </c>
      <c r="R426" s="39" t="n">
        <f aca="false">SUM(M426:Q426)*Resumo!$C$11</f>
        <v>5.2499348</v>
      </c>
      <c r="S426" s="39" t="n">
        <f aca="false">SUM(M426:R426)</f>
        <v>100.7032948</v>
      </c>
      <c r="T426" s="39" t="n">
        <f aca="false">S426/(1-Resumo!$C$5)</f>
        <v>114.435562272727</v>
      </c>
      <c r="U426" s="39" t="n">
        <v>112.3</v>
      </c>
      <c r="V426" s="39" t="n">
        <f aca="false">J426*Resumo!$B$6</f>
        <v>0.68584</v>
      </c>
      <c r="W426" s="39" t="n">
        <f aca="false">J426*Resumo!$B$7</f>
        <v>1.37168</v>
      </c>
      <c r="X426" s="39" t="n">
        <f aca="false">Resumo!$B$9</f>
        <v>1</v>
      </c>
      <c r="Y426" s="39" t="n">
        <f aca="false">Resumo!$B$10*CEILING(I426/100,1)</f>
        <v>4.5</v>
      </c>
      <c r="Z426" s="39" t="n">
        <f aca="false">Resumo!$B$12*CEILING(I426,1)</f>
        <v>3.18</v>
      </c>
      <c r="AA426" s="39" t="n">
        <f aca="false">Resumo!$B$13*CEILING(I426,1)</f>
        <v>23.85</v>
      </c>
      <c r="AB426" s="39" t="n">
        <f aca="false">SUM(U426:AA426)</f>
        <v>146.88752</v>
      </c>
      <c r="AC426" s="39" t="n">
        <f aca="false">AB426/(1-Resumo!$B$5)</f>
        <v>166.917636363636</v>
      </c>
      <c r="AD426" s="39" t="n">
        <f aca="false">(AB426-AA426)/(1-Resumo!$B$5)</f>
        <v>139.815363636364</v>
      </c>
      <c r="AE426" s="39" t="n">
        <f aca="false">AC426-T426</f>
        <v>52.4820740909091</v>
      </c>
      <c r="AF426" s="40" t="n">
        <f aca="false">AC426/T426-1</f>
        <v>0.458616823726804</v>
      </c>
      <c r="AG426" s="37" t="str">
        <f aca="false">IF(AC426&lt;T426,"SIM","NÃO")</f>
        <v>NÃO</v>
      </c>
      <c r="AH426" s="37" t="n">
        <v>8</v>
      </c>
      <c r="AI426" s="37" t="n">
        <v>5</v>
      </c>
      <c r="AJ426" s="37" t="s">
        <v>323</v>
      </c>
    </row>
    <row r="427" customFormat="false" ht="15" hidden="false" customHeight="false" outlineLevel="0" collapsed="false">
      <c r="A427" s="37" t="n">
        <v>368644846</v>
      </c>
      <c r="B427" s="38" t="n">
        <v>46234.0555324074</v>
      </c>
      <c r="C427" s="37" t="s">
        <v>320</v>
      </c>
      <c r="D427" s="37" t="s">
        <v>747</v>
      </c>
      <c r="E427" s="37" t="n">
        <v>24210470</v>
      </c>
      <c r="F427" s="37" t="s">
        <v>143</v>
      </c>
      <c r="G427" s="37" t="s">
        <v>207</v>
      </c>
      <c r="H427" s="37" t="s">
        <v>171</v>
      </c>
      <c r="I427" s="37" t="n">
        <v>52.3</v>
      </c>
      <c r="J427" s="39" t="n">
        <v>685.84</v>
      </c>
      <c r="K427" s="37" t="s">
        <v>498</v>
      </c>
      <c r="L427" s="39" t="n">
        <v>127.62</v>
      </c>
      <c r="M427" s="39" t="n">
        <v>91.6</v>
      </c>
      <c r="N427" s="39" t="n">
        <f aca="false">J427*Resumo!$C$7</f>
        <v>1.37168</v>
      </c>
      <c r="O427" s="39" t="n">
        <f aca="false">J427*Resumo!$C$8</f>
        <v>1.37168</v>
      </c>
      <c r="P427" s="39" t="n">
        <f aca="false">Resumo!$C$10*CEILING(I427/100,1)</f>
        <v>1</v>
      </c>
      <c r="Q427" s="39" t="n">
        <f aca="false">Resumo!$C$9</f>
        <v>11.9</v>
      </c>
      <c r="R427" s="39" t="n">
        <f aca="false">SUM(M427:Q427)*Resumo!$C$11</f>
        <v>5.8983848</v>
      </c>
      <c r="S427" s="39" t="n">
        <f aca="false">SUM(M427:R427)</f>
        <v>113.1417448</v>
      </c>
      <c r="T427" s="39" t="n">
        <f aca="false">S427/(1-Resumo!$C$5)</f>
        <v>128.570164545455</v>
      </c>
      <c r="U427" s="39" t="n">
        <v>128.14</v>
      </c>
      <c r="V427" s="39" t="n">
        <f aca="false">J427*Resumo!$B$6</f>
        <v>0.68584</v>
      </c>
      <c r="W427" s="39" t="n">
        <f aca="false">J427*Resumo!$B$7</f>
        <v>1.37168</v>
      </c>
      <c r="X427" s="39" t="n">
        <f aca="false">Resumo!$B$9</f>
        <v>1</v>
      </c>
      <c r="Y427" s="39" t="n">
        <f aca="false">Resumo!$B$10*CEILING(I427/100,1)</f>
        <v>4.5</v>
      </c>
      <c r="Z427" s="39" t="n">
        <f aca="false">Resumo!$B$12*CEILING(I427,1)</f>
        <v>3.18</v>
      </c>
      <c r="AA427" s="39" t="n">
        <f aca="false">Resumo!$B$13*CEILING(I427,1)</f>
        <v>23.85</v>
      </c>
      <c r="AB427" s="39" t="n">
        <f aca="false">SUM(U427:AA427)</f>
        <v>162.72752</v>
      </c>
      <c r="AC427" s="39" t="n">
        <f aca="false">AB427/(1-Resumo!$B$5)</f>
        <v>184.917636363636</v>
      </c>
      <c r="AD427" s="39" t="n">
        <f aca="false">(AB427-AA427)/(1-Resumo!$B$5)</f>
        <v>157.815363636364</v>
      </c>
      <c r="AE427" s="39" t="n">
        <f aca="false">AC427-T427</f>
        <v>56.3474718181818</v>
      </c>
      <c r="AF427" s="40" t="n">
        <f aca="false">AC427/T427-1</f>
        <v>0.438262422836527</v>
      </c>
      <c r="AG427" s="37" t="str">
        <f aca="false">IF(AC427&lt;T427,"SIM","NÃO")</f>
        <v>NÃO</v>
      </c>
      <c r="AH427" s="37" t="n">
        <v>10</v>
      </c>
      <c r="AI427" s="37" t="n">
        <v>7</v>
      </c>
      <c r="AJ427" s="37" t="s">
        <v>323</v>
      </c>
    </row>
    <row r="428" customFormat="false" ht="15" hidden="false" customHeight="false" outlineLevel="0" collapsed="false">
      <c r="A428" s="37" t="n">
        <v>368705484</v>
      </c>
      <c r="B428" s="38" t="n">
        <v>46234.2966550926</v>
      </c>
      <c r="C428" s="37" t="s">
        <v>320</v>
      </c>
      <c r="D428" s="37" t="s">
        <v>748</v>
      </c>
      <c r="E428" s="37" t="n">
        <v>21853340</v>
      </c>
      <c r="F428" s="37" t="s">
        <v>139</v>
      </c>
      <c r="G428" s="37" t="s">
        <v>198</v>
      </c>
      <c r="H428" s="37" t="s">
        <v>169</v>
      </c>
      <c r="I428" s="37" t="n">
        <v>36.9</v>
      </c>
      <c r="J428" s="39" t="n">
        <v>391.87</v>
      </c>
      <c r="K428" s="37" t="s">
        <v>322</v>
      </c>
      <c r="L428" s="39" t="n">
        <v>91.73</v>
      </c>
      <c r="M428" s="39" t="n">
        <v>62.05</v>
      </c>
      <c r="N428" s="39" t="n">
        <f aca="false">J428*Resumo!$C$7</f>
        <v>0.78374</v>
      </c>
      <c r="O428" s="39" t="n">
        <f aca="false">J428*Resumo!$C$8</f>
        <v>0.78374</v>
      </c>
      <c r="P428" s="39" t="n">
        <f aca="false">Resumo!$C$10*CEILING(I428/100,1)</f>
        <v>1</v>
      </c>
      <c r="Q428" s="39" t="n">
        <f aca="false">Resumo!$C$9</f>
        <v>11.9</v>
      </c>
      <c r="R428" s="39" t="n">
        <f aca="false">SUM(M428:Q428)*Resumo!$C$11</f>
        <v>4.2084614</v>
      </c>
      <c r="S428" s="39" t="n">
        <f aca="false">SUM(M428:R428)</f>
        <v>80.7259414</v>
      </c>
      <c r="T428" s="39" t="n">
        <f aca="false">S428/(1-Resumo!$C$5)</f>
        <v>91.7340243181818</v>
      </c>
      <c r="U428" s="39" t="n">
        <v>93.97</v>
      </c>
      <c r="V428" s="39" t="n">
        <f aca="false">J428*Resumo!$B$6</f>
        <v>0.39187</v>
      </c>
      <c r="W428" s="39" t="n">
        <f aca="false">J428*Resumo!$B$7</f>
        <v>0.78374</v>
      </c>
      <c r="X428" s="39" t="n">
        <f aca="false">Resumo!$B$9</f>
        <v>1</v>
      </c>
      <c r="Y428" s="39" t="n">
        <f aca="false">Resumo!$B$10*CEILING(I428/100,1)</f>
        <v>4.5</v>
      </c>
      <c r="Z428" s="39" t="n">
        <f aca="false">Resumo!$B$12*CEILING(I428,1)</f>
        <v>2.22</v>
      </c>
      <c r="AA428" s="39" t="n">
        <f aca="false">Resumo!$B$13*CEILING(I428,1)</f>
        <v>16.65</v>
      </c>
      <c r="AB428" s="39" t="n">
        <f aca="false">SUM(U428:AA428)</f>
        <v>119.51561</v>
      </c>
      <c r="AC428" s="39" t="n">
        <f aca="false">AB428/(1-Resumo!$B$5)</f>
        <v>135.813193181818</v>
      </c>
      <c r="AD428" s="39" t="n">
        <f aca="false">(AB428-AA428)/(1-Resumo!$B$5)</f>
        <v>116.892738636364</v>
      </c>
      <c r="AE428" s="39" t="n">
        <f aca="false">AC428-T428</f>
        <v>44.0791688636364</v>
      </c>
      <c r="AF428" s="40" t="n">
        <f aca="false">AC428/T428-1</f>
        <v>0.480510575996826</v>
      </c>
      <c r="AG428" s="37" t="str">
        <f aca="false">IF(AC428&lt;T428,"SIM","NÃO")</f>
        <v>NÃO</v>
      </c>
      <c r="AH428" s="37" t="n">
        <v>8</v>
      </c>
      <c r="AI428" s="37" t="n">
        <v>5</v>
      </c>
      <c r="AJ428" s="37" t="s">
        <v>323</v>
      </c>
    </row>
    <row r="429" customFormat="false" ht="15" hidden="false" customHeight="false" outlineLevel="0" collapsed="false">
      <c r="A429" s="37" t="n">
        <v>368725146</v>
      </c>
      <c r="B429" s="38" t="n">
        <v>46234.3576388889</v>
      </c>
      <c r="C429" s="37" t="s">
        <v>325</v>
      </c>
      <c r="D429" s="37" t="s">
        <v>749</v>
      </c>
      <c r="E429" s="37" t="n">
        <v>22765390</v>
      </c>
      <c r="F429" s="37" t="s">
        <v>139</v>
      </c>
      <c r="G429" s="37" t="s">
        <v>198</v>
      </c>
      <c r="H429" s="37" t="s">
        <v>170</v>
      </c>
      <c r="I429" s="37" t="n">
        <v>48.6</v>
      </c>
      <c r="J429" s="39" t="n">
        <v>543.29</v>
      </c>
      <c r="K429" s="37" t="s">
        <v>322</v>
      </c>
      <c r="L429" s="39" t="n">
        <v>103.19</v>
      </c>
      <c r="M429" s="39" t="n">
        <v>71</v>
      </c>
      <c r="N429" s="39" t="n">
        <f aca="false">J429*Resumo!$C$7</f>
        <v>1.08658</v>
      </c>
      <c r="O429" s="39" t="n">
        <f aca="false">J429*Resumo!$C$8</f>
        <v>1.08658</v>
      </c>
      <c r="P429" s="39" t="n">
        <f aca="false">Resumo!$C$10*CEILING(I429/100,1)</f>
        <v>1</v>
      </c>
      <c r="Q429" s="39" t="n">
        <f aca="false">Resumo!$C$9</f>
        <v>11.9</v>
      </c>
      <c r="R429" s="39" t="n">
        <f aca="false">SUM(M429:Q429)*Resumo!$C$11</f>
        <v>4.7340238</v>
      </c>
      <c r="S429" s="39" t="n">
        <f aca="false">SUM(M429:R429)</f>
        <v>90.8071838</v>
      </c>
      <c r="T429" s="39" t="n">
        <f aca="false">S429/(1-Resumo!$C$5)</f>
        <v>103.189981590909</v>
      </c>
      <c r="U429" s="39" t="n">
        <v>93.97</v>
      </c>
      <c r="V429" s="39" t="n">
        <f aca="false">J429*Resumo!$B$6</f>
        <v>0.54329</v>
      </c>
      <c r="W429" s="39" t="n">
        <f aca="false">J429*Resumo!$B$7</f>
        <v>1.08658</v>
      </c>
      <c r="X429" s="39" t="n">
        <f aca="false">Resumo!$B$9</f>
        <v>1</v>
      </c>
      <c r="Y429" s="39" t="n">
        <f aca="false">Resumo!$B$10*CEILING(I429/100,1)</f>
        <v>4.5</v>
      </c>
      <c r="Z429" s="39" t="n">
        <f aca="false">Resumo!$B$12*CEILING(I429,1)</f>
        <v>2.94</v>
      </c>
      <c r="AA429" s="39" t="n">
        <f aca="false">Resumo!$B$13*CEILING(I429,1)</f>
        <v>22.05</v>
      </c>
      <c r="AB429" s="39" t="n">
        <f aca="false">SUM(U429:AA429)</f>
        <v>126.08987</v>
      </c>
      <c r="AC429" s="39" t="n">
        <f aca="false">AB429/(1-Resumo!$B$5)</f>
        <v>143.283943181818</v>
      </c>
      <c r="AD429" s="39" t="n">
        <f aca="false">(AB429-AA429)/(1-Resumo!$B$5)</f>
        <v>118.227125</v>
      </c>
      <c r="AE429" s="39" t="n">
        <f aca="false">AC429-T429</f>
        <v>40.0939615909091</v>
      </c>
      <c r="AF429" s="40" t="n">
        <f aca="false">AC429/T429-1</f>
        <v>0.388545098785455</v>
      </c>
      <c r="AG429" s="37" t="str">
        <f aca="false">IF(AC429&lt;T429,"SIM","NÃO")</f>
        <v>NÃO</v>
      </c>
      <c r="AH429" s="37" t="n">
        <v>8</v>
      </c>
      <c r="AI429" s="37" t="n">
        <v>5</v>
      </c>
      <c r="AJ429" s="37" t="s">
        <v>323</v>
      </c>
    </row>
    <row r="430" customFormat="false" ht="15" hidden="false" customHeight="false" outlineLevel="0" collapsed="false">
      <c r="A430" s="37" t="n">
        <v>368731672</v>
      </c>
      <c r="B430" s="38" t="n">
        <v>46234.374224537</v>
      </c>
      <c r="C430" s="37" t="s">
        <v>320</v>
      </c>
      <c r="D430" s="37" t="s">
        <v>750</v>
      </c>
      <c r="E430" s="37" t="n">
        <v>26183490</v>
      </c>
      <c r="F430" s="37" t="s">
        <v>145</v>
      </c>
      <c r="G430" s="37" t="s">
        <v>207</v>
      </c>
      <c r="H430" s="37" t="s">
        <v>170</v>
      </c>
      <c r="I430" s="37" t="n">
        <v>48.3</v>
      </c>
      <c r="J430" s="39" t="n">
        <v>459.99</v>
      </c>
      <c r="K430" s="37" t="s">
        <v>498</v>
      </c>
      <c r="L430" s="39" t="n">
        <v>118.12</v>
      </c>
      <c r="M430" s="39" t="n">
        <v>82.25</v>
      </c>
      <c r="N430" s="39" t="n">
        <f aca="false">J430*Resumo!$C$7</f>
        <v>0.91998</v>
      </c>
      <c r="O430" s="39" t="n">
        <f aca="false">J430*Resumo!$C$8</f>
        <v>0.91998</v>
      </c>
      <c r="P430" s="39" t="n">
        <f aca="false">Resumo!$C$10*CEILING(I430/100,1)</f>
        <v>1</v>
      </c>
      <c r="Q430" s="39" t="n">
        <f aca="false">Resumo!$C$9</f>
        <v>11.9</v>
      </c>
      <c r="R430" s="39" t="n">
        <f aca="false">SUM(M430:Q430)*Resumo!$C$11</f>
        <v>5.3344478</v>
      </c>
      <c r="S430" s="39" t="n">
        <f aca="false">SUM(M430:R430)</f>
        <v>102.3244078</v>
      </c>
      <c r="T430" s="39" t="n">
        <f aca="false">S430/(1-Resumo!$C$5)</f>
        <v>116.277736136364</v>
      </c>
      <c r="U430" s="39" t="n">
        <v>93.97</v>
      </c>
      <c r="V430" s="39" t="n">
        <f aca="false">J430*Resumo!$B$6</f>
        <v>0.45999</v>
      </c>
      <c r="W430" s="39" t="n">
        <f aca="false">J430*Resumo!$B$7</f>
        <v>0.91998</v>
      </c>
      <c r="X430" s="39" t="n">
        <f aca="false">Resumo!$B$9</f>
        <v>1</v>
      </c>
      <c r="Y430" s="39" t="n">
        <f aca="false">Resumo!$B$10*CEILING(I430/100,1)</f>
        <v>4.5</v>
      </c>
      <c r="Z430" s="39" t="n">
        <f aca="false">Resumo!$B$12*CEILING(I430,1)</f>
        <v>2.94</v>
      </c>
      <c r="AA430" s="39" t="n">
        <f aca="false">Resumo!$B$13*CEILING(I430,1)</f>
        <v>22.05</v>
      </c>
      <c r="AB430" s="39" t="n">
        <f aca="false">SUM(U430:AA430)</f>
        <v>125.83997</v>
      </c>
      <c r="AC430" s="39" t="n">
        <f aca="false">AB430/(1-Resumo!$B$5)</f>
        <v>142.999965909091</v>
      </c>
      <c r="AD430" s="39" t="n">
        <f aca="false">(AB430-AA430)/(1-Resumo!$B$5)</f>
        <v>117.943147727273</v>
      </c>
      <c r="AE430" s="39" t="n">
        <f aca="false">AC430-T430</f>
        <v>26.7222297727272</v>
      </c>
      <c r="AF430" s="40" t="n">
        <f aca="false">AC430/T430-1</f>
        <v>0.229813811832293</v>
      </c>
      <c r="AG430" s="37" t="str">
        <f aca="false">IF(AC430&lt;T430,"SIM","NÃO")</f>
        <v>NÃO</v>
      </c>
      <c r="AH430" s="37" t="n">
        <v>10</v>
      </c>
      <c r="AI430" s="37" t="n">
        <v>5</v>
      </c>
      <c r="AJ430" s="37" t="s">
        <v>323</v>
      </c>
    </row>
    <row r="431" customFormat="false" ht="15" hidden="false" customHeight="false" outlineLevel="0" collapsed="false">
      <c r="A431" s="37" t="n">
        <v>368736783</v>
      </c>
      <c r="B431" s="38" t="n">
        <v>46234.3867939815</v>
      </c>
      <c r="C431" s="37" t="s">
        <v>325</v>
      </c>
      <c r="D431" s="37" t="s">
        <v>751</v>
      </c>
      <c r="E431" s="37" t="n">
        <v>23550375</v>
      </c>
      <c r="F431" s="37" t="s">
        <v>139</v>
      </c>
      <c r="G431" s="37" t="s">
        <v>198</v>
      </c>
      <c r="H431" s="37" t="s">
        <v>169</v>
      </c>
      <c r="I431" s="37" t="n">
        <v>36.8</v>
      </c>
      <c r="J431" s="39" t="n">
        <v>418.55</v>
      </c>
      <c r="K431" s="37" t="s">
        <v>498</v>
      </c>
      <c r="L431" s="39" t="n">
        <v>92.45</v>
      </c>
      <c r="M431" s="39" t="n">
        <v>62.05</v>
      </c>
      <c r="N431" s="39" t="n">
        <f aca="false">J431*Resumo!$C$7</f>
        <v>0.8371</v>
      </c>
      <c r="O431" s="39" t="n">
        <f aca="false">J431*Resumo!$C$8</f>
        <v>0.8371</v>
      </c>
      <c r="P431" s="39" t="n">
        <f aca="false">Resumo!$C$10*CEILING(I431/100,1)</f>
        <v>1</v>
      </c>
      <c r="Q431" s="39" t="n">
        <f aca="false">Resumo!$C$9</f>
        <v>11.9</v>
      </c>
      <c r="R431" s="39" t="n">
        <f aca="false">SUM(M431:Q431)*Resumo!$C$11</f>
        <v>4.214331</v>
      </c>
      <c r="S431" s="39" t="n">
        <f aca="false">SUM(M431:R431)</f>
        <v>80.838531</v>
      </c>
      <c r="T431" s="39" t="n">
        <f aca="false">S431/(1-Resumo!$C$5)</f>
        <v>91.8619670454546</v>
      </c>
      <c r="U431" s="39" t="n">
        <v>93.97</v>
      </c>
      <c r="V431" s="39" t="n">
        <f aca="false">J431*Resumo!$B$6</f>
        <v>0.41855</v>
      </c>
      <c r="W431" s="39" t="n">
        <f aca="false">J431*Resumo!$B$7</f>
        <v>0.8371</v>
      </c>
      <c r="X431" s="39" t="n">
        <f aca="false">Resumo!$B$9</f>
        <v>1</v>
      </c>
      <c r="Y431" s="39" t="n">
        <f aca="false">Resumo!$B$10*CEILING(I431/100,1)</f>
        <v>4.5</v>
      </c>
      <c r="Z431" s="39" t="n">
        <f aca="false">Resumo!$B$12*CEILING(I431,1)</f>
        <v>2.22</v>
      </c>
      <c r="AA431" s="39" t="n">
        <f aca="false">Resumo!$B$13*CEILING(I431,1)</f>
        <v>16.65</v>
      </c>
      <c r="AB431" s="39" t="n">
        <f aca="false">SUM(U431:AA431)</f>
        <v>119.59565</v>
      </c>
      <c r="AC431" s="39" t="n">
        <f aca="false">AB431/(1-Resumo!$B$5)</f>
        <v>135.904147727273</v>
      </c>
      <c r="AD431" s="39" t="n">
        <f aca="false">(AB431-AA431)/(1-Resumo!$B$5)</f>
        <v>116.983693181818</v>
      </c>
      <c r="AE431" s="39" t="n">
        <f aca="false">AC431-T431</f>
        <v>44.0421806818182</v>
      </c>
      <c r="AF431" s="40" t="n">
        <f aca="false">AC431/T431-1</f>
        <v>0.47943868500035</v>
      </c>
      <c r="AG431" s="37" t="str">
        <f aca="false">IF(AC431&lt;T431,"SIM","NÃO")</f>
        <v>NÃO</v>
      </c>
      <c r="AH431" s="37" t="n">
        <v>8</v>
      </c>
      <c r="AI431" s="37" t="n">
        <v>5</v>
      </c>
      <c r="AJ431" s="37" t="s">
        <v>323</v>
      </c>
    </row>
    <row r="432" customFormat="false" ht="15" hidden="false" customHeight="false" outlineLevel="0" collapsed="false">
      <c r="A432" s="37" t="n">
        <v>368739102</v>
      </c>
      <c r="B432" s="38" t="n">
        <v>46234.3925115741</v>
      </c>
      <c r="C432" s="37" t="s">
        <v>320</v>
      </c>
      <c r="D432" s="37" t="s">
        <v>752</v>
      </c>
      <c r="E432" s="37" t="n">
        <v>24755420</v>
      </c>
      <c r="F432" s="37" t="s">
        <v>140</v>
      </c>
      <c r="G432" s="37" t="s">
        <v>207</v>
      </c>
      <c r="H432" s="37" t="s">
        <v>167</v>
      </c>
      <c r="I432" s="37" t="n">
        <v>19.5</v>
      </c>
      <c r="J432" s="39" t="n">
        <v>350.99</v>
      </c>
      <c r="K432" s="37" t="s">
        <v>498</v>
      </c>
      <c r="L432" s="39" t="n">
        <v>77.05</v>
      </c>
      <c r="M432" s="39" t="n">
        <v>48.69</v>
      </c>
      <c r="N432" s="39" t="n">
        <f aca="false">J432*Resumo!$C$7</f>
        <v>0.70198</v>
      </c>
      <c r="O432" s="39" t="n">
        <f aca="false">J432*Resumo!$C$8</f>
        <v>0.70198</v>
      </c>
      <c r="P432" s="39" t="n">
        <f aca="false">Resumo!$C$10*CEILING(I432/100,1)</f>
        <v>1</v>
      </c>
      <c r="Q432" s="39" t="n">
        <f aca="false">Resumo!$C$9</f>
        <v>11.9</v>
      </c>
      <c r="R432" s="39" t="n">
        <f aca="false">SUM(M432:Q432)*Resumo!$C$11</f>
        <v>3.4646678</v>
      </c>
      <c r="S432" s="39" t="n">
        <f aca="false">SUM(M432:R432)</f>
        <v>66.4586278</v>
      </c>
      <c r="T432" s="39" t="n">
        <f aca="false">S432/(1-Resumo!$C$5)</f>
        <v>75.5211679545455</v>
      </c>
      <c r="U432" s="39" t="n">
        <v>57.47</v>
      </c>
      <c r="V432" s="39" t="n">
        <f aca="false">J432*Resumo!$B$6</f>
        <v>0.35099</v>
      </c>
      <c r="W432" s="39" t="n">
        <f aca="false">J432*Resumo!$B$7</f>
        <v>0.70198</v>
      </c>
      <c r="X432" s="39" t="n">
        <f aca="false">Resumo!$B$9</f>
        <v>1</v>
      </c>
      <c r="Y432" s="39" t="n">
        <f aca="false">Resumo!$B$10*CEILING(I432/100,1)</f>
        <v>4.5</v>
      </c>
      <c r="Z432" s="39" t="n">
        <f aca="false">Resumo!$B$12*CEILING(I432,1)</f>
        <v>1.2</v>
      </c>
      <c r="AA432" s="39" t="n">
        <f aca="false">Resumo!$B$13*CEILING(I432,1)</f>
        <v>9</v>
      </c>
      <c r="AB432" s="39" t="n">
        <f aca="false">SUM(U432:AA432)</f>
        <v>74.22297</v>
      </c>
      <c r="AC432" s="39" t="n">
        <f aca="false">AB432/(1-Resumo!$B$5)</f>
        <v>84.3442840909091</v>
      </c>
      <c r="AD432" s="39" t="n">
        <f aca="false">(AB432-AA432)/(1-Resumo!$B$5)</f>
        <v>74.1170113636364</v>
      </c>
      <c r="AE432" s="39" t="n">
        <f aca="false">AC432-T432</f>
        <v>8.82311613636364</v>
      </c>
      <c r="AF432" s="40" t="n">
        <f aca="false">AC432/T432-1</f>
        <v>0.116829709806316</v>
      </c>
      <c r="AG432" s="37" t="str">
        <f aca="false">IF(AC432&lt;T432,"SIM","NÃO")</f>
        <v>NÃO</v>
      </c>
      <c r="AH432" s="37" t="n">
        <v>10</v>
      </c>
      <c r="AI432" s="37" t="n">
        <v>7</v>
      </c>
      <c r="AJ432" s="37" t="s">
        <v>323</v>
      </c>
    </row>
    <row r="433" customFormat="false" ht="15" hidden="false" customHeight="false" outlineLevel="0" collapsed="false">
      <c r="A433" s="37" t="n">
        <v>368758549</v>
      </c>
      <c r="B433" s="38" t="n">
        <v>46234.4359375</v>
      </c>
      <c r="C433" s="37" t="s">
        <v>320</v>
      </c>
      <c r="D433" s="37" t="s">
        <v>753</v>
      </c>
      <c r="E433" s="37" t="n">
        <v>27961804</v>
      </c>
      <c r="F433" s="37" t="s">
        <v>146</v>
      </c>
      <c r="G433" s="37" t="s">
        <v>201</v>
      </c>
      <c r="H433" s="37" t="s">
        <v>172</v>
      </c>
      <c r="I433" s="37" t="n">
        <v>61.4</v>
      </c>
      <c r="J433" s="39" t="n">
        <v>901.59</v>
      </c>
      <c r="K433" s="37" t="s">
        <v>498</v>
      </c>
      <c r="L433" s="39" t="n">
        <v>155.09</v>
      </c>
      <c r="M433" s="39" t="n">
        <v>113.9</v>
      </c>
      <c r="N433" s="39" t="n">
        <f aca="false">J433*Resumo!$C$7</f>
        <v>1.80318</v>
      </c>
      <c r="O433" s="39" t="n">
        <f aca="false">J433*Resumo!$C$8</f>
        <v>1.80318</v>
      </c>
      <c r="P433" s="39" t="n">
        <f aca="false">Resumo!$C$10*CEILING(I433/100,1)</f>
        <v>1</v>
      </c>
      <c r="Q433" s="39" t="n">
        <f aca="false">Resumo!$C$9</f>
        <v>11.9</v>
      </c>
      <c r="R433" s="39" t="n">
        <f aca="false">SUM(M433:Q433)*Resumo!$C$11</f>
        <v>7.1723498</v>
      </c>
      <c r="S433" s="39" t="n">
        <f aca="false">SUM(M433:R433)</f>
        <v>137.5787098</v>
      </c>
      <c r="T433" s="39" t="n">
        <f aca="false">S433/(1-Resumo!$C$5)</f>
        <v>156.339442954545</v>
      </c>
      <c r="U433" s="39" t="n">
        <v>171.54</v>
      </c>
      <c r="V433" s="39" t="n">
        <f aca="false">J433*Resumo!$B$6</f>
        <v>0.90159</v>
      </c>
      <c r="W433" s="39" t="n">
        <f aca="false">J433*Resumo!$B$7</f>
        <v>1.80318</v>
      </c>
      <c r="X433" s="39" t="n">
        <f aca="false">Resumo!$B$9</f>
        <v>1</v>
      </c>
      <c r="Y433" s="39" t="n">
        <f aca="false">Resumo!$B$10*CEILING(I433/100,1)</f>
        <v>4.5</v>
      </c>
      <c r="Z433" s="39" t="n">
        <f aca="false">Resumo!$B$12*CEILING(I433,1)</f>
        <v>3.72</v>
      </c>
      <c r="AA433" s="39" t="n">
        <f aca="false">Resumo!$B$13*CEILING(I433,1)</f>
        <v>27.9</v>
      </c>
      <c r="AB433" s="39" t="n">
        <f aca="false">SUM(U433:AA433)</f>
        <v>211.36477</v>
      </c>
      <c r="AC433" s="39" t="n">
        <f aca="false">AB433/(1-Resumo!$B$5)</f>
        <v>240.187238636364</v>
      </c>
      <c r="AD433" s="39" t="n">
        <f aca="false">(AB433-AA433)/(1-Resumo!$B$5)</f>
        <v>208.482693181818</v>
      </c>
      <c r="AE433" s="39" t="n">
        <f aca="false">AC433-T433</f>
        <v>83.8477956818182</v>
      </c>
      <c r="AF433" s="40" t="n">
        <f aca="false">AC433/T433-1</f>
        <v>0.536318884711623</v>
      </c>
      <c r="AG433" s="37" t="str">
        <f aca="false">IF(AC433&lt;T433,"SIM","NÃO")</f>
        <v>NÃO</v>
      </c>
      <c r="AH433" s="37" t="n">
        <v>13</v>
      </c>
      <c r="AI433" s="37" t="n">
        <v>11</v>
      </c>
      <c r="AJ433" s="37" t="s">
        <v>323</v>
      </c>
    </row>
    <row r="434" customFormat="false" ht="15" hidden="false" customHeight="false" outlineLevel="0" collapsed="false">
      <c r="A434" s="37" t="n">
        <v>368763045</v>
      </c>
      <c r="B434" s="38" t="n">
        <v>46234.4459490741</v>
      </c>
      <c r="C434" s="37" t="s">
        <v>320</v>
      </c>
      <c r="D434" s="37" t="s">
        <v>754</v>
      </c>
      <c r="E434" s="37" t="n">
        <v>24916125</v>
      </c>
      <c r="F434" s="37" t="s">
        <v>151</v>
      </c>
      <c r="G434" s="37" t="s">
        <v>201</v>
      </c>
      <c r="H434" s="37" t="s">
        <v>176</v>
      </c>
      <c r="I434" s="37" t="n">
        <v>124.2</v>
      </c>
      <c r="J434" s="39" t="n">
        <v>1558.08</v>
      </c>
      <c r="K434" s="37" t="s">
        <v>498</v>
      </c>
      <c r="L434" s="39" t="n">
        <v>253.05</v>
      </c>
      <c r="M434" s="39" t="n">
        <v>197.37</v>
      </c>
      <c r="N434" s="39" t="n">
        <f aca="false">J434*Resumo!$C$7</f>
        <v>3.11616</v>
      </c>
      <c r="O434" s="39" t="n">
        <f aca="false">J434*Resumo!$C$8</f>
        <v>3.11616</v>
      </c>
      <c r="P434" s="39" t="n">
        <f aca="false">Resumo!$C$10*CEILING(I434/100,1)</f>
        <v>2</v>
      </c>
      <c r="Q434" s="39" t="n">
        <f aca="false">Resumo!$C$9</f>
        <v>11.9</v>
      </c>
      <c r="R434" s="39" t="n">
        <f aca="false">SUM(M434:Q434)*Resumo!$C$11</f>
        <v>11.9626276</v>
      </c>
      <c r="S434" s="39" t="n">
        <f aca="false">SUM(M434:R434)</f>
        <v>229.4649476</v>
      </c>
      <c r="T434" s="39" t="n">
        <f aca="false">S434/(1-Resumo!$C$5)</f>
        <v>260.755622272727</v>
      </c>
      <c r="U434" s="39" t="n">
        <v>249.03</v>
      </c>
      <c r="V434" s="39" t="n">
        <f aca="false">J434*Resumo!$B$6</f>
        <v>1.55808</v>
      </c>
      <c r="W434" s="39" t="n">
        <f aca="false">J434*Resumo!$B$7</f>
        <v>3.11616</v>
      </c>
      <c r="X434" s="39" t="n">
        <f aca="false">Resumo!$B$9</f>
        <v>1</v>
      </c>
      <c r="Y434" s="39" t="n">
        <f aca="false">Resumo!$B$10*CEILING(I434/100,1)</f>
        <v>9</v>
      </c>
      <c r="Z434" s="39" t="n">
        <f aca="false">Resumo!$B$12*CEILING(I434,1)</f>
        <v>7.5</v>
      </c>
      <c r="AA434" s="39" t="n">
        <f aca="false">Resumo!$B$13*CEILING(I434,1)</f>
        <v>56.25</v>
      </c>
      <c r="AB434" s="39" t="n">
        <f aca="false">SUM(U434:AA434)</f>
        <v>327.45424</v>
      </c>
      <c r="AC434" s="39" t="n">
        <f aca="false">AB434/(1-Resumo!$B$5)</f>
        <v>372.107090909091</v>
      </c>
      <c r="AD434" s="39" t="n">
        <f aca="false">(AB434-AA434)/(1-Resumo!$B$5)</f>
        <v>308.186636363636</v>
      </c>
      <c r="AE434" s="39" t="n">
        <f aca="false">AC434-T434</f>
        <v>111.351468636364</v>
      </c>
      <c r="AF434" s="40" t="n">
        <f aca="false">AC434/T434-1</f>
        <v>0.427033816819873</v>
      </c>
      <c r="AG434" s="37" t="str">
        <f aca="false">IF(AC434&lt;T434,"SIM","NÃO")</f>
        <v>NÃO</v>
      </c>
      <c r="AH434" s="37" t="n">
        <v>13</v>
      </c>
      <c r="AI434" s="37" t="n">
        <v>7</v>
      </c>
      <c r="AJ434" s="37" t="s">
        <v>323</v>
      </c>
    </row>
    <row r="435" customFormat="false" ht="15" hidden="false" customHeight="false" outlineLevel="0" collapsed="false">
      <c r="A435" s="37" t="n">
        <v>368763987</v>
      </c>
      <c r="B435" s="38" t="n">
        <v>46234.4525231482</v>
      </c>
      <c r="C435" s="37" t="s">
        <v>341</v>
      </c>
      <c r="D435" s="37" t="s">
        <v>755</v>
      </c>
      <c r="E435" s="37" t="n">
        <v>24470030</v>
      </c>
      <c r="F435" s="37" t="s">
        <v>140</v>
      </c>
      <c r="G435" s="37" t="s">
        <v>207</v>
      </c>
      <c r="H435" s="37" t="s">
        <v>171</v>
      </c>
      <c r="I435" s="37" t="n">
        <v>60</v>
      </c>
      <c r="J435" s="39" t="n">
        <v>849.99</v>
      </c>
      <c r="K435" s="37" t="s">
        <v>498</v>
      </c>
      <c r="L435" s="39" t="n">
        <v>131.98</v>
      </c>
      <c r="M435" s="39" t="n">
        <v>91.6</v>
      </c>
      <c r="N435" s="39" t="n">
        <f aca="false">J435*Resumo!$C$7</f>
        <v>1.69998</v>
      </c>
      <c r="O435" s="39" t="n">
        <f aca="false">J435*Resumo!$C$8</f>
        <v>1.69998</v>
      </c>
      <c r="P435" s="39" t="n">
        <f aca="false">Resumo!$C$10*CEILING(I435/100,1)</f>
        <v>1</v>
      </c>
      <c r="Q435" s="39" t="n">
        <f aca="false">Resumo!$C$9</f>
        <v>11.9</v>
      </c>
      <c r="R435" s="39" t="n">
        <f aca="false">SUM(M435:Q435)*Resumo!$C$11</f>
        <v>5.9344978</v>
      </c>
      <c r="S435" s="39" t="n">
        <f aca="false">SUM(M435:R435)</f>
        <v>113.8344578</v>
      </c>
      <c r="T435" s="39" t="n">
        <f aca="false">S435/(1-Resumo!$C$5)</f>
        <v>129.357338409091</v>
      </c>
      <c r="U435" s="39" t="n">
        <v>128.14</v>
      </c>
      <c r="V435" s="39" t="n">
        <f aca="false">J435*Resumo!$B$6</f>
        <v>0.84999</v>
      </c>
      <c r="W435" s="39" t="n">
        <f aca="false">J435*Resumo!$B$7</f>
        <v>1.69998</v>
      </c>
      <c r="X435" s="39" t="n">
        <f aca="false">Resumo!$B$9</f>
        <v>1</v>
      </c>
      <c r="Y435" s="39" t="n">
        <f aca="false">Resumo!$B$10*CEILING(I435/100,1)</f>
        <v>4.5</v>
      </c>
      <c r="Z435" s="39" t="n">
        <f aca="false">Resumo!$B$12*CEILING(I435,1)</f>
        <v>3.6</v>
      </c>
      <c r="AA435" s="39" t="n">
        <f aca="false">Resumo!$B$13*CEILING(I435,1)</f>
        <v>27</v>
      </c>
      <c r="AB435" s="39" t="n">
        <f aca="false">SUM(U435:AA435)</f>
        <v>166.78997</v>
      </c>
      <c r="AC435" s="39" t="n">
        <f aca="false">AB435/(1-Resumo!$B$5)</f>
        <v>189.534056818182</v>
      </c>
      <c r="AD435" s="39" t="n">
        <f aca="false">(AB435-AA435)/(1-Resumo!$B$5)</f>
        <v>158.852238636364</v>
      </c>
      <c r="AE435" s="39" t="n">
        <f aca="false">AC435-T435</f>
        <v>60.1767184090909</v>
      </c>
      <c r="AF435" s="40" t="n">
        <f aca="false">AC435/T435-1</f>
        <v>0.465197561647278</v>
      </c>
      <c r="AG435" s="37" t="str">
        <f aca="false">IF(AC435&lt;T435,"SIM","NÃO")</f>
        <v>NÃO</v>
      </c>
      <c r="AH435" s="37" t="n">
        <v>10</v>
      </c>
      <c r="AI435" s="37" t="n">
        <v>7</v>
      </c>
      <c r="AJ435" s="37" t="s">
        <v>323</v>
      </c>
    </row>
    <row r="436" customFormat="false" ht="15" hidden="false" customHeight="false" outlineLevel="0" collapsed="false">
      <c r="A436" s="37" t="n">
        <v>368772774</v>
      </c>
      <c r="B436" s="38" t="n">
        <v>46234.4672453704</v>
      </c>
      <c r="C436" s="37" t="s">
        <v>320</v>
      </c>
      <c r="D436" s="37" t="s">
        <v>756</v>
      </c>
      <c r="E436" s="37" t="n">
        <v>23944040</v>
      </c>
      <c r="F436" s="37" t="s">
        <v>149</v>
      </c>
      <c r="G436" s="37" t="s">
        <v>201</v>
      </c>
      <c r="H436" s="37" t="s">
        <v>168</v>
      </c>
      <c r="I436" s="37" t="n">
        <v>28.1</v>
      </c>
      <c r="J436" s="39" t="n">
        <v>439.99</v>
      </c>
      <c r="K436" s="37" t="s">
        <v>498</v>
      </c>
      <c r="L436" s="39" t="n">
        <v>108.09</v>
      </c>
      <c r="M436" s="39" t="n">
        <v>76.5</v>
      </c>
      <c r="N436" s="39" t="n">
        <f aca="false">J436*Resumo!$C$7</f>
        <v>0.87998</v>
      </c>
      <c r="O436" s="39" t="n">
        <f aca="false">J436*Resumo!$C$8</f>
        <v>0.87998</v>
      </c>
      <c r="P436" s="39" t="n">
        <f aca="false">Resumo!$C$10*CEILING(I436/100,1)</f>
        <v>1</v>
      </c>
      <c r="Q436" s="39" t="n">
        <f aca="false">Resumo!$C$9</f>
        <v>11.9</v>
      </c>
      <c r="R436" s="39" t="n">
        <f aca="false">SUM(M436:Q436)*Resumo!$C$11</f>
        <v>5.0137978</v>
      </c>
      <c r="S436" s="39" t="n">
        <f aca="false">SUM(M436:R436)</f>
        <v>96.1737578</v>
      </c>
      <c r="T436" s="39" t="n">
        <f aca="false">S436/(1-Resumo!$C$5)</f>
        <v>109.288361136364</v>
      </c>
      <c r="U436" s="39" t="n">
        <v>108.83</v>
      </c>
      <c r="V436" s="39" t="n">
        <f aca="false">J436*Resumo!$B$6</f>
        <v>0.43999</v>
      </c>
      <c r="W436" s="39" t="n">
        <f aca="false">J436*Resumo!$B$7</f>
        <v>0.87998</v>
      </c>
      <c r="X436" s="39" t="n">
        <f aca="false">Resumo!$B$9</f>
        <v>1</v>
      </c>
      <c r="Y436" s="39" t="n">
        <f aca="false">Resumo!$B$10*CEILING(I436/100,1)</f>
        <v>4.5</v>
      </c>
      <c r="Z436" s="39" t="n">
        <f aca="false">Resumo!$B$12*CEILING(I436,1)</f>
        <v>1.74</v>
      </c>
      <c r="AA436" s="39" t="n">
        <f aca="false">Resumo!$B$13*CEILING(I436,1)</f>
        <v>13.05</v>
      </c>
      <c r="AB436" s="39" t="n">
        <f aca="false">SUM(U436:AA436)</f>
        <v>130.43997</v>
      </c>
      <c r="AC436" s="39" t="n">
        <f aca="false">AB436/(1-Resumo!$B$5)</f>
        <v>148.227238636364</v>
      </c>
      <c r="AD436" s="39" t="n">
        <f aca="false">(AB436-AA436)/(1-Resumo!$B$5)</f>
        <v>133.397693181818</v>
      </c>
      <c r="AE436" s="39" t="n">
        <f aca="false">AC436-T436</f>
        <v>38.9388775</v>
      </c>
      <c r="AF436" s="40" t="n">
        <f aca="false">AC436/T436-1</f>
        <v>0.3562948249486</v>
      </c>
      <c r="AG436" s="37" t="str">
        <f aca="false">IF(AC436&lt;T436,"SIM","NÃO")</f>
        <v>NÃO</v>
      </c>
      <c r="AH436" s="37" t="n">
        <v>13</v>
      </c>
      <c r="AI436" s="37" t="n">
        <v>10</v>
      </c>
      <c r="AJ436" s="37" t="s">
        <v>323</v>
      </c>
    </row>
    <row r="437" customFormat="false" ht="15" hidden="false" customHeight="false" outlineLevel="0" collapsed="false">
      <c r="A437" s="37" t="n">
        <v>368770106</v>
      </c>
      <c r="B437" s="38" t="n">
        <v>46234.4692824074</v>
      </c>
      <c r="C437" s="37" t="s">
        <v>341</v>
      </c>
      <c r="D437" s="37" t="s">
        <v>757</v>
      </c>
      <c r="E437" s="37" t="n">
        <v>22420004</v>
      </c>
      <c r="F437" s="37" t="s">
        <v>139</v>
      </c>
      <c r="G437" s="37" t="s">
        <v>198</v>
      </c>
      <c r="H437" s="37" t="s">
        <v>169</v>
      </c>
      <c r="I437" s="37" t="n">
        <v>36.9</v>
      </c>
      <c r="J437" s="39" t="n">
        <v>390.99</v>
      </c>
      <c r="K437" s="37" t="s">
        <v>322</v>
      </c>
      <c r="L437" s="39" t="n">
        <v>91.73</v>
      </c>
      <c r="M437" s="39" t="n">
        <v>62.05</v>
      </c>
      <c r="N437" s="39" t="n">
        <f aca="false">J437*Resumo!$C$7</f>
        <v>0.78198</v>
      </c>
      <c r="O437" s="39" t="n">
        <f aca="false">J437*Resumo!$C$8</f>
        <v>0.78198</v>
      </c>
      <c r="P437" s="39" t="n">
        <f aca="false">Resumo!$C$10*CEILING(I437/100,1)</f>
        <v>1</v>
      </c>
      <c r="Q437" s="39" t="n">
        <f aca="false">Resumo!$C$9</f>
        <v>11.9</v>
      </c>
      <c r="R437" s="39" t="n">
        <f aca="false">SUM(M437:Q437)*Resumo!$C$11</f>
        <v>4.2082678</v>
      </c>
      <c r="S437" s="39" t="n">
        <f aca="false">SUM(M437:R437)</f>
        <v>80.7222278</v>
      </c>
      <c r="T437" s="39" t="n">
        <f aca="false">S437/(1-Resumo!$C$5)</f>
        <v>91.7298043181818</v>
      </c>
      <c r="U437" s="39" t="n">
        <v>93.97</v>
      </c>
      <c r="V437" s="39" t="n">
        <f aca="false">J437*Resumo!$B$6</f>
        <v>0.39099</v>
      </c>
      <c r="W437" s="39" t="n">
        <f aca="false">J437*Resumo!$B$7</f>
        <v>0.78198</v>
      </c>
      <c r="X437" s="39" t="n">
        <f aca="false">Resumo!$B$9</f>
        <v>1</v>
      </c>
      <c r="Y437" s="39" t="n">
        <f aca="false">Resumo!$B$10*CEILING(I437/100,1)</f>
        <v>4.5</v>
      </c>
      <c r="Z437" s="39" t="n">
        <f aca="false">Resumo!$B$12*CEILING(I437,1)</f>
        <v>2.22</v>
      </c>
      <c r="AA437" s="39" t="n">
        <f aca="false">Resumo!$B$13*CEILING(I437,1)</f>
        <v>16.65</v>
      </c>
      <c r="AB437" s="39" t="n">
        <f aca="false">SUM(U437:AA437)</f>
        <v>119.51297</v>
      </c>
      <c r="AC437" s="39" t="n">
        <f aca="false">AB437/(1-Resumo!$B$5)</f>
        <v>135.810193181818</v>
      </c>
      <c r="AD437" s="39" t="n">
        <f aca="false">(AB437-AA437)/(1-Resumo!$B$5)</f>
        <v>116.889738636364</v>
      </c>
      <c r="AE437" s="39" t="n">
        <f aca="false">AC437-T437</f>
        <v>44.0803888636364</v>
      </c>
      <c r="AF437" s="40" t="n">
        <f aca="false">AC437/T437-1</f>
        <v>0.480545981660828</v>
      </c>
      <c r="AG437" s="37" t="str">
        <f aca="false">IF(AC437&lt;T437,"SIM","NÃO")</f>
        <v>NÃO</v>
      </c>
      <c r="AH437" s="37" t="n">
        <v>8</v>
      </c>
      <c r="AI437" s="37" t="n">
        <v>5</v>
      </c>
      <c r="AJ437" s="37" t="s">
        <v>323</v>
      </c>
    </row>
    <row r="438" customFormat="false" ht="15" hidden="false" customHeight="false" outlineLevel="0" collapsed="false">
      <c r="A438" s="37" t="n">
        <v>368793613</v>
      </c>
      <c r="B438" s="38" t="n">
        <v>46234.5052083333</v>
      </c>
      <c r="C438" s="37" t="s">
        <v>320</v>
      </c>
      <c r="D438" s="37" t="s">
        <v>758</v>
      </c>
      <c r="E438" s="37" t="n">
        <v>24466142</v>
      </c>
      <c r="F438" s="37" t="s">
        <v>140</v>
      </c>
      <c r="G438" s="37" t="s">
        <v>207</v>
      </c>
      <c r="H438" s="37" t="s">
        <v>167</v>
      </c>
      <c r="I438" s="37" t="n">
        <v>19.5</v>
      </c>
      <c r="J438" s="39" t="n">
        <v>332.99</v>
      </c>
      <c r="K438" s="37" t="s">
        <v>498</v>
      </c>
      <c r="L438" s="39" t="n">
        <v>76.95</v>
      </c>
      <c r="M438" s="39" t="n">
        <v>48.69</v>
      </c>
      <c r="N438" s="39" t="n">
        <f aca="false">J438*Resumo!$C$7</f>
        <v>0.66598</v>
      </c>
      <c r="O438" s="39" t="n">
        <f aca="false">J438*Resumo!$C$8</f>
        <v>0.66598</v>
      </c>
      <c r="P438" s="39" t="n">
        <f aca="false">Resumo!$C$10*CEILING(I438/100,1)</f>
        <v>1</v>
      </c>
      <c r="Q438" s="39" t="n">
        <f aca="false">Resumo!$C$9</f>
        <v>11.9</v>
      </c>
      <c r="R438" s="39" t="n">
        <f aca="false">SUM(M438:Q438)*Resumo!$C$11</f>
        <v>3.4607078</v>
      </c>
      <c r="S438" s="39" t="n">
        <f aca="false">SUM(M438:R438)</f>
        <v>66.3826678</v>
      </c>
      <c r="T438" s="39" t="n">
        <f aca="false">S438/(1-Resumo!$C$5)</f>
        <v>75.4348497727273</v>
      </c>
      <c r="U438" s="39" t="n">
        <v>57.47</v>
      </c>
      <c r="V438" s="39" t="n">
        <f aca="false">J438*Resumo!$B$6</f>
        <v>0.33299</v>
      </c>
      <c r="W438" s="39" t="n">
        <f aca="false">J438*Resumo!$B$7</f>
        <v>0.66598</v>
      </c>
      <c r="X438" s="39" t="n">
        <f aca="false">Resumo!$B$9</f>
        <v>1</v>
      </c>
      <c r="Y438" s="39" t="n">
        <f aca="false">Resumo!$B$10*CEILING(I438/100,1)</f>
        <v>4.5</v>
      </c>
      <c r="Z438" s="39" t="n">
        <f aca="false">Resumo!$B$12*CEILING(I438,1)</f>
        <v>1.2</v>
      </c>
      <c r="AA438" s="39" t="n">
        <f aca="false">Resumo!$B$13*CEILING(I438,1)</f>
        <v>9</v>
      </c>
      <c r="AB438" s="39" t="n">
        <f aca="false">SUM(U438:AA438)</f>
        <v>74.16897</v>
      </c>
      <c r="AC438" s="39" t="n">
        <f aca="false">AB438/(1-Resumo!$B$5)</f>
        <v>84.2829204545455</v>
      </c>
      <c r="AD438" s="39" t="n">
        <f aca="false">(AB438-AA438)/(1-Resumo!$B$5)</f>
        <v>74.0556477272727</v>
      </c>
      <c r="AE438" s="39" t="n">
        <f aca="false">AC438-T438</f>
        <v>8.8480706818182</v>
      </c>
      <c r="AF438" s="40" t="n">
        <f aca="false">AC438/T438-1</f>
        <v>0.117294204316386</v>
      </c>
      <c r="AG438" s="37" t="str">
        <f aca="false">IF(AC438&lt;T438,"SIM","NÃO")</f>
        <v>NÃO</v>
      </c>
      <c r="AH438" s="37" t="n">
        <v>10</v>
      </c>
      <c r="AI438" s="37" t="n">
        <v>7</v>
      </c>
      <c r="AJ438" s="37" t="s">
        <v>323</v>
      </c>
    </row>
    <row r="439" customFormat="false" ht="15" hidden="false" customHeight="false" outlineLevel="0" collapsed="false">
      <c r="A439" s="37" t="n">
        <v>368801740</v>
      </c>
      <c r="B439" s="38" t="n">
        <v>46234.5195138889</v>
      </c>
      <c r="C439" s="37" t="s">
        <v>320</v>
      </c>
      <c r="D439" s="37" t="s">
        <v>434</v>
      </c>
      <c r="E439" s="37" t="n">
        <v>28200000</v>
      </c>
      <c r="F439" s="37" t="s">
        <v>245</v>
      </c>
      <c r="G439" s="37" t="s">
        <v>201</v>
      </c>
      <c r="H439" s="37" t="s">
        <v>170</v>
      </c>
      <c r="I439" s="37" t="n">
        <v>48.3</v>
      </c>
      <c r="J439" s="39" t="n">
        <v>429.99</v>
      </c>
      <c r="K439" s="37" t="s">
        <v>498</v>
      </c>
      <c r="L439" s="39" t="n">
        <v>131.99</v>
      </c>
      <c r="M439" s="39" t="n">
        <v>94</v>
      </c>
      <c r="N439" s="39" t="n">
        <f aca="false">J439*Resumo!$C$7</f>
        <v>0.85998</v>
      </c>
      <c r="O439" s="39" t="n">
        <f aca="false">J439*Resumo!$C$8</f>
        <v>0.85998</v>
      </c>
      <c r="P439" s="39" t="n">
        <f aca="false">Resumo!$C$10*CEILING(I439/100,1)</f>
        <v>1</v>
      </c>
      <c r="Q439" s="39" t="n">
        <f aca="false">Resumo!$C$9</f>
        <v>11.9</v>
      </c>
      <c r="R439" s="39" t="n">
        <f aca="false">SUM(M439:Q439)*Resumo!$C$11</f>
        <v>5.9740978</v>
      </c>
      <c r="S439" s="39" t="n">
        <f aca="false">SUM(M439:R439)</f>
        <v>114.5940578</v>
      </c>
      <c r="T439" s="39" t="n">
        <f aca="false">S439/(1-Resumo!$C$5)</f>
        <v>130.220520227273</v>
      </c>
      <c r="U439" s="39" t="n">
        <v>152.54</v>
      </c>
      <c r="V439" s="39" t="n">
        <f aca="false">J439*Resumo!$B$6</f>
        <v>0.42999</v>
      </c>
      <c r="W439" s="39" t="n">
        <f aca="false">J439*Resumo!$B$7</f>
        <v>0.85998</v>
      </c>
      <c r="X439" s="39" t="n">
        <f aca="false">Resumo!$B$9</f>
        <v>1</v>
      </c>
      <c r="Y439" s="39" t="n">
        <f aca="false">Resumo!$B$10*CEILING(I439/100,1)</f>
        <v>4.5</v>
      </c>
      <c r="Z439" s="39" t="n">
        <f aca="false">Resumo!$B$12*CEILING(I439,1)</f>
        <v>2.94</v>
      </c>
      <c r="AA439" s="39" t="n">
        <f aca="false">Resumo!$B$13*CEILING(I439,1)</f>
        <v>22.05</v>
      </c>
      <c r="AB439" s="39" t="n">
        <f aca="false">SUM(U439:AA439)</f>
        <v>184.31997</v>
      </c>
      <c r="AC439" s="39" t="n">
        <f aca="false">AB439/(1-Resumo!$B$5)</f>
        <v>209.454511363636</v>
      </c>
      <c r="AD439" s="39" t="n">
        <f aca="false">(AB439-AA439)/(1-Resumo!$B$5)</f>
        <v>184.397693181818</v>
      </c>
      <c r="AE439" s="39" t="n">
        <f aca="false">AC439-T439</f>
        <v>79.2339911363637</v>
      </c>
      <c r="AF439" s="40" t="n">
        <f aca="false">AC439/T439-1</f>
        <v>0.608460102893747</v>
      </c>
      <c r="AG439" s="37" t="str">
        <f aca="false">IF(AC439&lt;T439,"SIM","NÃO")</f>
        <v>NÃO</v>
      </c>
      <c r="AH439" s="37" t="n">
        <v>13</v>
      </c>
      <c r="AI439" s="37" t="n">
        <v>11</v>
      </c>
      <c r="AJ439" s="37" t="s">
        <v>327</v>
      </c>
    </row>
    <row r="440" customFormat="false" ht="15" hidden="false" customHeight="false" outlineLevel="0" collapsed="false">
      <c r="A440" s="37" t="n">
        <v>368812045</v>
      </c>
      <c r="B440" s="38" t="n">
        <v>46234.5398611111</v>
      </c>
      <c r="C440" s="37" t="s">
        <v>320</v>
      </c>
      <c r="D440" s="37" t="s">
        <v>759</v>
      </c>
      <c r="E440" s="37" t="n">
        <v>21046210</v>
      </c>
      <c r="F440" s="37" t="s">
        <v>139</v>
      </c>
      <c r="G440" s="37" t="s">
        <v>198</v>
      </c>
      <c r="H440" s="37" t="s">
        <v>168</v>
      </c>
      <c r="I440" s="37" t="n">
        <v>31</v>
      </c>
      <c r="J440" s="39" t="n">
        <v>329.99</v>
      </c>
      <c r="K440" s="37" t="s">
        <v>498</v>
      </c>
      <c r="L440" s="39" t="n">
        <v>81.86</v>
      </c>
      <c r="M440" s="39" t="n">
        <v>54.1</v>
      </c>
      <c r="N440" s="39" t="n">
        <f aca="false">J440*Resumo!$C$7</f>
        <v>0.65998</v>
      </c>
      <c r="O440" s="39" t="n">
        <f aca="false">J440*Resumo!$C$8</f>
        <v>0.65998</v>
      </c>
      <c r="P440" s="39" t="n">
        <f aca="false">Resumo!$C$10*CEILING(I440/100,1)</f>
        <v>1</v>
      </c>
      <c r="Q440" s="39" t="n">
        <f aca="false">Resumo!$C$9</f>
        <v>11.9</v>
      </c>
      <c r="R440" s="39" t="n">
        <f aca="false">SUM(M440:Q440)*Resumo!$C$11</f>
        <v>3.7575978</v>
      </c>
      <c r="S440" s="39" t="n">
        <f aca="false">SUM(M440:R440)</f>
        <v>72.0775578</v>
      </c>
      <c r="T440" s="39" t="n">
        <f aca="false">S440/(1-Resumo!$C$5)</f>
        <v>81.9063156818182</v>
      </c>
      <c r="U440" s="39" t="n">
        <v>82.21</v>
      </c>
      <c r="V440" s="39" t="n">
        <f aca="false">J440*Resumo!$B$6</f>
        <v>0.32999</v>
      </c>
      <c r="W440" s="39" t="n">
        <f aca="false">J440*Resumo!$B$7</f>
        <v>0.65998</v>
      </c>
      <c r="X440" s="39" t="n">
        <f aca="false">Resumo!$B$9</f>
        <v>1</v>
      </c>
      <c r="Y440" s="39" t="n">
        <f aca="false">Resumo!$B$10*CEILING(I440/100,1)</f>
        <v>4.5</v>
      </c>
      <c r="Z440" s="39" t="n">
        <f aca="false">Resumo!$B$12*CEILING(I440,1)</f>
        <v>1.86</v>
      </c>
      <c r="AA440" s="39" t="n">
        <f aca="false">Resumo!$B$13*CEILING(I440,1)</f>
        <v>13.95</v>
      </c>
      <c r="AB440" s="39" t="n">
        <f aca="false">SUM(U440:AA440)</f>
        <v>104.50997</v>
      </c>
      <c r="AC440" s="39" t="n">
        <f aca="false">AB440/(1-Resumo!$B$5)</f>
        <v>118.761329545455</v>
      </c>
      <c r="AD440" s="39" t="n">
        <f aca="false">(AB440-AA440)/(1-Resumo!$B$5)</f>
        <v>102.909056818182</v>
      </c>
      <c r="AE440" s="39" t="n">
        <f aca="false">AC440-T440</f>
        <v>36.8550138636364</v>
      </c>
      <c r="AF440" s="40" t="n">
        <f aca="false">AC440/T440-1</f>
        <v>0.449965470389453</v>
      </c>
      <c r="AG440" s="37" t="str">
        <f aca="false">IF(AC440&lt;T440,"SIM","NÃO")</f>
        <v>NÃO</v>
      </c>
      <c r="AH440" s="37" t="n">
        <v>8</v>
      </c>
      <c r="AI440" s="37" t="n">
        <v>5</v>
      </c>
      <c r="AJ440" s="37" t="s">
        <v>323</v>
      </c>
    </row>
    <row r="441" customFormat="false" ht="15" hidden="false" customHeight="false" outlineLevel="0" collapsed="false">
      <c r="A441" s="37" t="n">
        <v>368823297</v>
      </c>
      <c r="B441" s="38" t="n">
        <v>46234.547025463</v>
      </c>
      <c r="C441" s="37" t="s">
        <v>517</v>
      </c>
      <c r="D441" s="37" t="s">
        <v>760</v>
      </c>
      <c r="E441" s="37" t="n">
        <v>20051070</v>
      </c>
      <c r="F441" s="37" t="s">
        <v>139</v>
      </c>
      <c r="G441" s="37" t="s">
        <v>198</v>
      </c>
      <c r="H441" s="37" t="s">
        <v>170</v>
      </c>
      <c r="I441" s="37" t="n">
        <v>44.8</v>
      </c>
      <c r="J441" s="39" t="n">
        <v>579.99</v>
      </c>
      <c r="K441" s="37" t="s">
        <v>322</v>
      </c>
      <c r="L441" s="39" t="n">
        <v>103.36</v>
      </c>
      <c r="M441" s="39" t="n">
        <v>71</v>
      </c>
      <c r="N441" s="39" t="n">
        <f aca="false">J441*Resumo!$C$7</f>
        <v>1.15998</v>
      </c>
      <c r="O441" s="39" t="n">
        <f aca="false">J441*Resumo!$C$8</f>
        <v>1.15998</v>
      </c>
      <c r="P441" s="39" t="n">
        <f aca="false">Resumo!$C$10*CEILING(I441/100,1)</f>
        <v>1</v>
      </c>
      <c r="Q441" s="39" t="n">
        <f aca="false">Resumo!$C$9</f>
        <v>11.9</v>
      </c>
      <c r="R441" s="39" t="n">
        <f aca="false">SUM(M441:Q441)*Resumo!$C$11</f>
        <v>4.7420978</v>
      </c>
      <c r="S441" s="39" t="n">
        <f aca="false">SUM(M441:R441)</f>
        <v>90.9620578</v>
      </c>
      <c r="T441" s="39" t="n">
        <f aca="false">S441/(1-Resumo!$C$5)</f>
        <v>103.365974772727</v>
      </c>
      <c r="U441" s="39" t="n">
        <v>93.97</v>
      </c>
      <c r="V441" s="39" t="n">
        <f aca="false">J441*Resumo!$B$6</f>
        <v>0.57999</v>
      </c>
      <c r="W441" s="39" t="n">
        <f aca="false">J441*Resumo!$B$7</f>
        <v>1.15998</v>
      </c>
      <c r="X441" s="39" t="n">
        <f aca="false">Resumo!$B$9</f>
        <v>1</v>
      </c>
      <c r="Y441" s="39" t="n">
        <f aca="false">Resumo!$B$10*CEILING(I441/100,1)</f>
        <v>4.5</v>
      </c>
      <c r="Z441" s="39" t="n">
        <f aca="false">Resumo!$B$12*CEILING(I441,1)</f>
        <v>2.7</v>
      </c>
      <c r="AA441" s="39" t="n">
        <f aca="false">Resumo!$B$13*CEILING(I441,1)</f>
        <v>20.25</v>
      </c>
      <c r="AB441" s="39" t="n">
        <f aca="false">SUM(U441:AA441)</f>
        <v>124.15997</v>
      </c>
      <c r="AC441" s="39" t="n">
        <f aca="false">AB441/(1-Resumo!$B$5)</f>
        <v>141.090875</v>
      </c>
      <c r="AD441" s="39" t="n">
        <f aca="false">(AB441-AA441)/(1-Resumo!$B$5)</f>
        <v>118.079511363636</v>
      </c>
      <c r="AE441" s="39" t="n">
        <f aca="false">AC441-T441</f>
        <v>37.7249002272727</v>
      </c>
      <c r="AF441" s="40" t="n">
        <f aca="false">AC441/T441-1</f>
        <v>0.364964392878984</v>
      </c>
      <c r="AG441" s="37" t="str">
        <f aca="false">IF(AC441&lt;T441,"SIM","NÃO")</f>
        <v>NÃO</v>
      </c>
      <c r="AH441" s="37" t="n">
        <v>8</v>
      </c>
      <c r="AI441" s="37" t="n">
        <v>5</v>
      </c>
      <c r="AJ441" s="37" t="s">
        <v>323</v>
      </c>
    </row>
    <row r="442" customFormat="false" ht="15" hidden="false" customHeight="false" outlineLevel="0" collapsed="false">
      <c r="A442" s="37" t="n">
        <v>368816609</v>
      </c>
      <c r="B442" s="38" t="n">
        <v>46234.5499421296</v>
      </c>
      <c r="C442" s="37" t="s">
        <v>320</v>
      </c>
      <c r="D442" s="37" t="s">
        <v>761</v>
      </c>
      <c r="E442" s="37" t="n">
        <v>26291003</v>
      </c>
      <c r="F442" s="37" t="s">
        <v>142</v>
      </c>
      <c r="G442" s="37" t="s">
        <v>207</v>
      </c>
      <c r="H442" s="37" t="s">
        <v>169</v>
      </c>
      <c r="I442" s="37" t="n">
        <v>37.2</v>
      </c>
      <c r="J442" s="39" t="n">
        <v>399.99</v>
      </c>
      <c r="K442" s="37" t="s">
        <v>322</v>
      </c>
      <c r="L442" s="39" t="n">
        <v>112.88</v>
      </c>
      <c r="M442" s="39" t="n">
        <v>79.65</v>
      </c>
      <c r="N442" s="39" t="n">
        <f aca="false">J442*Resumo!$C$7</f>
        <v>0.79998</v>
      </c>
      <c r="O442" s="39" t="n">
        <f aca="false">J442*Resumo!$C$8</f>
        <v>0.79998</v>
      </c>
      <c r="P442" s="39" t="n">
        <f aca="false">Resumo!$C$10*CEILING(I442/100,1)</f>
        <v>1</v>
      </c>
      <c r="Q442" s="39" t="n">
        <f aca="false">Resumo!$C$9</f>
        <v>11.9</v>
      </c>
      <c r="R442" s="39" t="n">
        <f aca="false">SUM(M442:Q442)*Resumo!$C$11</f>
        <v>5.1782478</v>
      </c>
      <c r="S442" s="39" t="n">
        <f aca="false">SUM(M442:R442)</f>
        <v>99.3282078</v>
      </c>
      <c r="T442" s="39" t="n">
        <f aca="false">S442/(1-Resumo!$C$5)</f>
        <v>112.872963409091</v>
      </c>
      <c r="U442" s="39" t="n">
        <v>93.97</v>
      </c>
      <c r="V442" s="39" t="n">
        <f aca="false">J442*Resumo!$B$6</f>
        <v>0.39999</v>
      </c>
      <c r="W442" s="39" t="n">
        <f aca="false">J442*Resumo!$B$7</f>
        <v>0.79998</v>
      </c>
      <c r="X442" s="39" t="n">
        <f aca="false">Resumo!$B$9</f>
        <v>1</v>
      </c>
      <c r="Y442" s="39" t="n">
        <f aca="false">Resumo!$B$10*CEILING(I442/100,1)</f>
        <v>4.5</v>
      </c>
      <c r="Z442" s="39" t="n">
        <f aca="false">Resumo!$B$12*CEILING(I442,1)</f>
        <v>2.28</v>
      </c>
      <c r="AA442" s="39" t="n">
        <f aca="false">Resumo!$B$13*CEILING(I442,1)</f>
        <v>17.1</v>
      </c>
      <c r="AB442" s="39" t="n">
        <f aca="false">SUM(U442:AA442)</f>
        <v>120.04997</v>
      </c>
      <c r="AC442" s="39" t="n">
        <f aca="false">AB442/(1-Resumo!$B$5)</f>
        <v>136.420420454545</v>
      </c>
      <c r="AD442" s="39" t="n">
        <f aca="false">(AB442-AA442)/(1-Resumo!$B$5)</f>
        <v>116.988602272727</v>
      </c>
      <c r="AE442" s="39" t="n">
        <f aca="false">AC442-T442</f>
        <v>23.5474570454545</v>
      </c>
      <c r="AF442" s="40" t="n">
        <f aca="false">AC442/T442-1</f>
        <v>0.208619108901308</v>
      </c>
      <c r="AG442" s="37" t="str">
        <f aca="false">IF(AC442&lt;T442,"SIM","NÃO")</f>
        <v>NÃO</v>
      </c>
      <c r="AH442" s="37" t="n">
        <v>10</v>
      </c>
      <c r="AI442" s="37" t="n">
        <v>5</v>
      </c>
      <c r="AJ442" s="37" t="s">
        <v>323</v>
      </c>
    </row>
    <row r="443" customFormat="false" ht="15" hidden="false" customHeight="false" outlineLevel="0" collapsed="false">
      <c r="A443" s="37" t="n">
        <v>368820209</v>
      </c>
      <c r="B443" s="38" t="n">
        <v>46234.5579861111</v>
      </c>
      <c r="C443" s="37" t="s">
        <v>325</v>
      </c>
      <c r="D443" s="37" t="s">
        <v>434</v>
      </c>
      <c r="E443" s="37" t="n">
        <v>28200000</v>
      </c>
      <c r="F443" s="37" t="s">
        <v>245</v>
      </c>
      <c r="G443" s="37" t="s">
        <v>201</v>
      </c>
      <c r="H443" s="37" t="s">
        <v>171</v>
      </c>
      <c r="I443" s="37" t="n">
        <v>54</v>
      </c>
      <c r="J443" s="39" t="n">
        <v>919.99</v>
      </c>
      <c r="K443" s="37" t="s">
        <v>498</v>
      </c>
      <c r="L443" s="39" t="n">
        <v>143.57</v>
      </c>
      <c r="M443" s="39" t="n">
        <v>103.6</v>
      </c>
      <c r="N443" s="39" t="n">
        <f aca="false">J443*Resumo!$C$7</f>
        <v>1.83998</v>
      </c>
      <c r="O443" s="39" t="n">
        <f aca="false">J443*Resumo!$C$8</f>
        <v>1.83998</v>
      </c>
      <c r="P443" s="39" t="n">
        <f aca="false">Resumo!$C$10*CEILING(I443/100,1)</f>
        <v>1</v>
      </c>
      <c r="Q443" s="39" t="n">
        <f aca="false">Resumo!$C$9</f>
        <v>11.9</v>
      </c>
      <c r="R443" s="39" t="n">
        <f aca="false">SUM(M443:Q443)*Resumo!$C$11</f>
        <v>6.6098978</v>
      </c>
      <c r="S443" s="39" t="n">
        <f aca="false">SUM(M443:R443)</f>
        <v>126.7898578</v>
      </c>
      <c r="T443" s="39" t="n">
        <f aca="false">S443/(1-Resumo!$C$5)</f>
        <v>144.079383863636</v>
      </c>
      <c r="U443" s="39" t="n">
        <v>162.04</v>
      </c>
      <c r="V443" s="39" t="n">
        <f aca="false">J443*Resumo!$B$6</f>
        <v>0.91999</v>
      </c>
      <c r="W443" s="39" t="n">
        <f aca="false">J443*Resumo!$B$7</f>
        <v>1.83998</v>
      </c>
      <c r="X443" s="39" t="n">
        <f aca="false">Resumo!$B$9</f>
        <v>1</v>
      </c>
      <c r="Y443" s="39" t="n">
        <f aca="false">Resumo!$B$10*CEILING(I443/100,1)</f>
        <v>4.5</v>
      </c>
      <c r="Z443" s="39" t="n">
        <f aca="false">Resumo!$B$12*CEILING(I443,1)</f>
        <v>3.24</v>
      </c>
      <c r="AA443" s="39" t="n">
        <f aca="false">Resumo!$B$13*CEILING(I443,1)</f>
        <v>24.3</v>
      </c>
      <c r="AB443" s="39" t="n">
        <f aca="false">SUM(U443:AA443)</f>
        <v>197.83997</v>
      </c>
      <c r="AC443" s="39" t="n">
        <f aca="false">AB443/(1-Resumo!$B$5)</f>
        <v>224.818147727273</v>
      </c>
      <c r="AD443" s="39" t="n">
        <f aca="false">(AB443-AA443)/(1-Resumo!$B$5)</f>
        <v>197.204511363636</v>
      </c>
      <c r="AE443" s="39" t="n">
        <f aca="false">AC443-T443</f>
        <v>80.7387638636364</v>
      </c>
      <c r="AF443" s="40" t="n">
        <f aca="false">AC443/T443-1</f>
        <v>0.560376937342066</v>
      </c>
      <c r="AG443" s="37" t="str">
        <f aca="false">IF(AC443&lt;T443,"SIM","NÃO")</f>
        <v>NÃO</v>
      </c>
      <c r="AH443" s="37" t="n">
        <v>13</v>
      </c>
      <c r="AI443" s="37" t="n">
        <v>11</v>
      </c>
      <c r="AJ443" s="37" t="s">
        <v>327</v>
      </c>
    </row>
    <row r="444" customFormat="false" ht="15" hidden="false" customHeight="false" outlineLevel="0" collapsed="false">
      <c r="A444" s="37" t="n">
        <v>368856007</v>
      </c>
      <c r="B444" s="38" t="n">
        <v>46234.6327199074</v>
      </c>
      <c r="C444" s="37" t="s">
        <v>320</v>
      </c>
      <c r="D444" s="37" t="s">
        <v>762</v>
      </c>
      <c r="E444" s="37" t="n">
        <v>26381368</v>
      </c>
      <c r="F444" s="37" t="s">
        <v>222</v>
      </c>
      <c r="G444" s="37" t="s">
        <v>207</v>
      </c>
      <c r="H444" s="37" t="s">
        <v>174</v>
      </c>
      <c r="I444" s="37" t="n">
        <v>93.8</v>
      </c>
      <c r="J444" s="39" t="n">
        <v>999.99</v>
      </c>
      <c r="K444" s="37" t="s">
        <v>498</v>
      </c>
      <c r="L444" s="39" t="n">
        <v>174.34</v>
      </c>
      <c r="M444" s="39" t="n">
        <v>127.92</v>
      </c>
      <c r="N444" s="39" t="n">
        <f aca="false">J444*Resumo!$C$7</f>
        <v>1.99998</v>
      </c>
      <c r="O444" s="39" t="n">
        <f aca="false">J444*Resumo!$C$8</f>
        <v>1.99998</v>
      </c>
      <c r="P444" s="39" t="n">
        <f aca="false">Resumo!$C$10*CEILING(I444/100,1)</f>
        <v>1</v>
      </c>
      <c r="Q444" s="39" t="n">
        <f aca="false">Resumo!$C$9</f>
        <v>11.9</v>
      </c>
      <c r="R444" s="39" t="n">
        <f aca="false">SUM(M444:Q444)*Resumo!$C$11</f>
        <v>7.9650978</v>
      </c>
      <c r="S444" s="39" t="n">
        <f aca="false">SUM(M444:R444)</f>
        <v>152.7850578</v>
      </c>
      <c r="T444" s="39" t="n">
        <f aca="false">S444/(1-Resumo!$C$5)</f>
        <v>173.619383863636</v>
      </c>
      <c r="U444" s="39" t="n">
        <v>167.99</v>
      </c>
      <c r="V444" s="39" t="n">
        <f aca="false">J444*Resumo!$B$6</f>
        <v>0.99999</v>
      </c>
      <c r="W444" s="39" t="n">
        <f aca="false">J444*Resumo!$B$7</f>
        <v>1.99998</v>
      </c>
      <c r="X444" s="39" t="n">
        <f aca="false">Resumo!$B$9</f>
        <v>1</v>
      </c>
      <c r="Y444" s="39" t="n">
        <f aca="false">Resumo!$B$10*CEILING(I444/100,1)</f>
        <v>4.5</v>
      </c>
      <c r="Z444" s="39" t="n">
        <f aca="false">Resumo!$B$12*CEILING(I444,1)</f>
        <v>5.64</v>
      </c>
      <c r="AA444" s="39" t="n">
        <f aca="false">Resumo!$B$13*CEILING(I444,1)</f>
        <v>42.3</v>
      </c>
      <c r="AB444" s="39" t="n">
        <f aca="false">SUM(U444:AA444)</f>
        <v>224.42997</v>
      </c>
      <c r="AC444" s="39" t="n">
        <f aca="false">AB444/(1-Resumo!$B$5)</f>
        <v>255.034056818182</v>
      </c>
      <c r="AD444" s="39" t="n">
        <f aca="false">(AB444-AA444)/(1-Resumo!$B$5)</f>
        <v>206.965875</v>
      </c>
      <c r="AE444" s="39" t="n">
        <f aca="false">AC444-T444</f>
        <v>81.4146729545455</v>
      </c>
      <c r="AF444" s="40" t="n">
        <f aca="false">AC444/T444-1</f>
        <v>0.468926171391611</v>
      </c>
      <c r="AG444" s="37" t="str">
        <f aca="false">IF(AC444&lt;T444,"SIM","NÃO")</f>
        <v>NÃO</v>
      </c>
      <c r="AH444" s="37" t="n">
        <v>10</v>
      </c>
      <c r="AI444" s="37" t="n">
        <v>5</v>
      </c>
      <c r="AJ444" s="37" t="s">
        <v>327</v>
      </c>
    </row>
    <row r="445" customFormat="false" ht="15" hidden="false" customHeight="false" outlineLevel="0" collapsed="false">
      <c r="A445" s="37" t="n">
        <v>368866781</v>
      </c>
      <c r="B445" s="38" t="n">
        <v>46234.6536458333</v>
      </c>
      <c r="C445" s="37" t="s">
        <v>325</v>
      </c>
      <c r="D445" s="37" t="s">
        <v>763</v>
      </c>
      <c r="E445" s="37" t="n">
        <v>28941412</v>
      </c>
      <c r="F445" s="37" t="s">
        <v>278</v>
      </c>
      <c r="G445" s="37" t="s">
        <v>201</v>
      </c>
      <c r="H445" s="37" t="s">
        <v>170</v>
      </c>
      <c r="I445" s="37" t="n">
        <v>43.5</v>
      </c>
      <c r="J445" s="39" t="n">
        <v>608.99</v>
      </c>
      <c r="K445" s="37" t="s">
        <v>498</v>
      </c>
      <c r="L445" s="39" t="n">
        <v>130.3</v>
      </c>
      <c r="M445" s="39" t="n">
        <v>94</v>
      </c>
      <c r="N445" s="39" t="n">
        <f aca="false">J445*Resumo!$C$7</f>
        <v>1.21798</v>
      </c>
      <c r="O445" s="39" t="n">
        <f aca="false">J445*Resumo!$C$8</f>
        <v>1.21798</v>
      </c>
      <c r="P445" s="39" t="n">
        <f aca="false">Resumo!$C$10*CEILING(I445/100,1)</f>
        <v>1</v>
      </c>
      <c r="Q445" s="39" t="n">
        <f aca="false">Resumo!$C$9</f>
        <v>11.9</v>
      </c>
      <c r="R445" s="39" t="n">
        <f aca="false">SUM(M445:Q445)*Resumo!$C$11</f>
        <v>6.0134778</v>
      </c>
      <c r="S445" s="39" t="n">
        <f aca="false">SUM(M445:R445)</f>
        <v>115.3494378</v>
      </c>
      <c r="T445" s="39" t="n">
        <f aca="false">S445/(1-Resumo!$C$5)</f>
        <v>131.078906590909</v>
      </c>
      <c r="U445" s="39" t="n">
        <v>129.29</v>
      </c>
      <c r="V445" s="39" t="n">
        <f aca="false">J445*Resumo!$B$6</f>
        <v>0.60899</v>
      </c>
      <c r="W445" s="39" t="n">
        <f aca="false">J445*Resumo!$B$7</f>
        <v>1.21798</v>
      </c>
      <c r="X445" s="39" t="n">
        <f aca="false">Resumo!$B$9</f>
        <v>1</v>
      </c>
      <c r="Y445" s="39" t="n">
        <f aca="false">Resumo!$B$10*CEILING(I445/100,1)</f>
        <v>4.5</v>
      </c>
      <c r="Z445" s="39" t="n">
        <f aca="false">Resumo!$B$12*CEILING(I445,1)</f>
        <v>2.64</v>
      </c>
      <c r="AA445" s="39" t="n">
        <f aca="false">Resumo!$B$13*CEILING(I445,1)</f>
        <v>19.8</v>
      </c>
      <c r="AB445" s="39" t="n">
        <f aca="false">SUM(U445:AA445)</f>
        <v>159.05697</v>
      </c>
      <c r="AC445" s="39" t="n">
        <f aca="false">AB445/(1-Resumo!$B$5)</f>
        <v>180.746556818182</v>
      </c>
      <c r="AD445" s="39" t="n">
        <f aca="false">(AB445-AA445)/(1-Resumo!$B$5)</f>
        <v>158.246556818182</v>
      </c>
      <c r="AE445" s="39" t="n">
        <f aca="false">AC445-T445</f>
        <v>49.6676502272727</v>
      </c>
      <c r="AF445" s="40" t="n">
        <f aca="false">AC445/T445-1</f>
        <v>0.378914132861079</v>
      </c>
      <c r="AG445" s="37" t="str">
        <f aca="false">IF(AC445&lt;T445,"SIM","NÃO")</f>
        <v>NÃO</v>
      </c>
      <c r="AH445" s="37" t="n">
        <v>13</v>
      </c>
      <c r="AI445" s="37" t="n">
        <v>10</v>
      </c>
      <c r="AJ445" s="37" t="s">
        <v>327</v>
      </c>
    </row>
    <row r="446" customFormat="false" ht="15" hidden="false" customHeight="false" outlineLevel="0" collapsed="false">
      <c r="A446" s="37" t="n">
        <v>368873212</v>
      </c>
      <c r="B446" s="38" t="n">
        <v>46234.6675</v>
      </c>
      <c r="C446" s="37" t="s">
        <v>325</v>
      </c>
      <c r="D446" s="37" t="s">
        <v>764</v>
      </c>
      <c r="E446" s="37" t="n">
        <v>20931350</v>
      </c>
      <c r="F446" s="37" t="s">
        <v>139</v>
      </c>
      <c r="G446" s="37" t="s">
        <v>198</v>
      </c>
      <c r="H446" s="37" t="s">
        <v>168</v>
      </c>
      <c r="I446" s="37" t="n">
        <v>22</v>
      </c>
      <c r="J446" s="39" t="n">
        <v>727.37</v>
      </c>
      <c r="K446" s="37" t="s">
        <v>322</v>
      </c>
      <c r="L446" s="39" t="n">
        <v>83.8</v>
      </c>
      <c r="M446" s="39" t="n">
        <v>54.1</v>
      </c>
      <c r="N446" s="39" t="n">
        <f aca="false">J446*Resumo!$C$7</f>
        <v>1.45474</v>
      </c>
      <c r="O446" s="39" t="n">
        <f aca="false">J446*Resumo!$C$8</f>
        <v>1.45474</v>
      </c>
      <c r="P446" s="39" t="n">
        <f aca="false">Resumo!$C$10*CEILING(I446/100,1)</f>
        <v>1</v>
      </c>
      <c r="Q446" s="39" t="n">
        <f aca="false">Resumo!$C$9</f>
        <v>11.9</v>
      </c>
      <c r="R446" s="39" t="n">
        <f aca="false">SUM(M446:Q446)*Resumo!$C$11</f>
        <v>3.8450214</v>
      </c>
      <c r="S446" s="39" t="n">
        <f aca="false">SUM(M446:R446)</f>
        <v>73.7545014</v>
      </c>
      <c r="T446" s="39" t="n">
        <f aca="false">S446/(1-Resumo!$C$5)</f>
        <v>83.8119334090909</v>
      </c>
      <c r="U446" s="39" t="n">
        <v>82.21</v>
      </c>
      <c r="V446" s="39" t="n">
        <f aca="false">J446*Resumo!$B$6</f>
        <v>0.72737</v>
      </c>
      <c r="W446" s="39" t="n">
        <f aca="false">J446*Resumo!$B$7</f>
        <v>1.45474</v>
      </c>
      <c r="X446" s="39" t="n">
        <f aca="false">Resumo!$B$9</f>
        <v>1</v>
      </c>
      <c r="Y446" s="39" t="n">
        <f aca="false">Resumo!$B$10*CEILING(I446/100,1)</f>
        <v>4.5</v>
      </c>
      <c r="Z446" s="39" t="n">
        <f aca="false">Resumo!$B$12*CEILING(I446,1)</f>
        <v>1.32</v>
      </c>
      <c r="AA446" s="39" t="n">
        <f aca="false">Resumo!$B$13*CEILING(I446,1)</f>
        <v>9.9</v>
      </c>
      <c r="AB446" s="39" t="n">
        <f aca="false">SUM(U446:AA446)</f>
        <v>101.11211</v>
      </c>
      <c r="AC446" s="39" t="n">
        <f aca="false">AB446/(1-Resumo!$B$5)</f>
        <v>114.900125</v>
      </c>
      <c r="AD446" s="39" t="n">
        <f aca="false">(AB446-AA446)/(1-Resumo!$B$5)</f>
        <v>103.650125</v>
      </c>
      <c r="AE446" s="39" t="n">
        <f aca="false">AC446-T446</f>
        <v>31.0881915909091</v>
      </c>
      <c r="AF446" s="40" t="n">
        <f aca="false">AC446/T446-1</f>
        <v>0.370927985149392</v>
      </c>
      <c r="AG446" s="37" t="str">
        <f aca="false">IF(AC446&lt;T446,"SIM","NÃO")</f>
        <v>NÃO</v>
      </c>
      <c r="AH446" s="37" t="n">
        <v>8</v>
      </c>
      <c r="AI446" s="37" t="n">
        <v>5</v>
      </c>
      <c r="AJ446" s="37" t="s">
        <v>323</v>
      </c>
    </row>
    <row r="447" customFormat="false" ht="15" hidden="false" customHeight="false" outlineLevel="0" collapsed="false">
      <c r="A447" s="37" t="n">
        <v>368898595</v>
      </c>
      <c r="B447" s="38" t="n">
        <v>46234.7240856482</v>
      </c>
      <c r="C447" s="37" t="s">
        <v>320</v>
      </c>
      <c r="D447" s="37" t="s">
        <v>765</v>
      </c>
      <c r="E447" s="37" t="n">
        <v>23520286</v>
      </c>
      <c r="F447" s="37" t="s">
        <v>139</v>
      </c>
      <c r="G447" s="37" t="s">
        <v>198</v>
      </c>
      <c r="H447" s="37" t="s">
        <v>176</v>
      </c>
      <c r="I447" s="37" t="n">
        <v>124.2</v>
      </c>
      <c r="J447" s="39" t="n">
        <v>1699.99</v>
      </c>
      <c r="K447" s="37" t="s">
        <v>498</v>
      </c>
      <c r="L447" s="39" t="n">
        <v>226.85</v>
      </c>
      <c r="M447" s="39" t="n">
        <v>174.85</v>
      </c>
      <c r="N447" s="39" t="n">
        <f aca="false">J447*Resumo!$C$7</f>
        <v>3.39998</v>
      </c>
      <c r="O447" s="39" t="n">
        <f aca="false">J447*Resumo!$C$8</f>
        <v>3.39998</v>
      </c>
      <c r="P447" s="39" t="n">
        <f aca="false">Resumo!$C$10*CEILING(I447/100,1)</f>
        <v>2</v>
      </c>
      <c r="Q447" s="39" t="n">
        <f aca="false">Resumo!$C$9</f>
        <v>11.9</v>
      </c>
      <c r="R447" s="39" t="n">
        <f aca="false">SUM(M447:Q447)*Resumo!$C$11</f>
        <v>10.7552478</v>
      </c>
      <c r="S447" s="39" t="n">
        <f aca="false">SUM(M447:R447)</f>
        <v>206.3052078</v>
      </c>
      <c r="T447" s="39" t="n">
        <f aca="false">S447/(1-Resumo!$C$5)</f>
        <v>234.437736136364</v>
      </c>
      <c r="U447" s="39" t="n">
        <v>239.25</v>
      </c>
      <c r="V447" s="39" t="n">
        <f aca="false">J447*Resumo!$B$6</f>
        <v>1.69999</v>
      </c>
      <c r="W447" s="39" t="n">
        <f aca="false">J447*Resumo!$B$7</f>
        <v>3.39998</v>
      </c>
      <c r="X447" s="39" t="n">
        <f aca="false">Resumo!$B$9</f>
        <v>1</v>
      </c>
      <c r="Y447" s="39" t="n">
        <f aca="false">Resumo!$B$10*CEILING(I447/100,1)</f>
        <v>9</v>
      </c>
      <c r="Z447" s="39" t="n">
        <f aca="false">Resumo!$B$12*CEILING(I447,1)</f>
        <v>7.5</v>
      </c>
      <c r="AA447" s="39" t="n">
        <f aca="false">Resumo!$B$13*CEILING(I447,1)</f>
        <v>56.25</v>
      </c>
      <c r="AB447" s="39" t="n">
        <f aca="false">SUM(U447:AA447)</f>
        <v>318.09997</v>
      </c>
      <c r="AC447" s="39" t="n">
        <f aca="false">AB447/(1-Resumo!$B$5)</f>
        <v>361.477238636364</v>
      </c>
      <c r="AD447" s="39" t="n">
        <f aca="false">(AB447-AA447)/(1-Resumo!$B$5)</f>
        <v>297.556784090909</v>
      </c>
      <c r="AE447" s="39" t="n">
        <f aca="false">AC447-T447</f>
        <v>127.0395025</v>
      </c>
      <c r="AF447" s="40" t="n">
        <f aca="false">AC447/T447-1</f>
        <v>0.541890160661276</v>
      </c>
      <c r="AG447" s="37" t="str">
        <f aca="false">IF(AC447&lt;T447,"SIM","NÃO")</f>
        <v>NÃO</v>
      </c>
      <c r="AH447" s="37" t="n">
        <v>8</v>
      </c>
      <c r="AI447" s="37" t="n">
        <v>5</v>
      </c>
      <c r="AJ447" s="37" t="s">
        <v>323</v>
      </c>
    </row>
    <row r="448" customFormat="false" ht="15" hidden="false" customHeight="false" outlineLevel="0" collapsed="false">
      <c r="A448" s="37" t="n">
        <v>368906974</v>
      </c>
      <c r="B448" s="38" t="n">
        <v>46234.746400463</v>
      </c>
      <c r="C448" s="37" t="s">
        <v>352</v>
      </c>
      <c r="D448" s="37" t="s">
        <v>766</v>
      </c>
      <c r="E448" s="37" t="n">
        <v>24412560</v>
      </c>
      <c r="F448" s="37" t="s">
        <v>140</v>
      </c>
      <c r="G448" s="37" t="s">
        <v>207</v>
      </c>
      <c r="H448" s="37" t="s">
        <v>169</v>
      </c>
      <c r="I448" s="37" t="n">
        <v>39.9</v>
      </c>
      <c r="J448" s="39" t="n">
        <v>495.99</v>
      </c>
      <c r="K448" s="37" t="s">
        <v>498</v>
      </c>
      <c r="L448" s="39" t="n">
        <v>115.35</v>
      </c>
      <c r="M448" s="39" t="n">
        <v>79.65</v>
      </c>
      <c r="N448" s="39" t="n">
        <f aca="false">J448*Resumo!$C$7</f>
        <v>0.99198</v>
      </c>
      <c r="O448" s="39" t="n">
        <f aca="false">J448*Resumo!$C$8</f>
        <v>0.99198</v>
      </c>
      <c r="P448" s="39" t="n">
        <f aca="false">Resumo!$C$10*CEILING(I448/100,1)</f>
        <v>1</v>
      </c>
      <c r="Q448" s="39" t="n">
        <f aca="false">Resumo!$C$9</f>
        <v>11.9</v>
      </c>
      <c r="R448" s="39" t="n">
        <f aca="false">SUM(M448:Q448)*Resumo!$C$11</f>
        <v>5.1993678</v>
      </c>
      <c r="S448" s="39" t="n">
        <f aca="false">SUM(M448:R448)</f>
        <v>99.7333278</v>
      </c>
      <c r="T448" s="39" t="n">
        <f aca="false">S448/(1-Resumo!$C$5)</f>
        <v>113.333327045455</v>
      </c>
      <c r="U448" s="39" t="n">
        <v>114.95</v>
      </c>
      <c r="V448" s="39" t="n">
        <f aca="false">J448*Resumo!$B$6</f>
        <v>0.49599</v>
      </c>
      <c r="W448" s="39" t="n">
        <f aca="false">J448*Resumo!$B$7</f>
        <v>0.99198</v>
      </c>
      <c r="X448" s="39" t="n">
        <f aca="false">Resumo!$B$9</f>
        <v>1</v>
      </c>
      <c r="Y448" s="39" t="n">
        <f aca="false">Resumo!$B$10*CEILING(I448/100,1)</f>
        <v>4.5</v>
      </c>
      <c r="Z448" s="39" t="n">
        <f aca="false">Resumo!$B$12*CEILING(I448,1)</f>
        <v>2.4</v>
      </c>
      <c r="AA448" s="39" t="n">
        <f aca="false">Resumo!$B$13*CEILING(I448,1)</f>
        <v>18</v>
      </c>
      <c r="AB448" s="39" t="n">
        <f aca="false">SUM(U448:AA448)</f>
        <v>142.33797</v>
      </c>
      <c r="AC448" s="39" t="n">
        <f aca="false">AB448/(1-Resumo!$B$5)</f>
        <v>161.747693181818</v>
      </c>
      <c r="AD448" s="39" t="n">
        <f aca="false">(AB448-AA448)/(1-Resumo!$B$5)</f>
        <v>141.293147727273</v>
      </c>
      <c r="AE448" s="39" t="n">
        <f aca="false">AC448-T448</f>
        <v>48.4143661363636</v>
      </c>
      <c r="AF448" s="40" t="n">
        <f aca="false">AC448/T448-1</f>
        <v>0.427185607256955</v>
      </c>
      <c r="AG448" s="37" t="str">
        <f aca="false">IF(AC448&lt;T448,"SIM","NÃO")</f>
        <v>NÃO</v>
      </c>
      <c r="AH448" s="37" t="n">
        <v>10</v>
      </c>
      <c r="AI448" s="37" t="n">
        <v>7</v>
      </c>
      <c r="AJ448" s="37" t="s">
        <v>323</v>
      </c>
    </row>
    <row r="449" customFormat="false" ht="15" hidden="false" customHeight="false" outlineLevel="0" collapsed="false">
      <c r="A449" s="37" t="n">
        <v>368924697</v>
      </c>
      <c r="B449" s="38" t="n">
        <v>46234.7722569444</v>
      </c>
      <c r="C449" s="37" t="s">
        <v>320</v>
      </c>
      <c r="D449" s="37" t="s">
        <v>767</v>
      </c>
      <c r="E449" s="37" t="n">
        <v>28350190</v>
      </c>
      <c r="F449" s="37" t="s">
        <v>249</v>
      </c>
      <c r="G449" s="37" t="s">
        <v>201</v>
      </c>
      <c r="H449" s="37" t="s">
        <v>169</v>
      </c>
      <c r="I449" s="37" t="n">
        <v>37.2</v>
      </c>
      <c r="J449" s="39" t="n">
        <v>399.99</v>
      </c>
      <c r="K449" s="37" t="s">
        <v>498</v>
      </c>
      <c r="L449" s="39" t="n">
        <v>123.13</v>
      </c>
      <c r="M449" s="39" t="n">
        <v>87.4</v>
      </c>
      <c r="N449" s="39" t="n">
        <f aca="false">J449*Resumo!$C$7</f>
        <v>0.79998</v>
      </c>
      <c r="O449" s="39" t="n">
        <f aca="false">J449*Resumo!$C$8</f>
        <v>0.79998</v>
      </c>
      <c r="P449" s="39" t="n">
        <f aca="false">Resumo!$C$10*CEILING(I449/100,1)</f>
        <v>1</v>
      </c>
      <c r="Q449" s="39" t="n">
        <f aca="false">Resumo!$C$9</f>
        <v>11.9</v>
      </c>
      <c r="R449" s="39" t="n">
        <f aca="false">SUM(M449:Q449)*Resumo!$C$11</f>
        <v>5.6044978</v>
      </c>
      <c r="S449" s="39" t="n">
        <f aca="false">SUM(M449:R449)</f>
        <v>107.5044578</v>
      </c>
      <c r="T449" s="39" t="n">
        <f aca="false">S449/(1-Resumo!$C$5)</f>
        <v>122.164156590909</v>
      </c>
      <c r="U449" s="39" t="n">
        <v>143.04</v>
      </c>
      <c r="V449" s="39" t="n">
        <f aca="false">J449*Resumo!$B$6</f>
        <v>0.39999</v>
      </c>
      <c r="W449" s="39" t="n">
        <f aca="false">J449*Resumo!$B$7</f>
        <v>0.79998</v>
      </c>
      <c r="X449" s="39" t="n">
        <f aca="false">Resumo!$B$9</f>
        <v>1</v>
      </c>
      <c r="Y449" s="39" t="n">
        <f aca="false">Resumo!$B$10*CEILING(I449/100,1)</f>
        <v>4.5</v>
      </c>
      <c r="Z449" s="39" t="n">
        <f aca="false">Resumo!$B$12*CEILING(I449,1)</f>
        <v>2.28</v>
      </c>
      <c r="AA449" s="39" t="n">
        <f aca="false">Resumo!$B$13*CEILING(I449,1)</f>
        <v>17.1</v>
      </c>
      <c r="AB449" s="39" t="n">
        <f aca="false">SUM(U449:AA449)</f>
        <v>169.11997</v>
      </c>
      <c r="AC449" s="39" t="n">
        <f aca="false">AB449/(1-Resumo!$B$5)</f>
        <v>192.181784090909</v>
      </c>
      <c r="AD449" s="39" t="n">
        <f aca="false">(AB449-AA449)/(1-Resumo!$B$5)</f>
        <v>172.749965909091</v>
      </c>
      <c r="AE449" s="39" t="n">
        <f aca="false">AC449-T449</f>
        <v>70.0176275</v>
      </c>
      <c r="AF449" s="40" t="n">
        <f aca="false">AC449/T449-1</f>
        <v>0.57314378827554</v>
      </c>
      <c r="AG449" s="37" t="str">
        <f aca="false">IF(AC449&lt;T449,"SIM","NÃO")</f>
        <v>NÃO</v>
      </c>
      <c r="AH449" s="37" t="n">
        <v>13</v>
      </c>
      <c r="AI449" s="37" t="n">
        <v>11</v>
      </c>
      <c r="AJ449" s="37" t="s">
        <v>327</v>
      </c>
    </row>
    <row r="450" customFormat="false" ht="15" hidden="false" customHeight="false" outlineLevel="0" collapsed="false">
      <c r="A450" s="37" t="n">
        <v>369015777</v>
      </c>
      <c r="B450" s="38" t="n">
        <v>46234.9237268519</v>
      </c>
      <c r="C450" s="37" t="s">
        <v>320</v>
      </c>
      <c r="D450" s="37" t="s">
        <v>768</v>
      </c>
      <c r="E450" s="37" t="n">
        <v>23932405</v>
      </c>
      <c r="F450" s="37" t="s">
        <v>149</v>
      </c>
      <c r="G450" s="37" t="s">
        <v>201</v>
      </c>
      <c r="H450" s="37" t="s">
        <v>169</v>
      </c>
      <c r="I450" s="37" t="n">
        <v>40</v>
      </c>
      <c r="J450" s="39" t="n">
        <v>619.99</v>
      </c>
      <c r="K450" s="37" t="s">
        <v>498</v>
      </c>
      <c r="L450" s="39" t="n">
        <v>125.19</v>
      </c>
      <c r="M450" s="39" t="n">
        <v>87.4</v>
      </c>
      <c r="N450" s="39" t="n">
        <f aca="false">J450*Resumo!$C$7</f>
        <v>1.23998</v>
      </c>
      <c r="O450" s="39" t="n">
        <f aca="false">J450*Resumo!$C$8</f>
        <v>1.23998</v>
      </c>
      <c r="P450" s="39" t="n">
        <f aca="false">Resumo!$C$10*CEILING(I450/100,1)</f>
        <v>1</v>
      </c>
      <c r="Q450" s="39" t="n">
        <f aca="false">Resumo!$C$9</f>
        <v>11.9</v>
      </c>
      <c r="R450" s="39" t="n">
        <f aca="false">SUM(M450:Q450)*Resumo!$C$11</f>
        <v>5.6528978</v>
      </c>
      <c r="S450" s="39" t="n">
        <f aca="false">SUM(M450:R450)</f>
        <v>108.4328578</v>
      </c>
      <c r="T450" s="39" t="n">
        <f aca="false">S450/(1-Resumo!$C$5)</f>
        <v>123.219156590909</v>
      </c>
      <c r="U450" s="39" t="n">
        <v>124.38</v>
      </c>
      <c r="V450" s="39" t="n">
        <f aca="false">J450*Resumo!$B$6</f>
        <v>0.61999</v>
      </c>
      <c r="W450" s="39" t="n">
        <f aca="false">J450*Resumo!$B$7</f>
        <v>1.23998</v>
      </c>
      <c r="X450" s="39" t="n">
        <f aca="false">Resumo!$B$9</f>
        <v>1</v>
      </c>
      <c r="Y450" s="39" t="n">
        <f aca="false">Resumo!$B$10*CEILING(I450/100,1)</f>
        <v>4.5</v>
      </c>
      <c r="Z450" s="39" t="n">
        <f aca="false">Resumo!$B$12*CEILING(I450,1)</f>
        <v>2.4</v>
      </c>
      <c r="AA450" s="39" t="n">
        <f aca="false">Resumo!$B$13*CEILING(I450,1)</f>
        <v>18</v>
      </c>
      <c r="AB450" s="39" t="n">
        <f aca="false">SUM(U450:AA450)</f>
        <v>152.13997</v>
      </c>
      <c r="AC450" s="39" t="n">
        <f aca="false">AB450/(1-Resumo!$B$5)</f>
        <v>172.886329545455</v>
      </c>
      <c r="AD450" s="39" t="n">
        <f aca="false">(AB450-AA450)/(1-Resumo!$B$5)</f>
        <v>152.431784090909</v>
      </c>
      <c r="AE450" s="39" t="n">
        <f aca="false">AC450-T450</f>
        <v>49.6671729545455</v>
      </c>
      <c r="AF450" s="40" t="n">
        <f aca="false">AC450/T450-1</f>
        <v>0.403079961985471</v>
      </c>
      <c r="AG450" s="37" t="str">
        <f aca="false">IF(AC450&lt;T450,"SIM","NÃO")</f>
        <v>NÃO</v>
      </c>
      <c r="AH450" s="37" t="n">
        <v>13</v>
      </c>
      <c r="AI450" s="37" t="n">
        <v>10</v>
      </c>
      <c r="AJ450" s="37" t="s">
        <v>323</v>
      </c>
    </row>
    <row r="451" customFormat="false" ht="15" hidden="false" customHeight="false" outlineLevel="0" collapsed="false">
      <c r="A451" s="37" t="n">
        <v>369020391</v>
      </c>
      <c r="B451" s="38" t="n">
        <v>46234.9331712963</v>
      </c>
      <c r="C451" s="37" t="s">
        <v>320</v>
      </c>
      <c r="D451" s="37" t="s">
        <v>769</v>
      </c>
      <c r="E451" s="37" t="n">
        <v>24809230</v>
      </c>
      <c r="F451" s="37" t="s">
        <v>154</v>
      </c>
      <c r="G451" s="37" t="s">
        <v>201</v>
      </c>
      <c r="H451" s="37" t="s">
        <v>169</v>
      </c>
      <c r="I451" s="37" t="n">
        <v>37.2</v>
      </c>
      <c r="J451" s="39" t="n">
        <v>399.99</v>
      </c>
      <c r="K451" s="37" t="s">
        <v>498</v>
      </c>
      <c r="L451" s="39" t="n">
        <v>123.13</v>
      </c>
      <c r="M451" s="39" t="n">
        <v>87.4</v>
      </c>
      <c r="N451" s="39" t="n">
        <f aca="false">J451*Resumo!$C$7</f>
        <v>0.79998</v>
      </c>
      <c r="O451" s="39" t="n">
        <f aca="false">J451*Resumo!$C$8</f>
        <v>0.79998</v>
      </c>
      <c r="P451" s="39" t="n">
        <f aca="false">Resumo!$C$10*CEILING(I451/100,1)</f>
        <v>1</v>
      </c>
      <c r="Q451" s="39" t="n">
        <f aca="false">Resumo!$C$9</f>
        <v>11.9</v>
      </c>
      <c r="R451" s="39" t="n">
        <f aca="false">SUM(M451:Q451)*Resumo!$C$11</f>
        <v>5.6044978</v>
      </c>
      <c r="S451" s="39" t="n">
        <f aca="false">SUM(M451:R451)</f>
        <v>107.5044578</v>
      </c>
      <c r="T451" s="39" t="n">
        <f aca="false">S451/(1-Resumo!$C$5)</f>
        <v>122.164156590909</v>
      </c>
      <c r="U451" s="39" t="n">
        <v>114.95</v>
      </c>
      <c r="V451" s="39" t="n">
        <f aca="false">J451*Resumo!$B$6</f>
        <v>0.39999</v>
      </c>
      <c r="W451" s="39" t="n">
        <f aca="false">J451*Resumo!$B$7</f>
        <v>0.79998</v>
      </c>
      <c r="X451" s="39" t="n">
        <f aca="false">Resumo!$B$9</f>
        <v>1</v>
      </c>
      <c r="Y451" s="39" t="n">
        <f aca="false">Resumo!$B$10*CEILING(I451/100,1)</f>
        <v>4.5</v>
      </c>
      <c r="Z451" s="39" t="n">
        <f aca="false">Resumo!$B$12*CEILING(I451,1)</f>
        <v>2.28</v>
      </c>
      <c r="AA451" s="39" t="n">
        <f aca="false">Resumo!$B$13*CEILING(I451,1)</f>
        <v>17.1</v>
      </c>
      <c r="AB451" s="39" t="n">
        <f aca="false">SUM(U451:AA451)</f>
        <v>141.02997</v>
      </c>
      <c r="AC451" s="39" t="n">
        <f aca="false">AB451/(1-Resumo!$B$5)</f>
        <v>160.261329545455</v>
      </c>
      <c r="AD451" s="39" t="n">
        <f aca="false">(AB451-AA451)/(1-Resumo!$B$5)</f>
        <v>140.829511363636</v>
      </c>
      <c r="AE451" s="39" t="n">
        <f aca="false">AC451-T451</f>
        <v>38.0971729545454</v>
      </c>
      <c r="AF451" s="40" t="n">
        <f aca="false">AC451/T451-1</f>
        <v>0.311852297905362</v>
      </c>
      <c r="AG451" s="37" t="str">
        <f aca="false">IF(AC451&lt;T451,"SIM","NÃO")</f>
        <v>NÃO</v>
      </c>
      <c r="AH451" s="37" t="n">
        <v>13</v>
      </c>
      <c r="AI451" s="37" t="n">
        <v>7</v>
      </c>
      <c r="AJ451" s="37" t="s">
        <v>323</v>
      </c>
    </row>
    <row r="452" customFormat="false" ht="15" hidden="false" customHeight="false" outlineLevel="0" collapsed="false">
      <c r="A452" s="37" t="n">
        <v>369031835</v>
      </c>
      <c r="B452" s="38" t="n">
        <v>46234.9561458333</v>
      </c>
      <c r="C452" s="37" t="s">
        <v>320</v>
      </c>
      <c r="D452" s="37" t="s">
        <v>770</v>
      </c>
      <c r="E452" s="37" t="n">
        <v>27931173</v>
      </c>
      <c r="F452" s="37" t="s">
        <v>146</v>
      </c>
      <c r="G452" s="37" t="s">
        <v>201</v>
      </c>
      <c r="H452" s="37" t="s">
        <v>176</v>
      </c>
      <c r="I452" s="37" t="n">
        <v>124.2</v>
      </c>
      <c r="J452" s="39" t="n">
        <v>1558.08</v>
      </c>
      <c r="K452" s="37" t="s">
        <v>498</v>
      </c>
      <c r="L452" s="39" t="n">
        <v>253.05</v>
      </c>
      <c r="M452" s="39" t="n">
        <v>197.37</v>
      </c>
      <c r="N452" s="39" t="n">
        <f aca="false">J452*Resumo!$C$7</f>
        <v>3.11616</v>
      </c>
      <c r="O452" s="39" t="n">
        <f aca="false">J452*Resumo!$C$8</f>
        <v>3.11616</v>
      </c>
      <c r="P452" s="39" t="n">
        <f aca="false">Resumo!$C$10*CEILING(I452/100,1)</f>
        <v>2</v>
      </c>
      <c r="Q452" s="39" t="n">
        <f aca="false">Resumo!$C$9</f>
        <v>11.9</v>
      </c>
      <c r="R452" s="39" t="n">
        <f aca="false">SUM(M452:Q452)*Resumo!$C$11</f>
        <v>11.9626276</v>
      </c>
      <c r="S452" s="39" t="n">
        <f aca="false">SUM(M452:R452)</f>
        <v>229.4649476</v>
      </c>
      <c r="T452" s="39" t="n">
        <f aca="false">S452/(1-Resumo!$C$5)</f>
        <v>260.755622272727</v>
      </c>
      <c r="U452" s="39" t="n">
        <v>264.84</v>
      </c>
      <c r="V452" s="39" t="n">
        <f aca="false">J452*Resumo!$B$6</f>
        <v>1.55808</v>
      </c>
      <c r="W452" s="39" t="n">
        <f aca="false">J452*Resumo!$B$7</f>
        <v>3.11616</v>
      </c>
      <c r="X452" s="39" t="n">
        <f aca="false">Resumo!$B$9</f>
        <v>1</v>
      </c>
      <c r="Y452" s="39" t="n">
        <f aca="false">Resumo!$B$10*CEILING(I452/100,1)</f>
        <v>9</v>
      </c>
      <c r="Z452" s="39" t="n">
        <f aca="false">Resumo!$B$12*CEILING(I452,1)</f>
        <v>7.5</v>
      </c>
      <c r="AA452" s="39" t="n">
        <f aca="false">Resumo!$B$13*CEILING(I452,1)</f>
        <v>56.25</v>
      </c>
      <c r="AB452" s="39" t="n">
        <f aca="false">SUM(U452:AA452)</f>
        <v>343.26424</v>
      </c>
      <c r="AC452" s="39" t="n">
        <f aca="false">AB452/(1-Resumo!$B$5)</f>
        <v>390.073</v>
      </c>
      <c r="AD452" s="39" t="n">
        <f aca="false">(AB452-AA452)/(1-Resumo!$B$5)</f>
        <v>326.152545454545</v>
      </c>
      <c r="AE452" s="39" t="n">
        <f aca="false">AC452-T452</f>
        <v>129.317377727273</v>
      </c>
      <c r="AF452" s="40" t="n">
        <f aca="false">AC452/T452-1</f>
        <v>0.495933228975666</v>
      </c>
      <c r="AG452" s="37" t="str">
        <f aca="false">IF(AC452&lt;T452,"SIM","NÃO")</f>
        <v>NÃO</v>
      </c>
      <c r="AH452" s="37" t="n">
        <v>13</v>
      </c>
      <c r="AI452" s="37" t="n">
        <v>11</v>
      </c>
      <c r="AJ452" s="37" t="s">
        <v>323</v>
      </c>
    </row>
    <row r="453" customFormat="false" ht="15" hidden="false" customHeight="false" outlineLevel="0" collapsed="false">
      <c r="A453" s="37" t="n">
        <v>369072990</v>
      </c>
      <c r="B453" s="38" t="n">
        <v>46235.0544097222</v>
      </c>
      <c r="C453" s="37" t="s">
        <v>320</v>
      </c>
      <c r="D453" s="37" t="s">
        <v>771</v>
      </c>
      <c r="E453" s="37" t="n">
        <v>23914465</v>
      </c>
      <c r="F453" s="37" t="s">
        <v>149</v>
      </c>
      <c r="G453" s="37" t="s">
        <v>201</v>
      </c>
      <c r="H453" s="37" t="s">
        <v>171</v>
      </c>
      <c r="I453" s="37" t="n">
        <v>52.3</v>
      </c>
      <c r="J453" s="39" t="n">
        <v>685.85</v>
      </c>
      <c r="K453" s="37" t="s">
        <v>498</v>
      </c>
      <c r="L453" s="39" t="n">
        <v>141.94</v>
      </c>
      <c r="M453" s="39" t="n">
        <v>103.6</v>
      </c>
      <c r="N453" s="39" t="n">
        <f aca="false">J453*Resumo!$C$7</f>
        <v>1.3717</v>
      </c>
      <c r="O453" s="39" t="n">
        <f aca="false">J453*Resumo!$C$8</f>
        <v>1.3717</v>
      </c>
      <c r="P453" s="39" t="n">
        <f aca="false">Resumo!$C$10*CEILING(I453/100,1)</f>
        <v>1</v>
      </c>
      <c r="Q453" s="39" t="n">
        <f aca="false">Resumo!$C$9</f>
        <v>11.9</v>
      </c>
      <c r="R453" s="39" t="n">
        <f aca="false">SUM(M453:Q453)*Resumo!$C$11</f>
        <v>6.558387</v>
      </c>
      <c r="S453" s="39" t="n">
        <f aca="false">SUM(M453:R453)</f>
        <v>125.801787</v>
      </c>
      <c r="T453" s="39" t="n">
        <f aca="false">S453/(1-Resumo!$C$5)</f>
        <v>142.956576136364</v>
      </c>
      <c r="U453" s="39" t="n">
        <v>142.32</v>
      </c>
      <c r="V453" s="39" t="n">
        <f aca="false">J453*Resumo!$B$6</f>
        <v>0.68585</v>
      </c>
      <c r="W453" s="39" t="n">
        <f aca="false">J453*Resumo!$B$7</f>
        <v>1.3717</v>
      </c>
      <c r="X453" s="39" t="n">
        <f aca="false">Resumo!$B$9</f>
        <v>1</v>
      </c>
      <c r="Y453" s="39" t="n">
        <f aca="false">Resumo!$B$10*CEILING(I453/100,1)</f>
        <v>4.5</v>
      </c>
      <c r="Z453" s="39" t="n">
        <f aca="false">Resumo!$B$12*CEILING(I453,1)</f>
        <v>3.18</v>
      </c>
      <c r="AA453" s="39" t="n">
        <f aca="false">Resumo!$B$13*CEILING(I453,1)</f>
        <v>23.85</v>
      </c>
      <c r="AB453" s="39" t="n">
        <f aca="false">SUM(U453:AA453)</f>
        <v>176.90755</v>
      </c>
      <c r="AC453" s="39" t="n">
        <f aca="false">AB453/(1-Resumo!$B$5)</f>
        <v>201.031306818182</v>
      </c>
      <c r="AD453" s="39" t="n">
        <f aca="false">(AB453-AA453)/(1-Resumo!$B$5)</f>
        <v>173.929034090909</v>
      </c>
      <c r="AE453" s="39" t="n">
        <f aca="false">AC453-T453</f>
        <v>58.0747306818182</v>
      </c>
      <c r="AF453" s="40" t="n">
        <f aca="false">AC453/T453-1</f>
        <v>0.406240358096026</v>
      </c>
      <c r="AG453" s="37" t="str">
        <f aca="false">IF(AC453&lt;T453,"SIM","NÃO")</f>
        <v>NÃO</v>
      </c>
      <c r="AH453" s="37" t="n">
        <v>13</v>
      </c>
      <c r="AI453" s="37" t="n">
        <v>10</v>
      </c>
      <c r="AJ453" s="37" t="s">
        <v>323</v>
      </c>
    </row>
    <row r="454" customFormat="false" ht="15" hidden="false" customHeight="false" outlineLevel="0" collapsed="false">
      <c r="A454" s="37" t="n">
        <v>369082511</v>
      </c>
      <c r="B454" s="38" t="n">
        <v>46235.0810532407</v>
      </c>
      <c r="C454" s="37" t="s">
        <v>325</v>
      </c>
      <c r="D454" s="37" t="s">
        <v>772</v>
      </c>
      <c r="E454" s="37" t="n">
        <v>23094140</v>
      </c>
      <c r="F454" s="37" t="s">
        <v>139</v>
      </c>
      <c r="G454" s="37" t="s">
        <v>198</v>
      </c>
      <c r="H454" s="37" t="s">
        <v>175</v>
      </c>
      <c r="I454" s="37" t="n">
        <v>117.7</v>
      </c>
      <c r="J454" s="39" t="n">
        <v>1318.14</v>
      </c>
      <c r="K454" s="37" t="s">
        <v>498</v>
      </c>
      <c r="L454" s="39" t="n">
        <v>189.35</v>
      </c>
      <c r="M454" s="39" t="n">
        <v>135.94</v>
      </c>
      <c r="N454" s="39" t="n">
        <f aca="false">J454*Resumo!$C$7</f>
        <v>2.63628</v>
      </c>
      <c r="O454" s="39" t="n">
        <f aca="false">J454*Resumo!$C$8</f>
        <v>2.63628</v>
      </c>
      <c r="P454" s="39" t="n">
        <f aca="false">Resumo!$C$10*CEILING(I454/100,1)</f>
        <v>2</v>
      </c>
      <c r="Q454" s="39" t="n">
        <f aca="false">Resumo!$C$9</f>
        <v>11.9</v>
      </c>
      <c r="R454" s="39" t="n">
        <f aca="false">SUM(M454:Q454)*Resumo!$C$11</f>
        <v>8.5311908</v>
      </c>
      <c r="S454" s="39" t="n">
        <f aca="false">SUM(M454:R454)</f>
        <v>163.6437508</v>
      </c>
      <c r="T454" s="39" t="n">
        <f aca="false">S454/(1-Resumo!$C$5)</f>
        <v>185.958807727273</v>
      </c>
      <c r="U454" s="39" t="n">
        <v>201.59</v>
      </c>
      <c r="V454" s="39" t="n">
        <f aca="false">J454*Resumo!$B$6</f>
        <v>1.31814</v>
      </c>
      <c r="W454" s="39" t="n">
        <f aca="false">J454*Resumo!$B$7</f>
        <v>2.63628</v>
      </c>
      <c r="X454" s="39" t="n">
        <f aca="false">Resumo!$B$9</f>
        <v>1</v>
      </c>
      <c r="Y454" s="39" t="n">
        <f aca="false">Resumo!$B$10*CEILING(I454/100,1)</f>
        <v>9</v>
      </c>
      <c r="Z454" s="39" t="n">
        <f aca="false">Resumo!$B$12*CEILING(I454,1)</f>
        <v>7.08</v>
      </c>
      <c r="AA454" s="39" t="n">
        <f aca="false">Resumo!$B$13*CEILING(I454,1)</f>
        <v>53.1</v>
      </c>
      <c r="AB454" s="39" t="n">
        <f aca="false">SUM(U454:AA454)</f>
        <v>275.72442</v>
      </c>
      <c r="AC454" s="39" t="n">
        <f aca="false">AB454/(1-Resumo!$B$5)</f>
        <v>313.323204545455</v>
      </c>
      <c r="AD454" s="39" t="n">
        <f aca="false">(AB454-AA454)/(1-Resumo!$B$5)</f>
        <v>252.982295454545</v>
      </c>
      <c r="AE454" s="39" t="n">
        <f aca="false">AC454-T454</f>
        <v>127.364396818182</v>
      </c>
      <c r="AF454" s="40" t="n">
        <f aca="false">AC454/T454-1</f>
        <v>0.684906503621891</v>
      </c>
      <c r="AG454" s="37" t="str">
        <f aca="false">IF(AC454&lt;T454,"SIM","NÃO")</f>
        <v>NÃO</v>
      </c>
      <c r="AH454" s="37" t="n">
        <v>8</v>
      </c>
      <c r="AI454" s="37" t="n">
        <v>5</v>
      </c>
      <c r="AJ454" s="37" t="s">
        <v>323</v>
      </c>
    </row>
    <row r="455" customFormat="false" ht="15" hidden="false" customHeight="false" outlineLevel="0" collapsed="false">
      <c r="A455" s="37" t="n">
        <v>369229649</v>
      </c>
      <c r="B455" s="38" t="n">
        <v>46235.3638194444</v>
      </c>
      <c r="C455" s="37" t="s">
        <v>325</v>
      </c>
      <c r="D455" s="37" t="s">
        <v>645</v>
      </c>
      <c r="E455" s="37" t="n">
        <v>23020230</v>
      </c>
      <c r="F455" s="37" t="s">
        <v>139</v>
      </c>
      <c r="G455" s="37" t="s">
        <v>198</v>
      </c>
      <c r="H455" s="37" t="s">
        <v>171</v>
      </c>
      <c r="I455" s="37" t="n">
        <v>55</v>
      </c>
      <c r="J455" s="39" t="n">
        <v>676</v>
      </c>
      <c r="K455" s="37" t="s">
        <v>498</v>
      </c>
      <c r="L455" s="39" t="n">
        <v>114.53</v>
      </c>
      <c r="M455" s="39" t="n">
        <v>79.81</v>
      </c>
      <c r="N455" s="39" t="n">
        <f aca="false">J455*Resumo!$C$7</f>
        <v>1.352</v>
      </c>
      <c r="O455" s="39" t="n">
        <f aca="false">J455*Resumo!$C$8</f>
        <v>1.352</v>
      </c>
      <c r="P455" s="39" t="n">
        <f aca="false">Resumo!$C$10*CEILING(I455/100,1)</f>
        <v>1</v>
      </c>
      <c r="Q455" s="39" t="n">
        <f aca="false">Resumo!$C$9</f>
        <v>11.9</v>
      </c>
      <c r="R455" s="39" t="n">
        <f aca="false">SUM(M455:Q455)*Resumo!$C$11</f>
        <v>5.24777</v>
      </c>
      <c r="S455" s="39" t="n">
        <f aca="false">SUM(M455:R455)</f>
        <v>100.66177</v>
      </c>
      <c r="T455" s="39" t="n">
        <f aca="false">S455/(1-Resumo!$C$5)</f>
        <v>114.388375</v>
      </c>
      <c r="U455" s="39" t="n">
        <v>112.3</v>
      </c>
      <c r="V455" s="39" t="n">
        <f aca="false">J455*Resumo!$B$6</f>
        <v>0.676</v>
      </c>
      <c r="W455" s="39" t="n">
        <f aca="false">J455*Resumo!$B$7</f>
        <v>1.352</v>
      </c>
      <c r="X455" s="39" t="n">
        <f aca="false">Resumo!$B$9</f>
        <v>1</v>
      </c>
      <c r="Y455" s="39" t="n">
        <f aca="false">Resumo!$B$10*CEILING(I455/100,1)</f>
        <v>4.5</v>
      </c>
      <c r="Z455" s="39" t="n">
        <f aca="false">Resumo!$B$12*CEILING(I455,1)</f>
        <v>3.3</v>
      </c>
      <c r="AA455" s="39" t="n">
        <f aca="false">Resumo!$B$13*CEILING(I455,1)</f>
        <v>24.75</v>
      </c>
      <c r="AB455" s="39" t="n">
        <f aca="false">SUM(U455:AA455)</f>
        <v>147.878</v>
      </c>
      <c r="AC455" s="39" t="n">
        <f aca="false">AB455/(1-Resumo!$B$5)</f>
        <v>168.043181818182</v>
      </c>
      <c r="AD455" s="39" t="n">
        <f aca="false">(AB455-AA455)/(1-Resumo!$B$5)</f>
        <v>139.918181818182</v>
      </c>
      <c r="AE455" s="39" t="n">
        <f aca="false">AC455-T455</f>
        <v>53.6548068181818</v>
      </c>
      <c r="AF455" s="40" t="n">
        <f aca="false">AC455/T455-1</f>
        <v>0.46905821346078</v>
      </c>
      <c r="AG455" s="37" t="str">
        <f aca="false">IF(AC455&lt;T455,"SIM","NÃO")</f>
        <v>NÃO</v>
      </c>
      <c r="AH455" s="37" t="n">
        <v>8</v>
      </c>
      <c r="AI455" s="37" t="n">
        <v>5</v>
      </c>
      <c r="AJ455" s="37" t="s">
        <v>323</v>
      </c>
    </row>
    <row r="456" customFormat="false" ht="15" hidden="false" customHeight="false" outlineLevel="0" collapsed="false">
      <c r="A456" s="37" t="n">
        <v>369262008</v>
      </c>
      <c r="B456" s="38" t="n">
        <v>46235.4272337963</v>
      </c>
      <c r="C456" s="37" t="s">
        <v>325</v>
      </c>
      <c r="D456" s="37" t="s">
        <v>773</v>
      </c>
      <c r="E456" s="37" t="n">
        <v>20561098</v>
      </c>
      <c r="F456" s="37" t="s">
        <v>139</v>
      </c>
      <c r="G456" s="37" t="s">
        <v>198</v>
      </c>
      <c r="H456" s="37" t="s">
        <v>169</v>
      </c>
      <c r="I456" s="37" t="n">
        <v>36.8</v>
      </c>
      <c r="J456" s="39" t="n">
        <v>449.95</v>
      </c>
      <c r="K456" s="37" t="s">
        <v>322</v>
      </c>
      <c r="L456" s="39" t="n">
        <v>92.01</v>
      </c>
      <c r="M456" s="39" t="n">
        <v>62.05</v>
      </c>
      <c r="N456" s="39" t="n">
        <f aca="false">J456*Resumo!$C$7</f>
        <v>0.8999</v>
      </c>
      <c r="O456" s="39" t="n">
        <f aca="false">J456*Resumo!$C$8</f>
        <v>0.8999</v>
      </c>
      <c r="P456" s="39" t="n">
        <f aca="false">Resumo!$C$10*CEILING(I456/100,1)</f>
        <v>1</v>
      </c>
      <c r="Q456" s="39" t="n">
        <f aca="false">Resumo!$C$9</f>
        <v>11.9</v>
      </c>
      <c r="R456" s="39" t="n">
        <f aca="false">SUM(M456:Q456)*Resumo!$C$11</f>
        <v>4.221239</v>
      </c>
      <c r="S456" s="39" t="n">
        <f aca="false">SUM(M456:R456)</f>
        <v>80.971039</v>
      </c>
      <c r="T456" s="39" t="n">
        <f aca="false">S456/(1-Resumo!$C$5)</f>
        <v>92.0125443181818</v>
      </c>
      <c r="U456" s="39" t="n">
        <v>93.97</v>
      </c>
      <c r="V456" s="39" t="n">
        <f aca="false">J456*Resumo!$B$6</f>
        <v>0.44995</v>
      </c>
      <c r="W456" s="39" t="n">
        <f aca="false">J456*Resumo!$B$7</f>
        <v>0.8999</v>
      </c>
      <c r="X456" s="39" t="n">
        <f aca="false">Resumo!$B$9</f>
        <v>1</v>
      </c>
      <c r="Y456" s="39" t="n">
        <f aca="false">Resumo!$B$10*CEILING(I456/100,1)</f>
        <v>4.5</v>
      </c>
      <c r="Z456" s="39" t="n">
        <f aca="false">Resumo!$B$12*CEILING(I456,1)</f>
        <v>2.22</v>
      </c>
      <c r="AA456" s="39" t="n">
        <f aca="false">Resumo!$B$13*CEILING(I456,1)</f>
        <v>16.65</v>
      </c>
      <c r="AB456" s="39" t="n">
        <f aca="false">SUM(U456:AA456)</f>
        <v>119.68985</v>
      </c>
      <c r="AC456" s="39" t="n">
        <f aca="false">AB456/(1-Resumo!$B$5)</f>
        <v>136.011193181818</v>
      </c>
      <c r="AD456" s="39" t="n">
        <f aca="false">(AB456-AA456)/(1-Resumo!$B$5)</f>
        <v>117.090738636364</v>
      </c>
      <c r="AE456" s="39" t="n">
        <f aca="false">AC456-T456</f>
        <v>43.9986488636364</v>
      </c>
      <c r="AF456" s="40" t="n">
        <f aca="false">AC456/T456-1</f>
        <v>0.478180982709139</v>
      </c>
      <c r="AG456" s="37" t="str">
        <f aca="false">IF(AC456&lt;T456,"SIM","NÃO")</f>
        <v>NÃO</v>
      </c>
      <c r="AH456" s="37" t="n">
        <v>8</v>
      </c>
      <c r="AI456" s="37" t="n">
        <v>5</v>
      </c>
      <c r="AJ456" s="37" t="s">
        <v>323</v>
      </c>
    </row>
    <row r="457" customFormat="false" ht="15" hidden="false" customHeight="false" outlineLevel="0" collapsed="false">
      <c r="A457" s="37" t="n">
        <v>369266435</v>
      </c>
      <c r="B457" s="38" t="n">
        <v>46235.4326388889</v>
      </c>
      <c r="C457" s="37" t="s">
        <v>320</v>
      </c>
      <c r="D457" s="37" t="s">
        <v>774</v>
      </c>
      <c r="E457" s="37" t="n">
        <v>24425480</v>
      </c>
      <c r="F457" s="37" t="s">
        <v>140</v>
      </c>
      <c r="G457" s="37" t="s">
        <v>207</v>
      </c>
      <c r="H457" s="37" t="s">
        <v>171</v>
      </c>
      <c r="I457" s="37" t="n">
        <v>52.3</v>
      </c>
      <c r="J457" s="39" t="n">
        <v>685.85</v>
      </c>
      <c r="K457" s="37" t="s">
        <v>498</v>
      </c>
      <c r="L457" s="39" t="n">
        <v>127.62</v>
      </c>
      <c r="M457" s="39" t="n">
        <v>91.6</v>
      </c>
      <c r="N457" s="39" t="n">
        <f aca="false">J457*Resumo!$C$7</f>
        <v>1.3717</v>
      </c>
      <c r="O457" s="39" t="n">
        <f aca="false">J457*Resumo!$C$8</f>
        <v>1.3717</v>
      </c>
      <c r="P457" s="39" t="n">
        <f aca="false">Resumo!$C$10*CEILING(I457/100,1)</f>
        <v>1</v>
      </c>
      <c r="Q457" s="39" t="n">
        <f aca="false">Resumo!$C$9</f>
        <v>11.9</v>
      </c>
      <c r="R457" s="39" t="n">
        <f aca="false">SUM(M457:Q457)*Resumo!$C$11</f>
        <v>5.898387</v>
      </c>
      <c r="S457" s="39" t="n">
        <f aca="false">SUM(M457:R457)</f>
        <v>113.141787</v>
      </c>
      <c r="T457" s="39" t="n">
        <f aca="false">S457/(1-Resumo!$C$5)</f>
        <v>128.5702125</v>
      </c>
      <c r="U457" s="39" t="n">
        <v>128.14</v>
      </c>
      <c r="V457" s="39" t="n">
        <f aca="false">J457*Resumo!$B$6</f>
        <v>0.68585</v>
      </c>
      <c r="W457" s="39" t="n">
        <f aca="false">J457*Resumo!$B$7</f>
        <v>1.3717</v>
      </c>
      <c r="X457" s="39" t="n">
        <f aca="false">Resumo!$B$9</f>
        <v>1</v>
      </c>
      <c r="Y457" s="39" t="n">
        <f aca="false">Resumo!$B$10*CEILING(I457/100,1)</f>
        <v>4.5</v>
      </c>
      <c r="Z457" s="39" t="n">
        <f aca="false">Resumo!$B$12*CEILING(I457,1)</f>
        <v>3.18</v>
      </c>
      <c r="AA457" s="39" t="n">
        <f aca="false">Resumo!$B$13*CEILING(I457,1)</f>
        <v>23.85</v>
      </c>
      <c r="AB457" s="39" t="n">
        <f aca="false">SUM(U457:AA457)</f>
        <v>162.72755</v>
      </c>
      <c r="AC457" s="39" t="n">
        <f aca="false">AB457/(1-Resumo!$B$5)</f>
        <v>184.917670454545</v>
      </c>
      <c r="AD457" s="39" t="n">
        <f aca="false">(AB457-AA457)/(1-Resumo!$B$5)</f>
        <v>157.815397727273</v>
      </c>
      <c r="AE457" s="39" t="n">
        <f aca="false">AC457-T457</f>
        <v>56.3474579545454</v>
      </c>
      <c r="AF457" s="40" t="n">
        <f aca="false">AC457/T457-1</f>
        <v>0.438262151542648</v>
      </c>
      <c r="AG457" s="37" t="str">
        <f aca="false">IF(AC457&lt;T457,"SIM","NÃO")</f>
        <v>NÃO</v>
      </c>
      <c r="AH457" s="37" t="n">
        <v>10</v>
      </c>
      <c r="AI457" s="37" t="n">
        <v>7</v>
      </c>
      <c r="AJ457" s="37" t="s">
        <v>323</v>
      </c>
    </row>
    <row r="458" customFormat="false" ht="15" hidden="false" customHeight="false" outlineLevel="0" collapsed="false">
      <c r="A458" s="37" t="n">
        <v>369270837</v>
      </c>
      <c r="B458" s="38" t="n">
        <v>46235.4381944445</v>
      </c>
      <c r="C458" s="37" t="s">
        <v>320</v>
      </c>
      <c r="D458" s="37" t="s">
        <v>775</v>
      </c>
      <c r="E458" s="37" t="n">
        <v>26160630</v>
      </c>
      <c r="F458" s="37" t="s">
        <v>145</v>
      </c>
      <c r="G458" s="37" t="s">
        <v>207</v>
      </c>
      <c r="H458" s="37" t="s">
        <v>169</v>
      </c>
      <c r="I458" s="37" t="n">
        <v>37.6</v>
      </c>
      <c r="J458" s="39" t="n">
        <v>391.05</v>
      </c>
      <c r="K458" s="37" t="s">
        <v>498</v>
      </c>
      <c r="L458" s="39" t="n">
        <v>113.83</v>
      </c>
      <c r="M458" s="39" t="n">
        <v>79.65</v>
      </c>
      <c r="N458" s="39" t="n">
        <f aca="false">J458*Resumo!$C$7</f>
        <v>0.7821</v>
      </c>
      <c r="O458" s="39" t="n">
        <f aca="false">J458*Resumo!$C$8</f>
        <v>0.7821</v>
      </c>
      <c r="P458" s="39" t="n">
        <f aca="false">Resumo!$C$10*CEILING(I458/100,1)</f>
        <v>1</v>
      </c>
      <c r="Q458" s="39" t="n">
        <f aca="false">Resumo!$C$9</f>
        <v>11.9</v>
      </c>
      <c r="R458" s="39" t="n">
        <f aca="false">SUM(M458:Q458)*Resumo!$C$11</f>
        <v>5.176281</v>
      </c>
      <c r="S458" s="39" t="n">
        <f aca="false">SUM(M458:R458)</f>
        <v>99.290481</v>
      </c>
      <c r="T458" s="39" t="n">
        <f aca="false">S458/(1-Resumo!$C$5)</f>
        <v>112.830092045455</v>
      </c>
      <c r="U458" s="39" t="n">
        <v>93.97</v>
      </c>
      <c r="V458" s="39" t="n">
        <f aca="false">J458*Resumo!$B$6</f>
        <v>0.39105</v>
      </c>
      <c r="W458" s="39" t="n">
        <f aca="false">J458*Resumo!$B$7</f>
        <v>0.7821</v>
      </c>
      <c r="X458" s="39" t="n">
        <f aca="false">Resumo!$B$9</f>
        <v>1</v>
      </c>
      <c r="Y458" s="39" t="n">
        <f aca="false">Resumo!$B$10*CEILING(I458/100,1)</f>
        <v>4.5</v>
      </c>
      <c r="Z458" s="39" t="n">
        <f aca="false">Resumo!$B$12*CEILING(I458,1)</f>
        <v>2.28</v>
      </c>
      <c r="AA458" s="39" t="n">
        <f aca="false">Resumo!$B$13*CEILING(I458,1)</f>
        <v>17.1</v>
      </c>
      <c r="AB458" s="39" t="n">
        <f aca="false">SUM(U458:AA458)</f>
        <v>120.02315</v>
      </c>
      <c r="AC458" s="39" t="n">
        <f aca="false">AB458/(1-Resumo!$B$5)</f>
        <v>136.389943181818</v>
      </c>
      <c r="AD458" s="39" t="n">
        <f aca="false">(AB458-AA458)/(1-Resumo!$B$5)</f>
        <v>116.958125</v>
      </c>
      <c r="AE458" s="39" t="n">
        <f aca="false">AC458-T458</f>
        <v>23.5598511363636</v>
      </c>
      <c r="AF458" s="40" t="n">
        <f aca="false">AC458/T458-1</f>
        <v>0.208808224023005</v>
      </c>
      <c r="AG458" s="37" t="str">
        <f aca="false">IF(AC458&lt;T458,"SIM","NÃO")</f>
        <v>NÃO</v>
      </c>
      <c r="AH458" s="37" t="n">
        <v>10</v>
      </c>
      <c r="AI458" s="37" t="n">
        <v>5</v>
      </c>
      <c r="AJ458" s="37" t="s">
        <v>323</v>
      </c>
    </row>
    <row r="459" customFormat="false" ht="15" hidden="false" customHeight="false" outlineLevel="0" collapsed="false">
      <c r="A459" s="37" t="n">
        <v>369271060</v>
      </c>
      <c r="B459" s="38" t="n">
        <v>46235.4384606482</v>
      </c>
      <c r="C459" s="37" t="s">
        <v>320</v>
      </c>
      <c r="D459" s="37" t="s">
        <v>776</v>
      </c>
      <c r="E459" s="37" t="n">
        <v>26180150</v>
      </c>
      <c r="F459" s="37" t="s">
        <v>145</v>
      </c>
      <c r="G459" s="37" t="s">
        <v>207</v>
      </c>
      <c r="H459" s="37" t="s">
        <v>167</v>
      </c>
      <c r="I459" s="37" t="n">
        <v>19.5</v>
      </c>
      <c r="J459" s="39" t="n">
        <v>359.99</v>
      </c>
      <c r="K459" s="37" t="s">
        <v>498</v>
      </c>
      <c r="L459" s="39" t="n">
        <v>77.09</v>
      </c>
      <c r="M459" s="39" t="n">
        <v>48.69</v>
      </c>
      <c r="N459" s="39" t="n">
        <f aca="false">J459*Resumo!$C$7</f>
        <v>0.71998</v>
      </c>
      <c r="O459" s="39" t="n">
        <f aca="false">J459*Resumo!$C$8</f>
        <v>0.71998</v>
      </c>
      <c r="P459" s="39" t="n">
        <f aca="false">Resumo!$C$10*CEILING(I459/100,1)</f>
        <v>1</v>
      </c>
      <c r="Q459" s="39" t="n">
        <f aca="false">Resumo!$C$9</f>
        <v>11.9</v>
      </c>
      <c r="R459" s="39" t="n">
        <f aca="false">SUM(M459:Q459)*Resumo!$C$11</f>
        <v>3.4666478</v>
      </c>
      <c r="S459" s="39" t="n">
        <f aca="false">SUM(M459:R459)</f>
        <v>66.4966078</v>
      </c>
      <c r="T459" s="39" t="n">
        <f aca="false">S459/(1-Resumo!$C$5)</f>
        <v>75.5643270454545</v>
      </c>
      <c r="U459" s="39" t="n">
        <v>46.98</v>
      </c>
      <c r="V459" s="39" t="n">
        <f aca="false">J459*Resumo!$B$6</f>
        <v>0.35999</v>
      </c>
      <c r="W459" s="39" t="n">
        <f aca="false">J459*Resumo!$B$7</f>
        <v>0.71998</v>
      </c>
      <c r="X459" s="39" t="n">
        <f aca="false">Resumo!$B$9</f>
        <v>1</v>
      </c>
      <c r="Y459" s="39" t="n">
        <f aca="false">Resumo!$B$10*CEILING(I459/100,1)</f>
        <v>4.5</v>
      </c>
      <c r="Z459" s="39" t="n">
        <f aca="false">Resumo!$B$12*CEILING(I459,1)</f>
        <v>1.2</v>
      </c>
      <c r="AA459" s="39" t="n">
        <f aca="false">Resumo!$B$13*CEILING(I459,1)</f>
        <v>9</v>
      </c>
      <c r="AB459" s="39" t="n">
        <f aca="false">SUM(U459:AA459)</f>
        <v>63.75997</v>
      </c>
      <c r="AC459" s="39" t="n">
        <f aca="false">AB459/(1-Resumo!$B$5)</f>
        <v>72.4545113636364</v>
      </c>
      <c r="AD459" s="39" t="n">
        <f aca="false">(AB459-AA459)/(1-Resumo!$B$5)</f>
        <v>62.2272386363636</v>
      </c>
      <c r="AE459" s="39" t="n">
        <f aca="false">AC459-T459</f>
        <v>-3.10981568181818</v>
      </c>
      <c r="AF459" s="40" t="n">
        <f aca="false">AC459/T459-1</f>
        <v>-0.0411545474354257</v>
      </c>
      <c r="AG459" s="37" t="str">
        <f aca="false">IF(AC459&lt;T459,"SIM","NÃO")</f>
        <v>SIM</v>
      </c>
      <c r="AH459" s="37" t="n">
        <v>10</v>
      </c>
      <c r="AI459" s="37" t="n">
        <v>5</v>
      </c>
      <c r="AJ459" s="37" t="s">
        <v>323</v>
      </c>
    </row>
    <row r="460" customFormat="false" ht="15" hidden="false" customHeight="false" outlineLevel="0" collapsed="false">
      <c r="A460" s="37" t="n">
        <v>369278227</v>
      </c>
      <c r="B460" s="38" t="n">
        <v>46235.4477314815</v>
      </c>
      <c r="C460" s="37" t="s">
        <v>320</v>
      </c>
      <c r="D460" s="37" t="s">
        <v>777</v>
      </c>
      <c r="E460" s="37" t="n">
        <v>25680502</v>
      </c>
      <c r="F460" s="37" t="s">
        <v>150</v>
      </c>
      <c r="G460" s="37" t="s">
        <v>201</v>
      </c>
      <c r="H460" s="37" t="s">
        <v>170</v>
      </c>
      <c r="I460" s="37" t="n">
        <v>49.6</v>
      </c>
      <c r="J460" s="39" t="n">
        <v>769.99</v>
      </c>
      <c r="K460" s="37" t="s">
        <v>498</v>
      </c>
      <c r="L460" s="39" t="n">
        <v>134.14</v>
      </c>
      <c r="M460" s="39" t="n">
        <v>94</v>
      </c>
      <c r="N460" s="39" t="n">
        <f aca="false">J460*Resumo!$C$7</f>
        <v>1.53998</v>
      </c>
      <c r="O460" s="39" t="n">
        <f aca="false">J460*Resumo!$C$8</f>
        <v>1.53998</v>
      </c>
      <c r="P460" s="39" t="n">
        <f aca="false">Resumo!$C$10*CEILING(I460/100,1)</f>
        <v>1</v>
      </c>
      <c r="Q460" s="39" t="n">
        <f aca="false">Resumo!$C$9</f>
        <v>11.9</v>
      </c>
      <c r="R460" s="39" t="n">
        <f aca="false">SUM(M460:Q460)*Resumo!$C$11</f>
        <v>6.0488978</v>
      </c>
      <c r="S460" s="39" t="n">
        <f aca="false">SUM(M460:R460)</f>
        <v>116.0288578</v>
      </c>
      <c r="T460" s="39" t="n">
        <f aca="false">S460/(1-Resumo!$C$5)</f>
        <v>131.850974772727</v>
      </c>
      <c r="U460" s="39" t="n">
        <v>124.38</v>
      </c>
      <c r="V460" s="39" t="n">
        <f aca="false">J460*Resumo!$B$6</f>
        <v>0.76999</v>
      </c>
      <c r="W460" s="39" t="n">
        <f aca="false">J460*Resumo!$B$7</f>
        <v>1.53998</v>
      </c>
      <c r="X460" s="39" t="n">
        <f aca="false">Resumo!$B$9</f>
        <v>1</v>
      </c>
      <c r="Y460" s="39" t="n">
        <f aca="false">Resumo!$B$10*CEILING(I460/100,1)</f>
        <v>4.5</v>
      </c>
      <c r="Z460" s="39" t="n">
        <f aca="false">Resumo!$B$12*CEILING(I460,1)</f>
        <v>3</v>
      </c>
      <c r="AA460" s="39" t="n">
        <f aca="false">Resumo!$B$13*CEILING(I460,1)</f>
        <v>22.5</v>
      </c>
      <c r="AB460" s="39" t="n">
        <f aca="false">SUM(U460:AA460)</f>
        <v>157.68997</v>
      </c>
      <c r="AC460" s="39" t="n">
        <f aca="false">AB460/(1-Resumo!$B$5)</f>
        <v>179.193147727273</v>
      </c>
      <c r="AD460" s="39" t="n">
        <f aca="false">(AB460-AA460)/(1-Resumo!$B$5)</f>
        <v>153.624965909091</v>
      </c>
      <c r="AE460" s="39" t="n">
        <f aca="false">AC460-T460</f>
        <v>47.3421729545454</v>
      </c>
      <c r="AF460" s="40" t="n">
        <f aca="false">AC460/T460-1</f>
        <v>0.359058194572695</v>
      </c>
      <c r="AG460" s="37" t="str">
        <f aca="false">IF(AC460&lt;T460,"SIM","NÃO")</f>
        <v>NÃO</v>
      </c>
      <c r="AH460" s="37" t="n">
        <v>13</v>
      </c>
      <c r="AI460" s="37" t="n">
        <v>8</v>
      </c>
      <c r="AJ460" s="37" t="s">
        <v>323</v>
      </c>
    </row>
    <row r="461" customFormat="false" ht="15" hidden="false" customHeight="false" outlineLevel="0" collapsed="false">
      <c r="A461" s="37" t="n">
        <v>369331548</v>
      </c>
      <c r="B461" s="38" t="n">
        <v>46235.5013657407</v>
      </c>
      <c r="C461" s="37" t="s">
        <v>320</v>
      </c>
      <c r="D461" s="37" t="s">
        <v>778</v>
      </c>
      <c r="E461" s="37" t="n">
        <v>22713320</v>
      </c>
      <c r="F461" s="37" t="s">
        <v>139</v>
      </c>
      <c r="G461" s="37" t="s">
        <v>198</v>
      </c>
      <c r="H461" s="37" t="s">
        <v>168</v>
      </c>
      <c r="I461" s="37" t="n">
        <v>22</v>
      </c>
      <c r="J461" s="39" t="n">
        <v>829.99</v>
      </c>
      <c r="K461" s="37" t="s">
        <v>322</v>
      </c>
      <c r="L461" s="39" t="n">
        <v>84.31</v>
      </c>
      <c r="M461" s="39" t="n">
        <v>54.1</v>
      </c>
      <c r="N461" s="39" t="n">
        <f aca="false">J461*Resumo!$C$7</f>
        <v>1.65998</v>
      </c>
      <c r="O461" s="39" t="n">
        <f aca="false">J461*Resumo!$C$8</f>
        <v>1.65998</v>
      </c>
      <c r="P461" s="39" t="n">
        <f aca="false">Resumo!$C$10*CEILING(I461/100,1)</f>
        <v>1</v>
      </c>
      <c r="Q461" s="39" t="n">
        <f aca="false">Resumo!$C$9</f>
        <v>11.9</v>
      </c>
      <c r="R461" s="39" t="n">
        <f aca="false">SUM(M461:Q461)*Resumo!$C$11</f>
        <v>3.8675978</v>
      </c>
      <c r="S461" s="39" t="n">
        <f aca="false">SUM(M461:R461)</f>
        <v>74.1875578</v>
      </c>
      <c r="T461" s="39" t="n">
        <f aca="false">S461/(1-Resumo!$C$5)</f>
        <v>84.3040429545455</v>
      </c>
      <c r="U461" s="39" t="n">
        <v>82.21</v>
      </c>
      <c r="V461" s="39" t="n">
        <f aca="false">J461*Resumo!$B$6</f>
        <v>0.82999</v>
      </c>
      <c r="W461" s="39" t="n">
        <f aca="false">J461*Resumo!$B$7</f>
        <v>1.65998</v>
      </c>
      <c r="X461" s="39" t="n">
        <f aca="false">Resumo!$B$9</f>
        <v>1</v>
      </c>
      <c r="Y461" s="39" t="n">
        <f aca="false">Resumo!$B$10*CEILING(I461/100,1)</f>
        <v>4.5</v>
      </c>
      <c r="Z461" s="39" t="n">
        <f aca="false">Resumo!$B$12*CEILING(I461,1)</f>
        <v>1.32</v>
      </c>
      <c r="AA461" s="39" t="n">
        <f aca="false">Resumo!$B$13*CEILING(I461,1)</f>
        <v>9.9</v>
      </c>
      <c r="AB461" s="39" t="n">
        <f aca="false">SUM(U461:AA461)</f>
        <v>101.41997</v>
      </c>
      <c r="AC461" s="39" t="n">
        <f aca="false">AB461/(1-Resumo!$B$5)</f>
        <v>115.249965909091</v>
      </c>
      <c r="AD461" s="39" t="n">
        <f aca="false">(AB461-AA461)/(1-Resumo!$B$5)</f>
        <v>103.999965909091</v>
      </c>
      <c r="AE461" s="39" t="n">
        <f aca="false">AC461-T461</f>
        <v>30.9459229545455</v>
      </c>
      <c r="AF461" s="40" t="n">
        <f aca="false">AC461/T461-1</f>
        <v>0.367075194379832</v>
      </c>
      <c r="AG461" s="37" t="str">
        <f aca="false">IF(AC461&lt;T461,"SIM","NÃO")</f>
        <v>NÃO</v>
      </c>
      <c r="AH461" s="37" t="n">
        <v>8</v>
      </c>
      <c r="AI461" s="37" t="n">
        <v>5</v>
      </c>
      <c r="AJ461" s="37" t="s">
        <v>323</v>
      </c>
    </row>
    <row r="462" customFormat="false" ht="15" hidden="false" customHeight="false" outlineLevel="0" collapsed="false">
      <c r="A462" s="37" t="n">
        <v>369348990</v>
      </c>
      <c r="B462" s="38" t="n">
        <v>46235.5428472222</v>
      </c>
      <c r="C462" s="37" t="s">
        <v>341</v>
      </c>
      <c r="D462" s="37" t="s">
        <v>779</v>
      </c>
      <c r="E462" s="37" t="n">
        <v>26297120</v>
      </c>
      <c r="F462" s="37" t="s">
        <v>142</v>
      </c>
      <c r="G462" s="37" t="s">
        <v>207</v>
      </c>
      <c r="H462" s="37" t="s">
        <v>169</v>
      </c>
      <c r="I462" s="37" t="n">
        <v>35.4</v>
      </c>
      <c r="J462" s="39" t="n">
        <v>475.99</v>
      </c>
      <c r="K462" s="37" t="s">
        <v>322</v>
      </c>
      <c r="L462" s="39" t="n">
        <v>113.23</v>
      </c>
      <c r="M462" s="39" t="n">
        <v>79.65</v>
      </c>
      <c r="N462" s="39" t="n">
        <f aca="false">J462*Resumo!$C$7</f>
        <v>0.95198</v>
      </c>
      <c r="O462" s="39" t="n">
        <f aca="false">J462*Resumo!$C$8</f>
        <v>0.95198</v>
      </c>
      <c r="P462" s="39" t="n">
        <f aca="false">Resumo!$C$10*CEILING(I462/100,1)</f>
        <v>1</v>
      </c>
      <c r="Q462" s="39" t="n">
        <f aca="false">Resumo!$C$9</f>
        <v>11.9</v>
      </c>
      <c r="R462" s="39" t="n">
        <f aca="false">SUM(M462:Q462)*Resumo!$C$11</f>
        <v>5.1949678</v>
      </c>
      <c r="S462" s="39" t="n">
        <f aca="false">SUM(M462:R462)</f>
        <v>99.6489278</v>
      </c>
      <c r="T462" s="39" t="n">
        <f aca="false">S462/(1-Resumo!$C$5)</f>
        <v>113.237417954545</v>
      </c>
      <c r="U462" s="39" t="n">
        <v>93.97</v>
      </c>
      <c r="V462" s="39" t="n">
        <f aca="false">J462*Resumo!$B$6</f>
        <v>0.47599</v>
      </c>
      <c r="W462" s="39" t="n">
        <f aca="false">J462*Resumo!$B$7</f>
        <v>0.95198</v>
      </c>
      <c r="X462" s="39" t="n">
        <f aca="false">Resumo!$B$9</f>
        <v>1</v>
      </c>
      <c r="Y462" s="39" t="n">
        <f aca="false">Resumo!$B$10*CEILING(I462/100,1)</f>
        <v>4.5</v>
      </c>
      <c r="Z462" s="39" t="n">
        <f aca="false">Resumo!$B$12*CEILING(I462,1)</f>
        <v>2.16</v>
      </c>
      <c r="AA462" s="39" t="n">
        <f aca="false">Resumo!$B$13*CEILING(I462,1)</f>
        <v>16.2</v>
      </c>
      <c r="AB462" s="39" t="n">
        <f aca="false">SUM(U462:AA462)</f>
        <v>119.25797</v>
      </c>
      <c r="AC462" s="39" t="n">
        <f aca="false">AB462/(1-Resumo!$B$5)</f>
        <v>135.520420454545</v>
      </c>
      <c r="AD462" s="39" t="n">
        <f aca="false">(AB462-AA462)/(1-Resumo!$B$5)</f>
        <v>117.111329545455</v>
      </c>
      <c r="AE462" s="39" t="n">
        <f aca="false">AC462-T462</f>
        <v>22.2830025</v>
      </c>
      <c r="AF462" s="40" t="n">
        <f aca="false">AC462/T462-1</f>
        <v>0.19678126632086</v>
      </c>
      <c r="AG462" s="37" t="str">
        <f aca="false">IF(AC462&lt;T462,"SIM","NÃO")</f>
        <v>NÃO</v>
      </c>
      <c r="AH462" s="37" t="n">
        <v>10</v>
      </c>
      <c r="AI462" s="37" t="n">
        <v>5</v>
      </c>
      <c r="AJ462" s="37" t="s">
        <v>323</v>
      </c>
    </row>
    <row r="463" customFormat="false" ht="15" hidden="false" customHeight="false" outlineLevel="0" collapsed="false">
      <c r="A463" s="37" t="n">
        <v>369394180</v>
      </c>
      <c r="B463" s="38" t="n">
        <v>46235.5871759259</v>
      </c>
      <c r="C463" s="37" t="s">
        <v>325</v>
      </c>
      <c r="D463" s="37" t="s">
        <v>780</v>
      </c>
      <c r="E463" s="37" t="n">
        <v>20230194</v>
      </c>
      <c r="F463" s="37" t="s">
        <v>139</v>
      </c>
      <c r="G463" s="37" t="s">
        <v>198</v>
      </c>
      <c r="H463" s="37" t="s">
        <v>171</v>
      </c>
      <c r="I463" s="37" t="n">
        <v>52.3</v>
      </c>
      <c r="J463" s="39" t="n">
        <v>642.07</v>
      </c>
      <c r="K463" s="37" t="s">
        <v>498</v>
      </c>
      <c r="L463" s="39" t="n">
        <v>113.35</v>
      </c>
      <c r="M463" s="39" t="n">
        <v>79.81</v>
      </c>
      <c r="N463" s="39" t="n">
        <f aca="false">J463*Resumo!$C$7</f>
        <v>1.28414</v>
      </c>
      <c r="O463" s="39" t="n">
        <f aca="false">J463*Resumo!$C$8</f>
        <v>1.28414</v>
      </c>
      <c r="P463" s="39" t="n">
        <f aca="false">Resumo!$C$10*CEILING(I463/100,1)</f>
        <v>1</v>
      </c>
      <c r="Q463" s="39" t="n">
        <f aca="false">Resumo!$C$9</f>
        <v>11.9</v>
      </c>
      <c r="R463" s="39" t="n">
        <f aca="false">SUM(M463:Q463)*Resumo!$C$11</f>
        <v>5.2403054</v>
      </c>
      <c r="S463" s="39" t="n">
        <f aca="false">SUM(M463:R463)</f>
        <v>100.5185854</v>
      </c>
      <c r="T463" s="39" t="n">
        <f aca="false">S463/(1-Resumo!$C$5)</f>
        <v>114.225665227273</v>
      </c>
      <c r="U463" s="39" t="n">
        <v>112.3</v>
      </c>
      <c r="V463" s="39" t="n">
        <f aca="false">J463*Resumo!$B$6</f>
        <v>0.64207</v>
      </c>
      <c r="W463" s="39" t="n">
        <f aca="false">J463*Resumo!$B$7</f>
        <v>1.28414</v>
      </c>
      <c r="X463" s="39" t="n">
        <f aca="false">Resumo!$B$9</f>
        <v>1</v>
      </c>
      <c r="Y463" s="39" t="n">
        <f aca="false">Resumo!$B$10*CEILING(I463/100,1)</f>
        <v>4.5</v>
      </c>
      <c r="Z463" s="39" t="n">
        <f aca="false">Resumo!$B$12*CEILING(I463,1)</f>
        <v>3.18</v>
      </c>
      <c r="AA463" s="39" t="n">
        <f aca="false">Resumo!$B$13*CEILING(I463,1)</f>
        <v>23.85</v>
      </c>
      <c r="AB463" s="39" t="n">
        <f aca="false">SUM(U463:AA463)</f>
        <v>146.75621</v>
      </c>
      <c r="AC463" s="39" t="n">
        <f aca="false">AB463/(1-Resumo!$B$5)</f>
        <v>166.768420454545</v>
      </c>
      <c r="AD463" s="39" t="n">
        <f aca="false">(AB463-AA463)/(1-Resumo!$B$5)</f>
        <v>139.666147727273</v>
      </c>
      <c r="AE463" s="39" t="n">
        <f aca="false">AC463-T463</f>
        <v>52.5427552272727</v>
      </c>
      <c r="AF463" s="40" t="n">
        <f aca="false">AC463/T463-1</f>
        <v>0.459990800865369</v>
      </c>
      <c r="AG463" s="37" t="str">
        <f aca="false">IF(AC463&lt;T463,"SIM","NÃO")</f>
        <v>NÃO</v>
      </c>
      <c r="AH463" s="37" t="n">
        <v>8</v>
      </c>
      <c r="AI463" s="37" t="n">
        <v>5</v>
      </c>
      <c r="AJ463" s="37" t="s">
        <v>323</v>
      </c>
    </row>
    <row r="464" customFormat="false" ht="15" hidden="false" customHeight="false" outlineLevel="0" collapsed="false">
      <c r="A464" s="37" t="n">
        <v>369397328</v>
      </c>
      <c r="B464" s="38" t="n">
        <v>46235.5910185185</v>
      </c>
      <c r="C464" s="37" t="s">
        <v>320</v>
      </c>
      <c r="D464" s="37" t="s">
        <v>781</v>
      </c>
      <c r="E464" s="37" t="n">
        <v>26155480</v>
      </c>
      <c r="F464" s="37" t="s">
        <v>145</v>
      </c>
      <c r="G464" s="37" t="s">
        <v>207</v>
      </c>
      <c r="H464" s="37" t="s">
        <v>170</v>
      </c>
      <c r="I464" s="37" t="n">
        <v>47.1</v>
      </c>
      <c r="J464" s="39" t="n">
        <v>619.99</v>
      </c>
      <c r="K464" s="37" t="s">
        <v>498</v>
      </c>
      <c r="L464" s="39" t="n">
        <v>118.36</v>
      </c>
      <c r="M464" s="39" t="n">
        <v>82.25</v>
      </c>
      <c r="N464" s="39" t="n">
        <f aca="false">J464*Resumo!$C$7</f>
        <v>1.23998</v>
      </c>
      <c r="O464" s="39" t="n">
        <f aca="false">J464*Resumo!$C$8</f>
        <v>1.23998</v>
      </c>
      <c r="P464" s="39" t="n">
        <f aca="false">Resumo!$C$10*CEILING(I464/100,1)</f>
        <v>1</v>
      </c>
      <c r="Q464" s="39" t="n">
        <f aca="false">Resumo!$C$9</f>
        <v>11.9</v>
      </c>
      <c r="R464" s="39" t="n">
        <f aca="false">SUM(M464:Q464)*Resumo!$C$11</f>
        <v>5.3696478</v>
      </c>
      <c r="S464" s="39" t="n">
        <f aca="false">SUM(M464:R464)</f>
        <v>102.9996078</v>
      </c>
      <c r="T464" s="39" t="n">
        <f aca="false">S464/(1-Resumo!$C$5)</f>
        <v>117.045008863636</v>
      </c>
      <c r="U464" s="39" t="n">
        <v>93.97</v>
      </c>
      <c r="V464" s="39" t="n">
        <f aca="false">J464*Resumo!$B$6</f>
        <v>0.61999</v>
      </c>
      <c r="W464" s="39" t="n">
        <f aca="false">J464*Resumo!$B$7</f>
        <v>1.23998</v>
      </c>
      <c r="X464" s="39" t="n">
        <f aca="false">Resumo!$B$9</f>
        <v>1</v>
      </c>
      <c r="Y464" s="39" t="n">
        <f aca="false">Resumo!$B$10*CEILING(I464/100,1)</f>
        <v>4.5</v>
      </c>
      <c r="Z464" s="39" t="n">
        <f aca="false">Resumo!$B$12*CEILING(I464,1)</f>
        <v>2.88</v>
      </c>
      <c r="AA464" s="39" t="n">
        <f aca="false">Resumo!$B$13*CEILING(I464,1)</f>
        <v>21.6</v>
      </c>
      <c r="AB464" s="39" t="n">
        <f aca="false">SUM(U464:AA464)</f>
        <v>125.80997</v>
      </c>
      <c r="AC464" s="39" t="n">
        <f aca="false">AB464/(1-Resumo!$B$5)</f>
        <v>142.965875</v>
      </c>
      <c r="AD464" s="39" t="n">
        <f aca="false">(AB464-AA464)/(1-Resumo!$B$5)</f>
        <v>118.420420454545</v>
      </c>
      <c r="AE464" s="39" t="n">
        <f aca="false">AC464-T464</f>
        <v>25.9208661363636</v>
      </c>
      <c r="AF464" s="40" t="n">
        <f aca="false">AC464/T464-1</f>
        <v>0.221460670455097</v>
      </c>
      <c r="AG464" s="37" t="str">
        <f aca="false">IF(AC464&lt;T464,"SIM","NÃO")</f>
        <v>NÃO</v>
      </c>
      <c r="AH464" s="37" t="n">
        <v>10</v>
      </c>
      <c r="AI464" s="37" t="n">
        <v>5</v>
      </c>
      <c r="AJ464" s="37" t="s">
        <v>323</v>
      </c>
    </row>
    <row r="465" customFormat="false" ht="15" hidden="false" customHeight="false" outlineLevel="0" collapsed="false">
      <c r="A465" s="37" t="n">
        <v>369402156</v>
      </c>
      <c r="B465" s="38" t="n">
        <v>46235.5965393519</v>
      </c>
      <c r="C465" s="37" t="s">
        <v>325</v>
      </c>
      <c r="D465" s="37" t="s">
        <v>782</v>
      </c>
      <c r="E465" s="37" t="n">
        <v>28681375</v>
      </c>
      <c r="F465" s="37" t="s">
        <v>269</v>
      </c>
      <c r="G465" s="37" t="s">
        <v>201</v>
      </c>
      <c r="H465" s="37" t="s">
        <v>171</v>
      </c>
      <c r="I465" s="37" t="n">
        <v>52.3</v>
      </c>
      <c r="J465" s="39" t="n">
        <v>637.57</v>
      </c>
      <c r="K465" s="37" t="s">
        <v>498</v>
      </c>
      <c r="L465" s="39" t="n">
        <v>141.72</v>
      </c>
      <c r="M465" s="39" t="n">
        <v>103.6</v>
      </c>
      <c r="N465" s="39" t="n">
        <f aca="false">J465*Resumo!$C$7</f>
        <v>1.27514</v>
      </c>
      <c r="O465" s="39" t="n">
        <f aca="false">J465*Resumo!$C$8</f>
        <v>1.27514</v>
      </c>
      <c r="P465" s="39" t="n">
        <f aca="false">Resumo!$C$10*CEILING(I465/100,1)</f>
        <v>1</v>
      </c>
      <c r="Q465" s="39" t="n">
        <f aca="false">Resumo!$C$9</f>
        <v>11.9</v>
      </c>
      <c r="R465" s="39" t="n">
        <f aca="false">SUM(M465:Q465)*Resumo!$C$11</f>
        <v>6.5477654</v>
      </c>
      <c r="S465" s="39" t="n">
        <f aca="false">SUM(M465:R465)</f>
        <v>125.5980454</v>
      </c>
      <c r="T465" s="39" t="n">
        <f aca="false">S465/(1-Resumo!$C$5)</f>
        <v>142.725051590909</v>
      </c>
      <c r="U465" s="39" t="n">
        <v>144.53</v>
      </c>
      <c r="V465" s="39" t="n">
        <f aca="false">J465*Resumo!$B$6</f>
        <v>0.63757</v>
      </c>
      <c r="W465" s="39" t="n">
        <f aca="false">J465*Resumo!$B$7</f>
        <v>1.27514</v>
      </c>
      <c r="X465" s="39" t="n">
        <f aca="false">Resumo!$B$9</f>
        <v>1</v>
      </c>
      <c r="Y465" s="39" t="n">
        <f aca="false">Resumo!$B$10*CEILING(I465/100,1)</f>
        <v>4.5</v>
      </c>
      <c r="Z465" s="39" t="n">
        <f aca="false">Resumo!$B$12*CEILING(I465,1)</f>
        <v>3.18</v>
      </c>
      <c r="AA465" s="39" t="n">
        <f aca="false">Resumo!$B$13*CEILING(I465,1)</f>
        <v>23.85</v>
      </c>
      <c r="AB465" s="39" t="n">
        <f aca="false">SUM(U465:AA465)</f>
        <v>178.97271</v>
      </c>
      <c r="AC465" s="39" t="n">
        <f aca="false">AB465/(1-Resumo!$B$5)</f>
        <v>203.378079545455</v>
      </c>
      <c r="AD465" s="39" t="n">
        <f aca="false">(AB465-AA465)/(1-Resumo!$B$5)</f>
        <v>176.275806818182</v>
      </c>
      <c r="AE465" s="39" t="n">
        <f aca="false">AC465-T465</f>
        <v>60.6530279545455</v>
      </c>
      <c r="AF465" s="40" t="n">
        <f aca="false">AC465/T465-1</f>
        <v>0.424964134035799</v>
      </c>
      <c r="AG465" s="37" t="str">
        <f aca="false">IF(AC465&lt;T465,"SIM","NÃO")</f>
        <v>NÃO</v>
      </c>
      <c r="AH465" s="37" t="n">
        <v>13</v>
      </c>
      <c r="AI465" s="37" t="n">
        <v>10</v>
      </c>
      <c r="AJ465" s="37" t="s">
        <v>327</v>
      </c>
    </row>
    <row r="466" customFormat="false" ht="15" hidden="false" customHeight="false" outlineLevel="0" collapsed="false">
      <c r="A466" s="37" t="n">
        <v>369412776</v>
      </c>
      <c r="B466" s="38" t="n">
        <v>46235.6070949074</v>
      </c>
      <c r="C466" s="37" t="s">
        <v>325</v>
      </c>
      <c r="D466" s="37" t="s">
        <v>783</v>
      </c>
      <c r="E466" s="37" t="n">
        <v>28956710</v>
      </c>
      <c r="F466" s="37" t="s">
        <v>279</v>
      </c>
      <c r="G466" s="37" t="s">
        <v>201</v>
      </c>
      <c r="H466" s="37" t="s">
        <v>171</v>
      </c>
      <c r="I466" s="37" t="n">
        <v>51.3</v>
      </c>
      <c r="J466" s="39" t="n">
        <v>579</v>
      </c>
      <c r="K466" s="37" t="s">
        <v>498</v>
      </c>
      <c r="L466" s="39" t="n">
        <v>140.93</v>
      </c>
      <c r="M466" s="39" t="n">
        <v>103.6</v>
      </c>
      <c r="N466" s="39" t="n">
        <f aca="false">J466*Resumo!$C$7</f>
        <v>1.158</v>
      </c>
      <c r="O466" s="39" t="n">
        <f aca="false">J466*Resumo!$C$8</f>
        <v>1.158</v>
      </c>
      <c r="P466" s="39" t="n">
        <f aca="false">Resumo!$C$10*CEILING(I466/100,1)</f>
        <v>1</v>
      </c>
      <c r="Q466" s="39" t="n">
        <f aca="false">Resumo!$C$9</f>
        <v>11.9</v>
      </c>
      <c r="R466" s="39" t="n">
        <f aca="false">SUM(M466:Q466)*Resumo!$C$11</f>
        <v>6.53488</v>
      </c>
      <c r="S466" s="39" t="n">
        <f aca="false">SUM(M466:R466)</f>
        <v>125.35088</v>
      </c>
      <c r="T466" s="39" t="n">
        <f aca="false">S466/(1-Resumo!$C$5)</f>
        <v>142.444181818182</v>
      </c>
      <c r="U466" s="39" t="n">
        <v>142.32</v>
      </c>
      <c r="V466" s="39" t="n">
        <f aca="false">J466*Resumo!$B$6</f>
        <v>0.579</v>
      </c>
      <c r="W466" s="39" t="n">
        <f aca="false">J466*Resumo!$B$7</f>
        <v>1.158</v>
      </c>
      <c r="X466" s="39" t="n">
        <f aca="false">Resumo!$B$9</f>
        <v>1</v>
      </c>
      <c r="Y466" s="39" t="n">
        <f aca="false">Resumo!$B$10*CEILING(I466/100,1)</f>
        <v>4.5</v>
      </c>
      <c r="Z466" s="39" t="n">
        <f aca="false">Resumo!$B$12*CEILING(I466,1)</f>
        <v>3.12</v>
      </c>
      <c r="AA466" s="39" t="n">
        <f aca="false">Resumo!$B$13*CEILING(I466,1)</f>
        <v>23.4</v>
      </c>
      <c r="AB466" s="39" t="n">
        <f aca="false">SUM(U466:AA466)</f>
        <v>176.077</v>
      </c>
      <c r="AC466" s="39" t="n">
        <f aca="false">AB466/(1-Resumo!$B$5)</f>
        <v>200.0875</v>
      </c>
      <c r="AD466" s="39" t="n">
        <f aca="false">(AB466-AA466)/(1-Resumo!$B$5)</f>
        <v>173.496590909091</v>
      </c>
      <c r="AE466" s="39" t="n">
        <f aca="false">AC466-T466</f>
        <v>57.6433181818182</v>
      </c>
      <c r="AF466" s="40" t="n">
        <f aca="false">AC466/T466-1</f>
        <v>0.404673026627336</v>
      </c>
      <c r="AG466" s="37" t="str">
        <f aca="false">IF(AC466&lt;T466,"SIM","NÃO")</f>
        <v>NÃO</v>
      </c>
      <c r="AH466" s="37" t="n">
        <v>13</v>
      </c>
      <c r="AI466" s="37" t="n">
        <v>10</v>
      </c>
      <c r="AJ466" s="37" t="s">
        <v>327</v>
      </c>
    </row>
    <row r="467" customFormat="false" ht="15" hidden="false" customHeight="false" outlineLevel="0" collapsed="false">
      <c r="A467" s="37" t="n">
        <v>369435531</v>
      </c>
      <c r="B467" s="38" t="n">
        <v>46235.6367361111</v>
      </c>
      <c r="C467" s="37" t="s">
        <v>341</v>
      </c>
      <c r="D467" s="37" t="s">
        <v>784</v>
      </c>
      <c r="E467" s="37" t="n">
        <v>21911325</v>
      </c>
      <c r="F467" s="37" t="s">
        <v>139</v>
      </c>
      <c r="G467" s="37" t="s">
        <v>198</v>
      </c>
      <c r="H467" s="37" t="s">
        <v>168</v>
      </c>
      <c r="I467" s="37" t="n">
        <v>33.11</v>
      </c>
      <c r="J467" s="39" t="n">
        <v>459.99</v>
      </c>
      <c r="K467" s="37" t="s">
        <v>322</v>
      </c>
      <c r="L467" s="39" t="n">
        <v>82.53</v>
      </c>
      <c r="M467" s="39" t="n">
        <v>54.1</v>
      </c>
      <c r="N467" s="39" t="n">
        <f aca="false">J467*Resumo!$C$7</f>
        <v>0.91998</v>
      </c>
      <c r="O467" s="39" t="n">
        <f aca="false">J467*Resumo!$C$8</f>
        <v>0.91998</v>
      </c>
      <c r="P467" s="39" t="n">
        <f aca="false">Resumo!$C$10*CEILING(I467/100,1)</f>
        <v>1</v>
      </c>
      <c r="Q467" s="39" t="n">
        <f aca="false">Resumo!$C$9</f>
        <v>11.9</v>
      </c>
      <c r="R467" s="39" t="n">
        <f aca="false">SUM(M467:Q467)*Resumo!$C$11</f>
        <v>3.7861978</v>
      </c>
      <c r="S467" s="39" t="n">
        <f aca="false">SUM(M467:R467)</f>
        <v>72.6261578</v>
      </c>
      <c r="T467" s="39" t="n">
        <f aca="false">S467/(1-Resumo!$C$5)</f>
        <v>82.5297247727273</v>
      </c>
      <c r="U467" s="39" t="n">
        <v>82.21</v>
      </c>
      <c r="V467" s="39" t="n">
        <f aca="false">J467*Resumo!$B$6</f>
        <v>0.45999</v>
      </c>
      <c r="W467" s="39" t="n">
        <f aca="false">J467*Resumo!$B$7</f>
        <v>0.91998</v>
      </c>
      <c r="X467" s="39" t="n">
        <f aca="false">Resumo!$B$9</f>
        <v>1</v>
      </c>
      <c r="Y467" s="39" t="n">
        <f aca="false">Resumo!$B$10*CEILING(I467/100,1)</f>
        <v>4.5</v>
      </c>
      <c r="Z467" s="39" t="n">
        <f aca="false">Resumo!$B$12*CEILING(I467,1)</f>
        <v>2.04</v>
      </c>
      <c r="AA467" s="39" t="n">
        <f aca="false">Resumo!$B$13*CEILING(I467,1)</f>
        <v>15.3</v>
      </c>
      <c r="AB467" s="39" t="n">
        <f aca="false">SUM(U467:AA467)</f>
        <v>106.42997</v>
      </c>
      <c r="AC467" s="39" t="n">
        <f aca="false">AB467/(1-Resumo!$B$5)</f>
        <v>120.943147727273</v>
      </c>
      <c r="AD467" s="39" t="n">
        <f aca="false">(AB467-AA467)/(1-Resumo!$B$5)</f>
        <v>103.556784090909</v>
      </c>
      <c r="AE467" s="39" t="n">
        <f aca="false">AC467-T467</f>
        <v>38.4134229545455</v>
      </c>
      <c r="AF467" s="40" t="n">
        <f aca="false">AC467/T467-1</f>
        <v>0.465449546334117</v>
      </c>
      <c r="AG467" s="37" t="str">
        <f aca="false">IF(AC467&lt;T467,"SIM","NÃO")</f>
        <v>NÃO</v>
      </c>
      <c r="AH467" s="37" t="n">
        <v>8</v>
      </c>
      <c r="AI467" s="37" t="n">
        <v>5</v>
      </c>
      <c r="AJ467" s="37" t="s">
        <v>323</v>
      </c>
    </row>
    <row r="468" customFormat="false" ht="15" hidden="false" customHeight="false" outlineLevel="0" collapsed="false">
      <c r="A468" s="37" t="n">
        <v>369468939</v>
      </c>
      <c r="B468" s="38" t="n">
        <v>46235.6687615741</v>
      </c>
      <c r="C468" s="37" t="s">
        <v>320</v>
      </c>
      <c r="D468" s="37" t="s">
        <v>785</v>
      </c>
      <c r="E468" s="37" t="n">
        <v>21610460</v>
      </c>
      <c r="F468" s="37" t="s">
        <v>139</v>
      </c>
      <c r="G468" s="37" t="s">
        <v>198</v>
      </c>
      <c r="H468" s="37" t="s">
        <v>167</v>
      </c>
      <c r="I468" s="37" t="n">
        <v>19.8</v>
      </c>
      <c r="J468" s="39" t="n">
        <v>369.99</v>
      </c>
      <c r="K468" s="37" t="s">
        <v>322</v>
      </c>
      <c r="L468" s="39" t="n">
        <v>64.99</v>
      </c>
      <c r="M468" s="39" t="n">
        <v>39.83</v>
      </c>
      <c r="N468" s="39" t="n">
        <f aca="false">J468*Resumo!$C$7</f>
        <v>0.73998</v>
      </c>
      <c r="O468" s="39" t="n">
        <f aca="false">J468*Resumo!$C$8</f>
        <v>0.73998</v>
      </c>
      <c r="P468" s="39" t="n">
        <f aca="false">Resumo!$C$10*CEILING(I468/100,1)</f>
        <v>1</v>
      </c>
      <c r="Q468" s="39" t="n">
        <f aca="false">Resumo!$C$9</f>
        <v>11.9</v>
      </c>
      <c r="R468" s="39" t="n">
        <f aca="false">SUM(M468:Q468)*Resumo!$C$11</f>
        <v>2.9815478</v>
      </c>
      <c r="S468" s="39" t="n">
        <f aca="false">SUM(M468:R468)</f>
        <v>57.1915078</v>
      </c>
      <c r="T468" s="39" t="n">
        <f aca="false">S468/(1-Resumo!$C$5)</f>
        <v>64.9903497727273</v>
      </c>
      <c r="U468" s="39" t="n">
        <v>46.98</v>
      </c>
      <c r="V468" s="39" t="n">
        <f aca="false">J468*Resumo!$B$6</f>
        <v>0.36999</v>
      </c>
      <c r="W468" s="39" t="n">
        <f aca="false">J468*Resumo!$B$7</f>
        <v>0.73998</v>
      </c>
      <c r="X468" s="39" t="n">
        <f aca="false">Resumo!$B$9</f>
        <v>1</v>
      </c>
      <c r="Y468" s="39" t="n">
        <f aca="false">Resumo!$B$10*CEILING(I468/100,1)</f>
        <v>4.5</v>
      </c>
      <c r="Z468" s="39" t="n">
        <f aca="false">Resumo!$B$12*CEILING(I468,1)</f>
        <v>1.2</v>
      </c>
      <c r="AA468" s="39" t="n">
        <f aca="false">Resumo!$B$13*CEILING(I468,1)</f>
        <v>9</v>
      </c>
      <c r="AB468" s="39" t="n">
        <f aca="false">SUM(U468:AA468)</f>
        <v>63.78997</v>
      </c>
      <c r="AC468" s="39" t="n">
        <f aca="false">AB468/(1-Resumo!$B$5)</f>
        <v>72.4886022727273</v>
      </c>
      <c r="AD468" s="39" t="n">
        <f aca="false">(AB468-AA468)/(1-Resumo!$B$5)</f>
        <v>62.2613295454545</v>
      </c>
      <c r="AE468" s="39" t="n">
        <f aca="false">AC468-T468</f>
        <v>7.49825249999999</v>
      </c>
      <c r="AF468" s="40" t="n">
        <f aca="false">AC468/T468-1</f>
        <v>0.11537485990184</v>
      </c>
      <c r="AG468" s="37" t="str">
        <f aca="false">IF(AC468&lt;T468,"SIM","NÃO")</f>
        <v>NÃO</v>
      </c>
      <c r="AH468" s="37" t="n">
        <v>8</v>
      </c>
      <c r="AI468" s="37" t="n">
        <v>5</v>
      </c>
      <c r="AJ468" s="37" t="s">
        <v>323</v>
      </c>
    </row>
    <row r="469" customFormat="false" ht="15" hidden="false" customHeight="false" outlineLevel="0" collapsed="false">
      <c r="A469" s="37" t="n">
        <v>369479557</v>
      </c>
      <c r="B469" s="38" t="n">
        <v>46235.6800694445</v>
      </c>
      <c r="C469" s="37" t="s">
        <v>325</v>
      </c>
      <c r="D469" s="37" t="s">
        <v>786</v>
      </c>
      <c r="E469" s="37" t="n">
        <v>26070760</v>
      </c>
      <c r="F469" s="37" t="s">
        <v>142</v>
      </c>
      <c r="G469" s="37" t="s">
        <v>207</v>
      </c>
      <c r="H469" s="37" t="s">
        <v>175</v>
      </c>
      <c r="I469" s="37" t="n">
        <v>117.5</v>
      </c>
      <c r="J469" s="39" t="n">
        <v>1252.9</v>
      </c>
      <c r="K469" s="37" t="s">
        <v>322</v>
      </c>
      <c r="L469" s="39" t="n">
        <v>195.84</v>
      </c>
      <c r="M469" s="39" t="n">
        <v>144.44</v>
      </c>
      <c r="N469" s="39" t="n">
        <f aca="false">J469*Resumo!$C$7</f>
        <v>2.5058</v>
      </c>
      <c r="O469" s="39" t="n">
        <f aca="false">J469*Resumo!$C$8</f>
        <v>2.5058</v>
      </c>
      <c r="P469" s="39" t="n">
        <f aca="false">Resumo!$C$10*CEILING(I469/100,1)</f>
        <v>2</v>
      </c>
      <c r="Q469" s="39" t="n">
        <f aca="false">Resumo!$C$9</f>
        <v>11.9</v>
      </c>
      <c r="R469" s="39" t="n">
        <f aca="false">SUM(M469:Q469)*Resumo!$C$11</f>
        <v>8.984338</v>
      </c>
      <c r="S469" s="39" t="n">
        <f aca="false">SUM(M469:R469)</f>
        <v>172.335938</v>
      </c>
      <c r="T469" s="39" t="n">
        <f aca="false">S469/(1-Resumo!$C$5)</f>
        <v>195.836293181818</v>
      </c>
      <c r="U469" s="39" t="n">
        <v>201.59</v>
      </c>
      <c r="V469" s="39" t="n">
        <f aca="false">J469*Resumo!$B$6</f>
        <v>1.2529</v>
      </c>
      <c r="W469" s="39" t="n">
        <f aca="false">J469*Resumo!$B$7</f>
        <v>2.5058</v>
      </c>
      <c r="X469" s="39" t="n">
        <f aca="false">Resumo!$B$9</f>
        <v>1</v>
      </c>
      <c r="Y469" s="39" t="n">
        <f aca="false">Resumo!$B$10*CEILING(I469/100,1)</f>
        <v>9</v>
      </c>
      <c r="Z469" s="39" t="n">
        <f aca="false">Resumo!$B$12*CEILING(I469,1)</f>
        <v>7.08</v>
      </c>
      <c r="AA469" s="39" t="n">
        <f aca="false">Resumo!$B$13*CEILING(I469,1)</f>
        <v>53.1</v>
      </c>
      <c r="AB469" s="39" t="n">
        <f aca="false">SUM(U469:AA469)</f>
        <v>275.5287</v>
      </c>
      <c r="AC469" s="39" t="n">
        <f aca="false">AB469/(1-Resumo!$B$5)</f>
        <v>313.100795454545</v>
      </c>
      <c r="AD469" s="39" t="n">
        <f aca="false">(AB469-AA469)/(1-Resumo!$B$5)</f>
        <v>252.759886363636</v>
      </c>
      <c r="AE469" s="39" t="n">
        <f aca="false">AC469-T469</f>
        <v>117.264502272727</v>
      </c>
      <c r="AF469" s="40" t="n">
        <f aca="false">AC469/T469-1</f>
        <v>0.598788408254116</v>
      </c>
      <c r="AG469" s="37" t="str">
        <f aca="false">IF(AC469&lt;T469,"SIM","NÃO")</f>
        <v>NÃO</v>
      </c>
      <c r="AH469" s="37" t="n">
        <v>10</v>
      </c>
      <c r="AI469" s="37" t="n">
        <v>5</v>
      </c>
      <c r="AJ469" s="37" t="s">
        <v>323</v>
      </c>
    </row>
    <row r="470" customFormat="false" ht="15" hidden="false" customHeight="false" outlineLevel="0" collapsed="false">
      <c r="A470" s="37" t="n">
        <v>369493948</v>
      </c>
      <c r="B470" s="38" t="n">
        <v>46235.6941898148</v>
      </c>
      <c r="C470" s="37" t="s">
        <v>320</v>
      </c>
      <c r="D470" s="37" t="s">
        <v>787</v>
      </c>
      <c r="E470" s="37" t="n">
        <v>28921799</v>
      </c>
      <c r="F470" s="37" t="s">
        <v>152</v>
      </c>
      <c r="G470" s="37" t="s">
        <v>201</v>
      </c>
      <c r="H470" s="37" t="s">
        <v>169</v>
      </c>
      <c r="I470" s="37" t="n">
        <v>37.6</v>
      </c>
      <c r="J470" s="39" t="n">
        <v>391.05</v>
      </c>
      <c r="K470" s="37" t="s">
        <v>498</v>
      </c>
      <c r="L470" s="39" t="n">
        <v>123.08</v>
      </c>
      <c r="M470" s="39" t="n">
        <v>87.4</v>
      </c>
      <c r="N470" s="39" t="n">
        <f aca="false">J470*Resumo!$C$7</f>
        <v>0.7821</v>
      </c>
      <c r="O470" s="39" t="n">
        <f aca="false">J470*Resumo!$C$8</f>
        <v>0.7821</v>
      </c>
      <c r="P470" s="39" t="n">
        <f aca="false">Resumo!$C$10*CEILING(I470/100,1)</f>
        <v>1</v>
      </c>
      <c r="Q470" s="39" t="n">
        <f aca="false">Resumo!$C$9</f>
        <v>11.9</v>
      </c>
      <c r="R470" s="39" t="n">
        <f aca="false">SUM(M470:Q470)*Resumo!$C$11</f>
        <v>5.602531</v>
      </c>
      <c r="S470" s="39" t="n">
        <f aca="false">SUM(M470:R470)</f>
        <v>107.466731</v>
      </c>
      <c r="T470" s="39" t="n">
        <f aca="false">S470/(1-Resumo!$C$5)</f>
        <v>122.121285227273</v>
      </c>
      <c r="U470" s="39" t="n">
        <v>124.38</v>
      </c>
      <c r="V470" s="39" t="n">
        <f aca="false">J470*Resumo!$B$6</f>
        <v>0.39105</v>
      </c>
      <c r="W470" s="39" t="n">
        <f aca="false">J470*Resumo!$B$7</f>
        <v>0.7821</v>
      </c>
      <c r="X470" s="39" t="n">
        <f aca="false">Resumo!$B$9</f>
        <v>1</v>
      </c>
      <c r="Y470" s="39" t="n">
        <f aca="false">Resumo!$B$10*CEILING(I470/100,1)</f>
        <v>4.5</v>
      </c>
      <c r="Z470" s="39" t="n">
        <f aca="false">Resumo!$B$12*CEILING(I470,1)</f>
        <v>2.28</v>
      </c>
      <c r="AA470" s="39" t="n">
        <f aca="false">Resumo!$B$13*CEILING(I470,1)</f>
        <v>17.1</v>
      </c>
      <c r="AB470" s="39" t="n">
        <f aca="false">SUM(U470:AA470)</f>
        <v>150.43315</v>
      </c>
      <c r="AC470" s="39" t="n">
        <f aca="false">AB470/(1-Resumo!$B$5)</f>
        <v>170.946761363636</v>
      </c>
      <c r="AD470" s="39" t="n">
        <f aca="false">(AB470-AA470)/(1-Resumo!$B$5)</f>
        <v>151.514943181818</v>
      </c>
      <c r="AE470" s="39" t="n">
        <f aca="false">AC470-T470</f>
        <v>48.8254761363636</v>
      </c>
      <c r="AF470" s="40" t="n">
        <f aca="false">AC470/T470-1</f>
        <v>0.399811351849904</v>
      </c>
      <c r="AG470" s="37" t="str">
        <f aca="false">IF(AC470&lt;T470,"SIM","NÃO")</f>
        <v>NÃO</v>
      </c>
      <c r="AH470" s="37" t="n">
        <v>13</v>
      </c>
      <c r="AI470" s="37" t="n">
        <v>10</v>
      </c>
      <c r="AJ470" s="37" t="s">
        <v>323</v>
      </c>
    </row>
    <row r="471" customFormat="false" ht="15" hidden="false" customHeight="false" outlineLevel="0" collapsed="false">
      <c r="A471" s="37" t="n">
        <v>369513985</v>
      </c>
      <c r="B471" s="38" t="n">
        <v>46235.6954861111</v>
      </c>
      <c r="C471" s="37" t="s">
        <v>517</v>
      </c>
      <c r="D471" s="37" t="s">
        <v>788</v>
      </c>
      <c r="E471" s="37" t="n">
        <v>22783410</v>
      </c>
      <c r="F471" s="37" t="s">
        <v>139</v>
      </c>
      <c r="G471" s="37" t="s">
        <v>198</v>
      </c>
      <c r="H471" s="37" t="s">
        <v>170</v>
      </c>
      <c r="I471" s="37" t="n">
        <v>46.8</v>
      </c>
      <c r="J471" s="39" t="n">
        <v>563.99</v>
      </c>
      <c r="K471" s="37" t="s">
        <v>322</v>
      </c>
      <c r="L471" s="39" t="n">
        <v>103.3</v>
      </c>
      <c r="M471" s="39" t="n">
        <v>71</v>
      </c>
      <c r="N471" s="39" t="n">
        <f aca="false">J471*Resumo!$C$7</f>
        <v>1.12798</v>
      </c>
      <c r="O471" s="39" t="n">
        <f aca="false">J471*Resumo!$C$8</f>
        <v>1.12798</v>
      </c>
      <c r="P471" s="39" t="n">
        <f aca="false">Resumo!$C$10*CEILING(I471/100,1)</f>
        <v>1</v>
      </c>
      <c r="Q471" s="39" t="n">
        <f aca="false">Resumo!$C$9</f>
        <v>11.9</v>
      </c>
      <c r="R471" s="39" t="n">
        <f aca="false">SUM(M471:Q471)*Resumo!$C$11</f>
        <v>4.7385778</v>
      </c>
      <c r="S471" s="39" t="n">
        <f aca="false">SUM(M471:R471)</f>
        <v>90.8945378</v>
      </c>
      <c r="T471" s="39" t="n">
        <f aca="false">S471/(1-Resumo!$C$5)</f>
        <v>103.2892475</v>
      </c>
      <c r="U471" s="39" t="n">
        <v>93.97</v>
      </c>
      <c r="V471" s="39" t="n">
        <f aca="false">J471*Resumo!$B$6</f>
        <v>0.56399</v>
      </c>
      <c r="W471" s="39" t="n">
        <f aca="false">J471*Resumo!$B$7</f>
        <v>1.12798</v>
      </c>
      <c r="X471" s="39" t="n">
        <f aca="false">Resumo!$B$9</f>
        <v>1</v>
      </c>
      <c r="Y471" s="39" t="n">
        <f aca="false">Resumo!$B$10*CEILING(I471/100,1)</f>
        <v>4.5</v>
      </c>
      <c r="Z471" s="39" t="n">
        <f aca="false">Resumo!$B$12*CEILING(I471,1)</f>
        <v>2.82</v>
      </c>
      <c r="AA471" s="39" t="n">
        <f aca="false">Resumo!$B$13*CEILING(I471,1)</f>
        <v>21.15</v>
      </c>
      <c r="AB471" s="39" t="n">
        <f aca="false">SUM(U471:AA471)</f>
        <v>125.13197</v>
      </c>
      <c r="AC471" s="39" t="n">
        <f aca="false">AB471/(1-Resumo!$B$5)</f>
        <v>142.195420454545</v>
      </c>
      <c r="AD471" s="39" t="n">
        <f aca="false">(AB471-AA471)/(1-Resumo!$B$5)</f>
        <v>118.161329545455</v>
      </c>
      <c r="AE471" s="39" t="n">
        <f aca="false">AC471-T471</f>
        <v>38.9061729545455</v>
      </c>
      <c r="AF471" s="40" t="n">
        <f aca="false">AC471/T471-1</f>
        <v>0.376672053444338</v>
      </c>
      <c r="AG471" s="37" t="str">
        <f aca="false">IF(AC471&lt;T471,"SIM","NÃO")</f>
        <v>NÃO</v>
      </c>
      <c r="AH471" s="37" t="n">
        <v>8</v>
      </c>
      <c r="AI471" s="37" t="n">
        <v>5</v>
      </c>
      <c r="AJ471" s="37" t="s">
        <v>323</v>
      </c>
    </row>
    <row r="472" customFormat="false" ht="15" hidden="false" customHeight="false" outlineLevel="0" collapsed="false">
      <c r="A472" s="37" t="n">
        <v>369495865</v>
      </c>
      <c r="B472" s="38" t="n">
        <v>46235.6959837963</v>
      </c>
      <c r="C472" s="37" t="s">
        <v>325</v>
      </c>
      <c r="D472" s="37" t="s">
        <v>789</v>
      </c>
      <c r="E472" s="37" t="n">
        <v>26172144</v>
      </c>
      <c r="F472" s="37" t="s">
        <v>145</v>
      </c>
      <c r="G472" s="37" t="s">
        <v>207</v>
      </c>
      <c r="H472" s="37" t="s">
        <v>171</v>
      </c>
      <c r="I472" s="37" t="n">
        <v>58.6</v>
      </c>
      <c r="J472" s="39" t="n">
        <v>648.53</v>
      </c>
      <c r="K472" s="37" t="s">
        <v>498</v>
      </c>
      <c r="L472" s="39" t="n">
        <v>130.51</v>
      </c>
      <c r="M472" s="39" t="n">
        <v>91.6</v>
      </c>
      <c r="N472" s="39" t="n">
        <f aca="false">J472*Resumo!$C$7</f>
        <v>1.29706</v>
      </c>
      <c r="O472" s="39" t="n">
        <f aca="false">J472*Resumo!$C$8</f>
        <v>1.29706</v>
      </c>
      <c r="P472" s="39" t="n">
        <f aca="false">Resumo!$C$10*CEILING(I472/100,1)</f>
        <v>1</v>
      </c>
      <c r="Q472" s="39" t="n">
        <f aca="false">Resumo!$C$9</f>
        <v>11.9</v>
      </c>
      <c r="R472" s="39" t="n">
        <f aca="false">SUM(M472:Q472)*Resumo!$C$11</f>
        <v>5.8901766</v>
      </c>
      <c r="S472" s="39" t="n">
        <f aca="false">SUM(M472:R472)</f>
        <v>112.9842966</v>
      </c>
      <c r="T472" s="39" t="n">
        <f aca="false">S472/(1-Resumo!$C$5)</f>
        <v>128.391246136364</v>
      </c>
      <c r="U472" s="39" t="n">
        <v>112.3</v>
      </c>
      <c r="V472" s="39" t="n">
        <f aca="false">J472*Resumo!$B$6</f>
        <v>0.64853</v>
      </c>
      <c r="W472" s="39" t="n">
        <f aca="false">J472*Resumo!$B$7</f>
        <v>1.29706</v>
      </c>
      <c r="X472" s="39" t="n">
        <f aca="false">Resumo!$B$9</f>
        <v>1</v>
      </c>
      <c r="Y472" s="39" t="n">
        <f aca="false">Resumo!$B$10*CEILING(I472/100,1)</f>
        <v>4.5</v>
      </c>
      <c r="Z472" s="39" t="n">
        <f aca="false">Resumo!$B$12*CEILING(I472,1)</f>
        <v>3.54</v>
      </c>
      <c r="AA472" s="39" t="n">
        <f aca="false">Resumo!$B$13*CEILING(I472,1)</f>
        <v>26.55</v>
      </c>
      <c r="AB472" s="39" t="n">
        <f aca="false">SUM(U472:AA472)</f>
        <v>149.83559</v>
      </c>
      <c r="AC472" s="39" t="n">
        <f aca="false">AB472/(1-Resumo!$B$5)</f>
        <v>170.267715909091</v>
      </c>
      <c r="AD472" s="39" t="n">
        <f aca="false">(AB472-AA472)/(1-Resumo!$B$5)</f>
        <v>140.097261363636</v>
      </c>
      <c r="AE472" s="39" t="n">
        <f aca="false">AC472-T472</f>
        <v>41.8764697727273</v>
      </c>
      <c r="AF472" s="40" t="n">
        <f aca="false">AC472/T472-1</f>
        <v>0.326162966969341</v>
      </c>
      <c r="AG472" s="37" t="str">
        <f aca="false">IF(AC472&lt;T472,"SIM","NÃO")</f>
        <v>NÃO</v>
      </c>
      <c r="AH472" s="37" t="n">
        <v>10</v>
      </c>
      <c r="AI472" s="37" t="n">
        <v>5</v>
      </c>
      <c r="AJ472" s="37" t="s">
        <v>323</v>
      </c>
    </row>
    <row r="473" customFormat="false" ht="15" hidden="false" customHeight="false" outlineLevel="0" collapsed="false">
      <c r="A473" s="37" t="n">
        <v>369520531</v>
      </c>
      <c r="B473" s="38" t="n">
        <v>46235.7187384259</v>
      </c>
      <c r="C473" s="37" t="s">
        <v>325</v>
      </c>
      <c r="D473" s="37" t="s">
        <v>790</v>
      </c>
      <c r="E473" s="37" t="n">
        <v>28035301</v>
      </c>
      <c r="F473" s="37" t="s">
        <v>144</v>
      </c>
      <c r="G473" s="37" t="s">
        <v>201</v>
      </c>
      <c r="H473" s="37" t="s">
        <v>171</v>
      </c>
      <c r="I473" s="37" t="n">
        <v>52.3</v>
      </c>
      <c r="J473" s="39" t="n">
        <v>637.57</v>
      </c>
      <c r="K473" s="37" t="s">
        <v>498</v>
      </c>
      <c r="L473" s="39" t="n">
        <v>141.72</v>
      </c>
      <c r="M473" s="39" t="n">
        <v>103.6</v>
      </c>
      <c r="N473" s="39" t="n">
        <f aca="false">J473*Resumo!$C$7</f>
        <v>1.27514</v>
      </c>
      <c r="O473" s="39" t="n">
        <f aca="false">J473*Resumo!$C$8</f>
        <v>1.27514</v>
      </c>
      <c r="P473" s="39" t="n">
        <f aca="false">Resumo!$C$10*CEILING(I473/100,1)</f>
        <v>1</v>
      </c>
      <c r="Q473" s="39" t="n">
        <f aca="false">Resumo!$C$9</f>
        <v>11.9</v>
      </c>
      <c r="R473" s="39" t="n">
        <f aca="false">SUM(M473:Q473)*Resumo!$C$11</f>
        <v>6.5477654</v>
      </c>
      <c r="S473" s="39" t="n">
        <f aca="false">SUM(M473:R473)</f>
        <v>125.5980454</v>
      </c>
      <c r="T473" s="39" t="n">
        <f aca="false">S473/(1-Resumo!$C$5)</f>
        <v>142.725051590909</v>
      </c>
      <c r="U473" s="39" t="n">
        <v>162.04</v>
      </c>
      <c r="V473" s="39" t="n">
        <f aca="false">J473*Resumo!$B$6</f>
        <v>0.63757</v>
      </c>
      <c r="W473" s="39" t="n">
        <f aca="false">J473*Resumo!$B$7</f>
        <v>1.27514</v>
      </c>
      <c r="X473" s="39" t="n">
        <f aca="false">Resumo!$B$9</f>
        <v>1</v>
      </c>
      <c r="Y473" s="39" t="n">
        <f aca="false">Resumo!$B$10*CEILING(I473/100,1)</f>
        <v>4.5</v>
      </c>
      <c r="Z473" s="39" t="n">
        <f aca="false">Resumo!$B$12*CEILING(I473,1)</f>
        <v>3.18</v>
      </c>
      <c r="AA473" s="39" t="n">
        <f aca="false">Resumo!$B$13*CEILING(I473,1)</f>
        <v>23.85</v>
      </c>
      <c r="AB473" s="39" t="n">
        <f aca="false">SUM(U473:AA473)</f>
        <v>196.48271</v>
      </c>
      <c r="AC473" s="39" t="n">
        <f aca="false">AB473/(1-Resumo!$B$5)</f>
        <v>223.275806818182</v>
      </c>
      <c r="AD473" s="39" t="n">
        <f aca="false">(AB473-AA473)/(1-Resumo!$B$5)</f>
        <v>196.173534090909</v>
      </c>
      <c r="AE473" s="39" t="n">
        <f aca="false">AC473-T473</f>
        <v>80.5507552272727</v>
      </c>
      <c r="AF473" s="40" t="n">
        <f aca="false">AC473/T473-1</f>
        <v>0.564377131620553</v>
      </c>
      <c r="AG473" s="37" t="str">
        <f aca="false">IF(AC473&lt;T473,"SIM","NÃO")</f>
        <v>NÃO</v>
      </c>
      <c r="AH473" s="37" t="n">
        <v>13</v>
      </c>
      <c r="AI473" s="37" t="n">
        <v>11</v>
      </c>
      <c r="AJ473" s="37" t="s">
        <v>323</v>
      </c>
    </row>
    <row r="474" customFormat="false" ht="15" hidden="false" customHeight="false" outlineLevel="0" collapsed="false">
      <c r="A474" s="37" t="n">
        <v>369526007</v>
      </c>
      <c r="B474" s="38" t="n">
        <v>46235.7235185185</v>
      </c>
      <c r="C474" s="37" t="s">
        <v>320</v>
      </c>
      <c r="D474" s="37" t="s">
        <v>791</v>
      </c>
      <c r="E474" s="37" t="n">
        <v>24813564</v>
      </c>
      <c r="F474" s="37" t="s">
        <v>154</v>
      </c>
      <c r="G474" s="37" t="s">
        <v>201</v>
      </c>
      <c r="H474" s="37" t="s">
        <v>176</v>
      </c>
      <c r="I474" s="37" t="n">
        <v>134.4</v>
      </c>
      <c r="J474" s="39" t="n">
        <v>1779.99</v>
      </c>
      <c r="K474" s="37" t="s">
        <v>498</v>
      </c>
      <c r="L474" s="39" t="n">
        <v>259.23</v>
      </c>
      <c r="M474" s="39" t="n">
        <v>197.37</v>
      </c>
      <c r="N474" s="39" t="n">
        <f aca="false">J474*Resumo!$C$7</f>
        <v>3.55998</v>
      </c>
      <c r="O474" s="39" t="n">
        <f aca="false">J474*Resumo!$C$8</f>
        <v>3.55998</v>
      </c>
      <c r="P474" s="39" t="n">
        <f aca="false">Resumo!$C$10*CEILING(I474/100,1)</f>
        <v>2</v>
      </c>
      <c r="Q474" s="39" t="n">
        <f aca="false">Resumo!$C$9</f>
        <v>11.9</v>
      </c>
      <c r="R474" s="39" t="n">
        <f aca="false">SUM(M474:Q474)*Resumo!$C$11</f>
        <v>12.0114478</v>
      </c>
      <c r="S474" s="39" t="n">
        <f aca="false">SUM(M474:R474)</f>
        <v>230.4014078</v>
      </c>
      <c r="T474" s="39" t="n">
        <f aca="false">S474/(1-Resumo!$C$5)</f>
        <v>261.819781590909</v>
      </c>
      <c r="U474" s="39" t="n">
        <v>249.03</v>
      </c>
      <c r="V474" s="39" t="n">
        <f aca="false">J474*Resumo!$B$6</f>
        <v>1.77999</v>
      </c>
      <c r="W474" s="39" t="n">
        <f aca="false">J474*Resumo!$B$7</f>
        <v>3.55998</v>
      </c>
      <c r="X474" s="39" t="n">
        <f aca="false">Resumo!$B$9</f>
        <v>1</v>
      </c>
      <c r="Y474" s="39" t="n">
        <f aca="false">Resumo!$B$10*CEILING(I474/100,1)</f>
        <v>9</v>
      </c>
      <c r="Z474" s="39" t="n">
        <f aca="false">Resumo!$B$12*CEILING(I474,1)</f>
        <v>8.1</v>
      </c>
      <c r="AA474" s="39" t="n">
        <f aca="false">Resumo!$B$13*CEILING(I474,1)</f>
        <v>60.75</v>
      </c>
      <c r="AB474" s="39" t="n">
        <f aca="false">SUM(U474:AA474)</f>
        <v>333.21997</v>
      </c>
      <c r="AC474" s="39" t="n">
        <f aca="false">AB474/(1-Resumo!$B$5)</f>
        <v>378.659056818182</v>
      </c>
      <c r="AD474" s="39" t="n">
        <f aca="false">(AB474-AA474)/(1-Resumo!$B$5)</f>
        <v>309.624965909091</v>
      </c>
      <c r="AE474" s="39" t="n">
        <f aca="false">AC474-T474</f>
        <v>116.839275227273</v>
      </c>
      <c r="AF474" s="40" t="n">
        <f aca="false">AC474/T474-1</f>
        <v>0.44625839391247</v>
      </c>
      <c r="AG474" s="37" t="str">
        <f aca="false">IF(AC474&lt;T474,"SIM","NÃO")</f>
        <v>NÃO</v>
      </c>
      <c r="AH474" s="37" t="n">
        <v>13</v>
      </c>
      <c r="AI474" s="37" t="n">
        <v>7</v>
      </c>
      <c r="AJ474" s="37" t="s">
        <v>323</v>
      </c>
    </row>
    <row r="475" customFormat="false" ht="15" hidden="false" customHeight="false" outlineLevel="0" collapsed="false">
      <c r="A475" s="37" t="n">
        <v>369526819</v>
      </c>
      <c r="B475" s="38" t="n">
        <v>46235.7241319444</v>
      </c>
      <c r="C475" s="37" t="s">
        <v>320</v>
      </c>
      <c r="D475" s="37" t="s">
        <v>792</v>
      </c>
      <c r="E475" s="37" t="n">
        <v>28637000</v>
      </c>
      <c r="F475" s="37" t="s">
        <v>265</v>
      </c>
      <c r="G475" s="37" t="s">
        <v>201</v>
      </c>
      <c r="H475" s="37" t="s">
        <v>168</v>
      </c>
      <c r="I475" s="37" t="n">
        <v>20.9</v>
      </c>
      <c r="J475" s="39" t="n">
        <v>487.59</v>
      </c>
      <c r="K475" s="37" t="s">
        <v>498</v>
      </c>
      <c r="L475" s="39" t="n">
        <v>104.23</v>
      </c>
      <c r="M475" s="39" t="n">
        <v>76.5</v>
      </c>
      <c r="N475" s="39" t="n">
        <f aca="false">J475*Resumo!$C$7</f>
        <v>0.97518</v>
      </c>
      <c r="O475" s="39" t="n">
        <f aca="false">J475*Resumo!$C$8</f>
        <v>0.97518</v>
      </c>
      <c r="P475" s="39" t="n">
        <f aca="false">Resumo!$C$10*CEILING(I475/100,1)</f>
        <v>1</v>
      </c>
      <c r="Q475" s="39" t="n">
        <f aca="false">Resumo!$C$9</f>
        <v>11.9</v>
      </c>
      <c r="R475" s="39" t="n">
        <f aca="false">SUM(M475:Q475)*Resumo!$C$11</f>
        <v>5.0242698</v>
      </c>
      <c r="S475" s="39" t="n">
        <f aca="false">SUM(M475:R475)</f>
        <v>96.3746298</v>
      </c>
      <c r="T475" s="39" t="n">
        <f aca="false">S475/(1-Resumo!$C$5)</f>
        <v>109.516624772727</v>
      </c>
      <c r="U475" s="39" t="n">
        <v>120.78</v>
      </c>
      <c r="V475" s="39" t="n">
        <f aca="false">J475*Resumo!$B$6</f>
        <v>0.48759</v>
      </c>
      <c r="W475" s="39" t="n">
        <f aca="false">J475*Resumo!$B$7</f>
        <v>0.97518</v>
      </c>
      <c r="X475" s="39" t="n">
        <f aca="false">Resumo!$B$9</f>
        <v>1</v>
      </c>
      <c r="Y475" s="39" t="n">
        <f aca="false">Resumo!$B$10*CEILING(I475/100,1)</f>
        <v>4.5</v>
      </c>
      <c r="Z475" s="39" t="n">
        <f aca="false">Resumo!$B$12*CEILING(I475,1)</f>
        <v>1.26</v>
      </c>
      <c r="AA475" s="39" t="n">
        <f aca="false">Resumo!$B$13*CEILING(I475,1)</f>
        <v>9.45</v>
      </c>
      <c r="AB475" s="39" t="n">
        <f aca="false">SUM(U475:AA475)</f>
        <v>138.45277</v>
      </c>
      <c r="AC475" s="39" t="n">
        <f aca="false">AB475/(1-Resumo!$B$5)</f>
        <v>157.332693181818</v>
      </c>
      <c r="AD475" s="39" t="n">
        <f aca="false">(AB475-AA475)/(1-Resumo!$B$5)</f>
        <v>146.594056818182</v>
      </c>
      <c r="AE475" s="39" t="n">
        <f aca="false">AC475-T475</f>
        <v>47.8160684090909</v>
      </c>
      <c r="AF475" s="40" t="n">
        <f aca="false">AC475/T475-1</f>
        <v>0.436610135751723</v>
      </c>
      <c r="AG475" s="37" t="str">
        <f aca="false">IF(AC475&lt;T475,"SIM","NÃO")</f>
        <v>NÃO</v>
      </c>
      <c r="AH475" s="37" t="n">
        <v>13</v>
      </c>
      <c r="AI475" s="37" t="n">
        <v>10</v>
      </c>
      <c r="AJ475" s="37" t="s">
        <v>327</v>
      </c>
    </row>
    <row r="476" customFormat="false" ht="15" hidden="false" customHeight="false" outlineLevel="0" collapsed="false">
      <c r="A476" s="37" t="n">
        <v>369424625</v>
      </c>
      <c r="B476" s="38" t="n">
        <v>46235.7513888889</v>
      </c>
      <c r="C476" s="37" t="s">
        <v>341</v>
      </c>
      <c r="D476" s="37" t="s">
        <v>793</v>
      </c>
      <c r="E476" s="37" t="n">
        <v>26453230</v>
      </c>
      <c r="F476" s="37" t="s">
        <v>223</v>
      </c>
      <c r="G476" s="37" t="s">
        <v>201</v>
      </c>
      <c r="H476" s="37" t="s">
        <v>168</v>
      </c>
      <c r="I476" s="37" t="n">
        <v>26.4</v>
      </c>
      <c r="J476" s="39" t="n">
        <v>399.99</v>
      </c>
      <c r="K476" s="37" t="s">
        <v>498</v>
      </c>
      <c r="L476" s="39" t="n">
        <v>106.89</v>
      </c>
      <c r="M476" s="39" t="n">
        <v>76.5</v>
      </c>
      <c r="N476" s="39" t="n">
        <f aca="false">J476*Resumo!$C$7</f>
        <v>0.79998</v>
      </c>
      <c r="O476" s="39" t="n">
        <f aca="false">J476*Resumo!$C$8</f>
        <v>0.79998</v>
      </c>
      <c r="P476" s="39" t="n">
        <f aca="false">Resumo!$C$10*CEILING(I476/100,1)</f>
        <v>1</v>
      </c>
      <c r="Q476" s="39" t="n">
        <f aca="false">Resumo!$C$9</f>
        <v>11.9</v>
      </c>
      <c r="R476" s="39" t="n">
        <f aca="false">SUM(M476:Q476)*Resumo!$C$11</f>
        <v>5.0049978</v>
      </c>
      <c r="S476" s="39" t="n">
        <f aca="false">SUM(M476:R476)</f>
        <v>96.0049578</v>
      </c>
      <c r="T476" s="39" t="n">
        <f aca="false">S476/(1-Resumo!$C$5)</f>
        <v>109.096542954545</v>
      </c>
      <c r="U476" s="39" t="n">
        <v>82.21</v>
      </c>
      <c r="V476" s="39" t="n">
        <f aca="false">J476*Resumo!$B$6</f>
        <v>0.39999</v>
      </c>
      <c r="W476" s="39" t="n">
        <f aca="false">J476*Resumo!$B$7</f>
        <v>0.79998</v>
      </c>
      <c r="X476" s="39" t="n">
        <f aca="false">Resumo!$B$9</f>
        <v>1</v>
      </c>
      <c r="Y476" s="39" t="n">
        <f aca="false">Resumo!$B$10*CEILING(I476/100,1)</f>
        <v>4.5</v>
      </c>
      <c r="Z476" s="39" t="n">
        <f aca="false">Resumo!$B$12*CEILING(I476,1)</f>
        <v>1.62</v>
      </c>
      <c r="AA476" s="39" t="n">
        <f aca="false">Resumo!$B$13*CEILING(I476,1)</f>
        <v>12.15</v>
      </c>
      <c r="AB476" s="39" t="n">
        <f aca="false">SUM(U476:AA476)</f>
        <v>102.67997</v>
      </c>
      <c r="AC476" s="39" t="n">
        <f aca="false">AB476/(1-Resumo!$B$5)</f>
        <v>116.681784090909</v>
      </c>
      <c r="AD476" s="39" t="n">
        <f aca="false">(AB476-AA476)/(1-Resumo!$B$5)</f>
        <v>102.874965909091</v>
      </c>
      <c r="AE476" s="39" t="n">
        <f aca="false">AC476-T476</f>
        <v>7.58524113636364</v>
      </c>
      <c r="AF476" s="40" t="n">
        <f aca="false">AC476/T476-1</f>
        <v>0.069527786407714</v>
      </c>
      <c r="AG476" s="37" t="str">
        <f aca="false">IF(AC476&lt;T476,"SIM","NÃO")</f>
        <v>NÃO</v>
      </c>
      <c r="AH476" s="37" t="n">
        <v>13</v>
      </c>
      <c r="AI476" s="37" t="n">
        <v>5</v>
      </c>
      <c r="AJ476" s="37" t="s">
        <v>327</v>
      </c>
    </row>
    <row r="477" customFormat="false" ht="15" hidden="false" customHeight="false" outlineLevel="0" collapsed="false">
      <c r="A477" s="37" t="n">
        <v>369563798</v>
      </c>
      <c r="B477" s="38" t="n">
        <v>46235.7604282407</v>
      </c>
      <c r="C477" s="37" t="s">
        <v>325</v>
      </c>
      <c r="D477" s="37" t="s">
        <v>794</v>
      </c>
      <c r="E477" s="37" t="n">
        <v>20511170</v>
      </c>
      <c r="F477" s="37" t="s">
        <v>139</v>
      </c>
      <c r="G477" s="37" t="s">
        <v>198</v>
      </c>
      <c r="H477" s="37" t="s">
        <v>168</v>
      </c>
      <c r="I477" s="37" t="n">
        <v>27.5</v>
      </c>
      <c r="J477" s="39" t="n">
        <v>338</v>
      </c>
      <c r="K477" s="37" t="s">
        <v>322</v>
      </c>
      <c r="L477" s="39" t="n">
        <v>81.95</v>
      </c>
      <c r="M477" s="39" t="n">
        <v>54.1</v>
      </c>
      <c r="N477" s="39" t="n">
        <f aca="false">J477*Resumo!$C$7</f>
        <v>0.676</v>
      </c>
      <c r="O477" s="39" t="n">
        <f aca="false">J477*Resumo!$C$8</f>
        <v>0.676</v>
      </c>
      <c r="P477" s="39" t="n">
        <f aca="false">Resumo!$C$10*CEILING(I477/100,1)</f>
        <v>1</v>
      </c>
      <c r="Q477" s="39" t="n">
        <f aca="false">Resumo!$C$9</f>
        <v>11.9</v>
      </c>
      <c r="R477" s="39" t="n">
        <f aca="false">SUM(M477:Q477)*Resumo!$C$11</f>
        <v>3.75936</v>
      </c>
      <c r="S477" s="39" t="n">
        <f aca="false">SUM(M477:R477)</f>
        <v>72.11136</v>
      </c>
      <c r="T477" s="39" t="n">
        <f aca="false">S477/(1-Resumo!$C$5)</f>
        <v>81.9447272727273</v>
      </c>
      <c r="U477" s="39" t="n">
        <v>82.21</v>
      </c>
      <c r="V477" s="39" t="n">
        <f aca="false">J477*Resumo!$B$6</f>
        <v>0.338</v>
      </c>
      <c r="W477" s="39" t="n">
        <f aca="false">J477*Resumo!$B$7</f>
        <v>0.676</v>
      </c>
      <c r="X477" s="39" t="n">
        <f aca="false">Resumo!$B$9</f>
        <v>1</v>
      </c>
      <c r="Y477" s="39" t="n">
        <f aca="false">Resumo!$B$10*CEILING(I477/100,1)</f>
        <v>4.5</v>
      </c>
      <c r="Z477" s="39" t="n">
        <f aca="false">Resumo!$B$12*CEILING(I477,1)</f>
        <v>1.68</v>
      </c>
      <c r="AA477" s="39" t="n">
        <f aca="false">Resumo!$B$13*CEILING(I477,1)</f>
        <v>12.6</v>
      </c>
      <c r="AB477" s="39" t="n">
        <f aca="false">SUM(U477:AA477)</f>
        <v>103.004</v>
      </c>
      <c r="AC477" s="39" t="n">
        <f aca="false">AB477/(1-Resumo!$B$5)</f>
        <v>117.05</v>
      </c>
      <c r="AD477" s="39" t="n">
        <f aca="false">(AB477-AA477)/(1-Resumo!$B$5)</f>
        <v>102.731818181818</v>
      </c>
      <c r="AE477" s="39" t="n">
        <f aca="false">AC477-T477</f>
        <v>35.1052727272727</v>
      </c>
      <c r="AF477" s="40" t="n">
        <f aca="false">AC477/T477-1</f>
        <v>0.428401849583755</v>
      </c>
      <c r="AG477" s="37" t="str">
        <f aca="false">IF(AC477&lt;T477,"SIM","NÃO")</f>
        <v>NÃO</v>
      </c>
      <c r="AH477" s="37" t="n">
        <v>8</v>
      </c>
      <c r="AI477" s="37" t="n">
        <v>5</v>
      </c>
      <c r="AJ477" s="37" t="s">
        <v>323</v>
      </c>
    </row>
    <row r="478" customFormat="false" ht="15" hidden="false" customHeight="false" outlineLevel="0" collapsed="false">
      <c r="A478" s="37" t="n">
        <v>369575900</v>
      </c>
      <c r="B478" s="38" t="n">
        <v>46235.7759837963</v>
      </c>
      <c r="C478" s="37" t="s">
        <v>325</v>
      </c>
      <c r="D478" s="37" t="s">
        <v>795</v>
      </c>
      <c r="E478" s="37" t="n">
        <v>28968770</v>
      </c>
      <c r="F478" s="37" t="s">
        <v>280</v>
      </c>
      <c r="G478" s="37" t="s">
        <v>201</v>
      </c>
      <c r="H478" s="37" t="s">
        <v>169</v>
      </c>
      <c r="I478" s="37" t="n">
        <v>36.8</v>
      </c>
      <c r="J478" s="39" t="n">
        <v>418.55</v>
      </c>
      <c r="K478" s="37" t="s">
        <v>498</v>
      </c>
      <c r="L478" s="39" t="n">
        <v>122.7</v>
      </c>
      <c r="M478" s="39" t="n">
        <v>87.4</v>
      </c>
      <c r="N478" s="39" t="n">
        <f aca="false">J478*Resumo!$C$7</f>
        <v>0.8371</v>
      </c>
      <c r="O478" s="39" t="n">
        <f aca="false">J478*Resumo!$C$8</f>
        <v>0.8371</v>
      </c>
      <c r="P478" s="39" t="n">
        <f aca="false">Resumo!$C$10*CEILING(I478/100,1)</f>
        <v>1</v>
      </c>
      <c r="Q478" s="39" t="n">
        <f aca="false">Resumo!$C$9</f>
        <v>11.9</v>
      </c>
      <c r="R478" s="39" t="n">
        <f aca="false">SUM(M478:Q478)*Resumo!$C$11</f>
        <v>5.608581</v>
      </c>
      <c r="S478" s="39" t="n">
        <f aca="false">SUM(M478:R478)</f>
        <v>107.582781</v>
      </c>
      <c r="T478" s="39" t="n">
        <f aca="false">S478/(1-Resumo!$C$5)</f>
        <v>122.253160227273</v>
      </c>
      <c r="U478" s="39" t="n">
        <v>124.38</v>
      </c>
      <c r="V478" s="39" t="n">
        <f aca="false">J478*Resumo!$B$6</f>
        <v>0.41855</v>
      </c>
      <c r="W478" s="39" t="n">
        <f aca="false">J478*Resumo!$B$7</f>
        <v>0.8371</v>
      </c>
      <c r="X478" s="39" t="n">
        <f aca="false">Resumo!$B$9</f>
        <v>1</v>
      </c>
      <c r="Y478" s="39" t="n">
        <f aca="false">Resumo!$B$10*CEILING(I478/100,1)</f>
        <v>4.5</v>
      </c>
      <c r="Z478" s="39" t="n">
        <f aca="false">Resumo!$B$12*CEILING(I478,1)</f>
        <v>2.22</v>
      </c>
      <c r="AA478" s="39" t="n">
        <f aca="false">Resumo!$B$13*CEILING(I478,1)</f>
        <v>16.65</v>
      </c>
      <c r="AB478" s="39" t="n">
        <f aca="false">SUM(U478:AA478)</f>
        <v>150.00565</v>
      </c>
      <c r="AC478" s="39" t="n">
        <f aca="false">AB478/(1-Resumo!$B$5)</f>
        <v>170.460965909091</v>
      </c>
      <c r="AD478" s="39" t="n">
        <f aca="false">(AB478-AA478)/(1-Resumo!$B$5)</f>
        <v>151.540511363636</v>
      </c>
      <c r="AE478" s="39" t="n">
        <f aca="false">AC478-T478</f>
        <v>48.2078056818182</v>
      </c>
      <c r="AF478" s="40" t="n">
        <f aca="false">AC478/T478-1</f>
        <v>0.394327685208286</v>
      </c>
      <c r="AG478" s="37" t="str">
        <f aca="false">IF(AC478&lt;T478,"SIM","NÃO")</f>
        <v>NÃO</v>
      </c>
      <c r="AH478" s="37" t="n">
        <v>13</v>
      </c>
      <c r="AI478" s="37" t="n">
        <v>10</v>
      </c>
      <c r="AJ478" s="37" t="s">
        <v>327</v>
      </c>
    </row>
    <row r="479" customFormat="false" ht="15" hidden="false" customHeight="false" outlineLevel="0" collapsed="false">
      <c r="A479" s="37" t="n">
        <v>369592706</v>
      </c>
      <c r="B479" s="38" t="n">
        <v>46235.800775463</v>
      </c>
      <c r="C479" s="37" t="s">
        <v>320</v>
      </c>
      <c r="D479" s="37" t="s">
        <v>734</v>
      </c>
      <c r="E479" s="37" t="n">
        <v>23075470</v>
      </c>
      <c r="F479" s="37" t="s">
        <v>139</v>
      </c>
      <c r="G479" s="37" t="s">
        <v>198</v>
      </c>
      <c r="H479" s="37" t="s">
        <v>172</v>
      </c>
      <c r="I479" s="37" t="n">
        <v>63.9</v>
      </c>
      <c r="J479" s="39" t="n">
        <v>735.99</v>
      </c>
      <c r="K479" s="37" t="s">
        <v>498</v>
      </c>
      <c r="L479" s="39" t="n">
        <v>124.67</v>
      </c>
      <c r="M479" s="39" t="n">
        <v>88.2</v>
      </c>
      <c r="N479" s="39" t="n">
        <f aca="false">J479*Resumo!$C$7</f>
        <v>1.47198</v>
      </c>
      <c r="O479" s="39" t="n">
        <f aca="false">J479*Resumo!$C$8</f>
        <v>1.47198</v>
      </c>
      <c r="P479" s="39" t="n">
        <f aca="false">Resumo!$C$10*CEILING(I479/100,1)</f>
        <v>1</v>
      </c>
      <c r="Q479" s="39" t="n">
        <f aca="false">Resumo!$C$9</f>
        <v>11.9</v>
      </c>
      <c r="R479" s="39" t="n">
        <f aca="false">SUM(M479:Q479)*Resumo!$C$11</f>
        <v>5.7224178</v>
      </c>
      <c r="S479" s="39" t="n">
        <f aca="false">SUM(M479:R479)</f>
        <v>109.7663778</v>
      </c>
      <c r="T479" s="39" t="n">
        <f aca="false">S479/(1-Resumo!$C$5)</f>
        <v>124.734520227273</v>
      </c>
      <c r="U479" s="39" t="n">
        <v>131.02</v>
      </c>
      <c r="V479" s="39" t="n">
        <f aca="false">J479*Resumo!$B$6</f>
        <v>0.73599</v>
      </c>
      <c r="W479" s="39" t="n">
        <f aca="false">J479*Resumo!$B$7</f>
        <v>1.47198</v>
      </c>
      <c r="X479" s="39" t="n">
        <f aca="false">Resumo!$B$9</f>
        <v>1</v>
      </c>
      <c r="Y479" s="39" t="n">
        <f aca="false">Resumo!$B$10*CEILING(I479/100,1)</f>
        <v>4.5</v>
      </c>
      <c r="Z479" s="39" t="n">
        <f aca="false">Resumo!$B$12*CEILING(I479,1)</f>
        <v>3.84</v>
      </c>
      <c r="AA479" s="39" t="n">
        <f aca="false">Resumo!$B$13*CEILING(I479,1)</f>
        <v>28.8</v>
      </c>
      <c r="AB479" s="39" t="n">
        <f aca="false">SUM(U479:AA479)</f>
        <v>171.36797</v>
      </c>
      <c r="AC479" s="39" t="n">
        <f aca="false">AB479/(1-Resumo!$B$5)</f>
        <v>194.736329545455</v>
      </c>
      <c r="AD479" s="39" t="n">
        <f aca="false">(AB479-AA479)/(1-Resumo!$B$5)</f>
        <v>162.009056818182</v>
      </c>
      <c r="AE479" s="39" t="n">
        <f aca="false">AC479-T479</f>
        <v>70.0018093181818</v>
      </c>
      <c r="AF479" s="40" t="n">
        <f aca="false">AC479/T479-1</f>
        <v>0.561206386096126</v>
      </c>
      <c r="AG479" s="37" t="str">
        <f aca="false">IF(AC479&lt;T479,"SIM","NÃO")</f>
        <v>NÃO</v>
      </c>
      <c r="AH479" s="37" t="n">
        <v>8</v>
      </c>
      <c r="AI479" s="37" t="n">
        <v>5</v>
      </c>
      <c r="AJ479" s="37" t="s">
        <v>323</v>
      </c>
    </row>
    <row r="480" customFormat="false" ht="15" hidden="false" customHeight="false" outlineLevel="0" collapsed="false">
      <c r="A480" s="37" t="n">
        <v>369628221</v>
      </c>
      <c r="B480" s="38" t="n">
        <v>46235.8559259259</v>
      </c>
      <c r="C480" s="37" t="s">
        <v>352</v>
      </c>
      <c r="D480" s="37" t="s">
        <v>796</v>
      </c>
      <c r="E480" s="37" t="n">
        <v>21073185</v>
      </c>
      <c r="F480" s="37" t="s">
        <v>139</v>
      </c>
      <c r="G480" s="37" t="s">
        <v>198</v>
      </c>
      <c r="H480" s="37" t="s">
        <v>169</v>
      </c>
      <c r="I480" s="37" t="n">
        <v>40</v>
      </c>
      <c r="J480" s="39" t="n">
        <v>619.99</v>
      </c>
      <c r="K480" s="37" t="s">
        <v>322</v>
      </c>
      <c r="L480" s="39" t="n">
        <v>92.83</v>
      </c>
      <c r="M480" s="39" t="n">
        <v>62.05</v>
      </c>
      <c r="N480" s="39" t="n">
        <f aca="false">J480*Resumo!$C$7</f>
        <v>1.23998</v>
      </c>
      <c r="O480" s="39" t="n">
        <f aca="false">J480*Resumo!$C$8</f>
        <v>1.23998</v>
      </c>
      <c r="P480" s="39" t="n">
        <f aca="false">Resumo!$C$10*CEILING(I480/100,1)</f>
        <v>1</v>
      </c>
      <c r="Q480" s="39" t="n">
        <f aca="false">Resumo!$C$9</f>
        <v>11.9</v>
      </c>
      <c r="R480" s="39" t="n">
        <f aca="false">SUM(M480:Q480)*Resumo!$C$11</f>
        <v>4.2586478</v>
      </c>
      <c r="S480" s="39" t="n">
        <f aca="false">SUM(M480:R480)</f>
        <v>81.6886078</v>
      </c>
      <c r="T480" s="39" t="n">
        <f aca="false">S480/(1-Resumo!$C$5)</f>
        <v>92.8279634090909</v>
      </c>
      <c r="U480" s="39" t="n">
        <v>93.97</v>
      </c>
      <c r="V480" s="39" t="n">
        <f aca="false">J480*Resumo!$B$6</f>
        <v>0.61999</v>
      </c>
      <c r="W480" s="39" t="n">
        <f aca="false">J480*Resumo!$B$7</f>
        <v>1.23998</v>
      </c>
      <c r="X480" s="39" t="n">
        <f aca="false">Resumo!$B$9</f>
        <v>1</v>
      </c>
      <c r="Y480" s="39" t="n">
        <f aca="false">Resumo!$B$10*CEILING(I480/100,1)</f>
        <v>4.5</v>
      </c>
      <c r="Z480" s="39" t="n">
        <f aca="false">Resumo!$B$12*CEILING(I480,1)</f>
        <v>2.4</v>
      </c>
      <c r="AA480" s="39" t="n">
        <f aca="false">Resumo!$B$13*CEILING(I480,1)</f>
        <v>18</v>
      </c>
      <c r="AB480" s="39" t="n">
        <f aca="false">SUM(U480:AA480)</f>
        <v>121.72997</v>
      </c>
      <c r="AC480" s="39" t="n">
        <f aca="false">AB480/(1-Resumo!$B$5)</f>
        <v>138.329511363636</v>
      </c>
      <c r="AD480" s="39" t="n">
        <f aca="false">(AB480-AA480)/(1-Resumo!$B$5)</f>
        <v>117.874965909091</v>
      </c>
      <c r="AE480" s="39" t="n">
        <f aca="false">AC480-T480</f>
        <v>45.5015479545454</v>
      </c>
      <c r="AF480" s="40" t="n">
        <f aca="false">AC480/T480-1</f>
        <v>0.490170701623832</v>
      </c>
      <c r="AG480" s="37" t="str">
        <f aca="false">IF(AC480&lt;T480,"SIM","NÃO")</f>
        <v>NÃO</v>
      </c>
      <c r="AH480" s="37" t="n">
        <v>8</v>
      </c>
      <c r="AI480" s="37" t="n">
        <v>5</v>
      </c>
      <c r="AJ480" s="37" t="s">
        <v>323</v>
      </c>
    </row>
    <row r="481" customFormat="false" ht="15" hidden="false" customHeight="false" outlineLevel="0" collapsed="false">
      <c r="A481" s="37" t="n">
        <v>369634526</v>
      </c>
      <c r="B481" s="38" t="n">
        <v>46235.8625694444</v>
      </c>
      <c r="C481" s="37" t="s">
        <v>325</v>
      </c>
      <c r="D481" s="37" t="s">
        <v>797</v>
      </c>
      <c r="E481" s="37" t="n">
        <v>20540218</v>
      </c>
      <c r="F481" s="37" t="s">
        <v>139</v>
      </c>
      <c r="G481" s="37" t="s">
        <v>198</v>
      </c>
      <c r="H481" s="37" t="s">
        <v>171</v>
      </c>
      <c r="I481" s="37" t="n">
        <v>52.3</v>
      </c>
      <c r="J481" s="39" t="n">
        <v>637.57</v>
      </c>
      <c r="K481" s="37" t="s">
        <v>498</v>
      </c>
      <c r="L481" s="39" t="n">
        <v>113.33</v>
      </c>
      <c r="M481" s="39" t="n">
        <v>79.81</v>
      </c>
      <c r="N481" s="39" t="n">
        <f aca="false">J481*Resumo!$C$7</f>
        <v>1.27514</v>
      </c>
      <c r="O481" s="39" t="n">
        <f aca="false">J481*Resumo!$C$8</f>
        <v>1.27514</v>
      </c>
      <c r="P481" s="39" t="n">
        <f aca="false">Resumo!$C$10*CEILING(I481/100,1)</f>
        <v>1</v>
      </c>
      <c r="Q481" s="39" t="n">
        <f aca="false">Resumo!$C$9</f>
        <v>11.9</v>
      </c>
      <c r="R481" s="39" t="n">
        <f aca="false">SUM(M481:Q481)*Resumo!$C$11</f>
        <v>5.2393154</v>
      </c>
      <c r="S481" s="39" t="n">
        <f aca="false">SUM(M481:R481)</f>
        <v>100.4995954</v>
      </c>
      <c r="T481" s="39" t="n">
        <f aca="false">S481/(1-Resumo!$C$5)</f>
        <v>114.204085681818</v>
      </c>
      <c r="U481" s="39" t="n">
        <v>112.3</v>
      </c>
      <c r="V481" s="39" t="n">
        <f aca="false">J481*Resumo!$B$6</f>
        <v>0.63757</v>
      </c>
      <c r="W481" s="39" t="n">
        <f aca="false">J481*Resumo!$B$7</f>
        <v>1.27514</v>
      </c>
      <c r="X481" s="39" t="n">
        <f aca="false">Resumo!$B$9</f>
        <v>1</v>
      </c>
      <c r="Y481" s="39" t="n">
        <f aca="false">Resumo!$B$10*CEILING(I481/100,1)</f>
        <v>4.5</v>
      </c>
      <c r="Z481" s="39" t="n">
        <f aca="false">Resumo!$B$12*CEILING(I481,1)</f>
        <v>3.18</v>
      </c>
      <c r="AA481" s="39" t="n">
        <f aca="false">Resumo!$B$13*CEILING(I481,1)</f>
        <v>23.85</v>
      </c>
      <c r="AB481" s="39" t="n">
        <f aca="false">SUM(U481:AA481)</f>
        <v>146.74271</v>
      </c>
      <c r="AC481" s="39" t="n">
        <f aca="false">AB481/(1-Resumo!$B$5)</f>
        <v>166.753079545455</v>
      </c>
      <c r="AD481" s="39" t="n">
        <f aca="false">(AB481-AA481)/(1-Resumo!$B$5)</f>
        <v>139.650806818182</v>
      </c>
      <c r="AE481" s="39" t="n">
        <f aca="false">AC481-T481</f>
        <v>52.5489938636364</v>
      </c>
      <c r="AF481" s="40" t="n">
        <f aca="false">AC481/T481-1</f>
        <v>0.460132345965643</v>
      </c>
      <c r="AG481" s="37" t="str">
        <f aca="false">IF(AC481&lt;T481,"SIM","NÃO")</f>
        <v>NÃO</v>
      </c>
      <c r="AH481" s="37" t="n">
        <v>8</v>
      </c>
      <c r="AI481" s="37" t="n">
        <v>5</v>
      </c>
      <c r="AJ481" s="37" t="s">
        <v>323</v>
      </c>
    </row>
    <row r="482" customFormat="false" ht="15" hidden="false" customHeight="false" outlineLevel="0" collapsed="false">
      <c r="A482" s="37" t="n">
        <v>369714041</v>
      </c>
      <c r="B482" s="38" t="n">
        <v>46235.9599189815</v>
      </c>
      <c r="C482" s="37" t="s">
        <v>517</v>
      </c>
      <c r="D482" s="37" t="s">
        <v>798</v>
      </c>
      <c r="E482" s="37" t="n">
        <v>20550011</v>
      </c>
      <c r="F482" s="37" t="s">
        <v>139</v>
      </c>
      <c r="G482" s="37" t="s">
        <v>198</v>
      </c>
      <c r="H482" s="37" t="s">
        <v>168</v>
      </c>
      <c r="I482" s="37" t="n">
        <v>32.13</v>
      </c>
      <c r="J482" s="39" t="n">
        <v>399.99</v>
      </c>
      <c r="K482" s="37" t="s">
        <v>322</v>
      </c>
      <c r="L482" s="39" t="n">
        <v>82.24</v>
      </c>
      <c r="M482" s="39" t="n">
        <v>54.1</v>
      </c>
      <c r="N482" s="39" t="n">
        <f aca="false">J482*Resumo!$C$7</f>
        <v>0.79998</v>
      </c>
      <c r="O482" s="39" t="n">
        <f aca="false">J482*Resumo!$C$8</f>
        <v>0.79998</v>
      </c>
      <c r="P482" s="39" t="n">
        <f aca="false">Resumo!$C$10*CEILING(I482/100,1)</f>
        <v>1</v>
      </c>
      <c r="Q482" s="39" t="n">
        <f aca="false">Resumo!$C$9</f>
        <v>11.9</v>
      </c>
      <c r="R482" s="39" t="n">
        <f aca="false">SUM(M482:Q482)*Resumo!$C$11</f>
        <v>3.7729978</v>
      </c>
      <c r="S482" s="39" t="n">
        <f aca="false">SUM(M482:R482)</f>
        <v>72.3729578</v>
      </c>
      <c r="T482" s="39" t="n">
        <f aca="false">S482/(1-Resumo!$C$5)</f>
        <v>82.2419975</v>
      </c>
      <c r="U482" s="39" t="n">
        <v>82.21</v>
      </c>
      <c r="V482" s="39" t="n">
        <f aca="false">J482*Resumo!$B$6</f>
        <v>0.39999</v>
      </c>
      <c r="W482" s="39" t="n">
        <f aca="false">J482*Resumo!$B$7</f>
        <v>0.79998</v>
      </c>
      <c r="X482" s="39" t="n">
        <f aca="false">Resumo!$B$9</f>
        <v>1</v>
      </c>
      <c r="Y482" s="39" t="n">
        <f aca="false">Resumo!$B$10*CEILING(I482/100,1)</f>
        <v>4.5</v>
      </c>
      <c r="Z482" s="39" t="n">
        <f aca="false">Resumo!$B$12*CEILING(I482,1)</f>
        <v>1.98</v>
      </c>
      <c r="AA482" s="39" t="n">
        <f aca="false">Resumo!$B$13*CEILING(I482,1)</f>
        <v>14.85</v>
      </c>
      <c r="AB482" s="39" t="n">
        <f aca="false">SUM(U482:AA482)</f>
        <v>105.73997</v>
      </c>
      <c r="AC482" s="39" t="n">
        <f aca="false">AB482/(1-Resumo!$B$5)</f>
        <v>120.159056818182</v>
      </c>
      <c r="AD482" s="39" t="n">
        <f aca="false">(AB482-AA482)/(1-Resumo!$B$5)</f>
        <v>103.284056818182</v>
      </c>
      <c r="AE482" s="39" t="n">
        <f aca="false">AC482-T482</f>
        <v>37.9170593181818</v>
      </c>
      <c r="AF482" s="40" t="n">
        <f aca="false">AC482/T482-1</f>
        <v>0.461042538736754</v>
      </c>
      <c r="AG482" s="37" t="str">
        <f aca="false">IF(AC482&lt;T482,"SIM","NÃO")</f>
        <v>NÃO</v>
      </c>
      <c r="AH482" s="37" t="n">
        <v>8</v>
      </c>
      <c r="AI482" s="37" t="n">
        <v>5</v>
      </c>
      <c r="AJ482" s="37" t="s">
        <v>323</v>
      </c>
    </row>
    <row r="483" customFormat="false" ht="15" hidden="false" customHeight="false" outlineLevel="0" collapsed="false">
      <c r="A483" s="37" t="n">
        <v>370184155</v>
      </c>
      <c r="B483" s="38" t="n">
        <v>46236.3136342593</v>
      </c>
      <c r="C483" s="37" t="s">
        <v>341</v>
      </c>
      <c r="D483" s="37" t="s">
        <v>799</v>
      </c>
      <c r="E483" s="37" t="n">
        <v>28980000</v>
      </c>
      <c r="F483" s="37" t="s">
        <v>153</v>
      </c>
      <c r="G483" s="37" t="s">
        <v>201</v>
      </c>
      <c r="H483" s="37" t="s">
        <v>170</v>
      </c>
      <c r="I483" s="37" t="n">
        <v>48.3</v>
      </c>
      <c r="J483" s="39" t="n">
        <v>424.99</v>
      </c>
      <c r="K483" s="37" t="s">
        <v>498</v>
      </c>
      <c r="L483" s="39" t="n">
        <v>131.97</v>
      </c>
      <c r="M483" s="39" t="n">
        <v>94</v>
      </c>
      <c r="N483" s="39" t="n">
        <f aca="false">J483*Resumo!$C$7</f>
        <v>0.84998</v>
      </c>
      <c r="O483" s="39" t="n">
        <f aca="false">J483*Resumo!$C$8</f>
        <v>0.84998</v>
      </c>
      <c r="P483" s="39" t="n">
        <f aca="false">Resumo!$C$10*CEILING(I483/100,1)</f>
        <v>1</v>
      </c>
      <c r="Q483" s="39" t="n">
        <f aca="false">Resumo!$C$9</f>
        <v>11.9</v>
      </c>
      <c r="R483" s="39" t="n">
        <f aca="false">SUM(M483:Q483)*Resumo!$C$11</f>
        <v>5.9729978</v>
      </c>
      <c r="S483" s="39" t="n">
        <f aca="false">SUM(M483:R483)</f>
        <v>114.5729578</v>
      </c>
      <c r="T483" s="39" t="n">
        <f aca="false">S483/(1-Resumo!$C$5)</f>
        <v>130.196542954545</v>
      </c>
      <c r="U483" s="39" t="n">
        <v>129.29</v>
      </c>
      <c r="V483" s="39" t="n">
        <f aca="false">J483*Resumo!$B$6</f>
        <v>0.42499</v>
      </c>
      <c r="W483" s="39" t="n">
        <f aca="false">J483*Resumo!$B$7</f>
        <v>0.84998</v>
      </c>
      <c r="X483" s="39" t="n">
        <f aca="false">Resumo!$B$9</f>
        <v>1</v>
      </c>
      <c r="Y483" s="39" t="n">
        <f aca="false">Resumo!$B$10*CEILING(I483/100,1)</f>
        <v>4.5</v>
      </c>
      <c r="Z483" s="39" t="n">
        <f aca="false">Resumo!$B$12*CEILING(I483,1)</f>
        <v>2.94</v>
      </c>
      <c r="AA483" s="39" t="n">
        <f aca="false">Resumo!$B$13*CEILING(I483,1)</f>
        <v>22.05</v>
      </c>
      <c r="AB483" s="39" t="n">
        <f aca="false">SUM(U483:AA483)</f>
        <v>161.05497</v>
      </c>
      <c r="AC483" s="39" t="n">
        <f aca="false">AB483/(1-Resumo!$B$5)</f>
        <v>183.017011363636</v>
      </c>
      <c r="AD483" s="39" t="n">
        <f aca="false">(AB483-AA483)/(1-Resumo!$B$5)</f>
        <v>157.960193181818</v>
      </c>
      <c r="AE483" s="39" t="n">
        <f aca="false">AC483-T483</f>
        <v>52.8204684090909</v>
      </c>
      <c r="AF483" s="40" t="n">
        <f aca="false">AC483/T483-1</f>
        <v>0.405697933373943</v>
      </c>
      <c r="AG483" s="37" t="str">
        <f aca="false">IF(AC483&lt;T483,"SIM","NÃO")</f>
        <v>NÃO</v>
      </c>
      <c r="AH483" s="37" t="n">
        <v>13</v>
      </c>
      <c r="AI483" s="37" t="n">
        <v>10</v>
      </c>
      <c r="AJ483" s="37" t="s">
        <v>323</v>
      </c>
    </row>
    <row r="484" customFormat="false" ht="15" hidden="false" customHeight="false" outlineLevel="0" collapsed="false">
      <c r="A484" s="37" t="n">
        <v>370284349</v>
      </c>
      <c r="B484" s="38" t="n">
        <v>46236.4037384259</v>
      </c>
      <c r="C484" s="37" t="s">
        <v>320</v>
      </c>
      <c r="D484" s="37" t="s">
        <v>800</v>
      </c>
      <c r="E484" s="37" t="n">
        <v>26587000</v>
      </c>
      <c r="F484" s="37" t="s">
        <v>155</v>
      </c>
      <c r="G484" s="37" t="s">
        <v>207</v>
      </c>
      <c r="H484" s="37" t="s">
        <v>167</v>
      </c>
      <c r="I484" s="37" t="n">
        <v>19.5</v>
      </c>
      <c r="J484" s="39" t="n">
        <v>379.99</v>
      </c>
      <c r="K484" s="37" t="s">
        <v>498</v>
      </c>
      <c r="L484" s="39" t="n">
        <v>77.18</v>
      </c>
      <c r="M484" s="39" t="n">
        <v>48.69</v>
      </c>
      <c r="N484" s="39" t="n">
        <f aca="false">J484*Resumo!$C$7</f>
        <v>0.75998</v>
      </c>
      <c r="O484" s="39" t="n">
        <f aca="false">J484*Resumo!$C$8</f>
        <v>0.75998</v>
      </c>
      <c r="P484" s="39" t="n">
        <f aca="false">Resumo!$C$10*CEILING(I484/100,1)</f>
        <v>1</v>
      </c>
      <c r="Q484" s="39" t="n">
        <f aca="false">Resumo!$C$9</f>
        <v>11.9</v>
      </c>
      <c r="R484" s="39" t="n">
        <f aca="false">SUM(M484:Q484)*Resumo!$C$11</f>
        <v>3.4710478</v>
      </c>
      <c r="S484" s="39" t="n">
        <f aca="false">SUM(M484:R484)</f>
        <v>66.5810078</v>
      </c>
      <c r="T484" s="39" t="n">
        <f aca="false">S484/(1-Resumo!$C$5)</f>
        <v>75.6602361363636</v>
      </c>
      <c r="U484" s="39" t="n">
        <v>46.98</v>
      </c>
      <c r="V484" s="39" t="n">
        <f aca="false">J484*Resumo!$B$6</f>
        <v>0.37999</v>
      </c>
      <c r="W484" s="39" t="n">
        <f aca="false">J484*Resumo!$B$7</f>
        <v>0.75998</v>
      </c>
      <c r="X484" s="39" t="n">
        <f aca="false">Resumo!$B$9</f>
        <v>1</v>
      </c>
      <c r="Y484" s="39" t="n">
        <f aca="false">Resumo!$B$10*CEILING(I484/100,1)</f>
        <v>4.5</v>
      </c>
      <c r="Z484" s="39" t="n">
        <f aca="false">Resumo!$B$12*CEILING(I484,1)</f>
        <v>1.2</v>
      </c>
      <c r="AA484" s="39" t="n">
        <f aca="false">Resumo!$B$13*CEILING(I484,1)</f>
        <v>9</v>
      </c>
      <c r="AB484" s="39" t="n">
        <f aca="false">SUM(U484:AA484)</f>
        <v>63.81997</v>
      </c>
      <c r="AC484" s="39" t="n">
        <f aca="false">AB484/(1-Resumo!$B$5)</f>
        <v>72.5226931818182</v>
      </c>
      <c r="AD484" s="39" t="n">
        <f aca="false">(AB484-AA484)/(1-Resumo!$B$5)</f>
        <v>62.2954204545455</v>
      </c>
      <c r="AE484" s="39" t="n">
        <f aca="false">AC484-T484</f>
        <v>-3.13754295454545</v>
      </c>
      <c r="AF484" s="40" t="n">
        <f aca="false">AC484/T484-1</f>
        <v>-0.0414688496199062</v>
      </c>
      <c r="AG484" s="37" t="str">
        <f aca="false">IF(AC484&lt;T484,"SIM","NÃO")</f>
        <v>SIM</v>
      </c>
      <c r="AH484" s="37" t="n">
        <v>10</v>
      </c>
      <c r="AI484" s="37" t="n">
        <v>5</v>
      </c>
      <c r="AJ484" s="37" t="s">
        <v>323</v>
      </c>
    </row>
    <row r="485" customFormat="false" ht="15" hidden="false" customHeight="false" outlineLevel="0" collapsed="false">
      <c r="A485" s="37" t="n">
        <v>370329478</v>
      </c>
      <c r="B485" s="38" t="n">
        <v>46236.4432291667</v>
      </c>
      <c r="C485" s="37" t="s">
        <v>320</v>
      </c>
      <c r="D485" s="37" t="s">
        <v>801</v>
      </c>
      <c r="E485" s="37" t="n">
        <v>21061020</v>
      </c>
      <c r="F485" s="37" t="s">
        <v>139</v>
      </c>
      <c r="G485" s="37" t="s">
        <v>198</v>
      </c>
      <c r="H485" s="37" t="s">
        <v>170</v>
      </c>
      <c r="I485" s="37" t="n">
        <v>45.3</v>
      </c>
      <c r="J485" s="39" t="n">
        <v>699.99</v>
      </c>
      <c r="K485" s="37" t="s">
        <v>322</v>
      </c>
      <c r="L485" s="39" t="n">
        <v>103.94</v>
      </c>
      <c r="M485" s="39" t="n">
        <v>71</v>
      </c>
      <c r="N485" s="39" t="n">
        <f aca="false">J485*Resumo!$C$7</f>
        <v>1.39998</v>
      </c>
      <c r="O485" s="39" t="n">
        <f aca="false">J485*Resumo!$C$8</f>
        <v>1.39998</v>
      </c>
      <c r="P485" s="39" t="n">
        <f aca="false">Resumo!$C$10*CEILING(I485/100,1)</f>
        <v>1</v>
      </c>
      <c r="Q485" s="39" t="n">
        <f aca="false">Resumo!$C$9</f>
        <v>11.9</v>
      </c>
      <c r="R485" s="39" t="n">
        <f aca="false">SUM(M485:Q485)*Resumo!$C$11</f>
        <v>4.7684978</v>
      </c>
      <c r="S485" s="39" t="n">
        <f aca="false">SUM(M485:R485)</f>
        <v>91.4684578</v>
      </c>
      <c r="T485" s="39" t="n">
        <f aca="false">S485/(1-Resumo!$C$5)</f>
        <v>103.941429318182</v>
      </c>
      <c r="U485" s="39" t="n">
        <v>93.97</v>
      </c>
      <c r="V485" s="39" t="n">
        <f aca="false">J485*Resumo!$B$6</f>
        <v>0.69999</v>
      </c>
      <c r="W485" s="39" t="n">
        <f aca="false">J485*Resumo!$B$7</f>
        <v>1.39998</v>
      </c>
      <c r="X485" s="39" t="n">
        <f aca="false">Resumo!$B$9</f>
        <v>1</v>
      </c>
      <c r="Y485" s="39" t="n">
        <f aca="false">Resumo!$B$10*CEILING(I485/100,1)</f>
        <v>4.5</v>
      </c>
      <c r="Z485" s="39" t="n">
        <f aca="false">Resumo!$B$12*CEILING(I485,1)</f>
        <v>2.76</v>
      </c>
      <c r="AA485" s="39" t="n">
        <f aca="false">Resumo!$B$13*CEILING(I485,1)</f>
        <v>20.7</v>
      </c>
      <c r="AB485" s="39" t="n">
        <f aca="false">SUM(U485:AA485)</f>
        <v>125.02997</v>
      </c>
      <c r="AC485" s="39" t="n">
        <f aca="false">AB485/(1-Resumo!$B$5)</f>
        <v>142.079511363636</v>
      </c>
      <c r="AD485" s="39" t="n">
        <f aca="false">(AB485-AA485)/(1-Resumo!$B$5)</f>
        <v>118.556784090909</v>
      </c>
      <c r="AE485" s="39" t="n">
        <f aca="false">AC485-T485</f>
        <v>38.1380820454545</v>
      </c>
      <c r="AF485" s="40" t="n">
        <f aca="false">AC485/T485-1</f>
        <v>0.366918968650196</v>
      </c>
      <c r="AG485" s="37" t="str">
        <f aca="false">IF(AC485&lt;T485,"SIM","NÃO")</f>
        <v>NÃO</v>
      </c>
      <c r="AH485" s="37" t="n">
        <v>8</v>
      </c>
      <c r="AI485" s="37" t="n">
        <v>5</v>
      </c>
      <c r="AJ485" s="37" t="s">
        <v>323</v>
      </c>
    </row>
    <row r="486" customFormat="false" ht="15" hidden="false" customHeight="false" outlineLevel="0" collapsed="false">
      <c r="A486" s="37" t="n">
        <v>370343324</v>
      </c>
      <c r="B486" s="38" t="n">
        <v>46236.454849537</v>
      </c>
      <c r="C486" s="37" t="s">
        <v>320</v>
      </c>
      <c r="D486" s="37" t="s">
        <v>802</v>
      </c>
      <c r="E486" s="37" t="n">
        <v>25545300</v>
      </c>
      <c r="F486" s="37" t="s">
        <v>147</v>
      </c>
      <c r="G486" s="37" t="s">
        <v>207</v>
      </c>
      <c r="H486" s="37" t="s">
        <v>170</v>
      </c>
      <c r="I486" s="37" t="n">
        <v>46.8</v>
      </c>
      <c r="J486" s="39" t="n">
        <v>599.99</v>
      </c>
      <c r="K486" s="37" t="s">
        <v>498</v>
      </c>
      <c r="L486" s="39" t="n">
        <v>117.76</v>
      </c>
      <c r="M486" s="39" t="n">
        <v>82.25</v>
      </c>
      <c r="N486" s="39" t="n">
        <f aca="false">J486*Resumo!$C$7</f>
        <v>1.19998</v>
      </c>
      <c r="O486" s="39" t="n">
        <f aca="false">J486*Resumo!$C$8</f>
        <v>1.19998</v>
      </c>
      <c r="P486" s="39" t="n">
        <f aca="false">Resumo!$C$10*CEILING(I486/100,1)</f>
        <v>1</v>
      </c>
      <c r="Q486" s="39" t="n">
        <f aca="false">Resumo!$C$9</f>
        <v>11.9</v>
      </c>
      <c r="R486" s="39" t="n">
        <f aca="false">SUM(M486:Q486)*Resumo!$C$11</f>
        <v>5.3652478</v>
      </c>
      <c r="S486" s="39" t="n">
        <f aca="false">SUM(M486:R486)</f>
        <v>102.9152078</v>
      </c>
      <c r="T486" s="39" t="n">
        <f aca="false">S486/(1-Resumo!$C$5)</f>
        <v>116.949099772727</v>
      </c>
      <c r="U486" s="39" t="n">
        <v>93.97</v>
      </c>
      <c r="V486" s="39" t="n">
        <f aca="false">J486*Resumo!$B$6</f>
        <v>0.59999</v>
      </c>
      <c r="W486" s="39" t="n">
        <f aca="false">J486*Resumo!$B$7</f>
        <v>1.19998</v>
      </c>
      <c r="X486" s="39" t="n">
        <f aca="false">Resumo!$B$9</f>
        <v>1</v>
      </c>
      <c r="Y486" s="39" t="n">
        <f aca="false">Resumo!$B$10*CEILING(I486/100,1)</f>
        <v>4.5</v>
      </c>
      <c r="Z486" s="39" t="n">
        <f aca="false">Resumo!$B$12*CEILING(I486,1)</f>
        <v>2.82</v>
      </c>
      <c r="AA486" s="39" t="n">
        <f aca="false">Resumo!$B$13*CEILING(I486,1)</f>
        <v>21.15</v>
      </c>
      <c r="AB486" s="39" t="n">
        <f aca="false">SUM(U486:AA486)</f>
        <v>125.23997</v>
      </c>
      <c r="AC486" s="39" t="n">
        <f aca="false">AB486/(1-Resumo!$B$5)</f>
        <v>142.318147727273</v>
      </c>
      <c r="AD486" s="39" t="n">
        <f aca="false">(AB486-AA486)/(1-Resumo!$B$5)</f>
        <v>118.284056818182</v>
      </c>
      <c r="AE486" s="39" t="n">
        <f aca="false">AC486-T486</f>
        <v>25.3690479545455</v>
      </c>
      <c r="AF486" s="40" t="n">
        <f aca="false">AC486/T486-1</f>
        <v>0.216923841259542</v>
      </c>
      <c r="AG486" s="37" t="str">
        <f aca="false">IF(AC486&lt;T486,"SIM","NÃO")</f>
        <v>NÃO</v>
      </c>
      <c r="AH486" s="37" t="n">
        <v>10</v>
      </c>
      <c r="AI486" s="37" t="n">
        <v>5</v>
      </c>
      <c r="AJ486" s="37" t="s">
        <v>323</v>
      </c>
    </row>
    <row r="487" customFormat="false" ht="15" hidden="false" customHeight="false" outlineLevel="0" collapsed="false">
      <c r="A487" s="37" t="n">
        <v>370350679</v>
      </c>
      <c r="B487" s="38" t="n">
        <v>46236.4597569444</v>
      </c>
      <c r="C487" s="37" t="s">
        <v>341</v>
      </c>
      <c r="D487" s="37" t="s">
        <v>803</v>
      </c>
      <c r="E487" s="37" t="n">
        <v>25086296</v>
      </c>
      <c r="F487" s="37" t="s">
        <v>141</v>
      </c>
      <c r="G487" s="37" t="s">
        <v>207</v>
      </c>
      <c r="H487" s="37" t="s">
        <v>169</v>
      </c>
      <c r="I487" s="37" t="n">
        <v>37.59</v>
      </c>
      <c r="J487" s="39" t="n">
        <v>424.99</v>
      </c>
      <c r="K487" s="37" t="s">
        <v>322</v>
      </c>
      <c r="L487" s="39" t="n">
        <v>112.99</v>
      </c>
      <c r="M487" s="39" t="n">
        <v>79.65</v>
      </c>
      <c r="N487" s="39" t="n">
        <f aca="false">J487*Resumo!$C$7</f>
        <v>0.84998</v>
      </c>
      <c r="O487" s="39" t="n">
        <f aca="false">J487*Resumo!$C$8</f>
        <v>0.84998</v>
      </c>
      <c r="P487" s="39" t="n">
        <f aca="false">Resumo!$C$10*CEILING(I487/100,1)</f>
        <v>1</v>
      </c>
      <c r="Q487" s="39" t="n">
        <f aca="false">Resumo!$C$9</f>
        <v>11.9</v>
      </c>
      <c r="R487" s="39" t="n">
        <f aca="false">SUM(M487:Q487)*Resumo!$C$11</f>
        <v>5.1837478</v>
      </c>
      <c r="S487" s="39" t="n">
        <f aca="false">SUM(M487:R487)</f>
        <v>99.4337078</v>
      </c>
      <c r="T487" s="39" t="n">
        <f aca="false">S487/(1-Resumo!$C$5)</f>
        <v>112.992849772727</v>
      </c>
      <c r="U487" s="39" t="n">
        <v>93.97</v>
      </c>
      <c r="V487" s="39" t="n">
        <f aca="false">J487*Resumo!$B$6</f>
        <v>0.42499</v>
      </c>
      <c r="W487" s="39" t="n">
        <f aca="false">J487*Resumo!$B$7</f>
        <v>0.84998</v>
      </c>
      <c r="X487" s="39" t="n">
        <f aca="false">Resumo!$B$9</f>
        <v>1</v>
      </c>
      <c r="Y487" s="39" t="n">
        <f aca="false">Resumo!$B$10*CEILING(I487/100,1)</f>
        <v>4.5</v>
      </c>
      <c r="Z487" s="39" t="n">
        <f aca="false">Resumo!$B$12*CEILING(I487,1)</f>
        <v>2.28</v>
      </c>
      <c r="AA487" s="39" t="n">
        <f aca="false">Resumo!$B$13*CEILING(I487,1)</f>
        <v>17.1</v>
      </c>
      <c r="AB487" s="39" t="n">
        <f aca="false">SUM(U487:AA487)</f>
        <v>120.12497</v>
      </c>
      <c r="AC487" s="39" t="n">
        <f aca="false">AB487/(1-Resumo!$B$5)</f>
        <v>136.505647727273</v>
      </c>
      <c r="AD487" s="39" t="n">
        <f aca="false">(AB487-AA487)/(1-Resumo!$B$5)</f>
        <v>117.073829545455</v>
      </c>
      <c r="AE487" s="39" t="n">
        <f aca="false">AC487-T487</f>
        <v>23.5127979545454</v>
      </c>
      <c r="AF487" s="40" t="n">
        <f aca="false">AC487/T487-1</f>
        <v>0.208091025244861</v>
      </c>
      <c r="AG487" s="37" t="str">
        <f aca="false">IF(AC487&lt;T487,"SIM","NÃO")</f>
        <v>NÃO</v>
      </c>
      <c r="AH487" s="37" t="n">
        <v>10</v>
      </c>
      <c r="AI487" s="37" t="n">
        <v>5</v>
      </c>
      <c r="AJ487" s="37" t="s">
        <v>323</v>
      </c>
    </row>
    <row r="488" customFormat="false" ht="15" hidden="false" customHeight="false" outlineLevel="0" collapsed="false">
      <c r="A488" s="37" t="n">
        <v>370430913</v>
      </c>
      <c r="B488" s="38" t="n">
        <v>46236.5358449074</v>
      </c>
      <c r="C488" s="37" t="s">
        <v>341</v>
      </c>
      <c r="D488" s="37" t="s">
        <v>804</v>
      </c>
      <c r="E488" s="37" t="n">
        <v>22773260</v>
      </c>
      <c r="F488" s="37" t="s">
        <v>139</v>
      </c>
      <c r="G488" s="37" t="s">
        <v>198</v>
      </c>
      <c r="H488" s="37" t="s">
        <v>169</v>
      </c>
      <c r="I488" s="37" t="n">
        <v>36.8</v>
      </c>
      <c r="J488" s="39" t="n">
        <v>499.99</v>
      </c>
      <c r="K488" s="37" t="s">
        <v>322</v>
      </c>
      <c r="L488" s="39" t="n">
        <v>92.25</v>
      </c>
      <c r="M488" s="39" t="n">
        <v>62.05</v>
      </c>
      <c r="N488" s="39" t="n">
        <f aca="false">J488*Resumo!$C$7</f>
        <v>0.99998</v>
      </c>
      <c r="O488" s="39" t="n">
        <f aca="false">J488*Resumo!$C$8</f>
        <v>0.99998</v>
      </c>
      <c r="P488" s="39" t="n">
        <f aca="false">Resumo!$C$10*CEILING(I488/100,1)</f>
        <v>1</v>
      </c>
      <c r="Q488" s="39" t="n">
        <f aca="false">Resumo!$C$9</f>
        <v>11.9</v>
      </c>
      <c r="R488" s="39" t="n">
        <f aca="false">SUM(M488:Q488)*Resumo!$C$11</f>
        <v>4.2322478</v>
      </c>
      <c r="S488" s="39" t="n">
        <f aca="false">SUM(M488:R488)</f>
        <v>81.1822078</v>
      </c>
      <c r="T488" s="39" t="n">
        <f aca="false">S488/(1-Resumo!$C$5)</f>
        <v>92.2525088636364</v>
      </c>
      <c r="U488" s="39" t="n">
        <v>93.97</v>
      </c>
      <c r="V488" s="39" t="n">
        <f aca="false">J488*Resumo!$B$6</f>
        <v>0.49999</v>
      </c>
      <c r="W488" s="39" t="n">
        <f aca="false">J488*Resumo!$B$7</f>
        <v>0.99998</v>
      </c>
      <c r="X488" s="39" t="n">
        <f aca="false">Resumo!$B$9</f>
        <v>1</v>
      </c>
      <c r="Y488" s="39" t="n">
        <f aca="false">Resumo!$B$10*CEILING(I488/100,1)</f>
        <v>4.5</v>
      </c>
      <c r="Z488" s="39" t="n">
        <f aca="false">Resumo!$B$12*CEILING(I488,1)</f>
        <v>2.22</v>
      </c>
      <c r="AA488" s="39" t="n">
        <f aca="false">Resumo!$B$13*CEILING(I488,1)</f>
        <v>16.65</v>
      </c>
      <c r="AB488" s="39" t="n">
        <f aca="false">SUM(U488:AA488)</f>
        <v>119.83997</v>
      </c>
      <c r="AC488" s="39" t="n">
        <f aca="false">AB488/(1-Resumo!$B$5)</f>
        <v>136.181784090909</v>
      </c>
      <c r="AD488" s="39" t="n">
        <f aca="false">(AB488-AA488)/(1-Resumo!$B$5)</f>
        <v>117.261329545455</v>
      </c>
      <c r="AE488" s="39" t="n">
        <f aca="false">AC488-T488</f>
        <v>43.9292752272727</v>
      </c>
      <c r="AF488" s="40" t="n">
        <f aca="false">AC488/T488-1</f>
        <v>0.476185154944752</v>
      </c>
      <c r="AG488" s="37" t="str">
        <f aca="false">IF(AC488&lt;T488,"SIM","NÃO")</f>
        <v>NÃO</v>
      </c>
      <c r="AH488" s="37" t="n">
        <v>8</v>
      </c>
      <c r="AI488" s="37" t="n">
        <v>5</v>
      </c>
      <c r="AJ488" s="37" t="s">
        <v>323</v>
      </c>
    </row>
    <row r="489" customFormat="false" ht="15" hidden="false" customHeight="false" outlineLevel="0" collapsed="false">
      <c r="A489" s="37" t="n">
        <v>370465831</v>
      </c>
      <c r="B489" s="38" t="n">
        <v>46236.5669675926</v>
      </c>
      <c r="C489" s="37" t="s">
        <v>325</v>
      </c>
      <c r="D489" s="37" t="s">
        <v>805</v>
      </c>
      <c r="E489" s="37" t="n">
        <v>21250540</v>
      </c>
      <c r="F489" s="37" t="s">
        <v>139</v>
      </c>
      <c r="G489" s="37" t="s">
        <v>198</v>
      </c>
      <c r="H489" s="37" t="s">
        <v>172</v>
      </c>
      <c r="I489" s="37" t="n">
        <v>60.1</v>
      </c>
      <c r="J489" s="39" t="n">
        <v>999.09</v>
      </c>
      <c r="K489" s="37" t="s">
        <v>322</v>
      </c>
      <c r="L489" s="39" t="n">
        <v>126</v>
      </c>
      <c r="M489" s="39" t="n">
        <v>88.2</v>
      </c>
      <c r="N489" s="39" t="n">
        <f aca="false">J489*Resumo!$C$7</f>
        <v>1.99818</v>
      </c>
      <c r="O489" s="39" t="n">
        <f aca="false">J489*Resumo!$C$8</f>
        <v>1.99818</v>
      </c>
      <c r="P489" s="39" t="n">
        <f aca="false">Resumo!$C$10*CEILING(I489/100,1)</f>
        <v>1</v>
      </c>
      <c r="Q489" s="39" t="n">
        <f aca="false">Resumo!$C$9</f>
        <v>11.9</v>
      </c>
      <c r="R489" s="39" t="n">
        <f aca="false">SUM(M489:Q489)*Resumo!$C$11</f>
        <v>5.7802998</v>
      </c>
      <c r="S489" s="39" t="n">
        <f aca="false">SUM(M489:R489)</f>
        <v>110.8766598</v>
      </c>
      <c r="T489" s="39" t="n">
        <f aca="false">S489/(1-Resumo!$C$5)</f>
        <v>125.996204318182</v>
      </c>
      <c r="U489" s="39" t="n">
        <v>131.02</v>
      </c>
      <c r="V489" s="39" t="n">
        <f aca="false">J489*Resumo!$B$6</f>
        <v>0.99909</v>
      </c>
      <c r="W489" s="39" t="n">
        <f aca="false">J489*Resumo!$B$7</f>
        <v>1.99818</v>
      </c>
      <c r="X489" s="39" t="n">
        <f aca="false">Resumo!$B$9</f>
        <v>1</v>
      </c>
      <c r="Y489" s="39" t="n">
        <f aca="false">Resumo!$B$10*CEILING(I489/100,1)</f>
        <v>4.5</v>
      </c>
      <c r="Z489" s="39" t="n">
        <f aca="false">Resumo!$B$12*CEILING(I489,1)</f>
        <v>3.66</v>
      </c>
      <c r="AA489" s="39" t="n">
        <f aca="false">Resumo!$B$13*CEILING(I489,1)</f>
        <v>27.45</v>
      </c>
      <c r="AB489" s="39" t="n">
        <f aca="false">SUM(U489:AA489)</f>
        <v>170.62727</v>
      </c>
      <c r="AC489" s="39" t="n">
        <f aca="false">AB489/(1-Resumo!$B$5)</f>
        <v>193.894625</v>
      </c>
      <c r="AD489" s="39" t="n">
        <f aca="false">(AB489-AA489)/(1-Resumo!$B$5)</f>
        <v>162.701443181818</v>
      </c>
      <c r="AE489" s="39" t="n">
        <f aca="false">AC489-T489</f>
        <v>67.8984206818182</v>
      </c>
      <c r="AF489" s="40" t="n">
        <f aca="false">AC489/T489-1</f>
        <v>0.538892588465224</v>
      </c>
      <c r="AG489" s="37" t="str">
        <f aca="false">IF(AC489&lt;T489,"SIM","NÃO")</f>
        <v>NÃO</v>
      </c>
      <c r="AH489" s="37" t="n">
        <v>8</v>
      </c>
      <c r="AI489" s="37" t="n">
        <v>5</v>
      </c>
      <c r="AJ489" s="37" t="s">
        <v>323</v>
      </c>
    </row>
    <row r="490" customFormat="false" ht="15" hidden="false" customHeight="false" outlineLevel="0" collapsed="false">
      <c r="A490" s="37" t="n">
        <v>370495359</v>
      </c>
      <c r="B490" s="38" t="n">
        <v>46236.6143518519</v>
      </c>
      <c r="C490" s="37" t="s">
        <v>320</v>
      </c>
      <c r="D490" s="37" t="s">
        <v>806</v>
      </c>
      <c r="E490" s="37" t="n">
        <v>23076410</v>
      </c>
      <c r="F490" s="37" t="s">
        <v>139</v>
      </c>
      <c r="G490" s="37" t="s">
        <v>198</v>
      </c>
      <c r="H490" s="37" t="s">
        <v>171</v>
      </c>
      <c r="I490" s="37" t="n">
        <v>58.6</v>
      </c>
      <c r="J490" s="39" t="n">
        <v>669.99</v>
      </c>
      <c r="K490" s="37" t="s">
        <v>498</v>
      </c>
      <c r="L490" s="39" t="n">
        <v>116.56</v>
      </c>
      <c r="M490" s="39" t="n">
        <v>79.81</v>
      </c>
      <c r="N490" s="39" t="n">
        <f aca="false">J490*Resumo!$C$7</f>
        <v>1.33998</v>
      </c>
      <c r="O490" s="39" t="n">
        <f aca="false">J490*Resumo!$C$8</f>
        <v>1.33998</v>
      </c>
      <c r="P490" s="39" t="n">
        <f aca="false">Resumo!$C$10*CEILING(I490/100,1)</f>
        <v>1</v>
      </c>
      <c r="Q490" s="39" t="n">
        <f aca="false">Resumo!$C$9</f>
        <v>11.9</v>
      </c>
      <c r="R490" s="39" t="n">
        <f aca="false">SUM(M490:Q490)*Resumo!$C$11</f>
        <v>5.2464478</v>
      </c>
      <c r="S490" s="39" t="n">
        <f aca="false">SUM(M490:R490)</f>
        <v>100.6364078</v>
      </c>
      <c r="T490" s="39" t="n">
        <f aca="false">S490/(1-Resumo!$C$5)</f>
        <v>114.359554318182</v>
      </c>
      <c r="U490" s="39" t="n">
        <v>112.3</v>
      </c>
      <c r="V490" s="39" t="n">
        <f aca="false">J490*Resumo!$B$6</f>
        <v>0.66999</v>
      </c>
      <c r="W490" s="39" t="n">
        <f aca="false">J490*Resumo!$B$7</f>
        <v>1.33998</v>
      </c>
      <c r="X490" s="39" t="n">
        <f aca="false">Resumo!$B$9</f>
        <v>1</v>
      </c>
      <c r="Y490" s="39" t="n">
        <f aca="false">Resumo!$B$10*CEILING(I490/100,1)</f>
        <v>4.5</v>
      </c>
      <c r="Z490" s="39" t="n">
        <f aca="false">Resumo!$B$12*CEILING(I490,1)</f>
        <v>3.54</v>
      </c>
      <c r="AA490" s="39" t="n">
        <f aca="false">Resumo!$B$13*CEILING(I490,1)</f>
        <v>26.55</v>
      </c>
      <c r="AB490" s="39" t="n">
        <f aca="false">SUM(U490:AA490)</f>
        <v>149.89997</v>
      </c>
      <c r="AC490" s="39" t="n">
        <f aca="false">AB490/(1-Resumo!$B$5)</f>
        <v>170.340875</v>
      </c>
      <c r="AD490" s="39" t="n">
        <f aca="false">(AB490-AA490)/(1-Resumo!$B$5)</f>
        <v>140.170420454545</v>
      </c>
      <c r="AE490" s="39" t="n">
        <f aca="false">AC490-T490</f>
        <v>55.9813206818182</v>
      </c>
      <c r="AF490" s="40" t="n">
        <f aca="false">AC490/T490-1</f>
        <v>0.489520276776016</v>
      </c>
      <c r="AG490" s="37" t="str">
        <f aca="false">IF(AC490&lt;T490,"SIM","NÃO")</f>
        <v>NÃO</v>
      </c>
      <c r="AH490" s="37" t="n">
        <v>8</v>
      </c>
      <c r="AI490" s="37" t="n">
        <v>5</v>
      </c>
      <c r="AJ490" s="37" t="s">
        <v>323</v>
      </c>
    </row>
    <row r="491" customFormat="false" ht="15" hidden="false" customHeight="false" outlineLevel="0" collapsed="false">
      <c r="A491" s="37" t="n">
        <v>370498415</v>
      </c>
      <c r="B491" s="38" t="n">
        <v>46236.6175115741</v>
      </c>
      <c r="C491" s="37" t="s">
        <v>320</v>
      </c>
      <c r="D491" s="37" t="s">
        <v>807</v>
      </c>
      <c r="E491" s="37" t="n">
        <v>26062320</v>
      </c>
      <c r="F491" s="37" t="s">
        <v>142</v>
      </c>
      <c r="G491" s="37" t="s">
        <v>207</v>
      </c>
      <c r="H491" s="37" t="s">
        <v>175</v>
      </c>
      <c r="I491" s="37" t="n">
        <v>106.5</v>
      </c>
      <c r="J491" s="39" t="n">
        <v>1199.99</v>
      </c>
      <c r="K491" s="37" t="s">
        <v>322</v>
      </c>
      <c r="L491" s="39" t="n">
        <v>195.58</v>
      </c>
      <c r="M491" s="39" t="n">
        <v>144.44</v>
      </c>
      <c r="N491" s="39" t="n">
        <f aca="false">J491*Resumo!$C$7</f>
        <v>2.39998</v>
      </c>
      <c r="O491" s="39" t="n">
        <f aca="false">J491*Resumo!$C$8</f>
        <v>2.39998</v>
      </c>
      <c r="P491" s="39" t="n">
        <f aca="false">Resumo!$C$10*CEILING(I491/100,1)</f>
        <v>2</v>
      </c>
      <c r="Q491" s="39" t="n">
        <f aca="false">Resumo!$C$9</f>
        <v>11.9</v>
      </c>
      <c r="R491" s="39" t="n">
        <f aca="false">SUM(M491:Q491)*Resumo!$C$11</f>
        <v>8.9726978</v>
      </c>
      <c r="S491" s="39" t="n">
        <f aca="false">SUM(M491:R491)</f>
        <v>172.1126578</v>
      </c>
      <c r="T491" s="39" t="n">
        <f aca="false">S491/(1-Resumo!$C$5)</f>
        <v>195.582565681818</v>
      </c>
      <c r="U491" s="39" t="n">
        <v>201.59</v>
      </c>
      <c r="V491" s="39" t="n">
        <f aca="false">J491*Resumo!$B$6</f>
        <v>1.19999</v>
      </c>
      <c r="W491" s="39" t="n">
        <f aca="false">J491*Resumo!$B$7</f>
        <v>2.39998</v>
      </c>
      <c r="X491" s="39" t="n">
        <f aca="false">Resumo!$B$9</f>
        <v>1</v>
      </c>
      <c r="Y491" s="39" t="n">
        <f aca="false">Resumo!$B$10*CEILING(I491/100,1)</f>
        <v>9</v>
      </c>
      <c r="Z491" s="39" t="n">
        <f aca="false">Resumo!$B$12*CEILING(I491,1)</f>
        <v>6.42</v>
      </c>
      <c r="AA491" s="39" t="n">
        <f aca="false">Resumo!$B$13*CEILING(I491,1)</f>
        <v>48.15</v>
      </c>
      <c r="AB491" s="39" t="n">
        <f aca="false">SUM(U491:AA491)</f>
        <v>269.75997</v>
      </c>
      <c r="AC491" s="39" t="n">
        <f aca="false">AB491/(1-Resumo!$B$5)</f>
        <v>306.545420454546</v>
      </c>
      <c r="AD491" s="39" t="n">
        <f aca="false">(AB491-AA491)/(1-Resumo!$B$5)</f>
        <v>251.829511363636</v>
      </c>
      <c r="AE491" s="39" t="n">
        <f aca="false">AC491-T491</f>
        <v>110.962854772727</v>
      </c>
      <c r="AF491" s="40" t="n">
        <f aca="false">AC491/T491-1</f>
        <v>0.567345327462604</v>
      </c>
      <c r="AG491" s="37" t="str">
        <f aca="false">IF(AC491&lt;T491,"SIM","NÃO")</f>
        <v>NÃO</v>
      </c>
      <c r="AH491" s="37" t="n">
        <v>10</v>
      </c>
      <c r="AI491" s="37" t="n">
        <v>5</v>
      </c>
      <c r="AJ491" s="37" t="s">
        <v>323</v>
      </c>
    </row>
    <row r="492" customFormat="false" ht="15" hidden="false" customHeight="false" outlineLevel="0" collapsed="false">
      <c r="A492" s="37" t="n">
        <v>370500000</v>
      </c>
      <c r="B492" s="38" t="n">
        <v>46236.6192476852</v>
      </c>
      <c r="C492" s="37" t="s">
        <v>320</v>
      </c>
      <c r="D492" s="37" t="s">
        <v>808</v>
      </c>
      <c r="E492" s="37" t="n">
        <v>21040005</v>
      </c>
      <c r="F492" s="37" t="s">
        <v>139</v>
      </c>
      <c r="G492" s="37" t="s">
        <v>198</v>
      </c>
      <c r="H492" s="37" t="s">
        <v>168</v>
      </c>
      <c r="I492" s="37" t="n">
        <v>20.9</v>
      </c>
      <c r="J492" s="39" t="n">
        <v>449.99</v>
      </c>
      <c r="K492" s="37" t="s">
        <v>322</v>
      </c>
      <c r="L492" s="39" t="n">
        <v>82.48</v>
      </c>
      <c r="M492" s="39" t="n">
        <v>54.1</v>
      </c>
      <c r="N492" s="39" t="n">
        <f aca="false">J492*Resumo!$C$7</f>
        <v>0.89998</v>
      </c>
      <c r="O492" s="39" t="n">
        <f aca="false">J492*Resumo!$C$8</f>
        <v>0.89998</v>
      </c>
      <c r="P492" s="39" t="n">
        <f aca="false">Resumo!$C$10*CEILING(I492/100,1)</f>
        <v>1</v>
      </c>
      <c r="Q492" s="39" t="n">
        <f aca="false">Resumo!$C$9</f>
        <v>11.9</v>
      </c>
      <c r="R492" s="39" t="n">
        <f aca="false">SUM(M492:Q492)*Resumo!$C$11</f>
        <v>3.7839978</v>
      </c>
      <c r="S492" s="39" t="n">
        <f aca="false">SUM(M492:R492)</f>
        <v>72.5839578</v>
      </c>
      <c r="T492" s="39" t="n">
        <f aca="false">S492/(1-Resumo!$C$5)</f>
        <v>82.4817702272727</v>
      </c>
      <c r="U492" s="39" t="n">
        <v>82.21</v>
      </c>
      <c r="V492" s="39" t="n">
        <f aca="false">J492*Resumo!$B$6</f>
        <v>0.44999</v>
      </c>
      <c r="W492" s="39" t="n">
        <f aca="false">J492*Resumo!$B$7</f>
        <v>0.89998</v>
      </c>
      <c r="X492" s="39" t="n">
        <f aca="false">Resumo!$B$9</f>
        <v>1</v>
      </c>
      <c r="Y492" s="39" t="n">
        <f aca="false">Resumo!$B$10*CEILING(I492/100,1)</f>
        <v>4.5</v>
      </c>
      <c r="Z492" s="39" t="n">
        <f aca="false">Resumo!$B$12*CEILING(I492,1)</f>
        <v>1.26</v>
      </c>
      <c r="AA492" s="39" t="n">
        <f aca="false">Resumo!$B$13*CEILING(I492,1)</f>
        <v>9.45</v>
      </c>
      <c r="AB492" s="39" t="n">
        <f aca="false">SUM(U492:AA492)</f>
        <v>99.76997</v>
      </c>
      <c r="AC492" s="39" t="n">
        <f aca="false">AB492/(1-Resumo!$B$5)</f>
        <v>113.374965909091</v>
      </c>
      <c r="AD492" s="39" t="n">
        <f aca="false">(AB492-AA492)/(1-Resumo!$B$5)</f>
        <v>102.636329545455</v>
      </c>
      <c r="AE492" s="39" t="n">
        <f aca="false">AC492-T492</f>
        <v>30.8931956818182</v>
      </c>
      <c r="AF492" s="40" t="n">
        <f aca="false">AC492/T492-1</f>
        <v>0.374545740188337</v>
      </c>
      <c r="AG492" s="37" t="str">
        <f aca="false">IF(AC492&lt;T492,"SIM","NÃO")</f>
        <v>NÃO</v>
      </c>
      <c r="AH492" s="37" t="n">
        <v>8</v>
      </c>
      <c r="AI492" s="37" t="n">
        <v>5</v>
      </c>
      <c r="AJ492" s="37" t="s">
        <v>323</v>
      </c>
    </row>
    <row r="493" customFormat="false" ht="15" hidden="false" customHeight="false" outlineLevel="0" collapsed="false">
      <c r="A493" s="37" t="n">
        <v>370517917</v>
      </c>
      <c r="B493" s="38" t="n">
        <v>46236.6412731482</v>
      </c>
      <c r="C493" s="37" t="s">
        <v>320</v>
      </c>
      <c r="D493" s="37" t="s">
        <v>809</v>
      </c>
      <c r="E493" s="37" t="n">
        <v>24340100</v>
      </c>
      <c r="F493" s="37" t="s">
        <v>143</v>
      </c>
      <c r="G493" s="37" t="s">
        <v>207</v>
      </c>
      <c r="H493" s="37" t="s">
        <v>171</v>
      </c>
      <c r="I493" s="37" t="n">
        <v>52.3</v>
      </c>
      <c r="J493" s="39" t="n">
        <v>685.85</v>
      </c>
      <c r="K493" s="37" t="s">
        <v>498</v>
      </c>
      <c r="L493" s="39" t="n">
        <v>127.62</v>
      </c>
      <c r="M493" s="39" t="n">
        <v>91.6</v>
      </c>
      <c r="N493" s="39" t="n">
        <f aca="false">J493*Resumo!$C$7</f>
        <v>1.3717</v>
      </c>
      <c r="O493" s="39" t="n">
        <f aca="false">J493*Resumo!$C$8</f>
        <v>1.3717</v>
      </c>
      <c r="P493" s="39" t="n">
        <f aca="false">Resumo!$C$10*CEILING(I493/100,1)</f>
        <v>1</v>
      </c>
      <c r="Q493" s="39" t="n">
        <f aca="false">Resumo!$C$9</f>
        <v>11.9</v>
      </c>
      <c r="R493" s="39" t="n">
        <f aca="false">SUM(M493:Q493)*Resumo!$C$11</f>
        <v>5.898387</v>
      </c>
      <c r="S493" s="39" t="n">
        <f aca="false">SUM(M493:R493)</f>
        <v>113.141787</v>
      </c>
      <c r="T493" s="39" t="n">
        <f aca="false">S493/(1-Resumo!$C$5)</f>
        <v>128.5702125</v>
      </c>
      <c r="U493" s="39" t="n">
        <v>128.14</v>
      </c>
      <c r="V493" s="39" t="n">
        <f aca="false">J493*Resumo!$B$6</f>
        <v>0.68585</v>
      </c>
      <c r="W493" s="39" t="n">
        <f aca="false">J493*Resumo!$B$7</f>
        <v>1.3717</v>
      </c>
      <c r="X493" s="39" t="n">
        <f aca="false">Resumo!$B$9</f>
        <v>1</v>
      </c>
      <c r="Y493" s="39" t="n">
        <f aca="false">Resumo!$B$10*CEILING(I493/100,1)</f>
        <v>4.5</v>
      </c>
      <c r="Z493" s="39" t="n">
        <f aca="false">Resumo!$B$12*CEILING(I493,1)</f>
        <v>3.18</v>
      </c>
      <c r="AA493" s="39" t="n">
        <f aca="false">Resumo!$B$13*CEILING(I493,1)</f>
        <v>23.85</v>
      </c>
      <c r="AB493" s="39" t="n">
        <f aca="false">SUM(U493:AA493)</f>
        <v>162.72755</v>
      </c>
      <c r="AC493" s="39" t="n">
        <f aca="false">AB493/(1-Resumo!$B$5)</f>
        <v>184.917670454545</v>
      </c>
      <c r="AD493" s="39" t="n">
        <f aca="false">(AB493-AA493)/(1-Resumo!$B$5)</f>
        <v>157.815397727273</v>
      </c>
      <c r="AE493" s="39" t="n">
        <f aca="false">AC493-T493</f>
        <v>56.3474579545454</v>
      </c>
      <c r="AF493" s="40" t="n">
        <f aca="false">AC493/T493-1</f>
        <v>0.438262151542648</v>
      </c>
      <c r="AG493" s="37" t="str">
        <f aca="false">IF(AC493&lt;T493,"SIM","NÃO")</f>
        <v>NÃO</v>
      </c>
      <c r="AH493" s="37" t="n">
        <v>10</v>
      </c>
      <c r="AI493" s="37" t="n">
        <v>7</v>
      </c>
      <c r="AJ493" s="37" t="s">
        <v>323</v>
      </c>
    </row>
    <row r="494" customFormat="false" ht="15" hidden="false" customHeight="false" outlineLevel="0" collapsed="false">
      <c r="A494" s="37" t="n">
        <v>370579255</v>
      </c>
      <c r="B494" s="38" t="n">
        <v>46236.7131712963</v>
      </c>
      <c r="C494" s="37" t="s">
        <v>320</v>
      </c>
      <c r="D494" s="37" t="s">
        <v>810</v>
      </c>
      <c r="E494" s="37" t="n">
        <v>20750040</v>
      </c>
      <c r="F494" s="37" t="s">
        <v>139</v>
      </c>
      <c r="G494" s="37" t="s">
        <v>198</v>
      </c>
      <c r="H494" s="37" t="s">
        <v>170</v>
      </c>
      <c r="I494" s="37" t="n">
        <v>49.6</v>
      </c>
      <c r="J494" s="39" t="n">
        <v>769.99</v>
      </c>
      <c r="K494" s="37" t="s">
        <v>322</v>
      </c>
      <c r="L494" s="39" t="n">
        <v>104.27</v>
      </c>
      <c r="M494" s="39" t="n">
        <v>71</v>
      </c>
      <c r="N494" s="39" t="n">
        <f aca="false">J494*Resumo!$C$7</f>
        <v>1.53998</v>
      </c>
      <c r="O494" s="39" t="n">
        <f aca="false">J494*Resumo!$C$8</f>
        <v>1.53998</v>
      </c>
      <c r="P494" s="39" t="n">
        <f aca="false">Resumo!$C$10*CEILING(I494/100,1)</f>
        <v>1</v>
      </c>
      <c r="Q494" s="39" t="n">
        <f aca="false">Resumo!$C$9</f>
        <v>11.9</v>
      </c>
      <c r="R494" s="39" t="n">
        <f aca="false">SUM(M494:Q494)*Resumo!$C$11</f>
        <v>4.7838978</v>
      </c>
      <c r="S494" s="39" t="n">
        <f aca="false">SUM(M494:R494)</f>
        <v>91.7638578</v>
      </c>
      <c r="T494" s="39" t="n">
        <f aca="false">S494/(1-Resumo!$C$5)</f>
        <v>104.277111136364</v>
      </c>
      <c r="U494" s="39" t="n">
        <v>93.97</v>
      </c>
      <c r="V494" s="39" t="n">
        <f aca="false">J494*Resumo!$B$6</f>
        <v>0.76999</v>
      </c>
      <c r="W494" s="39" t="n">
        <f aca="false">J494*Resumo!$B$7</f>
        <v>1.53998</v>
      </c>
      <c r="X494" s="39" t="n">
        <f aca="false">Resumo!$B$9</f>
        <v>1</v>
      </c>
      <c r="Y494" s="39" t="n">
        <f aca="false">Resumo!$B$10*CEILING(I494/100,1)</f>
        <v>4.5</v>
      </c>
      <c r="Z494" s="39" t="n">
        <f aca="false">Resumo!$B$12*CEILING(I494,1)</f>
        <v>3</v>
      </c>
      <c r="AA494" s="39" t="n">
        <f aca="false">Resumo!$B$13*CEILING(I494,1)</f>
        <v>22.5</v>
      </c>
      <c r="AB494" s="39" t="n">
        <f aca="false">SUM(U494:AA494)</f>
        <v>127.27997</v>
      </c>
      <c r="AC494" s="39" t="n">
        <f aca="false">AB494/(1-Resumo!$B$5)</f>
        <v>144.636329545455</v>
      </c>
      <c r="AD494" s="39" t="n">
        <f aca="false">(AB494-AA494)/(1-Resumo!$B$5)</f>
        <v>119.068147727273</v>
      </c>
      <c r="AE494" s="39" t="n">
        <f aca="false">AC494-T494</f>
        <v>40.3592184090909</v>
      </c>
      <c r="AF494" s="40" t="n">
        <f aca="false">AC494/T494-1</f>
        <v>0.387038133002294</v>
      </c>
      <c r="AG494" s="37" t="str">
        <f aca="false">IF(AC494&lt;T494,"SIM","NÃO")</f>
        <v>NÃO</v>
      </c>
      <c r="AH494" s="37" t="n">
        <v>8</v>
      </c>
      <c r="AI494" s="37" t="n">
        <v>5</v>
      </c>
      <c r="AJ494" s="37" t="s">
        <v>323</v>
      </c>
    </row>
    <row r="495" customFormat="false" ht="15" hidden="false" customHeight="false" outlineLevel="0" collapsed="false">
      <c r="A495" s="37" t="n">
        <v>370585604</v>
      </c>
      <c r="B495" s="38" t="n">
        <v>46236.7215277778</v>
      </c>
      <c r="C495" s="37" t="s">
        <v>320</v>
      </c>
      <c r="D495" s="37" t="s">
        <v>811</v>
      </c>
      <c r="E495" s="37" t="n">
        <v>25957025</v>
      </c>
      <c r="F495" s="37" t="s">
        <v>221</v>
      </c>
      <c r="G495" s="37" t="s">
        <v>201</v>
      </c>
      <c r="H495" s="37" t="s">
        <v>176</v>
      </c>
      <c r="I495" s="37" t="n">
        <v>124</v>
      </c>
      <c r="J495" s="39" t="n">
        <v>1668.38</v>
      </c>
      <c r="K495" s="37" t="s">
        <v>498</v>
      </c>
      <c r="L495" s="39" t="n">
        <v>253.06</v>
      </c>
      <c r="M495" s="39" t="n">
        <v>197.37</v>
      </c>
      <c r="N495" s="39" t="n">
        <f aca="false">J495*Resumo!$C$7</f>
        <v>3.33676</v>
      </c>
      <c r="O495" s="39" t="n">
        <f aca="false">J495*Resumo!$C$8</f>
        <v>3.33676</v>
      </c>
      <c r="P495" s="39" t="n">
        <f aca="false">Resumo!$C$10*CEILING(I495/100,1)</f>
        <v>2</v>
      </c>
      <c r="Q495" s="39" t="n">
        <f aca="false">Resumo!$C$9</f>
        <v>11.9</v>
      </c>
      <c r="R495" s="39" t="n">
        <f aca="false">SUM(M495:Q495)*Resumo!$C$11</f>
        <v>11.9868936</v>
      </c>
      <c r="S495" s="39" t="n">
        <f aca="false">SUM(M495:R495)</f>
        <v>229.9304136</v>
      </c>
      <c r="T495" s="39" t="n">
        <f aca="false">S495/(1-Resumo!$C$5)</f>
        <v>261.284560909091</v>
      </c>
      <c r="U495" s="39" t="n">
        <v>264.84</v>
      </c>
      <c r="V495" s="39" t="n">
        <f aca="false">J495*Resumo!$B$6</f>
        <v>1.66838</v>
      </c>
      <c r="W495" s="39" t="n">
        <f aca="false">J495*Resumo!$B$7</f>
        <v>3.33676</v>
      </c>
      <c r="X495" s="39" t="n">
        <f aca="false">Resumo!$B$9</f>
        <v>1</v>
      </c>
      <c r="Y495" s="39" t="n">
        <f aca="false">Resumo!$B$10*CEILING(I495/100,1)</f>
        <v>9</v>
      </c>
      <c r="Z495" s="39" t="n">
        <f aca="false">Resumo!$B$12*CEILING(I495,1)</f>
        <v>7.44</v>
      </c>
      <c r="AA495" s="39" t="n">
        <f aca="false">Resumo!$B$13*CEILING(I495,1)</f>
        <v>55.8</v>
      </c>
      <c r="AB495" s="39" t="n">
        <f aca="false">SUM(U495:AA495)</f>
        <v>343.08514</v>
      </c>
      <c r="AC495" s="39" t="n">
        <f aca="false">AB495/(1-Resumo!$B$5)</f>
        <v>389.869477272727</v>
      </c>
      <c r="AD495" s="39" t="n">
        <f aca="false">(AB495-AA495)/(1-Resumo!$B$5)</f>
        <v>326.460386363636</v>
      </c>
      <c r="AE495" s="39" t="n">
        <f aca="false">AC495-T495</f>
        <v>128.584916363636</v>
      </c>
      <c r="AF495" s="40" t="n">
        <f aca="false">AC495/T495-1</f>
        <v>0.492125963800728</v>
      </c>
      <c r="AG495" s="37" t="str">
        <f aca="false">IF(AC495&lt;T495,"SIM","NÃO")</f>
        <v>NÃO</v>
      </c>
      <c r="AH495" s="37" t="n">
        <v>13</v>
      </c>
      <c r="AI495" s="37" t="n">
        <v>10</v>
      </c>
      <c r="AJ495" s="37" t="s">
        <v>327</v>
      </c>
    </row>
    <row r="496" customFormat="false" ht="15" hidden="false" customHeight="false" outlineLevel="0" collapsed="false">
      <c r="A496" s="37" t="n">
        <v>370585715</v>
      </c>
      <c r="B496" s="38" t="n">
        <v>46236.7274768519</v>
      </c>
      <c r="C496" s="37" t="s">
        <v>341</v>
      </c>
      <c r="D496" s="37" t="s">
        <v>812</v>
      </c>
      <c r="E496" s="37" t="n">
        <v>26900000</v>
      </c>
      <c r="F496" s="37" t="s">
        <v>228</v>
      </c>
      <c r="G496" s="37" t="s">
        <v>201</v>
      </c>
      <c r="H496" s="37" t="s">
        <v>179</v>
      </c>
      <c r="I496" s="37" t="n">
        <v>200.3</v>
      </c>
      <c r="J496" s="39" t="n">
        <v>2124.99</v>
      </c>
      <c r="K496" s="37" t="s">
        <v>498</v>
      </c>
      <c r="L496" s="39" t="n">
        <v>376.08</v>
      </c>
      <c r="M496" s="39" t="n">
        <v>304.65</v>
      </c>
      <c r="N496" s="39" t="n">
        <f aca="false">J496*Resumo!$C$7</f>
        <v>4.24998</v>
      </c>
      <c r="O496" s="39" t="n">
        <f aca="false">J496*Resumo!$C$8</f>
        <v>4.24998</v>
      </c>
      <c r="P496" s="39" t="n">
        <f aca="false">Resumo!$C$10*CEILING(I496/100,1)</f>
        <v>3</v>
      </c>
      <c r="Q496" s="39" t="n">
        <f aca="false">Resumo!$C$9</f>
        <v>11.9</v>
      </c>
      <c r="R496" s="39" t="n">
        <f aca="false">SUM(M496:Q496)*Resumo!$C$11</f>
        <v>18.0427478</v>
      </c>
      <c r="S496" s="39" t="n">
        <f aca="false">SUM(M496:R496)</f>
        <v>346.0927078</v>
      </c>
      <c r="T496" s="39" t="n">
        <f aca="false">S496/(1-Resumo!$C$5)</f>
        <v>393.287167954545</v>
      </c>
      <c r="U496" s="39" t="n">
        <v>441.4</v>
      </c>
      <c r="V496" s="39" t="n">
        <f aca="false">J496*Resumo!$B$6</f>
        <v>2.12499</v>
      </c>
      <c r="W496" s="39" t="n">
        <f aca="false">J496*Resumo!$B$7</f>
        <v>4.24998</v>
      </c>
      <c r="X496" s="39" t="n">
        <f aca="false">Resumo!$B$9</f>
        <v>1</v>
      </c>
      <c r="Y496" s="39" t="n">
        <f aca="false">Resumo!$B$10*CEILING(I496/100,1)</f>
        <v>13.5</v>
      </c>
      <c r="Z496" s="39" t="n">
        <f aca="false">Resumo!$B$12*CEILING(I496,1)</f>
        <v>12.06</v>
      </c>
      <c r="AA496" s="39" t="n">
        <f aca="false">Resumo!$B$13*CEILING(I496,1)</f>
        <v>90.45</v>
      </c>
      <c r="AB496" s="39" t="n">
        <f aca="false">SUM(U496:AA496)</f>
        <v>564.78497</v>
      </c>
      <c r="AC496" s="39" t="n">
        <f aca="false">AB496/(1-Resumo!$B$5)</f>
        <v>641.801102272727</v>
      </c>
      <c r="AD496" s="39" t="n">
        <f aca="false">(AB496-AA496)/(1-Resumo!$B$5)</f>
        <v>539.017011363637</v>
      </c>
      <c r="AE496" s="39" t="n">
        <f aca="false">AC496-T496</f>
        <v>248.513934318182</v>
      </c>
      <c r="AF496" s="40" t="n">
        <f aca="false">AC496/T496-1</f>
        <v>0.631889251842827</v>
      </c>
      <c r="AG496" s="37" t="str">
        <f aca="false">IF(AC496&lt;T496,"SIM","NÃO")</f>
        <v>NÃO</v>
      </c>
      <c r="AH496" s="37" t="n">
        <v>13</v>
      </c>
      <c r="AI496" s="37" t="n">
        <v>10</v>
      </c>
      <c r="AJ496" s="37" t="s">
        <v>327</v>
      </c>
    </row>
    <row r="497" customFormat="false" ht="15" hidden="false" customHeight="false" outlineLevel="0" collapsed="false">
      <c r="A497" s="37" t="n">
        <v>370591401</v>
      </c>
      <c r="B497" s="38" t="n">
        <v>46236.7290972222</v>
      </c>
      <c r="C497" s="37" t="s">
        <v>320</v>
      </c>
      <c r="D497" s="37" t="s">
        <v>813</v>
      </c>
      <c r="E497" s="37" t="n">
        <v>25015280</v>
      </c>
      <c r="F497" s="37" t="s">
        <v>141</v>
      </c>
      <c r="G497" s="37" t="s">
        <v>207</v>
      </c>
      <c r="H497" s="37" t="s">
        <v>171</v>
      </c>
      <c r="I497" s="37" t="n">
        <v>52.3</v>
      </c>
      <c r="J497" s="39" t="n">
        <v>685.85</v>
      </c>
      <c r="K497" s="37" t="s">
        <v>498</v>
      </c>
      <c r="L497" s="39" t="n">
        <v>127.62</v>
      </c>
      <c r="M497" s="39" t="n">
        <v>91.6</v>
      </c>
      <c r="N497" s="39" t="n">
        <f aca="false">J497*Resumo!$C$7</f>
        <v>1.3717</v>
      </c>
      <c r="O497" s="39" t="n">
        <f aca="false">J497*Resumo!$C$8</f>
        <v>1.3717</v>
      </c>
      <c r="P497" s="39" t="n">
        <f aca="false">Resumo!$C$10*CEILING(I497/100,1)</f>
        <v>1</v>
      </c>
      <c r="Q497" s="39" t="n">
        <f aca="false">Resumo!$C$9</f>
        <v>11.9</v>
      </c>
      <c r="R497" s="39" t="n">
        <f aca="false">SUM(M497:Q497)*Resumo!$C$11</f>
        <v>5.898387</v>
      </c>
      <c r="S497" s="39" t="n">
        <f aca="false">SUM(M497:R497)</f>
        <v>113.141787</v>
      </c>
      <c r="T497" s="39" t="n">
        <f aca="false">S497/(1-Resumo!$C$5)</f>
        <v>128.5702125</v>
      </c>
      <c r="U497" s="39" t="n">
        <v>112.3</v>
      </c>
      <c r="V497" s="39" t="n">
        <f aca="false">J497*Resumo!$B$6</f>
        <v>0.68585</v>
      </c>
      <c r="W497" s="39" t="n">
        <f aca="false">J497*Resumo!$B$7</f>
        <v>1.3717</v>
      </c>
      <c r="X497" s="39" t="n">
        <f aca="false">Resumo!$B$9</f>
        <v>1</v>
      </c>
      <c r="Y497" s="39" t="n">
        <f aca="false">Resumo!$B$10*CEILING(I497/100,1)</f>
        <v>4.5</v>
      </c>
      <c r="Z497" s="39" t="n">
        <f aca="false">Resumo!$B$12*CEILING(I497,1)</f>
        <v>3.18</v>
      </c>
      <c r="AA497" s="39" t="n">
        <f aca="false">Resumo!$B$13*CEILING(I497,1)</f>
        <v>23.85</v>
      </c>
      <c r="AB497" s="39" t="n">
        <f aca="false">SUM(U497:AA497)</f>
        <v>146.88755</v>
      </c>
      <c r="AC497" s="39" t="n">
        <f aca="false">AB497/(1-Resumo!$B$5)</f>
        <v>166.917670454545</v>
      </c>
      <c r="AD497" s="39" t="n">
        <f aca="false">(AB497-AA497)/(1-Resumo!$B$5)</f>
        <v>139.815397727273</v>
      </c>
      <c r="AE497" s="39" t="n">
        <f aca="false">AC497-T497</f>
        <v>38.3474579545455</v>
      </c>
      <c r="AF497" s="40" t="n">
        <f aca="false">AC497/T497-1</f>
        <v>0.298260827363457</v>
      </c>
      <c r="AG497" s="37" t="str">
        <f aca="false">IF(AC497&lt;T497,"SIM","NÃO")</f>
        <v>NÃO</v>
      </c>
      <c r="AH497" s="37" t="n">
        <v>10</v>
      </c>
      <c r="AI497" s="37" t="n">
        <v>5</v>
      </c>
      <c r="AJ497" s="37" t="s">
        <v>323</v>
      </c>
    </row>
    <row r="498" customFormat="false" ht="15" hidden="false" customHeight="false" outlineLevel="0" collapsed="false">
      <c r="A498" s="37" t="n">
        <v>370613921</v>
      </c>
      <c r="B498" s="38" t="n">
        <v>46236.7524074074</v>
      </c>
      <c r="C498" s="37" t="s">
        <v>325</v>
      </c>
      <c r="D498" s="37" t="s">
        <v>814</v>
      </c>
      <c r="E498" s="37" t="n">
        <v>20720010</v>
      </c>
      <c r="F498" s="37" t="s">
        <v>139</v>
      </c>
      <c r="G498" s="37" t="s">
        <v>198</v>
      </c>
      <c r="H498" s="37" t="s">
        <v>171</v>
      </c>
      <c r="I498" s="37" t="n">
        <v>52.3</v>
      </c>
      <c r="J498" s="39" t="n">
        <v>642.07</v>
      </c>
      <c r="K498" s="37" t="s">
        <v>498</v>
      </c>
      <c r="L498" s="39" t="n">
        <v>113.35</v>
      </c>
      <c r="M498" s="39" t="n">
        <v>79.81</v>
      </c>
      <c r="N498" s="39" t="n">
        <f aca="false">J498*Resumo!$C$7</f>
        <v>1.28414</v>
      </c>
      <c r="O498" s="39" t="n">
        <f aca="false">J498*Resumo!$C$8</f>
        <v>1.28414</v>
      </c>
      <c r="P498" s="39" t="n">
        <f aca="false">Resumo!$C$10*CEILING(I498/100,1)</f>
        <v>1</v>
      </c>
      <c r="Q498" s="39" t="n">
        <f aca="false">Resumo!$C$9</f>
        <v>11.9</v>
      </c>
      <c r="R498" s="39" t="n">
        <f aca="false">SUM(M498:Q498)*Resumo!$C$11</f>
        <v>5.2403054</v>
      </c>
      <c r="S498" s="39" t="n">
        <f aca="false">SUM(M498:R498)</f>
        <v>100.5185854</v>
      </c>
      <c r="T498" s="39" t="n">
        <f aca="false">S498/(1-Resumo!$C$5)</f>
        <v>114.225665227273</v>
      </c>
      <c r="U498" s="39" t="n">
        <v>112.3</v>
      </c>
      <c r="V498" s="39" t="n">
        <f aca="false">J498*Resumo!$B$6</f>
        <v>0.64207</v>
      </c>
      <c r="W498" s="39" t="n">
        <f aca="false">J498*Resumo!$B$7</f>
        <v>1.28414</v>
      </c>
      <c r="X498" s="39" t="n">
        <f aca="false">Resumo!$B$9</f>
        <v>1</v>
      </c>
      <c r="Y498" s="39" t="n">
        <f aca="false">Resumo!$B$10*CEILING(I498/100,1)</f>
        <v>4.5</v>
      </c>
      <c r="Z498" s="39" t="n">
        <f aca="false">Resumo!$B$12*CEILING(I498,1)</f>
        <v>3.18</v>
      </c>
      <c r="AA498" s="39" t="n">
        <f aca="false">Resumo!$B$13*CEILING(I498,1)</f>
        <v>23.85</v>
      </c>
      <c r="AB498" s="39" t="n">
        <f aca="false">SUM(U498:AA498)</f>
        <v>146.75621</v>
      </c>
      <c r="AC498" s="39" t="n">
        <f aca="false">AB498/(1-Resumo!$B$5)</f>
        <v>166.768420454545</v>
      </c>
      <c r="AD498" s="39" t="n">
        <f aca="false">(AB498-AA498)/(1-Resumo!$B$5)</f>
        <v>139.666147727273</v>
      </c>
      <c r="AE498" s="39" t="n">
        <f aca="false">AC498-T498</f>
        <v>52.5427552272727</v>
      </c>
      <c r="AF498" s="40" t="n">
        <f aca="false">AC498/T498-1</f>
        <v>0.459990800865369</v>
      </c>
      <c r="AG498" s="37" t="str">
        <f aca="false">IF(AC498&lt;T498,"SIM","NÃO")</f>
        <v>NÃO</v>
      </c>
      <c r="AH498" s="37" t="n">
        <v>8</v>
      </c>
      <c r="AI498" s="37" t="n">
        <v>5</v>
      </c>
      <c r="AJ498" s="37" t="s">
        <v>323</v>
      </c>
    </row>
    <row r="499" customFormat="false" ht="15" hidden="false" customHeight="false" outlineLevel="0" collapsed="false">
      <c r="A499" s="37" t="n">
        <v>370644127</v>
      </c>
      <c r="B499" s="38" t="n">
        <v>46236.7899652778</v>
      </c>
      <c r="C499" s="37" t="s">
        <v>320</v>
      </c>
      <c r="D499" s="37" t="s">
        <v>815</v>
      </c>
      <c r="E499" s="37" t="n">
        <v>25240170</v>
      </c>
      <c r="F499" s="37" t="s">
        <v>141</v>
      </c>
      <c r="G499" s="37" t="s">
        <v>207</v>
      </c>
      <c r="H499" s="37" t="s">
        <v>168</v>
      </c>
      <c r="I499" s="37" t="n">
        <v>27.5</v>
      </c>
      <c r="J499" s="39" t="n">
        <v>379.99</v>
      </c>
      <c r="K499" s="37" t="s">
        <v>322</v>
      </c>
      <c r="L499" s="39" t="n">
        <v>101.2</v>
      </c>
      <c r="M499" s="39" t="n">
        <v>70</v>
      </c>
      <c r="N499" s="39" t="n">
        <f aca="false">J499*Resumo!$C$7</f>
        <v>0.75998</v>
      </c>
      <c r="O499" s="39" t="n">
        <f aca="false">J499*Resumo!$C$8</f>
        <v>0.75998</v>
      </c>
      <c r="P499" s="39" t="n">
        <f aca="false">Resumo!$C$10*CEILING(I499/100,1)</f>
        <v>1</v>
      </c>
      <c r="Q499" s="39" t="n">
        <f aca="false">Resumo!$C$9</f>
        <v>11.9</v>
      </c>
      <c r="R499" s="39" t="n">
        <f aca="false">SUM(M499:Q499)*Resumo!$C$11</f>
        <v>4.6430978</v>
      </c>
      <c r="S499" s="39" t="n">
        <f aca="false">SUM(M499:R499)</f>
        <v>89.0630578</v>
      </c>
      <c r="T499" s="39" t="n">
        <f aca="false">S499/(1-Resumo!$C$5)</f>
        <v>101.208020227273</v>
      </c>
      <c r="U499" s="39" t="n">
        <v>82.21</v>
      </c>
      <c r="V499" s="39" t="n">
        <f aca="false">J499*Resumo!$B$6</f>
        <v>0.37999</v>
      </c>
      <c r="W499" s="39" t="n">
        <f aca="false">J499*Resumo!$B$7</f>
        <v>0.75998</v>
      </c>
      <c r="X499" s="39" t="n">
        <f aca="false">Resumo!$B$9</f>
        <v>1</v>
      </c>
      <c r="Y499" s="39" t="n">
        <f aca="false">Resumo!$B$10*CEILING(I499/100,1)</f>
        <v>4.5</v>
      </c>
      <c r="Z499" s="39" t="n">
        <f aca="false">Resumo!$B$12*CEILING(I499,1)</f>
        <v>1.68</v>
      </c>
      <c r="AA499" s="39" t="n">
        <f aca="false">Resumo!$B$13*CEILING(I499,1)</f>
        <v>12.6</v>
      </c>
      <c r="AB499" s="39" t="n">
        <f aca="false">SUM(U499:AA499)</f>
        <v>103.12997</v>
      </c>
      <c r="AC499" s="39" t="n">
        <f aca="false">AB499/(1-Resumo!$B$5)</f>
        <v>117.193147727273</v>
      </c>
      <c r="AD499" s="39" t="n">
        <f aca="false">(AB499-AA499)/(1-Resumo!$B$5)</f>
        <v>102.874965909091</v>
      </c>
      <c r="AE499" s="39" t="n">
        <f aca="false">AC499-T499</f>
        <v>15.9851275</v>
      </c>
      <c r="AF499" s="40" t="n">
        <f aca="false">AC499/T499-1</f>
        <v>0.157943288131749</v>
      </c>
      <c r="AG499" s="37" t="str">
        <f aca="false">IF(AC499&lt;T499,"SIM","NÃO")</f>
        <v>NÃO</v>
      </c>
      <c r="AH499" s="37" t="n">
        <v>10</v>
      </c>
      <c r="AI499" s="37" t="n">
        <v>5</v>
      </c>
      <c r="AJ499" s="37" t="s">
        <v>323</v>
      </c>
    </row>
    <row r="500" customFormat="false" ht="15" hidden="false" customHeight="false" outlineLevel="0" collapsed="false">
      <c r="A500" s="37" t="n">
        <v>370690657</v>
      </c>
      <c r="B500" s="38" t="n">
        <v>46236.8362384259</v>
      </c>
      <c r="C500" s="37" t="s">
        <v>517</v>
      </c>
      <c r="D500" s="37" t="s">
        <v>816</v>
      </c>
      <c r="E500" s="37" t="n">
        <v>24241085</v>
      </c>
      <c r="F500" s="37" t="s">
        <v>143</v>
      </c>
      <c r="G500" s="37" t="s">
        <v>207</v>
      </c>
      <c r="H500" s="37" t="s">
        <v>171</v>
      </c>
      <c r="I500" s="37" t="n">
        <v>52.3</v>
      </c>
      <c r="J500" s="39" t="n">
        <v>566.71</v>
      </c>
      <c r="K500" s="37" t="s">
        <v>322</v>
      </c>
      <c r="L500" s="39" t="n">
        <v>127.99</v>
      </c>
      <c r="M500" s="39" t="n">
        <v>91.6</v>
      </c>
      <c r="N500" s="39" t="n">
        <f aca="false">J500*Resumo!$C$7</f>
        <v>1.13342</v>
      </c>
      <c r="O500" s="39" t="n">
        <f aca="false">J500*Resumo!$C$8</f>
        <v>1.13342</v>
      </c>
      <c r="P500" s="39" t="n">
        <f aca="false">Resumo!$C$10*CEILING(I500/100,1)</f>
        <v>1</v>
      </c>
      <c r="Q500" s="39" t="n">
        <f aca="false">Resumo!$C$9</f>
        <v>11.9</v>
      </c>
      <c r="R500" s="39" t="n">
        <f aca="false">SUM(M500:Q500)*Resumo!$C$11</f>
        <v>5.8721762</v>
      </c>
      <c r="S500" s="39" t="n">
        <f aca="false">SUM(M500:R500)</f>
        <v>112.6390162</v>
      </c>
      <c r="T500" s="39" t="n">
        <f aca="false">S500/(1-Resumo!$C$5)</f>
        <v>127.998882045455</v>
      </c>
      <c r="U500" s="39" t="n">
        <v>128.14</v>
      </c>
      <c r="V500" s="39" t="n">
        <f aca="false">J500*Resumo!$B$6</f>
        <v>0.56671</v>
      </c>
      <c r="W500" s="39" t="n">
        <f aca="false">J500*Resumo!$B$7</f>
        <v>1.13342</v>
      </c>
      <c r="X500" s="39" t="n">
        <f aca="false">Resumo!$B$9</f>
        <v>1</v>
      </c>
      <c r="Y500" s="39" t="n">
        <f aca="false">Resumo!$B$10*CEILING(I500/100,1)</f>
        <v>4.5</v>
      </c>
      <c r="Z500" s="39" t="n">
        <f aca="false">Resumo!$B$12*CEILING(I500,1)</f>
        <v>3.18</v>
      </c>
      <c r="AA500" s="39" t="n">
        <f aca="false">Resumo!$B$13*CEILING(I500,1)</f>
        <v>23.85</v>
      </c>
      <c r="AB500" s="39" t="n">
        <f aca="false">SUM(U500:AA500)</f>
        <v>162.37013</v>
      </c>
      <c r="AC500" s="39" t="n">
        <f aca="false">AB500/(1-Resumo!$B$5)</f>
        <v>184.511511363636</v>
      </c>
      <c r="AD500" s="39" t="n">
        <f aca="false">(AB500-AA500)/(1-Resumo!$B$5)</f>
        <v>157.409238636364</v>
      </c>
      <c r="AE500" s="39" t="n">
        <f aca="false">AC500-T500</f>
        <v>56.5126293181818</v>
      </c>
      <c r="AF500" s="40" t="n">
        <f aca="false">AC500/T500-1</f>
        <v>0.441508772694696</v>
      </c>
      <c r="AG500" s="37" t="str">
        <f aca="false">IF(AC500&lt;T500,"SIM","NÃO")</f>
        <v>NÃO</v>
      </c>
      <c r="AH500" s="37" t="n">
        <v>10</v>
      </c>
      <c r="AI500" s="37" t="n">
        <v>7</v>
      </c>
      <c r="AJ500" s="37" t="s">
        <v>323</v>
      </c>
    </row>
    <row r="501" customFormat="false" ht="15" hidden="false" customHeight="false" outlineLevel="0" collapsed="false">
      <c r="A501" s="37" t="n">
        <v>370736316</v>
      </c>
      <c r="B501" s="38" t="n">
        <v>46236.903587963</v>
      </c>
      <c r="C501" s="37" t="s">
        <v>320</v>
      </c>
      <c r="D501" s="37" t="s">
        <v>817</v>
      </c>
      <c r="E501" s="37" t="n">
        <v>21370500</v>
      </c>
      <c r="F501" s="37" t="s">
        <v>139</v>
      </c>
      <c r="G501" s="37" t="s">
        <v>198</v>
      </c>
      <c r="H501" s="37" t="s">
        <v>168</v>
      </c>
      <c r="I501" s="37" t="n">
        <v>34.4</v>
      </c>
      <c r="J501" s="39" t="n">
        <v>440.88</v>
      </c>
      <c r="K501" s="37" t="s">
        <v>322</v>
      </c>
      <c r="L501" s="39" t="n">
        <v>82.43</v>
      </c>
      <c r="M501" s="39" t="n">
        <v>54.1</v>
      </c>
      <c r="N501" s="39" t="n">
        <f aca="false">J501*Resumo!$C$7</f>
        <v>0.88176</v>
      </c>
      <c r="O501" s="39" t="n">
        <f aca="false">J501*Resumo!$C$8</f>
        <v>0.88176</v>
      </c>
      <c r="P501" s="39" t="n">
        <f aca="false">Resumo!$C$10*CEILING(I501/100,1)</f>
        <v>1</v>
      </c>
      <c r="Q501" s="39" t="n">
        <f aca="false">Resumo!$C$9</f>
        <v>11.9</v>
      </c>
      <c r="R501" s="39" t="n">
        <f aca="false">SUM(M501:Q501)*Resumo!$C$11</f>
        <v>3.7819936</v>
      </c>
      <c r="S501" s="39" t="n">
        <f aca="false">SUM(M501:R501)</f>
        <v>72.5455136</v>
      </c>
      <c r="T501" s="39" t="n">
        <f aca="false">S501/(1-Resumo!$C$5)</f>
        <v>82.4380836363636</v>
      </c>
      <c r="U501" s="39" t="n">
        <v>82.21</v>
      </c>
      <c r="V501" s="39" t="n">
        <f aca="false">J501*Resumo!$B$6</f>
        <v>0.44088</v>
      </c>
      <c r="W501" s="39" t="n">
        <f aca="false">J501*Resumo!$B$7</f>
        <v>0.88176</v>
      </c>
      <c r="X501" s="39" t="n">
        <f aca="false">Resumo!$B$9</f>
        <v>1</v>
      </c>
      <c r="Y501" s="39" t="n">
        <f aca="false">Resumo!$B$10*CEILING(I501/100,1)</f>
        <v>4.5</v>
      </c>
      <c r="Z501" s="39" t="n">
        <f aca="false">Resumo!$B$12*CEILING(I501,1)</f>
        <v>2.1</v>
      </c>
      <c r="AA501" s="39" t="n">
        <f aca="false">Resumo!$B$13*CEILING(I501,1)</f>
        <v>15.75</v>
      </c>
      <c r="AB501" s="39" t="n">
        <f aca="false">SUM(U501:AA501)</f>
        <v>106.88264</v>
      </c>
      <c r="AC501" s="39" t="n">
        <f aca="false">AB501/(1-Resumo!$B$5)</f>
        <v>121.457545454545</v>
      </c>
      <c r="AD501" s="39" t="n">
        <f aca="false">(AB501-AA501)/(1-Resumo!$B$5)</f>
        <v>103.559818181818</v>
      </c>
      <c r="AE501" s="39" t="n">
        <f aca="false">AC501-T501</f>
        <v>39.0194618181818</v>
      </c>
      <c r="AF501" s="40" t="n">
        <f aca="false">AC501/T501-1</f>
        <v>0.473318399664621</v>
      </c>
      <c r="AG501" s="37" t="str">
        <f aca="false">IF(AC501&lt;T501,"SIM","NÃO")</f>
        <v>NÃO</v>
      </c>
      <c r="AH501" s="37" t="n">
        <v>8</v>
      </c>
      <c r="AI501" s="37" t="n">
        <v>5</v>
      </c>
      <c r="AJ501" s="37" t="s">
        <v>323</v>
      </c>
    </row>
    <row r="502" customFormat="false" ht="15" hidden="false" customHeight="false" outlineLevel="0" collapsed="false">
      <c r="A502" s="37" t="n">
        <v>370757217</v>
      </c>
      <c r="B502" s="38" t="n">
        <v>46236.9272453704</v>
      </c>
      <c r="C502" s="37" t="s">
        <v>320</v>
      </c>
      <c r="D502" s="37" t="s">
        <v>818</v>
      </c>
      <c r="E502" s="37" t="n">
        <v>22785085</v>
      </c>
      <c r="F502" s="37" t="s">
        <v>139</v>
      </c>
      <c r="G502" s="37" t="s">
        <v>198</v>
      </c>
      <c r="H502" s="37" t="s">
        <v>169</v>
      </c>
      <c r="I502" s="37" t="n">
        <v>37.6</v>
      </c>
      <c r="J502" s="39" t="n">
        <v>391.05</v>
      </c>
      <c r="K502" s="37" t="s">
        <v>322</v>
      </c>
      <c r="L502" s="39" t="n">
        <v>91.73</v>
      </c>
      <c r="M502" s="39" t="n">
        <v>62.05</v>
      </c>
      <c r="N502" s="39" t="n">
        <f aca="false">J502*Resumo!$C$7</f>
        <v>0.7821</v>
      </c>
      <c r="O502" s="39" t="n">
        <f aca="false">J502*Resumo!$C$8</f>
        <v>0.7821</v>
      </c>
      <c r="P502" s="39" t="n">
        <f aca="false">Resumo!$C$10*CEILING(I502/100,1)</f>
        <v>1</v>
      </c>
      <c r="Q502" s="39" t="n">
        <f aca="false">Resumo!$C$9</f>
        <v>11.9</v>
      </c>
      <c r="R502" s="39" t="n">
        <f aca="false">SUM(M502:Q502)*Resumo!$C$11</f>
        <v>4.208281</v>
      </c>
      <c r="S502" s="39" t="n">
        <f aca="false">SUM(M502:R502)</f>
        <v>80.722481</v>
      </c>
      <c r="T502" s="39" t="n">
        <f aca="false">S502/(1-Resumo!$C$5)</f>
        <v>91.7300920454545</v>
      </c>
      <c r="U502" s="39" t="n">
        <v>93.97</v>
      </c>
      <c r="V502" s="39" t="n">
        <f aca="false">J502*Resumo!$B$6</f>
        <v>0.39105</v>
      </c>
      <c r="W502" s="39" t="n">
        <f aca="false">J502*Resumo!$B$7</f>
        <v>0.7821</v>
      </c>
      <c r="X502" s="39" t="n">
        <f aca="false">Resumo!$B$9</f>
        <v>1</v>
      </c>
      <c r="Y502" s="39" t="n">
        <f aca="false">Resumo!$B$10*CEILING(I502/100,1)</f>
        <v>4.5</v>
      </c>
      <c r="Z502" s="39" t="n">
        <f aca="false">Resumo!$B$12*CEILING(I502,1)</f>
        <v>2.28</v>
      </c>
      <c r="AA502" s="39" t="n">
        <f aca="false">Resumo!$B$13*CEILING(I502,1)</f>
        <v>17.1</v>
      </c>
      <c r="AB502" s="39" t="n">
        <f aca="false">SUM(U502:AA502)</f>
        <v>120.02315</v>
      </c>
      <c r="AC502" s="39" t="n">
        <f aca="false">AB502/(1-Resumo!$B$5)</f>
        <v>136.389943181818</v>
      </c>
      <c r="AD502" s="39" t="n">
        <f aca="false">(AB502-AA502)/(1-Resumo!$B$5)</f>
        <v>116.958125</v>
      </c>
      <c r="AE502" s="39" t="n">
        <f aca="false">AC502-T502</f>
        <v>44.6598511363636</v>
      </c>
      <c r="AF502" s="40" t="n">
        <f aca="false">AC502/T502-1</f>
        <v>0.48686151011637</v>
      </c>
      <c r="AG502" s="37" t="str">
        <f aca="false">IF(AC502&lt;T502,"SIM","NÃO")</f>
        <v>NÃO</v>
      </c>
      <c r="AH502" s="37" t="n">
        <v>8</v>
      </c>
      <c r="AI502" s="37" t="n">
        <v>5</v>
      </c>
      <c r="AJ502" s="37" t="s">
        <v>323</v>
      </c>
    </row>
    <row r="503" customFormat="false" ht="15" hidden="false" customHeight="false" outlineLevel="0" collapsed="false">
      <c r="A503" s="37" t="n">
        <v>370791369</v>
      </c>
      <c r="B503" s="38" t="n">
        <v>46236.972962963</v>
      </c>
      <c r="C503" s="37" t="s">
        <v>320</v>
      </c>
      <c r="D503" s="37" t="s">
        <v>819</v>
      </c>
      <c r="E503" s="37" t="n">
        <v>23098006</v>
      </c>
      <c r="F503" s="37" t="s">
        <v>139</v>
      </c>
      <c r="G503" s="37" t="s">
        <v>198</v>
      </c>
      <c r="H503" s="37" t="s">
        <v>167</v>
      </c>
      <c r="I503" s="37" t="n">
        <v>19.5</v>
      </c>
      <c r="J503" s="39" t="n">
        <v>359.99</v>
      </c>
      <c r="K503" s="37" t="s">
        <v>498</v>
      </c>
      <c r="L503" s="39" t="n">
        <v>66.52</v>
      </c>
      <c r="M503" s="39" t="n">
        <v>39.83</v>
      </c>
      <c r="N503" s="39" t="n">
        <f aca="false">J503*Resumo!$C$7</f>
        <v>0.71998</v>
      </c>
      <c r="O503" s="39" t="n">
        <f aca="false">J503*Resumo!$C$8</f>
        <v>0.71998</v>
      </c>
      <c r="P503" s="39" t="n">
        <f aca="false">Resumo!$C$10*CEILING(I503/100,1)</f>
        <v>1</v>
      </c>
      <c r="Q503" s="39" t="n">
        <f aca="false">Resumo!$C$9</f>
        <v>11.9</v>
      </c>
      <c r="R503" s="39" t="n">
        <f aca="false">SUM(M503:Q503)*Resumo!$C$11</f>
        <v>2.9793478</v>
      </c>
      <c r="S503" s="39" t="n">
        <f aca="false">SUM(M503:R503)</f>
        <v>57.1493078</v>
      </c>
      <c r="T503" s="39" t="n">
        <f aca="false">S503/(1-Resumo!$C$5)</f>
        <v>64.9423952272727</v>
      </c>
      <c r="U503" s="39" t="n">
        <v>46.98</v>
      </c>
      <c r="V503" s="39" t="n">
        <f aca="false">J503*Resumo!$B$6</f>
        <v>0.35999</v>
      </c>
      <c r="W503" s="39" t="n">
        <f aca="false">J503*Resumo!$B$7</f>
        <v>0.71998</v>
      </c>
      <c r="X503" s="39" t="n">
        <f aca="false">Resumo!$B$9</f>
        <v>1</v>
      </c>
      <c r="Y503" s="39" t="n">
        <f aca="false">Resumo!$B$10*CEILING(I503/100,1)</f>
        <v>4.5</v>
      </c>
      <c r="Z503" s="39" t="n">
        <f aca="false">Resumo!$B$12*CEILING(I503,1)</f>
        <v>1.2</v>
      </c>
      <c r="AA503" s="39" t="n">
        <f aca="false">Resumo!$B$13*CEILING(I503,1)</f>
        <v>9</v>
      </c>
      <c r="AB503" s="39" t="n">
        <f aca="false">SUM(U503:AA503)</f>
        <v>63.75997</v>
      </c>
      <c r="AC503" s="39" t="n">
        <f aca="false">AB503/(1-Resumo!$B$5)</f>
        <v>72.4545113636364</v>
      </c>
      <c r="AD503" s="39" t="n">
        <f aca="false">(AB503-AA503)/(1-Resumo!$B$5)</f>
        <v>62.2272386363636</v>
      </c>
      <c r="AE503" s="39" t="n">
        <f aca="false">AC503-T503</f>
        <v>7.51211613636363</v>
      </c>
      <c r="AF503" s="40" t="n">
        <f aca="false">AC503/T503-1</f>
        <v>0.115673530519997</v>
      </c>
      <c r="AG503" s="37" t="str">
        <f aca="false">IF(AC503&lt;T503,"SIM","NÃO")</f>
        <v>NÃO</v>
      </c>
      <c r="AH503" s="37" t="n">
        <v>8</v>
      </c>
      <c r="AI503" s="37" t="n">
        <v>5</v>
      </c>
      <c r="AJ503" s="37" t="s">
        <v>323</v>
      </c>
    </row>
    <row r="504" customFormat="false" ht="15" hidden="false" customHeight="false" outlineLevel="0" collapsed="false">
      <c r="A504" s="37" t="n">
        <v>370815184</v>
      </c>
      <c r="B504" s="38" t="n">
        <v>46237.008125</v>
      </c>
      <c r="C504" s="37" t="s">
        <v>320</v>
      </c>
      <c r="D504" s="37" t="s">
        <v>820</v>
      </c>
      <c r="E504" s="37" t="n">
        <v>28050270</v>
      </c>
      <c r="F504" s="37" t="s">
        <v>144</v>
      </c>
      <c r="G504" s="37" t="s">
        <v>201</v>
      </c>
      <c r="H504" s="37" t="s">
        <v>169</v>
      </c>
      <c r="I504" s="37" t="n">
        <v>40</v>
      </c>
      <c r="J504" s="39" t="n">
        <v>569.99</v>
      </c>
      <c r="K504" s="37" t="s">
        <v>498</v>
      </c>
      <c r="L504" s="39" t="n">
        <v>124.97</v>
      </c>
      <c r="M504" s="39" t="n">
        <v>87.4</v>
      </c>
      <c r="N504" s="39" t="n">
        <f aca="false">J504*Resumo!$C$7</f>
        <v>1.13998</v>
      </c>
      <c r="O504" s="39" t="n">
        <f aca="false">J504*Resumo!$C$8</f>
        <v>1.13998</v>
      </c>
      <c r="P504" s="39" t="n">
        <f aca="false">Resumo!$C$10*CEILING(I504/100,1)</f>
        <v>1</v>
      </c>
      <c r="Q504" s="39" t="n">
        <f aca="false">Resumo!$C$9</f>
        <v>11.9</v>
      </c>
      <c r="R504" s="39" t="n">
        <f aca="false">SUM(M504:Q504)*Resumo!$C$11</f>
        <v>5.6418978</v>
      </c>
      <c r="S504" s="39" t="n">
        <f aca="false">SUM(M504:R504)</f>
        <v>108.2218578</v>
      </c>
      <c r="T504" s="39" t="n">
        <f aca="false">S504/(1-Resumo!$C$5)</f>
        <v>122.979383863636</v>
      </c>
      <c r="U504" s="39" t="n">
        <v>143.04</v>
      </c>
      <c r="V504" s="39" t="n">
        <f aca="false">J504*Resumo!$B$6</f>
        <v>0.56999</v>
      </c>
      <c r="W504" s="39" t="n">
        <f aca="false">J504*Resumo!$B$7</f>
        <v>1.13998</v>
      </c>
      <c r="X504" s="39" t="n">
        <f aca="false">Resumo!$B$9</f>
        <v>1</v>
      </c>
      <c r="Y504" s="39" t="n">
        <f aca="false">Resumo!$B$10*CEILING(I504/100,1)</f>
        <v>4.5</v>
      </c>
      <c r="Z504" s="39" t="n">
        <f aca="false">Resumo!$B$12*CEILING(I504,1)</f>
        <v>2.4</v>
      </c>
      <c r="AA504" s="39" t="n">
        <f aca="false">Resumo!$B$13*CEILING(I504,1)</f>
        <v>18</v>
      </c>
      <c r="AB504" s="39" t="n">
        <f aca="false">SUM(U504:AA504)</f>
        <v>170.64997</v>
      </c>
      <c r="AC504" s="39" t="n">
        <f aca="false">AB504/(1-Resumo!$B$5)</f>
        <v>193.920420454545</v>
      </c>
      <c r="AD504" s="39" t="n">
        <f aca="false">(AB504-AA504)/(1-Resumo!$B$5)</f>
        <v>173.465875</v>
      </c>
      <c r="AE504" s="39" t="n">
        <f aca="false">AC504-T504</f>
        <v>70.9410365909091</v>
      </c>
      <c r="AF504" s="40" t="n">
        <f aca="false">AC504/T504-1</f>
        <v>0.576853081891928</v>
      </c>
      <c r="AG504" s="37" t="str">
        <f aca="false">IF(AC504&lt;T504,"SIM","NÃO")</f>
        <v>NÃO</v>
      </c>
      <c r="AH504" s="37" t="n">
        <v>13</v>
      </c>
      <c r="AI504" s="37" t="n">
        <v>11</v>
      </c>
      <c r="AJ504" s="37" t="s">
        <v>323</v>
      </c>
    </row>
    <row r="505" customFormat="false" ht="15" hidden="false" customHeight="false" outlineLevel="0" collapsed="false">
      <c r="A505" s="37" t="n">
        <v>370946925</v>
      </c>
      <c r="B505" s="38" t="n">
        <v>46237.2941550926</v>
      </c>
      <c r="C505" s="37" t="s">
        <v>320</v>
      </c>
      <c r="D505" s="37" t="s">
        <v>821</v>
      </c>
      <c r="E505" s="37" t="n">
        <v>26297222</v>
      </c>
      <c r="F505" s="37" t="s">
        <v>142</v>
      </c>
      <c r="G505" s="37" t="s">
        <v>207</v>
      </c>
      <c r="H505" s="37" t="s">
        <v>169</v>
      </c>
      <c r="I505" s="37" t="n">
        <v>36.8</v>
      </c>
      <c r="J505" s="39" t="n">
        <v>469.99</v>
      </c>
      <c r="K505" s="37" t="s">
        <v>322</v>
      </c>
      <c r="L505" s="39" t="n">
        <v>113.2</v>
      </c>
      <c r="M505" s="39" t="n">
        <v>79.65</v>
      </c>
      <c r="N505" s="39" t="n">
        <f aca="false">J505*Resumo!$C$7</f>
        <v>0.93998</v>
      </c>
      <c r="O505" s="39" t="n">
        <f aca="false">J505*Resumo!$C$8</f>
        <v>0.93998</v>
      </c>
      <c r="P505" s="39" t="n">
        <f aca="false">Resumo!$C$10*CEILING(I505/100,1)</f>
        <v>1</v>
      </c>
      <c r="Q505" s="39" t="n">
        <f aca="false">Resumo!$C$9</f>
        <v>11.9</v>
      </c>
      <c r="R505" s="39" t="n">
        <f aca="false">SUM(M505:Q505)*Resumo!$C$11</f>
        <v>5.1936478</v>
      </c>
      <c r="S505" s="39" t="n">
        <f aca="false">SUM(M505:R505)</f>
        <v>99.6236078</v>
      </c>
      <c r="T505" s="39" t="n">
        <f aca="false">S505/(1-Resumo!$C$5)</f>
        <v>113.208645227273</v>
      </c>
      <c r="U505" s="39" t="n">
        <v>93.97</v>
      </c>
      <c r="V505" s="39" t="n">
        <f aca="false">J505*Resumo!$B$6</f>
        <v>0.46999</v>
      </c>
      <c r="W505" s="39" t="n">
        <f aca="false">J505*Resumo!$B$7</f>
        <v>0.93998</v>
      </c>
      <c r="X505" s="39" t="n">
        <f aca="false">Resumo!$B$9</f>
        <v>1</v>
      </c>
      <c r="Y505" s="39" t="n">
        <f aca="false">Resumo!$B$10*CEILING(I505/100,1)</f>
        <v>4.5</v>
      </c>
      <c r="Z505" s="39" t="n">
        <f aca="false">Resumo!$B$12*CEILING(I505,1)</f>
        <v>2.22</v>
      </c>
      <c r="AA505" s="39" t="n">
        <f aca="false">Resumo!$B$13*CEILING(I505,1)</f>
        <v>16.65</v>
      </c>
      <c r="AB505" s="39" t="n">
        <f aca="false">SUM(U505:AA505)</f>
        <v>119.74997</v>
      </c>
      <c r="AC505" s="39" t="n">
        <f aca="false">AB505/(1-Resumo!$B$5)</f>
        <v>136.079511363636</v>
      </c>
      <c r="AD505" s="39" t="n">
        <f aca="false">(AB505-AA505)/(1-Resumo!$B$5)</f>
        <v>117.159056818182</v>
      </c>
      <c r="AE505" s="39" t="n">
        <f aca="false">AC505-T505</f>
        <v>22.8708661363636</v>
      </c>
      <c r="AF505" s="40" t="n">
        <f aca="false">AC505/T505-1</f>
        <v>0.202024024670988</v>
      </c>
      <c r="AG505" s="37" t="str">
        <f aca="false">IF(AC505&lt;T505,"SIM","NÃO")</f>
        <v>NÃO</v>
      </c>
      <c r="AH505" s="37" t="n">
        <v>10</v>
      </c>
      <c r="AI505" s="37" t="n">
        <v>5</v>
      </c>
      <c r="AJ505" s="37" t="s">
        <v>323</v>
      </c>
    </row>
    <row r="506" customFormat="false" ht="15" hidden="false" customHeight="false" outlineLevel="0" collapsed="false">
      <c r="A506" s="37" t="n">
        <v>370971902</v>
      </c>
      <c r="B506" s="38" t="n">
        <v>46237.341412037</v>
      </c>
      <c r="C506" s="37" t="s">
        <v>325</v>
      </c>
      <c r="D506" s="37" t="s">
        <v>822</v>
      </c>
      <c r="E506" s="37" t="n">
        <v>22620171</v>
      </c>
      <c r="F506" s="37" t="s">
        <v>139</v>
      </c>
      <c r="G506" s="37" t="s">
        <v>198</v>
      </c>
      <c r="H506" s="37" t="s">
        <v>169</v>
      </c>
      <c r="I506" s="37" t="n">
        <v>35.3</v>
      </c>
      <c r="J506" s="39" t="n">
        <v>458.15</v>
      </c>
      <c r="K506" s="37" t="s">
        <v>322</v>
      </c>
      <c r="L506" s="39" t="n">
        <v>92.06</v>
      </c>
      <c r="M506" s="39" t="n">
        <v>62.05</v>
      </c>
      <c r="N506" s="39" t="n">
        <f aca="false">J506*Resumo!$C$7</f>
        <v>0.9163</v>
      </c>
      <c r="O506" s="39" t="n">
        <f aca="false">J506*Resumo!$C$8</f>
        <v>0.9163</v>
      </c>
      <c r="P506" s="39" t="n">
        <f aca="false">Resumo!$C$10*CEILING(I506/100,1)</f>
        <v>1</v>
      </c>
      <c r="Q506" s="39" t="n">
        <f aca="false">Resumo!$C$9</f>
        <v>11.9</v>
      </c>
      <c r="R506" s="39" t="n">
        <f aca="false">SUM(M506:Q506)*Resumo!$C$11</f>
        <v>4.223043</v>
      </c>
      <c r="S506" s="39" t="n">
        <f aca="false">SUM(M506:R506)</f>
        <v>81.005643</v>
      </c>
      <c r="T506" s="39" t="n">
        <f aca="false">S506/(1-Resumo!$C$5)</f>
        <v>92.0518670454546</v>
      </c>
      <c r="U506" s="39" t="n">
        <v>93.97</v>
      </c>
      <c r="V506" s="39" t="n">
        <f aca="false">J506*Resumo!$B$6</f>
        <v>0.45815</v>
      </c>
      <c r="W506" s="39" t="n">
        <f aca="false">J506*Resumo!$B$7</f>
        <v>0.9163</v>
      </c>
      <c r="X506" s="39" t="n">
        <f aca="false">Resumo!$B$9</f>
        <v>1</v>
      </c>
      <c r="Y506" s="39" t="n">
        <f aca="false">Resumo!$B$10*CEILING(I506/100,1)</f>
        <v>4.5</v>
      </c>
      <c r="Z506" s="39" t="n">
        <f aca="false">Resumo!$B$12*CEILING(I506,1)</f>
        <v>2.16</v>
      </c>
      <c r="AA506" s="39" t="n">
        <f aca="false">Resumo!$B$13*CEILING(I506,1)</f>
        <v>16.2</v>
      </c>
      <c r="AB506" s="39" t="n">
        <f aca="false">SUM(U506:AA506)</f>
        <v>119.20445</v>
      </c>
      <c r="AC506" s="39" t="n">
        <f aca="false">AB506/(1-Resumo!$B$5)</f>
        <v>135.459602272727</v>
      </c>
      <c r="AD506" s="39" t="n">
        <f aca="false">(AB506-AA506)/(1-Resumo!$B$5)</f>
        <v>117.050511363636</v>
      </c>
      <c r="AE506" s="39" t="n">
        <f aca="false">AC506-T506</f>
        <v>43.4077352272727</v>
      </c>
      <c r="AF506" s="40" t="n">
        <f aca="false">AC506/T506-1</f>
        <v>0.471557358047266</v>
      </c>
      <c r="AG506" s="37" t="str">
        <f aca="false">IF(AC506&lt;T506,"SIM","NÃO")</f>
        <v>NÃO</v>
      </c>
      <c r="AH506" s="37" t="n">
        <v>8</v>
      </c>
      <c r="AI506" s="37" t="n">
        <v>5</v>
      </c>
      <c r="AJ506" s="37" t="s">
        <v>323</v>
      </c>
    </row>
    <row r="507" customFormat="false" ht="15" hidden="false" customHeight="false" outlineLevel="0" collapsed="false">
      <c r="A507" s="37" t="n">
        <v>371000799</v>
      </c>
      <c r="B507" s="38" t="n">
        <v>46237.3859027778</v>
      </c>
      <c r="C507" s="37" t="s">
        <v>320</v>
      </c>
      <c r="D507" s="37" t="s">
        <v>823</v>
      </c>
      <c r="E507" s="37" t="n">
        <v>27961068</v>
      </c>
      <c r="F507" s="37" t="s">
        <v>146</v>
      </c>
      <c r="G507" s="37" t="s">
        <v>201</v>
      </c>
      <c r="H507" s="37" t="s">
        <v>169</v>
      </c>
      <c r="I507" s="37" t="n">
        <v>36.9</v>
      </c>
      <c r="J507" s="39" t="n">
        <v>429.99</v>
      </c>
      <c r="K507" s="37" t="s">
        <v>498</v>
      </c>
      <c r="L507" s="39" t="n">
        <v>122.75</v>
      </c>
      <c r="M507" s="39" t="n">
        <v>87.4</v>
      </c>
      <c r="N507" s="39" t="n">
        <f aca="false">J507*Resumo!$C$7</f>
        <v>0.85998</v>
      </c>
      <c r="O507" s="39" t="n">
        <f aca="false">J507*Resumo!$C$8</f>
        <v>0.85998</v>
      </c>
      <c r="P507" s="39" t="n">
        <f aca="false">Resumo!$C$10*CEILING(I507/100,1)</f>
        <v>1</v>
      </c>
      <c r="Q507" s="39" t="n">
        <f aca="false">Resumo!$C$9</f>
        <v>11.9</v>
      </c>
      <c r="R507" s="39" t="n">
        <f aca="false">SUM(M507:Q507)*Resumo!$C$11</f>
        <v>5.6110978</v>
      </c>
      <c r="S507" s="39" t="n">
        <f aca="false">SUM(M507:R507)</f>
        <v>107.6310578</v>
      </c>
      <c r="T507" s="39" t="n">
        <f aca="false">S507/(1-Resumo!$C$5)</f>
        <v>122.308020227273</v>
      </c>
      <c r="U507" s="39" t="n">
        <v>143.04</v>
      </c>
      <c r="V507" s="39" t="n">
        <f aca="false">J507*Resumo!$B$6</f>
        <v>0.42999</v>
      </c>
      <c r="W507" s="39" t="n">
        <f aca="false">J507*Resumo!$B$7</f>
        <v>0.85998</v>
      </c>
      <c r="X507" s="39" t="n">
        <f aca="false">Resumo!$B$9</f>
        <v>1</v>
      </c>
      <c r="Y507" s="39" t="n">
        <f aca="false">Resumo!$B$10*CEILING(I507/100,1)</f>
        <v>4.5</v>
      </c>
      <c r="Z507" s="39" t="n">
        <f aca="false">Resumo!$B$12*CEILING(I507,1)</f>
        <v>2.22</v>
      </c>
      <c r="AA507" s="39" t="n">
        <f aca="false">Resumo!$B$13*CEILING(I507,1)</f>
        <v>16.65</v>
      </c>
      <c r="AB507" s="39" t="n">
        <f aca="false">SUM(U507:AA507)</f>
        <v>168.69997</v>
      </c>
      <c r="AC507" s="39" t="n">
        <f aca="false">AB507/(1-Resumo!$B$5)</f>
        <v>191.704511363636</v>
      </c>
      <c r="AD507" s="39" t="n">
        <f aca="false">(AB507-AA507)/(1-Resumo!$B$5)</f>
        <v>172.784056818182</v>
      </c>
      <c r="AE507" s="39" t="n">
        <f aca="false">AC507-T507</f>
        <v>69.3964911363637</v>
      </c>
      <c r="AF507" s="40" t="n">
        <f aca="false">AC507/T507-1</f>
        <v>0.56739117359116</v>
      </c>
      <c r="AG507" s="37" t="str">
        <f aca="false">IF(AC507&lt;T507,"SIM","NÃO")</f>
        <v>NÃO</v>
      </c>
      <c r="AH507" s="37" t="n">
        <v>13</v>
      </c>
      <c r="AI507" s="37" t="n">
        <v>11</v>
      </c>
      <c r="AJ507" s="37" t="s">
        <v>323</v>
      </c>
    </row>
    <row r="508" customFormat="false" ht="15" hidden="false" customHeight="false" outlineLevel="0" collapsed="false">
      <c r="A508" s="37" t="n">
        <v>371009134</v>
      </c>
      <c r="B508" s="38" t="n">
        <v>46237.3982638889</v>
      </c>
      <c r="C508" s="37" t="s">
        <v>352</v>
      </c>
      <c r="D508" s="37" t="s">
        <v>824</v>
      </c>
      <c r="E508" s="37" t="n">
        <v>25035230</v>
      </c>
      <c r="F508" s="37" t="s">
        <v>141</v>
      </c>
      <c r="G508" s="37" t="s">
        <v>207</v>
      </c>
      <c r="H508" s="37" t="s">
        <v>175</v>
      </c>
      <c r="I508" s="37" t="n">
        <v>109.7</v>
      </c>
      <c r="J508" s="39" t="n">
        <v>1389.99</v>
      </c>
      <c r="K508" s="37" t="s">
        <v>322</v>
      </c>
      <c r="L508" s="39" t="n">
        <v>196.49</v>
      </c>
      <c r="M508" s="39" t="n">
        <v>144.44</v>
      </c>
      <c r="N508" s="39" t="n">
        <f aca="false">J508*Resumo!$C$7</f>
        <v>2.77998</v>
      </c>
      <c r="O508" s="39" t="n">
        <f aca="false">J508*Resumo!$C$8</f>
        <v>2.77998</v>
      </c>
      <c r="P508" s="39" t="n">
        <f aca="false">Resumo!$C$10*CEILING(I508/100,1)</f>
        <v>2</v>
      </c>
      <c r="Q508" s="39" t="n">
        <f aca="false">Resumo!$C$9</f>
        <v>11.9</v>
      </c>
      <c r="R508" s="39" t="n">
        <f aca="false">SUM(M508:Q508)*Resumo!$C$11</f>
        <v>9.0144978</v>
      </c>
      <c r="S508" s="39" t="n">
        <f aca="false">SUM(M508:R508)</f>
        <v>172.9144578</v>
      </c>
      <c r="T508" s="39" t="n">
        <f aca="false">S508/(1-Resumo!$C$5)</f>
        <v>196.493702045455</v>
      </c>
      <c r="U508" s="39" t="n">
        <v>201.59</v>
      </c>
      <c r="V508" s="39" t="n">
        <f aca="false">J508*Resumo!$B$6</f>
        <v>1.38999</v>
      </c>
      <c r="W508" s="39" t="n">
        <f aca="false">J508*Resumo!$B$7</f>
        <v>2.77998</v>
      </c>
      <c r="X508" s="39" t="n">
        <f aca="false">Resumo!$B$9</f>
        <v>1</v>
      </c>
      <c r="Y508" s="39" t="n">
        <f aca="false">Resumo!$B$10*CEILING(I508/100,1)</f>
        <v>9</v>
      </c>
      <c r="Z508" s="39" t="n">
        <f aca="false">Resumo!$B$12*CEILING(I508,1)</f>
        <v>6.6</v>
      </c>
      <c r="AA508" s="39" t="n">
        <f aca="false">Resumo!$B$13*CEILING(I508,1)</f>
        <v>49.5</v>
      </c>
      <c r="AB508" s="39" t="n">
        <f aca="false">SUM(U508:AA508)</f>
        <v>271.85997</v>
      </c>
      <c r="AC508" s="39" t="n">
        <f aca="false">AB508/(1-Resumo!$B$5)</f>
        <v>308.931784090909</v>
      </c>
      <c r="AD508" s="39" t="n">
        <f aca="false">(AB508-AA508)/(1-Resumo!$B$5)</f>
        <v>252.681784090909</v>
      </c>
      <c r="AE508" s="39" t="n">
        <f aca="false">AC508-T508</f>
        <v>112.438082045455</v>
      </c>
      <c r="AF508" s="40" t="n">
        <f aca="false">AC508/T508-1</f>
        <v>0.572222319977688</v>
      </c>
      <c r="AG508" s="37" t="str">
        <f aca="false">IF(AC508&lt;T508,"SIM","NÃO")</f>
        <v>NÃO</v>
      </c>
      <c r="AH508" s="37" t="n">
        <v>10</v>
      </c>
      <c r="AI508" s="37" t="n">
        <v>5</v>
      </c>
      <c r="AJ508" s="37" t="s">
        <v>323</v>
      </c>
    </row>
    <row r="509" customFormat="false" ht="15" hidden="false" customHeight="false" outlineLevel="0" collapsed="false">
      <c r="A509" s="37" t="n">
        <v>371042773</v>
      </c>
      <c r="B509" s="38" t="n">
        <v>46237.4429282407</v>
      </c>
      <c r="C509" s="37" t="s">
        <v>320</v>
      </c>
      <c r="D509" s="37" t="s">
        <v>825</v>
      </c>
      <c r="E509" s="37" t="n">
        <v>23520131</v>
      </c>
      <c r="F509" s="37" t="s">
        <v>139</v>
      </c>
      <c r="G509" s="37" t="s">
        <v>198</v>
      </c>
      <c r="H509" s="37" t="s">
        <v>171</v>
      </c>
      <c r="I509" s="37" t="n">
        <v>52.3</v>
      </c>
      <c r="J509" s="39" t="n">
        <v>643.99</v>
      </c>
      <c r="K509" s="37" t="s">
        <v>498</v>
      </c>
      <c r="L509" s="39" t="n">
        <v>113.35</v>
      </c>
      <c r="M509" s="39" t="n">
        <v>79.81</v>
      </c>
      <c r="N509" s="39" t="n">
        <f aca="false">J509*Resumo!$C$7</f>
        <v>1.28798</v>
      </c>
      <c r="O509" s="39" t="n">
        <f aca="false">J509*Resumo!$C$8</f>
        <v>1.28798</v>
      </c>
      <c r="P509" s="39" t="n">
        <f aca="false">Resumo!$C$10*CEILING(I509/100,1)</f>
        <v>1</v>
      </c>
      <c r="Q509" s="39" t="n">
        <f aca="false">Resumo!$C$9</f>
        <v>11.9</v>
      </c>
      <c r="R509" s="39" t="n">
        <f aca="false">SUM(M509:Q509)*Resumo!$C$11</f>
        <v>5.2407278</v>
      </c>
      <c r="S509" s="39" t="n">
        <f aca="false">SUM(M509:R509)</f>
        <v>100.5266878</v>
      </c>
      <c r="T509" s="39" t="n">
        <f aca="false">S509/(1-Resumo!$C$5)</f>
        <v>114.2348725</v>
      </c>
      <c r="U509" s="39" t="n">
        <v>112.3</v>
      </c>
      <c r="V509" s="39" t="n">
        <f aca="false">J509*Resumo!$B$6</f>
        <v>0.64399</v>
      </c>
      <c r="W509" s="39" t="n">
        <f aca="false">J509*Resumo!$B$7</f>
        <v>1.28798</v>
      </c>
      <c r="X509" s="39" t="n">
        <f aca="false">Resumo!$B$9</f>
        <v>1</v>
      </c>
      <c r="Y509" s="39" t="n">
        <f aca="false">Resumo!$B$10*CEILING(I509/100,1)</f>
        <v>4.5</v>
      </c>
      <c r="Z509" s="39" t="n">
        <f aca="false">Resumo!$B$12*CEILING(I509,1)</f>
        <v>3.18</v>
      </c>
      <c r="AA509" s="39" t="n">
        <f aca="false">Resumo!$B$13*CEILING(I509,1)</f>
        <v>23.85</v>
      </c>
      <c r="AB509" s="39" t="n">
        <f aca="false">SUM(U509:AA509)</f>
        <v>146.76197</v>
      </c>
      <c r="AC509" s="39" t="n">
        <f aca="false">AB509/(1-Resumo!$B$5)</f>
        <v>166.774965909091</v>
      </c>
      <c r="AD509" s="39" t="n">
        <f aca="false">(AB509-AA509)/(1-Resumo!$B$5)</f>
        <v>139.672693181818</v>
      </c>
      <c r="AE509" s="39" t="n">
        <f aca="false">AC509-T509</f>
        <v>52.5400934090909</v>
      </c>
      <c r="AF509" s="40" t="n">
        <f aca="false">AC509/T509-1</f>
        <v>0.459930424565326</v>
      </c>
      <c r="AG509" s="37" t="str">
        <f aca="false">IF(AC509&lt;T509,"SIM","NÃO")</f>
        <v>NÃO</v>
      </c>
      <c r="AH509" s="37" t="n">
        <v>8</v>
      </c>
      <c r="AI509" s="37" t="n">
        <v>5</v>
      </c>
      <c r="AJ509" s="37" t="s">
        <v>323</v>
      </c>
    </row>
    <row r="510" customFormat="false" ht="15" hidden="false" customHeight="false" outlineLevel="0" collapsed="false">
      <c r="A510" s="37" t="n">
        <v>371084766</v>
      </c>
      <c r="B510" s="38" t="n">
        <v>46237.4879050926</v>
      </c>
      <c r="C510" s="37" t="s">
        <v>320</v>
      </c>
      <c r="D510" s="37" t="s">
        <v>826</v>
      </c>
      <c r="E510" s="37" t="n">
        <v>26265580</v>
      </c>
      <c r="F510" s="37" t="s">
        <v>142</v>
      </c>
      <c r="G510" s="37" t="s">
        <v>207</v>
      </c>
      <c r="H510" s="37" t="s">
        <v>172</v>
      </c>
      <c r="I510" s="37" t="n">
        <v>69.75</v>
      </c>
      <c r="J510" s="39" t="n">
        <v>859.99</v>
      </c>
      <c r="K510" s="37" t="s">
        <v>322</v>
      </c>
      <c r="L510" s="39" t="n">
        <v>140.56</v>
      </c>
      <c r="M510" s="39" t="n">
        <v>100.9</v>
      </c>
      <c r="N510" s="39" t="n">
        <f aca="false">J510*Resumo!$C$7</f>
        <v>1.71998</v>
      </c>
      <c r="O510" s="39" t="n">
        <f aca="false">J510*Resumo!$C$8</f>
        <v>1.71998</v>
      </c>
      <c r="P510" s="39" t="n">
        <f aca="false">Resumo!$C$10*CEILING(I510/100,1)</f>
        <v>1</v>
      </c>
      <c r="Q510" s="39" t="n">
        <f aca="false">Resumo!$C$9</f>
        <v>11.9</v>
      </c>
      <c r="R510" s="39" t="n">
        <f aca="false">SUM(M510:Q510)*Resumo!$C$11</f>
        <v>6.4481978</v>
      </c>
      <c r="S510" s="39" t="n">
        <f aca="false">SUM(M510:R510)</f>
        <v>123.6881578</v>
      </c>
      <c r="T510" s="39" t="n">
        <f aca="false">S510/(1-Resumo!$C$5)</f>
        <v>140.554724772727</v>
      </c>
      <c r="U510" s="39" t="n">
        <v>131.02</v>
      </c>
      <c r="V510" s="39" t="n">
        <f aca="false">J510*Resumo!$B$6</f>
        <v>0.85999</v>
      </c>
      <c r="W510" s="39" t="n">
        <f aca="false">J510*Resumo!$B$7</f>
        <v>1.71998</v>
      </c>
      <c r="X510" s="39" t="n">
        <f aca="false">Resumo!$B$9</f>
        <v>1</v>
      </c>
      <c r="Y510" s="39" t="n">
        <f aca="false">Resumo!$B$10*CEILING(I510/100,1)</f>
        <v>4.5</v>
      </c>
      <c r="Z510" s="39" t="n">
        <f aca="false">Resumo!$B$12*CEILING(I510,1)</f>
        <v>4.2</v>
      </c>
      <c r="AA510" s="39" t="n">
        <f aca="false">Resumo!$B$13*CEILING(I510,1)</f>
        <v>31.5</v>
      </c>
      <c r="AB510" s="39" t="n">
        <f aca="false">SUM(U510:AA510)</f>
        <v>174.79997</v>
      </c>
      <c r="AC510" s="39" t="n">
        <f aca="false">AB510/(1-Resumo!$B$5)</f>
        <v>198.636329545455</v>
      </c>
      <c r="AD510" s="39" t="n">
        <f aca="false">(AB510-AA510)/(1-Resumo!$B$5)</f>
        <v>162.840875</v>
      </c>
      <c r="AE510" s="39" t="n">
        <f aca="false">AC510-T510</f>
        <v>58.0816047727272</v>
      </c>
      <c r="AF510" s="40" t="n">
        <f aca="false">AC510/T510-1</f>
        <v>0.413231251148927</v>
      </c>
      <c r="AG510" s="37" t="str">
        <f aca="false">IF(AC510&lt;T510,"SIM","NÃO")</f>
        <v>NÃO</v>
      </c>
      <c r="AH510" s="37" t="n">
        <v>10</v>
      </c>
      <c r="AI510" s="37" t="n">
        <v>5</v>
      </c>
      <c r="AJ510" s="37" t="s">
        <v>323</v>
      </c>
    </row>
    <row r="511" customFormat="false" ht="15" hidden="false" customHeight="false" outlineLevel="0" collapsed="false">
      <c r="A511" s="37" t="n">
        <v>371091137</v>
      </c>
      <c r="B511" s="38" t="n">
        <v>46237.4953125</v>
      </c>
      <c r="C511" s="37" t="s">
        <v>320</v>
      </c>
      <c r="D511" s="37" t="s">
        <v>827</v>
      </c>
      <c r="E511" s="37" t="n">
        <v>21070590</v>
      </c>
      <c r="F511" s="37" t="s">
        <v>139</v>
      </c>
      <c r="G511" s="37" t="s">
        <v>198</v>
      </c>
      <c r="H511" s="37" t="s">
        <v>170</v>
      </c>
      <c r="I511" s="37" t="n">
        <v>46.8</v>
      </c>
      <c r="J511" s="39" t="n">
        <v>599.99</v>
      </c>
      <c r="K511" s="37" t="s">
        <v>322</v>
      </c>
      <c r="L511" s="39" t="n">
        <v>103.47</v>
      </c>
      <c r="M511" s="39" t="n">
        <v>71</v>
      </c>
      <c r="N511" s="39" t="n">
        <f aca="false">J511*Resumo!$C$7</f>
        <v>1.19998</v>
      </c>
      <c r="O511" s="39" t="n">
        <f aca="false">J511*Resumo!$C$8</f>
        <v>1.19998</v>
      </c>
      <c r="P511" s="39" t="n">
        <f aca="false">Resumo!$C$10*CEILING(I511/100,1)</f>
        <v>1</v>
      </c>
      <c r="Q511" s="39" t="n">
        <f aca="false">Resumo!$C$9</f>
        <v>11.9</v>
      </c>
      <c r="R511" s="39" t="n">
        <f aca="false">SUM(M511:Q511)*Resumo!$C$11</f>
        <v>4.7464978</v>
      </c>
      <c r="S511" s="39" t="n">
        <f aca="false">SUM(M511:R511)</f>
        <v>91.0464578</v>
      </c>
      <c r="T511" s="39" t="n">
        <f aca="false">S511/(1-Resumo!$C$5)</f>
        <v>103.461883863636</v>
      </c>
      <c r="U511" s="39" t="n">
        <v>93.97</v>
      </c>
      <c r="V511" s="39" t="n">
        <f aca="false">J511*Resumo!$B$6</f>
        <v>0.59999</v>
      </c>
      <c r="W511" s="39" t="n">
        <f aca="false">J511*Resumo!$B$7</f>
        <v>1.19998</v>
      </c>
      <c r="X511" s="39" t="n">
        <f aca="false">Resumo!$B$9</f>
        <v>1</v>
      </c>
      <c r="Y511" s="39" t="n">
        <f aca="false">Resumo!$B$10*CEILING(I511/100,1)</f>
        <v>4.5</v>
      </c>
      <c r="Z511" s="39" t="n">
        <f aca="false">Resumo!$B$12*CEILING(I511,1)</f>
        <v>2.82</v>
      </c>
      <c r="AA511" s="39" t="n">
        <f aca="false">Resumo!$B$13*CEILING(I511,1)</f>
        <v>21.15</v>
      </c>
      <c r="AB511" s="39" t="n">
        <f aca="false">SUM(U511:AA511)</f>
        <v>125.23997</v>
      </c>
      <c r="AC511" s="39" t="n">
        <f aca="false">AB511/(1-Resumo!$B$5)</f>
        <v>142.318147727273</v>
      </c>
      <c r="AD511" s="39" t="n">
        <f aca="false">(AB511-AA511)/(1-Resumo!$B$5)</f>
        <v>118.284056818182</v>
      </c>
      <c r="AE511" s="39" t="n">
        <f aca="false">AC511-T511</f>
        <v>38.8562638636364</v>
      </c>
      <c r="AF511" s="40" t="n">
        <f aca="false">AC511/T511-1</f>
        <v>0.375561147860494</v>
      </c>
      <c r="AG511" s="37" t="str">
        <f aca="false">IF(AC511&lt;T511,"SIM","NÃO")</f>
        <v>NÃO</v>
      </c>
      <c r="AH511" s="37" t="n">
        <v>8</v>
      </c>
      <c r="AI511" s="37" t="n">
        <v>5</v>
      </c>
      <c r="AJ511" s="37" t="s">
        <v>323</v>
      </c>
    </row>
    <row r="512" customFormat="false" ht="15" hidden="false" customHeight="false" outlineLevel="0" collapsed="false">
      <c r="A512" s="37" t="n">
        <v>371093976</v>
      </c>
      <c r="B512" s="38" t="n">
        <v>46237.4985069444</v>
      </c>
      <c r="C512" s="37" t="s">
        <v>320</v>
      </c>
      <c r="D512" s="37" t="s">
        <v>828</v>
      </c>
      <c r="E512" s="37" t="n">
        <v>24735075</v>
      </c>
      <c r="F512" s="37" t="s">
        <v>140</v>
      </c>
      <c r="G512" s="37" t="s">
        <v>207</v>
      </c>
      <c r="H512" s="37" t="s">
        <v>171</v>
      </c>
      <c r="I512" s="37" t="n">
        <v>52.3</v>
      </c>
      <c r="J512" s="39" t="n">
        <v>643.99</v>
      </c>
      <c r="K512" s="37" t="s">
        <v>498</v>
      </c>
      <c r="L512" s="39" t="n">
        <v>127.42</v>
      </c>
      <c r="M512" s="39" t="n">
        <v>91.6</v>
      </c>
      <c r="N512" s="39" t="n">
        <f aca="false">J512*Resumo!$C$7</f>
        <v>1.28798</v>
      </c>
      <c r="O512" s="39" t="n">
        <f aca="false">J512*Resumo!$C$8</f>
        <v>1.28798</v>
      </c>
      <c r="P512" s="39" t="n">
        <f aca="false">Resumo!$C$10*CEILING(I512/100,1)</f>
        <v>1</v>
      </c>
      <c r="Q512" s="39" t="n">
        <f aca="false">Resumo!$C$9</f>
        <v>11.9</v>
      </c>
      <c r="R512" s="39" t="n">
        <f aca="false">SUM(M512:Q512)*Resumo!$C$11</f>
        <v>5.8891778</v>
      </c>
      <c r="S512" s="39" t="n">
        <f aca="false">SUM(M512:R512)</f>
        <v>112.9651378</v>
      </c>
      <c r="T512" s="39" t="n">
        <f aca="false">S512/(1-Resumo!$C$5)</f>
        <v>128.369474772727</v>
      </c>
      <c r="U512" s="39" t="n">
        <v>128.14</v>
      </c>
      <c r="V512" s="39" t="n">
        <f aca="false">J512*Resumo!$B$6</f>
        <v>0.64399</v>
      </c>
      <c r="W512" s="39" t="n">
        <f aca="false">J512*Resumo!$B$7</f>
        <v>1.28798</v>
      </c>
      <c r="X512" s="39" t="n">
        <f aca="false">Resumo!$B$9</f>
        <v>1</v>
      </c>
      <c r="Y512" s="39" t="n">
        <f aca="false">Resumo!$B$10*CEILING(I512/100,1)</f>
        <v>4.5</v>
      </c>
      <c r="Z512" s="39" t="n">
        <f aca="false">Resumo!$B$12*CEILING(I512,1)</f>
        <v>3.18</v>
      </c>
      <c r="AA512" s="39" t="n">
        <f aca="false">Resumo!$B$13*CEILING(I512,1)</f>
        <v>23.85</v>
      </c>
      <c r="AB512" s="39" t="n">
        <f aca="false">SUM(U512:AA512)</f>
        <v>162.60197</v>
      </c>
      <c r="AC512" s="39" t="n">
        <f aca="false">AB512/(1-Resumo!$B$5)</f>
        <v>184.774965909091</v>
      </c>
      <c r="AD512" s="39" t="n">
        <f aca="false">(AB512-AA512)/(1-Resumo!$B$5)</f>
        <v>157.672693181818</v>
      </c>
      <c r="AE512" s="39" t="n">
        <f aca="false">AC512-T512</f>
        <v>56.4054911363636</v>
      </c>
      <c r="AF512" s="40" t="n">
        <f aca="false">AC512/T512-1</f>
        <v>0.439399563145578</v>
      </c>
      <c r="AG512" s="37" t="str">
        <f aca="false">IF(AC512&lt;T512,"SIM","NÃO")</f>
        <v>NÃO</v>
      </c>
      <c r="AH512" s="37" t="n">
        <v>10</v>
      </c>
      <c r="AI512" s="37" t="n">
        <v>7</v>
      </c>
      <c r="AJ512" s="37" t="s">
        <v>323</v>
      </c>
    </row>
    <row r="513" customFormat="false" ht="15" hidden="false" customHeight="false" outlineLevel="0" collapsed="false">
      <c r="A513" s="37" t="n">
        <v>371095176</v>
      </c>
      <c r="B513" s="38" t="n">
        <v>46237.4996759259</v>
      </c>
      <c r="C513" s="37" t="s">
        <v>320</v>
      </c>
      <c r="D513" s="37" t="s">
        <v>829</v>
      </c>
      <c r="E513" s="37" t="n">
        <v>26125450</v>
      </c>
      <c r="F513" s="37" t="s">
        <v>145</v>
      </c>
      <c r="G513" s="37" t="s">
        <v>207</v>
      </c>
      <c r="H513" s="37" t="s">
        <v>172</v>
      </c>
      <c r="I513" s="37" t="n">
        <v>63</v>
      </c>
      <c r="J513" s="39" t="n">
        <v>789.99</v>
      </c>
      <c r="K513" s="37" t="s">
        <v>498</v>
      </c>
      <c r="L513" s="39" t="n">
        <v>139.57</v>
      </c>
      <c r="M513" s="39" t="n">
        <v>100.9</v>
      </c>
      <c r="N513" s="39" t="n">
        <f aca="false">J513*Resumo!$C$7</f>
        <v>1.57998</v>
      </c>
      <c r="O513" s="39" t="n">
        <f aca="false">J513*Resumo!$C$8</f>
        <v>1.57998</v>
      </c>
      <c r="P513" s="39" t="n">
        <f aca="false">Resumo!$C$10*CEILING(I513/100,1)</f>
        <v>1</v>
      </c>
      <c r="Q513" s="39" t="n">
        <f aca="false">Resumo!$C$9</f>
        <v>11.9</v>
      </c>
      <c r="R513" s="39" t="n">
        <f aca="false">SUM(M513:Q513)*Resumo!$C$11</f>
        <v>6.4327978</v>
      </c>
      <c r="S513" s="39" t="n">
        <f aca="false">SUM(M513:R513)</f>
        <v>123.3927578</v>
      </c>
      <c r="T513" s="39" t="n">
        <f aca="false">S513/(1-Resumo!$C$5)</f>
        <v>140.219042954545</v>
      </c>
      <c r="U513" s="39" t="n">
        <v>131.02</v>
      </c>
      <c r="V513" s="39" t="n">
        <f aca="false">J513*Resumo!$B$6</f>
        <v>0.78999</v>
      </c>
      <c r="W513" s="39" t="n">
        <f aca="false">J513*Resumo!$B$7</f>
        <v>1.57998</v>
      </c>
      <c r="X513" s="39" t="n">
        <f aca="false">Resumo!$B$9</f>
        <v>1</v>
      </c>
      <c r="Y513" s="39" t="n">
        <f aca="false">Resumo!$B$10*CEILING(I513/100,1)</f>
        <v>4.5</v>
      </c>
      <c r="Z513" s="39" t="n">
        <f aca="false">Resumo!$B$12*CEILING(I513,1)</f>
        <v>3.78</v>
      </c>
      <c r="AA513" s="39" t="n">
        <f aca="false">Resumo!$B$13*CEILING(I513,1)</f>
        <v>28.35</v>
      </c>
      <c r="AB513" s="39" t="n">
        <f aca="false">SUM(U513:AA513)</f>
        <v>171.01997</v>
      </c>
      <c r="AC513" s="39" t="n">
        <f aca="false">AB513/(1-Resumo!$B$5)</f>
        <v>194.340875</v>
      </c>
      <c r="AD513" s="39" t="n">
        <f aca="false">(AB513-AA513)/(1-Resumo!$B$5)</f>
        <v>162.124965909091</v>
      </c>
      <c r="AE513" s="39" t="n">
        <f aca="false">AC513-T513</f>
        <v>54.1218320454545</v>
      </c>
      <c r="AF513" s="40" t="n">
        <f aca="false">AC513/T513-1</f>
        <v>0.385980612226822</v>
      </c>
      <c r="AG513" s="37" t="str">
        <f aca="false">IF(AC513&lt;T513,"SIM","NÃO")</f>
        <v>NÃO</v>
      </c>
      <c r="AH513" s="37" t="n">
        <v>10</v>
      </c>
      <c r="AI513" s="37" t="n">
        <v>5</v>
      </c>
      <c r="AJ513" s="37" t="s">
        <v>323</v>
      </c>
    </row>
    <row r="514" customFormat="false" ht="15" hidden="false" customHeight="false" outlineLevel="0" collapsed="false">
      <c r="A514" s="37" t="n">
        <v>371109397</v>
      </c>
      <c r="B514" s="38" t="n">
        <v>46237.5190393519</v>
      </c>
      <c r="C514" s="37" t="s">
        <v>320</v>
      </c>
      <c r="D514" s="37" t="s">
        <v>830</v>
      </c>
      <c r="E514" s="37" t="n">
        <v>26515035</v>
      </c>
      <c r="F514" s="37" t="s">
        <v>224</v>
      </c>
      <c r="G514" s="37" t="s">
        <v>207</v>
      </c>
      <c r="H514" s="37" t="s">
        <v>171</v>
      </c>
      <c r="I514" s="37" t="n">
        <v>58.6</v>
      </c>
      <c r="J514" s="39" t="n">
        <v>769.99</v>
      </c>
      <c r="K514" s="37" t="s">
        <v>498</v>
      </c>
      <c r="L514" s="39" t="n">
        <v>131.1</v>
      </c>
      <c r="M514" s="39" t="n">
        <v>91.6</v>
      </c>
      <c r="N514" s="39" t="n">
        <f aca="false">J514*Resumo!$C$7</f>
        <v>1.53998</v>
      </c>
      <c r="O514" s="39" t="n">
        <f aca="false">J514*Resumo!$C$8</f>
        <v>1.53998</v>
      </c>
      <c r="P514" s="39" t="n">
        <f aca="false">Resumo!$C$10*CEILING(I514/100,1)</f>
        <v>1</v>
      </c>
      <c r="Q514" s="39" t="n">
        <f aca="false">Resumo!$C$9</f>
        <v>11.9</v>
      </c>
      <c r="R514" s="39" t="n">
        <f aca="false">SUM(M514:Q514)*Resumo!$C$11</f>
        <v>5.9168978</v>
      </c>
      <c r="S514" s="39" t="n">
        <f aca="false">SUM(M514:R514)</f>
        <v>113.4968578</v>
      </c>
      <c r="T514" s="39" t="n">
        <f aca="false">S514/(1-Resumo!$C$5)</f>
        <v>128.973702045455</v>
      </c>
      <c r="U514" s="39" t="n">
        <v>112.3</v>
      </c>
      <c r="V514" s="39" t="n">
        <f aca="false">J514*Resumo!$B$6</f>
        <v>0.76999</v>
      </c>
      <c r="W514" s="39" t="n">
        <f aca="false">J514*Resumo!$B$7</f>
        <v>1.53998</v>
      </c>
      <c r="X514" s="39" t="n">
        <f aca="false">Resumo!$B$9</f>
        <v>1</v>
      </c>
      <c r="Y514" s="39" t="n">
        <f aca="false">Resumo!$B$10*CEILING(I514/100,1)</f>
        <v>4.5</v>
      </c>
      <c r="Z514" s="39" t="n">
        <f aca="false">Resumo!$B$12*CEILING(I514,1)</f>
        <v>3.54</v>
      </c>
      <c r="AA514" s="39" t="n">
        <f aca="false">Resumo!$B$13*CEILING(I514,1)</f>
        <v>26.55</v>
      </c>
      <c r="AB514" s="39" t="n">
        <f aca="false">SUM(U514:AA514)</f>
        <v>150.19997</v>
      </c>
      <c r="AC514" s="39" t="n">
        <f aca="false">AB514/(1-Resumo!$B$5)</f>
        <v>170.681784090909</v>
      </c>
      <c r="AD514" s="39" t="n">
        <f aca="false">(AB514-AA514)/(1-Resumo!$B$5)</f>
        <v>140.511329545455</v>
      </c>
      <c r="AE514" s="39" t="n">
        <f aca="false">AC514-T514</f>
        <v>41.7080820454545</v>
      </c>
      <c r="AF514" s="40" t="n">
        <f aca="false">AC514/T514-1</f>
        <v>0.32338439064698</v>
      </c>
      <c r="AG514" s="37" t="str">
        <f aca="false">IF(AC514&lt;T514,"SIM","NÃO")</f>
        <v>NÃO</v>
      </c>
      <c r="AH514" s="37" t="n">
        <v>10</v>
      </c>
      <c r="AI514" s="37" t="n">
        <v>5</v>
      </c>
      <c r="AJ514" s="37" t="s">
        <v>327</v>
      </c>
    </row>
    <row r="515" customFormat="false" ht="15" hidden="false" customHeight="false" outlineLevel="0" collapsed="false">
      <c r="A515" s="37" t="n">
        <v>371120484</v>
      </c>
      <c r="B515" s="38" t="n">
        <v>46237.5364236111</v>
      </c>
      <c r="C515" s="37" t="s">
        <v>325</v>
      </c>
      <c r="D515" s="37" t="s">
        <v>831</v>
      </c>
      <c r="E515" s="37" t="n">
        <v>23550265</v>
      </c>
      <c r="F515" s="37" t="s">
        <v>139</v>
      </c>
      <c r="G515" s="37" t="s">
        <v>198</v>
      </c>
      <c r="H515" s="37" t="s">
        <v>176</v>
      </c>
      <c r="I515" s="37" t="n">
        <v>124.2</v>
      </c>
      <c r="J515" s="39" t="n">
        <v>1630.39</v>
      </c>
      <c r="K515" s="37" t="s">
        <v>498</v>
      </c>
      <c r="L515" s="39" t="n">
        <v>226.51</v>
      </c>
      <c r="M515" s="39" t="n">
        <v>174.85</v>
      </c>
      <c r="N515" s="39" t="n">
        <f aca="false">J515*Resumo!$C$7</f>
        <v>3.26078</v>
      </c>
      <c r="O515" s="39" t="n">
        <f aca="false">J515*Resumo!$C$8</f>
        <v>3.26078</v>
      </c>
      <c r="P515" s="39" t="n">
        <f aca="false">Resumo!$C$10*CEILING(I515/100,1)</f>
        <v>2</v>
      </c>
      <c r="Q515" s="39" t="n">
        <f aca="false">Resumo!$C$9</f>
        <v>11.9</v>
      </c>
      <c r="R515" s="39" t="n">
        <f aca="false">SUM(M515:Q515)*Resumo!$C$11</f>
        <v>10.7399358</v>
      </c>
      <c r="S515" s="39" t="n">
        <f aca="false">SUM(M515:R515)</f>
        <v>206.0114958</v>
      </c>
      <c r="T515" s="39" t="n">
        <f aca="false">S515/(1-Resumo!$C$5)</f>
        <v>234.1039725</v>
      </c>
      <c r="U515" s="39" t="n">
        <v>239.25</v>
      </c>
      <c r="V515" s="39" t="n">
        <f aca="false">J515*Resumo!$B$6</f>
        <v>1.63039</v>
      </c>
      <c r="W515" s="39" t="n">
        <f aca="false">J515*Resumo!$B$7</f>
        <v>3.26078</v>
      </c>
      <c r="X515" s="39" t="n">
        <f aca="false">Resumo!$B$9</f>
        <v>1</v>
      </c>
      <c r="Y515" s="39" t="n">
        <f aca="false">Resumo!$B$10*CEILING(I515/100,1)</f>
        <v>9</v>
      </c>
      <c r="Z515" s="39" t="n">
        <f aca="false">Resumo!$B$12*CEILING(I515,1)</f>
        <v>7.5</v>
      </c>
      <c r="AA515" s="39" t="n">
        <f aca="false">Resumo!$B$13*CEILING(I515,1)</f>
        <v>56.25</v>
      </c>
      <c r="AB515" s="39" t="n">
        <f aca="false">SUM(U515:AA515)</f>
        <v>317.89117</v>
      </c>
      <c r="AC515" s="39" t="n">
        <f aca="false">AB515/(1-Resumo!$B$5)</f>
        <v>361.239965909091</v>
      </c>
      <c r="AD515" s="39" t="n">
        <f aca="false">(AB515-AA515)/(1-Resumo!$B$5)</f>
        <v>297.319511363636</v>
      </c>
      <c r="AE515" s="39" t="n">
        <f aca="false">AC515-T515</f>
        <v>127.135993409091</v>
      </c>
      <c r="AF515" s="40" t="n">
        <f aca="false">AC515/T515-1</f>
        <v>0.543074908346935</v>
      </c>
      <c r="AG515" s="37" t="str">
        <f aca="false">IF(AC515&lt;T515,"SIM","NÃO")</f>
        <v>NÃO</v>
      </c>
      <c r="AH515" s="37" t="n">
        <v>8</v>
      </c>
      <c r="AI515" s="37" t="n">
        <v>5</v>
      </c>
      <c r="AJ515" s="37" t="s">
        <v>323</v>
      </c>
    </row>
    <row r="516" customFormat="false" ht="15" hidden="false" customHeight="false" outlineLevel="0" collapsed="false">
      <c r="A516" s="37" t="n">
        <v>371121040</v>
      </c>
      <c r="B516" s="38" t="n">
        <v>46237.5377777778</v>
      </c>
      <c r="C516" s="37" t="s">
        <v>320</v>
      </c>
      <c r="D516" s="37" t="s">
        <v>832</v>
      </c>
      <c r="E516" s="37" t="n">
        <v>24940505</v>
      </c>
      <c r="F516" s="37" t="s">
        <v>151</v>
      </c>
      <c r="G516" s="37" t="s">
        <v>201</v>
      </c>
      <c r="H516" s="37" t="s">
        <v>170</v>
      </c>
      <c r="I516" s="37" t="n">
        <v>48</v>
      </c>
      <c r="J516" s="39" t="n">
        <v>899.99</v>
      </c>
      <c r="K516" s="37" t="s">
        <v>498</v>
      </c>
      <c r="L516" s="39" t="n">
        <v>133.73</v>
      </c>
      <c r="M516" s="39" t="n">
        <v>94</v>
      </c>
      <c r="N516" s="39" t="n">
        <f aca="false">J516*Resumo!$C$7</f>
        <v>1.79998</v>
      </c>
      <c r="O516" s="39" t="n">
        <f aca="false">J516*Resumo!$C$8</f>
        <v>1.79998</v>
      </c>
      <c r="P516" s="39" t="n">
        <f aca="false">Resumo!$C$10*CEILING(I516/100,1)</f>
        <v>1</v>
      </c>
      <c r="Q516" s="39" t="n">
        <f aca="false">Resumo!$C$9</f>
        <v>11.9</v>
      </c>
      <c r="R516" s="39" t="n">
        <f aca="false">SUM(M516:Q516)*Resumo!$C$11</f>
        <v>6.0774978</v>
      </c>
      <c r="S516" s="39" t="n">
        <f aca="false">SUM(M516:R516)</f>
        <v>116.5774578</v>
      </c>
      <c r="T516" s="39" t="n">
        <f aca="false">S516/(1-Resumo!$C$5)</f>
        <v>132.474383863636</v>
      </c>
      <c r="U516" s="39" t="n">
        <v>114.95</v>
      </c>
      <c r="V516" s="39" t="n">
        <f aca="false">J516*Resumo!$B$6</f>
        <v>0.89999</v>
      </c>
      <c r="W516" s="39" t="n">
        <f aca="false">J516*Resumo!$B$7</f>
        <v>1.79998</v>
      </c>
      <c r="X516" s="39" t="n">
        <f aca="false">Resumo!$B$9</f>
        <v>1</v>
      </c>
      <c r="Y516" s="39" t="n">
        <f aca="false">Resumo!$B$10*CEILING(I516/100,1)</f>
        <v>4.5</v>
      </c>
      <c r="Z516" s="39" t="n">
        <f aca="false">Resumo!$B$12*CEILING(I516,1)</f>
        <v>2.88</v>
      </c>
      <c r="AA516" s="39" t="n">
        <f aca="false">Resumo!$B$13*CEILING(I516,1)</f>
        <v>21.6</v>
      </c>
      <c r="AB516" s="39" t="n">
        <f aca="false">SUM(U516:AA516)</f>
        <v>147.62997</v>
      </c>
      <c r="AC516" s="39" t="n">
        <f aca="false">AB516/(1-Resumo!$B$5)</f>
        <v>167.761329545455</v>
      </c>
      <c r="AD516" s="39" t="n">
        <f aca="false">(AB516-AA516)/(1-Resumo!$B$5)</f>
        <v>143.215875</v>
      </c>
      <c r="AE516" s="39" t="n">
        <f aca="false">AC516-T516</f>
        <v>35.2869456818182</v>
      </c>
      <c r="AF516" s="40" t="n">
        <f aca="false">AC516/T516-1</f>
        <v>0.266368067943921</v>
      </c>
      <c r="AG516" s="37" t="str">
        <f aca="false">IF(AC516&lt;T516,"SIM","NÃO")</f>
        <v>NÃO</v>
      </c>
      <c r="AH516" s="37" t="n">
        <v>13</v>
      </c>
      <c r="AI516" s="37" t="n">
        <v>7</v>
      </c>
      <c r="AJ516" s="37" t="s">
        <v>323</v>
      </c>
    </row>
    <row r="517" customFormat="false" ht="15" hidden="false" customHeight="false" outlineLevel="0" collapsed="false">
      <c r="A517" s="37" t="n">
        <v>371125582</v>
      </c>
      <c r="B517" s="38" t="n">
        <v>46237.5475</v>
      </c>
      <c r="C517" s="37" t="s">
        <v>320</v>
      </c>
      <c r="D517" s="37" t="s">
        <v>474</v>
      </c>
      <c r="E517" s="37" t="n">
        <v>23520132</v>
      </c>
      <c r="F517" s="37" t="s">
        <v>139</v>
      </c>
      <c r="G517" s="37" t="s">
        <v>198</v>
      </c>
      <c r="H517" s="37" t="s">
        <v>168</v>
      </c>
      <c r="I517" s="37" t="n">
        <v>27.5</v>
      </c>
      <c r="J517" s="39" t="n">
        <v>379.99</v>
      </c>
      <c r="K517" s="37" t="s">
        <v>498</v>
      </c>
      <c r="L517" s="39" t="n">
        <v>80.58</v>
      </c>
      <c r="M517" s="39" t="n">
        <v>54.1</v>
      </c>
      <c r="N517" s="39" t="n">
        <f aca="false">J517*Resumo!$C$7</f>
        <v>0.75998</v>
      </c>
      <c r="O517" s="39" t="n">
        <f aca="false">J517*Resumo!$C$8</f>
        <v>0.75998</v>
      </c>
      <c r="P517" s="39" t="n">
        <f aca="false">Resumo!$C$10*CEILING(I517/100,1)</f>
        <v>1</v>
      </c>
      <c r="Q517" s="39" t="n">
        <f aca="false">Resumo!$C$9</f>
        <v>11.9</v>
      </c>
      <c r="R517" s="39" t="n">
        <f aca="false">SUM(M517:Q517)*Resumo!$C$11</f>
        <v>3.7685978</v>
      </c>
      <c r="S517" s="39" t="n">
        <f aca="false">SUM(M517:R517)</f>
        <v>72.2885578</v>
      </c>
      <c r="T517" s="39" t="n">
        <f aca="false">S517/(1-Resumo!$C$5)</f>
        <v>82.1460884090909</v>
      </c>
      <c r="U517" s="39" t="n">
        <v>82.21</v>
      </c>
      <c r="V517" s="39" t="n">
        <f aca="false">J517*Resumo!$B$6</f>
        <v>0.37999</v>
      </c>
      <c r="W517" s="39" t="n">
        <f aca="false">J517*Resumo!$B$7</f>
        <v>0.75998</v>
      </c>
      <c r="X517" s="39" t="n">
        <f aca="false">Resumo!$B$9</f>
        <v>1</v>
      </c>
      <c r="Y517" s="39" t="n">
        <f aca="false">Resumo!$B$10*CEILING(I517/100,1)</f>
        <v>4.5</v>
      </c>
      <c r="Z517" s="39" t="n">
        <f aca="false">Resumo!$B$12*CEILING(I517,1)</f>
        <v>1.68</v>
      </c>
      <c r="AA517" s="39" t="n">
        <f aca="false">Resumo!$B$13*CEILING(I517,1)</f>
        <v>12.6</v>
      </c>
      <c r="AB517" s="39" t="n">
        <f aca="false">SUM(U517:AA517)</f>
        <v>103.12997</v>
      </c>
      <c r="AC517" s="39" t="n">
        <f aca="false">AB517/(1-Resumo!$B$5)</f>
        <v>117.193147727273</v>
      </c>
      <c r="AD517" s="39" t="n">
        <f aca="false">(AB517-AA517)/(1-Resumo!$B$5)</f>
        <v>102.874965909091</v>
      </c>
      <c r="AE517" s="39" t="n">
        <f aca="false">AC517-T517</f>
        <v>35.0470593181818</v>
      </c>
      <c r="AF517" s="40" t="n">
        <f aca="false">AC517/T517-1</f>
        <v>0.426643069644972</v>
      </c>
      <c r="AG517" s="37" t="str">
        <f aca="false">IF(AC517&lt;T517,"SIM","NÃO")</f>
        <v>NÃO</v>
      </c>
      <c r="AH517" s="37" t="n">
        <v>8</v>
      </c>
      <c r="AI517" s="37" t="n">
        <v>5</v>
      </c>
      <c r="AJ517" s="37" t="s">
        <v>323</v>
      </c>
    </row>
    <row r="518" customFormat="false" ht="15" hidden="false" customHeight="false" outlineLevel="0" collapsed="false">
      <c r="A518" s="37" t="n">
        <v>371141748</v>
      </c>
      <c r="B518" s="38" t="n">
        <v>46237.5855555556</v>
      </c>
      <c r="C518" s="37" t="s">
        <v>352</v>
      </c>
      <c r="D518" s="37" t="s">
        <v>833</v>
      </c>
      <c r="E518" s="37" t="n">
        <v>23050180</v>
      </c>
      <c r="F518" s="37" t="s">
        <v>139</v>
      </c>
      <c r="G518" s="37" t="s">
        <v>198</v>
      </c>
      <c r="H518" s="37" t="s">
        <v>168</v>
      </c>
      <c r="I518" s="37" t="n">
        <v>22.4</v>
      </c>
      <c r="J518" s="39" t="n">
        <v>479.99</v>
      </c>
      <c r="K518" s="37" t="s">
        <v>498</v>
      </c>
      <c r="L518" s="39" t="n">
        <v>78.5</v>
      </c>
      <c r="M518" s="39" t="n">
        <v>54.1</v>
      </c>
      <c r="N518" s="39" t="n">
        <f aca="false">J518*Resumo!$C$7</f>
        <v>0.95998</v>
      </c>
      <c r="O518" s="39" t="n">
        <f aca="false">J518*Resumo!$C$8</f>
        <v>0.95998</v>
      </c>
      <c r="P518" s="39" t="n">
        <f aca="false">Resumo!$C$10*CEILING(I518/100,1)</f>
        <v>1</v>
      </c>
      <c r="Q518" s="39" t="n">
        <f aca="false">Resumo!$C$9</f>
        <v>11.9</v>
      </c>
      <c r="R518" s="39" t="n">
        <f aca="false">SUM(M518:Q518)*Resumo!$C$11</f>
        <v>3.7905978</v>
      </c>
      <c r="S518" s="39" t="n">
        <f aca="false">SUM(M518:R518)</f>
        <v>72.7105578</v>
      </c>
      <c r="T518" s="39" t="n">
        <f aca="false">S518/(1-Resumo!$C$5)</f>
        <v>82.6256338636364</v>
      </c>
      <c r="U518" s="39" t="n">
        <v>82.21</v>
      </c>
      <c r="V518" s="39" t="n">
        <f aca="false">J518*Resumo!$B$6</f>
        <v>0.47999</v>
      </c>
      <c r="W518" s="39" t="n">
        <f aca="false">J518*Resumo!$B$7</f>
        <v>0.95998</v>
      </c>
      <c r="X518" s="39" t="n">
        <f aca="false">Resumo!$B$9</f>
        <v>1</v>
      </c>
      <c r="Y518" s="39" t="n">
        <f aca="false">Resumo!$B$10*CEILING(I518/100,1)</f>
        <v>4.5</v>
      </c>
      <c r="Z518" s="39" t="n">
        <f aca="false">Resumo!$B$12*CEILING(I518,1)</f>
        <v>1.38</v>
      </c>
      <c r="AA518" s="39" t="n">
        <f aca="false">Resumo!$B$13*CEILING(I518,1)</f>
        <v>10.35</v>
      </c>
      <c r="AB518" s="39" t="n">
        <f aca="false">SUM(U518:AA518)</f>
        <v>100.87997</v>
      </c>
      <c r="AC518" s="39" t="n">
        <f aca="false">AB518/(1-Resumo!$B$5)</f>
        <v>114.636329545455</v>
      </c>
      <c r="AD518" s="39" t="n">
        <f aca="false">(AB518-AA518)/(1-Resumo!$B$5)</f>
        <v>102.874965909091</v>
      </c>
      <c r="AE518" s="39" t="n">
        <f aca="false">AC518-T518</f>
        <v>32.0106956818182</v>
      </c>
      <c r="AF518" s="40" t="n">
        <f aca="false">AC518/T518-1</f>
        <v>0.38741845823111</v>
      </c>
      <c r="AG518" s="37" t="str">
        <f aca="false">IF(AC518&lt;T518,"SIM","NÃO")</f>
        <v>NÃO</v>
      </c>
      <c r="AH518" s="37" t="n">
        <v>8</v>
      </c>
      <c r="AI518" s="37" t="n">
        <v>5</v>
      </c>
      <c r="AJ518" s="37" t="s">
        <v>323</v>
      </c>
    </row>
    <row r="519" customFormat="false" ht="15" hidden="false" customHeight="false" outlineLevel="0" collapsed="false">
      <c r="A519" s="37" t="n">
        <v>371158401</v>
      </c>
      <c r="B519" s="38" t="n">
        <v>46237.6138657407</v>
      </c>
      <c r="C519" s="37" t="s">
        <v>320</v>
      </c>
      <c r="D519" s="37" t="s">
        <v>834</v>
      </c>
      <c r="E519" s="37" t="n">
        <v>21050690</v>
      </c>
      <c r="F519" s="37" t="s">
        <v>139</v>
      </c>
      <c r="G519" s="37" t="s">
        <v>198</v>
      </c>
      <c r="H519" s="37" t="s">
        <v>168</v>
      </c>
      <c r="I519" s="37" t="n">
        <v>27</v>
      </c>
      <c r="J519" s="39" t="n">
        <v>349.99</v>
      </c>
      <c r="K519" s="37" t="s">
        <v>322</v>
      </c>
      <c r="L519" s="39" t="n">
        <v>82</v>
      </c>
      <c r="M519" s="39" t="n">
        <v>54.1</v>
      </c>
      <c r="N519" s="39" t="n">
        <f aca="false">J519*Resumo!$C$7</f>
        <v>0.69998</v>
      </c>
      <c r="O519" s="39" t="n">
        <f aca="false">J519*Resumo!$C$8</f>
        <v>0.69998</v>
      </c>
      <c r="P519" s="39" t="n">
        <f aca="false">Resumo!$C$10*CEILING(I519/100,1)</f>
        <v>1</v>
      </c>
      <c r="Q519" s="39" t="n">
        <f aca="false">Resumo!$C$9</f>
        <v>11.9</v>
      </c>
      <c r="R519" s="39" t="n">
        <f aca="false">SUM(M519:Q519)*Resumo!$C$11</f>
        <v>3.7619978</v>
      </c>
      <c r="S519" s="39" t="n">
        <f aca="false">SUM(M519:R519)</f>
        <v>72.1619578</v>
      </c>
      <c r="T519" s="39" t="n">
        <f aca="false">S519/(1-Resumo!$C$5)</f>
        <v>82.0022247727273</v>
      </c>
      <c r="U519" s="39" t="n">
        <v>82.21</v>
      </c>
      <c r="V519" s="39" t="n">
        <f aca="false">J519*Resumo!$B$6</f>
        <v>0.34999</v>
      </c>
      <c r="W519" s="39" t="n">
        <f aca="false">J519*Resumo!$B$7</f>
        <v>0.69998</v>
      </c>
      <c r="X519" s="39" t="n">
        <f aca="false">Resumo!$B$9</f>
        <v>1</v>
      </c>
      <c r="Y519" s="39" t="n">
        <f aca="false">Resumo!$B$10*CEILING(I519/100,1)</f>
        <v>4.5</v>
      </c>
      <c r="Z519" s="39" t="n">
        <f aca="false">Resumo!$B$12*CEILING(I519,1)</f>
        <v>1.62</v>
      </c>
      <c r="AA519" s="39" t="n">
        <f aca="false">Resumo!$B$13*CEILING(I519,1)</f>
        <v>12.15</v>
      </c>
      <c r="AB519" s="39" t="n">
        <f aca="false">SUM(U519:AA519)</f>
        <v>102.52997</v>
      </c>
      <c r="AC519" s="39" t="n">
        <f aca="false">AB519/(1-Resumo!$B$5)</f>
        <v>116.511329545455</v>
      </c>
      <c r="AD519" s="39" t="n">
        <f aca="false">(AB519-AA519)/(1-Resumo!$B$5)</f>
        <v>102.704511363636</v>
      </c>
      <c r="AE519" s="39" t="n">
        <f aca="false">AC519-T519</f>
        <v>34.5091047727273</v>
      </c>
      <c r="AF519" s="40" t="n">
        <f aca="false">AC519/T519-1</f>
        <v>0.42083132339849</v>
      </c>
      <c r="AG519" s="37" t="str">
        <f aca="false">IF(AC519&lt;T519,"SIM","NÃO")</f>
        <v>NÃO</v>
      </c>
      <c r="AH519" s="37" t="n">
        <v>8</v>
      </c>
      <c r="AI519" s="37" t="n">
        <v>5</v>
      </c>
      <c r="AJ519" s="37" t="s">
        <v>323</v>
      </c>
    </row>
    <row r="520" customFormat="false" ht="15" hidden="false" customHeight="false" outlineLevel="0" collapsed="false">
      <c r="A520" s="37" t="n">
        <v>371175082</v>
      </c>
      <c r="B520" s="38" t="n">
        <v>46237.6431365741</v>
      </c>
      <c r="C520" s="37" t="s">
        <v>325</v>
      </c>
      <c r="D520" s="37" t="s">
        <v>835</v>
      </c>
      <c r="E520" s="37" t="n">
        <v>21340510</v>
      </c>
      <c r="F520" s="37" t="s">
        <v>139</v>
      </c>
      <c r="G520" s="37" t="s">
        <v>198</v>
      </c>
      <c r="H520" s="37" t="s">
        <v>172</v>
      </c>
      <c r="I520" s="37" t="n">
        <v>69.15</v>
      </c>
      <c r="J520" s="39" t="n">
        <v>717.6</v>
      </c>
      <c r="K520" s="37" t="s">
        <v>322</v>
      </c>
      <c r="L520" s="39" t="n">
        <v>124.66</v>
      </c>
      <c r="M520" s="39" t="n">
        <v>88.2</v>
      </c>
      <c r="N520" s="39" t="n">
        <f aca="false">J520*Resumo!$C$7</f>
        <v>1.4352</v>
      </c>
      <c r="O520" s="39" t="n">
        <f aca="false">J520*Resumo!$C$8</f>
        <v>1.4352</v>
      </c>
      <c r="P520" s="39" t="n">
        <f aca="false">Resumo!$C$10*CEILING(I520/100,1)</f>
        <v>1</v>
      </c>
      <c r="Q520" s="39" t="n">
        <f aca="false">Resumo!$C$9</f>
        <v>11.9</v>
      </c>
      <c r="R520" s="39" t="n">
        <f aca="false">SUM(M520:Q520)*Resumo!$C$11</f>
        <v>5.718372</v>
      </c>
      <c r="S520" s="39" t="n">
        <f aca="false">SUM(M520:R520)</f>
        <v>109.688772</v>
      </c>
      <c r="T520" s="39" t="n">
        <f aca="false">S520/(1-Resumo!$C$5)</f>
        <v>124.646331818182</v>
      </c>
      <c r="U520" s="39" t="n">
        <v>131.02</v>
      </c>
      <c r="V520" s="39" t="n">
        <f aca="false">J520*Resumo!$B$6</f>
        <v>0.7176</v>
      </c>
      <c r="W520" s="39" t="n">
        <f aca="false">J520*Resumo!$B$7</f>
        <v>1.4352</v>
      </c>
      <c r="X520" s="39" t="n">
        <f aca="false">Resumo!$B$9</f>
        <v>1</v>
      </c>
      <c r="Y520" s="39" t="n">
        <f aca="false">Resumo!$B$10*CEILING(I520/100,1)</f>
        <v>4.5</v>
      </c>
      <c r="Z520" s="39" t="n">
        <f aca="false">Resumo!$B$12*CEILING(I520,1)</f>
        <v>4.2</v>
      </c>
      <c r="AA520" s="39" t="n">
        <f aca="false">Resumo!$B$13*CEILING(I520,1)</f>
        <v>31.5</v>
      </c>
      <c r="AB520" s="39" t="n">
        <f aca="false">SUM(U520:AA520)</f>
        <v>174.3728</v>
      </c>
      <c r="AC520" s="39" t="n">
        <f aca="false">AB520/(1-Resumo!$B$5)</f>
        <v>198.150909090909</v>
      </c>
      <c r="AD520" s="39" t="n">
        <f aca="false">(AB520-AA520)/(1-Resumo!$B$5)</f>
        <v>162.355454545455</v>
      </c>
      <c r="AE520" s="39" t="n">
        <f aca="false">AC520-T520</f>
        <v>73.5045772727273</v>
      </c>
      <c r="AF520" s="40" t="n">
        <f aca="false">AC520/T520-1</f>
        <v>0.58970509761929</v>
      </c>
      <c r="AG520" s="37" t="str">
        <f aca="false">IF(AC520&lt;T520,"SIM","NÃO")</f>
        <v>NÃO</v>
      </c>
      <c r="AH520" s="37" t="n">
        <v>8</v>
      </c>
      <c r="AI520" s="37" t="n">
        <v>5</v>
      </c>
      <c r="AJ520" s="37" t="s">
        <v>323</v>
      </c>
    </row>
    <row r="521" customFormat="false" ht="15" hidden="false" customHeight="false" outlineLevel="0" collapsed="false">
      <c r="A521" s="37" t="n">
        <v>371174202</v>
      </c>
      <c r="B521" s="38" t="n">
        <v>46237.6435069444</v>
      </c>
      <c r="C521" s="37" t="s">
        <v>341</v>
      </c>
      <c r="D521" s="37" t="s">
        <v>836</v>
      </c>
      <c r="E521" s="37" t="n">
        <v>21650002</v>
      </c>
      <c r="F521" s="37" t="s">
        <v>139</v>
      </c>
      <c r="G521" s="37" t="s">
        <v>198</v>
      </c>
      <c r="H521" s="37" t="s">
        <v>167</v>
      </c>
      <c r="I521" s="37" t="n">
        <v>19.5</v>
      </c>
      <c r="J521" s="39" t="n">
        <v>399.99</v>
      </c>
      <c r="K521" s="37" t="s">
        <v>322</v>
      </c>
      <c r="L521" s="39" t="n">
        <v>65.14</v>
      </c>
      <c r="M521" s="39" t="n">
        <v>39.83</v>
      </c>
      <c r="N521" s="39" t="n">
        <f aca="false">J521*Resumo!$C$7</f>
        <v>0.79998</v>
      </c>
      <c r="O521" s="39" t="n">
        <f aca="false">J521*Resumo!$C$8</f>
        <v>0.79998</v>
      </c>
      <c r="P521" s="39" t="n">
        <f aca="false">Resumo!$C$10*CEILING(I521/100,1)</f>
        <v>1</v>
      </c>
      <c r="Q521" s="39" t="n">
        <f aca="false">Resumo!$C$9</f>
        <v>11.9</v>
      </c>
      <c r="R521" s="39" t="n">
        <f aca="false">SUM(M521:Q521)*Resumo!$C$11</f>
        <v>2.9881478</v>
      </c>
      <c r="S521" s="39" t="n">
        <f aca="false">SUM(M521:R521)</f>
        <v>57.3181078</v>
      </c>
      <c r="T521" s="39" t="n">
        <f aca="false">S521/(1-Resumo!$C$5)</f>
        <v>65.1342134090909</v>
      </c>
      <c r="U521" s="39" t="n">
        <v>46.98</v>
      </c>
      <c r="V521" s="39" t="n">
        <f aca="false">J521*Resumo!$B$6</f>
        <v>0.39999</v>
      </c>
      <c r="W521" s="39" t="n">
        <f aca="false">J521*Resumo!$B$7</f>
        <v>0.79998</v>
      </c>
      <c r="X521" s="39" t="n">
        <f aca="false">Resumo!$B$9</f>
        <v>1</v>
      </c>
      <c r="Y521" s="39" t="n">
        <f aca="false">Resumo!$B$10*CEILING(I521/100,1)</f>
        <v>4.5</v>
      </c>
      <c r="Z521" s="39" t="n">
        <f aca="false">Resumo!$B$12*CEILING(I521,1)</f>
        <v>1.2</v>
      </c>
      <c r="AA521" s="39" t="n">
        <f aca="false">Resumo!$B$13*CEILING(I521,1)</f>
        <v>9</v>
      </c>
      <c r="AB521" s="39" t="n">
        <f aca="false">SUM(U521:AA521)</f>
        <v>63.87997</v>
      </c>
      <c r="AC521" s="39" t="n">
        <f aca="false">AB521/(1-Resumo!$B$5)</f>
        <v>72.590875</v>
      </c>
      <c r="AD521" s="39" t="n">
        <f aca="false">(AB521-AA521)/(1-Resumo!$B$5)</f>
        <v>62.3636022727273</v>
      </c>
      <c r="AE521" s="39" t="n">
        <f aca="false">AC521-T521</f>
        <v>7.45666159090909</v>
      </c>
      <c r="AF521" s="40" t="n">
        <f aca="false">AC521/T521-1</f>
        <v>0.114481486773714</v>
      </c>
      <c r="AG521" s="37" t="str">
        <f aca="false">IF(AC521&lt;T521,"SIM","NÃO")</f>
        <v>NÃO</v>
      </c>
      <c r="AH521" s="37" t="n">
        <v>8</v>
      </c>
      <c r="AI521" s="37" t="n">
        <v>5</v>
      </c>
      <c r="AJ521" s="37" t="s">
        <v>323</v>
      </c>
    </row>
    <row r="522" customFormat="false" ht="15" hidden="false" customHeight="false" outlineLevel="0" collapsed="false">
      <c r="A522" s="37" t="n">
        <v>371194892</v>
      </c>
      <c r="B522" s="38" t="n">
        <v>46237.6713425926</v>
      </c>
      <c r="C522" s="37" t="s">
        <v>320</v>
      </c>
      <c r="D522" s="37" t="s">
        <v>837</v>
      </c>
      <c r="E522" s="37" t="n">
        <v>21635350</v>
      </c>
      <c r="F522" s="37" t="s">
        <v>139</v>
      </c>
      <c r="G522" s="37" t="s">
        <v>198</v>
      </c>
      <c r="H522" s="37" t="s">
        <v>170</v>
      </c>
      <c r="I522" s="37" t="n">
        <v>48.3</v>
      </c>
      <c r="J522" s="39" t="n">
        <v>459.99</v>
      </c>
      <c r="K522" s="37" t="s">
        <v>322</v>
      </c>
      <c r="L522" s="39" t="n">
        <v>102.8</v>
      </c>
      <c r="M522" s="39" t="n">
        <v>71</v>
      </c>
      <c r="N522" s="39" t="n">
        <f aca="false">J522*Resumo!$C$7</f>
        <v>0.91998</v>
      </c>
      <c r="O522" s="39" t="n">
        <f aca="false">J522*Resumo!$C$8</f>
        <v>0.91998</v>
      </c>
      <c r="P522" s="39" t="n">
        <f aca="false">Resumo!$C$10*CEILING(I522/100,1)</f>
        <v>1</v>
      </c>
      <c r="Q522" s="39" t="n">
        <f aca="false">Resumo!$C$9</f>
        <v>11.9</v>
      </c>
      <c r="R522" s="39" t="n">
        <f aca="false">SUM(M522:Q522)*Resumo!$C$11</f>
        <v>4.7156978</v>
      </c>
      <c r="S522" s="39" t="n">
        <f aca="false">SUM(M522:R522)</f>
        <v>90.4556578</v>
      </c>
      <c r="T522" s="39" t="n">
        <f aca="false">S522/(1-Resumo!$C$5)</f>
        <v>102.790520227273</v>
      </c>
      <c r="U522" s="39" t="n">
        <v>93.97</v>
      </c>
      <c r="V522" s="39" t="n">
        <f aca="false">J522*Resumo!$B$6</f>
        <v>0.45999</v>
      </c>
      <c r="W522" s="39" t="n">
        <f aca="false">J522*Resumo!$B$7</f>
        <v>0.91998</v>
      </c>
      <c r="X522" s="39" t="n">
        <f aca="false">Resumo!$B$9</f>
        <v>1</v>
      </c>
      <c r="Y522" s="39" t="n">
        <f aca="false">Resumo!$B$10*CEILING(I522/100,1)</f>
        <v>4.5</v>
      </c>
      <c r="Z522" s="39" t="n">
        <f aca="false">Resumo!$B$12*CEILING(I522,1)</f>
        <v>2.94</v>
      </c>
      <c r="AA522" s="39" t="n">
        <f aca="false">Resumo!$B$13*CEILING(I522,1)</f>
        <v>22.05</v>
      </c>
      <c r="AB522" s="39" t="n">
        <f aca="false">SUM(U522:AA522)</f>
        <v>125.83997</v>
      </c>
      <c r="AC522" s="39" t="n">
        <f aca="false">AB522/(1-Resumo!$B$5)</f>
        <v>142.999965909091</v>
      </c>
      <c r="AD522" s="39" t="n">
        <f aca="false">(AB522-AA522)/(1-Resumo!$B$5)</f>
        <v>117.943147727273</v>
      </c>
      <c r="AE522" s="39" t="n">
        <f aca="false">AC522-T522</f>
        <v>40.2094456818182</v>
      </c>
      <c r="AF522" s="40" t="n">
        <f aca="false">AC522/T522-1</f>
        <v>0.391178540520215</v>
      </c>
      <c r="AG522" s="37" t="str">
        <f aca="false">IF(AC522&lt;T522,"SIM","NÃO")</f>
        <v>NÃO</v>
      </c>
      <c r="AH522" s="37" t="n">
        <v>8</v>
      </c>
      <c r="AI522" s="37" t="n">
        <v>5</v>
      </c>
      <c r="AJ522" s="37" t="s">
        <v>323</v>
      </c>
    </row>
    <row r="523" customFormat="false" ht="15" hidden="false" customHeight="false" outlineLevel="0" collapsed="false">
      <c r="A523" s="37" t="n">
        <v>371206309</v>
      </c>
      <c r="B523" s="38" t="n">
        <v>46237.6923958333</v>
      </c>
      <c r="C523" s="37" t="s">
        <v>320</v>
      </c>
      <c r="D523" s="37" t="s">
        <v>360</v>
      </c>
      <c r="E523" s="37" t="n">
        <v>21741060</v>
      </c>
      <c r="F523" s="37" t="s">
        <v>139</v>
      </c>
      <c r="G523" s="37" t="s">
        <v>198</v>
      </c>
      <c r="H523" s="37" t="s">
        <v>171</v>
      </c>
      <c r="I523" s="37" t="n">
        <v>52.3</v>
      </c>
      <c r="J523" s="39" t="n">
        <v>643.99</v>
      </c>
      <c r="K523" s="37" t="s">
        <v>498</v>
      </c>
      <c r="L523" s="39" t="n">
        <v>113.35</v>
      </c>
      <c r="M523" s="39" t="n">
        <v>79.81</v>
      </c>
      <c r="N523" s="39" t="n">
        <f aca="false">J523*Resumo!$C$7</f>
        <v>1.28798</v>
      </c>
      <c r="O523" s="39" t="n">
        <f aca="false">J523*Resumo!$C$8</f>
        <v>1.28798</v>
      </c>
      <c r="P523" s="39" t="n">
        <f aca="false">Resumo!$C$10*CEILING(I523/100,1)</f>
        <v>1</v>
      </c>
      <c r="Q523" s="39" t="n">
        <f aca="false">Resumo!$C$9</f>
        <v>11.9</v>
      </c>
      <c r="R523" s="39" t="n">
        <f aca="false">SUM(M523:Q523)*Resumo!$C$11</f>
        <v>5.2407278</v>
      </c>
      <c r="S523" s="39" t="n">
        <f aca="false">SUM(M523:R523)</f>
        <v>100.5266878</v>
      </c>
      <c r="T523" s="39" t="n">
        <f aca="false">S523/(1-Resumo!$C$5)</f>
        <v>114.2348725</v>
      </c>
      <c r="U523" s="39" t="n">
        <v>112.3</v>
      </c>
      <c r="V523" s="39" t="n">
        <f aca="false">J523*Resumo!$B$6</f>
        <v>0.64399</v>
      </c>
      <c r="W523" s="39" t="n">
        <f aca="false">J523*Resumo!$B$7</f>
        <v>1.28798</v>
      </c>
      <c r="X523" s="39" t="n">
        <f aca="false">Resumo!$B$9</f>
        <v>1</v>
      </c>
      <c r="Y523" s="39" t="n">
        <f aca="false">Resumo!$B$10*CEILING(I523/100,1)</f>
        <v>4.5</v>
      </c>
      <c r="Z523" s="39" t="n">
        <f aca="false">Resumo!$B$12*CEILING(I523,1)</f>
        <v>3.18</v>
      </c>
      <c r="AA523" s="39" t="n">
        <f aca="false">Resumo!$B$13*CEILING(I523,1)</f>
        <v>23.85</v>
      </c>
      <c r="AB523" s="39" t="n">
        <f aca="false">SUM(U523:AA523)</f>
        <v>146.76197</v>
      </c>
      <c r="AC523" s="39" t="n">
        <f aca="false">AB523/(1-Resumo!$B$5)</f>
        <v>166.774965909091</v>
      </c>
      <c r="AD523" s="39" t="n">
        <f aca="false">(AB523-AA523)/(1-Resumo!$B$5)</f>
        <v>139.672693181818</v>
      </c>
      <c r="AE523" s="39" t="n">
        <f aca="false">AC523-T523</f>
        <v>52.5400934090909</v>
      </c>
      <c r="AF523" s="40" t="n">
        <f aca="false">AC523/T523-1</f>
        <v>0.459930424565326</v>
      </c>
      <c r="AG523" s="37" t="str">
        <f aca="false">IF(AC523&lt;T523,"SIM","NÃO")</f>
        <v>NÃO</v>
      </c>
      <c r="AH523" s="37" t="n">
        <v>8</v>
      </c>
      <c r="AI523" s="37" t="n">
        <v>5</v>
      </c>
      <c r="AJ523" s="37" t="s">
        <v>323</v>
      </c>
    </row>
    <row r="524" customFormat="false" ht="15" hidden="false" customHeight="false" outlineLevel="0" collapsed="false">
      <c r="A524" s="37" t="n">
        <v>371220929</v>
      </c>
      <c r="B524" s="38" t="n">
        <v>46237.7338541667</v>
      </c>
      <c r="C524" s="37" t="s">
        <v>341</v>
      </c>
      <c r="D524" s="37" t="s">
        <v>838</v>
      </c>
      <c r="E524" s="37" t="n">
        <v>21512040</v>
      </c>
      <c r="F524" s="37" t="s">
        <v>139</v>
      </c>
      <c r="G524" s="37" t="s">
        <v>198</v>
      </c>
      <c r="H524" s="37" t="s">
        <v>168</v>
      </c>
      <c r="I524" s="37" t="n">
        <v>22.4</v>
      </c>
      <c r="J524" s="39" t="n">
        <v>424.99</v>
      </c>
      <c r="K524" s="37" t="s">
        <v>322</v>
      </c>
      <c r="L524" s="39" t="n">
        <v>82.36</v>
      </c>
      <c r="M524" s="39" t="n">
        <v>54.1</v>
      </c>
      <c r="N524" s="39" t="n">
        <f aca="false">J524*Resumo!$C$7</f>
        <v>0.84998</v>
      </c>
      <c r="O524" s="39" t="n">
        <f aca="false">J524*Resumo!$C$8</f>
        <v>0.84998</v>
      </c>
      <c r="P524" s="39" t="n">
        <f aca="false">Resumo!$C$10*CEILING(I524/100,1)</f>
        <v>1</v>
      </c>
      <c r="Q524" s="39" t="n">
        <f aca="false">Resumo!$C$9</f>
        <v>11.9</v>
      </c>
      <c r="R524" s="39" t="n">
        <f aca="false">SUM(M524:Q524)*Resumo!$C$11</f>
        <v>3.7784978</v>
      </c>
      <c r="S524" s="39" t="n">
        <f aca="false">SUM(M524:R524)</f>
        <v>72.4784578</v>
      </c>
      <c r="T524" s="39" t="n">
        <f aca="false">S524/(1-Resumo!$C$5)</f>
        <v>82.3618838636364</v>
      </c>
      <c r="U524" s="39" t="n">
        <v>82.21</v>
      </c>
      <c r="V524" s="39" t="n">
        <f aca="false">J524*Resumo!$B$6</f>
        <v>0.42499</v>
      </c>
      <c r="W524" s="39" t="n">
        <f aca="false">J524*Resumo!$B$7</f>
        <v>0.84998</v>
      </c>
      <c r="X524" s="39" t="n">
        <f aca="false">Resumo!$B$9</f>
        <v>1</v>
      </c>
      <c r="Y524" s="39" t="n">
        <f aca="false">Resumo!$B$10*CEILING(I524/100,1)</f>
        <v>4.5</v>
      </c>
      <c r="Z524" s="39" t="n">
        <f aca="false">Resumo!$B$12*CEILING(I524,1)</f>
        <v>1.38</v>
      </c>
      <c r="AA524" s="39" t="n">
        <f aca="false">Resumo!$B$13*CEILING(I524,1)</f>
        <v>10.35</v>
      </c>
      <c r="AB524" s="39" t="n">
        <f aca="false">SUM(U524:AA524)</f>
        <v>100.71497</v>
      </c>
      <c r="AC524" s="39" t="n">
        <f aca="false">AB524/(1-Resumo!$B$5)</f>
        <v>114.448829545455</v>
      </c>
      <c r="AD524" s="39" t="n">
        <f aca="false">(AB524-AA524)/(1-Resumo!$B$5)</f>
        <v>102.687465909091</v>
      </c>
      <c r="AE524" s="39" t="n">
        <f aca="false">AC524-T524</f>
        <v>32.0869456818182</v>
      </c>
      <c r="AF524" s="40" t="n">
        <f aca="false">AC524/T524-1</f>
        <v>0.389584892629986</v>
      </c>
      <c r="AG524" s="37" t="str">
        <f aca="false">IF(AC524&lt;T524,"SIM","NÃO")</f>
        <v>NÃO</v>
      </c>
      <c r="AH524" s="37" t="n">
        <v>8</v>
      </c>
      <c r="AI524" s="37" t="n">
        <v>5</v>
      </c>
      <c r="AJ524" s="37" t="s">
        <v>323</v>
      </c>
    </row>
    <row r="525" customFormat="false" ht="15" hidden="false" customHeight="false" outlineLevel="0" collapsed="false">
      <c r="A525" s="37" t="n">
        <v>371256422</v>
      </c>
      <c r="B525" s="38" t="n">
        <v>46237.7817476852</v>
      </c>
      <c r="C525" s="37" t="s">
        <v>320</v>
      </c>
      <c r="D525" s="37" t="s">
        <v>839</v>
      </c>
      <c r="E525" s="37" t="n">
        <v>22010050</v>
      </c>
      <c r="F525" s="37" t="s">
        <v>139</v>
      </c>
      <c r="G525" s="37" t="s">
        <v>198</v>
      </c>
      <c r="H525" s="37" t="s">
        <v>168</v>
      </c>
      <c r="I525" s="37" t="n">
        <v>27</v>
      </c>
      <c r="J525" s="39" t="n">
        <v>319.99</v>
      </c>
      <c r="K525" s="37" t="s">
        <v>322</v>
      </c>
      <c r="L525" s="39" t="n">
        <v>81.86</v>
      </c>
      <c r="M525" s="39" t="n">
        <v>54.1</v>
      </c>
      <c r="N525" s="39" t="n">
        <f aca="false">J525*Resumo!$C$7</f>
        <v>0.63998</v>
      </c>
      <c r="O525" s="39" t="n">
        <f aca="false">J525*Resumo!$C$8</f>
        <v>0.63998</v>
      </c>
      <c r="P525" s="39" t="n">
        <f aca="false">Resumo!$C$10*CEILING(I525/100,1)</f>
        <v>1</v>
      </c>
      <c r="Q525" s="39" t="n">
        <f aca="false">Resumo!$C$9</f>
        <v>11.9</v>
      </c>
      <c r="R525" s="39" t="n">
        <f aca="false">SUM(M525:Q525)*Resumo!$C$11</f>
        <v>3.7553978</v>
      </c>
      <c r="S525" s="39" t="n">
        <f aca="false">SUM(M525:R525)</f>
        <v>72.0353578</v>
      </c>
      <c r="T525" s="39" t="n">
        <f aca="false">S525/(1-Resumo!$C$5)</f>
        <v>81.8583611363636</v>
      </c>
      <c r="U525" s="39" t="n">
        <v>82.21</v>
      </c>
      <c r="V525" s="39" t="n">
        <f aca="false">J525*Resumo!$B$6</f>
        <v>0.31999</v>
      </c>
      <c r="W525" s="39" t="n">
        <f aca="false">J525*Resumo!$B$7</f>
        <v>0.63998</v>
      </c>
      <c r="X525" s="39" t="n">
        <f aca="false">Resumo!$B$9</f>
        <v>1</v>
      </c>
      <c r="Y525" s="39" t="n">
        <f aca="false">Resumo!$B$10*CEILING(I525/100,1)</f>
        <v>4.5</v>
      </c>
      <c r="Z525" s="39" t="n">
        <f aca="false">Resumo!$B$12*CEILING(I525,1)</f>
        <v>1.62</v>
      </c>
      <c r="AA525" s="39" t="n">
        <f aca="false">Resumo!$B$13*CEILING(I525,1)</f>
        <v>12.15</v>
      </c>
      <c r="AB525" s="39" t="n">
        <f aca="false">SUM(U525:AA525)</f>
        <v>102.43997</v>
      </c>
      <c r="AC525" s="39" t="n">
        <f aca="false">AB525/(1-Resumo!$B$5)</f>
        <v>116.409056818182</v>
      </c>
      <c r="AD525" s="39" t="n">
        <f aca="false">(AB525-AA525)/(1-Resumo!$B$5)</f>
        <v>102.602238636364</v>
      </c>
      <c r="AE525" s="39" t="n">
        <f aca="false">AC525-T525</f>
        <v>34.5506956818182</v>
      </c>
      <c r="AF525" s="40" t="n">
        <f aca="false">AC525/T525-1</f>
        <v>0.422079005762917</v>
      </c>
      <c r="AG525" s="37" t="str">
        <f aca="false">IF(AC525&lt;T525,"SIM","NÃO")</f>
        <v>NÃO</v>
      </c>
      <c r="AH525" s="37" t="n">
        <v>8</v>
      </c>
      <c r="AI525" s="37" t="n">
        <v>5</v>
      </c>
      <c r="AJ525" s="37" t="s">
        <v>323</v>
      </c>
    </row>
    <row r="526" customFormat="false" ht="15" hidden="false" customHeight="false" outlineLevel="0" collapsed="false">
      <c r="A526" s="37" t="n">
        <v>371249186</v>
      </c>
      <c r="B526" s="38" t="n">
        <v>46237.782650463</v>
      </c>
      <c r="C526" s="37" t="s">
        <v>341</v>
      </c>
      <c r="D526" s="37" t="s">
        <v>840</v>
      </c>
      <c r="E526" s="37" t="n">
        <v>20972010</v>
      </c>
      <c r="F526" s="37" t="s">
        <v>139</v>
      </c>
      <c r="G526" s="37" t="s">
        <v>198</v>
      </c>
      <c r="H526" s="37" t="s">
        <v>168</v>
      </c>
      <c r="I526" s="37" t="n">
        <v>22.4</v>
      </c>
      <c r="J526" s="39" t="n">
        <v>499.99</v>
      </c>
      <c r="K526" s="37" t="s">
        <v>322</v>
      </c>
      <c r="L526" s="39" t="n">
        <v>82.73</v>
      </c>
      <c r="M526" s="39" t="n">
        <v>54.1</v>
      </c>
      <c r="N526" s="39" t="n">
        <f aca="false">J526*Resumo!$C$7</f>
        <v>0.99998</v>
      </c>
      <c r="O526" s="39" t="n">
        <f aca="false">J526*Resumo!$C$8</f>
        <v>0.99998</v>
      </c>
      <c r="P526" s="39" t="n">
        <f aca="false">Resumo!$C$10*CEILING(I526/100,1)</f>
        <v>1</v>
      </c>
      <c r="Q526" s="39" t="n">
        <f aca="false">Resumo!$C$9</f>
        <v>11.9</v>
      </c>
      <c r="R526" s="39" t="n">
        <f aca="false">SUM(M526:Q526)*Resumo!$C$11</f>
        <v>3.7949978</v>
      </c>
      <c r="S526" s="39" t="n">
        <f aca="false">SUM(M526:R526)</f>
        <v>72.7949578</v>
      </c>
      <c r="T526" s="39" t="n">
        <f aca="false">S526/(1-Resumo!$C$5)</f>
        <v>82.7215429545455</v>
      </c>
      <c r="U526" s="39" t="n">
        <v>82.21</v>
      </c>
      <c r="V526" s="39" t="n">
        <f aca="false">J526*Resumo!$B$6</f>
        <v>0.49999</v>
      </c>
      <c r="W526" s="39" t="n">
        <f aca="false">J526*Resumo!$B$7</f>
        <v>0.99998</v>
      </c>
      <c r="X526" s="39" t="n">
        <f aca="false">Resumo!$B$9</f>
        <v>1</v>
      </c>
      <c r="Y526" s="39" t="n">
        <f aca="false">Resumo!$B$10*CEILING(I526/100,1)</f>
        <v>4.5</v>
      </c>
      <c r="Z526" s="39" t="n">
        <f aca="false">Resumo!$B$12*CEILING(I526,1)</f>
        <v>1.38</v>
      </c>
      <c r="AA526" s="39" t="n">
        <f aca="false">Resumo!$B$13*CEILING(I526,1)</f>
        <v>10.35</v>
      </c>
      <c r="AB526" s="39" t="n">
        <f aca="false">SUM(U526:AA526)</f>
        <v>100.93997</v>
      </c>
      <c r="AC526" s="39" t="n">
        <f aca="false">AB526/(1-Resumo!$B$5)</f>
        <v>114.704511363636</v>
      </c>
      <c r="AD526" s="39" t="n">
        <f aca="false">(AB526-AA526)/(1-Resumo!$B$5)</f>
        <v>102.943147727273</v>
      </c>
      <c r="AE526" s="39" t="n">
        <f aca="false">AC526-T526</f>
        <v>31.9829684090909</v>
      </c>
      <c r="AF526" s="40" t="n">
        <f aca="false">AC526/T526-1</f>
        <v>0.386634089098957</v>
      </c>
      <c r="AG526" s="37" t="str">
        <f aca="false">IF(AC526&lt;T526,"SIM","NÃO")</f>
        <v>NÃO</v>
      </c>
      <c r="AH526" s="37" t="n">
        <v>8</v>
      </c>
      <c r="AI526" s="37" t="n">
        <v>5</v>
      </c>
      <c r="AJ526" s="37" t="s">
        <v>323</v>
      </c>
    </row>
    <row r="527" customFormat="false" ht="15" hidden="false" customHeight="false" outlineLevel="0" collapsed="false">
      <c r="A527" s="37" t="n">
        <v>371258792</v>
      </c>
      <c r="B527" s="38" t="n">
        <v>46237.7850694444</v>
      </c>
      <c r="C527" s="37" t="s">
        <v>320</v>
      </c>
      <c r="D527" s="37" t="s">
        <v>841</v>
      </c>
      <c r="E527" s="37" t="n">
        <v>20930430</v>
      </c>
      <c r="F527" s="37" t="s">
        <v>139</v>
      </c>
      <c r="G527" s="37" t="s">
        <v>198</v>
      </c>
      <c r="H527" s="37" t="s">
        <v>171</v>
      </c>
      <c r="I527" s="37" t="n">
        <v>52.3</v>
      </c>
      <c r="J527" s="39" t="n">
        <v>699.99</v>
      </c>
      <c r="K527" s="37" t="s">
        <v>498</v>
      </c>
      <c r="L527" s="39" t="n">
        <v>113.63</v>
      </c>
      <c r="M527" s="39" t="n">
        <v>79.81</v>
      </c>
      <c r="N527" s="39" t="n">
        <f aca="false">J527*Resumo!$C$7</f>
        <v>1.39998</v>
      </c>
      <c r="O527" s="39" t="n">
        <f aca="false">J527*Resumo!$C$8</f>
        <v>1.39998</v>
      </c>
      <c r="P527" s="39" t="n">
        <f aca="false">Resumo!$C$10*CEILING(I527/100,1)</f>
        <v>1</v>
      </c>
      <c r="Q527" s="39" t="n">
        <f aca="false">Resumo!$C$9</f>
        <v>11.9</v>
      </c>
      <c r="R527" s="39" t="n">
        <f aca="false">SUM(M527:Q527)*Resumo!$C$11</f>
        <v>5.2530478</v>
      </c>
      <c r="S527" s="39" t="n">
        <f aca="false">SUM(M527:R527)</f>
        <v>100.7630078</v>
      </c>
      <c r="T527" s="39" t="n">
        <f aca="false">S527/(1-Resumo!$C$5)</f>
        <v>114.503417954545</v>
      </c>
      <c r="U527" s="39" t="n">
        <v>112.3</v>
      </c>
      <c r="V527" s="39" t="n">
        <f aca="false">J527*Resumo!$B$6</f>
        <v>0.69999</v>
      </c>
      <c r="W527" s="39" t="n">
        <f aca="false">J527*Resumo!$B$7</f>
        <v>1.39998</v>
      </c>
      <c r="X527" s="39" t="n">
        <f aca="false">Resumo!$B$9</f>
        <v>1</v>
      </c>
      <c r="Y527" s="39" t="n">
        <f aca="false">Resumo!$B$10*CEILING(I527/100,1)</f>
        <v>4.5</v>
      </c>
      <c r="Z527" s="39" t="n">
        <f aca="false">Resumo!$B$12*CEILING(I527,1)</f>
        <v>3.18</v>
      </c>
      <c r="AA527" s="39" t="n">
        <f aca="false">Resumo!$B$13*CEILING(I527,1)</f>
        <v>23.85</v>
      </c>
      <c r="AB527" s="39" t="n">
        <f aca="false">SUM(U527:AA527)</f>
        <v>146.92997</v>
      </c>
      <c r="AC527" s="39" t="n">
        <f aca="false">AB527/(1-Resumo!$B$5)</f>
        <v>166.965875</v>
      </c>
      <c r="AD527" s="39" t="n">
        <f aca="false">(AB527-AA527)/(1-Resumo!$B$5)</f>
        <v>139.863602272727</v>
      </c>
      <c r="AE527" s="39" t="n">
        <f aca="false">AC527-T527</f>
        <v>52.4624570454545</v>
      </c>
      <c r="AF527" s="40" t="n">
        <f aca="false">AC527/T527-1</f>
        <v>0.458173720772952</v>
      </c>
      <c r="AG527" s="37" t="str">
        <f aca="false">IF(AC527&lt;T527,"SIM","NÃO")</f>
        <v>NÃO</v>
      </c>
      <c r="AH527" s="37" t="n">
        <v>8</v>
      </c>
      <c r="AI527" s="37" t="n">
        <v>5</v>
      </c>
      <c r="AJ527" s="37" t="s">
        <v>323</v>
      </c>
    </row>
    <row r="528" customFormat="false" ht="15" hidden="false" customHeight="false" outlineLevel="0" collapsed="false">
      <c r="A528" s="37" t="n">
        <v>371265344</v>
      </c>
      <c r="B528" s="38" t="n">
        <v>46237.7951967593</v>
      </c>
      <c r="C528" s="37" t="s">
        <v>325</v>
      </c>
      <c r="D528" s="37" t="s">
        <v>842</v>
      </c>
      <c r="E528" s="37" t="n">
        <v>21862170</v>
      </c>
      <c r="F528" s="37" t="s">
        <v>139</v>
      </c>
      <c r="G528" s="37" t="s">
        <v>198</v>
      </c>
      <c r="H528" s="37" t="s">
        <v>169</v>
      </c>
      <c r="I528" s="37" t="n">
        <v>36.8</v>
      </c>
      <c r="J528" s="39" t="n">
        <v>431.09</v>
      </c>
      <c r="K528" s="37" t="s">
        <v>322</v>
      </c>
      <c r="L528" s="39" t="n">
        <v>91.92</v>
      </c>
      <c r="M528" s="39" t="n">
        <v>62.05</v>
      </c>
      <c r="N528" s="39" t="n">
        <f aca="false">J528*Resumo!$C$7</f>
        <v>0.86218</v>
      </c>
      <c r="O528" s="39" t="n">
        <f aca="false">J528*Resumo!$C$8</f>
        <v>0.86218</v>
      </c>
      <c r="P528" s="39" t="n">
        <f aca="false">Resumo!$C$10*CEILING(I528/100,1)</f>
        <v>1</v>
      </c>
      <c r="Q528" s="39" t="n">
        <f aca="false">Resumo!$C$9</f>
        <v>11.9</v>
      </c>
      <c r="R528" s="39" t="n">
        <f aca="false">SUM(M528:Q528)*Resumo!$C$11</f>
        <v>4.2170898</v>
      </c>
      <c r="S528" s="39" t="n">
        <f aca="false">SUM(M528:R528)</f>
        <v>80.8914498</v>
      </c>
      <c r="T528" s="39" t="n">
        <f aca="false">S528/(1-Resumo!$C$5)</f>
        <v>91.9221020454545</v>
      </c>
      <c r="U528" s="39" t="n">
        <v>93.97</v>
      </c>
      <c r="V528" s="39" t="n">
        <f aca="false">J528*Resumo!$B$6</f>
        <v>0.43109</v>
      </c>
      <c r="W528" s="39" t="n">
        <f aca="false">J528*Resumo!$B$7</f>
        <v>0.86218</v>
      </c>
      <c r="X528" s="39" t="n">
        <f aca="false">Resumo!$B$9</f>
        <v>1</v>
      </c>
      <c r="Y528" s="39" t="n">
        <f aca="false">Resumo!$B$10*CEILING(I528/100,1)</f>
        <v>4.5</v>
      </c>
      <c r="Z528" s="39" t="n">
        <f aca="false">Resumo!$B$12*CEILING(I528,1)</f>
        <v>2.22</v>
      </c>
      <c r="AA528" s="39" t="n">
        <f aca="false">Resumo!$B$13*CEILING(I528,1)</f>
        <v>16.65</v>
      </c>
      <c r="AB528" s="39" t="n">
        <f aca="false">SUM(U528:AA528)</f>
        <v>119.63327</v>
      </c>
      <c r="AC528" s="39" t="n">
        <f aca="false">AB528/(1-Resumo!$B$5)</f>
        <v>135.946897727273</v>
      </c>
      <c r="AD528" s="39" t="n">
        <f aca="false">(AB528-AA528)/(1-Resumo!$B$5)</f>
        <v>117.026443181818</v>
      </c>
      <c r="AE528" s="39" t="n">
        <f aca="false">AC528-T528</f>
        <v>44.0247956818182</v>
      </c>
      <c r="AF528" s="40" t="n">
        <f aca="false">AC528/T528-1</f>
        <v>0.478935910974364</v>
      </c>
      <c r="AG528" s="37" t="str">
        <f aca="false">IF(AC528&lt;T528,"SIM","NÃO")</f>
        <v>NÃO</v>
      </c>
      <c r="AH528" s="37" t="n">
        <v>8</v>
      </c>
      <c r="AI528" s="37" t="n">
        <v>5</v>
      </c>
      <c r="AJ528" s="37" t="s">
        <v>323</v>
      </c>
    </row>
    <row r="529" customFormat="false" ht="15" hidden="false" customHeight="false" outlineLevel="0" collapsed="false">
      <c r="A529" s="37" t="n">
        <v>371276117</v>
      </c>
      <c r="B529" s="38" t="n">
        <v>46237.81375</v>
      </c>
      <c r="C529" s="37" t="s">
        <v>320</v>
      </c>
      <c r="D529" s="37" t="s">
        <v>843</v>
      </c>
      <c r="E529" s="37" t="n">
        <v>21361470</v>
      </c>
      <c r="F529" s="37" t="s">
        <v>139</v>
      </c>
      <c r="G529" s="37" t="s">
        <v>198</v>
      </c>
      <c r="H529" s="37" t="s">
        <v>167</v>
      </c>
      <c r="I529" s="37" t="n">
        <v>11</v>
      </c>
      <c r="J529" s="39" t="n">
        <v>449.99</v>
      </c>
      <c r="K529" s="37" t="s">
        <v>322</v>
      </c>
      <c r="L529" s="39" t="n">
        <v>65.37</v>
      </c>
      <c r="M529" s="39" t="n">
        <v>39.83</v>
      </c>
      <c r="N529" s="39" t="n">
        <f aca="false">J529*Resumo!$C$7</f>
        <v>0.89998</v>
      </c>
      <c r="O529" s="39" t="n">
        <f aca="false">J529*Resumo!$C$8</f>
        <v>0.89998</v>
      </c>
      <c r="P529" s="39" t="n">
        <f aca="false">Resumo!$C$10*CEILING(I529/100,1)</f>
        <v>1</v>
      </c>
      <c r="Q529" s="39" t="n">
        <f aca="false">Resumo!$C$9</f>
        <v>11.9</v>
      </c>
      <c r="R529" s="39" t="n">
        <f aca="false">SUM(M529:Q529)*Resumo!$C$11</f>
        <v>2.9991478</v>
      </c>
      <c r="S529" s="39" t="n">
        <f aca="false">SUM(M529:R529)</f>
        <v>57.5291078</v>
      </c>
      <c r="T529" s="39" t="n">
        <f aca="false">S529/(1-Resumo!$C$5)</f>
        <v>65.3739861363636</v>
      </c>
      <c r="U529" s="39" t="n">
        <v>46.98</v>
      </c>
      <c r="V529" s="39" t="n">
        <f aca="false">J529*Resumo!$B$6</f>
        <v>0.44999</v>
      </c>
      <c r="W529" s="39" t="n">
        <f aca="false">J529*Resumo!$B$7</f>
        <v>0.89998</v>
      </c>
      <c r="X529" s="39" t="n">
        <f aca="false">Resumo!$B$9</f>
        <v>1</v>
      </c>
      <c r="Y529" s="39" t="n">
        <f aca="false">Resumo!$B$10*CEILING(I529/100,1)</f>
        <v>4.5</v>
      </c>
      <c r="Z529" s="39" t="n">
        <f aca="false">Resumo!$B$12*CEILING(I529,1)</f>
        <v>0.66</v>
      </c>
      <c r="AA529" s="39" t="n">
        <f aca="false">Resumo!$B$13*CEILING(I529,1)</f>
        <v>4.95</v>
      </c>
      <c r="AB529" s="39" t="n">
        <f aca="false">SUM(U529:AA529)</f>
        <v>59.43997</v>
      </c>
      <c r="AC529" s="39" t="n">
        <f aca="false">AB529/(1-Resumo!$B$5)</f>
        <v>67.5454204545455</v>
      </c>
      <c r="AD529" s="39" t="n">
        <f aca="false">(AB529-AA529)/(1-Resumo!$B$5)</f>
        <v>61.9204204545455</v>
      </c>
      <c r="AE529" s="39" t="n">
        <f aca="false">AC529-T529</f>
        <v>2.17143431818181</v>
      </c>
      <c r="AF529" s="40" t="n">
        <f aca="false">AC529/T529-1</f>
        <v>0.0332155716136449</v>
      </c>
      <c r="AG529" s="37" t="str">
        <f aca="false">IF(AC529&lt;T529,"SIM","NÃO")</f>
        <v>NÃO</v>
      </c>
      <c r="AH529" s="37" t="n">
        <v>8</v>
      </c>
      <c r="AI529" s="37" t="n">
        <v>5</v>
      </c>
      <c r="AJ529" s="37" t="s">
        <v>323</v>
      </c>
    </row>
    <row r="530" customFormat="false" ht="15" hidden="false" customHeight="false" outlineLevel="0" collapsed="false">
      <c r="A530" s="37" t="n">
        <v>371298446</v>
      </c>
      <c r="B530" s="38" t="n">
        <v>46237.8548148148</v>
      </c>
      <c r="C530" s="37" t="s">
        <v>325</v>
      </c>
      <c r="D530" s="37" t="s">
        <v>844</v>
      </c>
      <c r="E530" s="37" t="n">
        <v>24342805</v>
      </c>
      <c r="F530" s="37" t="s">
        <v>143</v>
      </c>
      <c r="G530" s="37" t="s">
        <v>207</v>
      </c>
      <c r="H530" s="37" t="s">
        <v>172</v>
      </c>
      <c r="I530" s="37" t="n">
        <v>62.8</v>
      </c>
      <c r="J530" s="39" t="n">
        <v>719.08</v>
      </c>
      <c r="K530" s="37" t="s">
        <v>322</v>
      </c>
      <c r="L530" s="39" t="n">
        <v>139.89</v>
      </c>
      <c r="M530" s="39" t="n">
        <v>100.9</v>
      </c>
      <c r="N530" s="39" t="n">
        <f aca="false">J530*Resumo!$C$7</f>
        <v>1.43816</v>
      </c>
      <c r="O530" s="39" t="n">
        <f aca="false">J530*Resumo!$C$8</f>
        <v>1.43816</v>
      </c>
      <c r="P530" s="39" t="n">
        <f aca="false">Resumo!$C$10*CEILING(I530/100,1)</f>
        <v>1</v>
      </c>
      <c r="Q530" s="39" t="n">
        <f aca="false">Resumo!$C$9</f>
        <v>11.9</v>
      </c>
      <c r="R530" s="39" t="n">
        <f aca="false">SUM(M530:Q530)*Resumo!$C$11</f>
        <v>6.4171976</v>
      </c>
      <c r="S530" s="39" t="n">
        <f aca="false">SUM(M530:R530)</f>
        <v>123.0935176</v>
      </c>
      <c r="T530" s="39" t="n">
        <f aca="false">S530/(1-Resumo!$C$5)</f>
        <v>139.878997272727</v>
      </c>
      <c r="U530" s="39" t="n">
        <v>149.5</v>
      </c>
      <c r="V530" s="39" t="n">
        <f aca="false">J530*Resumo!$B$6</f>
        <v>0.71908</v>
      </c>
      <c r="W530" s="39" t="n">
        <f aca="false">J530*Resumo!$B$7</f>
        <v>1.43816</v>
      </c>
      <c r="X530" s="39" t="n">
        <f aca="false">Resumo!$B$9</f>
        <v>1</v>
      </c>
      <c r="Y530" s="39" t="n">
        <f aca="false">Resumo!$B$10*CEILING(I530/100,1)</f>
        <v>4.5</v>
      </c>
      <c r="Z530" s="39" t="n">
        <f aca="false">Resumo!$B$12*CEILING(I530,1)</f>
        <v>3.78</v>
      </c>
      <c r="AA530" s="39" t="n">
        <f aca="false">Resumo!$B$13*CEILING(I530,1)</f>
        <v>28.35</v>
      </c>
      <c r="AB530" s="39" t="n">
        <f aca="false">SUM(U530:AA530)</f>
        <v>189.28724</v>
      </c>
      <c r="AC530" s="39" t="n">
        <f aca="false">AB530/(1-Resumo!$B$5)</f>
        <v>215.099136363636</v>
      </c>
      <c r="AD530" s="39" t="n">
        <f aca="false">(AB530-AA530)/(1-Resumo!$B$5)</f>
        <v>182.883227272727</v>
      </c>
      <c r="AE530" s="39" t="n">
        <f aca="false">AC530-T530</f>
        <v>75.2201390909091</v>
      </c>
      <c r="AF530" s="40" t="n">
        <f aca="false">AC530/T530-1</f>
        <v>0.537751489197836</v>
      </c>
      <c r="AG530" s="37" t="str">
        <f aca="false">IF(AC530&lt;T530,"SIM","NÃO")</f>
        <v>NÃO</v>
      </c>
      <c r="AH530" s="37" t="n">
        <v>10</v>
      </c>
      <c r="AI530" s="37" t="n">
        <v>7</v>
      </c>
      <c r="AJ530" s="37" t="s">
        <v>323</v>
      </c>
    </row>
    <row r="531" customFormat="false" ht="15" hidden="false" customHeight="false" outlineLevel="0" collapsed="false">
      <c r="A531" s="37" t="n">
        <v>371300471</v>
      </c>
      <c r="B531" s="38" t="n">
        <v>46237.8583564815</v>
      </c>
      <c r="C531" s="37" t="s">
        <v>320</v>
      </c>
      <c r="D531" s="37" t="s">
        <v>845</v>
      </c>
      <c r="E531" s="37" t="n">
        <v>24802695</v>
      </c>
      <c r="F531" s="37" t="s">
        <v>154</v>
      </c>
      <c r="G531" s="37" t="s">
        <v>201</v>
      </c>
      <c r="H531" s="37" t="s">
        <v>171</v>
      </c>
      <c r="I531" s="37" t="n">
        <v>51.06</v>
      </c>
      <c r="J531" s="39" t="n">
        <v>749.99</v>
      </c>
      <c r="K531" s="37" t="s">
        <v>498</v>
      </c>
      <c r="L531" s="39" t="n">
        <v>141.73</v>
      </c>
      <c r="M531" s="39" t="n">
        <v>103.6</v>
      </c>
      <c r="N531" s="39" t="n">
        <f aca="false">J531*Resumo!$C$7</f>
        <v>1.49998</v>
      </c>
      <c r="O531" s="39" t="n">
        <f aca="false">J531*Resumo!$C$8</f>
        <v>1.49998</v>
      </c>
      <c r="P531" s="39" t="n">
        <f aca="false">Resumo!$C$10*CEILING(I531/100,1)</f>
        <v>1</v>
      </c>
      <c r="Q531" s="39" t="n">
        <f aca="false">Resumo!$C$9</f>
        <v>11.9</v>
      </c>
      <c r="R531" s="39" t="n">
        <f aca="false">SUM(M531:Q531)*Resumo!$C$11</f>
        <v>6.5724978</v>
      </c>
      <c r="S531" s="39" t="n">
        <f aca="false">SUM(M531:R531)</f>
        <v>126.0724578</v>
      </c>
      <c r="T531" s="39" t="n">
        <f aca="false">S531/(1-Resumo!$C$5)</f>
        <v>143.264156590909</v>
      </c>
      <c r="U531" s="39" t="n">
        <v>128.14</v>
      </c>
      <c r="V531" s="39" t="n">
        <f aca="false">J531*Resumo!$B$6</f>
        <v>0.74999</v>
      </c>
      <c r="W531" s="39" t="n">
        <f aca="false">J531*Resumo!$B$7</f>
        <v>1.49998</v>
      </c>
      <c r="X531" s="39" t="n">
        <f aca="false">Resumo!$B$9</f>
        <v>1</v>
      </c>
      <c r="Y531" s="39" t="n">
        <f aca="false">Resumo!$B$10*CEILING(I531/100,1)</f>
        <v>4.5</v>
      </c>
      <c r="Z531" s="39" t="n">
        <f aca="false">Resumo!$B$12*CEILING(I531,1)</f>
        <v>3.12</v>
      </c>
      <c r="AA531" s="39" t="n">
        <f aca="false">Resumo!$B$13*CEILING(I531,1)</f>
        <v>23.4</v>
      </c>
      <c r="AB531" s="39" t="n">
        <f aca="false">SUM(U531:AA531)</f>
        <v>162.40997</v>
      </c>
      <c r="AC531" s="39" t="n">
        <f aca="false">AB531/(1-Resumo!$B$5)</f>
        <v>184.556784090909</v>
      </c>
      <c r="AD531" s="39" t="n">
        <f aca="false">(AB531-AA531)/(1-Resumo!$B$5)</f>
        <v>157.965875</v>
      </c>
      <c r="AE531" s="39" t="n">
        <f aca="false">AC531-T531</f>
        <v>41.2926275</v>
      </c>
      <c r="AF531" s="40" t="n">
        <f aca="false">AC531/T531-1</f>
        <v>0.288227205482465</v>
      </c>
      <c r="AG531" s="37" t="str">
        <f aca="false">IF(AC531&lt;T531,"SIM","NÃO")</f>
        <v>NÃO</v>
      </c>
      <c r="AH531" s="37" t="n">
        <v>13</v>
      </c>
      <c r="AI531" s="37" t="n">
        <v>7</v>
      </c>
      <c r="AJ531" s="37" t="s">
        <v>323</v>
      </c>
    </row>
    <row r="532" customFormat="false" ht="15" hidden="false" customHeight="false" outlineLevel="0" collapsed="false">
      <c r="A532" s="37" t="n">
        <v>371301922</v>
      </c>
      <c r="B532" s="38" t="n">
        <v>46237.8604976852</v>
      </c>
      <c r="C532" s="37" t="s">
        <v>320</v>
      </c>
      <c r="D532" s="37" t="s">
        <v>466</v>
      </c>
      <c r="E532" s="37" t="n">
        <v>22765240</v>
      </c>
      <c r="F532" s="37" t="s">
        <v>139</v>
      </c>
      <c r="G532" s="37" t="s">
        <v>198</v>
      </c>
      <c r="H532" s="37" t="s">
        <v>172</v>
      </c>
      <c r="I532" s="37" t="n">
        <v>67.2</v>
      </c>
      <c r="J532" s="39" t="n">
        <v>1469.97</v>
      </c>
      <c r="K532" s="37" t="s">
        <v>322</v>
      </c>
      <c r="L532" s="39" t="n">
        <v>128.25</v>
      </c>
      <c r="M532" s="39" t="n">
        <v>88.2</v>
      </c>
      <c r="N532" s="39" t="n">
        <f aca="false">J532*Resumo!$C$7</f>
        <v>2.93994</v>
      </c>
      <c r="O532" s="39" t="n">
        <f aca="false">J532*Resumo!$C$8</f>
        <v>2.93994</v>
      </c>
      <c r="P532" s="39" t="n">
        <f aca="false">Resumo!$C$10*CEILING(I532/100,1)</f>
        <v>1</v>
      </c>
      <c r="Q532" s="39" t="n">
        <f aca="false">Resumo!$C$9</f>
        <v>11.9</v>
      </c>
      <c r="R532" s="39" t="n">
        <f aca="false">SUM(M532:Q532)*Resumo!$C$11</f>
        <v>5.8838934</v>
      </c>
      <c r="S532" s="39" t="n">
        <f aca="false">SUM(M532:R532)</f>
        <v>112.8637734</v>
      </c>
      <c r="T532" s="39" t="n">
        <f aca="false">S532/(1-Resumo!$C$5)</f>
        <v>128.254287954545</v>
      </c>
      <c r="U532" s="39" t="n">
        <v>131.02</v>
      </c>
      <c r="V532" s="39" t="n">
        <f aca="false">J532*Resumo!$B$6</f>
        <v>1.46997</v>
      </c>
      <c r="W532" s="39" t="n">
        <f aca="false">J532*Resumo!$B$7</f>
        <v>2.93994</v>
      </c>
      <c r="X532" s="39" t="n">
        <f aca="false">Resumo!$B$9</f>
        <v>1</v>
      </c>
      <c r="Y532" s="39" t="n">
        <f aca="false">Resumo!$B$10*CEILING(I532/100,1)</f>
        <v>4.5</v>
      </c>
      <c r="Z532" s="39" t="n">
        <f aca="false">Resumo!$B$12*CEILING(I532,1)</f>
        <v>4.08</v>
      </c>
      <c r="AA532" s="39" t="n">
        <f aca="false">Resumo!$B$13*CEILING(I532,1)</f>
        <v>30.6</v>
      </c>
      <c r="AB532" s="39" t="n">
        <f aca="false">SUM(U532:AA532)</f>
        <v>175.60991</v>
      </c>
      <c r="AC532" s="39" t="n">
        <f aca="false">AB532/(1-Resumo!$B$5)</f>
        <v>199.556715909091</v>
      </c>
      <c r="AD532" s="39" t="n">
        <f aca="false">(AB532-AA532)/(1-Resumo!$B$5)</f>
        <v>164.783988636364</v>
      </c>
      <c r="AE532" s="39" t="n">
        <f aca="false">AC532-T532</f>
        <v>71.3024279545454</v>
      </c>
      <c r="AF532" s="40" t="n">
        <f aca="false">AC532/T532-1</f>
        <v>0.555945762841206</v>
      </c>
      <c r="AG532" s="37" t="str">
        <f aca="false">IF(AC532&lt;T532,"SIM","NÃO")</f>
        <v>NÃO</v>
      </c>
      <c r="AH532" s="37" t="n">
        <v>8</v>
      </c>
      <c r="AI532" s="37" t="n">
        <v>5</v>
      </c>
      <c r="AJ532" s="37" t="s">
        <v>323</v>
      </c>
    </row>
    <row r="533" customFormat="false" ht="15" hidden="false" customHeight="false" outlineLevel="0" collapsed="false">
      <c r="A533" s="37" t="n">
        <v>371302709</v>
      </c>
      <c r="B533" s="38" t="n">
        <v>46237.8618287037</v>
      </c>
      <c r="C533" s="37" t="s">
        <v>325</v>
      </c>
      <c r="D533" s="37" t="s">
        <v>846</v>
      </c>
      <c r="E533" s="37" t="n">
        <v>23835005</v>
      </c>
      <c r="F533" s="37" t="s">
        <v>200</v>
      </c>
      <c r="G533" s="37" t="s">
        <v>201</v>
      </c>
      <c r="H533" s="37" t="s">
        <v>171</v>
      </c>
      <c r="I533" s="37" t="n">
        <v>52.3</v>
      </c>
      <c r="J533" s="39" t="n">
        <v>642.07</v>
      </c>
      <c r="K533" s="37" t="s">
        <v>498</v>
      </c>
      <c r="L533" s="39" t="n">
        <v>141.74</v>
      </c>
      <c r="M533" s="39" t="n">
        <v>103.6</v>
      </c>
      <c r="N533" s="39" t="n">
        <f aca="false">J533*Resumo!$C$7</f>
        <v>1.28414</v>
      </c>
      <c r="O533" s="39" t="n">
        <f aca="false">J533*Resumo!$C$8</f>
        <v>1.28414</v>
      </c>
      <c r="P533" s="39" t="n">
        <f aca="false">Resumo!$C$10*CEILING(I533/100,1)</f>
        <v>1</v>
      </c>
      <c r="Q533" s="39" t="n">
        <f aca="false">Resumo!$C$9</f>
        <v>11.9</v>
      </c>
      <c r="R533" s="39" t="n">
        <f aca="false">SUM(M533:Q533)*Resumo!$C$11</f>
        <v>6.5487554</v>
      </c>
      <c r="S533" s="39" t="n">
        <f aca="false">SUM(M533:R533)</f>
        <v>125.6170354</v>
      </c>
      <c r="T533" s="39" t="n">
        <f aca="false">S533/(1-Resumo!$C$5)</f>
        <v>142.746631136364</v>
      </c>
      <c r="U533" s="39" t="n">
        <v>122.3</v>
      </c>
      <c r="V533" s="39" t="n">
        <f aca="false">J533*Resumo!$B$6</f>
        <v>0.64207</v>
      </c>
      <c r="W533" s="39" t="n">
        <f aca="false">J533*Resumo!$B$7</f>
        <v>1.28414</v>
      </c>
      <c r="X533" s="39" t="n">
        <f aca="false">Resumo!$B$9</f>
        <v>1</v>
      </c>
      <c r="Y533" s="39" t="n">
        <f aca="false">Resumo!$B$10*CEILING(I533/100,1)</f>
        <v>4.5</v>
      </c>
      <c r="Z533" s="39" t="n">
        <f aca="false">Resumo!$B$12*CEILING(I533,1)</f>
        <v>3.18</v>
      </c>
      <c r="AA533" s="39" t="n">
        <f aca="false">Resumo!$B$13*CEILING(I533,1)</f>
        <v>23.85</v>
      </c>
      <c r="AB533" s="39" t="n">
        <f aca="false">SUM(U533:AA533)</f>
        <v>156.75621</v>
      </c>
      <c r="AC533" s="39" t="n">
        <f aca="false">AB533/(1-Resumo!$B$5)</f>
        <v>178.132056818182</v>
      </c>
      <c r="AD533" s="39" t="n">
        <f aca="false">(AB533-AA533)/(1-Resumo!$B$5)</f>
        <v>151.029784090909</v>
      </c>
      <c r="AE533" s="39" t="n">
        <f aca="false">AC533-T533</f>
        <v>35.3854256818182</v>
      </c>
      <c r="AF533" s="40" t="n">
        <f aca="false">AC533/T533-1</f>
        <v>0.24788974282703</v>
      </c>
      <c r="AG533" s="37" t="str">
        <f aca="false">IF(AC533&lt;T533,"SIM","NÃO")</f>
        <v>NÃO</v>
      </c>
      <c r="AH533" s="37" t="n">
        <v>13</v>
      </c>
      <c r="AI533" s="37" t="n">
        <v>5</v>
      </c>
      <c r="AJ533" s="37" t="s">
        <v>327</v>
      </c>
    </row>
    <row r="534" customFormat="false" ht="15" hidden="false" customHeight="false" outlineLevel="0" collapsed="false">
      <c r="A534" s="37" t="n">
        <v>371324721</v>
      </c>
      <c r="B534" s="38" t="n">
        <v>46237.9004282407</v>
      </c>
      <c r="C534" s="37" t="s">
        <v>325</v>
      </c>
      <c r="D534" s="37" t="s">
        <v>847</v>
      </c>
      <c r="E534" s="37" t="n">
        <v>21832150</v>
      </c>
      <c r="F534" s="37" t="s">
        <v>139</v>
      </c>
      <c r="G534" s="37" t="s">
        <v>198</v>
      </c>
      <c r="H534" s="37" t="s">
        <v>168</v>
      </c>
      <c r="I534" s="37" t="n">
        <v>33</v>
      </c>
      <c r="J534" s="39" t="n">
        <v>468.7</v>
      </c>
      <c r="K534" s="37" t="s">
        <v>322</v>
      </c>
      <c r="L534" s="39" t="n">
        <v>82.58</v>
      </c>
      <c r="M534" s="39" t="n">
        <v>54.1</v>
      </c>
      <c r="N534" s="39" t="n">
        <f aca="false">J534*Resumo!$C$7</f>
        <v>0.9374</v>
      </c>
      <c r="O534" s="39" t="n">
        <f aca="false">J534*Resumo!$C$8</f>
        <v>0.9374</v>
      </c>
      <c r="P534" s="39" t="n">
        <f aca="false">Resumo!$C$10*CEILING(I534/100,1)</f>
        <v>1</v>
      </c>
      <c r="Q534" s="39" t="n">
        <f aca="false">Resumo!$C$9</f>
        <v>11.9</v>
      </c>
      <c r="R534" s="39" t="n">
        <f aca="false">SUM(M534:Q534)*Resumo!$C$11</f>
        <v>3.788114</v>
      </c>
      <c r="S534" s="39" t="n">
        <f aca="false">SUM(M534:R534)</f>
        <v>72.662914</v>
      </c>
      <c r="T534" s="39" t="n">
        <f aca="false">S534/(1-Resumo!$C$5)</f>
        <v>82.5714931818182</v>
      </c>
      <c r="U534" s="39" t="n">
        <v>82.21</v>
      </c>
      <c r="V534" s="39" t="n">
        <f aca="false">J534*Resumo!$B$6</f>
        <v>0.4687</v>
      </c>
      <c r="W534" s="39" t="n">
        <f aca="false">J534*Resumo!$B$7</f>
        <v>0.9374</v>
      </c>
      <c r="X534" s="39" t="n">
        <f aca="false">Resumo!$B$9</f>
        <v>1</v>
      </c>
      <c r="Y534" s="39" t="n">
        <f aca="false">Resumo!$B$10*CEILING(I534/100,1)</f>
        <v>4.5</v>
      </c>
      <c r="Z534" s="39" t="n">
        <f aca="false">Resumo!$B$12*CEILING(I534,1)</f>
        <v>1.98</v>
      </c>
      <c r="AA534" s="39" t="n">
        <f aca="false">Resumo!$B$13*CEILING(I534,1)</f>
        <v>14.85</v>
      </c>
      <c r="AB534" s="39" t="n">
        <f aca="false">SUM(U534:AA534)</f>
        <v>105.9461</v>
      </c>
      <c r="AC534" s="39" t="n">
        <f aca="false">AB534/(1-Resumo!$B$5)</f>
        <v>120.393295454545</v>
      </c>
      <c r="AD534" s="39" t="n">
        <f aca="false">(AB534-AA534)/(1-Resumo!$B$5)</f>
        <v>103.518295454545</v>
      </c>
      <c r="AE534" s="39" t="n">
        <f aca="false">AC534-T534</f>
        <v>37.8218022727272</v>
      </c>
      <c r="AF534" s="40" t="n">
        <f aca="false">AC534/T534-1</f>
        <v>0.458049150079502</v>
      </c>
      <c r="AG534" s="37" t="str">
        <f aca="false">IF(AC534&lt;T534,"SIM","NÃO")</f>
        <v>NÃO</v>
      </c>
      <c r="AH534" s="37" t="n">
        <v>8</v>
      </c>
      <c r="AI534" s="37" t="n">
        <v>5</v>
      </c>
      <c r="AJ534" s="37" t="s">
        <v>323</v>
      </c>
    </row>
    <row r="535" customFormat="false" ht="15" hidden="false" customHeight="false" outlineLevel="0" collapsed="false">
      <c r="A535" s="37" t="n">
        <v>371329014</v>
      </c>
      <c r="B535" s="38" t="n">
        <v>46237.9092708333</v>
      </c>
      <c r="C535" s="37" t="s">
        <v>320</v>
      </c>
      <c r="D535" s="37" t="s">
        <v>848</v>
      </c>
      <c r="E535" s="37" t="n">
        <v>20770160</v>
      </c>
      <c r="F535" s="37" t="s">
        <v>139</v>
      </c>
      <c r="G535" s="37" t="s">
        <v>198</v>
      </c>
      <c r="H535" s="37" t="s">
        <v>171</v>
      </c>
      <c r="I535" s="37" t="n">
        <v>52.3</v>
      </c>
      <c r="J535" s="39" t="n">
        <v>699.99</v>
      </c>
      <c r="K535" s="37" t="s">
        <v>498</v>
      </c>
      <c r="L535" s="39" t="n">
        <v>113.63</v>
      </c>
      <c r="M535" s="39" t="n">
        <v>79.81</v>
      </c>
      <c r="N535" s="39" t="n">
        <f aca="false">J535*Resumo!$C$7</f>
        <v>1.39998</v>
      </c>
      <c r="O535" s="39" t="n">
        <f aca="false">J535*Resumo!$C$8</f>
        <v>1.39998</v>
      </c>
      <c r="P535" s="39" t="n">
        <f aca="false">Resumo!$C$10*CEILING(I535/100,1)</f>
        <v>1</v>
      </c>
      <c r="Q535" s="39" t="n">
        <f aca="false">Resumo!$C$9</f>
        <v>11.9</v>
      </c>
      <c r="R535" s="39" t="n">
        <f aca="false">SUM(M535:Q535)*Resumo!$C$11</f>
        <v>5.2530478</v>
      </c>
      <c r="S535" s="39" t="n">
        <f aca="false">SUM(M535:R535)</f>
        <v>100.7630078</v>
      </c>
      <c r="T535" s="39" t="n">
        <f aca="false">S535/(1-Resumo!$C$5)</f>
        <v>114.503417954545</v>
      </c>
      <c r="U535" s="39" t="n">
        <v>112.3</v>
      </c>
      <c r="V535" s="39" t="n">
        <f aca="false">J535*Resumo!$B$6</f>
        <v>0.69999</v>
      </c>
      <c r="W535" s="39" t="n">
        <f aca="false">J535*Resumo!$B$7</f>
        <v>1.39998</v>
      </c>
      <c r="X535" s="39" t="n">
        <f aca="false">Resumo!$B$9</f>
        <v>1</v>
      </c>
      <c r="Y535" s="39" t="n">
        <f aca="false">Resumo!$B$10*CEILING(I535/100,1)</f>
        <v>4.5</v>
      </c>
      <c r="Z535" s="39" t="n">
        <f aca="false">Resumo!$B$12*CEILING(I535,1)</f>
        <v>3.18</v>
      </c>
      <c r="AA535" s="39" t="n">
        <f aca="false">Resumo!$B$13*CEILING(I535,1)</f>
        <v>23.85</v>
      </c>
      <c r="AB535" s="39" t="n">
        <f aca="false">SUM(U535:AA535)</f>
        <v>146.92997</v>
      </c>
      <c r="AC535" s="39" t="n">
        <f aca="false">AB535/(1-Resumo!$B$5)</f>
        <v>166.965875</v>
      </c>
      <c r="AD535" s="39" t="n">
        <f aca="false">(AB535-AA535)/(1-Resumo!$B$5)</f>
        <v>139.863602272727</v>
      </c>
      <c r="AE535" s="39" t="n">
        <f aca="false">AC535-T535</f>
        <v>52.4624570454545</v>
      </c>
      <c r="AF535" s="40" t="n">
        <f aca="false">AC535/T535-1</f>
        <v>0.458173720772952</v>
      </c>
      <c r="AG535" s="37" t="str">
        <f aca="false">IF(AC535&lt;T535,"SIM","NÃO")</f>
        <v>NÃO</v>
      </c>
      <c r="AH535" s="37" t="n">
        <v>8</v>
      </c>
      <c r="AI535" s="37" t="n">
        <v>5</v>
      </c>
      <c r="AJ535" s="37" t="s">
        <v>323</v>
      </c>
    </row>
    <row r="536" customFormat="false" ht="15" hidden="false" customHeight="false" outlineLevel="0" collapsed="false">
      <c r="A536" s="37" t="n">
        <v>371361784</v>
      </c>
      <c r="B536" s="38" t="n">
        <v>46237.9751388889</v>
      </c>
      <c r="C536" s="37" t="s">
        <v>320</v>
      </c>
      <c r="D536" s="37" t="s">
        <v>849</v>
      </c>
      <c r="E536" s="37" t="n">
        <v>24756151</v>
      </c>
      <c r="F536" s="37" t="s">
        <v>140</v>
      </c>
      <c r="G536" s="37" t="s">
        <v>207</v>
      </c>
      <c r="H536" s="37" t="s">
        <v>171</v>
      </c>
      <c r="I536" s="37" t="n">
        <v>52.3</v>
      </c>
      <c r="J536" s="39" t="n">
        <v>643.99</v>
      </c>
      <c r="K536" s="37" t="s">
        <v>498</v>
      </c>
      <c r="L536" s="39" t="n">
        <v>127.42</v>
      </c>
      <c r="M536" s="39" t="n">
        <v>91.6</v>
      </c>
      <c r="N536" s="39" t="n">
        <f aca="false">J536*Resumo!$C$7</f>
        <v>1.28798</v>
      </c>
      <c r="O536" s="39" t="n">
        <f aca="false">J536*Resumo!$C$8</f>
        <v>1.28798</v>
      </c>
      <c r="P536" s="39" t="n">
        <f aca="false">Resumo!$C$10*CEILING(I536/100,1)</f>
        <v>1</v>
      </c>
      <c r="Q536" s="39" t="n">
        <f aca="false">Resumo!$C$9</f>
        <v>11.9</v>
      </c>
      <c r="R536" s="39" t="n">
        <f aca="false">SUM(M536:Q536)*Resumo!$C$11</f>
        <v>5.8891778</v>
      </c>
      <c r="S536" s="39" t="n">
        <f aca="false">SUM(M536:R536)</f>
        <v>112.9651378</v>
      </c>
      <c r="T536" s="39" t="n">
        <f aca="false">S536/(1-Resumo!$C$5)</f>
        <v>128.369474772727</v>
      </c>
      <c r="U536" s="39" t="n">
        <v>128.14</v>
      </c>
      <c r="V536" s="39" t="n">
        <f aca="false">J536*Resumo!$B$6</f>
        <v>0.64399</v>
      </c>
      <c r="W536" s="39" t="n">
        <f aca="false">J536*Resumo!$B$7</f>
        <v>1.28798</v>
      </c>
      <c r="X536" s="39" t="n">
        <f aca="false">Resumo!$B$9</f>
        <v>1</v>
      </c>
      <c r="Y536" s="39" t="n">
        <f aca="false">Resumo!$B$10*CEILING(I536/100,1)</f>
        <v>4.5</v>
      </c>
      <c r="Z536" s="39" t="n">
        <f aca="false">Resumo!$B$12*CEILING(I536,1)</f>
        <v>3.18</v>
      </c>
      <c r="AA536" s="39" t="n">
        <f aca="false">Resumo!$B$13*CEILING(I536,1)</f>
        <v>23.85</v>
      </c>
      <c r="AB536" s="39" t="n">
        <f aca="false">SUM(U536:AA536)</f>
        <v>162.60197</v>
      </c>
      <c r="AC536" s="39" t="n">
        <f aca="false">AB536/(1-Resumo!$B$5)</f>
        <v>184.774965909091</v>
      </c>
      <c r="AD536" s="39" t="n">
        <f aca="false">(AB536-AA536)/(1-Resumo!$B$5)</f>
        <v>157.672693181818</v>
      </c>
      <c r="AE536" s="39" t="n">
        <f aca="false">AC536-T536</f>
        <v>56.4054911363636</v>
      </c>
      <c r="AF536" s="40" t="n">
        <f aca="false">AC536/T536-1</f>
        <v>0.439399563145578</v>
      </c>
      <c r="AG536" s="37" t="str">
        <f aca="false">IF(AC536&lt;T536,"SIM","NÃO")</f>
        <v>NÃO</v>
      </c>
      <c r="AH536" s="37" t="n">
        <v>10</v>
      </c>
      <c r="AI536" s="37" t="n">
        <v>7</v>
      </c>
      <c r="AJ536" s="37" t="s">
        <v>323</v>
      </c>
    </row>
    <row r="537" customFormat="false" ht="15" hidden="false" customHeight="false" outlineLevel="0" collapsed="false">
      <c r="A537" s="37" t="n">
        <v>371474981</v>
      </c>
      <c r="B537" s="38" t="n">
        <v>46238.2448032407</v>
      </c>
      <c r="C537" s="37" t="s">
        <v>352</v>
      </c>
      <c r="D537" s="37" t="s">
        <v>850</v>
      </c>
      <c r="E537" s="37" t="n">
        <v>25271390</v>
      </c>
      <c r="F537" s="37" t="s">
        <v>141</v>
      </c>
      <c r="G537" s="37" t="s">
        <v>207</v>
      </c>
      <c r="H537" s="37" t="s">
        <v>171</v>
      </c>
      <c r="I537" s="37" t="n">
        <v>60</v>
      </c>
      <c r="J537" s="39" t="n">
        <v>735.99</v>
      </c>
      <c r="K537" s="37" t="s">
        <v>322</v>
      </c>
      <c r="L537" s="39" t="n">
        <v>128.81</v>
      </c>
      <c r="M537" s="39" t="n">
        <v>91.6</v>
      </c>
      <c r="N537" s="39" t="n">
        <f aca="false">J537*Resumo!$C$7</f>
        <v>1.47198</v>
      </c>
      <c r="O537" s="39" t="n">
        <f aca="false">J537*Resumo!$C$8</f>
        <v>1.47198</v>
      </c>
      <c r="P537" s="39" t="n">
        <f aca="false">Resumo!$C$10*CEILING(I537/100,1)</f>
        <v>1</v>
      </c>
      <c r="Q537" s="39" t="n">
        <f aca="false">Resumo!$C$9</f>
        <v>11.9</v>
      </c>
      <c r="R537" s="39" t="n">
        <f aca="false">SUM(M537:Q537)*Resumo!$C$11</f>
        <v>5.9094178</v>
      </c>
      <c r="S537" s="39" t="n">
        <f aca="false">SUM(M537:R537)</f>
        <v>113.3533778</v>
      </c>
      <c r="T537" s="39" t="n">
        <f aca="false">S537/(1-Resumo!$C$5)</f>
        <v>128.810656590909</v>
      </c>
      <c r="U537" s="39" t="n">
        <v>112.3</v>
      </c>
      <c r="V537" s="39" t="n">
        <f aca="false">J537*Resumo!$B$6</f>
        <v>0.73599</v>
      </c>
      <c r="W537" s="39" t="n">
        <f aca="false">J537*Resumo!$B$7</f>
        <v>1.47198</v>
      </c>
      <c r="X537" s="39" t="n">
        <f aca="false">Resumo!$B$9</f>
        <v>1</v>
      </c>
      <c r="Y537" s="39" t="n">
        <f aca="false">Resumo!$B$10*CEILING(I537/100,1)</f>
        <v>4.5</v>
      </c>
      <c r="Z537" s="39" t="n">
        <f aca="false">Resumo!$B$12*CEILING(I537,1)</f>
        <v>3.6</v>
      </c>
      <c r="AA537" s="39" t="n">
        <f aca="false">Resumo!$B$13*CEILING(I537,1)</f>
        <v>27</v>
      </c>
      <c r="AB537" s="39" t="n">
        <f aca="false">SUM(U537:AA537)</f>
        <v>150.60797</v>
      </c>
      <c r="AC537" s="39" t="n">
        <f aca="false">AB537/(1-Resumo!$B$5)</f>
        <v>171.145420454545</v>
      </c>
      <c r="AD537" s="39" t="n">
        <f aca="false">(AB537-AA537)/(1-Resumo!$B$5)</f>
        <v>140.463602272727</v>
      </c>
      <c r="AE537" s="39" t="n">
        <f aca="false">AC537-T537</f>
        <v>42.3347638636364</v>
      </c>
      <c r="AF537" s="40" t="n">
        <f aca="false">AC537/T537-1</f>
        <v>0.328658862426948</v>
      </c>
      <c r="AG537" s="37" t="str">
        <f aca="false">IF(AC537&lt;T537,"SIM","NÃO")</f>
        <v>NÃO</v>
      </c>
      <c r="AH537" s="37" t="n">
        <v>10</v>
      </c>
      <c r="AI537" s="37" t="n">
        <v>5</v>
      </c>
      <c r="AJ537" s="37" t="s">
        <v>323</v>
      </c>
    </row>
    <row r="538" customFormat="false" ht="15" hidden="false" customHeight="false" outlineLevel="0" collapsed="false">
      <c r="A538" s="37" t="n">
        <v>371483802</v>
      </c>
      <c r="B538" s="38" t="n">
        <v>46238.2739814815</v>
      </c>
      <c r="C538" s="37" t="s">
        <v>325</v>
      </c>
      <c r="D538" s="37" t="s">
        <v>851</v>
      </c>
      <c r="E538" s="37" t="n">
        <v>21012190</v>
      </c>
      <c r="F538" s="37" t="s">
        <v>139</v>
      </c>
      <c r="G538" s="37" t="s">
        <v>198</v>
      </c>
      <c r="H538" s="37" t="s">
        <v>171</v>
      </c>
      <c r="I538" s="37" t="n">
        <v>52.3</v>
      </c>
      <c r="J538" s="39" t="n">
        <v>642.07</v>
      </c>
      <c r="K538" s="37" t="s">
        <v>498</v>
      </c>
      <c r="L538" s="39" t="n">
        <v>113.35</v>
      </c>
      <c r="M538" s="39" t="n">
        <v>79.81</v>
      </c>
      <c r="N538" s="39" t="n">
        <f aca="false">J538*Resumo!$C$7</f>
        <v>1.28414</v>
      </c>
      <c r="O538" s="39" t="n">
        <f aca="false">J538*Resumo!$C$8</f>
        <v>1.28414</v>
      </c>
      <c r="P538" s="39" t="n">
        <f aca="false">Resumo!$C$10*CEILING(I538/100,1)</f>
        <v>1</v>
      </c>
      <c r="Q538" s="39" t="n">
        <f aca="false">Resumo!$C$9</f>
        <v>11.9</v>
      </c>
      <c r="R538" s="39" t="n">
        <f aca="false">SUM(M538:Q538)*Resumo!$C$11</f>
        <v>5.2403054</v>
      </c>
      <c r="S538" s="39" t="n">
        <f aca="false">SUM(M538:R538)</f>
        <v>100.5185854</v>
      </c>
      <c r="T538" s="39" t="n">
        <f aca="false">S538/(1-Resumo!$C$5)</f>
        <v>114.225665227273</v>
      </c>
      <c r="U538" s="39" t="n">
        <v>112.3</v>
      </c>
      <c r="V538" s="39" t="n">
        <f aca="false">J538*Resumo!$B$6</f>
        <v>0.64207</v>
      </c>
      <c r="W538" s="39" t="n">
        <f aca="false">J538*Resumo!$B$7</f>
        <v>1.28414</v>
      </c>
      <c r="X538" s="39" t="n">
        <f aca="false">Resumo!$B$9</f>
        <v>1</v>
      </c>
      <c r="Y538" s="39" t="n">
        <f aca="false">Resumo!$B$10*CEILING(I538/100,1)</f>
        <v>4.5</v>
      </c>
      <c r="Z538" s="39" t="n">
        <f aca="false">Resumo!$B$12*CEILING(I538,1)</f>
        <v>3.18</v>
      </c>
      <c r="AA538" s="39" t="n">
        <f aca="false">Resumo!$B$13*CEILING(I538,1)</f>
        <v>23.85</v>
      </c>
      <c r="AB538" s="39" t="n">
        <f aca="false">SUM(U538:AA538)</f>
        <v>146.75621</v>
      </c>
      <c r="AC538" s="39" t="n">
        <f aca="false">AB538/(1-Resumo!$B$5)</f>
        <v>166.768420454545</v>
      </c>
      <c r="AD538" s="39" t="n">
        <f aca="false">(AB538-AA538)/(1-Resumo!$B$5)</f>
        <v>139.666147727273</v>
      </c>
      <c r="AE538" s="39" t="n">
        <f aca="false">AC538-T538</f>
        <v>52.5427552272727</v>
      </c>
      <c r="AF538" s="40" t="n">
        <f aca="false">AC538/T538-1</f>
        <v>0.459990800865369</v>
      </c>
      <c r="AG538" s="37" t="str">
        <f aca="false">IF(AC538&lt;T538,"SIM","NÃO")</f>
        <v>NÃO</v>
      </c>
      <c r="AH538" s="37" t="n">
        <v>8</v>
      </c>
      <c r="AI538" s="37" t="n">
        <v>5</v>
      </c>
      <c r="AJ538" s="37" t="s">
        <v>323</v>
      </c>
    </row>
    <row r="539" customFormat="false" ht="15" hidden="false" customHeight="false" outlineLevel="0" collapsed="false">
      <c r="A539" s="37" t="n">
        <v>371498352</v>
      </c>
      <c r="B539" s="38" t="n">
        <v>46238.3229398148</v>
      </c>
      <c r="C539" s="37" t="s">
        <v>320</v>
      </c>
      <c r="D539" s="37" t="s">
        <v>852</v>
      </c>
      <c r="E539" s="37" t="n">
        <v>25585021</v>
      </c>
      <c r="F539" s="37" t="s">
        <v>147</v>
      </c>
      <c r="G539" s="37" t="s">
        <v>207</v>
      </c>
      <c r="H539" s="37" t="s">
        <v>168</v>
      </c>
      <c r="I539" s="37" t="n">
        <v>20.9</v>
      </c>
      <c r="J539" s="39" t="n">
        <v>449.99</v>
      </c>
      <c r="K539" s="37" t="s">
        <v>365</v>
      </c>
      <c r="L539" s="39" t="n">
        <v>86.32</v>
      </c>
      <c r="M539" s="39" t="n">
        <v>70</v>
      </c>
      <c r="N539" s="39" t="n">
        <f aca="false">J539*Resumo!$C$7</f>
        <v>0.89998</v>
      </c>
      <c r="O539" s="39" t="n">
        <f aca="false">J539*Resumo!$C$8</f>
        <v>0.89998</v>
      </c>
      <c r="P539" s="39" t="n">
        <f aca="false">Resumo!$C$10*CEILING(I539/100,1)</f>
        <v>1</v>
      </c>
      <c r="Q539" s="39" t="n">
        <f aca="false">Resumo!$C$9</f>
        <v>11.9</v>
      </c>
      <c r="R539" s="39" t="n">
        <f aca="false">SUM(M539:Q539)*Resumo!$C$11</f>
        <v>4.6584978</v>
      </c>
      <c r="S539" s="39" t="n">
        <f aca="false">SUM(M539:R539)</f>
        <v>89.3584578</v>
      </c>
      <c r="T539" s="39" t="n">
        <f aca="false">S539/(1-Resumo!$C$5)</f>
        <v>101.543702045455</v>
      </c>
      <c r="U539" s="39" t="n">
        <v>82.21</v>
      </c>
      <c r="V539" s="39" t="n">
        <f aca="false">J539*Resumo!$B$6</f>
        <v>0.44999</v>
      </c>
      <c r="W539" s="39" t="n">
        <f aca="false">J539*Resumo!$B$7</f>
        <v>0.89998</v>
      </c>
      <c r="X539" s="39" t="n">
        <f aca="false">Resumo!$B$9</f>
        <v>1</v>
      </c>
      <c r="Y539" s="39" t="n">
        <f aca="false">Resumo!$B$10*CEILING(I539/100,1)</f>
        <v>4.5</v>
      </c>
      <c r="Z539" s="39" t="n">
        <f aca="false">Resumo!$B$12*CEILING(I539,1)</f>
        <v>1.26</v>
      </c>
      <c r="AA539" s="39" t="n">
        <f aca="false">Resumo!$B$13*CEILING(I539,1)</f>
        <v>9.45</v>
      </c>
      <c r="AB539" s="39" t="n">
        <f aca="false">SUM(U539:AA539)</f>
        <v>99.76997</v>
      </c>
      <c r="AC539" s="39" t="n">
        <f aca="false">AB539/(1-Resumo!$B$5)</f>
        <v>113.374965909091</v>
      </c>
      <c r="AD539" s="39" t="n">
        <f aca="false">(AB539-AA539)/(1-Resumo!$B$5)</f>
        <v>102.636329545455</v>
      </c>
      <c r="AE539" s="39" t="n">
        <f aca="false">AC539-T539</f>
        <v>11.8312638636364</v>
      </c>
      <c r="AF539" s="40" t="n">
        <f aca="false">AC539/T539-1</f>
        <v>0.116514009488646</v>
      </c>
      <c r="AG539" s="37" t="str">
        <f aca="false">IF(AC539&lt;T539,"SIM","NÃO")</f>
        <v>NÃO</v>
      </c>
      <c r="AH539" s="37" t="n">
        <v>10</v>
      </c>
      <c r="AI539" s="37" t="n">
        <v>5</v>
      </c>
      <c r="AJ539" s="37" t="s">
        <v>323</v>
      </c>
    </row>
    <row r="540" customFormat="false" ht="15" hidden="false" customHeight="false" outlineLevel="0" collapsed="false">
      <c r="A540" s="37" t="n">
        <v>371506688</v>
      </c>
      <c r="B540" s="38" t="n">
        <v>46238.3471064815</v>
      </c>
      <c r="C540" s="37" t="s">
        <v>320</v>
      </c>
      <c r="D540" s="37" t="s">
        <v>853</v>
      </c>
      <c r="E540" s="37" t="n">
        <v>25561202</v>
      </c>
      <c r="F540" s="37" t="s">
        <v>147</v>
      </c>
      <c r="G540" s="37" t="s">
        <v>207</v>
      </c>
      <c r="H540" s="37" t="s">
        <v>168</v>
      </c>
      <c r="I540" s="37" t="n">
        <v>20.9</v>
      </c>
      <c r="J540" s="39" t="n">
        <v>487.59</v>
      </c>
      <c r="K540" s="37" t="s">
        <v>365</v>
      </c>
      <c r="L540" s="39" t="n">
        <v>87.51</v>
      </c>
      <c r="M540" s="39" t="n">
        <v>70</v>
      </c>
      <c r="N540" s="39" t="n">
        <f aca="false">J540*Resumo!$C$7</f>
        <v>0.97518</v>
      </c>
      <c r="O540" s="39" t="n">
        <f aca="false">J540*Resumo!$C$8</f>
        <v>0.97518</v>
      </c>
      <c r="P540" s="39" t="n">
        <f aca="false">Resumo!$C$10*CEILING(I540/100,1)</f>
        <v>1</v>
      </c>
      <c r="Q540" s="39" t="n">
        <f aca="false">Resumo!$C$9</f>
        <v>11.9</v>
      </c>
      <c r="R540" s="39" t="n">
        <f aca="false">SUM(M540:Q540)*Resumo!$C$11</f>
        <v>4.6667698</v>
      </c>
      <c r="S540" s="39" t="n">
        <f aca="false">SUM(M540:R540)</f>
        <v>89.5171298</v>
      </c>
      <c r="T540" s="39" t="n">
        <f aca="false">S540/(1-Resumo!$C$5)</f>
        <v>101.724011136364</v>
      </c>
      <c r="U540" s="39" t="n">
        <v>82.21</v>
      </c>
      <c r="V540" s="39" t="n">
        <f aca="false">J540*Resumo!$B$6</f>
        <v>0.48759</v>
      </c>
      <c r="W540" s="39" t="n">
        <f aca="false">J540*Resumo!$B$7</f>
        <v>0.97518</v>
      </c>
      <c r="X540" s="39" t="n">
        <f aca="false">Resumo!$B$9</f>
        <v>1</v>
      </c>
      <c r="Y540" s="39" t="n">
        <f aca="false">Resumo!$B$10*CEILING(I540/100,1)</f>
        <v>4.5</v>
      </c>
      <c r="Z540" s="39" t="n">
        <f aca="false">Resumo!$B$12*CEILING(I540,1)</f>
        <v>1.26</v>
      </c>
      <c r="AA540" s="39" t="n">
        <f aca="false">Resumo!$B$13*CEILING(I540,1)</f>
        <v>9.45</v>
      </c>
      <c r="AB540" s="39" t="n">
        <f aca="false">SUM(U540:AA540)</f>
        <v>99.88277</v>
      </c>
      <c r="AC540" s="39" t="n">
        <f aca="false">AB540/(1-Resumo!$B$5)</f>
        <v>113.503147727273</v>
      </c>
      <c r="AD540" s="39" t="n">
        <f aca="false">(AB540-AA540)/(1-Resumo!$B$5)</f>
        <v>102.764511363636</v>
      </c>
      <c r="AE540" s="39" t="n">
        <f aca="false">AC540-T540</f>
        <v>11.7791365909091</v>
      </c>
      <c r="AF540" s="40" t="n">
        <f aca="false">AC540/T540-1</f>
        <v>0.115795046413564</v>
      </c>
      <c r="AG540" s="37" t="str">
        <f aca="false">IF(AC540&lt;T540,"SIM","NÃO")</f>
        <v>NÃO</v>
      </c>
      <c r="AH540" s="37" t="n">
        <v>10</v>
      </c>
      <c r="AI540" s="37" t="n">
        <v>5</v>
      </c>
      <c r="AJ540" s="37" t="s">
        <v>323</v>
      </c>
    </row>
    <row r="541" customFormat="false" ht="15" hidden="false" customHeight="false" outlineLevel="0" collapsed="false">
      <c r="A541" s="37" t="n">
        <v>371531873</v>
      </c>
      <c r="B541" s="38" t="n">
        <v>46238.4060300926</v>
      </c>
      <c r="C541" s="37" t="s">
        <v>320</v>
      </c>
      <c r="D541" s="37" t="s">
        <v>854</v>
      </c>
      <c r="E541" s="37" t="n">
        <v>27353420</v>
      </c>
      <c r="F541" s="37" t="s">
        <v>233</v>
      </c>
      <c r="G541" s="37" t="s">
        <v>201</v>
      </c>
      <c r="H541" s="37" t="s">
        <v>169</v>
      </c>
      <c r="I541" s="37" t="n">
        <v>36.9</v>
      </c>
      <c r="J541" s="39" t="n">
        <v>419.99</v>
      </c>
      <c r="K541" s="37" t="s">
        <v>498</v>
      </c>
      <c r="L541" s="39" t="n">
        <v>122.7</v>
      </c>
      <c r="M541" s="39" t="n">
        <v>87.4</v>
      </c>
      <c r="N541" s="39" t="n">
        <f aca="false">J541*Resumo!$C$7</f>
        <v>0.83998</v>
      </c>
      <c r="O541" s="39" t="n">
        <f aca="false">J541*Resumo!$C$8</f>
        <v>0.83998</v>
      </c>
      <c r="P541" s="39" t="n">
        <f aca="false">Resumo!$C$10*CEILING(I541/100,1)</f>
        <v>1</v>
      </c>
      <c r="Q541" s="39" t="n">
        <f aca="false">Resumo!$C$9</f>
        <v>11.9</v>
      </c>
      <c r="R541" s="39" t="n">
        <f aca="false">SUM(M541:Q541)*Resumo!$C$11</f>
        <v>5.6088978</v>
      </c>
      <c r="S541" s="39" t="n">
        <f aca="false">SUM(M541:R541)</f>
        <v>107.5888578</v>
      </c>
      <c r="T541" s="39" t="n">
        <f aca="false">S541/(1-Resumo!$C$5)</f>
        <v>122.260065681818</v>
      </c>
      <c r="U541" s="39" t="n">
        <v>124.38</v>
      </c>
      <c r="V541" s="39" t="n">
        <f aca="false">J541*Resumo!$B$6</f>
        <v>0.41999</v>
      </c>
      <c r="W541" s="39" t="n">
        <f aca="false">J541*Resumo!$B$7</f>
        <v>0.83998</v>
      </c>
      <c r="X541" s="39" t="n">
        <f aca="false">Resumo!$B$9</f>
        <v>1</v>
      </c>
      <c r="Y541" s="39" t="n">
        <f aca="false">Resumo!$B$10*CEILING(I541/100,1)</f>
        <v>4.5</v>
      </c>
      <c r="Z541" s="39" t="n">
        <f aca="false">Resumo!$B$12*CEILING(I541,1)</f>
        <v>2.22</v>
      </c>
      <c r="AA541" s="39" t="n">
        <f aca="false">Resumo!$B$13*CEILING(I541,1)</f>
        <v>16.65</v>
      </c>
      <c r="AB541" s="39" t="n">
        <f aca="false">SUM(U541:AA541)</f>
        <v>150.00997</v>
      </c>
      <c r="AC541" s="39" t="n">
        <f aca="false">AB541/(1-Resumo!$B$5)</f>
        <v>170.465875</v>
      </c>
      <c r="AD541" s="39" t="n">
        <f aca="false">(AB541-AA541)/(1-Resumo!$B$5)</f>
        <v>151.545420454545</v>
      </c>
      <c r="AE541" s="39" t="n">
        <f aca="false">AC541-T541</f>
        <v>48.2058093181818</v>
      </c>
      <c r="AF541" s="40" t="n">
        <f aca="false">AC541/T541-1</f>
        <v>0.394289084087665</v>
      </c>
      <c r="AG541" s="37" t="str">
        <f aca="false">IF(AC541&lt;T541,"SIM","NÃO")</f>
        <v>NÃO</v>
      </c>
      <c r="AH541" s="37" t="n">
        <v>13</v>
      </c>
      <c r="AI541" s="37" t="n">
        <v>10</v>
      </c>
      <c r="AJ541" s="37" t="s">
        <v>327</v>
      </c>
    </row>
    <row r="542" customFormat="false" ht="15" hidden="false" customHeight="false" outlineLevel="0" collapsed="false">
      <c r="A542" s="37" t="n">
        <v>371531925</v>
      </c>
      <c r="B542" s="38" t="n">
        <v>46238.4079398148</v>
      </c>
      <c r="C542" s="37" t="s">
        <v>352</v>
      </c>
      <c r="D542" s="37" t="s">
        <v>855</v>
      </c>
      <c r="E542" s="37" t="n">
        <v>25510170</v>
      </c>
      <c r="F542" s="37" t="s">
        <v>147</v>
      </c>
      <c r="G542" s="37" t="s">
        <v>207</v>
      </c>
      <c r="H542" s="37" t="s">
        <v>175</v>
      </c>
      <c r="I542" s="37" t="n">
        <v>117</v>
      </c>
      <c r="J542" s="39" t="n">
        <v>1147.49</v>
      </c>
      <c r="K542" s="37" t="s">
        <v>498</v>
      </c>
      <c r="L542" s="39" t="n">
        <v>198.16</v>
      </c>
      <c r="M542" s="39" t="n">
        <v>144.44</v>
      </c>
      <c r="N542" s="39" t="n">
        <f aca="false">J542*Resumo!$C$7</f>
        <v>2.29498</v>
      </c>
      <c r="O542" s="39" t="n">
        <f aca="false">J542*Resumo!$C$8</f>
        <v>2.29498</v>
      </c>
      <c r="P542" s="39" t="n">
        <f aca="false">Resumo!$C$10*CEILING(I542/100,1)</f>
        <v>2</v>
      </c>
      <c r="Q542" s="39" t="n">
        <f aca="false">Resumo!$C$9</f>
        <v>11.9</v>
      </c>
      <c r="R542" s="39" t="n">
        <f aca="false">SUM(M542:Q542)*Resumo!$C$11</f>
        <v>8.9611478</v>
      </c>
      <c r="S542" s="39" t="n">
        <f aca="false">SUM(M542:R542)</f>
        <v>171.8911078</v>
      </c>
      <c r="T542" s="39" t="n">
        <f aca="false">S542/(1-Resumo!$C$5)</f>
        <v>195.330804318182</v>
      </c>
      <c r="U542" s="39" t="n">
        <v>201.59</v>
      </c>
      <c r="V542" s="39" t="n">
        <f aca="false">J542*Resumo!$B$6</f>
        <v>1.14749</v>
      </c>
      <c r="W542" s="39" t="n">
        <f aca="false">J542*Resumo!$B$7</f>
        <v>2.29498</v>
      </c>
      <c r="X542" s="39" t="n">
        <f aca="false">Resumo!$B$9</f>
        <v>1</v>
      </c>
      <c r="Y542" s="39" t="n">
        <f aca="false">Resumo!$B$10*CEILING(I542/100,1)</f>
        <v>9</v>
      </c>
      <c r="Z542" s="39" t="n">
        <f aca="false">Resumo!$B$12*CEILING(I542,1)</f>
        <v>7.02</v>
      </c>
      <c r="AA542" s="39" t="n">
        <f aca="false">Resumo!$B$13*CEILING(I542,1)</f>
        <v>52.65</v>
      </c>
      <c r="AB542" s="39" t="n">
        <f aca="false">SUM(U542:AA542)</f>
        <v>274.70247</v>
      </c>
      <c r="AC542" s="39" t="n">
        <f aca="false">AB542/(1-Resumo!$B$5)</f>
        <v>312.161897727273</v>
      </c>
      <c r="AD542" s="39" t="n">
        <f aca="false">(AB542-AA542)/(1-Resumo!$B$5)</f>
        <v>252.332352272727</v>
      </c>
      <c r="AE542" s="39" t="n">
        <f aca="false">AC542-T542</f>
        <v>116.831093409091</v>
      </c>
      <c r="AF542" s="40" t="n">
        <f aca="false">AC542/T542-1</f>
        <v>0.598119143659391</v>
      </c>
      <c r="AG542" s="37" t="str">
        <f aca="false">IF(AC542&lt;T542,"SIM","NÃO")</f>
        <v>NÃO</v>
      </c>
      <c r="AH542" s="37" t="n">
        <v>10</v>
      </c>
      <c r="AI542" s="37" t="n">
        <v>5</v>
      </c>
      <c r="AJ542" s="37" t="s">
        <v>323</v>
      </c>
    </row>
    <row r="543" customFormat="false" ht="15" hidden="false" customHeight="false" outlineLevel="0" collapsed="false">
      <c r="A543" s="37" t="n">
        <v>371535419</v>
      </c>
      <c r="B543" s="38" t="n">
        <v>46238.4137384259</v>
      </c>
      <c r="C543" s="37" t="s">
        <v>325</v>
      </c>
      <c r="D543" s="37" t="s">
        <v>856</v>
      </c>
      <c r="E543" s="37" t="n">
        <v>28915120</v>
      </c>
      <c r="F543" s="37" t="s">
        <v>152</v>
      </c>
      <c r="G543" s="37" t="s">
        <v>201</v>
      </c>
      <c r="H543" s="37" t="s">
        <v>171</v>
      </c>
      <c r="I543" s="37" t="n">
        <v>57</v>
      </c>
      <c r="J543" s="39" t="n">
        <v>1551.59</v>
      </c>
      <c r="K543" s="37" t="s">
        <v>498</v>
      </c>
      <c r="L543" s="39" t="n">
        <v>148.13</v>
      </c>
      <c r="M543" s="39" t="n">
        <v>103.6</v>
      </c>
      <c r="N543" s="39" t="n">
        <f aca="false">J543*Resumo!$C$7</f>
        <v>3.10318</v>
      </c>
      <c r="O543" s="39" t="n">
        <f aca="false">J543*Resumo!$C$8</f>
        <v>3.10318</v>
      </c>
      <c r="P543" s="39" t="n">
        <f aca="false">Resumo!$C$10*CEILING(I543/100,1)</f>
        <v>1</v>
      </c>
      <c r="Q543" s="39" t="n">
        <f aca="false">Resumo!$C$9</f>
        <v>11.9</v>
      </c>
      <c r="R543" s="39" t="n">
        <f aca="false">SUM(M543:Q543)*Resumo!$C$11</f>
        <v>6.7488498</v>
      </c>
      <c r="S543" s="39" t="n">
        <f aca="false">SUM(M543:R543)</f>
        <v>129.4552098</v>
      </c>
      <c r="T543" s="39" t="n">
        <f aca="false">S543/(1-Resumo!$C$5)</f>
        <v>147.108192954545</v>
      </c>
      <c r="U543" s="39" t="n">
        <v>142.32</v>
      </c>
      <c r="V543" s="39" t="n">
        <f aca="false">J543*Resumo!$B$6</f>
        <v>1.55159</v>
      </c>
      <c r="W543" s="39" t="n">
        <f aca="false">J543*Resumo!$B$7</f>
        <v>3.10318</v>
      </c>
      <c r="X543" s="39" t="n">
        <f aca="false">Resumo!$B$9</f>
        <v>1</v>
      </c>
      <c r="Y543" s="39" t="n">
        <f aca="false">Resumo!$B$10*CEILING(I543/100,1)</f>
        <v>4.5</v>
      </c>
      <c r="Z543" s="39" t="n">
        <f aca="false">Resumo!$B$12*CEILING(I543,1)</f>
        <v>3.42</v>
      </c>
      <c r="AA543" s="39" t="n">
        <f aca="false">Resumo!$B$13*CEILING(I543,1)</f>
        <v>25.65</v>
      </c>
      <c r="AB543" s="39" t="n">
        <f aca="false">SUM(U543:AA543)</f>
        <v>181.54477</v>
      </c>
      <c r="AC543" s="39" t="n">
        <f aca="false">AB543/(1-Resumo!$B$5)</f>
        <v>206.300875</v>
      </c>
      <c r="AD543" s="39" t="n">
        <f aca="false">(AB543-AA543)/(1-Resumo!$B$5)</f>
        <v>177.153147727273</v>
      </c>
      <c r="AE543" s="39" t="n">
        <f aca="false">AC543-T543</f>
        <v>59.1926820454546</v>
      </c>
      <c r="AF543" s="40" t="n">
        <f aca="false">AC543/T543-1</f>
        <v>0.40237515570424</v>
      </c>
      <c r="AG543" s="37" t="str">
        <f aca="false">IF(AC543&lt;T543,"SIM","NÃO")</f>
        <v>NÃO</v>
      </c>
      <c r="AH543" s="37" t="n">
        <v>13</v>
      </c>
      <c r="AI543" s="37" t="n">
        <v>10</v>
      </c>
      <c r="AJ543" s="37" t="s">
        <v>323</v>
      </c>
    </row>
    <row r="544" customFormat="false" ht="15" hidden="false" customHeight="false" outlineLevel="0" collapsed="false">
      <c r="A544" s="37" t="n">
        <v>371557433</v>
      </c>
      <c r="B544" s="38" t="n">
        <v>46238.4571527778</v>
      </c>
      <c r="C544" s="37" t="s">
        <v>320</v>
      </c>
      <c r="D544" s="37" t="s">
        <v>857</v>
      </c>
      <c r="E544" s="37" t="n">
        <v>26183250</v>
      </c>
      <c r="F544" s="37" t="s">
        <v>145</v>
      </c>
      <c r="G544" s="37" t="s">
        <v>207</v>
      </c>
      <c r="H544" s="37" t="s">
        <v>171</v>
      </c>
      <c r="I544" s="37" t="n">
        <v>51.3</v>
      </c>
      <c r="J544" s="39" t="n">
        <v>629.99</v>
      </c>
      <c r="K544" s="37" t="s">
        <v>498</v>
      </c>
      <c r="L544" s="39" t="n">
        <v>126.84</v>
      </c>
      <c r="M544" s="39" t="n">
        <v>91.6</v>
      </c>
      <c r="N544" s="39" t="n">
        <f aca="false">J544*Resumo!$C$7</f>
        <v>1.25998</v>
      </c>
      <c r="O544" s="39" t="n">
        <f aca="false">J544*Resumo!$C$8</f>
        <v>1.25998</v>
      </c>
      <c r="P544" s="39" t="n">
        <f aca="false">Resumo!$C$10*CEILING(I544/100,1)</f>
        <v>1</v>
      </c>
      <c r="Q544" s="39" t="n">
        <f aca="false">Resumo!$C$9</f>
        <v>11.9</v>
      </c>
      <c r="R544" s="39" t="n">
        <f aca="false">SUM(M544:Q544)*Resumo!$C$11</f>
        <v>5.8860978</v>
      </c>
      <c r="S544" s="39" t="n">
        <f aca="false">SUM(M544:R544)</f>
        <v>112.9060578</v>
      </c>
      <c r="T544" s="39" t="n">
        <f aca="false">S544/(1-Resumo!$C$5)</f>
        <v>128.302338409091</v>
      </c>
      <c r="U544" s="39" t="n">
        <v>112.3</v>
      </c>
      <c r="V544" s="39" t="n">
        <f aca="false">J544*Resumo!$B$6</f>
        <v>0.62999</v>
      </c>
      <c r="W544" s="39" t="n">
        <f aca="false">J544*Resumo!$B$7</f>
        <v>1.25998</v>
      </c>
      <c r="X544" s="39" t="n">
        <f aca="false">Resumo!$B$9</f>
        <v>1</v>
      </c>
      <c r="Y544" s="39" t="n">
        <f aca="false">Resumo!$B$10*CEILING(I544/100,1)</f>
        <v>4.5</v>
      </c>
      <c r="Z544" s="39" t="n">
        <f aca="false">Resumo!$B$12*CEILING(I544,1)</f>
        <v>3.12</v>
      </c>
      <c r="AA544" s="39" t="n">
        <f aca="false">Resumo!$B$13*CEILING(I544,1)</f>
        <v>23.4</v>
      </c>
      <c r="AB544" s="39" t="n">
        <f aca="false">SUM(U544:AA544)</f>
        <v>146.20997</v>
      </c>
      <c r="AC544" s="39" t="n">
        <f aca="false">AB544/(1-Resumo!$B$5)</f>
        <v>166.147693181818</v>
      </c>
      <c r="AD544" s="39" t="n">
        <f aca="false">(AB544-AA544)/(1-Resumo!$B$5)</f>
        <v>139.556784090909</v>
      </c>
      <c r="AE544" s="39" t="n">
        <f aca="false">AC544-T544</f>
        <v>37.8453547727273</v>
      </c>
      <c r="AF544" s="40" t="n">
        <f aca="false">AC544/T544-1</f>
        <v>0.294970109212333</v>
      </c>
      <c r="AG544" s="37" t="str">
        <f aca="false">IF(AC544&lt;T544,"SIM","NÃO")</f>
        <v>NÃO</v>
      </c>
      <c r="AH544" s="37" t="n">
        <v>10</v>
      </c>
      <c r="AI544" s="37" t="n">
        <v>5</v>
      </c>
      <c r="AJ544" s="37" t="s">
        <v>323</v>
      </c>
    </row>
    <row r="545" customFormat="false" ht="15" hidden="false" customHeight="false" outlineLevel="0" collapsed="false">
      <c r="A545" s="37" t="n">
        <v>371568970</v>
      </c>
      <c r="B545" s="38" t="n">
        <v>46238.4801736111</v>
      </c>
      <c r="C545" s="37" t="s">
        <v>320</v>
      </c>
      <c r="D545" s="37" t="s">
        <v>858</v>
      </c>
      <c r="E545" s="37" t="n">
        <v>20960070</v>
      </c>
      <c r="F545" s="37" t="s">
        <v>139</v>
      </c>
      <c r="G545" s="37" t="s">
        <v>198</v>
      </c>
      <c r="H545" s="37" t="s">
        <v>167</v>
      </c>
      <c r="I545" s="37" t="n">
        <v>17</v>
      </c>
      <c r="J545" s="39" t="n">
        <v>225.99</v>
      </c>
      <c r="K545" s="37" t="s">
        <v>322</v>
      </c>
      <c r="L545" s="39" t="n">
        <v>64.3</v>
      </c>
      <c r="M545" s="39" t="n">
        <v>39.83</v>
      </c>
      <c r="N545" s="39" t="n">
        <f aca="false">J545*Resumo!$C$7</f>
        <v>0.45198</v>
      </c>
      <c r="O545" s="39" t="n">
        <f aca="false">J545*Resumo!$C$8</f>
        <v>0.45198</v>
      </c>
      <c r="P545" s="39" t="n">
        <f aca="false">Resumo!$C$10*CEILING(I545/100,1)</f>
        <v>1</v>
      </c>
      <c r="Q545" s="39" t="n">
        <f aca="false">Resumo!$C$9</f>
        <v>11.9</v>
      </c>
      <c r="R545" s="39" t="n">
        <f aca="false">SUM(M545:Q545)*Resumo!$C$11</f>
        <v>2.9498678</v>
      </c>
      <c r="S545" s="39" t="n">
        <f aca="false">SUM(M545:R545)</f>
        <v>56.5838278</v>
      </c>
      <c r="T545" s="39" t="n">
        <f aca="false">S545/(1-Resumo!$C$5)</f>
        <v>64.2998043181818</v>
      </c>
      <c r="U545" s="39" t="n">
        <v>46.98</v>
      </c>
      <c r="V545" s="39" t="n">
        <f aca="false">J545*Resumo!$B$6</f>
        <v>0.22599</v>
      </c>
      <c r="W545" s="39" t="n">
        <f aca="false">J545*Resumo!$B$7</f>
        <v>0.45198</v>
      </c>
      <c r="X545" s="39" t="n">
        <f aca="false">Resumo!$B$9</f>
        <v>1</v>
      </c>
      <c r="Y545" s="39" t="n">
        <f aca="false">Resumo!$B$10*CEILING(I545/100,1)</f>
        <v>4.5</v>
      </c>
      <c r="Z545" s="39" t="n">
        <f aca="false">Resumo!$B$12*CEILING(I545,1)</f>
        <v>1.02</v>
      </c>
      <c r="AA545" s="39" t="n">
        <f aca="false">Resumo!$B$13*CEILING(I545,1)</f>
        <v>7.65</v>
      </c>
      <c r="AB545" s="39" t="n">
        <f aca="false">SUM(U545:AA545)</f>
        <v>61.82797</v>
      </c>
      <c r="AC545" s="39" t="n">
        <f aca="false">AB545/(1-Resumo!$B$5)</f>
        <v>70.2590568181818</v>
      </c>
      <c r="AD545" s="39" t="n">
        <f aca="false">(AB545-AA545)/(1-Resumo!$B$5)</f>
        <v>61.565875</v>
      </c>
      <c r="AE545" s="39" t="n">
        <f aca="false">AC545-T545</f>
        <v>5.95925249999999</v>
      </c>
      <c r="AF545" s="40" t="n">
        <f aca="false">AC545/T545-1</f>
        <v>0.0926791700719829</v>
      </c>
      <c r="AG545" s="37" t="str">
        <f aca="false">IF(AC545&lt;T545,"SIM","NÃO")</f>
        <v>NÃO</v>
      </c>
      <c r="AH545" s="37" t="n">
        <v>8</v>
      </c>
      <c r="AI545" s="37" t="n">
        <v>5</v>
      </c>
      <c r="AJ545" s="37" t="s">
        <v>323</v>
      </c>
    </row>
    <row r="546" customFormat="false" ht="15" hidden="false" customHeight="false" outlineLevel="0" collapsed="false">
      <c r="A546" s="37" t="n">
        <v>371576838</v>
      </c>
      <c r="B546" s="38" t="n">
        <v>46238.4969675926</v>
      </c>
      <c r="C546" s="37" t="s">
        <v>320</v>
      </c>
      <c r="D546" s="37" t="s">
        <v>859</v>
      </c>
      <c r="E546" s="37" t="n">
        <v>25635530</v>
      </c>
      <c r="F546" s="37" t="s">
        <v>150</v>
      </c>
      <c r="G546" s="37" t="s">
        <v>201</v>
      </c>
      <c r="H546" s="37" t="s">
        <v>171</v>
      </c>
      <c r="I546" s="37" t="n">
        <v>52.3</v>
      </c>
      <c r="J546" s="39" t="n">
        <v>669.99</v>
      </c>
      <c r="K546" s="37" t="s">
        <v>498</v>
      </c>
      <c r="L546" s="39" t="n">
        <v>141.88</v>
      </c>
      <c r="M546" s="39" t="n">
        <v>103.6</v>
      </c>
      <c r="N546" s="39" t="n">
        <f aca="false">J546*Resumo!$C$7</f>
        <v>1.33998</v>
      </c>
      <c r="O546" s="39" t="n">
        <f aca="false">J546*Resumo!$C$8</f>
        <v>1.33998</v>
      </c>
      <c r="P546" s="39" t="n">
        <f aca="false">Resumo!$C$10*CEILING(I546/100,1)</f>
        <v>1</v>
      </c>
      <c r="Q546" s="39" t="n">
        <f aca="false">Resumo!$C$9</f>
        <v>11.9</v>
      </c>
      <c r="R546" s="39" t="n">
        <f aca="false">SUM(M546:Q546)*Resumo!$C$11</f>
        <v>6.5548978</v>
      </c>
      <c r="S546" s="39" t="n">
        <f aca="false">SUM(M546:R546)</f>
        <v>125.7348578</v>
      </c>
      <c r="T546" s="39" t="n">
        <f aca="false">S546/(1-Resumo!$C$5)</f>
        <v>142.880520227273</v>
      </c>
      <c r="U546" s="39" t="n">
        <v>142.32</v>
      </c>
      <c r="V546" s="39" t="n">
        <f aca="false">J546*Resumo!$B$6</f>
        <v>0.66999</v>
      </c>
      <c r="W546" s="39" t="n">
        <f aca="false">J546*Resumo!$B$7</f>
        <v>1.33998</v>
      </c>
      <c r="X546" s="39" t="n">
        <f aca="false">Resumo!$B$9</f>
        <v>1</v>
      </c>
      <c r="Y546" s="39" t="n">
        <f aca="false">Resumo!$B$10*CEILING(I546/100,1)</f>
        <v>4.5</v>
      </c>
      <c r="Z546" s="39" t="n">
        <f aca="false">Resumo!$B$12*CEILING(I546,1)</f>
        <v>3.18</v>
      </c>
      <c r="AA546" s="39" t="n">
        <f aca="false">Resumo!$B$13*CEILING(I546,1)</f>
        <v>23.85</v>
      </c>
      <c r="AB546" s="39" t="n">
        <f aca="false">SUM(U546:AA546)</f>
        <v>176.85997</v>
      </c>
      <c r="AC546" s="39" t="n">
        <f aca="false">AB546/(1-Resumo!$B$5)</f>
        <v>200.977238636364</v>
      </c>
      <c r="AD546" s="39" t="n">
        <f aca="false">(AB546-AA546)/(1-Resumo!$B$5)</f>
        <v>173.874965909091</v>
      </c>
      <c r="AE546" s="39" t="n">
        <f aca="false">AC546-T546</f>
        <v>58.0967184090909</v>
      </c>
      <c r="AF546" s="40" t="n">
        <f aca="false">AC546/T546-1</f>
        <v>0.406610490476094</v>
      </c>
      <c r="AG546" s="37" t="str">
        <f aca="false">IF(AC546&lt;T546,"SIM","NÃO")</f>
        <v>NÃO</v>
      </c>
      <c r="AH546" s="37" t="n">
        <v>13</v>
      </c>
      <c r="AI546" s="37" t="n">
        <v>8</v>
      </c>
      <c r="AJ546" s="37" t="s">
        <v>323</v>
      </c>
    </row>
    <row r="547" customFormat="false" ht="15" hidden="false" customHeight="false" outlineLevel="0" collapsed="false">
      <c r="A547" s="37" t="n">
        <v>371585940</v>
      </c>
      <c r="B547" s="38" t="n">
        <v>46238.5165625</v>
      </c>
      <c r="C547" s="37" t="s">
        <v>325</v>
      </c>
      <c r="D547" s="37" t="s">
        <v>860</v>
      </c>
      <c r="E547" s="37" t="n">
        <v>22291050</v>
      </c>
      <c r="F547" s="37" t="s">
        <v>139</v>
      </c>
      <c r="G547" s="37" t="s">
        <v>198</v>
      </c>
      <c r="H547" s="37" t="s">
        <v>170</v>
      </c>
      <c r="I547" s="37" t="n">
        <v>48.6</v>
      </c>
      <c r="J547" s="39" t="n">
        <v>629.99</v>
      </c>
      <c r="K547" s="37" t="s">
        <v>322</v>
      </c>
      <c r="L547" s="39" t="n">
        <v>103.6</v>
      </c>
      <c r="M547" s="39" t="n">
        <v>71</v>
      </c>
      <c r="N547" s="39" t="n">
        <f aca="false">J547*Resumo!$C$7</f>
        <v>1.25998</v>
      </c>
      <c r="O547" s="39" t="n">
        <f aca="false">J547*Resumo!$C$8</f>
        <v>1.25998</v>
      </c>
      <c r="P547" s="39" t="n">
        <f aca="false">Resumo!$C$10*CEILING(I547/100,1)</f>
        <v>1</v>
      </c>
      <c r="Q547" s="39" t="n">
        <f aca="false">Resumo!$C$9</f>
        <v>11.9</v>
      </c>
      <c r="R547" s="39" t="n">
        <f aca="false">SUM(M547:Q547)*Resumo!$C$11</f>
        <v>4.7530978</v>
      </c>
      <c r="S547" s="39" t="n">
        <f aca="false">SUM(M547:R547)</f>
        <v>91.1730578</v>
      </c>
      <c r="T547" s="39" t="n">
        <f aca="false">S547/(1-Resumo!$C$5)</f>
        <v>103.6057475</v>
      </c>
      <c r="U547" s="39" t="n">
        <v>93.97</v>
      </c>
      <c r="V547" s="39" t="n">
        <f aca="false">J547*Resumo!$B$6</f>
        <v>0.62999</v>
      </c>
      <c r="W547" s="39" t="n">
        <f aca="false">J547*Resumo!$B$7</f>
        <v>1.25998</v>
      </c>
      <c r="X547" s="39" t="n">
        <f aca="false">Resumo!$B$9</f>
        <v>1</v>
      </c>
      <c r="Y547" s="39" t="n">
        <f aca="false">Resumo!$B$10*CEILING(I547/100,1)</f>
        <v>4.5</v>
      </c>
      <c r="Z547" s="39" t="n">
        <f aca="false">Resumo!$B$12*CEILING(I547,1)</f>
        <v>2.94</v>
      </c>
      <c r="AA547" s="39" t="n">
        <f aca="false">Resumo!$B$13*CEILING(I547,1)</f>
        <v>22.05</v>
      </c>
      <c r="AB547" s="39" t="n">
        <f aca="false">SUM(U547:AA547)</f>
        <v>126.34997</v>
      </c>
      <c r="AC547" s="39" t="n">
        <f aca="false">AB547/(1-Resumo!$B$5)</f>
        <v>143.579511363636</v>
      </c>
      <c r="AD547" s="39" t="n">
        <f aca="false">(AB547-AA547)/(1-Resumo!$B$5)</f>
        <v>118.522693181818</v>
      </c>
      <c r="AE547" s="39" t="n">
        <f aca="false">AC547-T547</f>
        <v>39.9737638636364</v>
      </c>
      <c r="AF547" s="40" t="n">
        <f aca="false">AC547/T547-1</f>
        <v>0.38582573677813</v>
      </c>
      <c r="AG547" s="37" t="str">
        <f aca="false">IF(AC547&lt;T547,"SIM","NÃO")</f>
        <v>NÃO</v>
      </c>
      <c r="AH547" s="37" t="n">
        <v>8</v>
      </c>
      <c r="AI547" s="37" t="n">
        <v>5</v>
      </c>
      <c r="AJ547" s="37" t="s">
        <v>323</v>
      </c>
    </row>
    <row r="548" customFormat="false" ht="15" hidden="false" customHeight="false" outlineLevel="0" collapsed="false">
      <c r="A548" s="37" t="n">
        <v>371587193</v>
      </c>
      <c r="B548" s="38" t="n">
        <v>46238.5190393519</v>
      </c>
      <c r="C548" s="37" t="s">
        <v>320</v>
      </c>
      <c r="D548" s="37" t="s">
        <v>861</v>
      </c>
      <c r="E548" s="37" t="n">
        <v>25270438</v>
      </c>
      <c r="F548" s="37" t="s">
        <v>141</v>
      </c>
      <c r="G548" s="37" t="s">
        <v>207</v>
      </c>
      <c r="H548" s="37" t="s">
        <v>172</v>
      </c>
      <c r="I548" s="37" t="n">
        <v>63.9</v>
      </c>
      <c r="J548" s="39" t="n">
        <v>735.99</v>
      </c>
      <c r="K548" s="37" t="s">
        <v>322</v>
      </c>
      <c r="L548" s="39" t="n">
        <v>139.95</v>
      </c>
      <c r="M548" s="39" t="n">
        <v>100.9</v>
      </c>
      <c r="N548" s="39" t="n">
        <f aca="false">J548*Resumo!$C$7</f>
        <v>1.47198</v>
      </c>
      <c r="O548" s="39" t="n">
        <f aca="false">J548*Resumo!$C$8</f>
        <v>1.47198</v>
      </c>
      <c r="P548" s="39" t="n">
        <f aca="false">Resumo!$C$10*CEILING(I548/100,1)</f>
        <v>1</v>
      </c>
      <c r="Q548" s="39" t="n">
        <f aca="false">Resumo!$C$9</f>
        <v>11.9</v>
      </c>
      <c r="R548" s="39" t="n">
        <f aca="false">SUM(M548:Q548)*Resumo!$C$11</f>
        <v>6.4209178</v>
      </c>
      <c r="S548" s="39" t="n">
        <f aca="false">SUM(M548:R548)</f>
        <v>123.1648778</v>
      </c>
      <c r="T548" s="39" t="n">
        <f aca="false">S548/(1-Resumo!$C$5)</f>
        <v>139.960088409091</v>
      </c>
      <c r="U548" s="39" t="n">
        <v>131.02</v>
      </c>
      <c r="V548" s="39" t="n">
        <f aca="false">J548*Resumo!$B$6</f>
        <v>0.73599</v>
      </c>
      <c r="W548" s="39" t="n">
        <f aca="false">J548*Resumo!$B$7</f>
        <v>1.47198</v>
      </c>
      <c r="X548" s="39" t="n">
        <f aca="false">Resumo!$B$9</f>
        <v>1</v>
      </c>
      <c r="Y548" s="39" t="n">
        <f aca="false">Resumo!$B$10*CEILING(I548/100,1)</f>
        <v>4.5</v>
      </c>
      <c r="Z548" s="39" t="n">
        <f aca="false">Resumo!$B$12*CEILING(I548,1)</f>
        <v>3.84</v>
      </c>
      <c r="AA548" s="39" t="n">
        <f aca="false">Resumo!$B$13*CEILING(I548,1)</f>
        <v>28.8</v>
      </c>
      <c r="AB548" s="39" t="n">
        <f aca="false">SUM(U548:AA548)</f>
        <v>171.36797</v>
      </c>
      <c r="AC548" s="39" t="n">
        <f aca="false">AB548/(1-Resumo!$B$5)</f>
        <v>194.736329545455</v>
      </c>
      <c r="AD548" s="39" t="n">
        <f aca="false">(AB548-AA548)/(1-Resumo!$B$5)</f>
        <v>162.009056818182</v>
      </c>
      <c r="AE548" s="39" t="n">
        <f aca="false">AC548-T548</f>
        <v>54.7762411363637</v>
      </c>
      <c r="AF548" s="40" t="n">
        <f aca="false">AC548/T548-1</f>
        <v>0.391370438237061</v>
      </c>
      <c r="AG548" s="37" t="str">
        <f aca="false">IF(AC548&lt;T548,"SIM","NÃO")</f>
        <v>NÃO</v>
      </c>
      <c r="AH548" s="37" t="n">
        <v>10</v>
      </c>
      <c r="AI548" s="37" t="n">
        <v>5</v>
      </c>
      <c r="AJ548" s="37" t="s">
        <v>323</v>
      </c>
    </row>
    <row r="549" customFormat="false" ht="15" hidden="false" customHeight="false" outlineLevel="0" collapsed="false">
      <c r="A549" s="37" t="n">
        <v>371588500</v>
      </c>
      <c r="B549" s="38" t="n">
        <v>46238.5222453704</v>
      </c>
      <c r="C549" s="37" t="s">
        <v>320</v>
      </c>
      <c r="D549" s="37" t="s">
        <v>862</v>
      </c>
      <c r="E549" s="37" t="n">
        <v>23812040</v>
      </c>
      <c r="F549" s="37" t="s">
        <v>200</v>
      </c>
      <c r="G549" s="37" t="s">
        <v>201</v>
      </c>
      <c r="H549" s="37" t="s">
        <v>171</v>
      </c>
      <c r="I549" s="37" t="n">
        <v>58.05</v>
      </c>
      <c r="J549" s="39" t="n">
        <v>799.99</v>
      </c>
      <c r="K549" s="37" t="s">
        <v>498</v>
      </c>
      <c r="L549" s="39" t="n">
        <v>145.56</v>
      </c>
      <c r="M549" s="39" t="n">
        <v>103.6</v>
      </c>
      <c r="N549" s="39" t="n">
        <f aca="false">J549*Resumo!$C$7</f>
        <v>1.59998</v>
      </c>
      <c r="O549" s="39" t="n">
        <f aca="false">J549*Resumo!$C$8</f>
        <v>1.59998</v>
      </c>
      <c r="P549" s="39" t="n">
        <f aca="false">Resumo!$C$10*CEILING(I549/100,1)</f>
        <v>1</v>
      </c>
      <c r="Q549" s="39" t="n">
        <f aca="false">Resumo!$C$9</f>
        <v>11.9</v>
      </c>
      <c r="R549" s="39" t="n">
        <f aca="false">SUM(M549:Q549)*Resumo!$C$11</f>
        <v>6.5834978</v>
      </c>
      <c r="S549" s="39" t="n">
        <f aca="false">SUM(M549:R549)</f>
        <v>126.2834578</v>
      </c>
      <c r="T549" s="39" t="n">
        <f aca="false">S549/(1-Resumo!$C$5)</f>
        <v>143.503929318182</v>
      </c>
      <c r="U549" s="39" t="n">
        <v>122.3</v>
      </c>
      <c r="V549" s="39" t="n">
        <f aca="false">J549*Resumo!$B$6</f>
        <v>0.79999</v>
      </c>
      <c r="W549" s="39" t="n">
        <f aca="false">J549*Resumo!$B$7</f>
        <v>1.59998</v>
      </c>
      <c r="X549" s="39" t="n">
        <f aca="false">Resumo!$B$9</f>
        <v>1</v>
      </c>
      <c r="Y549" s="39" t="n">
        <f aca="false">Resumo!$B$10*CEILING(I549/100,1)</f>
        <v>4.5</v>
      </c>
      <c r="Z549" s="39" t="n">
        <f aca="false">Resumo!$B$12*CEILING(I549,1)</f>
        <v>3.54</v>
      </c>
      <c r="AA549" s="39" t="n">
        <f aca="false">Resumo!$B$13*CEILING(I549,1)</f>
        <v>26.55</v>
      </c>
      <c r="AB549" s="39" t="n">
        <f aca="false">SUM(U549:AA549)</f>
        <v>160.28997</v>
      </c>
      <c r="AC549" s="39" t="n">
        <f aca="false">AB549/(1-Resumo!$B$5)</f>
        <v>182.147693181818</v>
      </c>
      <c r="AD549" s="39" t="n">
        <f aca="false">(AB549-AA549)/(1-Resumo!$B$5)</f>
        <v>151.977238636364</v>
      </c>
      <c r="AE549" s="39" t="n">
        <f aca="false">AC549-T549</f>
        <v>38.6437638636364</v>
      </c>
      <c r="AF549" s="40" t="n">
        <f aca="false">AC549/T549-1</f>
        <v>0.269287148074908</v>
      </c>
      <c r="AG549" s="37" t="str">
        <f aca="false">IF(AC549&lt;T549,"SIM","NÃO")</f>
        <v>NÃO</v>
      </c>
      <c r="AH549" s="37" t="n">
        <v>13</v>
      </c>
      <c r="AI549" s="37" t="n">
        <v>5</v>
      </c>
      <c r="AJ549" s="37" t="s">
        <v>327</v>
      </c>
    </row>
    <row r="550" customFormat="false" ht="15" hidden="false" customHeight="false" outlineLevel="0" collapsed="false">
      <c r="A550" s="37" t="n">
        <v>371589090</v>
      </c>
      <c r="B550" s="38" t="n">
        <v>46238.5233796296</v>
      </c>
      <c r="C550" s="37" t="s">
        <v>320</v>
      </c>
      <c r="D550" s="37" t="s">
        <v>540</v>
      </c>
      <c r="E550" s="37" t="n">
        <v>25985010</v>
      </c>
      <c r="F550" s="37" t="s">
        <v>221</v>
      </c>
      <c r="G550" s="37" t="s">
        <v>201</v>
      </c>
      <c r="H550" s="37" t="s">
        <v>168</v>
      </c>
      <c r="I550" s="37" t="n">
        <v>20.9</v>
      </c>
      <c r="J550" s="39" t="n">
        <v>487.59</v>
      </c>
      <c r="K550" s="37" t="s">
        <v>498</v>
      </c>
      <c r="L550" s="39" t="n">
        <v>104.23</v>
      </c>
      <c r="M550" s="39" t="n">
        <v>76.5</v>
      </c>
      <c r="N550" s="39" t="n">
        <f aca="false">J550*Resumo!$C$7</f>
        <v>0.97518</v>
      </c>
      <c r="O550" s="39" t="n">
        <f aca="false">J550*Resumo!$C$8</f>
        <v>0.97518</v>
      </c>
      <c r="P550" s="39" t="n">
        <f aca="false">Resumo!$C$10*CEILING(I550/100,1)</f>
        <v>1</v>
      </c>
      <c r="Q550" s="39" t="n">
        <f aca="false">Resumo!$C$9</f>
        <v>11.9</v>
      </c>
      <c r="R550" s="39" t="n">
        <f aca="false">SUM(M550:Q550)*Resumo!$C$11</f>
        <v>5.0242698</v>
      </c>
      <c r="S550" s="39" t="n">
        <f aca="false">SUM(M550:R550)</f>
        <v>96.3746298</v>
      </c>
      <c r="T550" s="39" t="n">
        <f aca="false">S550/(1-Resumo!$C$5)</f>
        <v>109.516624772727</v>
      </c>
      <c r="U550" s="39" t="n">
        <v>120.78</v>
      </c>
      <c r="V550" s="39" t="n">
        <f aca="false">J550*Resumo!$B$6</f>
        <v>0.48759</v>
      </c>
      <c r="W550" s="39" t="n">
        <f aca="false">J550*Resumo!$B$7</f>
        <v>0.97518</v>
      </c>
      <c r="X550" s="39" t="n">
        <f aca="false">Resumo!$B$9</f>
        <v>1</v>
      </c>
      <c r="Y550" s="39" t="n">
        <f aca="false">Resumo!$B$10*CEILING(I550/100,1)</f>
        <v>4.5</v>
      </c>
      <c r="Z550" s="39" t="n">
        <f aca="false">Resumo!$B$12*CEILING(I550,1)</f>
        <v>1.26</v>
      </c>
      <c r="AA550" s="39" t="n">
        <f aca="false">Resumo!$B$13*CEILING(I550,1)</f>
        <v>9.45</v>
      </c>
      <c r="AB550" s="39" t="n">
        <f aca="false">SUM(U550:AA550)</f>
        <v>138.45277</v>
      </c>
      <c r="AC550" s="39" t="n">
        <f aca="false">AB550/(1-Resumo!$B$5)</f>
        <v>157.332693181818</v>
      </c>
      <c r="AD550" s="39" t="n">
        <f aca="false">(AB550-AA550)/(1-Resumo!$B$5)</f>
        <v>146.594056818182</v>
      </c>
      <c r="AE550" s="39" t="n">
        <f aca="false">AC550-T550</f>
        <v>47.8160684090909</v>
      </c>
      <c r="AF550" s="40" t="n">
        <f aca="false">AC550/T550-1</f>
        <v>0.436610135751723</v>
      </c>
      <c r="AG550" s="37" t="str">
        <f aca="false">IF(AC550&lt;T550,"SIM","NÃO")</f>
        <v>NÃO</v>
      </c>
      <c r="AH550" s="37" t="n">
        <v>13</v>
      </c>
      <c r="AI550" s="37" t="n">
        <v>10</v>
      </c>
      <c r="AJ550" s="37" t="s">
        <v>327</v>
      </c>
    </row>
    <row r="551" customFormat="false" ht="15" hidden="false" customHeight="false" outlineLevel="0" collapsed="false">
      <c r="A551" s="37" t="n">
        <v>371599243</v>
      </c>
      <c r="B551" s="38" t="n">
        <v>46238.5464351852</v>
      </c>
      <c r="C551" s="37" t="s">
        <v>352</v>
      </c>
      <c r="D551" s="37" t="s">
        <v>863</v>
      </c>
      <c r="E551" s="37" t="n">
        <v>24466540</v>
      </c>
      <c r="F551" s="37" t="s">
        <v>140</v>
      </c>
      <c r="G551" s="37" t="s">
        <v>207</v>
      </c>
      <c r="H551" s="37" t="s">
        <v>173</v>
      </c>
      <c r="I551" s="37" t="n">
        <v>79.55</v>
      </c>
      <c r="J551" s="39" t="n">
        <v>1069.99</v>
      </c>
      <c r="K551" s="37" t="s">
        <v>498</v>
      </c>
      <c r="L551" s="39" t="n">
        <v>156.34</v>
      </c>
      <c r="M551" s="39" t="n">
        <v>110.55</v>
      </c>
      <c r="N551" s="39" t="n">
        <f aca="false">J551*Resumo!$C$7</f>
        <v>2.13998</v>
      </c>
      <c r="O551" s="39" t="n">
        <f aca="false">J551*Resumo!$C$8</f>
        <v>2.13998</v>
      </c>
      <c r="P551" s="39" t="n">
        <f aca="false">Resumo!$C$10*CEILING(I551/100,1)</f>
        <v>1</v>
      </c>
      <c r="Q551" s="39" t="n">
        <f aca="false">Resumo!$C$9</f>
        <v>11.9</v>
      </c>
      <c r="R551" s="39" t="n">
        <f aca="false">SUM(M551:Q551)*Resumo!$C$11</f>
        <v>7.0251478</v>
      </c>
      <c r="S551" s="39" t="n">
        <f aca="false">SUM(M551:R551)</f>
        <v>134.7551078</v>
      </c>
      <c r="T551" s="39" t="n">
        <f aca="false">S551/(1-Resumo!$C$5)</f>
        <v>153.130804318182</v>
      </c>
      <c r="U551" s="39" t="n">
        <v>142.74</v>
      </c>
      <c r="V551" s="39" t="n">
        <f aca="false">J551*Resumo!$B$6</f>
        <v>1.06999</v>
      </c>
      <c r="W551" s="39" t="n">
        <f aca="false">J551*Resumo!$B$7</f>
        <v>2.13998</v>
      </c>
      <c r="X551" s="39" t="n">
        <f aca="false">Resumo!$B$9</f>
        <v>1</v>
      </c>
      <c r="Y551" s="39" t="n">
        <f aca="false">Resumo!$B$10*CEILING(I551/100,1)</f>
        <v>4.5</v>
      </c>
      <c r="Z551" s="39" t="n">
        <f aca="false">Resumo!$B$12*CEILING(I551,1)</f>
        <v>4.8</v>
      </c>
      <c r="AA551" s="39" t="n">
        <f aca="false">Resumo!$B$13*CEILING(I551,1)</f>
        <v>36</v>
      </c>
      <c r="AB551" s="39" t="n">
        <f aca="false">SUM(U551:AA551)</f>
        <v>192.24997</v>
      </c>
      <c r="AC551" s="39" t="n">
        <f aca="false">AB551/(1-Resumo!$B$5)</f>
        <v>218.465875</v>
      </c>
      <c r="AD551" s="39" t="n">
        <f aca="false">(AB551-AA551)/(1-Resumo!$B$5)</f>
        <v>177.556784090909</v>
      </c>
      <c r="AE551" s="39" t="n">
        <f aca="false">AC551-T551</f>
        <v>65.3350706818182</v>
      </c>
      <c r="AF551" s="40" t="n">
        <f aca="false">AC551/T551-1</f>
        <v>0.426661839678333</v>
      </c>
      <c r="AG551" s="37" t="str">
        <f aca="false">IF(AC551&lt;T551,"SIM","NÃO")</f>
        <v>NÃO</v>
      </c>
      <c r="AH551" s="37" t="n">
        <v>10</v>
      </c>
      <c r="AI551" s="37" t="n">
        <v>7</v>
      </c>
      <c r="AJ551" s="37" t="s">
        <v>323</v>
      </c>
    </row>
    <row r="552" customFormat="false" ht="15" hidden="false" customHeight="false" outlineLevel="0" collapsed="false">
      <c r="A552" s="37" t="n">
        <v>371602758</v>
      </c>
      <c r="B552" s="38" t="n">
        <v>46238.5513773148</v>
      </c>
      <c r="C552" s="37" t="s">
        <v>320</v>
      </c>
      <c r="D552" s="37" t="s">
        <v>864</v>
      </c>
      <c r="E552" s="37" t="n">
        <v>25251039</v>
      </c>
      <c r="F552" s="37" t="s">
        <v>141</v>
      </c>
      <c r="G552" s="37" t="s">
        <v>207</v>
      </c>
      <c r="H552" s="37" t="s">
        <v>169</v>
      </c>
      <c r="I552" s="37" t="n">
        <v>39</v>
      </c>
      <c r="J552" s="39" t="n">
        <v>496.79</v>
      </c>
      <c r="K552" s="37" t="s">
        <v>322</v>
      </c>
      <c r="L552" s="39" t="n">
        <v>113.33</v>
      </c>
      <c r="M552" s="39" t="n">
        <v>79.65</v>
      </c>
      <c r="N552" s="39" t="n">
        <f aca="false">J552*Resumo!$C$7</f>
        <v>0.99358</v>
      </c>
      <c r="O552" s="39" t="n">
        <f aca="false">J552*Resumo!$C$8</f>
        <v>0.99358</v>
      </c>
      <c r="P552" s="39" t="n">
        <f aca="false">Resumo!$C$10*CEILING(I552/100,1)</f>
        <v>1</v>
      </c>
      <c r="Q552" s="39" t="n">
        <f aca="false">Resumo!$C$9</f>
        <v>11.9</v>
      </c>
      <c r="R552" s="39" t="n">
        <f aca="false">SUM(M552:Q552)*Resumo!$C$11</f>
        <v>5.1995438</v>
      </c>
      <c r="S552" s="39" t="n">
        <f aca="false">SUM(M552:R552)</f>
        <v>99.7367038</v>
      </c>
      <c r="T552" s="39" t="n">
        <f aca="false">S552/(1-Resumo!$C$5)</f>
        <v>113.337163409091</v>
      </c>
      <c r="U552" s="39" t="n">
        <v>93.97</v>
      </c>
      <c r="V552" s="39" t="n">
        <f aca="false">J552*Resumo!$B$6</f>
        <v>0.49679</v>
      </c>
      <c r="W552" s="39" t="n">
        <f aca="false">J552*Resumo!$B$7</f>
        <v>0.99358</v>
      </c>
      <c r="X552" s="39" t="n">
        <f aca="false">Resumo!$B$9</f>
        <v>1</v>
      </c>
      <c r="Y552" s="39" t="n">
        <f aca="false">Resumo!$B$10*CEILING(I552/100,1)</f>
        <v>4.5</v>
      </c>
      <c r="Z552" s="39" t="n">
        <f aca="false">Resumo!$B$12*CEILING(I552,1)</f>
        <v>2.34</v>
      </c>
      <c r="AA552" s="39" t="n">
        <f aca="false">Resumo!$B$13*CEILING(I552,1)</f>
        <v>17.55</v>
      </c>
      <c r="AB552" s="39" t="n">
        <f aca="false">SUM(U552:AA552)</f>
        <v>120.85037</v>
      </c>
      <c r="AC552" s="39" t="n">
        <f aca="false">AB552/(1-Resumo!$B$5)</f>
        <v>137.329965909091</v>
      </c>
      <c r="AD552" s="39" t="n">
        <f aca="false">(AB552-AA552)/(1-Resumo!$B$5)</f>
        <v>117.386784090909</v>
      </c>
      <c r="AE552" s="39" t="n">
        <f aca="false">AC552-T552</f>
        <v>23.9928025</v>
      </c>
      <c r="AF552" s="40" t="n">
        <f aca="false">AC552/T552-1</f>
        <v>0.211694044374464</v>
      </c>
      <c r="AG552" s="37" t="str">
        <f aca="false">IF(AC552&lt;T552,"SIM","NÃO")</f>
        <v>NÃO</v>
      </c>
      <c r="AH552" s="37" t="n">
        <v>10</v>
      </c>
      <c r="AI552" s="37" t="n">
        <v>5</v>
      </c>
      <c r="AJ552" s="37" t="s">
        <v>323</v>
      </c>
    </row>
    <row r="553" customFormat="false" ht="15" hidden="false" customHeight="false" outlineLevel="0" collapsed="false">
      <c r="A553" s="37" t="n">
        <v>371607194</v>
      </c>
      <c r="B553" s="38" t="n">
        <v>46238.5598032407</v>
      </c>
      <c r="C553" s="37" t="s">
        <v>320</v>
      </c>
      <c r="D553" s="37" t="s">
        <v>865</v>
      </c>
      <c r="E553" s="37" t="n">
        <v>21341180</v>
      </c>
      <c r="F553" s="37" t="s">
        <v>139</v>
      </c>
      <c r="G553" s="37" t="s">
        <v>198</v>
      </c>
      <c r="H553" s="37" t="s">
        <v>168</v>
      </c>
      <c r="I553" s="37" t="n">
        <v>20.9</v>
      </c>
      <c r="J553" s="39" t="n">
        <v>449.99</v>
      </c>
      <c r="K553" s="37" t="s">
        <v>322</v>
      </c>
      <c r="L553" s="39" t="n">
        <v>82.48</v>
      </c>
      <c r="M553" s="39" t="n">
        <v>54.1</v>
      </c>
      <c r="N553" s="39" t="n">
        <f aca="false">J553*Resumo!$C$7</f>
        <v>0.89998</v>
      </c>
      <c r="O553" s="39" t="n">
        <f aca="false">J553*Resumo!$C$8</f>
        <v>0.89998</v>
      </c>
      <c r="P553" s="39" t="n">
        <f aca="false">Resumo!$C$10*CEILING(I553/100,1)</f>
        <v>1</v>
      </c>
      <c r="Q553" s="39" t="n">
        <f aca="false">Resumo!$C$9</f>
        <v>11.9</v>
      </c>
      <c r="R553" s="39" t="n">
        <f aca="false">SUM(M553:Q553)*Resumo!$C$11</f>
        <v>3.7839978</v>
      </c>
      <c r="S553" s="39" t="n">
        <f aca="false">SUM(M553:R553)</f>
        <v>72.5839578</v>
      </c>
      <c r="T553" s="39" t="n">
        <f aca="false">S553/(1-Resumo!$C$5)</f>
        <v>82.4817702272727</v>
      </c>
      <c r="U553" s="39" t="n">
        <v>82.21</v>
      </c>
      <c r="V553" s="39" t="n">
        <f aca="false">J553*Resumo!$B$6</f>
        <v>0.44999</v>
      </c>
      <c r="W553" s="39" t="n">
        <f aca="false">J553*Resumo!$B$7</f>
        <v>0.89998</v>
      </c>
      <c r="X553" s="39" t="n">
        <f aca="false">Resumo!$B$9</f>
        <v>1</v>
      </c>
      <c r="Y553" s="39" t="n">
        <f aca="false">Resumo!$B$10*CEILING(I553/100,1)</f>
        <v>4.5</v>
      </c>
      <c r="Z553" s="39" t="n">
        <f aca="false">Resumo!$B$12*CEILING(I553,1)</f>
        <v>1.26</v>
      </c>
      <c r="AA553" s="39" t="n">
        <f aca="false">Resumo!$B$13*CEILING(I553,1)</f>
        <v>9.45</v>
      </c>
      <c r="AB553" s="39" t="n">
        <f aca="false">SUM(U553:AA553)</f>
        <v>99.76997</v>
      </c>
      <c r="AC553" s="39" t="n">
        <f aca="false">AB553/(1-Resumo!$B$5)</f>
        <v>113.374965909091</v>
      </c>
      <c r="AD553" s="39" t="n">
        <f aca="false">(AB553-AA553)/(1-Resumo!$B$5)</f>
        <v>102.636329545455</v>
      </c>
      <c r="AE553" s="39" t="n">
        <f aca="false">AC553-T553</f>
        <v>30.8931956818182</v>
      </c>
      <c r="AF553" s="40" t="n">
        <f aca="false">AC553/T553-1</f>
        <v>0.374545740188337</v>
      </c>
      <c r="AG553" s="37" t="str">
        <f aca="false">IF(AC553&lt;T553,"SIM","NÃO")</f>
        <v>NÃO</v>
      </c>
      <c r="AH553" s="37" t="n">
        <v>8</v>
      </c>
      <c r="AI553" s="37" t="n">
        <v>5</v>
      </c>
      <c r="AJ553" s="37" t="s">
        <v>323</v>
      </c>
    </row>
    <row r="554" customFormat="false" ht="15" hidden="false" customHeight="false" outlineLevel="0" collapsed="false">
      <c r="A554" s="37" t="n">
        <v>371609222</v>
      </c>
      <c r="B554" s="38" t="n">
        <v>46238.5635532407</v>
      </c>
      <c r="C554" s="37" t="s">
        <v>320</v>
      </c>
      <c r="D554" s="37" t="s">
        <v>866</v>
      </c>
      <c r="E554" s="37" t="n">
        <v>21240270</v>
      </c>
      <c r="F554" s="37" t="s">
        <v>139</v>
      </c>
      <c r="G554" s="37" t="s">
        <v>198</v>
      </c>
      <c r="H554" s="37" t="s">
        <v>171</v>
      </c>
      <c r="I554" s="37" t="n">
        <v>52.3</v>
      </c>
      <c r="J554" s="39" t="n">
        <v>669.99</v>
      </c>
      <c r="K554" s="37" t="s">
        <v>498</v>
      </c>
      <c r="L554" s="39" t="n">
        <v>113.49</v>
      </c>
      <c r="M554" s="39" t="n">
        <v>79.81</v>
      </c>
      <c r="N554" s="39" t="n">
        <f aca="false">J554*Resumo!$C$7</f>
        <v>1.33998</v>
      </c>
      <c r="O554" s="39" t="n">
        <f aca="false">J554*Resumo!$C$8</f>
        <v>1.33998</v>
      </c>
      <c r="P554" s="39" t="n">
        <f aca="false">Resumo!$C$10*CEILING(I554/100,1)</f>
        <v>1</v>
      </c>
      <c r="Q554" s="39" t="n">
        <f aca="false">Resumo!$C$9</f>
        <v>11.9</v>
      </c>
      <c r="R554" s="39" t="n">
        <f aca="false">SUM(M554:Q554)*Resumo!$C$11</f>
        <v>5.2464478</v>
      </c>
      <c r="S554" s="39" t="n">
        <f aca="false">SUM(M554:R554)</f>
        <v>100.6364078</v>
      </c>
      <c r="T554" s="39" t="n">
        <f aca="false">S554/(1-Resumo!$C$5)</f>
        <v>114.359554318182</v>
      </c>
      <c r="U554" s="39" t="n">
        <v>112.3</v>
      </c>
      <c r="V554" s="39" t="n">
        <f aca="false">J554*Resumo!$B$6</f>
        <v>0.66999</v>
      </c>
      <c r="W554" s="39" t="n">
        <f aca="false">J554*Resumo!$B$7</f>
        <v>1.33998</v>
      </c>
      <c r="X554" s="39" t="n">
        <f aca="false">Resumo!$B$9</f>
        <v>1</v>
      </c>
      <c r="Y554" s="39" t="n">
        <f aca="false">Resumo!$B$10*CEILING(I554/100,1)</f>
        <v>4.5</v>
      </c>
      <c r="Z554" s="39" t="n">
        <f aca="false">Resumo!$B$12*CEILING(I554,1)</f>
        <v>3.18</v>
      </c>
      <c r="AA554" s="39" t="n">
        <f aca="false">Resumo!$B$13*CEILING(I554,1)</f>
        <v>23.85</v>
      </c>
      <c r="AB554" s="39" t="n">
        <f aca="false">SUM(U554:AA554)</f>
        <v>146.83997</v>
      </c>
      <c r="AC554" s="39" t="n">
        <f aca="false">AB554/(1-Resumo!$B$5)</f>
        <v>166.863602272727</v>
      </c>
      <c r="AD554" s="39" t="n">
        <f aca="false">(AB554-AA554)/(1-Resumo!$B$5)</f>
        <v>139.761329545455</v>
      </c>
      <c r="AE554" s="39" t="n">
        <f aca="false">AC554-T554</f>
        <v>52.5040479545454</v>
      </c>
      <c r="AF554" s="40" t="n">
        <f aca="false">AC554/T554-1</f>
        <v>0.459113786054673</v>
      </c>
      <c r="AG554" s="37" t="str">
        <f aca="false">IF(AC554&lt;T554,"SIM","NÃO")</f>
        <v>NÃO</v>
      </c>
      <c r="AH554" s="37" t="n">
        <v>8</v>
      </c>
      <c r="AI554" s="37" t="n">
        <v>5</v>
      </c>
      <c r="AJ554" s="37" t="s">
        <v>323</v>
      </c>
    </row>
    <row r="555" customFormat="false" ht="15" hidden="false" customHeight="false" outlineLevel="0" collapsed="false">
      <c r="A555" s="37" t="n">
        <v>371613006</v>
      </c>
      <c r="B555" s="38" t="n">
        <v>46238.5708101852</v>
      </c>
      <c r="C555" s="37" t="s">
        <v>320</v>
      </c>
      <c r="D555" s="37" t="s">
        <v>867</v>
      </c>
      <c r="E555" s="37" t="n">
        <v>25916060</v>
      </c>
      <c r="F555" s="37" t="s">
        <v>156</v>
      </c>
      <c r="G555" s="37" t="s">
        <v>201</v>
      </c>
      <c r="H555" s="37" t="s">
        <v>171</v>
      </c>
      <c r="I555" s="37" t="n">
        <v>52.3</v>
      </c>
      <c r="J555" s="39" t="n">
        <v>669.99</v>
      </c>
      <c r="K555" s="37" t="s">
        <v>498</v>
      </c>
      <c r="L555" s="39" t="n">
        <v>141.88</v>
      </c>
      <c r="M555" s="39" t="n">
        <v>103.6</v>
      </c>
      <c r="N555" s="39" t="n">
        <f aca="false">J555*Resumo!$C$7</f>
        <v>1.33998</v>
      </c>
      <c r="O555" s="39" t="n">
        <f aca="false">J555*Resumo!$C$8</f>
        <v>1.33998</v>
      </c>
      <c r="P555" s="39" t="n">
        <f aca="false">Resumo!$C$10*CEILING(I555/100,1)</f>
        <v>1</v>
      </c>
      <c r="Q555" s="39" t="n">
        <f aca="false">Resumo!$C$9</f>
        <v>11.9</v>
      </c>
      <c r="R555" s="39" t="n">
        <f aca="false">SUM(M555:Q555)*Resumo!$C$11</f>
        <v>6.5548978</v>
      </c>
      <c r="S555" s="39" t="n">
        <f aca="false">SUM(M555:R555)</f>
        <v>125.7348578</v>
      </c>
      <c r="T555" s="39" t="n">
        <f aca="false">S555/(1-Resumo!$C$5)</f>
        <v>142.880520227273</v>
      </c>
      <c r="U555" s="39" t="n">
        <v>127.03</v>
      </c>
      <c r="V555" s="39" t="n">
        <f aca="false">J555*Resumo!$B$6</f>
        <v>0.66999</v>
      </c>
      <c r="W555" s="39" t="n">
        <f aca="false">J555*Resumo!$B$7</f>
        <v>1.33998</v>
      </c>
      <c r="X555" s="39" t="n">
        <f aca="false">Resumo!$B$9</f>
        <v>1</v>
      </c>
      <c r="Y555" s="39" t="n">
        <f aca="false">Resumo!$B$10*CEILING(I555/100,1)</f>
        <v>4.5</v>
      </c>
      <c r="Z555" s="39" t="n">
        <f aca="false">Resumo!$B$12*CEILING(I555,1)</f>
        <v>3.18</v>
      </c>
      <c r="AA555" s="39" t="n">
        <f aca="false">Resumo!$B$13*CEILING(I555,1)</f>
        <v>23.85</v>
      </c>
      <c r="AB555" s="39" t="n">
        <f aca="false">SUM(U555:AA555)</f>
        <v>161.56997</v>
      </c>
      <c r="AC555" s="39" t="n">
        <f aca="false">AB555/(1-Resumo!$B$5)</f>
        <v>183.602238636364</v>
      </c>
      <c r="AD555" s="39" t="n">
        <f aca="false">(AB555-AA555)/(1-Resumo!$B$5)</f>
        <v>156.499965909091</v>
      </c>
      <c r="AE555" s="39" t="n">
        <f aca="false">AC555-T555</f>
        <v>40.7217184090909</v>
      </c>
      <c r="AF555" s="40" t="n">
        <f aca="false">AC555/T555-1</f>
        <v>0.285005390128178</v>
      </c>
      <c r="AG555" s="37" t="str">
        <f aca="false">IF(AC555&lt;T555,"SIM","NÃO")</f>
        <v>NÃO</v>
      </c>
      <c r="AH555" s="37" t="n">
        <v>13</v>
      </c>
      <c r="AI555" s="37" t="n">
        <v>6</v>
      </c>
      <c r="AJ555" s="37" t="s">
        <v>323</v>
      </c>
    </row>
    <row r="556" customFormat="false" ht="15" hidden="false" customHeight="false" outlineLevel="0" collapsed="false">
      <c r="A556" s="37" t="n">
        <v>371613326</v>
      </c>
      <c r="B556" s="38" t="n">
        <v>46238.5716550926</v>
      </c>
      <c r="C556" s="37" t="s">
        <v>320</v>
      </c>
      <c r="D556" s="37" t="s">
        <v>868</v>
      </c>
      <c r="E556" s="37" t="n">
        <v>28360000</v>
      </c>
      <c r="F556" s="37" t="s">
        <v>250</v>
      </c>
      <c r="G556" s="37" t="s">
        <v>201</v>
      </c>
      <c r="H556" s="37" t="s">
        <v>172</v>
      </c>
      <c r="I556" s="37" t="n">
        <v>63.9</v>
      </c>
      <c r="J556" s="39" t="n">
        <v>735.99</v>
      </c>
      <c r="K556" s="37" t="s">
        <v>498</v>
      </c>
      <c r="L556" s="39" t="n">
        <v>155.34</v>
      </c>
      <c r="M556" s="39" t="n">
        <v>113.9</v>
      </c>
      <c r="N556" s="39" t="n">
        <f aca="false">J556*Resumo!$C$7</f>
        <v>1.47198</v>
      </c>
      <c r="O556" s="39" t="n">
        <f aca="false">J556*Resumo!$C$8</f>
        <v>1.47198</v>
      </c>
      <c r="P556" s="39" t="n">
        <f aca="false">Resumo!$C$10*CEILING(I556/100,1)</f>
        <v>1</v>
      </c>
      <c r="Q556" s="39" t="n">
        <f aca="false">Resumo!$C$9</f>
        <v>11.9</v>
      </c>
      <c r="R556" s="39" t="n">
        <f aca="false">SUM(M556:Q556)*Resumo!$C$11</f>
        <v>7.1359178</v>
      </c>
      <c r="S556" s="39" t="n">
        <f aca="false">SUM(M556:R556)</f>
        <v>136.8798778</v>
      </c>
      <c r="T556" s="39" t="n">
        <f aca="false">S556/(1-Resumo!$C$5)</f>
        <v>155.545315681818</v>
      </c>
      <c r="U556" s="39" t="n">
        <v>171.54</v>
      </c>
      <c r="V556" s="39" t="n">
        <f aca="false">J556*Resumo!$B$6</f>
        <v>0.73599</v>
      </c>
      <c r="W556" s="39" t="n">
        <f aca="false">J556*Resumo!$B$7</f>
        <v>1.47198</v>
      </c>
      <c r="X556" s="39" t="n">
        <f aca="false">Resumo!$B$9</f>
        <v>1</v>
      </c>
      <c r="Y556" s="39" t="n">
        <f aca="false">Resumo!$B$10*CEILING(I556/100,1)</f>
        <v>4.5</v>
      </c>
      <c r="Z556" s="39" t="n">
        <f aca="false">Resumo!$B$12*CEILING(I556,1)</f>
        <v>3.84</v>
      </c>
      <c r="AA556" s="39" t="n">
        <f aca="false">Resumo!$B$13*CEILING(I556,1)</f>
        <v>28.8</v>
      </c>
      <c r="AB556" s="39" t="n">
        <f aca="false">SUM(U556:AA556)</f>
        <v>211.88797</v>
      </c>
      <c r="AC556" s="39" t="n">
        <f aca="false">AB556/(1-Resumo!$B$5)</f>
        <v>240.781784090909</v>
      </c>
      <c r="AD556" s="39" t="n">
        <f aca="false">(AB556-AA556)/(1-Resumo!$B$5)</f>
        <v>208.054511363636</v>
      </c>
      <c r="AE556" s="39" t="n">
        <f aca="false">AC556-T556</f>
        <v>85.2364684090909</v>
      </c>
      <c r="AF556" s="40" t="n">
        <f aca="false">AC556/T556-1</f>
        <v>0.547984798098644</v>
      </c>
      <c r="AG556" s="37" t="str">
        <f aca="false">IF(AC556&lt;T556,"SIM","NÃO")</f>
        <v>NÃO</v>
      </c>
      <c r="AH556" s="37" t="n">
        <v>13</v>
      </c>
      <c r="AI556" s="37" t="n">
        <v>11</v>
      </c>
      <c r="AJ556" s="37" t="s">
        <v>327</v>
      </c>
    </row>
    <row r="557" customFormat="false" ht="15" hidden="false" customHeight="false" outlineLevel="0" collapsed="false">
      <c r="A557" s="37" t="n">
        <v>371622000</v>
      </c>
      <c r="B557" s="38" t="n">
        <v>46238.5886805556</v>
      </c>
      <c r="C557" s="37" t="s">
        <v>320</v>
      </c>
      <c r="D557" s="37" t="s">
        <v>869</v>
      </c>
      <c r="E557" s="37" t="n">
        <v>23946105</v>
      </c>
      <c r="F557" s="37" t="s">
        <v>149</v>
      </c>
      <c r="G557" s="37" t="s">
        <v>201</v>
      </c>
      <c r="H557" s="37" t="s">
        <v>171</v>
      </c>
      <c r="I557" s="37" t="n">
        <v>52.3</v>
      </c>
      <c r="J557" s="39" t="n">
        <v>669.99</v>
      </c>
      <c r="K557" s="37" t="s">
        <v>498</v>
      </c>
      <c r="L557" s="39" t="n">
        <v>141.88</v>
      </c>
      <c r="M557" s="39" t="n">
        <v>103.6</v>
      </c>
      <c r="N557" s="39" t="n">
        <f aca="false">J557*Resumo!$C$7</f>
        <v>1.33998</v>
      </c>
      <c r="O557" s="39" t="n">
        <f aca="false">J557*Resumo!$C$8</f>
        <v>1.33998</v>
      </c>
      <c r="P557" s="39" t="n">
        <f aca="false">Resumo!$C$10*CEILING(I557/100,1)</f>
        <v>1</v>
      </c>
      <c r="Q557" s="39" t="n">
        <f aca="false">Resumo!$C$9</f>
        <v>11.9</v>
      </c>
      <c r="R557" s="39" t="n">
        <f aca="false">SUM(M557:Q557)*Resumo!$C$11</f>
        <v>6.5548978</v>
      </c>
      <c r="S557" s="39" t="n">
        <f aca="false">SUM(M557:R557)</f>
        <v>125.7348578</v>
      </c>
      <c r="T557" s="39" t="n">
        <f aca="false">S557/(1-Resumo!$C$5)</f>
        <v>142.880520227273</v>
      </c>
      <c r="U557" s="39" t="n">
        <v>142.32</v>
      </c>
      <c r="V557" s="39" t="n">
        <f aca="false">J557*Resumo!$B$6</f>
        <v>0.66999</v>
      </c>
      <c r="W557" s="39" t="n">
        <f aca="false">J557*Resumo!$B$7</f>
        <v>1.33998</v>
      </c>
      <c r="X557" s="39" t="n">
        <f aca="false">Resumo!$B$9</f>
        <v>1</v>
      </c>
      <c r="Y557" s="39" t="n">
        <f aca="false">Resumo!$B$10*CEILING(I557/100,1)</f>
        <v>4.5</v>
      </c>
      <c r="Z557" s="39" t="n">
        <f aca="false">Resumo!$B$12*CEILING(I557,1)</f>
        <v>3.18</v>
      </c>
      <c r="AA557" s="39" t="n">
        <f aca="false">Resumo!$B$13*CEILING(I557,1)</f>
        <v>23.85</v>
      </c>
      <c r="AB557" s="39" t="n">
        <f aca="false">SUM(U557:AA557)</f>
        <v>176.85997</v>
      </c>
      <c r="AC557" s="39" t="n">
        <f aca="false">AB557/(1-Resumo!$B$5)</f>
        <v>200.977238636364</v>
      </c>
      <c r="AD557" s="39" t="n">
        <f aca="false">(AB557-AA557)/(1-Resumo!$B$5)</f>
        <v>173.874965909091</v>
      </c>
      <c r="AE557" s="39" t="n">
        <f aca="false">AC557-T557</f>
        <v>58.0967184090909</v>
      </c>
      <c r="AF557" s="40" t="n">
        <f aca="false">AC557/T557-1</f>
        <v>0.406610490476094</v>
      </c>
      <c r="AG557" s="37" t="str">
        <f aca="false">IF(AC557&lt;T557,"SIM","NÃO")</f>
        <v>NÃO</v>
      </c>
      <c r="AH557" s="37" t="n">
        <v>13</v>
      </c>
      <c r="AI557" s="37" t="n">
        <v>10</v>
      </c>
      <c r="AJ557" s="37" t="s">
        <v>323</v>
      </c>
    </row>
    <row r="558" customFormat="false" ht="15" hidden="false" customHeight="false" outlineLevel="0" collapsed="false">
      <c r="A558" s="37" t="n">
        <v>371647370</v>
      </c>
      <c r="B558" s="38" t="n">
        <v>46238.6212847222</v>
      </c>
      <c r="C558" s="37" t="s">
        <v>320</v>
      </c>
      <c r="D558" s="37" t="s">
        <v>870</v>
      </c>
      <c r="E558" s="37" t="n">
        <v>24330325</v>
      </c>
      <c r="F558" s="37" t="s">
        <v>143</v>
      </c>
      <c r="G558" s="37" t="s">
        <v>207</v>
      </c>
      <c r="H558" s="37" t="s">
        <v>169</v>
      </c>
      <c r="I558" s="37" t="n">
        <v>39</v>
      </c>
      <c r="J558" s="39" t="n">
        <v>496.79</v>
      </c>
      <c r="K558" s="37" t="s">
        <v>322</v>
      </c>
      <c r="L558" s="39" t="n">
        <v>113.33</v>
      </c>
      <c r="M558" s="39" t="n">
        <v>79.65</v>
      </c>
      <c r="N558" s="39" t="n">
        <f aca="false">J558*Resumo!$C$7</f>
        <v>0.99358</v>
      </c>
      <c r="O558" s="39" t="n">
        <f aca="false">J558*Resumo!$C$8</f>
        <v>0.99358</v>
      </c>
      <c r="P558" s="39" t="n">
        <f aca="false">Resumo!$C$10*CEILING(I558/100,1)</f>
        <v>1</v>
      </c>
      <c r="Q558" s="39" t="n">
        <f aca="false">Resumo!$C$9</f>
        <v>11.9</v>
      </c>
      <c r="R558" s="39" t="n">
        <f aca="false">SUM(M558:Q558)*Resumo!$C$11</f>
        <v>5.1995438</v>
      </c>
      <c r="S558" s="39" t="n">
        <f aca="false">SUM(M558:R558)</f>
        <v>99.7367038</v>
      </c>
      <c r="T558" s="39" t="n">
        <f aca="false">S558/(1-Resumo!$C$5)</f>
        <v>113.337163409091</v>
      </c>
      <c r="U558" s="39" t="n">
        <v>114.95</v>
      </c>
      <c r="V558" s="39" t="n">
        <f aca="false">J558*Resumo!$B$6</f>
        <v>0.49679</v>
      </c>
      <c r="W558" s="39" t="n">
        <f aca="false">J558*Resumo!$B$7</f>
        <v>0.99358</v>
      </c>
      <c r="X558" s="39" t="n">
        <f aca="false">Resumo!$B$9</f>
        <v>1</v>
      </c>
      <c r="Y558" s="39" t="n">
        <f aca="false">Resumo!$B$10*CEILING(I558/100,1)</f>
        <v>4.5</v>
      </c>
      <c r="Z558" s="39" t="n">
        <f aca="false">Resumo!$B$12*CEILING(I558,1)</f>
        <v>2.34</v>
      </c>
      <c r="AA558" s="39" t="n">
        <f aca="false">Resumo!$B$13*CEILING(I558,1)</f>
        <v>17.55</v>
      </c>
      <c r="AB558" s="39" t="n">
        <f aca="false">SUM(U558:AA558)</f>
        <v>141.83037</v>
      </c>
      <c r="AC558" s="39" t="n">
        <f aca="false">AB558/(1-Resumo!$B$5)</f>
        <v>161.170875</v>
      </c>
      <c r="AD558" s="39" t="n">
        <f aca="false">(AB558-AA558)/(1-Resumo!$B$5)</f>
        <v>141.227693181818</v>
      </c>
      <c r="AE558" s="39" t="n">
        <f aca="false">AC558-T558</f>
        <v>47.8337115909091</v>
      </c>
      <c r="AF558" s="40" t="n">
        <f aca="false">AC558/T558-1</f>
        <v>0.422047898077819</v>
      </c>
      <c r="AG558" s="37" t="str">
        <f aca="false">IF(AC558&lt;T558,"SIM","NÃO")</f>
        <v>NÃO</v>
      </c>
      <c r="AH558" s="37" t="n">
        <v>10</v>
      </c>
      <c r="AI558" s="37" t="n">
        <v>7</v>
      </c>
      <c r="AJ558" s="37" t="s">
        <v>323</v>
      </c>
    </row>
    <row r="559" customFormat="false" ht="15" hidden="false" customHeight="false" outlineLevel="0" collapsed="false">
      <c r="A559" s="37" t="n">
        <v>371652870</v>
      </c>
      <c r="B559" s="38" t="n">
        <v>46238.6306365741</v>
      </c>
      <c r="C559" s="37" t="s">
        <v>320</v>
      </c>
      <c r="D559" s="37" t="s">
        <v>871</v>
      </c>
      <c r="E559" s="37" t="n">
        <v>26112250</v>
      </c>
      <c r="F559" s="37" t="s">
        <v>145</v>
      </c>
      <c r="G559" s="37" t="s">
        <v>207</v>
      </c>
      <c r="H559" s="37" t="s">
        <v>168</v>
      </c>
      <c r="I559" s="37" t="n">
        <v>22.4</v>
      </c>
      <c r="J559" s="39" t="n">
        <v>440.99</v>
      </c>
      <c r="K559" s="37" t="s">
        <v>365</v>
      </c>
      <c r="L559" s="39" t="n">
        <v>86.03</v>
      </c>
      <c r="M559" s="39" t="n">
        <v>70</v>
      </c>
      <c r="N559" s="39" t="n">
        <f aca="false">J559*Resumo!$C$7</f>
        <v>0.88198</v>
      </c>
      <c r="O559" s="39" t="n">
        <f aca="false">J559*Resumo!$C$8</f>
        <v>0.88198</v>
      </c>
      <c r="P559" s="39" t="n">
        <f aca="false">Resumo!$C$10*CEILING(I559/100,1)</f>
        <v>1</v>
      </c>
      <c r="Q559" s="39" t="n">
        <f aca="false">Resumo!$C$9</f>
        <v>11.9</v>
      </c>
      <c r="R559" s="39" t="n">
        <f aca="false">SUM(M559:Q559)*Resumo!$C$11</f>
        <v>4.6565178</v>
      </c>
      <c r="S559" s="39" t="n">
        <f aca="false">SUM(M559:R559)</f>
        <v>89.3204778</v>
      </c>
      <c r="T559" s="39" t="n">
        <f aca="false">S559/(1-Resumo!$C$5)</f>
        <v>101.500542954545</v>
      </c>
      <c r="U559" s="39" t="n">
        <v>82.21</v>
      </c>
      <c r="V559" s="39" t="n">
        <f aca="false">J559*Resumo!$B$6</f>
        <v>0.44099</v>
      </c>
      <c r="W559" s="39" t="n">
        <f aca="false">J559*Resumo!$B$7</f>
        <v>0.88198</v>
      </c>
      <c r="X559" s="39" t="n">
        <f aca="false">Resumo!$B$9</f>
        <v>1</v>
      </c>
      <c r="Y559" s="39" t="n">
        <f aca="false">Resumo!$B$10*CEILING(I559/100,1)</f>
        <v>4.5</v>
      </c>
      <c r="Z559" s="39" t="n">
        <f aca="false">Resumo!$B$12*CEILING(I559,1)</f>
        <v>1.38</v>
      </c>
      <c r="AA559" s="39" t="n">
        <f aca="false">Resumo!$B$13*CEILING(I559,1)</f>
        <v>10.35</v>
      </c>
      <c r="AB559" s="39" t="n">
        <f aca="false">SUM(U559:AA559)</f>
        <v>100.76297</v>
      </c>
      <c r="AC559" s="39" t="n">
        <f aca="false">AB559/(1-Resumo!$B$5)</f>
        <v>114.503375</v>
      </c>
      <c r="AD559" s="39" t="n">
        <f aca="false">(AB559-AA559)/(1-Resumo!$B$5)</f>
        <v>102.742011363636</v>
      </c>
      <c r="AE559" s="39" t="n">
        <f aca="false">AC559-T559</f>
        <v>13.0028320454545</v>
      </c>
      <c r="AF559" s="40" t="n">
        <f aca="false">AC559/T559-1</f>
        <v>0.128106034381289</v>
      </c>
      <c r="AG559" s="37" t="str">
        <f aca="false">IF(AC559&lt;T559,"SIM","NÃO")</f>
        <v>NÃO</v>
      </c>
      <c r="AH559" s="37" t="n">
        <v>10</v>
      </c>
      <c r="AI559" s="37" t="n">
        <v>5</v>
      </c>
      <c r="AJ559" s="37" t="s">
        <v>323</v>
      </c>
    </row>
    <row r="560" customFormat="false" ht="15" hidden="false" customHeight="false" outlineLevel="0" collapsed="false">
      <c r="A560" s="37" t="n">
        <v>371659358</v>
      </c>
      <c r="B560" s="38" t="n">
        <v>46238.6421412037</v>
      </c>
      <c r="C560" s="37" t="s">
        <v>325</v>
      </c>
      <c r="D560" s="37" t="s">
        <v>872</v>
      </c>
      <c r="E560" s="37" t="n">
        <v>23525180</v>
      </c>
      <c r="F560" s="37" t="s">
        <v>139</v>
      </c>
      <c r="G560" s="37" t="s">
        <v>198</v>
      </c>
      <c r="H560" s="37" t="s">
        <v>173</v>
      </c>
      <c r="I560" s="37" t="n">
        <v>79.55</v>
      </c>
      <c r="J560" s="39" t="n">
        <v>936.56</v>
      </c>
      <c r="K560" s="37" t="s">
        <v>498</v>
      </c>
      <c r="L560" s="39" t="n">
        <v>140.25</v>
      </c>
      <c r="M560" s="39" t="n">
        <v>97.6</v>
      </c>
      <c r="N560" s="39" t="n">
        <f aca="false">J560*Resumo!$C$7</f>
        <v>1.87312</v>
      </c>
      <c r="O560" s="39" t="n">
        <f aca="false">J560*Resumo!$C$8</f>
        <v>1.87312</v>
      </c>
      <c r="P560" s="39" t="n">
        <f aca="false">Resumo!$C$10*CEILING(I560/100,1)</f>
        <v>1</v>
      </c>
      <c r="Q560" s="39" t="n">
        <f aca="false">Resumo!$C$9</f>
        <v>11.9</v>
      </c>
      <c r="R560" s="39" t="n">
        <f aca="false">SUM(M560:Q560)*Resumo!$C$11</f>
        <v>6.2835432</v>
      </c>
      <c r="S560" s="39" t="n">
        <f aca="false">SUM(M560:R560)</f>
        <v>120.5297832</v>
      </c>
      <c r="T560" s="39" t="n">
        <f aca="false">S560/(1-Resumo!$C$5)</f>
        <v>136.965662727273</v>
      </c>
      <c r="U560" s="39" t="n">
        <v>134.39</v>
      </c>
      <c r="V560" s="39" t="n">
        <f aca="false">J560*Resumo!$B$6</f>
        <v>0.93656</v>
      </c>
      <c r="W560" s="39" t="n">
        <f aca="false">J560*Resumo!$B$7</f>
        <v>1.87312</v>
      </c>
      <c r="X560" s="39" t="n">
        <f aca="false">Resumo!$B$9</f>
        <v>1</v>
      </c>
      <c r="Y560" s="39" t="n">
        <f aca="false">Resumo!$B$10*CEILING(I560/100,1)</f>
        <v>4.5</v>
      </c>
      <c r="Z560" s="39" t="n">
        <f aca="false">Resumo!$B$12*CEILING(I560,1)</f>
        <v>4.8</v>
      </c>
      <c r="AA560" s="39" t="n">
        <f aca="false">Resumo!$B$13*CEILING(I560,1)</f>
        <v>36</v>
      </c>
      <c r="AB560" s="39" t="n">
        <f aca="false">SUM(U560:AA560)</f>
        <v>183.49968</v>
      </c>
      <c r="AC560" s="39" t="n">
        <f aca="false">AB560/(1-Resumo!$B$5)</f>
        <v>208.522363636364</v>
      </c>
      <c r="AD560" s="39" t="n">
        <f aca="false">(AB560-AA560)/(1-Resumo!$B$5)</f>
        <v>167.613272727273</v>
      </c>
      <c r="AE560" s="39" t="n">
        <f aca="false">AC560-T560</f>
        <v>71.5567009090909</v>
      </c>
      <c r="AF560" s="40" t="n">
        <f aca="false">AC560/T560-1</f>
        <v>0.522442628935219</v>
      </c>
      <c r="AG560" s="37" t="str">
        <f aca="false">IF(AC560&lt;T560,"SIM","NÃO")</f>
        <v>NÃO</v>
      </c>
      <c r="AH560" s="37" t="n">
        <v>8</v>
      </c>
      <c r="AI560" s="37" t="n">
        <v>5</v>
      </c>
      <c r="AJ560" s="37" t="s">
        <v>323</v>
      </c>
    </row>
    <row r="561" customFormat="false" ht="15" hidden="false" customHeight="false" outlineLevel="0" collapsed="false">
      <c r="A561" s="37" t="n">
        <v>371660466</v>
      </c>
      <c r="B561" s="38" t="n">
        <v>46238.6444212963</v>
      </c>
      <c r="C561" s="37" t="s">
        <v>320</v>
      </c>
      <c r="D561" s="37" t="s">
        <v>873</v>
      </c>
      <c r="E561" s="37" t="n">
        <v>26600000</v>
      </c>
      <c r="F561" s="37" t="s">
        <v>225</v>
      </c>
      <c r="G561" s="37" t="s">
        <v>201</v>
      </c>
      <c r="H561" s="37" t="s">
        <v>168</v>
      </c>
      <c r="I561" s="37" t="n">
        <v>33</v>
      </c>
      <c r="J561" s="39" t="n">
        <v>378.99</v>
      </c>
      <c r="K561" s="37" t="s">
        <v>498</v>
      </c>
      <c r="L561" s="39" t="n">
        <v>109.86</v>
      </c>
      <c r="M561" s="39" t="n">
        <v>76.5</v>
      </c>
      <c r="N561" s="39" t="n">
        <f aca="false">J561*Resumo!$C$7</f>
        <v>0.75798</v>
      </c>
      <c r="O561" s="39" t="n">
        <f aca="false">J561*Resumo!$C$8</f>
        <v>0.75798</v>
      </c>
      <c r="P561" s="39" t="n">
        <f aca="false">Resumo!$C$10*CEILING(I561/100,1)</f>
        <v>1</v>
      </c>
      <c r="Q561" s="39" t="n">
        <f aca="false">Resumo!$C$9</f>
        <v>11.9</v>
      </c>
      <c r="R561" s="39" t="n">
        <f aca="false">SUM(M561:Q561)*Resumo!$C$11</f>
        <v>5.0003778</v>
      </c>
      <c r="S561" s="39" t="n">
        <f aca="false">SUM(M561:R561)</f>
        <v>95.9163378</v>
      </c>
      <c r="T561" s="39" t="n">
        <f aca="false">S561/(1-Resumo!$C$5)</f>
        <v>108.995838409091</v>
      </c>
      <c r="U561" s="39" t="n">
        <v>108.83</v>
      </c>
      <c r="V561" s="39" t="n">
        <f aca="false">J561*Resumo!$B$6</f>
        <v>0.37899</v>
      </c>
      <c r="W561" s="39" t="n">
        <f aca="false">J561*Resumo!$B$7</f>
        <v>0.75798</v>
      </c>
      <c r="X561" s="39" t="n">
        <f aca="false">Resumo!$B$9</f>
        <v>1</v>
      </c>
      <c r="Y561" s="39" t="n">
        <f aca="false">Resumo!$B$10*CEILING(I561/100,1)</f>
        <v>4.5</v>
      </c>
      <c r="Z561" s="39" t="n">
        <f aca="false">Resumo!$B$12*CEILING(I561,1)</f>
        <v>1.98</v>
      </c>
      <c r="AA561" s="39" t="n">
        <f aca="false">Resumo!$B$13*CEILING(I561,1)</f>
        <v>14.85</v>
      </c>
      <c r="AB561" s="39" t="n">
        <f aca="false">SUM(U561:AA561)</f>
        <v>132.29697</v>
      </c>
      <c r="AC561" s="39" t="n">
        <f aca="false">AB561/(1-Resumo!$B$5)</f>
        <v>150.337465909091</v>
      </c>
      <c r="AD561" s="39" t="n">
        <f aca="false">(AB561-AA561)/(1-Resumo!$B$5)</f>
        <v>133.462465909091</v>
      </c>
      <c r="AE561" s="39" t="n">
        <f aca="false">AC561-T561</f>
        <v>41.3416275</v>
      </c>
      <c r="AF561" s="40" t="n">
        <f aca="false">AC561/T561-1</f>
        <v>0.379295467638257</v>
      </c>
      <c r="AG561" s="37" t="str">
        <f aca="false">IF(AC561&lt;T561,"SIM","NÃO")</f>
        <v>NÃO</v>
      </c>
      <c r="AH561" s="37" t="n">
        <v>13</v>
      </c>
      <c r="AI561" s="37" t="n">
        <v>10</v>
      </c>
      <c r="AJ561" s="37" t="s">
        <v>327</v>
      </c>
    </row>
    <row r="562" customFormat="false" ht="15" hidden="false" customHeight="false" outlineLevel="0" collapsed="false">
      <c r="A562" s="37" t="n">
        <v>371664573</v>
      </c>
      <c r="B562" s="38" t="n">
        <v>46238.6514467593</v>
      </c>
      <c r="C562" s="37" t="s">
        <v>320</v>
      </c>
      <c r="D562" s="37" t="s">
        <v>874</v>
      </c>
      <c r="E562" s="37" t="n">
        <v>26291320</v>
      </c>
      <c r="F562" s="37" t="s">
        <v>142</v>
      </c>
      <c r="G562" s="37" t="s">
        <v>207</v>
      </c>
      <c r="H562" s="37" t="s">
        <v>171</v>
      </c>
      <c r="I562" s="37" t="n">
        <v>52.3</v>
      </c>
      <c r="J562" s="39" t="n">
        <v>669.99</v>
      </c>
      <c r="K562" s="37" t="s">
        <v>498</v>
      </c>
      <c r="L562" s="39" t="n">
        <v>127.56</v>
      </c>
      <c r="M562" s="39" t="n">
        <v>91.6</v>
      </c>
      <c r="N562" s="39" t="n">
        <f aca="false">J562*Resumo!$C$7</f>
        <v>1.33998</v>
      </c>
      <c r="O562" s="39" t="n">
        <f aca="false">J562*Resumo!$C$8</f>
        <v>1.33998</v>
      </c>
      <c r="P562" s="39" t="n">
        <f aca="false">Resumo!$C$10*CEILING(I562/100,1)</f>
        <v>1</v>
      </c>
      <c r="Q562" s="39" t="n">
        <f aca="false">Resumo!$C$9</f>
        <v>11.9</v>
      </c>
      <c r="R562" s="39" t="n">
        <f aca="false">SUM(M562:Q562)*Resumo!$C$11</f>
        <v>5.8948978</v>
      </c>
      <c r="S562" s="39" t="n">
        <f aca="false">SUM(M562:R562)</f>
        <v>113.0748578</v>
      </c>
      <c r="T562" s="39" t="n">
        <f aca="false">S562/(1-Resumo!$C$5)</f>
        <v>128.494156590909</v>
      </c>
      <c r="U562" s="39" t="n">
        <v>112.3</v>
      </c>
      <c r="V562" s="39" t="n">
        <f aca="false">J562*Resumo!$B$6</f>
        <v>0.66999</v>
      </c>
      <c r="W562" s="39" t="n">
        <f aca="false">J562*Resumo!$B$7</f>
        <v>1.33998</v>
      </c>
      <c r="X562" s="39" t="n">
        <f aca="false">Resumo!$B$9</f>
        <v>1</v>
      </c>
      <c r="Y562" s="39" t="n">
        <f aca="false">Resumo!$B$10*CEILING(I562/100,1)</f>
        <v>4.5</v>
      </c>
      <c r="Z562" s="39" t="n">
        <f aca="false">Resumo!$B$12*CEILING(I562,1)</f>
        <v>3.18</v>
      </c>
      <c r="AA562" s="39" t="n">
        <f aca="false">Resumo!$B$13*CEILING(I562,1)</f>
        <v>23.85</v>
      </c>
      <c r="AB562" s="39" t="n">
        <f aca="false">SUM(U562:AA562)</f>
        <v>146.83997</v>
      </c>
      <c r="AC562" s="39" t="n">
        <f aca="false">AB562/(1-Resumo!$B$5)</f>
        <v>166.863602272727</v>
      </c>
      <c r="AD562" s="39" t="n">
        <f aca="false">(AB562-AA562)/(1-Resumo!$B$5)</f>
        <v>139.761329545455</v>
      </c>
      <c r="AE562" s="39" t="n">
        <f aca="false">AC562-T562</f>
        <v>38.3694456818182</v>
      </c>
      <c r="AF562" s="40" t="n">
        <f aca="false">AC562/T562-1</f>
        <v>0.29860848695226</v>
      </c>
      <c r="AG562" s="37" t="str">
        <f aca="false">IF(AC562&lt;T562,"SIM","NÃO")</f>
        <v>NÃO</v>
      </c>
      <c r="AH562" s="37" t="n">
        <v>10</v>
      </c>
      <c r="AI562" s="37" t="n">
        <v>5</v>
      </c>
      <c r="AJ562" s="37" t="s">
        <v>323</v>
      </c>
    </row>
    <row r="563" customFormat="false" ht="15" hidden="false" customHeight="false" outlineLevel="0" collapsed="false">
      <c r="A563" s="37" t="n">
        <v>371667551</v>
      </c>
      <c r="B563" s="38" t="n">
        <v>46238.6570601852</v>
      </c>
      <c r="C563" s="37" t="s">
        <v>320</v>
      </c>
      <c r="D563" s="37" t="s">
        <v>875</v>
      </c>
      <c r="E563" s="37" t="n">
        <v>26265090</v>
      </c>
      <c r="F563" s="37" t="s">
        <v>142</v>
      </c>
      <c r="G563" s="37" t="s">
        <v>207</v>
      </c>
      <c r="H563" s="37" t="s">
        <v>171</v>
      </c>
      <c r="I563" s="37" t="n">
        <v>52.3</v>
      </c>
      <c r="J563" s="39" t="n">
        <v>669.99</v>
      </c>
      <c r="K563" s="37" t="s">
        <v>498</v>
      </c>
      <c r="L563" s="39" t="n">
        <v>127.56</v>
      </c>
      <c r="M563" s="39" t="n">
        <v>91.6</v>
      </c>
      <c r="N563" s="39" t="n">
        <f aca="false">J563*Resumo!$C$7</f>
        <v>1.33998</v>
      </c>
      <c r="O563" s="39" t="n">
        <f aca="false">J563*Resumo!$C$8</f>
        <v>1.33998</v>
      </c>
      <c r="P563" s="39" t="n">
        <f aca="false">Resumo!$C$10*CEILING(I563/100,1)</f>
        <v>1</v>
      </c>
      <c r="Q563" s="39" t="n">
        <f aca="false">Resumo!$C$9</f>
        <v>11.9</v>
      </c>
      <c r="R563" s="39" t="n">
        <f aca="false">SUM(M563:Q563)*Resumo!$C$11</f>
        <v>5.8948978</v>
      </c>
      <c r="S563" s="39" t="n">
        <f aca="false">SUM(M563:R563)</f>
        <v>113.0748578</v>
      </c>
      <c r="T563" s="39" t="n">
        <f aca="false">S563/(1-Resumo!$C$5)</f>
        <v>128.494156590909</v>
      </c>
      <c r="U563" s="39" t="n">
        <v>112.3</v>
      </c>
      <c r="V563" s="39" t="n">
        <f aca="false">J563*Resumo!$B$6</f>
        <v>0.66999</v>
      </c>
      <c r="W563" s="39" t="n">
        <f aca="false">J563*Resumo!$B$7</f>
        <v>1.33998</v>
      </c>
      <c r="X563" s="39" t="n">
        <f aca="false">Resumo!$B$9</f>
        <v>1</v>
      </c>
      <c r="Y563" s="39" t="n">
        <f aca="false">Resumo!$B$10*CEILING(I563/100,1)</f>
        <v>4.5</v>
      </c>
      <c r="Z563" s="39" t="n">
        <f aca="false">Resumo!$B$12*CEILING(I563,1)</f>
        <v>3.18</v>
      </c>
      <c r="AA563" s="39" t="n">
        <f aca="false">Resumo!$B$13*CEILING(I563,1)</f>
        <v>23.85</v>
      </c>
      <c r="AB563" s="39" t="n">
        <f aca="false">SUM(U563:AA563)</f>
        <v>146.83997</v>
      </c>
      <c r="AC563" s="39" t="n">
        <f aca="false">AB563/(1-Resumo!$B$5)</f>
        <v>166.863602272727</v>
      </c>
      <c r="AD563" s="39" t="n">
        <f aca="false">(AB563-AA563)/(1-Resumo!$B$5)</f>
        <v>139.761329545455</v>
      </c>
      <c r="AE563" s="39" t="n">
        <f aca="false">AC563-T563</f>
        <v>38.3694456818182</v>
      </c>
      <c r="AF563" s="40" t="n">
        <f aca="false">AC563/T563-1</f>
        <v>0.29860848695226</v>
      </c>
      <c r="AG563" s="37" t="str">
        <f aca="false">IF(AC563&lt;T563,"SIM","NÃO")</f>
        <v>NÃO</v>
      </c>
      <c r="AH563" s="37" t="n">
        <v>10</v>
      </c>
      <c r="AI563" s="37" t="n">
        <v>5</v>
      </c>
      <c r="AJ563" s="37" t="s">
        <v>323</v>
      </c>
    </row>
    <row r="564" customFormat="false" ht="15" hidden="false" customHeight="false" outlineLevel="0" collapsed="false">
      <c r="A564" s="37" t="n">
        <v>371668342</v>
      </c>
      <c r="B564" s="38" t="n">
        <v>46238.6578819445</v>
      </c>
      <c r="C564" s="37" t="s">
        <v>320</v>
      </c>
      <c r="D564" s="37" t="s">
        <v>873</v>
      </c>
      <c r="E564" s="37" t="n">
        <v>26600000</v>
      </c>
      <c r="F564" s="37" t="s">
        <v>225</v>
      </c>
      <c r="G564" s="37" t="s">
        <v>201</v>
      </c>
      <c r="H564" s="37" t="s">
        <v>167</v>
      </c>
      <c r="I564" s="37" t="n">
        <v>19.5</v>
      </c>
      <c r="J564" s="39" t="n">
        <v>359.99</v>
      </c>
      <c r="K564" s="37" t="s">
        <v>498</v>
      </c>
      <c r="L564" s="39" t="n">
        <v>81.9</v>
      </c>
      <c r="M564" s="39" t="n">
        <v>52.71</v>
      </c>
      <c r="N564" s="39" t="n">
        <f aca="false">J564*Resumo!$C$7</f>
        <v>0.71998</v>
      </c>
      <c r="O564" s="39" t="n">
        <f aca="false">J564*Resumo!$C$8</f>
        <v>0.71998</v>
      </c>
      <c r="P564" s="39" t="n">
        <f aca="false">Resumo!$C$10*CEILING(I564/100,1)</f>
        <v>1</v>
      </c>
      <c r="Q564" s="39" t="n">
        <f aca="false">Resumo!$C$9</f>
        <v>11.9</v>
      </c>
      <c r="R564" s="39" t="n">
        <f aca="false">SUM(M564:Q564)*Resumo!$C$11</f>
        <v>3.6877478</v>
      </c>
      <c r="S564" s="39" t="n">
        <f aca="false">SUM(M564:R564)</f>
        <v>70.7377078</v>
      </c>
      <c r="T564" s="39" t="n">
        <f aca="false">S564/(1-Resumo!$C$5)</f>
        <v>80.3837588636364</v>
      </c>
      <c r="U564" s="39" t="n">
        <v>77.35</v>
      </c>
      <c r="V564" s="39" t="n">
        <f aca="false">J564*Resumo!$B$6</f>
        <v>0.35999</v>
      </c>
      <c r="W564" s="39" t="n">
        <f aca="false">J564*Resumo!$B$7</f>
        <v>0.71998</v>
      </c>
      <c r="X564" s="39" t="n">
        <f aca="false">Resumo!$B$9</f>
        <v>1</v>
      </c>
      <c r="Y564" s="39" t="n">
        <f aca="false">Resumo!$B$10*CEILING(I564/100,1)</f>
        <v>4.5</v>
      </c>
      <c r="Z564" s="39" t="n">
        <f aca="false">Resumo!$B$12*CEILING(I564,1)</f>
        <v>1.2</v>
      </c>
      <c r="AA564" s="39" t="n">
        <f aca="false">Resumo!$B$13*CEILING(I564,1)</f>
        <v>9</v>
      </c>
      <c r="AB564" s="39" t="n">
        <f aca="false">SUM(U564:AA564)</f>
        <v>94.12997</v>
      </c>
      <c r="AC564" s="39" t="n">
        <f aca="false">AB564/(1-Resumo!$B$5)</f>
        <v>106.965875</v>
      </c>
      <c r="AD564" s="39" t="n">
        <f aca="false">(AB564-AA564)/(1-Resumo!$B$5)</f>
        <v>96.7386022727273</v>
      </c>
      <c r="AE564" s="39" t="n">
        <f aca="false">AC564-T564</f>
        <v>26.5821161363636</v>
      </c>
      <c r="AF564" s="40" t="n">
        <f aca="false">AC564/T564-1</f>
        <v>0.330690135820319</v>
      </c>
      <c r="AG564" s="37" t="str">
        <f aca="false">IF(AC564&lt;T564,"SIM","NÃO")</f>
        <v>NÃO</v>
      </c>
      <c r="AH564" s="37" t="n">
        <v>13</v>
      </c>
      <c r="AI564" s="37" t="n">
        <v>10</v>
      </c>
      <c r="AJ564" s="37" t="s">
        <v>327</v>
      </c>
    </row>
    <row r="565" customFormat="false" ht="15" hidden="false" customHeight="false" outlineLevel="0" collapsed="false">
      <c r="A565" s="37" t="n">
        <v>371675190</v>
      </c>
      <c r="B565" s="38" t="n">
        <v>46238.6725462963</v>
      </c>
      <c r="C565" s="37" t="s">
        <v>320</v>
      </c>
      <c r="D565" s="37" t="s">
        <v>876</v>
      </c>
      <c r="E565" s="37" t="n">
        <v>20710350</v>
      </c>
      <c r="F565" s="37" t="s">
        <v>139</v>
      </c>
      <c r="G565" s="37" t="s">
        <v>198</v>
      </c>
      <c r="H565" s="37" t="s">
        <v>170</v>
      </c>
      <c r="I565" s="37" t="n">
        <v>41</v>
      </c>
      <c r="J565" s="39" t="n">
        <v>498.19</v>
      </c>
      <c r="K565" s="37" t="s">
        <v>498</v>
      </c>
      <c r="L565" s="39" t="n">
        <v>100.8</v>
      </c>
      <c r="M565" s="39" t="n">
        <v>71</v>
      </c>
      <c r="N565" s="39" t="n">
        <f aca="false">J565*Resumo!$C$7</f>
        <v>0.99638</v>
      </c>
      <c r="O565" s="39" t="n">
        <f aca="false">J565*Resumo!$C$8</f>
        <v>0.99638</v>
      </c>
      <c r="P565" s="39" t="n">
        <f aca="false">Resumo!$C$10*CEILING(I565/100,1)</f>
        <v>1</v>
      </c>
      <c r="Q565" s="39" t="n">
        <f aca="false">Resumo!$C$9</f>
        <v>11.9</v>
      </c>
      <c r="R565" s="39" t="n">
        <f aca="false">SUM(M565:Q565)*Resumo!$C$11</f>
        <v>4.7241018</v>
      </c>
      <c r="S565" s="39" t="n">
        <f aca="false">SUM(M565:R565)</f>
        <v>90.6168618</v>
      </c>
      <c r="T565" s="39" t="n">
        <f aca="false">S565/(1-Resumo!$C$5)</f>
        <v>102.973706590909</v>
      </c>
      <c r="U565" s="39" t="n">
        <v>93.97</v>
      </c>
      <c r="V565" s="39" t="n">
        <f aca="false">J565*Resumo!$B$6</f>
        <v>0.49819</v>
      </c>
      <c r="W565" s="39" t="n">
        <f aca="false">J565*Resumo!$B$7</f>
        <v>0.99638</v>
      </c>
      <c r="X565" s="39" t="n">
        <f aca="false">Resumo!$B$9</f>
        <v>1</v>
      </c>
      <c r="Y565" s="39" t="n">
        <f aca="false">Resumo!$B$10*CEILING(I565/100,1)</f>
        <v>4.5</v>
      </c>
      <c r="Z565" s="39" t="n">
        <f aca="false">Resumo!$B$12*CEILING(I565,1)</f>
        <v>2.46</v>
      </c>
      <c r="AA565" s="39" t="n">
        <f aca="false">Resumo!$B$13*CEILING(I565,1)</f>
        <v>18.45</v>
      </c>
      <c r="AB565" s="39" t="n">
        <f aca="false">SUM(U565:AA565)</f>
        <v>121.87457</v>
      </c>
      <c r="AC565" s="39" t="n">
        <f aca="false">AB565/(1-Resumo!$B$5)</f>
        <v>138.493829545455</v>
      </c>
      <c r="AD565" s="39" t="n">
        <f aca="false">(AB565-AA565)/(1-Resumo!$B$5)</f>
        <v>117.527920454545</v>
      </c>
      <c r="AE565" s="39" t="n">
        <f aca="false">AC565-T565</f>
        <v>35.5201229545455</v>
      </c>
      <c r="AF565" s="40" t="n">
        <f aca="false">AC565/T565-1</f>
        <v>0.344943618429302</v>
      </c>
      <c r="AG565" s="37" t="str">
        <f aca="false">IF(AC565&lt;T565,"SIM","NÃO")</f>
        <v>NÃO</v>
      </c>
      <c r="AH565" s="37" t="n">
        <v>8</v>
      </c>
      <c r="AI565" s="37" t="n">
        <v>5</v>
      </c>
      <c r="AJ565" s="37" t="s">
        <v>323</v>
      </c>
    </row>
    <row r="566" customFormat="false" ht="15" hidden="false" customHeight="false" outlineLevel="0" collapsed="false">
      <c r="A566" s="37" t="n">
        <v>371676262</v>
      </c>
      <c r="B566" s="38" t="n">
        <v>46238.6750925926</v>
      </c>
      <c r="C566" s="37" t="s">
        <v>320</v>
      </c>
      <c r="D566" s="37" t="s">
        <v>877</v>
      </c>
      <c r="E566" s="37" t="n">
        <v>21862390</v>
      </c>
      <c r="F566" s="37" t="s">
        <v>139</v>
      </c>
      <c r="G566" s="37" t="s">
        <v>198</v>
      </c>
      <c r="H566" s="37" t="s">
        <v>172</v>
      </c>
      <c r="I566" s="37" t="n">
        <v>61.4</v>
      </c>
      <c r="J566" s="39" t="n">
        <v>919.99</v>
      </c>
      <c r="K566" s="37" t="s">
        <v>322</v>
      </c>
      <c r="L566" s="39" t="n">
        <v>125.61</v>
      </c>
      <c r="M566" s="39" t="n">
        <v>88.2</v>
      </c>
      <c r="N566" s="39" t="n">
        <f aca="false">J566*Resumo!$C$7</f>
        <v>1.83998</v>
      </c>
      <c r="O566" s="39" t="n">
        <f aca="false">J566*Resumo!$C$8</f>
        <v>1.83998</v>
      </c>
      <c r="P566" s="39" t="n">
        <f aca="false">Resumo!$C$10*CEILING(I566/100,1)</f>
        <v>1</v>
      </c>
      <c r="Q566" s="39" t="n">
        <f aca="false">Resumo!$C$9</f>
        <v>11.9</v>
      </c>
      <c r="R566" s="39" t="n">
        <f aca="false">SUM(M566:Q566)*Resumo!$C$11</f>
        <v>5.7628978</v>
      </c>
      <c r="S566" s="39" t="n">
        <f aca="false">SUM(M566:R566)</f>
        <v>110.5428578</v>
      </c>
      <c r="T566" s="39" t="n">
        <f aca="false">S566/(1-Resumo!$C$5)</f>
        <v>125.616883863636</v>
      </c>
      <c r="U566" s="39" t="n">
        <v>131.02</v>
      </c>
      <c r="V566" s="39" t="n">
        <f aca="false">J566*Resumo!$B$6</f>
        <v>0.91999</v>
      </c>
      <c r="W566" s="39" t="n">
        <f aca="false">J566*Resumo!$B$7</f>
        <v>1.83998</v>
      </c>
      <c r="X566" s="39" t="n">
        <f aca="false">Resumo!$B$9</f>
        <v>1</v>
      </c>
      <c r="Y566" s="39" t="n">
        <f aca="false">Resumo!$B$10*CEILING(I566/100,1)</f>
        <v>4.5</v>
      </c>
      <c r="Z566" s="39" t="n">
        <f aca="false">Resumo!$B$12*CEILING(I566,1)</f>
        <v>3.72</v>
      </c>
      <c r="AA566" s="39" t="n">
        <f aca="false">Resumo!$B$13*CEILING(I566,1)</f>
        <v>27.9</v>
      </c>
      <c r="AB566" s="39" t="n">
        <f aca="false">SUM(U566:AA566)</f>
        <v>170.89997</v>
      </c>
      <c r="AC566" s="39" t="n">
        <f aca="false">AB566/(1-Resumo!$B$5)</f>
        <v>194.204511363636</v>
      </c>
      <c r="AD566" s="39" t="n">
        <f aca="false">(AB566-AA566)/(1-Resumo!$B$5)</f>
        <v>162.499965909091</v>
      </c>
      <c r="AE566" s="39" t="n">
        <f aca="false">AC566-T566</f>
        <v>68.5876275</v>
      </c>
      <c r="AF566" s="40" t="n">
        <f aca="false">AC566/T566-1</f>
        <v>0.546006439504226</v>
      </c>
      <c r="AG566" s="37" t="str">
        <f aca="false">IF(AC566&lt;T566,"SIM","NÃO")</f>
        <v>NÃO</v>
      </c>
      <c r="AH566" s="37" t="n">
        <v>8</v>
      </c>
      <c r="AI566" s="37" t="n">
        <v>5</v>
      </c>
      <c r="AJ566" s="37" t="s">
        <v>323</v>
      </c>
    </row>
    <row r="567" customFormat="false" ht="15" hidden="false" customHeight="false" outlineLevel="0" collapsed="false">
      <c r="A567" s="37" t="n">
        <v>371678849</v>
      </c>
      <c r="B567" s="38" t="n">
        <v>46238.6809375</v>
      </c>
      <c r="C567" s="37" t="s">
        <v>320</v>
      </c>
      <c r="D567" s="37" t="s">
        <v>878</v>
      </c>
      <c r="E567" s="37" t="n">
        <v>28941013</v>
      </c>
      <c r="F567" s="37" t="s">
        <v>278</v>
      </c>
      <c r="G567" s="37" t="s">
        <v>201</v>
      </c>
      <c r="H567" s="37" t="s">
        <v>169</v>
      </c>
      <c r="I567" s="37" t="n">
        <v>40</v>
      </c>
      <c r="J567" s="39" t="n">
        <v>569.99</v>
      </c>
      <c r="K567" s="37" t="s">
        <v>498</v>
      </c>
      <c r="L567" s="39" t="n">
        <v>124.97</v>
      </c>
      <c r="M567" s="39" t="n">
        <v>87.4</v>
      </c>
      <c r="N567" s="39" t="n">
        <f aca="false">J567*Resumo!$C$7</f>
        <v>1.13998</v>
      </c>
      <c r="O567" s="39" t="n">
        <f aca="false">J567*Resumo!$C$8</f>
        <v>1.13998</v>
      </c>
      <c r="P567" s="39" t="n">
        <f aca="false">Resumo!$C$10*CEILING(I567/100,1)</f>
        <v>1</v>
      </c>
      <c r="Q567" s="39" t="n">
        <f aca="false">Resumo!$C$9</f>
        <v>11.9</v>
      </c>
      <c r="R567" s="39" t="n">
        <f aca="false">SUM(M567:Q567)*Resumo!$C$11</f>
        <v>5.6418978</v>
      </c>
      <c r="S567" s="39" t="n">
        <f aca="false">SUM(M567:R567)</f>
        <v>108.2218578</v>
      </c>
      <c r="T567" s="39" t="n">
        <f aca="false">S567/(1-Resumo!$C$5)</f>
        <v>122.979383863636</v>
      </c>
      <c r="U567" s="39" t="n">
        <v>124.38</v>
      </c>
      <c r="V567" s="39" t="n">
        <f aca="false">J567*Resumo!$B$6</f>
        <v>0.56999</v>
      </c>
      <c r="W567" s="39" t="n">
        <f aca="false">J567*Resumo!$B$7</f>
        <v>1.13998</v>
      </c>
      <c r="X567" s="39" t="n">
        <f aca="false">Resumo!$B$9</f>
        <v>1</v>
      </c>
      <c r="Y567" s="39" t="n">
        <f aca="false">Resumo!$B$10*CEILING(I567/100,1)</f>
        <v>4.5</v>
      </c>
      <c r="Z567" s="39" t="n">
        <f aca="false">Resumo!$B$12*CEILING(I567,1)</f>
        <v>2.4</v>
      </c>
      <c r="AA567" s="39" t="n">
        <f aca="false">Resumo!$B$13*CEILING(I567,1)</f>
        <v>18</v>
      </c>
      <c r="AB567" s="39" t="n">
        <f aca="false">SUM(U567:AA567)</f>
        <v>151.98997</v>
      </c>
      <c r="AC567" s="39" t="n">
        <f aca="false">AB567/(1-Resumo!$B$5)</f>
        <v>172.715875</v>
      </c>
      <c r="AD567" s="39" t="n">
        <f aca="false">(AB567-AA567)/(1-Resumo!$B$5)</f>
        <v>152.261329545455</v>
      </c>
      <c r="AE567" s="39" t="n">
        <f aca="false">AC567-T567</f>
        <v>49.7364911363637</v>
      </c>
      <c r="AF567" s="40" t="n">
        <f aca="false">AC567/T567-1</f>
        <v>0.404429503334584</v>
      </c>
      <c r="AG567" s="37" t="str">
        <f aca="false">IF(AC567&lt;T567,"SIM","NÃO")</f>
        <v>NÃO</v>
      </c>
      <c r="AH567" s="37" t="n">
        <v>13</v>
      </c>
      <c r="AI567" s="37" t="n">
        <v>10</v>
      </c>
      <c r="AJ567" s="37" t="s">
        <v>327</v>
      </c>
    </row>
    <row r="568" customFormat="false" ht="15" hidden="false" customHeight="false" outlineLevel="0" collapsed="false">
      <c r="A568" s="37" t="n">
        <v>371686838</v>
      </c>
      <c r="B568" s="38" t="n">
        <v>46238.7012962963</v>
      </c>
      <c r="C568" s="37" t="s">
        <v>359</v>
      </c>
      <c r="D568" s="37" t="s">
        <v>879</v>
      </c>
      <c r="E568" s="37" t="n">
        <v>27325110</v>
      </c>
      <c r="F568" s="37" t="s">
        <v>233</v>
      </c>
      <c r="G568" s="37" t="s">
        <v>201</v>
      </c>
      <c r="H568" s="37" t="s">
        <v>174</v>
      </c>
      <c r="I568" s="37" t="n">
        <v>93.8</v>
      </c>
      <c r="J568" s="39" t="n">
        <v>899.99</v>
      </c>
      <c r="K568" s="37" t="s">
        <v>498</v>
      </c>
      <c r="L568" s="39" t="n">
        <v>193.53</v>
      </c>
      <c r="M568" s="39" t="n">
        <v>144.41</v>
      </c>
      <c r="N568" s="39" t="n">
        <f aca="false">J568*Resumo!$C$7</f>
        <v>1.79998</v>
      </c>
      <c r="O568" s="39" t="n">
        <f aca="false">J568*Resumo!$C$8</f>
        <v>1.79998</v>
      </c>
      <c r="P568" s="39" t="n">
        <f aca="false">Resumo!$C$10*CEILING(I568/100,1)</f>
        <v>1</v>
      </c>
      <c r="Q568" s="39" t="n">
        <f aca="false">Resumo!$C$9</f>
        <v>11.9</v>
      </c>
      <c r="R568" s="39" t="n">
        <f aca="false">SUM(M568:Q568)*Resumo!$C$11</f>
        <v>8.8500478</v>
      </c>
      <c r="S568" s="39" t="n">
        <f aca="false">SUM(M568:R568)</f>
        <v>169.7600078</v>
      </c>
      <c r="T568" s="39" t="n">
        <f aca="false">S568/(1-Resumo!$C$5)</f>
        <v>192.909099772727</v>
      </c>
      <c r="U568" s="39" t="n">
        <v>197.35</v>
      </c>
      <c r="V568" s="39" t="n">
        <f aca="false">J568*Resumo!$B$6</f>
        <v>0.89999</v>
      </c>
      <c r="W568" s="39" t="n">
        <f aca="false">J568*Resumo!$B$7</f>
        <v>1.79998</v>
      </c>
      <c r="X568" s="39" t="n">
        <f aca="false">Resumo!$B$9</f>
        <v>1</v>
      </c>
      <c r="Y568" s="39" t="n">
        <f aca="false">Resumo!$B$10*CEILING(I568/100,1)</f>
        <v>4.5</v>
      </c>
      <c r="Z568" s="39" t="n">
        <f aca="false">Resumo!$B$12*CEILING(I568,1)</f>
        <v>5.64</v>
      </c>
      <c r="AA568" s="39" t="n">
        <f aca="false">Resumo!$B$13*CEILING(I568,1)</f>
        <v>42.3</v>
      </c>
      <c r="AB568" s="39" t="n">
        <f aca="false">SUM(U568:AA568)</f>
        <v>253.48997</v>
      </c>
      <c r="AC568" s="39" t="n">
        <f aca="false">AB568/(1-Resumo!$B$5)</f>
        <v>288.056784090909</v>
      </c>
      <c r="AD568" s="39" t="n">
        <f aca="false">(AB568-AA568)/(1-Resumo!$B$5)</f>
        <v>239.988602272727</v>
      </c>
      <c r="AE568" s="39" t="n">
        <f aca="false">AC568-T568</f>
        <v>95.1476843181819</v>
      </c>
      <c r="AF568" s="40" t="n">
        <f aca="false">AC568/T568-1</f>
        <v>0.493225485113344</v>
      </c>
      <c r="AG568" s="37" t="str">
        <f aca="false">IF(AC568&lt;T568,"SIM","NÃO")</f>
        <v>NÃO</v>
      </c>
      <c r="AH568" s="37" t="n">
        <v>13</v>
      </c>
      <c r="AI568" s="37" t="n">
        <v>10</v>
      </c>
      <c r="AJ568" s="37" t="s">
        <v>327</v>
      </c>
    </row>
    <row r="569" customFormat="false" ht="15" hidden="false" customHeight="false" outlineLevel="0" collapsed="false">
      <c r="A569" s="37" t="n">
        <v>371702134</v>
      </c>
      <c r="B569" s="38" t="n">
        <v>46238.7328819444</v>
      </c>
      <c r="C569" s="37" t="s">
        <v>325</v>
      </c>
      <c r="D569" s="37" t="s">
        <v>880</v>
      </c>
      <c r="E569" s="37" t="n">
        <v>25964005</v>
      </c>
      <c r="F569" s="37" t="s">
        <v>221</v>
      </c>
      <c r="G569" s="37" t="s">
        <v>201</v>
      </c>
      <c r="H569" s="37" t="s">
        <v>170</v>
      </c>
      <c r="I569" s="37" t="n">
        <v>48</v>
      </c>
      <c r="J569" s="39" t="n">
        <v>815.51</v>
      </c>
      <c r="K569" s="37" t="s">
        <v>498</v>
      </c>
      <c r="L569" s="39" t="n">
        <v>133.32</v>
      </c>
      <c r="M569" s="39" t="n">
        <v>94</v>
      </c>
      <c r="N569" s="39" t="n">
        <f aca="false">J569*Resumo!$C$7</f>
        <v>1.63102</v>
      </c>
      <c r="O569" s="39" t="n">
        <f aca="false">J569*Resumo!$C$8</f>
        <v>1.63102</v>
      </c>
      <c r="P569" s="39" t="n">
        <f aca="false">Resumo!$C$10*CEILING(I569/100,1)</f>
        <v>1</v>
      </c>
      <c r="Q569" s="39" t="n">
        <f aca="false">Resumo!$C$9</f>
        <v>11.9</v>
      </c>
      <c r="R569" s="39" t="n">
        <f aca="false">SUM(M569:Q569)*Resumo!$C$11</f>
        <v>6.0589122</v>
      </c>
      <c r="S569" s="39" t="n">
        <f aca="false">SUM(M569:R569)</f>
        <v>116.2209522</v>
      </c>
      <c r="T569" s="39" t="n">
        <f aca="false">S569/(1-Resumo!$C$5)</f>
        <v>132.069263863636</v>
      </c>
      <c r="U569" s="39" t="n">
        <v>135.03</v>
      </c>
      <c r="V569" s="39" t="n">
        <f aca="false">J569*Resumo!$B$6</f>
        <v>0.81551</v>
      </c>
      <c r="W569" s="39" t="n">
        <f aca="false">J569*Resumo!$B$7</f>
        <v>1.63102</v>
      </c>
      <c r="X569" s="39" t="n">
        <f aca="false">Resumo!$B$9</f>
        <v>1</v>
      </c>
      <c r="Y569" s="39" t="n">
        <f aca="false">Resumo!$B$10*CEILING(I569/100,1)</f>
        <v>4.5</v>
      </c>
      <c r="Z569" s="39" t="n">
        <f aca="false">Resumo!$B$12*CEILING(I569,1)</f>
        <v>2.88</v>
      </c>
      <c r="AA569" s="39" t="n">
        <f aca="false">Resumo!$B$13*CEILING(I569,1)</f>
        <v>21.6</v>
      </c>
      <c r="AB569" s="39" t="n">
        <f aca="false">SUM(U569:AA569)</f>
        <v>167.45653</v>
      </c>
      <c r="AC569" s="39" t="n">
        <f aca="false">AB569/(1-Resumo!$B$5)</f>
        <v>190.291511363636</v>
      </c>
      <c r="AD569" s="39" t="n">
        <f aca="false">(AB569-AA569)/(1-Resumo!$B$5)</f>
        <v>165.746056818182</v>
      </c>
      <c r="AE569" s="39" t="n">
        <f aca="false">AC569-T569</f>
        <v>58.2222475</v>
      </c>
      <c r="AF569" s="40" t="n">
        <f aca="false">AC569/T569-1</f>
        <v>0.44084630894979</v>
      </c>
      <c r="AG569" s="37" t="str">
        <f aca="false">IF(AC569&lt;T569,"SIM","NÃO")</f>
        <v>NÃO</v>
      </c>
      <c r="AH569" s="37" t="n">
        <v>13</v>
      </c>
      <c r="AI569" s="37" t="n">
        <v>10</v>
      </c>
      <c r="AJ569" s="37" t="s">
        <v>327</v>
      </c>
    </row>
    <row r="570" customFormat="false" ht="15" hidden="false" customHeight="false" outlineLevel="0" collapsed="false">
      <c r="A570" s="37" t="n">
        <v>371702774</v>
      </c>
      <c r="B570" s="38" t="n">
        <v>46238.7338888889</v>
      </c>
      <c r="C570" s="37" t="s">
        <v>320</v>
      </c>
      <c r="D570" s="37" t="s">
        <v>881</v>
      </c>
      <c r="E570" s="37" t="n">
        <v>28920030</v>
      </c>
      <c r="F570" s="37" t="s">
        <v>152</v>
      </c>
      <c r="G570" s="37" t="s">
        <v>201</v>
      </c>
      <c r="H570" s="37" t="s">
        <v>169</v>
      </c>
      <c r="I570" s="37" t="n">
        <v>37.2</v>
      </c>
      <c r="J570" s="39" t="n">
        <v>399.99</v>
      </c>
      <c r="K570" s="37" t="s">
        <v>498</v>
      </c>
      <c r="L570" s="39" t="n">
        <v>123.13</v>
      </c>
      <c r="M570" s="39" t="n">
        <v>87.4</v>
      </c>
      <c r="N570" s="39" t="n">
        <f aca="false">J570*Resumo!$C$7</f>
        <v>0.79998</v>
      </c>
      <c r="O570" s="39" t="n">
        <f aca="false">J570*Resumo!$C$8</f>
        <v>0.79998</v>
      </c>
      <c r="P570" s="39" t="n">
        <f aca="false">Resumo!$C$10*CEILING(I570/100,1)</f>
        <v>1</v>
      </c>
      <c r="Q570" s="39" t="n">
        <f aca="false">Resumo!$C$9</f>
        <v>11.9</v>
      </c>
      <c r="R570" s="39" t="n">
        <f aca="false">SUM(M570:Q570)*Resumo!$C$11</f>
        <v>5.6044978</v>
      </c>
      <c r="S570" s="39" t="n">
        <f aca="false">SUM(M570:R570)</f>
        <v>107.5044578</v>
      </c>
      <c r="T570" s="39" t="n">
        <f aca="false">S570/(1-Resumo!$C$5)</f>
        <v>122.164156590909</v>
      </c>
      <c r="U570" s="39" t="n">
        <v>124.38</v>
      </c>
      <c r="V570" s="39" t="n">
        <f aca="false">J570*Resumo!$B$6</f>
        <v>0.39999</v>
      </c>
      <c r="W570" s="39" t="n">
        <f aca="false">J570*Resumo!$B$7</f>
        <v>0.79998</v>
      </c>
      <c r="X570" s="39" t="n">
        <f aca="false">Resumo!$B$9</f>
        <v>1</v>
      </c>
      <c r="Y570" s="39" t="n">
        <f aca="false">Resumo!$B$10*CEILING(I570/100,1)</f>
        <v>4.5</v>
      </c>
      <c r="Z570" s="39" t="n">
        <f aca="false">Resumo!$B$12*CEILING(I570,1)</f>
        <v>2.28</v>
      </c>
      <c r="AA570" s="39" t="n">
        <f aca="false">Resumo!$B$13*CEILING(I570,1)</f>
        <v>17.1</v>
      </c>
      <c r="AB570" s="39" t="n">
        <f aca="false">SUM(U570:AA570)</f>
        <v>150.45997</v>
      </c>
      <c r="AC570" s="39" t="n">
        <f aca="false">AB570/(1-Resumo!$B$5)</f>
        <v>170.977238636364</v>
      </c>
      <c r="AD570" s="39" t="n">
        <f aca="false">(AB570-AA570)/(1-Resumo!$B$5)</f>
        <v>151.545420454545</v>
      </c>
      <c r="AE570" s="39" t="n">
        <f aca="false">AC570-T570</f>
        <v>48.8130820454545</v>
      </c>
      <c r="AF570" s="40" t="n">
        <f aca="false">AC570/T570-1</f>
        <v>0.399569590685383</v>
      </c>
      <c r="AG570" s="37" t="str">
        <f aca="false">IF(AC570&lt;T570,"SIM","NÃO")</f>
        <v>NÃO</v>
      </c>
      <c r="AH570" s="37" t="n">
        <v>13</v>
      </c>
      <c r="AI570" s="37" t="n">
        <v>10</v>
      </c>
      <c r="AJ570" s="37" t="s">
        <v>323</v>
      </c>
    </row>
    <row r="571" customFormat="false" ht="15" hidden="false" customHeight="false" outlineLevel="0" collapsed="false">
      <c r="A571" s="37" t="n">
        <v>371714166</v>
      </c>
      <c r="B571" s="38" t="n">
        <v>46238.7575</v>
      </c>
      <c r="C571" s="37" t="s">
        <v>352</v>
      </c>
      <c r="D571" s="37" t="s">
        <v>882</v>
      </c>
      <c r="E571" s="37" t="n">
        <v>28930000</v>
      </c>
      <c r="F571" s="37" t="s">
        <v>277</v>
      </c>
      <c r="G571" s="37" t="s">
        <v>201</v>
      </c>
      <c r="H571" s="37" t="s">
        <v>169</v>
      </c>
      <c r="I571" s="37" t="n">
        <v>40</v>
      </c>
      <c r="J571" s="39" t="n">
        <v>479.99</v>
      </c>
      <c r="K571" s="37" t="s">
        <v>498</v>
      </c>
      <c r="L571" s="39" t="n">
        <v>124.53</v>
      </c>
      <c r="M571" s="39" t="n">
        <v>87.4</v>
      </c>
      <c r="N571" s="39" t="n">
        <f aca="false">J571*Resumo!$C$7</f>
        <v>0.95998</v>
      </c>
      <c r="O571" s="39" t="n">
        <f aca="false">J571*Resumo!$C$8</f>
        <v>0.95998</v>
      </c>
      <c r="P571" s="39" t="n">
        <f aca="false">Resumo!$C$10*CEILING(I571/100,1)</f>
        <v>1</v>
      </c>
      <c r="Q571" s="39" t="n">
        <f aca="false">Resumo!$C$9</f>
        <v>11.9</v>
      </c>
      <c r="R571" s="39" t="n">
        <f aca="false">SUM(M571:Q571)*Resumo!$C$11</f>
        <v>5.6220978</v>
      </c>
      <c r="S571" s="39" t="n">
        <f aca="false">SUM(M571:R571)</f>
        <v>107.8420578</v>
      </c>
      <c r="T571" s="39" t="n">
        <f aca="false">S571/(1-Resumo!$C$5)</f>
        <v>122.547792954545</v>
      </c>
      <c r="U571" s="39" t="n">
        <v>124.38</v>
      </c>
      <c r="V571" s="39" t="n">
        <f aca="false">J571*Resumo!$B$6</f>
        <v>0.47999</v>
      </c>
      <c r="W571" s="39" t="n">
        <f aca="false">J571*Resumo!$B$7</f>
        <v>0.95998</v>
      </c>
      <c r="X571" s="39" t="n">
        <f aca="false">Resumo!$B$9</f>
        <v>1</v>
      </c>
      <c r="Y571" s="39" t="n">
        <f aca="false">Resumo!$B$10*CEILING(I571/100,1)</f>
        <v>4.5</v>
      </c>
      <c r="Z571" s="39" t="n">
        <f aca="false">Resumo!$B$12*CEILING(I571,1)</f>
        <v>2.4</v>
      </c>
      <c r="AA571" s="39" t="n">
        <f aca="false">Resumo!$B$13*CEILING(I571,1)</f>
        <v>18</v>
      </c>
      <c r="AB571" s="39" t="n">
        <f aca="false">SUM(U571:AA571)</f>
        <v>151.71997</v>
      </c>
      <c r="AC571" s="39" t="n">
        <f aca="false">AB571/(1-Resumo!$B$5)</f>
        <v>172.409056818182</v>
      </c>
      <c r="AD571" s="39" t="n">
        <f aca="false">(AB571-AA571)/(1-Resumo!$B$5)</f>
        <v>151.954511363636</v>
      </c>
      <c r="AE571" s="39" t="n">
        <f aca="false">AC571-T571</f>
        <v>49.8612638636363</v>
      </c>
      <c r="AF571" s="40" t="n">
        <f aca="false">AC571/T571-1</f>
        <v>0.406871985708715</v>
      </c>
      <c r="AG571" s="37" t="str">
        <f aca="false">IF(AC571&lt;T571,"SIM","NÃO")</f>
        <v>NÃO</v>
      </c>
      <c r="AH571" s="37" t="n">
        <v>13</v>
      </c>
      <c r="AI571" s="37" t="n">
        <v>10</v>
      </c>
      <c r="AJ571" s="37" t="s">
        <v>327</v>
      </c>
    </row>
    <row r="572" customFormat="false" ht="15" hidden="false" customHeight="false" outlineLevel="0" collapsed="false">
      <c r="A572" s="37" t="n">
        <v>371716806</v>
      </c>
      <c r="B572" s="38" t="n">
        <v>46238.7674421296</v>
      </c>
      <c r="C572" s="37" t="s">
        <v>352</v>
      </c>
      <c r="D572" s="37" t="s">
        <v>883</v>
      </c>
      <c r="E572" s="37" t="n">
        <v>26032060</v>
      </c>
      <c r="F572" s="37" t="s">
        <v>142</v>
      </c>
      <c r="G572" s="37" t="s">
        <v>207</v>
      </c>
      <c r="H572" s="37" t="s">
        <v>170</v>
      </c>
      <c r="I572" s="37" t="n">
        <v>46.8</v>
      </c>
      <c r="J572" s="39" t="n">
        <v>549.99</v>
      </c>
      <c r="K572" s="37" t="s">
        <v>322</v>
      </c>
      <c r="L572" s="39" t="n">
        <v>116.7</v>
      </c>
      <c r="M572" s="39" t="n">
        <v>82.25</v>
      </c>
      <c r="N572" s="39" t="n">
        <f aca="false">J572*Resumo!$C$7</f>
        <v>1.09998</v>
      </c>
      <c r="O572" s="39" t="n">
        <f aca="false">J572*Resumo!$C$8</f>
        <v>1.09998</v>
      </c>
      <c r="P572" s="39" t="n">
        <f aca="false">Resumo!$C$10*CEILING(I572/100,1)</f>
        <v>1</v>
      </c>
      <c r="Q572" s="39" t="n">
        <f aca="false">Resumo!$C$9</f>
        <v>11.9</v>
      </c>
      <c r="R572" s="39" t="n">
        <f aca="false">SUM(M572:Q572)*Resumo!$C$11</f>
        <v>5.3542478</v>
      </c>
      <c r="S572" s="39" t="n">
        <f aca="false">SUM(M572:R572)</f>
        <v>102.7042078</v>
      </c>
      <c r="T572" s="39" t="n">
        <f aca="false">S572/(1-Resumo!$C$5)</f>
        <v>116.709327045455</v>
      </c>
      <c r="U572" s="39" t="n">
        <v>93.97</v>
      </c>
      <c r="V572" s="39" t="n">
        <f aca="false">J572*Resumo!$B$6</f>
        <v>0.54999</v>
      </c>
      <c r="W572" s="39" t="n">
        <f aca="false">J572*Resumo!$B$7</f>
        <v>1.09998</v>
      </c>
      <c r="X572" s="39" t="n">
        <f aca="false">Resumo!$B$9</f>
        <v>1</v>
      </c>
      <c r="Y572" s="39" t="n">
        <f aca="false">Resumo!$B$10*CEILING(I572/100,1)</f>
        <v>4.5</v>
      </c>
      <c r="Z572" s="39" t="n">
        <f aca="false">Resumo!$B$12*CEILING(I572,1)</f>
        <v>2.82</v>
      </c>
      <c r="AA572" s="39" t="n">
        <f aca="false">Resumo!$B$13*CEILING(I572,1)</f>
        <v>21.15</v>
      </c>
      <c r="AB572" s="39" t="n">
        <f aca="false">SUM(U572:AA572)</f>
        <v>125.08997</v>
      </c>
      <c r="AC572" s="39" t="n">
        <f aca="false">AB572/(1-Resumo!$B$5)</f>
        <v>142.147693181818</v>
      </c>
      <c r="AD572" s="39" t="n">
        <f aca="false">(AB572-AA572)/(1-Resumo!$B$5)</f>
        <v>118.113602272727</v>
      </c>
      <c r="AE572" s="39" t="n">
        <f aca="false">AC572-T572</f>
        <v>25.4383661363637</v>
      </c>
      <c r="AF572" s="40" t="n">
        <f aca="false">AC572/T572-1</f>
        <v>0.217963437716133</v>
      </c>
      <c r="AG572" s="37" t="str">
        <f aca="false">IF(AC572&lt;T572,"SIM","NÃO")</f>
        <v>NÃO</v>
      </c>
      <c r="AH572" s="37" t="n">
        <v>10</v>
      </c>
      <c r="AI572" s="37" t="n">
        <v>5</v>
      </c>
      <c r="AJ572" s="37" t="s">
        <v>323</v>
      </c>
    </row>
    <row r="573" customFormat="false" ht="15" hidden="false" customHeight="false" outlineLevel="0" collapsed="false">
      <c r="A573" s="37" t="n">
        <v>371728852</v>
      </c>
      <c r="B573" s="38" t="n">
        <v>46238.7794791667</v>
      </c>
      <c r="C573" s="37" t="s">
        <v>320</v>
      </c>
      <c r="D573" s="37" t="s">
        <v>884</v>
      </c>
      <c r="E573" s="37" t="n">
        <v>23010095</v>
      </c>
      <c r="F573" s="37" t="s">
        <v>139</v>
      </c>
      <c r="G573" s="37" t="s">
        <v>198</v>
      </c>
      <c r="H573" s="37" t="s">
        <v>172</v>
      </c>
      <c r="I573" s="37" t="n">
        <v>63.9</v>
      </c>
      <c r="J573" s="39" t="n">
        <v>735.99</v>
      </c>
      <c r="K573" s="37" t="s">
        <v>498</v>
      </c>
      <c r="L573" s="39" t="n">
        <v>124.67</v>
      </c>
      <c r="M573" s="39" t="n">
        <v>88.2</v>
      </c>
      <c r="N573" s="39" t="n">
        <f aca="false">J573*Resumo!$C$7</f>
        <v>1.47198</v>
      </c>
      <c r="O573" s="39" t="n">
        <f aca="false">J573*Resumo!$C$8</f>
        <v>1.47198</v>
      </c>
      <c r="P573" s="39" t="n">
        <f aca="false">Resumo!$C$10*CEILING(I573/100,1)</f>
        <v>1</v>
      </c>
      <c r="Q573" s="39" t="n">
        <f aca="false">Resumo!$C$9</f>
        <v>11.9</v>
      </c>
      <c r="R573" s="39" t="n">
        <f aca="false">SUM(M573:Q573)*Resumo!$C$11</f>
        <v>5.7224178</v>
      </c>
      <c r="S573" s="39" t="n">
        <f aca="false">SUM(M573:R573)</f>
        <v>109.7663778</v>
      </c>
      <c r="T573" s="39" t="n">
        <f aca="false">S573/(1-Resumo!$C$5)</f>
        <v>124.734520227273</v>
      </c>
      <c r="U573" s="39" t="n">
        <v>131.02</v>
      </c>
      <c r="V573" s="39" t="n">
        <f aca="false">J573*Resumo!$B$6</f>
        <v>0.73599</v>
      </c>
      <c r="W573" s="39" t="n">
        <f aca="false">J573*Resumo!$B$7</f>
        <v>1.47198</v>
      </c>
      <c r="X573" s="39" t="n">
        <f aca="false">Resumo!$B$9</f>
        <v>1</v>
      </c>
      <c r="Y573" s="39" t="n">
        <f aca="false">Resumo!$B$10*CEILING(I573/100,1)</f>
        <v>4.5</v>
      </c>
      <c r="Z573" s="39" t="n">
        <f aca="false">Resumo!$B$12*CEILING(I573,1)</f>
        <v>3.84</v>
      </c>
      <c r="AA573" s="39" t="n">
        <f aca="false">Resumo!$B$13*CEILING(I573,1)</f>
        <v>28.8</v>
      </c>
      <c r="AB573" s="39" t="n">
        <f aca="false">SUM(U573:AA573)</f>
        <v>171.36797</v>
      </c>
      <c r="AC573" s="39" t="n">
        <f aca="false">AB573/(1-Resumo!$B$5)</f>
        <v>194.736329545455</v>
      </c>
      <c r="AD573" s="39" t="n">
        <f aca="false">(AB573-AA573)/(1-Resumo!$B$5)</f>
        <v>162.009056818182</v>
      </c>
      <c r="AE573" s="39" t="n">
        <f aca="false">AC573-T573</f>
        <v>70.0018093181818</v>
      </c>
      <c r="AF573" s="40" t="n">
        <f aca="false">AC573/T573-1</f>
        <v>0.561206386096126</v>
      </c>
      <c r="AG573" s="37" t="str">
        <f aca="false">IF(AC573&lt;T573,"SIM","NÃO")</f>
        <v>NÃO</v>
      </c>
      <c r="AH573" s="37" t="n">
        <v>8</v>
      </c>
      <c r="AI573" s="37" t="n">
        <v>5</v>
      </c>
      <c r="AJ573" s="37" t="s">
        <v>323</v>
      </c>
    </row>
    <row r="574" customFormat="false" ht="15" hidden="false" customHeight="false" outlineLevel="0" collapsed="false">
      <c r="A574" s="37" t="n">
        <v>371743448</v>
      </c>
      <c r="B574" s="38" t="n">
        <v>46238.8002430556</v>
      </c>
      <c r="C574" s="37" t="s">
        <v>320</v>
      </c>
      <c r="D574" s="37" t="s">
        <v>885</v>
      </c>
      <c r="E574" s="37" t="n">
        <v>21920370</v>
      </c>
      <c r="F574" s="37" t="s">
        <v>139</v>
      </c>
      <c r="G574" s="37" t="s">
        <v>198</v>
      </c>
      <c r="H574" s="37" t="s">
        <v>168</v>
      </c>
      <c r="I574" s="37" t="n">
        <v>31.9</v>
      </c>
      <c r="J574" s="39" t="n">
        <v>551.99</v>
      </c>
      <c r="K574" s="37" t="s">
        <v>322</v>
      </c>
      <c r="L574" s="39" t="n">
        <v>82.97</v>
      </c>
      <c r="M574" s="39" t="n">
        <v>54.1</v>
      </c>
      <c r="N574" s="39" t="n">
        <f aca="false">J574*Resumo!$C$7</f>
        <v>1.10398</v>
      </c>
      <c r="O574" s="39" t="n">
        <f aca="false">J574*Resumo!$C$8</f>
        <v>1.10398</v>
      </c>
      <c r="P574" s="39" t="n">
        <f aca="false">Resumo!$C$10*CEILING(I574/100,1)</f>
        <v>1</v>
      </c>
      <c r="Q574" s="39" t="n">
        <f aca="false">Resumo!$C$9</f>
        <v>11.9</v>
      </c>
      <c r="R574" s="39" t="n">
        <f aca="false">SUM(M574:Q574)*Resumo!$C$11</f>
        <v>3.8064378</v>
      </c>
      <c r="S574" s="39" t="n">
        <f aca="false">SUM(M574:R574)</f>
        <v>73.0143978</v>
      </c>
      <c r="T574" s="39" t="n">
        <f aca="false">S574/(1-Resumo!$C$5)</f>
        <v>82.9709065909091</v>
      </c>
      <c r="U574" s="39" t="n">
        <v>82.21</v>
      </c>
      <c r="V574" s="39" t="n">
        <f aca="false">J574*Resumo!$B$6</f>
        <v>0.55199</v>
      </c>
      <c r="W574" s="39" t="n">
        <f aca="false">J574*Resumo!$B$7</f>
        <v>1.10398</v>
      </c>
      <c r="X574" s="39" t="n">
        <f aca="false">Resumo!$B$9</f>
        <v>1</v>
      </c>
      <c r="Y574" s="39" t="n">
        <f aca="false">Resumo!$B$10*CEILING(I574/100,1)</f>
        <v>4.5</v>
      </c>
      <c r="Z574" s="39" t="n">
        <f aca="false">Resumo!$B$12*CEILING(I574,1)</f>
        <v>1.92</v>
      </c>
      <c r="AA574" s="39" t="n">
        <f aca="false">Resumo!$B$13*CEILING(I574,1)</f>
        <v>14.4</v>
      </c>
      <c r="AB574" s="39" t="n">
        <f aca="false">SUM(U574:AA574)</f>
        <v>105.68597</v>
      </c>
      <c r="AC574" s="39" t="n">
        <f aca="false">AB574/(1-Resumo!$B$5)</f>
        <v>120.097693181818</v>
      </c>
      <c r="AD574" s="39" t="n">
        <f aca="false">(AB574-AA574)/(1-Resumo!$B$5)</f>
        <v>103.734056818182</v>
      </c>
      <c r="AE574" s="39" t="n">
        <f aca="false">AC574-T574</f>
        <v>37.1267865909091</v>
      </c>
      <c r="AF574" s="40" t="n">
        <f aca="false">AC574/T574-1</f>
        <v>0.447467529479508</v>
      </c>
      <c r="AG574" s="37" t="str">
        <f aca="false">IF(AC574&lt;T574,"SIM","NÃO")</f>
        <v>NÃO</v>
      </c>
      <c r="AH574" s="37" t="n">
        <v>8</v>
      </c>
      <c r="AI574" s="37" t="n">
        <v>5</v>
      </c>
      <c r="AJ574" s="37" t="s">
        <v>323</v>
      </c>
    </row>
    <row r="575" customFormat="false" ht="15" hidden="false" customHeight="false" outlineLevel="0" collapsed="false">
      <c r="A575" s="37" t="n">
        <v>371743872</v>
      </c>
      <c r="B575" s="38" t="n">
        <v>46238.8008564815</v>
      </c>
      <c r="C575" s="37" t="s">
        <v>320</v>
      </c>
      <c r="D575" s="37" t="s">
        <v>886</v>
      </c>
      <c r="E575" s="37" t="n">
        <v>25635340</v>
      </c>
      <c r="F575" s="37" t="s">
        <v>150</v>
      </c>
      <c r="G575" s="37" t="s">
        <v>201</v>
      </c>
      <c r="H575" s="37" t="s">
        <v>175</v>
      </c>
      <c r="I575" s="37" t="n">
        <v>106.5</v>
      </c>
      <c r="J575" s="39" t="n">
        <v>1163.99</v>
      </c>
      <c r="K575" s="37" t="s">
        <v>498</v>
      </c>
      <c r="L575" s="39" t="n">
        <v>213.84</v>
      </c>
      <c r="M575" s="39" t="n">
        <v>161.81</v>
      </c>
      <c r="N575" s="39" t="n">
        <f aca="false">J575*Resumo!$C$7</f>
        <v>2.32798</v>
      </c>
      <c r="O575" s="39" t="n">
        <f aca="false">J575*Resumo!$C$8</f>
        <v>2.32798</v>
      </c>
      <c r="P575" s="39" t="n">
        <f aca="false">Resumo!$C$10*CEILING(I575/100,1)</f>
        <v>2</v>
      </c>
      <c r="Q575" s="39" t="n">
        <f aca="false">Resumo!$C$9</f>
        <v>11.9</v>
      </c>
      <c r="R575" s="39" t="n">
        <f aca="false">SUM(M575:Q575)*Resumo!$C$11</f>
        <v>9.9201278</v>
      </c>
      <c r="S575" s="39" t="n">
        <f aca="false">SUM(M575:R575)</f>
        <v>190.2860878</v>
      </c>
      <c r="T575" s="39" t="n">
        <f aca="false">S575/(1-Resumo!$C$5)</f>
        <v>216.234190681818</v>
      </c>
      <c r="U575" s="39" t="n">
        <v>236.82</v>
      </c>
      <c r="V575" s="39" t="n">
        <f aca="false">J575*Resumo!$B$6</f>
        <v>1.16399</v>
      </c>
      <c r="W575" s="39" t="n">
        <f aca="false">J575*Resumo!$B$7</f>
        <v>2.32798</v>
      </c>
      <c r="X575" s="39" t="n">
        <f aca="false">Resumo!$B$9</f>
        <v>1</v>
      </c>
      <c r="Y575" s="39" t="n">
        <f aca="false">Resumo!$B$10*CEILING(I575/100,1)</f>
        <v>9</v>
      </c>
      <c r="Z575" s="39" t="n">
        <f aca="false">Resumo!$B$12*CEILING(I575,1)</f>
        <v>6.42</v>
      </c>
      <c r="AA575" s="39" t="n">
        <f aca="false">Resumo!$B$13*CEILING(I575,1)</f>
        <v>48.15</v>
      </c>
      <c r="AB575" s="39" t="n">
        <f aca="false">SUM(U575:AA575)</f>
        <v>304.88197</v>
      </c>
      <c r="AC575" s="39" t="n">
        <f aca="false">AB575/(1-Resumo!$B$5)</f>
        <v>346.456784090909</v>
      </c>
      <c r="AD575" s="39" t="n">
        <f aca="false">(AB575-AA575)/(1-Resumo!$B$5)</f>
        <v>291.740875</v>
      </c>
      <c r="AE575" s="39" t="n">
        <f aca="false">AC575-T575</f>
        <v>130.222593409091</v>
      </c>
      <c r="AF575" s="40" t="n">
        <f aca="false">AC575/T575-1</f>
        <v>0.602229430038237</v>
      </c>
      <c r="AG575" s="37" t="str">
        <f aca="false">IF(AC575&lt;T575,"SIM","NÃO")</f>
        <v>NÃO</v>
      </c>
      <c r="AH575" s="37" t="n">
        <v>13</v>
      </c>
      <c r="AI575" s="37" t="n">
        <v>8</v>
      </c>
      <c r="AJ575" s="37" t="s">
        <v>323</v>
      </c>
    </row>
    <row r="576" customFormat="false" ht="15" hidden="false" customHeight="false" outlineLevel="0" collapsed="false">
      <c r="A576" s="37" t="n">
        <v>371750895</v>
      </c>
      <c r="B576" s="38" t="n">
        <v>46238.8121296296</v>
      </c>
      <c r="C576" s="37" t="s">
        <v>352</v>
      </c>
      <c r="D576" s="37" t="s">
        <v>887</v>
      </c>
      <c r="E576" s="37" t="n">
        <v>22740362</v>
      </c>
      <c r="F576" s="37" t="s">
        <v>139</v>
      </c>
      <c r="G576" s="37" t="s">
        <v>198</v>
      </c>
      <c r="H576" s="37" t="s">
        <v>171</v>
      </c>
      <c r="I576" s="37" t="n">
        <v>56.6</v>
      </c>
      <c r="J576" s="39" t="n">
        <v>959.99</v>
      </c>
      <c r="K576" s="37" t="s">
        <v>322</v>
      </c>
      <c r="L576" s="39" t="n">
        <v>115.75</v>
      </c>
      <c r="M576" s="39" t="n">
        <v>79.81</v>
      </c>
      <c r="N576" s="39" t="n">
        <f aca="false">J576*Resumo!$C$7</f>
        <v>1.91998</v>
      </c>
      <c r="O576" s="39" t="n">
        <f aca="false">J576*Resumo!$C$8</f>
        <v>1.91998</v>
      </c>
      <c r="P576" s="39" t="n">
        <f aca="false">Resumo!$C$10*CEILING(I576/100,1)</f>
        <v>1</v>
      </c>
      <c r="Q576" s="39" t="n">
        <f aca="false">Resumo!$C$9</f>
        <v>11.9</v>
      </c>
      <c r="R576" s="39" t="n">
        <f aca="false">SUM(M576:Q576)*Resumo!$C$11</f>
        <v>5.3102478</v>
      </c>
      <c r="S576" s="39" t="n">
        <f aca="false">SUM(M576:R576)</f>
        <v>101.8602078</v>
      </c>
      <c r="T576" s="39" t="n">
        <f aca="false">S576/(1-Resumo!$C$5)</f>
        <v>115.750236136364</v>
      </c>
      <c r="U576" s="39" t="n">
        <v>112.3</v>
      </c>
      <c r="V576" s="39" t="n">
        <f aca="false">J576*Resumo!$B$6</f>
        <v>0.95999</v>
      </c>
      <c r="W576" s="39" t="n">
        <f aca="false">J576*Resumo!$B$7</f>
        <v>1.91998</v>
      </c>
      <c r="X576" s="39" t="n">
        <f aca="false">Resumo!$B$9</f>
        <v>1</v>
      </c>
      <c r="Y576" s="39" t="n">
        <f aca="false">Resumo!$B$10*CEILING(I576/100,1)</f>
        <v>4.5</v>
      </c>
      <c r="Z576" s="39" t="n">
        <f aca="false">Resumo!$B$12*CEILING(I576,1)</f>
        <v>3.42</v>
      </c>
      <c r="AA576" s="39" t="n">
        <f aca="false">Resumo!$B$13*CEILING(I576,1)</f>
        <v>25.65</v>
      </c>
      <c r="AB576" s="39" t="n">
        <f aca="false">SUM(U576:AA576)</f>
        <v>149.74997</v>
      </c>
      <c r="AC576" s="39" t="n">
        <f aca="false">AB576/(1-Resumo!$B$5)</f>
        <v>170.170420454545</v>
      </c>
      <c r="AD576" s="39" t="n">
        <f aca="false">(AB576-AA576)/(1-Resumo!$B$5)</f>
        <v>141.022693181818</v>
      </c>
      <c r="AE576" s="39" t="n">
        <f aca="false">AC576-T576</f>
        <v>54.4201843181818</v>
      </c>
      <c r="AF576" s="40" t="n">
        <f aca="false">AC576/T576-1</f>
        <v>0.470151821151105</v>
      </c>
      <c r="AG576" s="37" t="str">
        <f aca="false">IF(AC576&lt;T576,"SIM","NÃO")</f>
        <v>NÃO</v>
      </c>
      <c r="AH576" s="37" t="n">
        <v>8</v>
      </c>
      <c r="AI576" s="37" t="n">
        <v>5</v>
      </c>
      <c r="AJ576" s="37" t="s">
        <v>323</v>
      </c>
    </row>
    <row r="577" customFormat="false" ht="15" hidden="false" customHeight="false" outlineLevel="0" collapsed="false">
      <c r="A577" s="37" t="n">
        <v>371756253</v>
      </c>
      <c r="B577" s="38" t="n">
        <v>46238.8204050926</v>
      </c>
      <c r="C577" s="37" t="s">
        <v>320</v>
      </c>
      <c r="D577" s="37" t="s">
        <v>888</v>
      </c>
      <c r="E577" s="37" t="n">
        <v>26278535</v>
      </c>
      <c r="F577" s="37" t="s">
        <v>142</v>
      </c>
      <c r="G577" s="37" t="s">
        <v>207</v>
      </c>
      <c r="H577" s="37" t="s">
        <v>172</v>
      </c>
      <c r="I577" s="37" t="n">
        <v>69.45</v>
      </c>
      <c r="J577" s="39" t="n">
        <v>859.99</v>
      </c>
      <c r="K577" s="37" t="s">
        <v>322</v>
      </c>
      <c r="L577" s="39" t="n">
        <v>140.56</v>
      </c>
      <c r="M577" s="39" t="n">
        <v>100.9</v>
      </c>
      <c r="N577" s="39" t="n">
        <f aca="false">J577*Resumo!$C$7</f>
        <v>1.71998</v>
      </c>
      <c r="O577" s="39" t="n">
        <f aca="false">J577*Resumo!$C$8</f>
        <v>1.71998</v>
      </c>
      <c r="P577" s="39" t="n">
        <f aca="false">Resumo!$C$10*CEILING(I577/100,1)</f>
        <v>1</v>
      </c>
      <c r="Q577" s="39" t="n">
        <f aca="false">Resumo!$C$9</f>
        <v>11.9</v>
      </c>
      <c r="R577" s="39" t="n">
        <f aca="false">SUM(M577:Q577)*Resumo!$C$11</f>
        <v>6.4481978</v>
      </c>
      <c r="S577" s="39" t="n">
        <f aca="false">SUM(M577:R577)</f>
        <v>123.6881578</v>
      </c>
      <c r="T577" s="39" t="n">
        <f aca="false">S577/(1-Resumo!$C$5)</f>
        <v>140.554724772727</v>
      </c>
      <c r="U577" s="39" t="n">
        <v>131.02</v>
      </c>
      <c r="V577" s="39" t="n">
        <f aca="false">J577*Resumo!$B$6</f>
        <v>0.85999</v>
      </c>
      <c r="W577" s="39" t="n">
        <f aca="false">J577*Resumo!$B$7</f>
        <v>1.71998</v>
      </c>
      <c r="X577" s="39" t="n">
        <f aca="false">Resumo!$B$9</f>
        <v>1</v>
      </c>
      <c r="Y577" s="39" t="n">
        <f aca="false">Resumo!$B$10*CEILING(I577/100,1)</f>
        <v>4.5</v>
      </c>
      <c r="Z577" s="39" t="n">
        <f aca="false">Resumo!$B$12*CEILING(I577,1)</f>
        <v>4.2</v>
      </c>
      <c r="AA577" s="39" t="n">
        <f aca="false">Resumo!$B$13*CEILING(I577,1)</f>
        <v>31.5</v>
      </c>
      <c r="AB577" s="39" t="n">
        <f aca="false">SUM(U577:AA577)</f>
        <v>174.79997</v>
      </c>
      <c r="AC577" s="39" t="n">
        <f aca="false">AB577/(1-Resumo!$B$5)</f>
        <v>198.636329545455</v>
      </c>
      <c r="AD577" s="39" t="n">
        <f aca="false">(AB577-AA577)/(1-Resumo!$B$5)</f>
        <v>162.840875</v>
      </c>
      <c r="AE577" s="39" t="n">
        <f aca="false">AC577-T577</f>
        <v>58.0816047727272</v>
      </c>
      <c r="AF577" s="40" t="n">
        <f aca="false">AC577/T577-1</f>
        <v>0.413231251148927</v>
      </c>
      <c r="AG577" s="37" t="str">
        <f aca="false">IF(AC577&lt;T577,"SIM","NÃO")</f>
        <v>NÃO</v>
      </c>
      <c r="AH577" s="37" t="n">
        <v>10</v>
      </c>
      <c r="AI577" s="37" t="n">
        <v>5</v>
      </c>
      <c r="AJ577" s="37" t="s">
        <v>323</v>
      </c>
    </row>
    <row r="578" customFormat="false" ht="15" hidden="false" customHeight="false" outlineLevel="0" collapsed="false">
      <c r="A578" s="37" t="n">
        <v>371764039</v>
      </c>
      <c r="B578" s="38" t="n">
        <v>46238.8345717593</v>
      </c>
      <c r="C578" s="37" t="s">
        <v>325</v>
      </c>
      <c r="D578" s="37" t="s">
        <v>889</v>
      </c>
      <c r="E578" s="37" t="n">
        <v>28926596</v>
      </c>
      <c r="F578" s="37" t="s">
        <v>152</v>
      </c>
      <c r="G578" s="37" t="s">
        <v>201</v>
      </c>
      <c r="H578" s="37" t="s">
        <v>172</v>
      </c>
      <c r="I578" s="37" t="n">
        <v>63.9</v>
      </c>
      <c r="J578" s="39" t="n">
        <v>735.99</v>
      </c>
      <c r="K578" s="37" t="s">
        <v>498</v>
      </c>
      <c r="L578" s="39" t="n">
        <v>155.34</v>
      </c>
      <c r="M578" s="39" t="n">
        <v>113.9</v>
      </c>
      <c r="N578" s="39" t="n">
        <f aca="false">J578*Resumo!$C$7</f>
        <v>1.47198</v>
      </c>
      <c r="O578" s="39" t="n">
        <f aca="false">J578*Resumo!$C$8</f>
        <v>1.47198</v>
      </c>
      <c r="P578" s="39" t="n">
        <f aca="false">Resumo!$C$10*CEILING(I578/100,1)</f>
        <v>1</v>
      </c>
      <c r="Q578" s="39" t="n">
        <f aca="false">Resumo!$C$9</f>
        <v>11.9</v>
      </c>
      <c r="R578" s="39" t="n">
        <f aca="false">SUM(M578:Q578)*Resumo!$C$11</f>
        <v>7.1359178</v>
      </c>
      <c r="S578" s="39" t="n">
        <f aca="false">SUM(M578:R578)</f>
        <v>136.8798778</v>
      </c>
      <c r="T578" s="39" t="n">
        <f aca="false">S578/(1-Resumo!$C$5)</f>
        <v>155.545315681818</v>
      </c>
      <c r="U578" s="39" t="n">
        <v>166.05</v>
      </c>
      <c r="V578" s="39" t="n">
        <f aca="false">J578*Resumo!$B$6</f>
        <v>0.73599</v>
      </c>
      <c r="W578" s="39" t="n">
        <f aca="false">J578*Resumo!$B$7</f>
        <v>1.47198</v>
      </c>
      <c r="X578" s="39" t="n">
        <f aca="false">Resumo!$B$9</f>
        <v>1</v>
      </c>
      <c r="Y578" s="39" t="n">
        <f aca="false">Resumo!$B$10*CEILING(I578/100,1)</f>
        <v>4.5</v>
      </c>
      <c r="Z578" s="39" t="n">
        <f aca="false">Resumo!$B$12*CEILING(I578,1)</f>
        <v>3.84</v>
      </c>
      <c r="AA578" s="39" t="n">
        <f aca="false">Resumo!$B$13*CEILING(I578,1)</f>
        <v>28.8</v>
      </c>
      <c r="AB578" s="39" t="n">
        <f aca="false">SUM(U578:AA578)</f>
        <v>206.39797</v>
      </c>
      <c r="AC578" s="39" t="n">
        <f aca="false">AB578/(1-Resumo!$B$5)</f>
        <v>234.543147727273</v>
      </c>
      <c r="AD578" s="39" t="n">
        <f aca="false">(AB578-AA578)/(1-Resumo!$B$5)</f>
        <v>201.815875</v>
      </c>
      <c r="AE578" s="39" t="n">
        <f aca="false">AC578-T578</f>
        <v>78.9978320454546</v>
      </c>
      <c r="AF578" s="40" t="n">
        <f aca="false">AC578/T578-1</f>
        <v>0.507876638387823</v>
      </c>
      <c r="AG578" s="37" t="str">
        <f aca="false">IF(AC578&lt;T578,"SIM","NÃO")</f>
        <v>NÃO</v>
      </c>
      <c r="AH578" s="37" t="n">
        <v>13</v>
      </c>
      <c r="AI578" s="37" t="n">
        <v>10</v>
      </c>
      <c r="AJ578" s="37" t="s">
        <v>323</v>
      </c>
    </row>
    <row r="579" customFormat="false" ht="15" hidden="false" customHeight="false" outlineLevel="0" collapsed="false">
      <c r="A579" s="37" t="n">
        <v>371780366</v>
      </c>
      <c r="B579" s="38" t="n">
        <v>46238.8631712963</v>
      </c>
      <c r="C579" s="37" t="s">
        <v>320</v>
      </c>
      <c r="D579" s="37" t="s">
        <v>890</v>
      </c>
      <c r="E579" s="37" t="n">
        <v>25946148</v>
      </c>
      <c r="F579" s="37" t="s">
        <v>220</v>
      </c>
      <c r="G579" s="37" t="s">
        <v>201</v>
      </c>
      <c r="H579" s="37" t="s">
        <v>172</v>
      </c>
      <c r="I579" s="37" t="n">
        <v>63.9</v>
      </c>
      <c r="J579" s="39" t="n">
        <v>735.99</v>
      </c>
      <c r="K579" s="37" t="s">
        <v>498</v>
      </c>
      <c r="L579" s="39" t="n">
        <v>155.34</v>
      </c>
      <c r="M579" s="39" t="n">
        <v>113.9</v>
      </c>
      <c r="N579" s="39" t="n">
        <f aca="false">J579*Resumo!$C$7</f>
        <v>1.47198</v>
      </c>
      <c r="O579" s="39" t="n">
        <f aca="false">J579*Resumo!$C$8</f>
        <v>1.47198</v>
      </c>
      <c r="P579" s="39" t="n">
        <f aca="false">Resumo!$C$10*CEILING(I579/100,1)</f>
        <v>1</v>
      </c>
      <c r="Q579" s="39" t="n">
        <f aca="false">Resumo!$C$9</f>
        <v>11.9</v>
      </c>
      <c r="R579" s="39" t="n">
        <f aca="false">SUM(M579:Q579)*Resumo!$C$11</f>
        <v>7.1359178</v>
      </c>
      <c r="S579" s="39" t="n">
        <f aca="false">SUM(M579:R579)</f>
        <v>136.8798778</v>
      </c>
      <c r="T579" s="39" t="n">
        <f aca="false">S579/(1-Resumo!$C$5)</f>
        <v>155.545315681818</v>
      </c>
      <c r="U579" s="39" t="n">
        <v>136.53</v>
      </c>
      <c r="V579" s="39" t="n">
        <f aca="false">J579*Resumo!$B$6</f>
        <v>0.73599</v>
      </c>
      <c r="W579" s="39" t="n">
        <f aca="false">J579*Resumo!$B$7</f>
        <v>1.47198</v>
      </c>
      <c r="X579" s="39" t="n">
        <f aca="false">Resumo!$B$9</f>
        <v>1</v>
      </c>
      <c r="Y579" s="39" t="n">
        <f aca="false">Resumo!$B$10*CEILING(I579/100,1)</f>
        <v>4.5</v>
      </c>
      <c r="Z579" s="39" t="n">
        <f aca="false">Resumo!$B$12*CEILING(I579,1)</f>
        <v>3.84</v>
      </c>
      <c r="AA579" s="39" t="n">
        <f aca="false">Resumo!$B$13*CEILING(I579,1)</f>
        <v>28.8</v>
      </c>
      <c r="AB579" s="39" t="n">
        <f aca="false">SUM(U579:AA579)</f>
        <v>176.87797</v>
      </c>
      <c r="AC579" s="39" t="n">
        <f aca="false">AB579/(1-Resumo!$B$5)</f>
        <v>200.997693181818</v>
      </c>
      <c r="AD579" s="39" t="n">
        <f aca="false">(AB579-AA579)/(1-Resumo!$B$5)</f>
        <v>168.270420454545</v>
      </c>
      <c r="AE579" s="39" t="n">
        <f aca="false">AC579-T579</f>
        <v>45.4523775</v>
      </c>
      <c r="AF579" s="40" t="n">
        <f aca="false">AC579/T579-1</f>
        <v>0.292213091090296</v>
      </c>
      <c r="AG579" s="37" t="str">
        <f aca="false">IF(AC579&lt;T579,"SIM","NÃO")</f>
        <v>NÃO</v>
      </c>
      <c r="AH579" s="37" t="n">
        <v>13</v>
      </c>
      <c r="AI579" s="37" t="n">
        <v>6</v>
      </c>
      <c r="AJ579" s="37" t="s">
        <v>327</v>
      </c>
    </row>
    <row r="580" customFormat="false" ht="15" hidden="false" customHeight="false" outlineLevel="0" collapsed="false">
      <c r="A580" s="37" t="n">
        <v>371777579</v>
      </c>
      <c r="B580" s="38" t="n">
        <v>46238.8660648148</v>
      </c>
      <c r="C580" s="37" t="s">
        <v>475</v>
      </c>
      <c r="D580" s="37" t="s">
        <v>891</v>
      </c>
      <c r="E580" s="37" t="n">
        <v>26562421</v>
      </c>
      <c r="F580" s="37" t="s">
        <v>155</v>
      </c>
      <c r="G580" s="37" t="s">
        <v>207</v>
      </c>
      <c r="H580" s="37" t="s">
        <v>169</v>
      </c>
      <c r="I580" s="37" t="n">
        <v>40</v>
      </c>
      <c r="J580" s="39" t="n">
        <v>599.99</v>
      </c>
      <c r="K580" s="37" t="s">
        <v>498</v>
      </c>
      <c r="L580" s="39" t="n">
        <v>115.85</v>
      </c>
      <c r="M580" s="39" t="n">
        <v>79.65</v>
      </c>
      <c r="N580" s="39" t="n">
        <f aca="false">J580*Resumo!$C$7</f>
        <v>1.19998</v>
      </c>
      <c r="O580" s="39" t="n">
        <f aca="false">J580*Resumo!$C$8</f>
        <v>1.19998</v>
      </c>
      <c r="P580" s="39" t="n">
        <f aca="false">Resumo!$C$10*CEILING(I580/100,1)</f>
        <v>1</v>
      </c>
      <c r="Q580" s="39" t="n">
        <f aca="false">Resumo!$C$9</f>
        <v>11.9</v>
      </c>
      <c r="R580" s="39" t="n">
        <f aca="false">SUM(M580:Q580)*Resumo!$C$11</f>
        <v>5.2222478</v>
      </c>
      <c r="S580" s="39" t="n">
        <f aca="false">SUM(M580:R580)</f>
        <v>100.1722078</v>
      </c>
      <c r="T580" s="39" t="n">
        <f aca="false">S580/(1-Resumo!$C$5)</f>
        <v>113.832054318182</v>
      </c>
      <c r="U580" s="39" t="n">
        <v>93.97</v>
      </c>
      <c r="V580" s="39" t="n">
        <f aca="false">J580*Resumo!$B$6</f>
        <v>0.59999</v>
      </c>
      <c r="W580" s="39" t="n">
        <f aca="false">J580*Resumo!$B$7</f>
        <v>1.19998</v>
      </c>
      <c r="X580" s="39" t="n">
        <f aca="false">Resumo!$B$9</f>
        <v>1</v>
      </c>
      <c r="Y580" s="39" t="n">
        <f aca="false">Resumo!$B$10*CEILING(I580/100,1)</f>
        <v>4.5</v>
      </c>
      <c r="Z580" s="39" t="n">
        <f aca="false">Resumo!$B$12*CEILING(I580,1)</f>
        <v>2.4</v>
      </c>
      <c r="AA580" s="39" t="n">
        <f aca="false">Resumo!$B$13*CEILING(I580,1)</f>
        <v>18</v>
      </c>
      <c r="AB580" s="39" t="n">
        <f aca="false">SUM(U580:AA580)</f>
        <v>121.66997</v>
      </c>
      <c r="AC580" s="39" t="n">
        <f aca="false">AB580/(1-Resumo!$B$5)</f>
        <v>138.261329545455</v>
      </c>
      <c r="AD580" s="39" t="n">
        <f aca="false">(AB580-AA580)/(1-Resumo!$B$5)</f>
        <v>117.806784090909</v>
      </c>
      <c r="AE580" s="39" t="n">
        <f aca="false">AC580-T580</f>
        <v>24.4292752272727</v>
      </c>
      <c r="AF580" s="40" t="n">
        <f aca="false">AC580/T580-1</f>
        <v>0.214608050198131</v>
      </c>
      <c r="AG580" s="37" t="str">
        <f aca="false">IF(AC580&lt;T580,"SIM","NÃO")</f>
        <v>NÃO</v>
      </c>
      <c r="AH580" s="37" t="n">
        <v>10</v>
      </c>
      <c r="AI580" s="37" t="n">
        <v>5</v>
      </c>
      <c r="AJ580" s="37" t="s">
        <v>323</v>
      </c>
    </row>
    <row r="581" customFormat="false" ht="15" hidden="false" customHeight="false" outlineLevel="0" collapsed="false">
      <c r="A581" s="37" t="n">
        <v>371796068</v>
      </c>
      <c r="B581" s="38" t="n">
        <v>46238.8905902778</v>
      </c>
      <c r="C581" s="37" t="s">
        <v>320</v>
      </c>
      <c r="D581" s="37" t="s">
        <v>892</v>
      </c>
      <c r="E581" s="37" t="n">
        <v>26582220</v>
      </c>
      <c r="F581" s="37" t="s">
        <v>155</v>
      </c>
      <c r="G581" s="37" t="s">
        <v>207</v>
      </c>
      <c r="H581" s="37" t="s">
        <v>175</v>
      </c>
      <c r="I581" s="37" t="n">
        <v>106.5</v>
      </c>
      <c r="J581" s="39" t="n">
        <v>1163.99</v>
      </c>
      <c r="K581" s="37" t="s">
        <v>498</v>
      </c>
      <c r="L581" s="39" t="n">
        <v>193.11</v>
      </c>
      <c r="M581" s="39" t="n">
        <v>144.44</v>
      </c>
      <c r="N581" s="39" t="n">
        <f aca="false">J581*Resumo!$C$7</f>
        <v>2.32798</v>
      </c>
      <c r="O581" s="39" t="n">
        <f aca="false">J581*Resumo!$C$8</f>
        <v>2.32798</v>
      </c>
      <c r="P581" s="39" t="n">
        <f aca="false">Resumo!$C$10*CEILING(I581/100,1)</f>
        <v>2</v>
      </c>
      <c r="Q581" s="39" t="n">
        <f aca="false">Resumo!$C$9</f>
        <v>11.9</v>
      </c>
      <c r="R581" s="39" t="n">
        <f aca="false">SUM(M581:Q581)*Resumo!$C$11</f>
        <v>8.9647778</v>
      </c>
      <c r="S581" s="39" t="n">
        <f aca="false">SUM(M581:R581)</f>
        <v>171.9607378</v>
      </c>
      <c r="T581" s="39" t="n">
        <f aca="false">S581/(1-Resumo!$C$5)</f>
        <v>195.409929318182</v>
      </c>
      <c r="U581" s="39" t="n">
        <v>201.59</v>
      </c>
      <c r="V581" s="39" t="n">
        <f aca="false">J581*Resumo!$B$6</f>
        <v>1.16399</v>
      </c>
      <c r="W581" s="39" t="n">
        <f aca="false">J581*Resumo!$B$7</f>
        <v>2.32798</v>
      </c>
      <c r="X581" s="39" t="n">
        <f aca="false">Resumo!$B$9</f>
        <v>1</v>
      </c>
      <c r="Y581" s="39" t="n">
        <f aca="false">Resumo!$B$10*CEILING(I581/100,1)</f>
        <v>9</v>
      </c>
      <c r="Z581" s="39" t="n">
        <f aca="false">Resumo!$B$12*CEILING(I581,1)</f>
        <v>6.42</v>
      </c>
      <c r="AA581" s="39" t="n">
        <f aca="false">Resumo!$B$13*CEILING(I581,1)</f>
        <v>48.15</v>
      </c>
      <c r="AB581" s="39" t="n">
        <f aca="false">SUM(U581:AA581)</f>
        <v>269.65197</v>
      </c>
      <c r="AC581" s="39" t="n">
        <f aca="false">AB581/(1-Resumo!$B$5)</f>
        <v>306.422693181818</v>
      </c>
      <c r="AD581" s="39" t="n">
        <f aca="false">(AB581-AA581)/(1-Resumo!$B$5)</f>
        <v>251.706784090909</v>
      </c>
      <c r="AE581" s="39" t="n">
        <f aca="false">AC581-T581</f>
        <v>111.012763863636</v>
      </c>
      <c r="AF581" s="40" t="n">
        <f aca="false">AC581/T581-1</f>
        <v>0.568101960074284</v>
      </c>
      <c r="AG581" s="37" t="str">
        <f aca="false">IF(AC581&lt;T581,"SIM","NÃO")</f>
        <v>NÃO</v>
      </c>
      <c r="AH581" s="37" t="n">
        <v>10</v>
      </c>
      <c r="AI581" s="37" t="n">
        <v>5</v>
      </c>
      <c r="AJ581" s="37" t="s">
        <v>323</v>
      </c>
    </row>
    <row r="582" customFormat="false" ht="15" hidden="false" customHeight="false" outlineLevel="0" collapsed="false">
      <c r="A582" s="37" t="n">
        <v>371797042</v>
      </c>
      <c r="B582" s="38" t="n">
        <v>46238.8923958333</v>
      </c>
      <c r="C582" s="37" t="s">
        <v>320</v>
      </c>
      <c r="D582" s="37" t="s">
        <v>893</v>
      </c>
      <c r="E582" s="37" t="n">
        <v>24812280</v>
      </c>
      <c r="F582" s="37" t="s">
        <v>154</v>
      </c>
      <c r="G582" s="37" t="s">
        <v>201</v>
      </c>
      <c r="H582" s="37" t="s">
        <v>169</v>
      </c>
      <c r="I582" s="37" t="n">
        <v>37.2</v>
      </c>
      <c r="J582" s="39" t="n">
        <v>399.99</v>
      </c>
      <c r="K582" s="37" t="s">
        <v>498</v>
      </c>
      <c r="L582" s="39" t="n">
        <v>123.13</v>
      </c>
      <c r="M582" s="39" t="n">
        <v>87.4</v>
      </c>
      <c r="N582" s="39" t="n">
        <f aca="false">J582*Resumo!$C$7</f>
        <v>0.79998</v>
      </c>
      <c r="O582" s="39" t="n">
        <f aca="false">J582*Resumo!$C$8</f>
        <v>0.79998</v>
      </c>
      <c r="P582" s="39" t="n">
        <f aca="false">Resumo!$C$10*CEILING(I582/100,1)</f>
        <v>1</v>
      </c>
      <c r="Q582" s="39" t="n">
        <f aca="false">Resumo!$C$9</f>
        <v>11.9</v>
      </c>
      <c r="R582" s="39" t="n">
        <f aca="false">SUM(M582:Q582)*Resumo!$C$11</f>
        <v>5.6044978</v>
      </c>
      <c r="S582" s="39" t="n">
        <f aca="false">SUM(M582:R582)</f>
        <v>107.5044578</v>
      </c>
      <c r="T582" s="39" t="n">
        <f aca="false">S582/(1-Resumo!$C$5)</f>
        <v>122.164156590909</v>
      </c>
      <c r="U582" s="39" t="n">
        <v>114.95</v>
      </c>
      <c r="V582" s="39" t="n">
        <f aca="false">J582*Resumo!$B$6</f>
        <v>0.39999</v>
      </c>
      <c r="W582" s="39" t="n">
        <f aca="false">J582*Resumo!$B$7</f>
        <v>0.79998</v>
      </c>
      <c r="X582" s="39" t="n">
        <f aca="false">Resumo!$B$9</f>
        <v>1</v>
      </c>
      <c r="Y582" s="39" t="n">
        <f aca="false">Resumo!$B$10*CEILING(I582/100,1)</f>
        <v>4.5</v>
      </c>
      <c r="Z582" s="39" t="n">
        <f aca="false">Resumo!$B$12*CEILING(I582,1)</f>
        <v>2.28</v>
      </c>
      <c r="AA582" s="39" t="n">
        <f aca="false">Resumo!$B$13*CEILING(I582,1)</f>
        <v>17.1</v>
      </c>
      <c r="AB582" s="39" t="n">
        <f aca="false">SUM(U582:AA582)</f>
        <v>141.02997</v>
      </c>
      <c r="AC582" s="39" t="n">
        <f aca="false">AB582/(1-Resumo!$B$5)</f>
        <v>160.261329545455</v>
      </c>
      <c r="AD582" s="39" t="n">
        <f aca="false">(AB582-AA582)/(1-Resumo!$B$5)</f>
        <v>140.829511363636</v>
      </c>
      <c r="AE582" s="39" t="n">
        <f aca="false">AC582-T582</f>
        <v>38.0971729545454</v>
      </c>
      <c r="AF582" s="40" t="n">
        <f aca="false">AC582/T582-1</f>
        <v>0.311852297905362</v>
      </c>
      <c r="AG582" s="37" t="str">
        <f aca="false">IF(AC582&lt;T582,"SIM","NÃO")</f>
        <v>NÃO</v>
      </c>
      <c r="AH582" s="37" t="n">
        <v>13</v>
      </c>
      <c r="AI582" s="37" t="n">
        <v>7</v>
      </c>
      <c r="AJ582" s="37" t="s">
        <v>323</v>
      </c>
    </row>
    <row r="583" customFormat="false" ht="15" hidden="false" customHeight="false" outlineLevel="0" collapsed="false">
      <c r="A583" s="37" t="n">
        <v>371799263</v>
      </c>
      <c r="B583" s="38" t="n">
        <v>46238.8963310185</v>
      </c>
      <c r="C583" s="37" t="s">
        <v>320</v>
      </c>
      <c r="D583" s="37" t="s">
        <v>894</v>
      </c>
      <c r="E583" s="37" t="n">
        <v>20550210</v>
      </c>
      <c r="F583" s="37" t="s">
        <v>139</v>
      </c>
      <c r="G583" s="37" t="s">
        <v>198</v>
      </c>
      <c r="H583" s="37" t="s">
        <v>167</v>
      </c>
      <c r="I583" s="37" t="n">
        <v>19.5</v>
      </c>
      <c r="J583" s="39" t="n">
        <v>379.99</v>
      </c>
      <c r="K583" s="37" t="s">
        <v>322</v>
      </c>
      <c r="L583" s="39" t="n">
        <v>65.03</v>
      </c>
      <c r="M583" s="39" t="n">
        <v>39.83</v>
      </c>
      <c r="N583" s="39" t="n">
        <f aca="false">J583*Resumo!$C$7</f>
        <v>0.75998</v>
      </c>
      <c r="O583" s="39" t="n">
        <f aca="false">J583*Resumo!$C$8</f>
        <v>0.75998</v>
      </c>
      <c r="P583" s="39" t="n">
        <f aca="false">Resumo!$C$10*CEILING(I583/100,1)</f>
        <v>1</v>
      </c>
      <c r="Q583" s="39" t="n">
        <f aca="false">Resumo!$C$9</f>
        <v>11.9</v>
      </c>
      <c r="R583" s="39" t="n">
        <f aca="false">SUM(M583:Q583)*Resumo!$C$11</f>
        <v>2.9837478</v>
      </c>
      <c r="S583" s="39" t="n">
        <f aca="false">SUM(M583:R583)</f>
        <v>57.2337078</v>
      </c>
      <c r="T583" s="39" t="n">
        <f aca="false">S583/(1-Resumo!$C$5)</f>
        <v>65.0383043181818</v>
      </c>
      <c r="U583" s="39" t="n">
        <v>46.98</v>
      </c>
      <c r="V583" s="39" t="n">
        <f aca="false">J583*Resumo!$B$6</f>
        <v>0.37999</v>
      </c>
      <c r="W583" s="39" t="n">
        <f aca="false">J583*Resumo!$B$7</f>
        <v>0.75998</v>
      </c>
      <c r="X583" s="39" t="n">
        <f aca="false">Resumo!$B$9</f>
        <v>1</v>
      </c>
      <c r="Y583" s="39" t="n">
        <f aca="false">Resumo!$B$10*CEILING(I583/100,1)</f>
        <v>4.5</v>
      </c>
      <c r="Z583" s="39" t="n">
        <f aca="false">Resumo!$B$12*CEILING(I583,1)</f>
        <v>1.2</v>
      </c>
      <c r="AA583" s="39" t="n">
        <f aca="false">Resumo!$B$13*CEILING(I583,1)</f>
        <v>9</v>
      </c>
      <c r="AB583" s="39" t="n">
        <f aca="false">SUM(U583:AA583)</f>
        <v>63.81997</v>
      </c>
      <c r="AC583" s="39" t="n">
        <f aca="false">AB583/(1-Resumo!$B$5)</f>
        <v>72.5226931818182</v>
      </c>
      <c r="AD583" s="39" t="n">
        <f aca="false">(AB583-AA583)/(1-Resumo!$B$5)</f>
        <v>62.2954204545455</v>
      </c>
      <c r="AE583" s="39" t="n">
        <f aca="false">AC583-T583</f>
        <v>7.48438886363635</v>
      </c>
      <c r="AF583" s="40" t="n">
        <f aca="false">AC583/T583-1</f>
        <v>0.115076629719943</v>
      </c>
      <c r="AG583" s="37" t="str">
        <f aca="false">IF(AC583&lt;T583,"SIM","NÃO")</f>
        <v>NÃO</v>
      </c>
      <c r="AH583" s="37" t="n">
        <v>8</v>
      </c>
      <c r="AI583" s="37" t="n">
        <v>5</v>
      </c>
      <c r="AJ583" s="37" t="s">
        <v>323</v>
      </c>
    </row>
    <row r="584" customFormat="false" ht="15" hidden="false" customHeight="false" outlineLevel="0" collapsed="false">
      <c r="A584" s="37" t="n">
        <v>371818560</v>
      </c>
      <c r="B584" s="38" t="n">
        <v>46238.9312847222</v>
      </c>
      <c r="C584" s="37" t="s">
        <v>320</v>
      </c>
      <c r="D584" s="37" t="s">
        <v>895</v>
      </c>
      <c r="E584" s="37" t="n">
        <v>25214415</v>
      </c>
      <c r="F584" s="37" t="s">
        <v>141</v>
      </c>
      <c r="G584" s="37" t="s">
        <v>207</v>
      </c>
      <c r="H584" s="37" t="s">
        <v>167</v>
      </c>
      <c r="I584" s="37" t="n">
        <v>19.8</v>
      </c>
      <c r="J584" s="39" t="n">
        <v>329.99</v>
      </c>
      <c r="K584" s="37" t="s">
        <v>322</v>
      </c>
      <c r="L584" s="39" t="n">
        <v>75.42</v>
      </c>
      <c r="M584" s="39" t="n">
        <v>48.69</v>
      </c>
      <c r="N584" s="39" t="n">
        <f aca="false">J584*Resumo!$C$7</f>
        <v>0.65998</v>
      </c>
      <c r="O584" s="39" t="n">
        <f aca="false">J584*Resumo!$C$8</f>
        <v>0.65998</v>
      </c>
      <c r="P584" s="39" t="n">
        <f aca="false">Resumo!$C$10*CEILING(I584/100,1)</f>
        <v>1</v>
      </c>
      <c r="Q584" s="39" t="n">
        <f aca="false">Resumo!$C$9</f>
        <v>11.9</v>
      </c>
      <c r="R584" s="39" t="n">
        <f aca="false">SUM(M584:Q584)*Resumo!$C$11</f>
        <v>3.4600478</v>
      </c>
      <c r="S584" s="39" t="n">
        <f aca="false">SUM(M584:R584)</f>
        <v>66.3700078</v>
      </c>
      <c r="T584" s="39" t="n">
        <f aca="false">S584/(1-Resumo!$C$5)</f>
        <v>75.4204634090909</v>
      </c>
      <c r="U584" s="39" t="n">
        <v>46.98</v>
      </c>
      <c r="V584" s="39" t="n">
        <f aca="false">J584*Resumo!$B$6</f>
        <v>0.32999</v>
      </c>
      <c r="W584" s="39" t="n">
        <f aca="false">J584*Resumo!$B$7</f>
        <v>0.65998</v>
      </c>
      <c r="X584" s="39" t="n">
        <f aca="false">Resumo!$B$9</f>
        <v>1</v>
      </c>
      <c r="Y584" s="39" t="n">
        <f aca="false">Resumo!$B$10*CEILING(I584/100,1)</f>
        <v>4.5</v>
      </c>
      <c r="Z584" s="39" t="n">
        <f aca="false">Resumo!$B$12*CEILING(I584,1)</f>
        <v>1.2</v>
      </c>
      <c r="AA584" s="39" t="n">
        <f aca="false">Resumo!$B$13*CEILING(I584,1)</f>
        <v>9</v>
      </c>
      <c r="AB584" s="39" t="n">
        <f aca="false">SUM(U584:AA584)</f>
        <v>63.66997</v>
      </c>
      <c r="AC584" s="39" t="n">
        <f aca="false">AB584/(1-Resumo!$B$5)</f>
        <v>72.3522386363636</v>
      </c>
      <c r="AD584" s="39" t="n">
        <f aca="false">(AB584-AA584)/(1-Resumo!$B$5)</f>
        <v>62.1249659090909</v>
      </c>
      <c r="AE584" s="39" t="n">
        <f aca="false">AC584-T584</f>
        <v>-3.06822477272726</v>
      </c>
      <c r="AF584" s="40" t="n">
        <f aca="false">AC584/T584-1</f>
        <v>-0.0406815953395141</v>
      </c>
      <c r="AG584" s="37" t="str">
        <f aca="false">IF(AC584&lt;T584,"SIM","NÃO")</f>
        <v>SIM</v>
      </c>
      <c r="AH584" s="37" t="n">
        <v>10</v>
      </c>
      <c r="AI584" s="37" t="n">
        <v>5</v>
      </c>
      <c r="AJ584" s="37" t="s">
        <v>323</v>
      </c>
    </row>
    <row r="585" customFormat="false" ht="15" hidden="false" customHeight="false" outlineLevel="0" collapsed="false">
      <c r="A585" s="37" t="n">
        <v>371819208</v>
      </c>
      <c r="B585" s="38" t="n">
        <v>46238.9324652778</v>
      </c>
      <c r="C585" s="37" t="s">
        <v>320</v>
      </c>
      <c r="D585" s="37" t="s">
        <v>896</v>
      </c>
      <c r="E585" s="37" t="n">
        <v>21341270</v>
      </c>
      <c r="F585" s="37" t="s">
        <v>139</v>
      </c>
      <c r="G585" s="37" t="s">
        <v>198</v>
      </c>
      <c r="H585" s="37" t="s">
        <v>172</v>
      </c>
      <c r="I585" s="37" t="n">
        <v>69.75</v>
      </c>
      <c r="J585" s="39" t="n">
        <v>859.99</v>
      </c>
      <c r="K585" s="37" t="s">
        <v>322</v>
      </c>
      <c r="L585" s="39" t="n">
        <v>125.33</v>
      </c>
      <c r="M585" s="39" t="n">
        <v>88.2</v>
      </c>
      <c r="N585" s="39" t="n">
        <f aca="false">J585*Resumo!$C$7</f>
        <v>1.71998</v>
      </c>
      <c r="O585" s="39" t="n">
        <f aca="false">J585*Resumo!$C$8</f>
        <v>1.71998</v>
      </c>
      <c r="P585" s="39" t="n">
        <f aca="false">Resumo!$C$10*CEILING(I585/100,1)</f>
        <v>1</v>
      </c>
      <c r="Q585" s="39" t="n">
        <f aca="false">Resumo!$C$9</f>
        <v>11.9</v>
      </c>
      <c r="R585" s="39" t="n">
        <f aca="false">SUM(M585:Q585)*Resumo!$C$11</f>
        <v>5.7496978</v>
      </c>
      <c r="S585" s="39" t="n">
        <f aca="false">SUM(M585:R585)</f>
        <v>110.2896578</v>
      </c>
      <c r="T585" s="39" t="n">
        <f aca="false">S585/(1-Resumo!$C$5)</f>
        <v>125.329156590909</v>
      </c>
      <c r="U585" s="39" t="n">
        <v>131.02</v>
      </c>
      <c r="V585" s="39" t="n">
        <f aca="false">J585*Resumo!$B$6</f>
        <v>0.85999</v>
      </c>
      <c r="W585" s="39" t="n">
        <f aca="false">J585*Resumo!$B$7</f>
        <v>1.71998</v>
      </c>
      <c r="X585" s="39" t="n">
        <f aca="false">Resumo!$B$9</f>
        <v>1</v>
      </c>
      <c r="Y585" s="39" t="n">
        <f aca="false">Resumo!$B$10*CEILING(I585/100,1)</f>
        <v>4.5</v>
      </c>
      <c r="Z585" s="39" t="n">
        <f aca="false">Resumo!$B$12*CEILING(I585,1)</f>
        <v>4.2</v>
      </c>
      <c r="AA585" s="39" t="n">
        <f aca="false">Resumo!$B$13*CEILING(I585,1)</f>
        <v>31.5</v>
      </c>
      <c r="AB585" s="39" t="n">
        <f aca="false">SUM(U585:AA585)</f>
        <v>174.79997</v>
      </c>
      <c r="AC585" s="39" t="n">
        <f aca="false">AB585/(1-Resumo!$B$5)</f>
        <v>198.636329545455</v>
      </c>
      <c r="AD585" s="39" t="n">
        <f aca="false">(AB585-AA585)/(1-Resumo!$B$5)</f>
        <v>162.840875</v>
      </c>
      <c r="AE585" s="39" t="n">
        <f aca="false">AC585-T585</f>
        <v>73.3071729545454</v>
      </c>
      <c r="AF585" s="40" t="n">
        <f aca="false">AC585/T585-1</f>
        <v>0.58491714895864</v>
      </c>
      <c r="AG585" s="37" t="str">
        <f aca="false">IF(AC585&lt;T585,"SIM","NÃO")</f>
        <v>NÃO</v>
      </c>
      <c r="AH585" s="37" t="n">
        <v>8</v>
      </c>
      <c r="AI585" s="37" t="n">
        <v>5</v>
      </c>
      <c r="AJ585" s="37" t="s">
        <v>323</v>
      </c>
    </row>
    <row r="586" customFormat="false" ht="15" hidden="false" customHeight="false" outlineLevel="0" collapsed="false">
      <c r="A586" s="37" t="n">
        <v>371852885</v>
      </c>
      <c r="B586" s="38" t="n">
        <v>46239.0077662037</v>
      </c>
      <c r="C586" s="37" t="s">
        <v>320</v>
      </c>
      <c r="D586" s="37" t="s">
        <v>897</v>
      </c>
      <c r="E586" s="37" t="n">
        <v>21853054</v>
      </c>
      <c r="F586" s="37" t="s">
        <v>139</v>
      </c>
      <c r="G586" s="37" t="s">
        <v>198</v>
      </c>
      <c r="H586" s="37" t="s">
        <v>168</v>
      </c>
      <c r="I586" s="37" t="n">
        <v>33</v>
      </c>
      <c r="J586" s="39" t="n">
        <v>519.99</v>
      </c>
      <c r="K586" s="37" t="s">
        <v>322</v>
      </c>
      <c r="L586" s="39" t="n">
        <v>82.82</v>
      </c>
      <c r="M586" s="39" t="n">
        <v>54.1</v>
      </c>
      <c r="N586" s="39" t="n">
        <f aca="false">J586*Resumo!$C$7</f>
        <v>1.03998</v>
      </c>
      <c r="O586" s="39" t="n">
        <f aca="false">J586*Resumo!$C$8</f>
        <v>1.03998</v>
      </c>
      <c r="P586" s="39" t="n">
        <f aca="false">Resumo!$C$10*CEILING(I586/100,1)</f>
        <v>1</v>
      </c>
      <c r="Q586" s="39" t="n">
        <f aca="false">Resumo!$C$9</f>
        <v>11.9</v>
      </c>
      <c r="R586" s="39" t="n">
        <f aca="false">SUM(M586:Q586)*Resumo!$C$11</f>
        <v>3.7993978</v>
      </c>
      <c r="S586" s="39" t="n">
        <f aca="false">SUM(M586:R586)</f>
        <v>72.8793578</v>
      </c>
      <c r="T586" s="39" t="n">
        <f aca="false">S586/(1-Resumo!$C$5)</f>
        <v>82.8174520454545</v>
      </c>
      <c r="U586" s="39" t="n">
        <v>82.21</v>
      </c>
      <c r="V586" s="39" t="n">
        <f aca="false">J586*Resumo!$B$6</f>
        <v>0.51999</v>
      </c>
      <c r="W586" s="39" t="n">
        <f aca="false">J586*Resumo!$B$7</f>
        <v>1.03998</v>
      </c>
      <c r="X586" s="39" t="n">
        <f aca="false">Resumo!$B$9</f>
        <v>1</v>
      </c>
      <c r="Y586" s="39" t="n">
        <f aca="false">Resumo!$B$10*CEILING(I586/100,1)</f>
        <v>4.5</v>
      </c>
      <c r="Z586" s="39" t="n">
        <f aca="false">Resumo!$B$12*CEILING(I586,1)</f>
        <v>1.98</v>
      </c>
      <c r="AA586" s="39" t="n">
        <f aca="false">Resumo!$B$13*CEILING(I586,1)</f>
        <v>14.85</v>
      </c>
      <c r="AB586" s="39" t="n">
        <f aca="false">SUM(U586:AA586)</f>
        <v>106.09997</v>
      </c>
      <c r="AC586" s="39" t="n">
        <f aca="false">AB586/(1-Resumo!$B$5)</f>
        <v>120.568147727273</v>
      </c>
      <c r="AD586" s="39" t="n">
        <f aca="false">(AB586-AA586)/(1-Resumo!$B$5)</f>
        <v>103.693147727273</v>
      </c>
      <c r="AE586" s="39" t="n">
        <f aca="false">AC586-T586</f>
        <v>37.7506956818182</v>
      </c>
      <c r="AF586" s="40" t="n">
        <f aca="false">AC586/T586-1</f>
        <v>0.455830199425824</v>
      </c>
      <c r="AG586" s="37" t="str">
        <f aca="false">IF(AC586&lt;T586,"SIM","NÃO")</f>
        <v>NÃO</v>
      </c>
      <c r="AH586" s="37" t="n">
        <v>8</v>
      </c>
      <c r="AI586" s="37" t="n">
        <v>5</v>
      </c>
      <c r="AJ586" s="37" t="s">
        <v>323</v>
      </c>
    </row>
    <row r="587" customFormat="false" ht="15" hidden="false" customHeight="false" outlineLevel="0" collapsed="false">
      <c r="A587" s="37" t="n">
        <v>371937205</v>
      </c>
      <c r="B587" s="38" t="n">
        <v>46239.3051851852</v>
      </c>
      <c r="C587" s="37" t="s">
        <v>320</v>
      </c>
      <c r="D587" s="37" t="s">
        <v>898</v>
      </c>
      <c r="E587" s="37" t="n">
        <v>25215285</v>
      </c>
      <c r="F587" s="37" t="s">
        <v>141</v>
      </c>
      <c r="G587" s="37" t="s">
        <v>207</v>
      </c>
      <c r="H587" s="37" t="s">
        <v>171</v>
      </c>
      <c r="I587" s="37" t="n">
        <v>52.3</v>
      </c>
      <c r="J587" s="39" t="n">
        <v>685.85</v>
      </c>
      <c r="K587" s="37" t="s">
        <v>498</v>
      </c>
      <c r="L587" s="39" t="n">
        <v>127.62</v>
      </c>
      <c r="M587" s="39" t="n">
        <v>91.6</v>
      </c>
      <c r="N587" s="39" t="n">
        <f aca="false">J587*Resumo!$C$7</f>
        <v>1.3717</v>
      </c>
      <c r="O587" s="39" t="n">
        <f aca="false">J587*Resumo!$C$8</f>
        <v>1.3717</v>
      </c>
      <c r="P587" s="39" t="n">
        <f aca="false">Resumo!$C$10*CEILING(I587/100,1)</f>
        <v>1</v>
      </c>
      <c r="Q587" s="39" t="n">
        <f aca="false">Resumo!$C$9</f>
        <v>11.9</v>
      </c>
      <c r="R587" s="39" t="n">
        <f aca="false">SUM(M587:Q587)*Resumo!$C$11</f>
        <v>5.898387</v>
      </c>
      <c r="S587" s="39" t="n">
        <f aca="false">SUM(M587:R587)</f>
        <v>113.141787</v>
      </c>
      <c r="T587" s="39" t="n">
        <f aca="false">S587/(1-Resumo!$C$5)</f>
        <v>128.5702125</v>
      </c>
      <c r="U587" s="39" t="n">
        <v>112.3</v>
      </c>
      <c r="V587" s="39" t="n">
        <f aca="false">J587*Resumo!$B$6</f>
        <v>0.68585</v>
      </c>
      <c r="W587" s="39" t="n">
        <f aca="false">J587*Resumo!$B$7</f>
        <v>1.3717</v>
      </c>
      <c r="X587" s="39" t="n">
        <f aca="false">Resumo!$B$9</f>
        <v>1</v>
      </c>
      <c r="Y587" s="39" t="n">
        <f aca="false">Resumo!$B$10*CEILING(I587/100,1)</f>
        <v>4.5</v>
      </c>
      <c r="Z587" s="39" t="n">
        <f aca="false">Resumo!$B$12*CEILING(I587,1)</f>
        <v>3.18</v>
      </c>
      <c r="AA587" s="39" t="n">
        <f aca="false">Resumo!$B$13*CEILING(I587,1)</f>
        <v>23.85</v>
      </c>
      <c r="AB587" s="39" t="n">
        <f aca="false">SUM(U587:AA587)</f>
        <v>146.88755</v>
      </c>
      <c r="AC587" s="39" t="n">
        <f aca="false">AB587/(1-Resumo!$B$5)</f>
        <v>166.917670454545</v>
      </c>
      <c r="AD587" s="39" t="n">
        <f aca="false">(AB587-AA587)/(1-Resumo!$B$5)</f>
        <v>139.815397727273</v>
      </c>
      <c r="AE587" s="39" t="n">
        <f aca="false">AC587-T587</f>
        <v>38.3474579545455</v>
      </c>
      <c r="AF587" s="40" t="n">
        <f aca="false">AC587/T587-1</f>
        <v>0.298260827363457</v>
      </c>
      <c r="AG587" s="37" t="str">
        <f aca="false">IF(AC587&lt;T587,"SIM","NÃO")</f>
        <v>NÃO</v>
      </c>
      <c r="AH587" s="37" t="n">
        <v>10</v>
      </c>
      <c r="AI587" s="37" t="n">
        <v>5</v>
      </c>
      <c r="AJ587" s="37" t="s">
        <v>323</v>
      </c>
    </row>
    <row r="588" customFormat="false" ht="15" hidden="false" customHeight="false" outlineLevel="0" collapsed="false">
      <c r="A588" s="37" t="n">
        <v>371950939</v>
      </c>
      <c r="B588" s="38" t="n">
        <v>46239.3425578704</v>
      </c>
      <c r="C588" s="37" t="s">
        <v>320</v>
      </c>
      <c r="D588" s="37" t="s">
        <v>899</v>
      </c>
      <c r="E588" s="37" t="n">
        <v>23570490</v>
      </c>
      <c r="F588" s="37" t="s">
        <v>139</v>
      </c>
      <c r="G588" s="37" t="s">
        <v>198</v>
      </c>
      <c r="H588" s="37" t="s">
        <v>172</v>
      </c>
      <c r="I588" s="37" t="n">
        <v>66.8</v>
      </c>
      <c r="J588" s="39" t="n">
        <v>719.99</v>
      </c>
      <c r="K588" s="37" t="s">
        <v>498</v>
      </c>
      <c r="L588" s="39" t="n">
        <v>126.11</v>
      </c>
      <c r="M588" s="39" t="n">
        <v>88.2</v>
      </c>
      <c r="N588" s="39" t="n">
        <f aca="false">J588*Resumo!$C$7</f>
        <v>1.43998</v>
      </c>
      <c r="O588" s="39" t="n">
        <f aca="false">J588*Resumo!$C$8</f>
        <v>1.43998</v>
      </c>
      <c r="P588" s="39" t="n">
        <f aca="false">Resumo!$C$10*CEILING(I588/100,1)</f>
        <v>1</v>
      </c>
      <c r="Q588" s="39" t="n">
        <f aca="false">Resumo!$C$9</f>
        <v>11.9</v>
      </c>
      <c r="R588" s="39" t="n">
        <f aca="false">SUM(M588:Q588)*Resumo!$C$11</f>
        <v>5.7188978</v>
      </c>
      <c r="S588" s="39" t="n">
        <f aca="false">SUM(M588:R588)</f>
        <v>109.6988578</v>
      </c>
      <c r="T588" s="39" t="n">
        <f aca="false">S588/(1-Resumo!$C$5)</f>
        <v>124.657792954545</v>
      </c>
      <c r="U588" s="39" t="n">
        <v>131.02</v>
      </c>
      <c r="V588" s="39" t="n">
        <f aca="false">J588*Resumo!$B$6</f>
        <v>0.71999</v>
      </c>
      <c r="W588" s="39" t="n">
        <f aca="false">J588*Resumo!$B$7</f>
        <v>1.43998</v>
      </c>
      <c r="X588" s="39" t="n">
        <f aca="false">Resumo!$B$9</f>
        <v>1</v>
      </c>
      <c r="Y588" s="39" t="n">
        <f aca="false">Resumo!$B$10*CEILING(I588/100,1)</f>
        <v>4.5</v>
      </c>
      <c r="Z588" s="39" t="n">
        <f aca="false">Resumo!$B$12*CEILING(I588,1)</f>
        <v>4.02</v>
      </c>
      <c r="AA588" s="39" t="n">
        <f aca="false">Resumo!$B$13*CEILING(I588,1)</f>
        <v>30.15</v>
      </c>
      <c r="AB588" s="39" t="n">
        <f aca="false">SUM(U588:AA588)</f>
        <v>172.84997</v>
      </c>
      <c r="AC588" s="39" t="n">
        <f aca="false">AB588/(1-Resumo!$B$5)</f>
        <v>196.420420454545</v>
      </c>
      <c r="AD588" s="39" t="n">
        <f aca="false">(AB588-AA588)/(1-Resumo!$B$5)</f>
        <v>162.159056818182</v>
      </c>
      <c r="AE588" s="39" t="n">
        <f aca="false">AC588-T588</f>
        <v>71.7626275</v>
      </c>
      <c r="AF588" s="40" t="n">
        <f aca="false">AC588/T588-1</f>
        <v>0.575677025873281</v>
      </c>
      <c r="AG588" s="37" t="str">
        <f aca="false">IF(AC588&lt;T588,"SIM","NÃO")</f>
        <v>NÃO</v>
      </c>
      <c r="AH588" s="37" t="n">
        <v>8</v>
      </c>
      <c r="AI588" s="37" t="n">
        <v>5</v>
      </c>
      <c r="AJ588" s="37" t="s">
        <v>323</v>
      </c>
    </row>
    <row r="589" customFormat="false" ht="15" hidden="false" customHeight="false" outlineLevel="0" collapsed="false">
      <c r="A589" s="37" t="n">
        <v>371966635</v>
      </c>
      <c r="B589" s="38" t="n">
        <v>46239.3798611111</v>
      </c>
      <c r="C589" s="37" t="s">
        <v>320</v>
      </c>
      <c r="D589" s="37" t="s">
        <v>900</v>
      </c>
      <c r="E589" s="37" t="n">
        <v>25850000</v>
      </c>
      <c r="F589" s="37" t="s">
        <v>216</v>
      </c>
      <c r="G589" s="37" t="s">
        <v>201</v>
      </c>
      <c r="H589" s="37" t="s">
        <v>176</v>
      </c>
      <c r="I589" s="37" t="n">
        <v>124.2</v>
      </c>
      <c r="J589" s="39" t="n">
        <v>1558.09</v>
      </c>
      <c r="K589" s="37" t="s">
        <v>498</v>
      </c>
      <c r="L589" s="39" t="n">
        <v>253.05</v>
      </c>
      <c r="M589" s="39" t="n">
        <v>197.37</v>
      </c>
      <c r="N589" s="39" t="n">
        <f aca="false">J589*Resumo!$C$7</f>
        <v>3.11618</v>
      </c>
      <c r="O589" s="39" t="n">
        <f aca="false">J589*Resumo!$C$8</f>
        <v>3.11618</v>
      </c>
      <c r="P589" s="39" t="n">
        <f aca="false">Resumo!$C$10*CEILING(I589/100,1)</f>
        <v>2</v>
      </c>
      <c r="Q589" s="39" t="n">
        <f aca="false">Resumo!$C$9</f>
        <v>11.9</v>
      </c>
      <c r="R589" s="39" t="n">
        <f aca="false">SUM(M589:Q589)*Resumo!$C$11</f>
        <v>11.9626298</v>
      </c>
      <c r="S589" s="39" t="n">
        <f aca="false">SUM(M589:R589)</f>
        <v>229.4649898</v>
      </c>
      <c r="T589" s="39" t="n">
        <f aca="false">S589/(1-Resumo!$C$5)</f>
        <v>260.755670227273</v>
      </c>
      <c r="U589" s="39" t="n">
        <v>264.84</v>
      </c>
      <c r="V589" s="39" t="n">
        <f aca="false">J589*Resumo!$B$6</f>
        <v>1.55809</v>
      </c>
      <c r="W589" s="39" t="n">
        <f aca="false">J589*Resumo!$B$7</f>
        <v>3.11618</v>
      </c>
      <c r="X589" s="39" t="n">
        <f aca="false">Resumo!$B$9</f>
        <v>1</v>
      </c>
      <c r="Y589" s="39" t="n">
        <f aca="false">Resumo!$B$10*CEILING(I589/100,1)</f>
        <v>9</v>
      </c>
      <c r="Z589" s="39" t="n">
        <f aca="false">Resumo!$B$12*CEILING(I589,1)</f>
        <v>7.5</v>
      </c>
      <c r="AA589" s="39" t="n">
        <f aca="false">Resumo!$B$13*CEILING(I589,1)</f>
        <v>56.25</v>
      </c>
      <c r="AB589" s="39" t="n">
        <f aca="false">SUM(U589:AA589)</f>
        <v>343.26427</v>
      </c>
      <c r="AC589" s="39" t="n">
        <f aca="false">AB589/(1-Resumo!$B$5)</f>
        <v>390.073034090909</v>
      </c>
      <c r="AD589" s="39" t="n">
        <f aca="false">(AB589-AA589)/(1-Resumo!$B$5)</f>
        <v>326.152579545455</v>
      </c>
      <c r="AE589" s="39" t="n">
        <f aca="false">AC589-T589</f>
        <v>129.317363863636</v>
      </c>
      <c r="AF589" s="40" t="n">
        <f aca="false">AC589/T589-1</f>
        <v>0.495933084603392</v>
      </c>
      <c r="AG589" s="37" t="str">
        <f aca="false">IF(AC589&lt;T589,"SIM","NÃO")</f>
        <v>NÃO</v>
      </c>
      <c r="AH589" s="37" t="n">
        <v>13</v>
      </c>
      <c r="AI589" s="37" t="n">
        <v>10</v>
      </c>
      <c r="AJ589" s="37" t="s">
        <v>327</v>
      </c>
    </row>
    <row r="590" customFormat="false" ht="15" hidden="false" customHeight="false" outlineLevel="0" collapsed="false">
      <c r="A590" s="37" t="n">
        <v>371965361</v>
      </c>
      <c r="B590" s="38" t="n">
        <v>46239.3831944445</v>
      </c>
      <c r="C590" s="37" t="s">
        <v>341</v>
      </c>
      <c r="D590" s="37" t="s">
        <v>901</v>
      </c>
      <c r="E590" s="37" t="n">
        <v>26293384</v>
      </c>
      <c r="F590" s="37" t="s">
        <v>142</v>
      </c>
      <c r="G590" s="37" t="s">
        <v>207</v>
      </c>
      <c r="H590" s="37" t="s">
        <v>172</v>
      </c>
      <c r="I590" s="37" t="n">
        <v>69</v>
      </c>
      <c r="J590" s="39" t="n">
        <v>730.99</v>
      </c>
      <c r="K590" s="37" t="s">
        <v>322</v>
      </c>
      <c r="L590" s="39" t="n">
        <v>139.93</v>
      </c>
      <c r="M590" s="39" t="n">
        <v>100.9</v>
      </c>
      <c r="N590" s="39" t="n">
        <f aca="false">J590*Resumo!$C$7</f>
        <v>1.46198</v>
      </c>
      <c r="O590" s="39" t="n">
        <f aca="false">J590*Resumo!$C$8</f>
        <v>1.46198</v>
      </c>
      <c r="P590" s="39" t="n">
        <f aca="false">Resumo!$C$10*CEILING(I590/100,1)</f>
        <v>1</v>
      </c>
      <c r="Q590" s="39" t="n">
        <f aca="false">Resumo!$C$9</f>
        <v>11.9</v>
      </c>
      <c r="R590" s="39" t="n">
        <f aca="false">SUM(M590:Q590)*Resumo!$C$11</f>
        <v>6.4198178</v>
      </c>
      <c r="S590" s="39" t="n">
        <f aca="false">SUM(M590:R590)</f>
        <v>123.1437778</v>
      </c>
      <c r="T590" s="39" t="n">
        <f aca="false">S590/(1-Resumo!$C$5)</f>
        <v>139.936111136364</v>
      </c>
      <c r="U590" s="39" t="n">
        <v>131.02</v>
      </c>
      <c r="V590" s="39" t="n">
        <f aca="false">J590*Resumo!$B$6</f>
        <v>0.73099</v>
      </c>
      <c r="W590" s="39" t="n">
        <f aca="false">J590*Resumo!$B$7</f>
        <v>1.46198</v>
      </c>
      <c r="X590" s="39" t="n">
        <f aca="false">Resumo!$B$9</f>
        <v>1</v>
      </c>
      <c r="Y590" s="39" t="n">
        <f aca="false">Resumo!$B$10*CEILING(I590/100,1)</f>
        <v>4.5</v>
      </c>
      <c r="Z590" s="39" t="n">
        <f aca="false">Resumo!$B$12*CEILING(I590,1)</f>
        <v>4.14</v>
      </c>
      <c r="AA590" s="39" t="n">
        <f aca="false">Resumo!$B$13*CEILING(I590,1)</f>
        <v>31.05</v>
      </c>
      <c r="AB590" s="39" t="n">
        <f aca="false">SUM(U590:AA590)</f>
        <v>173.90297</v>
      </c>
      <c r="AC590" s="39" t="n">
        <f aca="false">AB590/(1-Resumo!$B$5)</f>
        <v>197.617011363636</v>
      </c>
      <c r="AD590" s="39" t="n">
        <f aca="false">(AB590-AA590)/(1-Resumo!$B$5)</f>
        <v>162.332920454545</v>
      </c>
      <c r="AE590" s="39" t="n">
        <f aca="false">AC590-T590</f>
        <v>57.6809002272727</v>
      </c>
      <c r="AF590" s="40" t="n">
        <f aca="false">AC590/T590-1</f>
        <v>0.412194534769259</v>
      </c>
      <c r="AG590" s="37" t="str">
        <f aca="false">IF(AC590&lt;T590,"SIM","NÃO")</f>
        <v>NÃO</v>
      </c>
      <c r="AH590" s="37" t="n">
        <v>10</v>
      </c>
      <c r="AI590" s="37" t="n">
        <v>5</v>
      </c>
      <c r="AJ590" s="37" t="s">
        <v>323</v>
      </c>
    </row>
    <row r="591" customFormat="false" ht="15" hidden="false" customHeight="false" outlineLevel="0" collapsed="false">
      <c r="A591" s="37" t="n">
        <v>371979596</v>
      </c>
      <c r="B591" s="38" t="n">
        <v>46239.4048842593</v>
      </c>
      <c r="C591" s="37" t="s">
        <v>320</v>
      </c>
      <c r="D591" s="37" t="s">
        <v>902</v>
      </c>
      <c r="E591" s="37" t="n">
        <v>26082005</v>
      </c>
      <c r="F591" s="37" t="s">
        <v>142</v>
      </c>
      <c r="G591" s="37" t="s">
        <v>207</v>
      </c>
      <c r="H591" s="37" t="s">
        <v>168</v>
      </c>
      <c r="I591" s="37" t="n">
        <v>31.9</v>
      </c>
      <c r="J591" s="39" t="n">
        <v>551.99</v>
      </c>
      <c r="K591" s="37" t="s">
        <v>322</v>
      </c>
      <c r="L591" s="39" t="n">
        <v>102.02</v>
      </c>
      <c r="M591" s="39" t="n">
        <v>70</v>
      </c>
      <c r="N591" s="39" t="n">
        <f aca="false">J591*Resumo!$C$7</f>
        <v>1.10398</v>
      </c>
      <c r="O591" s="39" t="n">
        <f aca="false">J591*Resumo!$C$8</f>
        <v>1.10398</v>
      </c>
      <c r="P591" s="39" t="n">
        <f aca="false">Resumo!$C$10*CEILING(I591/100,1)</f>
        <v>1</v>
      </c>
      <c r="Q591" s="39" t="n">
        <f aca="false">Resumo!$C$9</f>
        <v>11.9</v>
      </c>
      <c r="R591" s="39" t="n">
        <f aca="false">SUM(M591:Q591)*Resumo!$C$11</f>
        <v>4.6809378</v>
      </c>
      <c r="S591" s="39" t="n">
        <f aca="false">SUM(M591:R591)</f>
        <v>89.7888978</v>
      </c>
      <c r="T591" s="39" t="n">
        <f aca="false">S591/(1-Resumo!$C$5)</f>
        <v>102.032838409091</v>
      </c>
      <c r="U591" s="39" t="n">
        <v>82.21</v>
      </c>
      <c r="V591" s="39" t="n">
        <f aca="false">J591*Resumo!$B$6</f>
        <v>0.55199</v>
      </c>
      <c r="W591" s="39" t="n">
        <f aca="false">J591*Resumo!$B$7</f>
        <v>1.10398</v>
      </c>
      <c r="X591" s="39" t="n">
        <f aca="false">Resumo!$B$9</f>
        <v>1</v>
      </c>
      <c r="Y591" s="39" t="n">
        <f aca="false">Resumo!$B$10*CEILING(I591/100,1)</f>
        <v>4.5</v>
      </c>
      <c r="Z591" s="39" t="n">
        <f aca="false">Resumo!$B$12*CEILING(I591,1)</f>
        <v>1.92</v>
      </c>
      <c r="AA591" s="39" t="n">
        <f aca="false">Resumo!$B$13*CEILING(I591,1)</f>
        <v>14.4</v>
      </c>
      <c r="AB591" s="39" t="n">
        <f aca="false">SUM(U591:AA591)</f>
        <v>105.68597</v>
      </c>
      <c r="AC591" s="39" t="n">
        <f aca="false">AB591/(1-Resumo!$B$5)</f>
        <v>120.097693181818</v>
      </c>
      <c r="AD591" s="39" t="n">
        <f aca="false">(AB591-AA591)/(1-Resumo!$B$5)</f>
        <v>103.734056818182</v>
      </c>
      <c r="AE591" s="39" t="n">
        <f aca="false">AC591-T591</f>
        <v>18.0648547727273</v>
      </c>
      <c r="AF591" s="40" t="n">
        <f aca="false">AC591/T591-1</f>
        <v>0.177049419132083</v>
      </c>
      <c r="AG591" s="37" t="str">
        <f aca="false">IF(AC591&lt;T591,"SIM","NÃO")</f>
        <v>NÃO</v>
      </c>
      <c r="AH591" s="37" t="n">
        <v>10</v>
      </c>
      <c r="AI591" s="37" t="n">
        <v>5</v>
      </c>
      <c r="AJ591" s="37" t="s">
        <v>323</v>
      </c>
    </row>
    <row r="592" customFormat="false" ht="15" hidden="false" customHeight="false" outlineLevel="0" collapsed="false">
      <c r="A592" s="37" t="n">
        <v>371985104</v>
      </c>
      <c r="B592" s="38" t="n">
        <v>46239.4156018519</v>
      </c>
      <c r="C592" s="37" t="s">
        <v>320</v>
      </c>
      <c r="D592" s="37" t="s">
        <v>903</v>
      </c>
      <c r="E592" s="37" t="n">
        <v>26110323</v>
      </c>
      <c r="F592" s="37" t="s">
        <v>145</v>
      </c>
      <c r="G592" s="37" t="s">
        <v>207</v>
      </c>
      <c r="H592" s="37" t="s">
        <v>171</v>
      </c>
      <c r="I592" s="37" t="n">
        <v>52.3</v>
      </c>
      <c r="J592" s="39" t="n">
        <v>699.99</v>
      </c>
      <c r="K592" s="37" t="s">
        <v>498</v>
      </c>
      <c r="L592" s="39" t="n">
        <v>127.69</v>
      </c>
      <c r="M592" s="39" t="n">
        <v>91.6</v>
      </c>
      <c r="N592" s="39" t="n">
        <f aca="false">J592*Resumo!$C$7</f>
        <v>1.39998</v>
      </c>
      <c r="O592" s="39" t="n">
        <f aca="false">J592*Resumo!$C$8</f>
        <v>1.39998</v>
      </c>
      <c r="P592" s="39" t="n">
        <f aca="false">Resumo!$C$10*CEILING(I592/100,1)</f>
        <v>1</v>
      </c>
      <c r="Q592" s="39" t="n">
        <f aca="false">Resumo!$C$9</f>
        <v>11.9</v>
      </c>
      <c r="R592" s="39" t="n">
        <f aca="false">SUM(M592:Q592)*Resumo!$C$11</f>
        <v>5.9014978</v>
      </c>
      <c r="S592" s="39" t="n">
        <f aca="false">SUM(M592:R592)</f>
        <v>113.2014578</v>
      </c>
      <c r="T592" s="39" t="n">
        <f aca="false">S592/(1-Resumo!$C$5)</f>
        <v>128.638020227273</v>
      </c>
      <c r="U592" s="39" t="n">
        <v>112.3</v>
      </c>
      <c r="V592" s="39" t="n">
        <f aca="false">J592*Resumo!$B$6</f>
        <v>0.69999</v>
      </c>
      <c r="W592" s="39" t="n">
        <f aca="false">J592*Resumo!$B$7</f>
        <v>1.39998</v>
      </c>
      <c r="X592" s="39" t="n">
        <f aca="false">Resumo!$B$9</f>
        <v>1</v>
      </c>
      <c r="Y592" s="39" t="n">
        <f aca="false">Resumo!$B$10*CEILING(I592/100,1)</f>
        <v>4.5</v>
      </c>
      <c r="Z592" s="39" t="n">
        <f aca="false">Resumo!$B$12*CEILING(I592,1)</f>
        <v>3.18</v>
      </c>
      <c r="AA592" s="39" t="n">
        <f aca="false">Resumo!$B$13*CEILING(I592,1)</f>
        <v>23.85</v>
      </c>
      <c r="AB592" s="39" t="n">
        <f aca="false">SUM(U592:AA592)</f>
        <v>146.92997</v>
      </c>
      <c r="AC592" s="39" t="n">
        <f aca="false">AB592/(1-Resumo!$B$5)</f>
        <v>166.965875</v>
      </c>
      <c r="AD592" s="39" t="n">
        <f aca="false">(AB592-AA592)/(1-Resumo!$B$5)</f>
        <v>139.863602272727</v>
      </c>
      <c r="AE592" s="39" t="n">
        <f aca="false">AC592-T592</f>
        <v>38.3278547727273</v>
      </c>
      <c r="AF592" s="40" t="n">
        <f aca="false">AC592/T592-1</f>
        <v>0.297951217727162</v>
      </c>
      <c r="AG592" s="37" t="str">
        <f aca="false">IF(AC592&lt;T592,"SIM","NÃO")</f>
        <v>NÃO</v>
      </c>
      <c r="AH592" s="37" t="n">
        <v>10</v>
      </c>
      <c r="AI592" s="37" t="n">
        <v>5</v>
      </c>
      <c r="AJ592" s="37" t="s">
        <v>323</v>
      </c>
    </row>
    <row r="593" customFormat="false" ht="15" hidden="false" customHeight="false" outlineLevel="0" collapsed="false">
      <c r="A593" s="37" t="n">
        <v>371986906</v>
      </c>
      <c r="B593" s="38" t="n">
        <v>46239.4173611111</v>
      </c>
      <c r="C593" s="37" t="s">
        <v>325</v>
      </c>
      <c r="D593" s="37" t="s">
        <v>904</v>
      </c>
      <c r="E593" s="37" t="n">
        <v>22753053</v>
      </c>
      <c r="F593" s="37" t="s">
        <v>139</v>
      </c>
      <c r="G593" s="37" t="s">
        <v>198</v>
      </c>
      <c r="H593" s="37" t="s">
        <v>171</v>
      </c>
      <c r="I593" s="37" t="n">
        <v>52.3</v>
      </c>
      <c r="J593" s="39" t="n">
        <v>642.07</v>
      </c>
      <c r="K593" s="37" t="s">
        <v>498</v>
      </c>
      <c r="L593" s="39" t="n">
        <v>113.35</v>
      </c>
      <c r="M593" s="39" t="n">
        <v>79.81</v>
      </c>
      <c r="N593" s="39" t="n">
        <f aca="false">J593*Resumo!$C$7</f>
        <v>1.28414</v>
      </c>
      <c r="O593" s="39" t="n">
        <f aca="false">J593*Resumo!$C$8</f>
        <v>1.28414</v>
      </c>
      <c r="P593" s="39" t="n">
        <f aca="false">Resumo!$C$10*CEILING(I593/100,1)</f>
        <v>1</v>
      </c>
      <c r="Q593" s="39" t="n">
        <f aca="false">Resumo!$C$9</f>
        <v>11.9</v>
      </c>
      <c r="R593" s="39" t="n">
        <f aca="false">SUM(M593:Q593)*Resumo!$C$11</f>
        <v>5.2403054</v>
      </c>
      <c r="S593" s="39" t="n">
        <f aca="false">SUM(M593:R593)</f>
        <v>100.5185854</v>
      </c>
      <c r="T593" s="39" t="n">
        <f aca="false">S593/(1-Resumo!$C$5)</f>
        <v>114.225665227273</v>
      </c>
      <c r="U593" s="39" t="n">
        <v>112.3</v>
      </c>
      <c r="V593" s="39" t="n">
        <f aca="false">J593*Resumo!$B$6</f>
        <v>0.64207</v>
      </c>
      <c r="W593" s="39" t="n">
        <f aca="false">J593*Resumo!$B$7</f>
        <v>1.28414</v>
      </c>
      <c r="X593" s="39" t="n">
        <f aca="false">Resumo!$B$9</f>
        <v>1</v>
      </c>
      <c r="Y593" s="39" t="n">
        <f aca="false">Resumo!$B$10*CEILING(I593/100,1)</f>
        <v>4.5</v>
      </c>
      <c r="Z593" s="39" t="n">
        <f aca="false">Resumo!$B$12*CEILING(I593,1)</f>
        <v>3.18</v>
      </c>
      <c r="AA593" s="39" t="n">
        <f aca="false">Resumo!$B$13*CEILING(I593,1)</f>
        <v>23.85</v>
      </c>
      <c r="AB593" s="39" t="n">
        <f aca="false">SUM(U593:AA593)</f>
        <v>146.75621</v>
      </c>
      <c r="AC593" s="39" t="n">
        <f aca="false">AB593/(1-Resumo!$B$5)</f>
        <v>166.768420454545</v>
      </c>
      <c r="AD593" s="39" t="n">
        <f aca="false">(AB593-AA593)/(1-Resumo!$B$5)</f>
        <v>139.666147727273</v>
      </c>
      <c r="AE593" s="39" t="n">
        <f aca="false">AC593-T593</f>
        <v>52.5427552272727</v>
      </c>
      <c r="AF593" s="40" t="n">
        <f aca="false">AC593/T593-1</f>
        <v>0.459990800865369</v>
      </c>
      <c r="AG593" s="37" t="str">
        <f aca="false">IF(AC593&lt;T593,"SIM","NÃO")</f>
        <v>NÃO</v>
      </c>
      <c r="AH593" s="37" t="n">
        <v>8</v>
      </c>
      <c r="AI593" s="37" t="n">
        <v>5</v>
      </c>
      <c r="AJ593" s="37" t="s">
        <v>323</v>
      </c>
    </row>
    <row r="594" customFormat="false" ht="15" hidden="false" customHeight="false" outlineLevel="0" collapsed="false">
      <c r="A594" s="37" t="n">
        <v>372014622</v>
      </c>
      <c r="B594" s="38" t="n">
        <v>46239.4725115741</v>
      </c>
      <c r="C594" s="37" t="s">
        <v>320</v>
      </c>
      <c r="D594" s="37" t="s">
        <v>905</v>
      </c>
      <c r="E594" s="37" t="n">
        <v>22070011</v>
      </c>
      <c r="F594" s="37" t="s">
        <v>139</v>
      </c>
      <c r="G594" s="37" t="s">
        <v>198</v>
      </c>
      <c r="H594" s="37" t="s">
        <v>167</v>
      </c>
      <c r="I594" s="37" t="n">
        <v>17.2</v>
      </c>
      <c r="J594" s="39" t="n">
        <v>269.99</v>
      </c>
      <c r="K594" s="37" t="s">
        <v>322</v>
      </c>
      <c r="L594" s="39" t="n">
        <v>64.51</v>
      </c>
      <c r="M594" s="39" t="n">
        <v>39.83</v>
      </c>
      <c r="N594" s="39" t="n">
        <f aca="false">J594*Resumo!$C$7</f>
        <v>0.53998</v>
      </c>
      <c r="O594" s="39" t="n">
        <f aca="false">J594*Resumo!$C$8</f>
        <v>0.53998</v>
      </c>
      <c r="P594" s="39" t="n">
        <f aca="false">Resumo!$C$10*CEILING(I594/100,1)</f>
        <v>1</v>
      </c>
      <c r="Q594" s="39" t="n">
        <f aca="false">Resumo!$C$9</f>
        <v>11.9</v>
      </c>
      <c r="R594" s="39" t="n">
        <f aca="false">SUM(M594:Q594)*Resumo!$C$11</f>
        <v>2.9595478</v>
      </c>
      <c r="S594" s="39" t="n">
        <f aca="false">SUM(M594:R594)</f>
        <v>56.7695078</v>
      </c>
      <c r="T594" s="39" t="n">
        <f aca="false">S594/(1-Resumo!$C$5)</f>
        <v>64.5108043181818</v>
      </c>
      <c r="U594" s="39" t="n">
        <v>46.98</v>
      </c>
      <c r="V594" s="39" t="n">
        <f aca="false">J594*Resumo!$B$6</f>
        <v>0.26999</v>
      </c>
      <c r="W594" s="39" t="n">
        <f aca="false">J594*Resumo!$B$7</f>
        <v>0.53998</v>
      </c>
      <c r="X594" s="39" t="n">
        <f aca="false">Resumo!$B$9</f>
        <v>1</v>
      </c>
      <c r="Y594" s="39" t="n">
        <f aca="false">Resumo!$B$10*CEILING(I594/100,1)</f>
        <v>4.5</v>
      </c>
      <c r="Z594" s="39" t="n">
        <f aca="false">Resumo!$B$12*CEILING(I594,1)</f>
        <v>1.08</v>
      </c>
      <c r="AA594" s="39" t="n">
        <f aca="false">Resumo!$B$13*CEILING(I594,1)</f>
        <v>8.1</v>
      </c>
      <c r="AB594" s="39" t="n">
        <f aca="false">SUM(U594:AA594)</f>
        <v>62.46997</v>
      </c>
      <c r="AC594" s="39" t="n">
        <f aca="false">AB594/(1-Resumo!$B$5)</f>
        <v>70.9886022727273</v>
      </c>
      <c r="AD594" s="39" t="n">
        <f aca="false">(AB594-AA594)/(1-Resumo!$B$5)</f>
        <v>61.7840568181818</v>
      </c>
      <c r="AE594" s="39" t="n">
        <f aca="false">AC594-T594</f>
        <v>6.47779795454545</v>
      </c>
      <c r="AF594" s="40" t="n">
        <f aca="false">AC594/T594-1</f>
        <v>0.10041415578382</v>
      </c>
      <c r="AG594" s="37" t="str">
        <f aca="false">IF(AC594&lt;T594,"SIM","NÃO")</f>
        <v>NÃO</v>
      </c>
      <c r="AH594" s="37" t="n">
        <v>8</v>
      </c>
      <c r="AI594" s="37" t="n">
        <v>5</v>
      </c>
      <c r="AJ594" s="37" t="s">
        <v>323</v>
      </c>
    </row>
    <row r="595" customFormat="false" ht="15" hidden="false" customHeight="false" outlineLevel="0" collapsed="false">
      <c r="A595" s="37" t="n">
        <v>372015753</v>
      </c>
      <c r="B595" s="38" t="n">
        <v>46239.4746875</v>
      </c>
      <c r="C595" s="37" t="s">
        <v>320</v>
      </c>
      <c r="D595" s="37" t="s">
        <v>906</v>
      </c>
      <c r="E595" s="37" t="n">
        <v>25270270</v>
      </c>
      <c r="F595" s="37" t="s">
        <v>141</v>
      </c>
      <c r="G595" s="37" t="s">
        <v>207</v>
      </c>
      <c r="H595" s="37" t="s">
        <v>174</v>
      </c>
      <c r="I595" s="37" t="n">
        <v>93.8</v>
      </c>
      <c r="J595" s="39" t="n">
        <v>999.99</v>
      </c>
      <c r="K595" s="37" t="s">
        <v>322</v>
      </c>
      <c r="L595" s="39" t="n">
        <v>173.63</v>
      </c>
      <c r="M595" s="39" t="n">
        <v>127.92</v>
      </c>
      <c r="N595" s="39" t="n">
        <f aca="false">J595*Resumo!$C$7</f>
        <v>1.99998</v>
      </c>
      <c r="O595" s="39" t="n">
        <f aca="false">J595*Resumo!$C$8</f>
        <v>1.99998</v>
      </c>
      <c r="P595" s="39" t="n">
        <f aca="false">Resumo!$C$10*CEILING(I595/100,1)</f>
        <v>1</v>
      </c>
      <c r="Q595" s="39" t="n">
        <f aca="false">Resumo!$C$9</f>
        <v>11.9</v>
      </c>
      <c r="R595" s="39" t="n">
        <f aca="false">SUM(M595:Q595)*Resumo!$C$11</f>
        <v>7.9650978</v>
      </c>
      <c r="S595" s="39" t="n">
        <f aca="false">SUM(M595:R595)</f>
        <v>152.7850578</v>
      </c>
      <c r="T595" s="39" t="n">
        <f aca="false">S595/(1-Resumo!$C$5)</f>
        <v>173.619383863636</v>
      </c>
      <c r="U595" s="39" t="n">
        <v>167.99</v>
      </c>
      <c r="V595" s="39" t="n">
        <f aca="false">J595*Resumo!$B$6</f>
        <v>0.99999</v>
      </c>
      <c r="W595" s="39" t="n">
        <f aca="false">J595*Resumo!$B$7</f>
        <v>1.99998</v>
      </c>
      <c r="X595" s="39" t="n">
        <f aca="false">Resumo!$B$9</f>
        <v>1</v>
      </c>
      <c r="Y595" s="39" t="n">
        <f aca="false">Resumo!$B$10*CEILING(I595/100,1)</f>
        <v>4.5</v>
      </c>
      <c r="Z595" s="39" t="n">
        <f aca="false">Resumo!$B$12*CEILING(I595,1)</f>
        <v>5.64</v>
      </c>
      <c r="AA595" s="39" t="n">
        <f aca="false">Resumo!$B$13*CEILING(I595,1)</f>
        <v>42.3</v>
      </c>
      <c r="AB595" s="39" t="n">
        <f aca="false">SUM(U595:AA595)</f>
        <v>224.42997</v>
      </c>
      <c r="AC595" s="39" t="n">
        <f aca="false">AB595/(1-Resumo!$B$5)</f>
        <v>255.034056818182</v>
      </c>
      <c r="AD595" s="39" t="n">
        <f aca="false">(AB595-AA595)/(1-Resumo!$B$5)</f>
        <v>206.965875</v>
      </c>
      <c r="AE595" s="39" t="n">
        <f aca="false">AC595-T595</f>
        <v>81.4146729545455</v>
      </c>
      <c r="AF595" s="40" t="n">
        <f aca="false">AC595/T595-1</f>
        <v>0.468926171391611</v>
      </c>
      <c r="AG595" s="37" t="str">
        <f aca="false">IF(AC595&lt;T595,"SIM","NÃO")</f>
        <v>NÃO</v>
      </c>
      <c r="AH595" s="37" t="n">
        <v>10</v>
      </c>
      <c r="AI595" s="37" t="n">
        <v>5</v>
      </c>
      <c r="AJ595" s="37" t="s">
        <v>323</v>
      </c>
    </row>
    <row r="596" customFormat="false" ht="15" hidden="false" customHeight="false" outlineLevel="0" collapsed="false">
      <c r="A596" s="37" t="n">
        <v>372022030</v>
      </c>
      <c r="B596" s="38" t="n">
        <v>46239.4860416667</v>
      </c>
      <c r="C596" s="37" t="s">
        <v>325</v>
      </c>
      <c r="D596" s="37" t="s">
        <v>907</v>
      </c>
      <c r="E596" s="37" t="n">
        <v>22753501</v>
      </c>
      <c r="F596" s="37" t="s">
        <v>139</v>
      </c>
      <c r="G596" s="37" t="s">
        <v>198</v>
      </c>
      <c r="H596" s="37" t="s">
        <v>176</v>
      </c>
      <c r="I596" s="37" t="n">
        <v>128</v>
      </c>
      <c r="J596" s="39" t="n">
        <v>1503.01</v>
      </c>
      <c r="K596" s="37" t="s">
        <v>322</v>
      </c>
      <c r="L596" s="39" t="n">
        <v>233.5</v>
      </c>
      <c r="M596" s="39" t="n">
        <v>174.85</v>
      </c>
      <c r="N596" s="39" t="n">
        <f aca="false">J596*Resumo!$C$7</f>
        <v>3.00602</v>
      </c>
      <c r="O596" s="39" t="n">
        <f aca="false">J596*Resumo!$C$8</f>
        <v>3.00602</v>
      </c>
      <c r="P596" s="39" t="n">
        <f aca="false">Resumo!$C$10*CEILING(I596/100,1)</f>
        <v>2</v>
      </c>
      <c r="Q596" s="39" t="n">
        <f aca="false">Resumo!$C$9</f>
        <v>11.9</v>
      </c>
      <c r="R596" s="39" t="n">
        <f aca="false">SUM(M596:Q596)*Resumo!$C$11</f>
        <v>10.7119122</v>
      </c>
      <c r="S596" s="39" t="n">
        <f aca="false">SUM(M596:R596)</f>
        <v>205.4739522</v>
      </c>
      <c r="T596" s="39" t="n">
        <f aca="false">S596/(1-Resumo!$C$5)</f>
        <v>233.4931275</v>
      </c>
      <c r="U596" s="39" t="n">
        <v>239.25</v>
      </c>
      <c r="V596" s="39" t="n">
        <f aca="false">J596*Resumo!$B$6</f>
        <v>1.50301</v>
      </c>
      <c r="W596" s="39" t="n">
        <f aca="false">J596*Resumo!$B$7</f>
        <v>3.00602</v>
      </c>
      <c r="X596" s="39" t="n">
        <f aca="false">Resumo!$B$9</f>
        <v>1</v>
      </c>
      <c r="Y596" s="39" t="n">
        <f aca="false">Resumo!$B$10*CEILING(I596/100,1)</f>
        <v>9</v>
      </c>
      <c r="Z596" s="39" t="n">
        <f aca="false">Resumo!$B$12*CEILING(I596,1)</f>
        <v>7.68</v>
      </c>
      <c r="AA596" s="39" t="n">
        <f aca="false">Resumo!$B$13*CEILING(I596,1)</f>
        <v>57.6</v>
      </c>
      <c r="AB596" s="39" t="n">
        <f aca="false">SUM(U596:AA596)</f>
        <v>319.03903</v>
      </c>
      <c r="AC596" s="39" t="n">
        <f aca="false">AB596/(1-Resumo!$B$5)</f>
        <v>362.544352272727</v>
      </c>
      <c r="AD596" s="39" t="n">
        <f aca="false">(AB596-AA596)/(1-Resumo!$B$5)</f>
        <v>297.089806818182</v>
      </c>
      <c r="AE596" s="39" t="n">
        <f aca="false">AC596-T596</f>
        <v>129.051224772727</v>
      </c>
      <c r="AF596" s="40" t="n">
        <f aca="false">AC596/T596-1</f>
        <v>0.552698172123834</v>
      </c>
      <c r="AG596" s="37" t="str">
        <f aca="false">IF(AC596&lt;T596,"SIM","NÃO")</f>
        <v>NÃO</v>
      </c>
      <c r="AH596" s="37" t="n">
        <v>8</v>
      </c>
      <c r="AI596" s="37" t="n">
        <v>5</v>
      </c>
      <c r="AJ596" s="37" t="s">
        <v>323</v>
      </c>
    </row>
    <row r="597" customFormat="false" ht="15" hidden="false" customHeight="false" outlineLevel="0" collapsed="false">
      <c r="A597" s="37" t="n">
        <v>372023472</v>
      </c>
      <c r="B597" s="38" t="n">
        <v>46239.4887615741</v>
      </c>
      <c r="C597" s="37" t="s">
        <v>320</v>
      </c>
      <c r="D597" s="37" t="s">
        <v>908</v>
      </c>
      <c r="E597" s="37" t="n">
        <v>25267320</v>
      </c>
      <c r="F597" s="37" t="s">
        <v>141</v>
      </c>
      <c r="G597" s="37" t="s">
        <v>207</v>
      </c>
      <c r="H597" s="37" t="s">
        <v>171</v>
      </c>
      <c r="I597" s="37" t="n">
        <v>59.9</v>
      </c>
      <c r="J597" s="39" t="n">
        <v>919.99</v>
      </c>
      <c r="K597" s="37" t="s">
        <v>322</v>
      </c>
      <c r="L597" s="39" t="n">
        <v>129.69</v>
      </c>
      <c r="M597" s="39" t="n">
        <v>91.6</v>
      </c>
      <c r="N597" s="39" t="n">
        <f aca="false">J597*Resumo!$C$7</f>
        <v>1.83998</v>
      </c>
      <c r="O597" s="39" t="n">
        <f aca="false">J597*Resumo!$C$8</f>
        <v>1.83998</v>
      </c>
      <c r="P597" s="39" t="n">
        <f aca="false">Resumo!$C$10*CEILING(I597/100,1)</f>
        <v>1</v>
      </c>
      <c r="Q597" s="39" t="n">
        <f aca="false">Resumo!$C$9</f>
        <v>11.9</v>
      </c>
      <c r="R597" s="39" t="n">
        <f aca="false">SUM(M597:Q597)*Resumo!$C$11</f>
        <v>5.9498978</v>
      </c>
      <c r="S597" s="39" t="n">
        <f aca="false">SUM(M597:R597)</f>
        <v>114.1298578</v>
      </c>
      <c r="T597" s="39" t="n">
        <f aca="false">S597/(1-Resumo!$C$5)</f>
        <v>129.693020227273</v>
      </c>
      <c r="U597" s="39" t="n">
        <v>112.3</v>
      </c>
      <c r="V597" s="39" t="n">
        <f aca="false">J597*Resumo!$B$6</f>
        <v>0.91999</v>
      </c>
      <c r="W597" s="39" t="n">
        <f aca="false">J597*Resumo!$B$7</f>
        <v>1.83998</v>
      </c>
      <c r="X597" s="39" t="n">
        <f aca="false">Resumo!$B$9</f>
        <v>1</v>
      </c>
      <c r="Y597" s="39" t="n">
        <f aca="false">Resumo!$B$10*CEILING(I597/100,1)</f>
        <v>4.5</v>
      </c>
      <c r="Z597" s="39" t="n">
        <f aca="false">Resumo!$B$12*CEILING(I597,1)</f>
        <v>3.6</v>
      </c>
      <c r="AA597" s="39" t="n">
        <f aca="false">Resumo!$B$13*CEILING(I597,1)</f>
        <v>27</v>
      </c>
      <c r="AB597" s="39" t="n">
        <f aca="false">SUM(U597:AA597)</f>
        <v>151.15997</v>
      </c>
      <c r="AC597" s="39" t="n">
        <f aca="false">AB597/(1-Resumo!$B$5)</f>
        <v>171.772693181818</v>
      </c>
      <c r="AD597" s="39" t="n">
        <f aca="false">(AB597-AA597)/(1-Resumo!$B$5)</f>
        <v>141.090875</v>
      </c>
      <c r="AE597" s="39" t="n">
        <f aca="false">AC597-T597</f>
        <v>42.0796729545455</v>
      </c>
      <c r="AF597" s="40" t="n">
        <f aca="false">AC597/T597-1</f>
        <v>0.324455956695322</v>
      </c>
      <c r="AG597" s="37" t="str">
        <f aca="false">IF(AC597&lt;T597,"SIM","NÃO")</f>
        <v>NÃO</v>
      </c>
      <c r="AH597" s="37" t="n">
        <v>10</v>
      </c>
      <c r="AI597" s="37" t="n">
        <v>5</v>
      </c>
      <c r="AJ597" s="37" t="s">
        <v>323</v>
      </c>
    </row>
    <row r="598" customFormat="false" ht="15" hidden="false" customHeight="false" outlineLevel="0" collapsed="false">
      <c r="A598" s="37" t="n">
        <v>372029006</v>
      </c>
      <c r="B598" s="38" t="n">
        <v>46239.4996875</v>
      </c>
      <c r="C598" s="37" t="s">
        <v>320</v>
      </c>
      <c r="D598" s="37" t="s">
        <v>909</v>
      </c>
      <c r="E598" s="37" t="n">
        <v>28027150</v>
      </c>
      <c r="F598" s="37" t="s">
        <v>144</v>
      </c>
      <c r="G598" s="37" t="s">
        <v>201</v>
      </c>
      <c r="H598" s="37" t="s">
        <v>169</v>
      </c>
      <c r="I598" s="37" t="n">
        <v>35.3</v>
      </c>
      <c r="J598" s="39" t="n">
        <v>479.8</v>
      </c>
      <c r="K598" s="37" t="s">
        <v>498</v>
      </c>
      <c r="L598" s="39" t="n">
        <v>122.49</v>
      </c>
      <c r="M598" s="39" t="n">
        <v>87.4</v>
      </c>
      <c r="N598" s="39" t="n">
        <f aca="false">J598*Resumo!$C$7</f>
        <v>0.9596</v>
      </c>
      <c r="O598" s="39" t="n">
        <f aca="false">J598*Resumo!$C$8</f>
        <v>0.9596</v>
      </c>
      <c r="P598" s="39" t="n">
        <f aca="false">Resumo!$C$10*CEILING(I598/100,1)</f>
        <v>1</v>
      </c>
      <c r="Q598" s="39" t="n">
        <f aca="false">Resumo!$C$9</f>
        <v>11.9</v>
      </c>
      <c r="R598" s="39" t="n">
        <f aca="false">SUM(M598:Q598)*Resumo!$C$11</f>
        <v>5.622056</v>
      </c>
      <c r="S598" s="39" t="n">
        <f aca="false">SUM(M598:R598)</f>
        <v>107.841256</v>
      </c>
      <c r="T598" s="39" t="n">
        <f aca="false">S598/(1-Resumo!$C$5)</f>
        <v>122.546881818182</v>
      </c>
      <c r="U598" s="39" t="n">
        <v>143.04</v>
      </c>
      <c r="V598" s="39" t="n">
        <f aca="false">J598*Resumo!$B$6</f>
        <v>0.4798</v>
      </c>
      <c r="W598" s="39" t="n">
        <f aca="false">J598*Resumo!$B$7</f>
        <v>0.9596</v>
      </c>
      <c r="X598" s="39" t="n">
        <f aca="false">Resumo!$B$9</f>
        <v>1</v>
      </c>
      <c r="Y598" s="39" t="n">
        <f aca="false">Resumo!$B$10*CEILING(I598/100,1)</f>
        <v>4.5</v>
      </c>
      <c r="Z598" s="39" t="n">
        <f aca="false">Resumo!$B$12*CEILING(I598,1)</f>
        <v>2.16</v>
      </c>
      <c r="AA598" s="39" t="n">
        <f aca="false">Resumo!$B$13*CEILING(I598,1)</f>
        <v>16.2</v>
      </c>
      <c r="AB598" s="39" t="n">
        <f aca="false">SUM(U598:AA598)</f>
        <v>168.3394</v>
      </c>
      <c r="AC598" s="39" t="n">
        <f aca="false">AB598/(1-Resumo!$B$5)</f>
        <v>191.294772727273</v>
      </c>
      <c r="AD598" s="39" t="n">
        <f aca="false">(AB598-AA598)/(1-Resumo!$B$5)</f>
        <v>172.885681818182</v>
      </c>
      <c r="AE598" s="39" t="n">
        <f aca="false">AC598-T598</f>
        <v>68.7478909090909</v>
      </c>
      <c r="AF598" s="40" t="n">
        <f aca="false">AC598/T598-1</f>
        <v>0.560992575976674</v>
      </c>
      <c r="AG598" s="37" t="str">
        <f aca="false">IF(AC598&lt;T598,"SIM","NÃO")</f>
        <v>NÃO</v>
      </c>
      <c r="AH598" s="37" t="n">
        <v>13</v>
      </c>
      <c r="AI598" s="37" t="n">
        <v>11</v>
      </c>
      <c r="AJ598" s="37" t="s">
        <v>323</v>
      </c>
    </row>
    <row r="599" customFormat="false" ht="15" hidden="false" customHeight="false" outlineLevel="0" collapsed="false">
      <c r="A599" s="37" t="n">
        <v>372040152</v>
      </c>
      <c r="B599" s="38" t="n">
        <v>46239.5210416667</v>
      </c>
      <c r="C599" s="37" t="s">
        <v>320</v>
      </c>
      <c r="D599" s="37" t="s">
        <v>910</v>
      </c>
      <c r="E599" s="37" t="n">
        <v>25545201</v>
      </c>
      <c r="F599" s="37" t="s">
        <v>147</v>
      </c>
      <c r="G599" s="37" t="s">
        <v>207</v>
      </c>
      <c r="H599" s="37" t="s">
        <v>168</v>
      </c>
      <c r="I599" s="37" t="n">
        <v>29.2</v>
      </c>
      <c r="J599" s="39" t="n">
        <v>449.99</v>
      </c>
      <c r="K599" s="37" t="s">
        <v>498</v>
      </c>
      <c r="L599" s="39" t="n">
        <v>100.89</v>
      </c>
      <c r="M599" s="39" t="n">
        <v>70</v>
      </c>
      <c r="N599" s="39" t="n">
        <f aca="false">J599*Resumo!$C$7</f>
        <v>0.89998</v>
      </c>
      <c r="O599" s="39" t="n">
        <f aca="false">J599*Resumo!$C$8</f>
        <v>0.89998</v>
      </c>
      <c r="P599" s="39" t="n">
        <f aca="false">Resumo!$C$10*CEILING(I599/100,1)</f>
        <v>1</v>
      </c>
      <c r="Q599" s="39" t="n">
        <f aca="false">Resumo!$C$9</f>
        <v>11.9</v>
      </c>
      <c r="R599" s="39" t="n">
        <f aca="false">SUM(M599:Q599)*Resumo!$C$11</f>
        <v>4.6584978</v>
      </c>
      <c r="S599" s="39" t="n">
        <f aca="false">SUM(M599:R599)</f>
        <v>89.3584578</v>
      </c>
      <c r="T599" s="39" t="n">
        <f aca="false">S599/(1-Resumo!$C$5)</f>
        <v>101.543702045455</v>
      </c>
      <c r="U599" s="39" t="n">
        <v>82.21</v>
      </c>
      <c r="V599" s="39" t="n">
        <f aca="false">J599*Resumo!$B$6</f>
        <v>0.44999</v>
      </c>
      <c r="W599" s="39" t="n">
        <f aca="false">J599*Resumo!$B$7</f>
        <v>0.89998</v>
      </c>
      <c r="X599" s="39" t="n">
        <f aca="false">Resumo!$B$9</f>
        <v>1</v>
      </c>
      <c r="Y599" s="39" t="n">
        <f aca="false">Resumo!$B$10*CEILING(I599/100,1)</f>
        <v>4.5</v>
      </c>
      <c r="Z599" s="39" t="n">
        <f aca="false">Resumo!$B$12*CEILING(I599,1)</f>
        <v>1.8</v>
      </c>
      <c r="AA599" s="39" t="n">
        <f aca="false">Resumo!$B$13*CEILING(I599,1)</f>
        <v>13.5</v>
      </c>
      <c r="AB599" s="39" t="n">
        <f aca="false">SUM(U599:AA599)</f>
        <v>104.35997</v>
      </c>
      <c r="AC599" s="39" t="n">
        <f aca="false">AB599/(1-Resumo!$B$5)</f>
        <v>118.590875</v>
      </c>
      <c r="AD599" s="39" t="n">
        <f aca="false">(AB599-AA599)/(1-Resumo!$B$5)</f>
        <v>103.249965909091</v>
      </c>
      <c r="AE599" s="39" t="n">
        <f aca="false">AC599-T599</f>
        <v>17.0471729545454</v>
      </c>
      <c r="AF599" s="40" t="n">
        <f aca="false">AC599/T599-1</f>
        <v>0.167880160080381</v>
      </c>
      <c r="AG599" s="37" t="str">
        <f aca="false">IF(AC599&lt;T599,"SIM","NÃO")</f>
        <v>NÃO</v>
      </c>
      <c r="AH599" s="37" t="n">
        <v>10</v>
      </c>
      <c r="AI599" s="37" t="n">
        <v>5</v>
      </c>
      <c r="AJ599" s="37" t="s">
        <v>323</v>
      </c>
    </row>
    <row r="600" customFormat="false" ht="15" hidden="false" customHeight="false" outlineLevel="0" collapsed="false">
      <c r="A600" s="37" t="n">
        <v>372049200</v>
      </c>
      <c r="B600" s="38" t="n">
        <v>46239.5375810185</v>
      </c>
      <c r="C600" s="37" t="s">
        <v>320</v>
      </c>
      <c r="D600" s="37" t="s">
        <v>911</v>
      </c>
      <c r="E600" s="37" t="n">
        <v>21715190</v>
      </c>
      <c r="F600" s="37" t="s">
        <v>139</v>
      </c>
      <c r="G600" s="37" t="s">
        <v>198</v>
      </c>
      <c r="H600" s="37" t="s">
        <v>172</v>
      </c>
      <c r="I600" s="37" t="n">
        <v>69</v>
      </c>
      <c r="J600" s="39" t="n">
        <v>721.82</v>
      </c>
      <c r="K600" s="37" t="s">
        <v>322</v>
      </c>
      <c r="L600" s="39" t="n">
        <v>124.66</v>
      </c>
      <c r="M600" s="39" t="n">
        <v>88.2</v>
      </c>
      <c r="N600" s="39" t="n">
        <f aca="false">J600*Resumo!$C$7</f>
        <v>1.44364</v>
      </c>
      <c r="O600" s="39" t="n">
        <f aca="false">J600*Resumo!$C$8</f>
        <v>1.44364</v>
      </c>
      <c r="P600" s="39" t="n">
        <f aca="false">Resumo!$C$10*CEILING(I600/100,1)</f>
        <v>1</v>
      </c>
      <c r="Q600" s="39" t="n">
        <f aca="false">Resumo!$C$9</f>
        <v>11.9</v>
      </c>
      <c r="R600" s="39" t="n">
        <f aca="false">SUM(M600:Q600)*Resumo!$C$11</f>
        <v>5.7193004</v>
      </c>
      <c r="S600" s="39" t="n">
        <f aca="false">SUM(M600:R600)</f>
        <v>109.7065804</v>
      </c>
      <c r="T600" s="39" t="n">
        <f aca="false">S600/(1-Resumo!$C$5)</f>
        <v>124.666568636364</v>
      </c>
      <c r="U600" s="39" t="n">
        <v>131.02</v>
      </c>
      <c r="V600" s="39" t="n">
        <f aca="false">J600*Resumo!$B$6</f>
        <v>0.72182</v>
      </c>
      <c r="W600" s="39" t="n">
        <f aca="false">J600*Resumo!$B$7</f>
        <v>1.44364</v>
      </c>
      <c r="X600" s="39" t="n">
        <f aca="false">Resumo!$B$9</f>
        <v>1</v>
      </c>
      <c r="Y600" s="39" t="n">
        <f aca="false">Resumo!$B$10*CEILING(I600/100,1)</f>
        <v>4.5</v>
      </c>
      <c r="Z600" s="39" t="n">
        <f aca="false">Resumo!$B$12*CEILING(I600,1)</f>
        <v>4.14</v>
      </c>
      <c r="AA600" s="39" t="n">
        <f aca="false">Resumo!$B$13*CEILING(I600,1)</f>
        <v>31.05</v>
      </c>
      <c r="AB600" s="39" t="n">
        <f aca="false">SUM(U600:AA600)</f>
        <v>173.87546</v>
      </c>
      <c r="AC600" s="39" t="n">
        <f aca="false">AB600/(1-Resumo!$B$5)</f>
        <v>197.58575</v>
      </c>
      <c r="AD600" s="39" t="n">
        <f aca="false">(AB600-AA600)/(1-Resumo!$B$5)</f>
        <v>162.301659090909</v>
      </c>
      <c r="AE600" s="39" t="n">
        <f aca="false">AC600-T600</f>
        <v>72.9191813636364</v>
      </c>
      <c r="AF600" s="40" t="n">
        <f aca="false">AC600/T600-1</f>
        <v>0.58491367943504</v>
      </c>
      <c r="AG600" s="37" t="str">
        <f aca="false">IF(AC600&lt;T600,"SIM","NÃO")</f>
        <v>NÃO</v>
      </c>
      <c r="AH600" s="37" t="n">
        <v>8</v>
      </c>
      <c r="AI600" s="37" t="n">
        <v>5</v>
      </c>
      <c r="AJ600" s="37" t="s">
        <v>323</v>
      </c>
    </row>
    <row r="601" customFormat="false" ht="15" hidden="false" customHeight="false" outlineLevel="0" collapsed="false">
      <c r="A601" s="37" t="n">
        <v>372049805</v>
      </c>
      <c r="B601" s="38" t="n">
        <v>46239.5390277778</v>
      </c>
      <c r="C601" s="37" t="s">
        <v>320</v>
      </c>
      <c r="D601" s="37" t="s">
        <v>912</v>
      </c>
      <c r="E601" s="37" t="n">
        <v>26515401</v>
      </c>
      <c r="F601" s="37" t="s">
        <v>224</v>
      </c>
      <c r="G601" s="37" t="s">
        <v>207</v>
      </c>
      <c r="H601" s="37" t="s">
        <v>168</v>
      </c>
      <c r="I601" s="37" t="n">
        <v>29.2</v>
      </c>
      <c r="J601" s="39" t="n">
        <v>426.78</v>
      </c>
      <c r="K601" s="37" t="s">
        <v>498</v>
      </c>
      <c r="L601" s="39" t="n">
        <v>100.8</v>
      </c>
      <c r="M601" s="39" t="n">
        <v>70</v>
      </c>
      <c r="N601" s="39" t="n">
        <f aca="false">J601*Resumo!$C$7</f>
        <v>0.85356</v>
      </c>
      <c r="O601" s="39" t="n">
        <f aca="false">J601*Resumo!$C$8</f>
        <v>0.85356</v>
      </c>
      <c r="P601" s="39" t="n">
        <f aca="false">Resumo!$C$10*CEILING(I601/100,1)</f>
        <v>1</v>
      </c>
      <c r="Q601" s="39" t="n">
        <f aca="false">Resumo!$C$9</f>
        <v>11.9</v>
      </c>
      <c r="R601" s="39" t="n">
        <f aca="false">SUM(M601:Q601)*Resumo!$C$11</f>
        <v>4.6533916</v>
      </c>
      <c r="S601" s="39" t="n">
        <f aca="false">SUM(M601:R601)</f>
        <v>89.2605116</v>
      </c>
      <c r="T601" s="39" t="n">
        <f aca="false">S601/(1-Resumo!$C$5)</f>
        <v>101.432399545455</v>
      </c>
      <c r="U601" s="39" t="n">
        <v>82.21</v>
      </c>
      <c r="V601" s="39" t="n">
        <f aca="false">J601*Resumo!$B$6</f>
        <v>0.42678</v>
      </c>
      <c r="W601" s="39" t="n">
        <f aca="false">J601*Resumo!$B$7</f>
        <v>0.85356</v>
      </c>
      <c r="X601" s="39" t="n">
        <f aca="false">Resumo!$B$9</f>
        <v>1</v>
      </c>
      <c r="Y601" s="39" t="n">
        <f aca="false">Resumo!$B$10*CEILING(I601/100,1)</f>
        <v>4.5</v>
      </c>
      <c r="Z601" s="39" t="n">
        <f aca="false">Resumo!$B$12*CEILING(I601,1)</f>
        <v>1.8</v>
      </c>
      <c r="AA601" s="39" t="n">
        <f aca="false">Resumo!$B$13*CEILING(I601,1)</f>
        <v>13.5</v>
      </c>
      <c r="AB601" s="39" t="n">
        <f aca="false">SUM(U601:AA601)</f>
        <v>104.29034</v>
      </c>
      <c r="AC601" s="39" t="n">
        <f aca="false">AB601/(1-Resumo!$B$5)</f>
        <v>118.51175</v>
      </c>
      <c r="AD601" s="39" t="n">
        <f aca="false">(AB601-AA601)/(1-Resumo!$B$5)</f>
        <v>103.170840909091</v>
      </c>
      <c r="AE601" s="39" t="n">
        <f aca="false">AC601-T601</f>
        <v>17.0793504545455</v>
      </c>
      <c r="AF601" s="40" t="n">
        <f aca="false">AC601/T601-1</f>
        <v>0.168381607169726</v>
      </c>
      <c r="AG601" s="37" t="str">
        <f aca="false">IF(AC601&lt;T601,"SIM","NÃO")</f>
        <v>NÃO</v>
      </c>
      <c r="AH601" s="37" t="n">
        <v>10</v>
      </c>
      <c r="AI601" s="37" t="n">
        <v>5</v>
      </c>
      <c r="AJ601" s="37" t="s">
        <v>327</v>
      </c>
    </row>
    <row r="602" customFormat="false" ht="15" hidden="false" customHeight="false" outlineLevel="0" collapsed="false">
      <c r="A602" s="37" t="n">
        <v>372069194</v>
      </c>
      <c r="B602" s="38" t="n">
        <v>46239.5740393519</v>
      </c>
      <c r="C602" s="37" t="s">
        <v>320</v>
      </c>
      <c r="D602" s="37" t="s">
        <v>913</v>
      </c>
      <c r="E602" s="37" t="n">
        <v>22061020</v>
      </c>
      <c r="F602" s="37" t="s">
        <v>139</v>
      </c>
      <c r="G602" s="37" t="s">
        <v>198</v>
      </c>
      <c r="H602" s="37" t="s">
        <v>171</v>
      </c>
      <c r="I602" s="37" t="n">
        <v>52.3</v>
      </c>
      <c r="J602" s="39" t="n">
        <v>685.85</v>
      </c>
      <c r="K602" s="37" t="s">
        <v>498</v>
      </c>
      <c r="L602" s="39" t="n">
        <v>113.56</v>
      </c>
      <c r="M602" s="39" t="n">
        <v>79.81</v>
      </c>
      <c r="N602" s="39" t="n">
        <f aca="false">J602*Resumo!$C$7</f>
        <v>1.3717</v>
      </c>
      <c r="O602" s="39" t="n">
        <f aca="false">J602*Resumo!$C$8</f>
        <v>1.3717</v>
      </c>
      <c r="P602" s="39" t="n">
        <f aca="false">Resumo!$C$10*CEILING(I602/100,1)</f>
        <v>1</v>
      </c>
      <c r="Q602" s="39" t="n">
        <f aca="false">Resumo!$C$9</f>
        <v>11.9</v>
      </c>
      <c r="R602" s="39" t="n">
        <f aca="false">SUM(M602:Q602)*Resumo!$C$11</f>
        <v>5.249937</v>
      </c>
      <c r="S602" s="39" t="n">
        <f aca="false">SUM(M602:R602)</f>
        <v>100.703337</v>
      </c>
      <c r="T602" s="39" t="n">
        <f aca="false">S602/(1-Resumo!$C$5)</f>
        <v>114.435610227273</v>
      </c>
      <c r="U602" s="39" t="n">
        <v>112.3</v>
      </c>
      <c r="V602" s="39" t="n">
        <f aca="false">J602*Resumo!$B$6</f>
        <v>0.68585</v>
      </c>
      <c r="W602" s="39" t="n">
        <f aca="false">J602*Resumo!$B$7</f>
        <v>1.3717</v>
      </c>
      <c r="X602" s="39" t="n">
        <f aca="false">Resumo!$B$9</f>
        <v>1</v>
      </c>
      <c r="Y602" s="39" t="n">
        <f aca="false">Resumo!$B$10*CEILING(I602/100,1)</f>
        <v>4.5</v>
      </c>
      <c r="Z602" s="39" t="n">
        <f aca="false">Resumo!$B$12*CEILING(I602,1)</f>
        <v>3.18</v>
      </c>
      <c r="AA602" s="39" t="n">
        <f aca="false">Resumo!$B$13*CEILING(I602,1)</f>
        <v>23.85</v>
      </c>
      <c r="AB602" s="39" t="n">
        <f aca="false">SUM(U602:AA602)</f>
        <v>146.88755</v>
      </c>
      <c r="AC602" s="39" t="n">
        <f aca="false">AB602/(1-Resumo!$B$5)</f>
        <v>166.917670454545</v>
      </c>
      <c r="AD602" s="39" t="n">
        <f aca="false">(AB602-AA602)/(1-Resumo!$B$5)</f>
        <v>139.815397727273</v>
      </c>
      <c r="AE602" s="39" t="n">
        <f aca="false">AC602-T602</f>
        <v>52.4820602272727</v>
      </c>
      <c r="AF602" s="40" t="n">
        <f aca="false">AC602/T602-1</f>
        <v>0.458616510394288</v>
      </c>
      <c r="AG602" s="37" t="str">
        <f aca="false">IF(AC602&lt;T602,"SIM","NÃO")</f>
        <v>NÃO</v>
      </c>
      <c r="AH602" s="37" t="n">
        <v>8</v>
      </c>
      <c r="AI602" s="37" t="n">
        <v>5</v>
      </c>
      <c r="AJ602" s="37" t="s">
        <v>323</v>
      </c>
    </row>
    <row r="603" customFormat="false" ht="15" hidden="false" customHeight="false" outlineLevel="0" collapsed="false">
      <c r="A603" s="37" t="n">
        <v>372071497</v>
      </c>
      <c r="B603" s="38" t="n">
        <v>46239.578599537</v>
      </c>
      <c r="C603" s="37" t="s">
        <v>320</v>
      </c>
      <c r="D603" s="37" t="s">
        <v>914</v>
      </c>
      <c r="E603" s="37" t="n">
        <v>27935170</v>
      </c>
      <c r="F603" s="37" t="s">
        <v>146</v>
      </c>
      <c r="G603" s="37" t="s">
        <v>201</v>
      </c>
      <c r="H603" s="37" t="s">
        <v>171</v>
      </c>
      <c r="I603" s="37" t="n">
        <v>52.3</v>
      </c>
      <c r="J603" s="39" t="n">
        <v>699.99</v>
      </c>
      <c r="K603" s="37" t="s">
        <v>498</v>
      </c>
      <c r="L603" s="39" t="n">
        <v>142.01</v>
      </c>
      <c r="M603" s="39" t="n">
        <v>103.6</v>
      </c>
      <c r="N603" s="39" t="n">
        <f aca="false">J603*Resumo!$C$7</f>
        <v>1.39998</v>
      </c>
      <c r="O603" s="39" t="n">
        <f aca="false">J603*Resumo!$C$8</f>
        <v>1.39998</v>
      </c>
      <c r="P603" s="39" t="n">
        <f aca="false">Resumo!$C$10*CEILING(I603/100,1)</f>
        <v>1</v>
      </c>
      <c r="Q603" s="39" t="n">
        <f aca="false">Resumo!$C$9</f>
        <v>11.9</v>
      </c>
      <c r="R603" s="39" t="n">
        <f aca="false">SUM(M603:Q603)*Resumo!$C$11</f>
        <v>6.5614978</v>
      </c>
      <c r="S603" s="39" t="n">
        <f aca="false">SUM(M603:R603)</f>
        <v>125.8614578</v>
      </c>
      <c r="T603" s="39" t="n">
        <f aca="false">S603/(1-Resumo!$C$5)</f>
        <v>143.024383863636</v>
      </c>
      <c r="U603" s="39" t="n">
        <v>162.04</v>
      </c>
      <c r="V603" s="39" t="n">
        <f aca="false">J603*Resumo!$B$6</f>
        <v>0.69999</v>
      </c>
      <c r="W603" s="39" t="n">
        <f aca="false">J603*Resumo!$B$7</f>
        <v>1.39998</v>
      </c>
      <c r="X603" s="39" t="n">
        <f aca="false">Resumo!$B$9</f>
        <v>1</v>
      </c>
      <c r="Y603" s="39" t="n">
        <f aca="false">Resumo!$B$10*CEILING(I603/100,1)</f>
        <v>4.5</v>
      </c>
      <c r="Z603" s="39" t="n">
        <f aca="false">Resumo!$B$12*CEILING(I603,1)</f>
        <v>3.18</v>
      </c>
      <c r="AA603" s="39" t="n">
        <f aca="false">Resumo!$B$13*CEILING(I603,1)</f>
        <v>23.85</v>
      </c>
      <c r="AB603" s="39" t="n">
        <f aca="false">SUM(U603:AA603)</f>
        <v>196.66997</v>
      </c>
      <c r="AC603" s="39" t="n">
        <f aca="false">AB603/(1-Resumo!$B$5)</f>
        <v>223.488602272727</v>
      </c>
      <c r="AD603" s="39" t="n">
        <f aca="false">(AB603-AA603)/(1-Resumo!$B$5)</f>
        <v>196.386329545455</v>
      </c>
      <c r="AE603" s="39" t="n">
        <f aca="false">AC603-T603</f>
        <v>80.4642184090909</v>
      </c>
      <c r="AF603" s="40" t="n">
        <f aca="false">AC603/T603-1</f>
        <v>0.56259091097227</v>
      </c>
      <c r="AG603" s="37" t="str">
        <f aca="false">IF(AC603&lt;T603,"SIM","NÃO")</f>
        <v>NÃO</v>
      </c>
      <c r="AH603" s="37" t="n">
        <v>13</v>
      </c>
      <c r="AI603" s="37" t="n">
        <v>11</v>
      </c>
      <c r="AJ603" s="37" t="s">
        <v>323</v>
      </c>
    </row>
    <row r="604" customFormat="false" ht="15" hidden="false" customHeight="false" outlineLevel="0" collapsed="false">
      <c r="A604" s="37" t="n">
        <v>372077176</v>
      </c>
      <c r="B604" s="38" t="n">
        <v>46239.5894791667</v>
      </c>
      <c r="C604" s="37" t="s">
        <v>320</v>
      </c>
      <c r="D604" s="37" t="s">
        <v>915</v>
      </c>
      <c r="E604" s="37" t="n">
        <v>27330660</v>
      </c>
      <c r="F604" s="37" t="s">
        <v>233</v>
      </c>
      <c r="G604" s="37" t="s">
        <v>201</v>
      </c>
      <c r="H604" s="37" t="s">
        <v>169</v>
      </c>
      <c r="I604" s="37" t="n">
        <v>40</v>
      </c>
      <c r="J604" s="39" t="n">
        <v>569.99</v>
      </c>
      <c r="K604" s="37" t="s">
        <v>498</v>
      </c>
      <c r="L604" s="39" t="n">
        <v>124.97</v>
      </c>
      <c r="M604" s="39" t="n">
        <v>87.4</v>
      </c>
      <c r="N604" s="39" t="n">
        <f aca="false">J604*Resumo!$C$7</f>
        <v>1.13998</v>
      </c>
      <c r="O604" s="39" t="n">
        <f aca="false">J604*Resumo!$C$8</f>
        <v>1.13998</v>
      </c>
      <c r="P604" s="39" t="n">
        <f aca="false">Resumo!$C$10*CEILING(I604/100,1)</f>
        <v>1</v>
      </c>
      <c r="Q604" s="39" t="n">
        <f aca="false">Resumo!$C$9</f>
        <v>11.9</v>
      </c>
      <c r="R604" s="39" t="n">
        <f aca="false">SUM(M604:Q604)*Resumo!$C$11</f>
        <v>5.6418978</v>
      </c>
      <c r="S604" s="39" t="n">
        <f aca="false">SUM(M604:R604)</f>
        <v>108.2218578</v>
      </c>
      <c r="T604" s="39" t="n">
        <f aca="false">S604/(1-Resumo!$C$5)</f>
        <v>122.979383863636</v>
      </c>
      <c r="U604" s="39" t="n">
        <v>124.38</v>
      </c>
      <c r="V604" s="39" t="n">
        <f aca="false">J604*Resumo!$B$6</f>
        <v>0.56999</v>
      </c>
      <c r="W604" s="39" t="n">
        <f aca="false">J604*Resumo!$B$7</f>
        <v>1.13998</v>
      </c>
      <c r="X604" s="39" t="n">
        <f aca="false">Resumo!$B$9</f>
        <v>1</v>
      </c>
      <c r="Y604" s="39" t="n">
        <f aca="false">Resumo!$B$10*CEILING(I604/100,1)</f>
        <v>4.5</v>
      </c>
      <c r="Z604" s="39" t="n">
        <f aca="false">Resumo!$B$12*CEILING(I604,1)</f>
        <v>2.4</v>
      </c>
      <c r="AA604" s="39" t="n">
        <f aca="false">Resumo!$B$13*CEILING(I604,1)</f>
        <v>18</v>
      </c>
      <c r="AB604" s="39" t="n">
        <f aca="false">SUM(U604:AA604)</f>
        <v>151.98997</v>
      </c>
      <c r="AC604" s="39" t="n">
        <f aca="false">AB604/(1-Resumo!$B$5)</f>
        <v>172.715875</v>
      </c>
      <c r="AD604" s="39" t="n">
        <f aca="false">(AB604-AA604)/(1-Resumo!$B$5)</f>
        <v>152.261329545455</v>
      </c>
      <c r="AE604" s="39" t="n">
        <f aca="false">AC604-T604</f>
        <v>49.7364911363637</v>
      </c>
      <c r="AF604" s="40" t="n">
        <f aca="false">AC604/T604-1</f>
        <v>0.404429503334584</v>
      </c>
      <c r="AG604" s="37" t="str">
        <f aca="false">IF(AC604&lt;T604,"SIM","NÃO")</f>
        <v>NÃO</v>
      </c>
      <c r="AH604" s="37" t="n">
        <v>13</v>
      </c>
      <c r="AI604" s="37" t="n">
        <v>10</v>
      </c>
      <c r="AJ604" s="37" t="s">
        <v>327</v>
      </c>
    </row>
    <row r="605" customFormat="false" ht="15" hidden="false" customHeight="false" outlineLevel="0" collapsed="false">
      <c r="A605" s="37" t="n">
        <v>372084797</v>
      </c>
      <c r="B605" s="38" t="n">
        <v>46239.6053703704</v>
      </c>
      <c r="C605" s="37" t="s">
        <v>341</v>
      </c>
      <c r="D605" s="37" t="s">
        <v>916</v>
      </c>
      <c r="E605" s="37" t="n">
        <v>26383560</v>
      </c>
      <c r="F605" s="37" t="s">
        <v>222</v>
      </c>
      <c r="G605" s="37" t="s">
        <v>207</v>
      </c>
      <c r="H605" s="37" t="s">
        <v>169</v>
      </c>
      <c r="I605" s="37" t="n">
        <v>37.2</v>
      </c>
      <c r="J605" s="39" t="n">
        <v>459.99</v>
      </c>
      <c r="K605" s="37" t="s">
        <v>498</v>
      </c>
      <c r="L605" s="39" t="n">
        <v>114.17</v>
      </c>
      <c r="M605" s="39" t="n">
        <v>79.65</v>
      </c>
      <c r="N605" s="39" t="n">
        <f aca="false">J605*Resumo!$C$7</f>
        <v>0.91998</v>
      </c>
      <c r="O605" s="39" t="n">
        <f aca="false">J605*Resumo!$C$8</f>
        <v>0.91998</v>
      </c>
      <c r="P605" s="39" t="n">
        <f aca="false">Resumo!$C$10*CEILING(I605/100,1)</f>
        <v>1</v>
      </c>
      <c r="Q605" s="39" t="n">
        <f aca="false">Resumo!$C$9</f>
        <v>11.9</v>
      </c>
      <c r="R605" s="39" t="n">
        <f aca="false">SUM(M605:Q605)*Resumo!$C$11</f>
        <v>5.1914478</v>
      </c>
      <c r="S605" s="39" t="n">
        <f aca="false">SUM(M605:R605)</f>
        <v>99.5814078</v>
      </c>
      <c r="T605" s="39" t="n">
        <f aca="false">S605/(1-Resumo!$C$5)</f>
        <v>113.160690681818</v>
      </c>
      <c r="U605" s="39" t="n">
        <v>93.97</v>
      </c>
      <c r="V605" s="39" t="n">
        <f aca="false">J605*Resumo!$B$6</f>
        <v>0.45999</v>
      </c>
      <c r="W605" s="39" t="n">
        <f aca="false">J605*Resumo!$B$7</f>
        <v>0.91998</v>
      </c>
      <c r="X605" s="39" t="n">
        <f aca="false">Resumo!$B$9</f>
        <v>1</v>
      </c>
      <c r="Y605" s="39" t="n">
        <f aca="false">Resumo!$B$10*CEILING(I605/100,1)</f>
        <v>4.5</v>
      </c>
      <c r="Z605" s="39" t="n">
        <f aca="false">Resumo!$B$12*CEILING(I605,1)</f>
        <v>2.28</v>
      </c>
      <c r="AA605" s="39" t="n">
        <f aca="false">Resumo!$B$13*CEILING(I605,1)</f>
        <v>17.1</v>
      </c>
      <c r="AB605" s="39" t="n">
        <f aca="false">SUM(U605:AA605)</f>
        <v>120.22997</v>
      </c>
      <c r="AC605" s="39" t="n">
        <f aca="false">AB605/(1-Resumo!$B$5)</f>
        <v>136.624965909091</v>
      </c>
      <c r="AD605" s="39" t="n">
        <f aca="false">(AB605-AA605)/(1-Resumo!$B$5)</f>
        <v>117.193147727273</v>
      </c>
      <c r="AE605" s="39" t="n">
        <f aca="false">AC605-T605</f>
        <v>23.4642752272727</v>
      </c>
      <c r="AF605" s="40" t="n">
        <f aca="false">AC605/T605-1</f>
        <v>0.20735358794556</v>
      </c>
      <c r="AG605" s="37" t="str">
        <f aca="false">IF(AC605&lt;T605,"SIM","NÃO")</f>
        <v>NÃO</v>
      </c>
      <c r="AH605" s="37" t="n">
        <v>10</v>
      </c>
      <c r="AI605" s="37" t="n">
        <v>5</v>
      </c>
      <c r="AJ605" s="37" t="s">
        <v>327</v>
      </c>
    </row>
    <row r="606" customFormat="false" ht="15" hidden="false" customHeight="false" outlineLevel="0" collapsed="false">
      <c r="A606" s="37" t="n">
        <v>372090006</v>
      </c>
      <c r="B606" s="38" t="n">
        <v>46239.6148148148</v>
      </c>
      <c r="C606" s="37" t="s">
        <v>320</v>
      </c>
      <c r="D606" s="37" t="s">
        <v>917</v>
      </c>
      <c r="E606" s="37" t="n">
        <v>22770360</v>
      </c>
      <c r="F606" s="37" t="s">
        <v>139</v>
      </c>
      <c r="G606" s="37" t="s">
        <v>198</v>
      </c>
      <c r="H606" s="37" t="s">
        <v>171</v>
      </c>
      <c r="I606" s="37" t="n">
        <v>52.3</v>
      </c>
      <c r="J606" s="39" t="n">
        <v>685.85</v>
      </c>
      <c r="K606" s="37" t="s">
        <v>498</v>
      </c>
      <c r="L606" s="39" t="n">
        <v>113.56</v>
      </c>
      <c r="M606" s="39" t="n">
        <v>79.81</v>
      </c>
      <c r="N606" s="39" t="n">
        <f aca="false">J606*Resumo!$C$7</f>
        <v>1.3717</v>
      </c>
      <c r="O606" s="39" t="n">
        <f aca="false">J606*Resumo!$C$8</f>
        <v>1.3717</v>
      </c>
      <c r="P606" s="39" t="n">
        <f aca="false">Resumo!$C$10*CEILING(I606/100,1)</f>
        <v>1</v>
      </c>
      <c r="Q606" s="39" t="n">
        <f aca="false">Resumo!$C$9</f>
        <v>11.9</v>
      </c>
      <c r="R606" s="39" t="n">
        <f aca="false">SUM(M606:Q606)*Resumo!$C$11</f>
        <v>5.249937</v>
      </c>
      <c r="S606" s="39" t="n">
        <f aca="false">SUM(M606:R606)</f>
        <v>100.703337</v>
      </c>
      <c r="T606" s="39" t="n">
        <f aca="false">S606/(1-Resumo!$C$5)</f>
        <v>114.435610227273</v>
      </c>
      <c r="U606" s="39" t="n">
        <v>112.3</v>
      </c>
      <c r="V606" s="39" t="n">
        <f aca="false">J606*Resumo!$B$6</f>
        <v>0.68585</v>
      </c>
      <c r="W606" s="39" t="n">
        <f aca="false">J606*Resumo!$B$7</f>
        <v>1.3717</v>
      </c>
      <c r="X606" s="39" t="n">
        <f aca="false">Resumo!$B$9</f>
        <v>1</v>
      </c>
      <c r="Y606" s="39" t="n">
        <f aca="false">Resumo!$B$10*CEILING(I606/100,1)</f>
        <v>4.5</v>
      </c>
      <c r="Z606" s="39" t="n">
        <f aca="false">Resumo!$B$12*CEILING(I606,1)</f>
        <v>3.18</v>
      </c>
      <c r="AA606" s="39" t="n">
        <f aca="false">Resumo!$B$13*CEILING(I606,1)</f>
        <v>23.85</v>
      </c>
      <c r="AB606" s="39" t="n">
        <f aca="false">SUM(U606:AA606)</f>
        <v>146.88755</v>
      </c>
      <c r="AC606" s="39" t="n">
        <f aca="false">AB606/(1-Resumo!$B$5)</f>
        <v>166.917670454545</v>
      </c>
      <c r="AD606" s="39" t="n">
        <f aca="false">(AB606-AA606)/(1-Resumo!$B$5)</f>
        <v>139.815397727273</v>
      </c>
      <c r="AE606" s="39" t="n">
        <f aca="false">AC606-T606</f>
        <v>52.4820602272727</v>
      </c>
      <c r="AF606" s="40" t="n">
        <f aca="false">AC606/T606-1</f>
        <v>0.458616510394288</v>
      </c>
      <c r="AG606" s="37" t="str">
        <f aca="false">IF(AC606&lt;T606,"SIM","NÃO")</f>
        <v>NÃO</v>
      </c>
      <c r="AH606" s="37" t="n">
        <v>8</v>
      </c>
      <c r="AI606" s="37" t="n">
        <v>5</v>
      </c>
      <c r="AJ606" s="37" t="s">
        <v>323</v>
      </c>
    </row>
    <row r="607" customFormat="false" ht="15" hidden="false" customHeight="false" outlineLevel="0" collapsed="false">
      <c r="A607" s="37" t="n">
        <v>372092908</v>
      </c>
      <c r="B607" s="38" t="n">
        <v>46239.6216666667</v>
      </c>
      <c r="C607" s="37" t="s">
        <v>320</v>
      </c>
      <c r="D607" s="37" t="s">
        <v>918</v>
      </c>
      <c r="E607" s="37" t="n">
        <v>24738834</v>
      </c>
      <c r="F607" s="37" t="s">
        <v>140</v>
      </c>
      <c r="G607" s="37" t="s">
        <v>207</v>
      </c>
      <c r="H607" s="37" t="s">
        <v>171</v>
      </c>
      <c r="I607" s="37" t="n">
        <v>52.3</v>
      </c>
      <c r="J607" s="39" t="n">
        <v>699.99</v>
      </c>
      <c r="K607" s="37" t="s">
        <v>498</v>
      </c>
      <c r="L607" s="39" t="n">
        <v>127.69</v>
      </c>
      <c r="M607" s="39" t="n">
        <v>91.6</v>
      </c>
      <c r="N607" s="39" t="n">
        <f aca="false">J607*Resumo!$C$7</f>
        <v>1.39998</v>
      </c>
      <c r="O607" s="39" t="n">
        <f aca="false">J607*Resumo!$C$8</f>
        <v>1.39998</v>
      </c>
      <c r="P607" s="39" t="n">
        <f aca="false">Resumo!$C$10*CEILING(I607/100,1)</f>
        <v>1</v>
      </c>
      <c r="Q607" s="39" t="n">
        <f aca="false">Resumo!$C$9</f>
        <v>11.9</v>
      </c>
      <c r="R607" s="39" t="n">
        <f aca="false">SUM(M607:Q607)*Resumo!$C$11</f>
        <v>5.9014978</v>
      </c>
      <c r="S607" s="39" t="n">
        <f aca="false">SUM(M607:R607)</f>
        <v>113.2014578</v>
      </c>
      <c r="T607" s="39" t="n">
        <f aca="false">S607/(1-Resumo!$C$5)</f>
        <v>128.638020227273</v>
      </c>
      <c r="U607" s="39" t="n">
        <v>128.14</v>
      </c>
      <c r="V607" s="39" t="n">
        <f aca="false">J607*Resumo!$B$6</f>
        <v>0.69999</v>
      </c>
      <c r="W607" s="39" t="n">
        <f aca="false">J607*Resumo!$B$7</f>
        <v>1.39998</v>
      </c>
      <c r="X607" s="39" t="n">
        <f aca="false">Resumo!$B$9</f>
        <v>1</v>
      </c>
      <c r="Y607" s="39" t="n">
        <f aca="false">Resumo!$B$10*CEILING(I607/100,1)</f>
        <v>4.5</v>
      </c>
      <c r="Z607" s="39" t="n">
        <f aca="false">Resumo!$B$12*CEILING(I607,1)</f>
        <v>3.18</v>
      </c>
      <c r="AA607" s="39" t="n">
        <f aca="false">Resumo!$B$13*CEILING(I607,1)</f>
        <v>23.85</v>
      </c>
      <c r="AB607" s="39" t="n">
        <f aca="false">SUM(U607:AA607)</f>
        <v>162.76997</v>
      </c>
      <c r="AC607" s="39" t="n">
        <f aca="false">AB607/(1-Resumo!$B$5)</f>
        <v>184.965875</v>
      </c>
      <c r="AD607" s="39" t="n">
        <f aca="false">(AB607-AA607)/(1-Resumo!$B$5)</f>
        <v>157.863602272727</v>
      </c>
      <c r="AE607" s="39" t="n">
        <f aca="false">AC607-T607</f>
        <v>56.3278547727272</v>
      </c>
      <c r="AF607" s="40" t="n">
        <f aca="false">AC607/T607-1</f>
        <v>0.437878744349527</v>
      </c>
      <c r="AG607" s="37" t="str">
        <f aca="false">IF(AC607&lt;T607,"SIM","NÃO")</f>
        <v>NÃO</v>
      </c>
      <c r="AH607" s="37" t="n">
        <v>10</v>
      </c>
      <c r="AI607" s="37" t="n">
        <v>7</v>
      </c>
      <c r="AJ607" s="37" t="s">
        <v>323</v>
      </c>
    </row>
    <row r="608" customFormat="false" ht="15" hidden="false" customHeight="false" outlineLevel="0" collapsed="false">
      <c r="A608" s="37" t="n">
        <v>372095310</v>
      </c>
      <c r="B608" s="38" t="n">
        <v>46239.6224305556</v>
      </c>
      <c r="C608" s="37" t="s">
        <v>325</v>
      </c>
      <c r="D608" s="37" t="s">
        <v>919</v>
      </c>
      <c r="E608" s="37" t="n">
        <v>21031752</v>
      </c>
      <c r="F608" s="37" t="s">
        <v>139</v>
      </c>
      <c r="G608" s="37" t="s">
        <v>198</v>
      </c>
      <c r="H608" s="37" t="s">
        <v>176</v>
      </c>
      <c r="I608" s="37" t="n">
        <v>124.2</v>
      </c>
      <c r="J608" s="39" t="n">
        <v>1699.99</v>
      </c>
      <c r="K608" s="37" t="s">
        <v>322</v>
      </c>
      <c r="L608" s="39" t="n">
        <v>234.44</v>
      </c>
      <c r="M608" s="39" t="n">
        <v>174.85</v>
      </c>
      <c r="N608" s="39" t="n">
        <f aca="false">J608*Resumo!$C$7</f>
        <v>3.39998</v>
      </c>
      <c r="O608" s="39" t="n">
        <f aca="false">J608*Resumo!$C$8</f>
        <v>3.39998</v>
      </c>
      <c r="P608" s="39" t="n">
        <f aca="false">Resumo!$C$10*CEILING(I608/100,1)</f>
        <v>2</v>
      </c>
      <c r="Q608" s="39" t="n">
        <f aca="false">Resumo!$C$9</f>
        <v>11.9</v>
      </c>
      <c r="R608" s="39" t="n">
        <f aca="false">SUM(M608:Q608)*Resumo!$C$11</f>
        <v>10.7552478</v>
      </c>
      <c r="S608" s="39" t="n">
        <f aca="false">SUM(M608:R608)</f>
        <v>206.3052078</v>
      </c>
      <c r="T608" s="39" t="n">
        <f aca="false">S608/(1-Resumo!$C$5)</f>
        <v>234.437736136364</v>
      </c>
      <c r="U608" s="39" t="n">
        <v>239.25</v>
      </c>
      <c r="V608" s="39" t="n">
        <f aca="false">J608*Resumo!$B$6</f>
        <v>1.69999</v>
      </c>
      <c r="W608" s="39" t="n">
        <f aca="false">J608*Resumo!$B$7</f>
        <v>3.39998</v>
      </c>
      <c r="X608" s="39" t="n">
        <f aca="false">Resumo!$B$9</f>
        <v>1</v>
      </c>
      <c r="Y608" s="39" t="n">
        <f aca="false">Resumo!$B$10*CEILING(I608/100,1)</f>
        <v>9</v>
      </c>
      <c r="Z608" s="39" t="n">
        <f aca="false">Resumo!$B$12*CEILING(I608,1)</f>
        <v>7.5</v>
      </c>
      <c r="AA608" s="39" t="n">
        <f aca="false">Resumo!$B$13*CEILING(I608,1)</f>
        <v>56.25</v>
      </c>
      <c r="AB608" s="39" t="n">
        <f aca="false">SUM(U608:AA608)</f>
        <v>318.09997</v>
      </c>
      <c r="AC608" s="39" t="n">
        <f aca="false">AB608/(1-Resumo!$B$5)</f>
        <v>361.477238636364</v>
      </c>
      <c r="AD608" s="39" t="n">
        <f aca="false">(AB608-AA608)/(1-Resumo!$B$5)</f>
        <v>297.556784090909</v>
      </c>
      <c r="AE608" s="39" t="n">
        <f aca="false">AC608-T608</f>
        <v>127.0395025</v>
      </c>
      <c r="AF608" s="40" t="n">
        <f aca="false">AC608/T608-1</f>
        <v>0.541890160661276</v>
      </c>
      <c r="AG608" s="37" t="str">
        <f aca="false">IF(AC608&lt;T608,"SIM","NÃO")</f>
        <v>NÃO</v>
      </c>
      <c r="AH608" s="37" t="n">
        <v>8</v>
      </c>
      <c r="AI608" s="37" t="n">
        <v>5</v>
      </c>
      <c r="AJ608" s="37" t="s">
        <v>323</v>
      </c>
    </row>
    <row r="609" customFormat="false" ht="15" hidden="false" customHeight="false" outlineLevel="0" collapsed="false">
      <c r="A609" s="37" t="n">
        <v>372095799</v>
      </c>
      <c r="B609" s="38" t="n">
        <v>46239.6275578704</v>
      </c>
      <c r="C609" s="37" t="s">
        <v>320</v>
      </c>
      <c r="D609" s="37" t="s">
        <v>920</v>
      </c>
      <c r="E609" s="37" t="n">
        <v>22753050</v>
      </c>
      <c r="F609" s="37" t="s">
        <v>139</v>
      </c>
      <c r="G609" s="37" t="s">
        <v>198</v>
      </c>
      <c r="H609" s="37" t="s">
        <v>172</v>
      </c>
      <c r="I609" s="37" t="n">
        <v>66.8</v>
      </c>
      <c r="J609" s="39" t="n">
        <v>719.99</v>
      </c>
      <c r="K609" s="37" t="s">
        <v>322</v>
      </c>
      <c r="L609" s="39" t="n">
        <v>124.66</v>
      </c>
      <c r="M609" s="39" t="n">
        <v>88.2</v>
      </c>
      <c r="N609" s="39" t="n">
        <f aca="false">J609*Resumo!$C$7</f>
        <v>1.43998</v>
      </c>
      <c r="O609" s="39" t="n">
        <f aca="false">J609*Resumo!$C$8</f>
        <v>1.43998</v>
      </c>
      <c r="P609" s="39" t="n">
        <f aca="false">Resumo!$C$10*CEILING(I609/100,1)</f>
        <v>1</v>
      </c>
      <c r="Q609" s="39" t="n">
        <f aca="false">Resumo!$C$9</f>
        <v>11.9</v>
      </c>
      <c r="R609" s="39" t="n">
        <f aca="false">SUM(M609:Q609)*Resumo!$C$11</f>
        <v>5.7188978</v>
      </c>
      <c r="S609" s="39" t="n">
        <f aca="false">SUM(M609:R609)</f>
        <v>109.6988578</v>
      </c>
      <c r="T609" s="39" t="n">
        <f aca="false">S609/(1-Resumo!$C$5)</f>
        <v>124.657792954545</v>
      </c>
      <c r="U609" s="39" t="n">
        <v>131.02</v>
      </c>
      <c r="V609" s="39" t="n">
        <f aca="false">J609*Resumo!$B$6</f>
        <v>0.71999</v>
      </c>
      <c r="W609" s="39" t="n">
        <f aca="false">J609*Resumo!$B$7</f>
        <v>1.43998</v>
      </c>
      <c r="X609" s="39" t="n">
        <f aca="false">Resumo!$B$9</f>
        <v>1</v>
      </c>
      <c r="Y609" s="39" t="n">
        <f aca="false">Resumo!$B$10*CEILING(I609/100,1)</f>
        <v>4.5</v>
      </c>
      <c r="Z609" s="39" t="n">
        <f aca="false">Resumo!$B$12*CEILING(I609,1)</f>
        <v>4.02</v>
      </c>
      <c r="AA609" s="39" t="n">
        <f aca="false">Resumo!$B$13*CEILING(I609,1)</f>
        <v>30.15</v>
      </c>
      <c r="AB609" s="39" t="n">
        <f aca="false">SUM(U609:AA609)</f>
        <v>172.84997</v>
      </c>
      <c r="AC609" s="39" t="n">
        <f aca="false">AB609/(1-Resumo!$B$5)</f>
        <v>196.420420454545</v>
      </c>
      <c r="AD609" s="39" t="n">
        <f aca="false">(AB609-AA609)/(1-Resumo!$B$5)</f>
        <v>162.159056818182</v>
      </c>
      <c r="AE609" s="39" t="n">
        <f aca="false">AC609-T609</f>
        <v>71.7626275</v>
      </c>
      <c r="AF609" s="40" t="n">
        <f aca="false">AC609/T609-1</f>
        <v>0.575677025873281</v>
      </c>
      <c r="AG609" s="37" t="str">
        <f aca="false">IF(AC609&lt;T609,"SIM","NÃO")</f>
        <v>NÃO</v>
      </c>
      <c r="AH609" s="37" t="n">
        <v>8</v>
      </c>
      <c r="AI609" s="37" t="n">
        <v>5</v>
      </c>
      <c r="AJ609" s="37" t="s">
        <v>323</v>
      </c>
    </row>
    <row r="610" customFormat="false" ht="15" hidden="false" customHeight="false" outlineLevel="0" collapsed="false">
      <c r="A610" s="37" t="n">
        <v>372098408</v>
      </c>
      <c r="B610" s="38" t="n">
        <v>46239.6306712963</v>
      </c>
      <c r="C610" s="37" t="s">
        <v>325</v>
      </c>
      <c r="D610" s="37" t="s">
        <v>921</v>
      </c>
      <c r="E610" s="37" t="n">
        <v>28944042</v>
      </c>
      <c r="F610" s="37" t="s">
        <v>278</v>
      </c>
      <c r="G610" s="37" t="s">
        <v>201</v>
      </c>
      <c r="H610" s="37" t="s">
        <v>171</v>
      </c>
      <c r="I610" s="37" t="n">
        <v>59.9</v>
      </c>
      <c r="J610" s="39" t="n">
        <v>945.99</v>
      </c>
      <c r="K610" s="37" t="s">
        <v>498</v>
      </c>
      <c r="L610" s="39" t="n">
        <v>146.77</v>
      </c>
      <c r="M610" s="39" t="n">
        <v>103.6</v>
      </c>
      <c r="N610" s="39" t="n">
        <f aca="false">J610*Resumo!$C$7</f>
        <v>1.89198</v>
      </c>
      <c r="O610" s="39" t="n">
        <f aca="false">J610*Resumo!$C$8</f>
        <v>1.89198</v>
      </c>
      <c r="P610" s="39" t="n">
        <f aca="false">Resumo!$C$10*CEILING(I610/100,1)</f>
        <v>1</v>
      </c>
      <c r="Q610" s="39" t="n">
        <f aca="false">Resumo!$C$9</f>
        <v>11.9</v>
      </c>
      <c r="R610" s="39" t="n">
        <f aca="false">SUM(M610:Q610)*Resumo!$C$11</f>
        <v>6.6156178</v>
      </c>
      <c r="S610" s="39" t="n">
        <f aca="false">SUM(M610:R610)</f>
        <v>126.8995778</v>
      </c>
      <c r="T610" s="39" t="n">
        <f aca="false">S610/(1-Resumo!$C$5)</f>
        <v>144.204065681818</v>
      </c>
      <c r="U610" s="39" t="n">
        <v>142.32</v>
      </c>
      <c r="V610" s="39" t="n">
        <f aca="false">J610*Resumo!$B$6</f>
        <v>0.94599</v>
      </c>
      <c r="W610" s="39" t="n">
        <f aca="false">J610*Resumo!$B$7</f>
        <v>1.89198</v>
      </c>
      <c r="X610" s="39" t="n">
        <f aca="false">Resumo!$B$9</f>
        <v>1</v>
      </c>
      <c r="Y610" s="39" t="n">
        <f aca="false">Resumo!$B$10*CEILING(I610/100,1)</f>
        <v>4.5</v>
      </c>
      <c r="Z610" s="39" t="n">
        <f aca="false">Resumo!$B$12*CEILING(I610,1)</f>
        <v>3.6</v>
      </c>
      <c r="AA610" s="39" t="n">
        <f aca="false">Resumo!$B$13*CEILING(I610,1)</f>
        <v>27</v>
      </c>
      <c r="AB610" s="39" t="n">
        <f aca="false">SUM(U610:AA610)</f>
        <v>181.25797</v>
      </c>
      <c r="AC610" s="39" t="n">
        <f aca="false">AB610/(1-Resumo!$B$5)</f>
        <v>205.974965909091</v>
      </c>
      <c r="AD610" s="39" t="n">
        <f aca="false">(AB610-AA610)/(1-Resumo!$B$5)</f>
        <v>175.293147727273</v>
      </c>
      <c r="AE610" s="39" t="n">
        <f aca="false">AC610-T610</f>
        <v>61.7709002272727</v>
      </c>
      <c r="AF610" s="40" t="n">
        <f aca="false">AC610/T610-1</f>
        <v>0.428357549665544</v>
      </c>
      <c r="AG610" s="37" t="str">
        <f aca="false">IF(AC610&lt;T610,"SIM","NÃO")</f>
        <v>NÃO</v>
      </c>
      <c r="AH610" s="37" t="n">
        <v>13</v>
      </c>
      <c r="AI610" s="37" t="n">
        <v>10</v>
      </c>
      <c r="AJ610" s="37" t="s">
        <v>327</v>
      </c>
    </row>
    <row r="611" customFormat="false" ht="15" hidden="false" customHeight="false" outlineLevel="0" collapsed="false">
      <c r="A611" s="37" t="n">
        <v>372100077</v>
      </c>
      <c r="B611" s="38" t="n">
        <v>46239.6368981482</v>
      </c>
      <c r="C611" s="37" t="s">
        <v>355</v>
      </c>
      <c r="D611" s="37" t="s">
        <v>362</v>
      </c>
      <c r="E611" s="37" t="n">
        <v>26143290</v>
      </c>
      <c r="F611" s="37" t="s">
        <v>145</v>
      </c>
      <c r="G611" s="37" t="s">
        <v>207</v>
      </c>
      <c r="H611" s="37" t="s">
        <v>173</v>
      </c>
      <c r="I611" s="37" t="n">
        <v>71.9</v>
      </c>
      <c r="J611" s="39" t="n">
        <v>719.47</v>
      </c>
      <c r="K611" s="37" t="s">
        <v>498</v>
      </c>
      <c r="L611" s="39" t="n">
        <v>150.57</v>
      </c>
      <c r="M611" s="39" t="n">
        <v>110.55</v>
      </c>
      <c r="N611" s="39" t="n">
        <f aca="false">J611*Resumo!$C$7</f>
        <v>1.43894</v>
      </c>
      <c r="O611" s="39" t="n">
        <f aca="false">J611*Resumo!$C$8</f>
        <v>1.43894</v>
      </c>
      <c r="P611" s="39" t="n">
        <f aca="false">Resumo!$C$10*CEILING(I611/100,1)</f>
        <v>1</v>
      </c>
      <c r="Q611" s="39" t="n">
        <f aca="false">Resumo!$C$9</f>
        <v>11.9</v>
      </c>
      <c r="R611" s="39" t="n">
        <f aca="false">SUM(M611:Q611)*Resumo!$C$11</f>
        <v>6.9480334</v>
      </c>
      <c r="S611" s="39" t="n">
        <f aca="false">SUM(M611:R611)</f>
        <v>133.2759134</v>
      </c>
      <c r="T611" s="39" t="n">
        <f aca="false">S611/(1-Resumo!$C$5)</f>
        <v>151.449901590909</v>
      </c>
      <c r="U611" s="39" t="n">
        <v>134.39</v>
      </c>
      <c r="V611" s="39" t="n">
        <f aca="false">J611*Resumo!$B$6</f>
        <v>0.71947</v>
      </c>
      <c r="W611" s="39" t="n">
        <f aca="false">J611*Resumo!$B$7</f>
        <v>1.43894</v>
      </c>
      <c r="X611" s="39" t="n">
        <f aca="false">Resumo!$B$9</f>
        <v>1</v>
      </c>
      <c r="Y611" s="39" t="n">
        <f aca="false">Resumo!$B$10*CEILING(I611/100,1)</f>
        <v>4.5</v>
      </c>
      <c r="Z611" s="39" t="n">
        <f aca="false">Resumo!$B$12*CEILING(I611,1)</f>
        <v>4.32</v>
      </c>
      <c r="AA611" s="39" t="n">
        <f aca="false">Resumo!$B$13*CEILING(I611,1)</f>
        <v>32.4</v>
      </c>
      <c r="AB611" s="39" t="n">
        <f aca="false">SUM(U611:AA611)</f>
        <v>178.76841</v>
      </c>
      <c r="AC611" s="39" t="n">
        <f aca="false">AB611/(1-Resumo!$B$5)</f>
        <v>203.145920454545</v>
      </c>
      <c r="AD611" s="39" t="n">
        <f aca="false">(AB611-AA611)/(1-Resumo!$B$5)</f>
        <v>166.327738636364</v>
      </c>
      <c r="AE611" s="39" t="n">
        <f aca="false">AC611-T611</f>
        <v>51.6960188636363</v>
      </c>
      <c r="AF611" s="40" t="n">
        <f aca="false">AC611/T611-1</f>
        <v>0.341340722711565</v>
      </c>
      <c r="AG611" s="37" t="str">
        <f aca="false">IF(AC611&lt;T611,"SIM","NÃO")</f>
        <v>NÃO</v>
      </c>
      <c r="AH611" s="37" t="n">
        <v>10</v>
      </c>
      <c r="AI611" s="37" t="n">
        <v>5</v>
      </c>
      <c r="AJ611" s="37" t="s">
        <v>323</v>
      </c>
    </row>
    <row r="612" customFormat="false" ht="15" hidden="false" customHeight="false" outlineLevel="0" collapsed="false">
      <c r="A612" s="37" t="n">
        <v>372111796</v>
      </c>
      <c r="B612" s="38" t="n">
        <v>46239.6611689815</v>
      </c>
      <c r="C612" s="37" t="s">
        <v>341</v>
      </c>
      <c r="D612" s="37" t="s">
        <v>544</v>
      </c>
      <c r="E612" s="37" t="n">
        <v>22451265</v>
      </c>
      <c r="F612" s="37" t="s">
        <v>139</v>
      </c>
      <c r="G612" s="37" t="s">
        <v>198</v>
      </c>
      <c r="H612" s="37" t="s">
        <v>170</v>
      </c>
      <c r="I612" s="37" t="n">
        <v>43.5</v>
      </c>
      <c r="J612" s="39" t="n">
        <v>799.99</v>
      </c>
      <c r="K612" s="37" t="s">
        <v>498</v>
      </c>
      <c r="L612" s="39" t="n">
        <v>103.76</v>
      </c>
      <c r="M612" s="39" t="n">
        <v>71</v>
      </c>
      <c r="N612" s="39" t="n">
        <f aca="false">J612*Resumo!$C$7</f>
        <v>1.59998</v>
      </c>
      <c r="O612" s="39" t="n">
        <f aca="false">J612*Resumo!$C$8</f>
        <v>1.59998</v>
      </c>
      <c r="P612" s="39" t="n">
        <f aca="false">Resumo!$C$10*CEILING(I612/100,1)</f>
        <v>1</v>
      </c>
      <c r="Q612" s="39" t="n">
        <f aca="false">Resumo!$C$9</f>
        <v>11.9</v>
      </c>
      <c r="R612" s="39" t="n">
        <f aca="false">SUM(M612:Q612)*Resumo!$C$11</f>
        <v>4.7904978</v>
      </c>
      <c r="S612" s="39" t="n">
        <f aca="false">SUM(M612:R612)</f>
        <v>91.8904578</v>
      </c>
      <c r="T612" s="39" t="n">
        <f aca="false">S612/(1-Resumo!$C$5)</f>
        <v>104.420974772727</v>
      </c>
      <c r="U612" s="39" t="n">
        <v>93.97</v>
      </c>
      <c r="V612" s="39" t="n">
        <f aca="false">J612*Resumo!$B$6</f>
        <v>0.79999</v>
      </c>
      <c r="W612" s="39" t="n">
        <f aca="false">J612*Resumo!$B$7</f>
        <v>1.59998</v>
      </c>
      <c r="X612" s="39" t="n">
        <f aca="false">Resumo!$B$9</f>
        <v>1</v>
      </c>
      <c r="Y612" s="39" t="n">
        <f aca="false">Resumo!$B$10*CEILING(I612/100,1)</f>
        <v>4.5</v>
      </c>
      <c r="Z612" s="39" t="n">
        <f aca="false">Resumo!$B$12*CEILING(I612,1)</f>
        <v>2.64</v>
      </c>
      <c r="AA612" s="39" t="n">
        <f aca="false">Resumo!$B$13*CEILING(I612,1)</f>
        <v>19.8</v>
      </c>
      <c r="AB612" s="39" t="n">
        <f aca="false">SUM(U612:AA612)</f>
        <v>124.30997</v>
      </c>
      <c r="AC612" s="39" t="n">
        <f aca="false">AB612/(1-Resumo!$B$5)</f>
        <v>141.261329545455</v>
      </c>
      <c r="AD612" s="39" t="n">
        <f aca="false">(AB612-AA612)/(1-Resumo!$B$5)</f>
        <v>118.761329545455</v>
      </c>
      <c r="AE612" s="39" t="n">
        <f aca="false">AC612-T612</f>
        <v>36.8403547727273</v>
      </c>
      <c r="AF612" s="40" t="n">
        <f aca="false">AC612/T612-1</f>
        <v>0.352806079936627</v>
      </c>
      <c r="AG612" s="37" t="str">
        <f aca="false">IF(AC612&lt;T612,"SIM","NÃO")</f>
        <v>NÃO</v>
      </c>
      <c r="AH612" s="37" t="n">
        <v>8</v>
      </c>
      <c r="AI612" s="37" t="n">
        <v>5</v>
      </c>
      <c r="AJ612" s="37" t="s">
        <v>323</v>
      </c>
    </row>
    <row r="613" customFormat="false" ht="15" hidden="false" customHeight="false" outlineLevel="0" collapsed="false">
      <c r="A613" s="37" t="n">
        <v>372121475</v>
      </c>
      <c r="B613" s="38" t="n">
        <v>46239.6754166667</v>
      </c>
      <c r="C613" s="37" t="s">
        <v>320</v>
      </c>
      <c r="D613" s="37" t="s">
        <v>922</v>
      </c>
      <c r="E613" s="37" t="n">
        <v>25025086</v>
      </c>
      <c r="F613" s="37" t="s">
        <v>141</v>
      </c>
      <c r="G613" s="37" t="s">
        <v>207</v>
      </c>
      <c r="H613" s="37" t="s">
        <v>171</v>
      </c>
      <c r="I613" s="37" t="n">
        <v>52.3</v>
      </c>
      <c r="J613" s="39" t="n">
        <v>685.85</v>
      </c>
      <c r="K613" s="37" t="s">
        <v>322</v>
      </c>
      <c r="L613" s="39" t="n">
        <v>128.57</v>
      </c>
      <c r="M613" s="39" t="n">
        <v>91.6</v>
      </c>
      <c r="N613" s="39" t="n">
        <f aca="false">J613*Resumo!$C$7</f>
        <v>1.3717</v>
      </c>
      <c r="O613" s="39" t="n">
        <f aca="false">J613*Resumo!$C$8</f>
        <v>1.3717</v>
      </c>
      <c r="P613" s="39" t="n">
        <f aca="false">Resumo!$C$10*CEILING(I613/100,1)</f>
        <v>1</v>
      </c>
      <c r="Q613" s="39" t="n">
        <f aca="false">Resumo!$C$9</f>
        <v>11.9</v>
      </c>
      <c r="R613" s="39" t="n">
        <f aca="false">SUM(M613:Q613)*Resumo!$C$11</f>
        <v>5.898387</v>
      </c>
      <c r="S613" s="39" t="n">
        <f aca="false">SUM(M613:R613)</f>
        <v>113.141787</v>
      </c>
      <c r="T613" s="39" t="n">
        <f aca="false">S613/(1-Resumo!$C$5)</f>
        <v>128.5702125</v>
      </c>
      <c r="U613" s="39" t="n">
        <v>112.3</v>
      </c>
      <c r="V613" s="39" t="n">
        <f aca="false">J613*Resumo!$B$6</f>
        <v>0.68585</v>
      </c>
      <c r="W613" s="39" t="n">
        <f aca="false">J613*Resumo!$B$7</f>
        <v>1.3717</v>
      </c>
      <c r="X613" s="39" t="n">
        <f aca="false">Resumo!$B$9</f>
        <v>1</v>
      </c>
      <c r="Y613" s="39" t="n">
        <f aca="false">Resumo!$B$10*CEILING(I613/100,1)</f>
        <v>4.5</v>
      </c>
      <c r="Z613" s="39" t="n">
        <f aca="false">Resumo!$B$12*CEILING(I613,1)</f>
        <v>3.18</v>
      </c>
      <c r="AA613" s="39" t="n">
        <f aca="false">Resumo!$B$13*CEILING(I613,1)</f>
        <v>23.85</v>
      </c>
      <c r="AB613" s="39" t="n">
        <f aca="false">SUM(U613:AA613)</f>
        <v>146.88755</v>
      </c>
      <c r="AC613" s="39" t="n">
        <f aca="false">AB613/(1-Resumo!$B$5)</f>
        <v>166.917670454545</v>
      </c>
      <c r="AD613" s="39" t="n">
        <f aca="false">(AB613-AA613)/(1-Resumo!$B$5)</f>
        <v>139.815397727273</v>
      </c>
      <c r="AE613" s="39" t="n">
        <f aca="false">AC613-T613</f>
        <v>38.3474579545455</v>
      </c>
      <c r="AF613" s="40" t="n">
        <f aca="false">AC613/T613-1</f>
        <v>0.298260827363457</v>
      </c>
      <c r="AG613" s="37" t="str">
        <f aca="false">IF(AC613&lt;T613,"SIM","NÃO")</f>
        <v>NÃO</v>
      </c>
      <c r="AH613" s="37" t="n">
        <v>10</v>
      </c>
      <c r="AI613" s="37" t="n">
        <v>5</v>
      </c>
      <c r="AJ613" s="37" t="s">
        <v>323</v>
      </c>
    </row>
    <row r="614" customFormat="false" ht="15" hidden="false" customHeight="false" outlineLevel="0" collapsed="false">
      <c r="A614" s="37" t="n">
        <v>372151352</v>
      </c>
      <c r="B614" s="38" t="n">
        <v>46239.7263773148</v>
      </c>
      <c r="C614" s="37" t="s">
        <v>320</v>
      </c>
      <c r="D614" s="37" t="s">
        <v>923</v>
      </c>
      <c r="E614" s="37" t="n">
        <v>23042500</v>
      </c>
      <c r="F614" s="37" t="s">
        <v>139</v>
      </c>
      <c r="G614" s="37" t="s">
        <v>198</v>
      </c>
      <c r="H614" s="37" t="s">
        <v>169</v>
      </c>
      <c r="I614" s="37" t="n">
        <v>40</v>
      </c>
      <c r="J614" s="39" t="n">
        <v>579.99</v>
      </c>
      <c r="K614" s="37" t="s">
        <v>498</v>
      </c>
      <c r="L614" s="39" t="n">
        <v>94.76</v>
      </c>
      <c r="M614" s="39" t="n">
        <v>62.05</v>
      </c>
      <c r="N614" s="39" t="n">
        <f aca="false">J614*Resumo!$C$7</f>
        <v>1.15998</v>
      </c>
      <c r="O614" s="39" t="n">
        <f aca="false">J614*Resumo!$C$8</f>
        <v>1.15998</v>
      </c>
      <c r="P614" s="39" t="n">
        <f aca="false">Resumo!$C$10*CEILING(I614/100,1)</f>
        <v>1</v>
      </c>
      <c r="Q614" s="39" t="n">
        <f aca="false">Resumo!$C$9</f>
        <v>11.9</v>
      </c>
      <c r="R614" s="39" t="n">
        <f aca="false">SUM(M614:Q614)*Resumo!$C$11</f>
        <v>4.2498478</v>
      </c>
      <c r="S614" s="39" t="n">
        <f aca="false">SUM(M614:R614)</f>
        <v>81.5198078</v>
      </c>
      <c r="T614" s="39" t="n">
        <f aca="false">S614/(1-Resumo!$C$5)</f>
        <v>92.6361452272727</v>
      </c>
      <c r="U614" s="39" t="n">
        <v>93.97</v>
      </c>
      <c r="V614" s="39" t="n">
        <f aca="false">J614*Resumo!$B$6</f>
        <v>0.57999</v>
      </c>
      <c r="W614" s="39" t="n">
        <f aca="false">J614*Resumo!$B$7</f>
        <v>1.15998</v>
      </c>
      <c r="X614" s="39" t="n">
        <f aca="false">Resumo!$B$9</f>
        <v>1</v>
      </c>
      <c r="Y614" s="39" t="n">
        <f aca="false">Resumo!$B$10*CEILING(I614/100,1)</f>
        <v>4.5</v>
      </c>
      <c r="Z614" s="39" t="n">
        <f aca="false">Resumo!$B$12*CEILING(I614,1)</f>
        <v>2.4</v>
      </c>
      <c r="AA614" s="39" t="n">
        <f aca="false">Resumo!$B$13*CEILING(I614,1)</f>
        <v>18</v>
      </c>
      <c r="AB614" s="39" t="n">
        <f aca="false">SUM(U614:AA614)</f>
        <v>121.60997</v>
      </c>
      <c r="AC614" s="39" t="n">
        <f aca="false">AB614/(1-Resumo!$B$5)</f>
        <v>138.193147727273</v>
      </c>
      <c r="AD614" s="39" t="n">
        <f aca="false">(AB614-AA614)/(1-Resumo!$B$5)</f>
        <v>117.738602272727</v>
      </c>
      <c r="AE614" s="39" t="n">
        <f aca="false">AC614-T614</f>
        <v>45.5570025</v>
      </c>
      <c r="AF614" s="40" t="n">
        <f aca="false">AC614/T614-1</f>
        <v>0.491784307175464</v>
      </c>
      <c r="AG614" s="37" t="str">
        <f aca="false">IF(AC614&lt;T614,"SIM","NÃO")</f>
        <v>NÃO</v>
      </c>
      <c r="AH614" s="37" t="n">
        <v>8</v>
      </c>
      <c r="AI614" s="37" t="n">
        <v>5</v>
      </c>
      <c r="AJ614" s="37" t="s">
        <v>323</v>
      </c>
    </row>
    <row r="615" customFormat="false" ht="15" hidden="false" customHeight="false" outlineLevel="0" collapsed="false">
      <c r="A615" s="37" t="n">
        <v>372167812</v>
      </c>
      <c r="B615" s="38" t="n">
        <v>46239.7581712963</v>
      </c>
      <c r="C615" s="37" t="s">
        <v>320</v>
      </c>
      <c r="D615" s="37" t="s">
        <v>924</v>
      </c>
      <c r="E615" s="37" t="n">
        <v>22210050</v>
      </c>
      <c r="F615" s="37" t="s">
        <v>139</v>
      </c>
      <c r="G615" s="37" t="s">
        <v>198</v>
      </c>
      <c r="H615" s="37" t="s">
        <v>168</v>
      </c>
      <c r="I615" s="37" t="n">
        <v>27.5</v>
      </c>
      <c r="J615" s="39" t="n">
        <v>399.99</v>
      </c>
      <c r="K615" s="37" t="s">
        <v>322</v>
      </c>
      <c r="L615" s="39" t="n">
        <v>82.24</v>
      </c>
      <c r="M615" s="39" t="n">
        <v>54.1</v>
      </c>
      <c r="N615" s="39" t="n">
        <f aca="false">J615*Resumo!$C$7</f>
        <v>0.79998</v>
      </c>
      <c r="O615" s="39" t="n">
        <f aca="false">J615*Resumo!$C$8</f>
        <v>0.79998</v>
      </c>
      <c r="P615" s="39" t="n">
        <f aca="false">Resumo!$C$10*CEILING(I615/100,1)</f>
        <v>1</v>
      </c>
      <c r="Q615" s="39" t="n">
        <f aca="false">Resumo!$C$9</f>
        <v>11.9</v>
      </c>
      <c r="R615" s="39" t="n">
        <f aca="false">SUM(M615:Q615)*Resumo!$C$11</f>
        <v>3.7729978</v>
      </c>
      <c r="S615" s="39" t="n">
        <f aca="false">SUM(M615:R615)</f>
        <v>72.3729578</v>
      </c>
      <c r="T615" s="39" t="n">
        <f aca="false">S615/(1-Resumo!$C$5)</f>
        <v>82.2419975</v>
      </c>
      <c r="U615" s="39" t="n">
        <v>82.21</v>
      </c>
      <c r="V615" s="39" t="n">
        <f aca="false">J615*Resumo!$B$6</f>
        <v>0.39999</v>
      </c>
      <c r="W615" s="39" t="n">
        <f aca="false">J615*Resumo!$B$7</f>
        <v>0.79998</v>
      </c>
      <c r="X615" s="39" t="n">
        <f aca="false">Resumo!$B$9</f>
        <v>1</v>
      </c>
      <c r="Y615" s="39" t="n">
        <f aca="false">Resumo!$B$10*CEILING(I615/100,1)</f>
        <v>4.5</v>
      </c>
      <c r="Z615" s="39" t="n">
        <f aca="false">Resumo!$B$12*CEILING(I615,1)</f>
        <v>1.68</v>
      </c>
      <c r="AA615" s="39" t="n">
        <f aca="false">Resumo!$B$13*CEILING(I615,1)</f>
        <v>12.6</v>
      </c>
      <c r="AB615" s="39" t="n">
        <f aca="false">SUM(U615:AA615)</f>
        <v>103.18997</v>
      </c>
      <c r="AC615" s="39" t="n">
        <f aca="false">AB615/(1-Resumo!$B$5)</f>
        <v>117.261329545455</v>
      </c>
      <c r="AD615" s="39" t="n">
        <f aca="false">(AB615-AA615)/(1-Resumo!$B$5)</f>
        <v>102.943147727273</v>
      </c>
      <c r="AE615" s="39" t="n">
        <f aca="false">AC615-T615</f>
        <v>35.0193320454545</v>
      </c>
      <c r="AF615" s="40" t="n">
        <f aca="false">AC615/T615-1</f>
        <v>0.425808383915463</v>
      </c>
      <c r="AG615" s="37" t="str">
        <f aca="false">IF(AC615&lt;T615,"SIM","NÃO")</f>
        <v>NÃO</v>
      </c>
      <c r="AH615" s="37" t="n">
        <v>8</v>
      </c>
      <c r="AI615" s="37" t="n">
        <v>5</v>
      </c>
      <c r="AJ615" s="37" t="s">
        <v>323</v>
      </c>
    </row>
    <row r="616" customFormat="false" ht="15" hidden="false" customHeight="false" outlineLevel="0" collapsed="false">
      <c r="A616" s="37" t="n">
        <v>372192510</v>
      </c>
      <c r="B616" s="38" t="n">
        <v>46239.8094675926</v>
      </c>
      <c r="C616" s="37" t="s">
        <v>325</v>
      </c>
      <c r="D616" s="37" t="s">
        <v>925</v>
      </c>
      <c r="E616" s="37" t="n">
        <v>27197249</v>
      </c>
      <c r="F616" s="37" t="s">
        <v>232</v>
      </c>
      <c r="G616" s="37" t="s">
        <v>201</v>
      </c>
      <c r="H616" s="37" t="s">
        <v>171</v>
      </c>
      <c r="I616" s="37" t="n">
        <v>52.3</v>
      </c>
      <c r="J616" s="39" t="n">
        <v>637.57</v>
      </c>
      <c r="K616" s="37" t="s">
        <v>498</v>
      </c>
      <c r="L616" s="39" t="n">
        <v>141.72</v>
      </c>
      <c r="M616" s="39" t="n">
        <v>103.6</v>
      </c>
      <c r="N616" s="39" t="n">
        <f aca="false">J616*Resumo!$C$7</f>
        <v>1.27514</v>
      </c>
      <c r="O616" s="39" t="n">
        <f aca="false">J616*Resumo!$C$8</f>
        <v>1.27514</v>
      </c>
      <c r="P616" s="39" t="n">
        <f aca="false">Resumo!$C$10*CEILING(I616/100,1)</f>
        <v>1</v>
      </c>
      <c r="Q616" s="39" t="n">
        <f aca="false">Resumo!$C$9</f>
        <v>11.9</v>
      </c>
      <c r="R616" s="39" t="n">
        <f aca="false">SUM(M616:Q616)*Resumo!$C$11</f>
        <v>6.5477654</v>
      </c>
      <c r="S616" s="39" t="n">
        <f aca="false">SUM(M616:R616)</f>
        <v>125.5980454</v>
      </c>
      <c r="T616" s="39" t="n">
        <f aca="false">S616/(1-Resumo!$C$5)</f>
        <v>142.725051590909</v>
      </c>
      <c r="U616" s="39" t="n">
        <v>142.32</v>
      </c>
      <c r="V616" s="39" t="n">
        <f aca="false">J616*Resumo!$B$6</f>
        <v>0.63757</v>
      </c>
      <c r="W616" s="39" t="n">
        <f aca="false">J616*Resumo!$B$7</f>
        <v>1.27514</v>
      </c>
      <c r="X616" s="39" t="n">
        <f aca="false">Resumo!$B$9</f>
        <v>1</v>
      </c>
      <c r="Y616" s="39" t="n">
        <f aca="false">Resumo!$B$10*CEILING(I616/100,1)</f>
        <v>4.5</v>
      </c>
      <c r="Z616" s="39" t="n">
        <f aca="false">Resumo!$B$12*CEILING(I616,1)</f>
        <v>3.18</v>
      </c>
      <c r="AA616" s="39" t="n">
        <f aca="false">Resumo!$B$13*CEILING(I616,1)</f>
        <v>23.85</v>
      </c>
      <c r="AB616" s="39" t="n">
        <f aca="false">SUM(U616:AA616)</f>
        <v>176.76271</v>
      </c>
      <c r="AC616" s="39" t="n">
        <f aca="false">AB616/(1-Resumo!$B$5)</f>
        <v>200.866715909091</v>
      </c>
      <c r="AD616" s="39" t="n">
        <f aca="false">(AB616-AA616)/(1-Resumo!$B$5)</f>
        <v>173.764443181818</v>
      </c>
      <c r="AE616" s="39" t="n">
        <f aca="false">AC616-T616</f>
        <v>58.1416643181818</v>
      </c>
      <c r="AF616" s="40" t="n">
        <f aca="false">AC616/T616-1</f>
        <v>0.407368318806656</v>
      </c>
      <c r="AG616" s="37" t="str">
        <f aca="false">IF(AC616&lt;T616,"SIM","NÃO")</f>
        <v>NÃO</v>
      </c>
      <c r="AH616" s="37" t="n">
        <v>13</v>
      </c>
      <c r="AI616" s="37" t="n">
        <v>10</v>
      </c>
      <c r="AJ616" s="37" t="s">
        <v>327</v>
      </c>
    </row>
    <row r="617" customFormat="false" ht="15" hidden="false" customHeight="false" outlineLevel="0" collapsed="false">
      <c r="A617" s="37" t="n">
        <v>372210500</v>
      </c>
      <c r="B617" s="38" t="n">
        <v>46239.8469328704</v>
      </c>
      <c r="C617" s="37" t="s">
        <v>355</v>
      </c>
      <c r="D617" s="37" t="s">
        <v>926</v>
      </c>
      <c r="E617" s="37" t="n">
        <v>25555091</v>
      </c>
      <c r="F617" s="37" t="s">
        <v>147</v>
      </c>
      <c r="G617" s="37" t="s">
        <v>207</v>
      </c>
      <c r="H617" s="37" t="s">
        <v>171</v>
      </c>
      <c r="I617" s="37" t="n">
        <v>52.3</v>
      </c>
      <c r="J617" s="39" t="n">
        <v>611.71</v>
      </c>
      <c r="K617" s="37" t="s">
        <v>498</v>
      </c>
      <c r="L617" s="39" t="n">
        <v>127.26</v>
      </c>
      <c r="M617" s="39" t="n">
        <v>91.6</v>
      </c>
      <c r="N617" s="39" t="n">
        <f aca="false">J617*Resumo!$C$7</f>
        <v>1.22342</v>
      </c>
      <c r="O617" s="39" t="n">
        <f aca="false">J617*Resumo!$C$8</f>
        <v>1.22342</v>
      </c>
      <c r="P617" s="39" t="n">
        <f aca="false">Resumo!$C$10*CEILING(I617/100,1)</f>
        <v>1</v>
      </c>
      <c r="Q617" s="39" t="n">
        <f aca="false">Resumo!$C$9</f>
        <v>11.9</v>
      </c>
      <c r="R617" s="39" t="n">
        <f aca="false">SUM(M617:Q617)*Resumo!$C$11</f>
        <v>5.8820762</v>
      </c>
      <c r="S617" s="39" t="n">
        <f aca="false">SUM(M617:R617)</f>
        <v>112.8289162</v>
      </c>
      <c r="T617" s="39" t="n">
        <f aca="false">S617/(1-Resumo!$C$5)</f>
        <v>128.2146775</v>
      </c>
      <c r="U617" s="39" t="n">
        <v>112.3</v>
      </c>
      <c r="V617" s="39" t="n">
        <f aca="false">J617*Resumo!$B$6</f>
        <v>0.61171</v>
      </c>
      <c r="W617" s="39" t="n">
        <f aca="false">J617*Resumo!$B$7</f>
        <v>1.22342</v>
      </c>
      <c r="X617" s="39" t="n">
        <f aca="false">Resumo!$B$9</f>
        <v>1</v>
      </c>
      <c r="Y617" s="39" t="n">
        <f aca="false">Resumo!$B$10*CEILING(I617/100,1)</f>
        <v>4.5</v>
      </c>
      <c r="Z617" s="39" t="n">
        <f aca="false">Resumo!$B$12*CEILING(I617,1)</f>
        <v>3.18</v>
      </c>
      <c r="AA617" s="39" t="n">
        <f aca="false">Resumo!$B$13*CEILING(I617,1)</f>
        <v>23.85</v>
      </c>
      <c r="AB617" s="39" t="n">
        <f aca="false">SUM(U617:AA617)</f>
        <v>146.66513</v>
      </c>
      <c r="AC617" s="39" t="n">
        <f aca="false">AB617/(1-Resumo!$B$5)</f>
        <v>166.664920454545</v>
      </c>
      <c r="AD617" s="39" t="n">
        <f aca="false">(AB617-AA617)/(1-Resumo!$B$5)</f>
        <v>139.562647727273</v>
      </c>
      <c r="AE617" s="39" t="n">
        <f aca="false">AC617-T617</f>
        <v>38.4502429545455</v>
      </c>
      <c r="AF617" s="40" t="n">
        <f aca="false">AC617/T617-1</f>
        <v>0.299889557921678</v>
      </c>
      <c r="AG617" s="37" t="str">
        <f aca="false">IF(AC617&lt;T617,"SIM","NÃO")</f>
        <v>NÃO</v>
      </c>
      <c r="AH617" s="37" t="n">
        <v>10</v>
      </c>
      <c r="AI617" s="37" t="n">
        <v>5</v>
      </c>
      <c r="AJ617" s="37" t="s">
        <v>323</v>
      </c>
    </row>
    <row r="618" customFormat="false" ht="15" hidden="false" customHeight="false" outlineLevel="0" collapsed="false">
      <c r="A618" s="37" t="n">
        <v>372223895</v>
      </c>
      <c r="B618" s="38" t="n">
        <v>46239.8708101852</v>
      </c>
      <c r="C618" s="37" t="s">
        <v>320</v>
      </c>
      <c r="D618" s="37" t="s">
        <v>927</v>
      </c>
      <c r="E618" s="37" t="n">
        <v>26083460</v>
      </c>
      <c r="F618" s="37" t="s">
        <v>142</v>
      </c>
      <c r="G618" s="37" t="s">
        <v>207</v>
      </c>
      <c r="H618" s="37" t="s">
        <v>172</v>
      </c>
      <c r="I618" s="37" t="n">
        <v>61.5</v>
      </c>
      <c r="J618" s="39" t="n">
        <v>726.79</v>
      </c>
      <c r="K618" s="37" t="s">
        <v>322</v>
      </c>
      <c r="L618" s="39" t="n">
        <v>139.91</v>
      </c>
      <c r="M618" s="39" t="n">
        <v>100.9</v>
      </c>
      <c r="N618" s="39" t="n">
        <f aca="false">J618*Resumo!$C$7</f>
        <v>1.45358</v>
      </c>
      <c r="O618" s="39" t="n">
        <f aca="false">J618*Resumo!$C$8</f>
        <v>1.45358</v>
      </c>
      <c r="P618" s="39" t="n">
        <f aca="false">Resumo!$C$10*CEILING(I618/100,1)</f>
        <v>1</v>
      </c>
      <c r="Q618" s="39" t="n">
        <f aca="false">Resumo!$C$9</f>
        <v>11.9</v>
      </c>
      <c r="R618" s="39" t="n">
        <f aca="false">SUM(M618:Q618)*Resumo!$C$11</f>
        <v>6.4188938</v>
      </c>
      <c r="S618" s="39" t="n">
        <f aca="false">SUM(M618:R618)</f>
        <v>123.1260538</v>
      </c>
      <c r="T618" s="39" t="n">
        <f aca="false">S618/(1-Resumo!$C$5)</f>
        <v>139.915970227273</v>
      </c>
      <c r="U618" s="39" t="n">
        <v>131.02</v>
      </c>
      <c r="V618" s="39" t="n">
        <f aca="false">J618*Resumo!$B$6</f>
        <v>0.72679</v>
      </c>
      <c r="W618" s="39" t="n">
        <f aca="false">J618*Resumo!$B$7</f>
        <v>1.45358</v>
      </c>
      <c r="X618" s="39" t="n">
        <f aca="false">Resumo!$B$9</f>
        <v>1</v>
      </c>
      <c r="Y618" s="39" t="n">
        <f aca="false">Resumo!$B$10*CEILING(I618/100,1)</f>
        <v>4.5</v>
      </c>
      <c r="Z618" s="39" t="n">
        <f aca="false">Resumo!$B$12*CEILING(I618,1)</f>
        <v>3.72</v>
      </c>
      <c r="AA618" s="39" t="n">
        <f aca="false">Resumo!$B$13*CEILING(I618,1)</f>
        <v>27.9</v>
      </c>
      <c r="AB618" s="39" t="n">
        <f aca="false">SUM(U618:AA618)</f>
        <v>170.32037</v>
      </c>
      <c r="AC618" s="39" t="n">
        <f aca="false">AB618/(1-Resumo!$B$5)</f>
        <v>193.545875</v>
      </c>
      <c r="AD618" s="39" t="n">
        <f aca="false">(AB618-AA618)/(1-Resumo!$B$5)</f>
        <v>161.841329545455</v>
      </c>
      <c r="AE618" s="39" t="n">
        <f aca="false">AC618-T618</f>
        <v>53.6299047727273</v>
      </c>
      <c r="AF618" s="40" t="n">
        <f aca="false">AC618/T618-1</f>
        <v>0.383300810376496</v>
      </c>
      <c r="AG618" s="37" t="str">
        <f aca="false">IF(AC618&lt;T618,"SIM","NÃO")</f>
        <v>NÃO</v>
      </c>
      <c r="AH618" s="37" t="n">
        <v>10</v>
      </c>
      <c r="AI618" s="37" t="n">
        <v>5</v>
      </c>
      <c r="AJ618" s="37" t="s">
        <v>323</v>
      </c>
    </row>
    <row r="619" customFormat="false" ht="15" hidden="false" customHeight="false" outlineLevel="0" collapsed="false">
      <c r="A619" s="37" t="n">
        <v>372239165</v>
      </c>
      <c r="B619" s="38" t="n">
        <v>46239.8980787037</v>
      </c>
      <c r="C619" s="37" t="s">
        <v>320</v>
      </c>
      <c r="D619" s="37" t="s">
        <v>928</v>
      </c>
      <c r="E619" s="37" t="n">
        <v>24421021</v>
      </c>
      <c r="F619" s="37" t="s">
        <v>140</v>
      </c>
      <c r="G619" s="37" t="s">
        <v>207</v>
      </c>
      <c r="H619" s="37" t="s">
        <v>170</v>
      </c>
      <c r="I619" s="37" t="n">
        <v>45.3</v>
      </c>
      <c r="J619" s="39" t="n">
        <v>699.99</v>
      </c>
      <c r="K619" s="37" t="s">
        <v>498</v>
      </c>
      <c r="L619" s="39" t="n">
        <v>117.73</v>
      </c>
      <c r="M619" s="39" t="n">
        <v>82.25</v>
      </c>
      <c r="N619" s="39" t="n">
        <f aca="false">J619*Resumo!$C$7</f>
        <v>1.39998</v>
      </c>
      <c r="O619" s="39" t="n">
        <f aca="false">J619*Resumo!$C$8</f>
        <v>1.39998</v>
      </c>
      <c r="P619" s="39" t="n">
        <f aca="false">Resumo!$C$10*CEILING(I619/100,1)</f>
        <v>1</v>
      </c>
      <c r="Q619" s="39" t="n">
        <f aca="false">Resumo!$C$9</f>
        <v>11.9</v>
      </c>
      <c r="R619" s="39" t="n">
        <f aca="false">SUM(M619:Q619)*Resumo!$C$11</f>
        <v>5.3872478</v>
      </c>
      <c r="S619" s="39" t="n">
        <f aca="false">SUM(M619:R619)</f>
        <v>103.3372078</v>
      </c>
      <c r="T619" s="39" t="n">
        <f aca="false">S619/(1-Resumo!$C$5)</f>
        <v>117.428645227273</v>
      </c>
      <c r="U619" s="39" t="n">
        <v>114.95</v>
      </c>
      <c r="V619" s="39" t="n">
        <f aca="false">J619*Resumo!$B$6</f>
        <v>0.69999</v>
      </c>
      <c r="W619" s="39" t="n">
        <f aca="false">J619*Resumo!$B$7</f>
        <v>1.39998</v>
      </c>
      <c r="X619" s="39" t="n">
        <f aca="false">Resumo!$B$9</f>
        <v>1</v>
      </c>
      <c r="Y619" s="39" t="n">
        <f aca="false">Resumo!$B$10*CEILING(I619/100,1)</f>
        <v>4.5</v>
      </c>
      <c r="Z619" s="39" t="n">
        <f aca="false">Resumo!$B$12*CEILING(I619,1)</f>
        <v>2.76</v>
      </c>
      <c r="AA619" s="39" t="n">
        <f aca="false">Resumo!$B$13*CEILING(I619,1)</f>
        <v>20.7</v>
      </c>
      <c r="AB619" s="39" t="n">
        <f aca="false">SUM(U619:AA619)</f>
        <v>146.00997</v>
      </c>
      <c r="AC619" s="39" t="n">
        <f aca="false">AB619/(1-Resumo!$B$5)</f>
        <v>165.920420454545</v>
      </c>
      <c r="AD619" s="39" t="n">
        <f aca="false">(AB619-AA619)/(1-Resumo!$B$5)</f>
        <v>142.397693181818</v>
      </c>
      <c r="AE619" s="39" t="n">
        <f aca="false">AC619-T619</f>
        <v>48.4917752272728</v>
      </c>
      <c r="AF619" s="40" t="n">
        <f aca="false">AC619/T619-1</f>
        <v>0.412946731467618</v>
      </c>
      <c r="AG619" s="37" t="str">
        <f aca="false">IF(AC619&lt;T619,"SIM","NÃO")</f>
        <v>NÃO</v>
      </c>
      <c r="AH619" s="37" t="n">
        <v>10</v>
      </c>
      <c r="AI619" s="37" t="n">
        <v>7</v>
      </c>
      <c r="AJ619" s="37" t="s">
        <v>323</v>
      </c>
    </row>
    <row r="620" customFormat="false" ht="15" hidden="false" customHeight="false" outlineLevel="0" collapsed="false">
      <c r="A620" s="37" t="n">
        <v>372260669</v>
      </c>
      <c r="B620" s="38" t="n">
        <v>46239.9427430556</v>
      </c>
      <c r="C620" s="37" t="s">
        <v>325</v>
      </c>
      <c r="D620" s="37" t="s">
        <v>929</v>
      </c>
      <c r="E620" s="37" t="n">
        <v>24804700</v>
      </c>
      <c r="F620" s="37" t="s">
        <v>154</v>
      </c>
      <c r="G620" s="37" t="s">
        <v>201</v>
      </c>
      <c r="H620" s="37" t="s">
        <v>171</v>
      </c>
      <c r="I620" s="37" t="n">
        <v>52.3</v>
      </c>
      <c r="J620" s="39" t="n">
        <v>833.32</v>
      </c>
      <c r="K620" s="37" t="s">
        <v>498</v>
      </c>
      <c r="L620" s="39" t="n">
        <v>142.65</v>
      </c>
      <c r="M620" s="39" t="n">
        <v>103.6</v>
      </c>
      <c r="N620" s="39" t="n">
        <f aca="false">J620*Resumo!$C$7</f>
        <v>1.66664</v>
      </c>
      <c r="O620" s="39" t="n">
        <f aca="false">J620*Resumo!$C$8</f>
        <v>1.66664</v>
      </c>
      <c r="P620" s="39" t="n">
        <f aca="false">Resumo!$C$10*CEILING(I620/100,1)</f>
        <v>1</v>
      </c>
      <c r="Q620" s="39" t="n">
        <f aca="false">Resumo!$C$9</f>
        <v>11.9</v>
      </c>
      <c r="R620" s="39" t="n">
        <f aca="false">SUM(M620:Q620)*Resumo!$C$11</f>
        <v>6.5908304</v>
      </c>
      <c r="S620" s="39" t="n">
        <f aca="false">SUM(M620:R620)</f>
        <v>126.4241104</v>
      </c>
      <c r="T620" s="39" t="n">
        <f aca="false">S620/(1-Resumo!$C$5)</f>
        <v>143.663761818182</v>
      </c>
      <c r="U620" s="39" t="n">
        <v>128.14</v>
      </c>
      <c r="V620" s="39" t="n">
        <f aca="false">J620*Resumo!$B$6</f>
        <v>0.83332</v>
      </c>
      <c r="W620" s="39" t="n">
        <f aca="false">J620*Resumo!$B$7</f>
        <v>1.66664</v>
      </c>
      <c r="X620" s="39" t="n">
        <f aca="false">Resumo!$B$9</f>
        <v>1</v>
      </c>
      <c r="Y620" s="39" t="n">
        <f aca="false">Resumo!$B$10*CEILING(I620/100,1)</f>
        <v>4.5</v>
      </c>
      <c r="Z620" s="39" t="n">
        <f aca="false">Resumo!$B$12*CEILING(I620,1)</f>
        <v>3.18</v>
      </c>
      <c r="AA620" s="39" t="n">
        <f aca="false">Resumo!$B$13*CEILING(I620,1)</f>
        <v>23.85</v>
      </c>
      <c r="AB620" s="39" t="n">
        <f aca="false">SUM(U620:AA620)</f>
        <v>163.16996</v>
      </c>
      <c r="AC620" s="39" t="n">
        <f aca="false">AB620/(1-Resumo!$B$5)</f>
        <v>185.420409090909</v>
      </c>
      <c r="AD620" s="39" t="n">
        <f aca="false">(AB620-AA620)/(1-Resumo!$B$5)</f>
        <v>158.318136363636</v>
      </c>
      <c r="AE620" s="39" t="n">
        <f aca="false">AC620-T620</f>
        <v>41.7566472727272</v>
      </c>
      <c r="AF620" s="40" t="n">
        <f aca="false">AC620/T620-1</f>
        <v>0.290655393846457</v>
      </c>
      <c r="AG620" s="37" t="str">
        <f aca="false">IF(AC620&lt;T620,"SIM","NÃO")</f>
        <v>NÃO</v>
      </c>
      <c r="AH620" s="37" t="n">
        <v>13</v>
      </c>
      <c r="AI620" s="37" t="n">
        <v>7</v>
      </c>
      <c r="AJ620" s="37" t="s">
        <v>323</v>
      </c>
    </row>
    <row r="621" customFormat="false" ht="15" hidden="false" customHeight="false" outlineLevel="0" collapsed="false">
      <c r="A621" s="37" t="n">
        <v>372294226</v>
      </c>
      <c r="B621" s="38" t="n">
        <v>46240.0214699074</v>
      </c>
      <c r="C621" s="37" t="s">
        <v>325</v>
      </c>
      <c r="D621" s="37" t="s">
        <v>930</v>
      </c>
      <c r="E621" s="37" t="n">
        <v>21721480</v>
      </c>
      <c r="F621" s="37" t="s">
        <v>139</v>
      </c>
      <c r="G621" s="37" t="s">
        <v>198</v>
      </c>
      <c r="H621" s="37" t="s">
        <v>168</v>
      </c>
      <c r="I621" s="37" t="n">
        <v>31.4</v>
      </c>
      <c r="J621" s="39" t="n">
        <v>365.49</v>
      </c>
      <c r="K621" s="37" t="s">
        <v>322</v>
      </c>
      <c r="L621" s="39" t="n">
        <v>82.08</v>
      </c>
      <c r="M621" s="39" t="n">
        <v>54.1</v>
      </c>
      <c r="N621" s="39" t="n">
        <f aca="false">J621*Resumo!$C$7</f>
        <v>0.73098</v>
      </c>
      <c r="O621" s="39" t="n">
        <f aca="false">J621*Resumo!$C$8</f>
        <v>0.73098</v>
      </c>
      <c r="P621" s="39" t="n">
        <f aca="false">Resumo!$C$10*CEILING(I621/100,1)</f>
        <v>1</v>
      </c>
      <c r="Q621" s="39" t="n">
        <f aca="false">Resumo!$C$9</f>
        <v>11.9</v>
      </c>
      <c r="R621" s="39" t="n">
        <f aca="false">SUM(M621:Q621)*Resumo!$C$11</f>
        <v>3.7654078</v>
      </c>
      <c r="S621" s="39" t="n">
        <f aca="false">SUM(M621:R621)</f>
        <v>72.2273678</v>
      </c>
      <c r="T621" s="39" t="n">
        <f aca="false">S621/(1-Resumo!$C$5)</f>
        <v>82.0765543181818</v>
      </c>
      <c r="U621" s="39" t="n">
        <v>82.21</v>
      </c>
      <c r="V621" s="39" t="n">
        <f aca="false">J621*Resumo!$B$6</f>
        <v>0.36549</v>
      </c>
      <c r="W621" s="39" t="n">
        <f aca="false">J621*Resumo!$B$7</f>
        <v>0.73098</v>
      </c>
      <c r="X621" s="39" t="n">
        <f aca="false">Resumo!$B$9</f>
        <v>1</v>
      </c>
      <c r="Y621" s="39" t="n">
        <f aca="false">Resumo!$B$10*CEILING(I621/100,1)</f>
        <v>4.5</v>
      </c>
      <c r="Z621" s="39" t="n">
        <f aca="false">Resumo!$B$12*CEILING(I621,1)</f>
        <v>1.92</v>
      </c>
      <c r="AA621" s="39" t="n">
        <f aca="false">Resumo!$B$13*CEILING(I621,1)</f>
        <v>14.4</v>
      </c>
      <c r="AB621" s="39" t="n">
        <f aca="false">SUM(U621:AA621)</f>
        <v>105.12647</v>
      </c>
      <c r="AC621" s="39" t="n">
        <f aca="false">AB621/(1-Resumo!$B$5)</f>
        <v>119.461897727273</v>
      </c>
      <c r="AD621" s="39" t="n">
        <f aca="false">(AB621-AA621)/(1-Resumo!$B$5)</f>
        <v>103.098261363636</v>
      </c>
      <c r="AE621" s="39" t="n">
        <f aca="false">AC621-T621</f>
        <v>37.3853434090909</v>
      </c>
      <c r="AF621" s="40" t="n">
        <f aca="false">AC621/T621-1</f>
        <v>0.455493578155841</v>
      </c>
      <c r="AG621" s="37" t="str">
        <f aca="false">IF(AC621&lt;T621,"SIM","NÃO")</f>
        <v>NÃO</v>
      </c>
      <c r="AH621" s="37" t="n">
        <v>8</v>
      </c>
      <c r="AI621" s="37" t="n">
        <v>5</v>
      </c>
      <c r="AJ621" s="37" t="s">
        <v>323</v>
      </c>
    </row>
    <row r="622" customFormat="false" ht="15" hidden="false" customHeight="false" outlineLevel="0" collapsed="false">
      <c r="A622" s="37" t="n">
        <v>372303222</v>
      </c>
      <c r="B622" s="38" t="n">
        <v>46240.0511226852</v>
      </c>
      <c r="C622" s="37" t="s">
        <v>325</v>
      </c>
      <c r="D622" s="37" t="s">
        <v>931</v>
      </c>
      <c r="E622" s="37" t="n">
        <v>20750120</v>
      </c>
      <c r="F622" s="37" t="s">
        <v>139</v>
      </c>
      <c r="G622" s="37" t="s">
        <v>198</v>
      </c>
      <c r="H622" s="37" t="s">
        <v>170</v>
      </c>
      <c r="I622" s="37" t="n">
        <v>43.5</v>
      </c>
      <c r="J622" s="39" t="n">
        <v>611.05</v>
      </c>
      <c r="K622" s="37" t="s">
        <v>322</v>
      </c>
      <c r="L622" s="39" t="n">
        <v>103.51</v>
      </c>
      <c r="M622" s="39" t="n">
        <v>71</v>
      </c>
      <c r="N622" s="39" t="n">
        <f aca="false">J622*Resumo!$C$7</f>
        <v>1.2221</v>
      </c>
      <c r="O622" s="39" t="n">
        <f aca="false">J622*Resumo!$C$8</f>
        <v>1.2221</v>
      </c>
      <c r="P622" s="39" t="n">
        <f aca="false">Resumo!$C$10*CEILING(I622/100,1)</f>
        <v>1</v>
      </c>
      <c r="Q622" s="39" t="n">
        <f aca="false">Resumo!$C$9</f>
        <v>11.9</v>
      </c>
      <c r="R622" s="39" t="n">
        <f aca="false">SUM(M622:Q622)*Resumo!$C$11</f>
        <v>4.748931</v>
      </c>
      <c r="S622" s="39" t="n">
        <f aca="false">SUM(M622:R622)</f>
        <v>91.093131</v>
      </c>
      <c r="T622" s="39" t="n">
        <f aca="false">S622/(1-Resumo!$C$5)</f>
        <v>103.514921590909</v>
      </c>
      <c r="U622" s="39" t="n">
        <v>93.97</v>
      </c>
      <c r="V622" s="39" t="n">
        <f aca="false">J622*Resumo!$B$6</f>
        <v>0.61105</v>
      </c>
      <c r="W622" s="39" t="n">
        <f aca="false">J622*Resumo!$B$7</f>
        <v>1.2221</v>
      </c>
      <c r="X622" s="39" t="n">
        <f aca="false">Resumo!$B$9</f>
        <v>1</v>
      </c>
      <c r="Y622" s="39" t="n">
        <f aca="false">Resumo!$B$10*CEILING(I622/100,1)</f>
        <v>4.5</v>
      </c>
      <c r="Z622" s="39" t="n">
        <f aca="false">Resumo!$B$12*CEILING(I622,1)</f>
        <v>2.64</v>
      </c>
      <c r="AA622" s="39" t="n">
        <f aca="false">Resumo!$B$13*CEILING(I622,1)</f>
        <v>19.8</v>
      </c>
      <c r="AB622" s="39" t="n">
        <f aca="false">SUM(U622:AA622)</f>
        <v>123.74315</v>
      </c>
      <c r="AC622" s="39" t="n">
        <f aca="false">AB622/(1-Resumo!$B$5)</f>
        <v>140.617215909091</v>
      </c>
      <c r="AD622" s="39" t="n">
        <f aca="false">(AB622-AA622)/(1-Resumo!$B$5)</f>
        <v>118.117215909091</v>
      </c>
      <c r="AE622" s="39" t="n">
        <f aca="false">AC622-T622</f>
        <v>37.1022943181818</v>
      </c>
      <c r="AF622" s="40" t="n">
        <f aca="false">AC622/T622-1</f>
        <v>0.358424599545272</v>
      </c>
      <c r="AG622" s="37" t="str">
        <f aca="false">IF(AC622&lt;T622,"SIM","NÃO")</f>
        <v>NÃO</v>
      </c>
      <c r="AH622" s="37" t="n">
        <v>8</v>
      </c>
      <c r="AI622" s="37" t="n">
        <v>5</v>
      </c>
      <c r="AJ622" s="37" t="s">
        <v>323</v>
      </c>
    </row>
    <row r="623" customFormat="false" ht="15" hidden="false" customHeight="false" outlineLevel="0" collapsed="false">
      <c r="A623" s="37" t="n">
        <v>372392212</v>
      </c>
      <c r="B623" s="38" t="n">
        <v>46240.3696064815</v>
      </c>
      <c r="C623" s="37" t="s">
        <v>320</v>
      </c>
      <c r="D623" s="37" t="s">
        <v>932</v>
      </c>
      <c r="E623" s="37" t="n">
        <v>22783325</v>
      </c>
      <c r="F623" s="37" t="s">
        <v>139</v>
      </c>
      <c r="G623" s="37" t="s">
        <v>198</v>
      </c>
      <c r="H623" s="37" t="s">
        <v>171</v>
      </c>
      <c r="I623" s="37" t="n">
        <v>52.3</v>
      </c>
      <c r="J623" s="39" t="n">
        <v>685.85</v>
      </c>
      <c r="K623" s="37" t="s">
        <v>322</v>
      </c>
      <c r="L623" s="39" t="n">
        <v>114.43</v>
      </c>
      <c r="M623" s="39" t="n">
        <v>79.81</v>
      </c>
      <c r="N623" s="39" t="n">
        <f aca="false">J623*Resumo!$C$7</f>
        <v>1.3717</v>
      </c>
      <c r="O623" s="39" t="n">
        <f aca="false">J623*Resumo!$C$8</f>
        <v>1.3717</v>
      </c>
      <c r="P623" s="39" t="n">
        <f aca="false">Resumo!$C$10*CEILING(I623/100,1)</f>
        <v>1</v>
      </c>
      <c r="Q623" s="39" t="n">
        <f aca="false">Resumo!$C$9</f>
        <v>11.9</v>
      </c>
      <c r="R623" s="39" t="n">
        <f aca="false">SUM(M623:Q623)*Resumo!$C$11</f>
        <v>5.249937</v>
      </c>
      <c r="S623" s="39" t="n">
        <f aca="false">SUM(M623:R623)</f>
        <v>100.703337</v>
      </c>
      <c r="T623" s="39" t="n">
        <f aca="false">S623/(1-Resumo!$C$5)</f>
        <v>114.435610227273</v>
      </c>
      <c r="U623" s="39" t="n">
        <v>112.3</v>
      </c>
      <c r="V623" s="39" t="n">
        <f aca="false">J623*Resumo!$B$6</f>
        <v>0.68585</v>
      </c>
      <c r="W623" s="39" t="n">
        <f aca="false">J623*Resumo!$B$7</f>
        <v>1.3717</v>
      </c>
      <c r="X623" s="39" t="n">
        <f aca="false">Resumo!$B$9</f>
        <v>1</v>
      </c>
      <c r="Y623" s="39" t="n">
        <f aca="false">Resumo!$B$10*CEILING(I623/100,1)</f>
        <v>4.5</v>
      </c>
      <c r="Z623" s="39" t="n">
        <f aca="false">Resumo!$B$12*CEILING(I623,1)</f>
        <v>3.18</v>
      </c>
      <c r="AA623" s="39" t="n">
        <f aca="false">Resumo!$B$13*CEILING(I623,1)</f>
        <v>23.85</v>
      </c>
      <c r="AB623" s="39" t="n">
        <f aca="false">SUM(U623:AA623)</f>
        <v>146.88755</v>
      </c>
      <c r="AC623" s="39" t="n">
        <f aca="false">AB623/(1-Resumo!$B$5)</f>
        <v>166.917670454545</v>
      </c>
      <c r="AD623" s="39" t="n">
        <f aca="false">(AB623-AA623)/(1-Resumo!$B$5)</f>
        <v>139.815397727273</v>
      </c>
      <c r="AE623" s="39" t="n">
        <f aca="false">AC623-T623</f>
        <v>52.4820602272727</v>
      </c>
      <c r="AF623" s="40" t="n">
        <f aca="false">AC623/T623-1</f>
        <v>0.458616510394288</v>
      </c>
      <c r="AG623" s="37" t="str">
        <f aca="false">IF(AC623&lt;T623,"SIM","NÃO")</f>
        <v>NÃO</v>
      </c>
      <c r="AH623" s="37" t="n">
        <v>8</v>
      </c>
      <c r="AI623" s="37" t="n">
        <v>5</v>
      </c>
      <c r="AJ623" s="37" t="s">
        <v>323</v>
      </c>
    </row>
    <row r="624" customFormat="false" ht="15" hidden="false" customHeight="false" outlineLevel="0" collapsed="false">
      <c r="A624" s="37" t="n">
        <v>372403120</v>
      </c>
      <c r="B624" s="38" t="n">
        <v>46240.3922916667</v>
      </c>
      <c r="C624" s="37" t="s">
        <v>320</v>
      </c>
      <c r="D624" s="37" t="s">
        <v>933</v>
      </c>
      <c r="E624" s="37" t="n">
        <v>24436000</v>
      </c>
      <c r="F624" s="37" t="s">
        <v>140</v>
      </c>
      <c r="G624" s="37" t="s">
        <v>207</v>
      </c>
      <c r="H624" s="37" t="s">
        <v>170</v>
      </c>
      <c r="I624" s="37" t="n">
        <v>45</v>
      </c>
      <c r="J624" s="39" t="n">
        <v>531.42</v>
      </c>
      <c r="K624" s="37" t="s">
        <v>498</v>
      </c>
      <c r="L624" s="39" t="n">
        <v>116.42</v>
      </c>
      <c r="M624" s="39" t="n">
        <v>82.25</v>
      </c>
      <c r="N624" s="39" t="n">
        <f aca="false">J624*Resumo!$C$7</f>
        <v>1.06284</v>
      </c>
      <c r="O624" s="39" t="n">
        <f aca="false">J624*Resumo!$C$8</f>
        <v>1.06284</v>
      </c>
      <c r="P624" s="39" t="n">
        <f aca="false">Resumo!$C$10*CEILING(I624/100,1)</f>
        <v>1</v>
      </c>
      <c r="Q624" s="39" t="n">
        <f aca="false">Resumo!$C$9</f>
        <v>11.9</v>
      </c>
      <c r="R624" s="39" t="n">
        <f aca="false">SUM(M624:Q624)*Resumo!$C$11</f>
        <v>5.3501624</v>
      </c>
      <c r="S624" s="39" t="n">
        <f aca="false">SUM(M624:R624)</f>
        <v>102.6258424</v>
      </c>
      <c r="T624" s="39" t="n">
        <f aca="false">S624/(1-Resumo!$C$5)</f>
        <v>116.620275454545</v>
      </c>
      <c r="U624" s="39" t="n">
        <v>114.95</v>
      </c>
      <c r="V624" s="39" t="n">
        <f aca="false">J624*Resumo!$B$6</f>
        <v>0.53142</v>
      </c>
      <c r="W624" s="39" t="n">
        <f aca="false">J624*Resumo!$B$7</f>
        <v>1.06284</v>
      </c>
      <c r="X624" s="39" t="n">
        <f aca="false">Resumo!$B$9</f>
        <v>1</v>
      </c>
      <c r="Y624" s="39" t="n">
        <f aca="false">Resumo!$B$10*CEILING(I624/100,1)</f>
        <v>4.5</v>
      </c>
      <c r="Z624" s="39" t="n">
        <f aca="false">Resumo!$B$12*CEILING(I624,1)</f>
        <v>2.7</v>
      </c>
      <c r="AA624" s="39" t="n">
        <f aca="false">Resumo!$B$13*CEILING(I624,1)</f>
        <v>20.25</v>
      </c>
      <c r="AB624" s="39" t="n">
        <f aca="false">SUM(U624:AA624)</f>
        <v>144.99426</v>
      </c>
      <c r="AC624" s="39" t="n">
        <f aca="false">AB624/(1-Resumo!$B$5)</f>
        <v>164.766204545455</v>
      </c>
      <c r="AD624" s="39" t="n">
        <f aca="false">(AB624-AA624)/(1-Resumo!$B$5)</f>
        <v>141.754840909091</v>
      </c>
      <c r="AE624" s="39" t="n">
        <f aca="false">AC624-T624</f>
        <v>48.1459290909091</v>
      </c>
      <c r="AF624" s="40" t="n">
        <f aca="false">AC624/T624-1</f>
        <v>0.41284355489003</v>
      </c>
      <c r="AG624" s="37" t="str">
        <f aca="false">IF(AC624&lt;T624,"SIM","NÃO")</f>
        <v>NÃO</v>
      </c>
      <c r="AH624" s="37" t="n">
        <v>10</v>
      </c>
      <c r="AI624" s="37" t="n">
        <v>7</v>
      </c>
      <c r="AJ624" s="37" t="s">
        <v>323</v>
      </c>
    </row>
    <row r="625" customFormat="false" ht="15" hidden="false" customHeight="false" outlineLevel="0" collapsed="false">
      <c r="A625" s="37" t="n">
        <v>372404379</v>
      </c>
      <c r="B625" s="38" t="n">
        <v>46240.3943171296</v>
      </c>
      <c r="C625" s="37" t="s">
        <v>320</v>
      </c>
      <c r="D625" s="37" t="s">
        <v>934</v>
      </c>
      <c r="E625" s="37" t="n">
        <v>21640260</v>
      </c>
      <c r="F625" s="37" t="s">
        <v>139</v>
      </c>
      <c r="G625" s="37" t="s">
        <v>198</v>
      </c>
      <c r="H625" s="37" t="s">
        <v>169</v>
      </c>
      <c r="I625" s="37" t="n">
        <v>40</v>
      </c>
      <c r="J625" s="39" t="n">
        <v>569.99</v>
      </c>
      <c r="K625" s="37" t="s">
        <v>322</v>
      </c>
      <c r="L625" s="39" t="n">
        <v>92.59</v>
      </c>
      <c r="M625" s="39" t="n">
        <v>62.05</v>
      </c>
      <c r="N625" s="39" t="n">
        <f aca="false">J625*Resumo!$C$7</f>
        <v>1.13998</v>
      </c>
      <c r="O625" s="39" t="n">
        <f aca="false">J625*Resumo!$C$8</f>
        <v>1.13998</v>
      </c>
      <c r="P625" s="39" t="n">
        <f aca="false">Resumo!$C$10*CEILING(I625/100,1)</f>
        <v>1</v>
      </c>
      <c r="Q625" s="39" t="n">
        <f aca="false">Resumo!$C$9</f>
        <v>11.9</v>
      </c>
      <c r="R625" s="39" t="n">
        <f aca="false">SUM(M625:Q625)*Resumo!$C$11</f>
        <v>4.2476478</v>
      </c>
      <c r="S625" s="39" t="n">
        <f aca="false">SUM(M625:R625)</f>
        <v>81.4776078</v>
      </c>
      <c r="T625" s="39" t="n">
        <f aca="false">S625/(1-Resumo!$C$5)</f>
        <v>92.5881906818182</v>
      </c>
      <c r="U625" s="39" t="n">
        <v>93.97</v>
      </c>
      <c r="V625" s="39" t="n">
        <f aca="false">J625*Resumo!$B$6</f>
        <v>0.56999</v>
      </c>
      <c r="W625" s="39" t="n">
        <f aca="false">J625*Resumo!$B$7</f>
        <v>1.13998</v>
      </c>
      <c r="X625" s="39" t="n">
        <f aca="false">Resumo!$B$9</f>
        <v>1</v>
      </c>
      <c r="Y625" s="39" t="n">
        <f aca="false">Resumo!$B$10*CEILING(I625/100,1)</f>
        <v>4.5</v>
      </c>
      <c r="Z625" s="39" t="n">
        <f aca="false">Resumo!$B$12*CEILING(I625,1)</f>
        <v>2.4</v>
      </c>
      <c r="AA625" s="39" t="n">
        <f aca="false">Resumo!$B$13*CEILING(I625,1)</f>
        <v>18</v>
      </c>
      <c r="AB625" s="39" t="n">
        <f aca="false">SUM(U625:AA625)</f>
        <v>121.57997</v>
      </c>
      <c r="AC625" s="39" t="n">
        <f aca="false">AB625/(1-Resumo!$B$5)</f>
        <v>138.159056818182</v>
      </c>
      <c r="AD625" s="39" t="n">
        <f aca="false">(AB625-AA625)/(1-Resumo!$B$5)</f>
        <v>117.704511363636</v>
      </c>
      <c r="AE625" s="39" t="n">
        <f aca="false">AC625-T625</f>
        <v>45.5708661363637</v>
      </c>
      <c r="AF625" s="40" t="n">
        <f aca="false">AC625/T625-1</f>
        <v>0.492188753239268</v>
      </c>
      <c r="AG625" s="37" t="str">
        <f aca="false">IF(AC625&lt;T625,"SIM","NÃO")</f>
        <v>NÃO</v>
      </c>
      <c r="AH625" s="37" t="n">
        <v>8</v>
      </c>
      <c r="AI625" s="37" t="n">
        <v>5</v>
      </c>
      <c r="AJ625" s="37" t="s">
        <v>323</v>
      </c>
    </row>
    <row r="626" customFormat="false" ht="15" hidden="false" customHeight="false" outlineLevel="0" collapsed="false">
      <c r="A626" s="37" t="n">
        <v>372411317</v>
      </c>
      <c r="B626" s="38" t="n">
        <v>46240.4075347222</v>
      </c>
      <c r="C626" s="37" t="s">
        <v>320</v>
      </c>
      <c r="D626" s="37" t="s">
        <v>935</v>
      </c>
      <c r="E626" s="37" t="n">
        <v>20765171</v>
      </c>
      <c r="F626" s="37" t="s">
        <v>139</v>
      </c>
      <c r="G626" s="37" t="s">
        <v>198</v>
      </c>
      <c r="H626" s="37" t="s">
        <v>171</v>
      </c>
      <c r="I626" s="37" t="n">
        <v>59.3</v>
      </c>
      <c r="J626" s="39" t="n">
        <v>819.7</v>
      </c>
      <c r="K626" s="37" t="s">
        <v>322</v>
      </c>
      <c r="L626" s="39" t="n">
        <v>115.08</v>
      </c>
      <c r="M626" s="39" t="n">
        <v>79.81</v>
      </c>
      <c r="N626" s="39" t="n">
        <f aca="false">J626*Resumo!$C$7</f>
        <v>1.6394</v>
      </c>
      <c r="O626" s="39" t="n">
        <f aca="false">J626*Resumo!$C$8</f>
        <v>1.6394</v>
      </c>
      <c r="P626" s="39" t="n">
        <f aca="false">Resumo!$C$10*CEILING(I626/100,1)</f>
        <v>1</v>
      </c>
      <c r="Q626" s="39" t="n">
        <f aca="false">Resumo!$C$9</f>
        <v>11.9</v>
      </c>
      <c r="R626" s="39" t="n">
        <f aca="false">SUM(M626:Q626)*Resumo!$C$11</f>
        <v>5.279384</v>
      </c>
      <c r="S626" s="39" t="n">
        <f aca="false">SUM(M626:R626)</f>
        <v>101.268184</v>
      </c>
      <c r="T626" s="39" t="n">
        <f aca="false">S626/(1-Resumo!$C$5)</f>
        <v>115.077481818182</v>
      </c>
      <c r="U626" s="39" t="n">
        <v>112.3</v>
      </c>
      <c r="V626" s="39" t="n">
        <f aca="false">J626*Resumo!$B$6</f>
        <v>0.8197</v>
      </c>
      <c r="W626" s="39" t="n">
        <f aca="false">J626*Resumo!$B$7</f>
        <v>1.6394</v>
      </c>
      <c r="X626" s="39" t="n">
        <f aca="false">Resumo!$B$9</f>
        <v>1</v>
      </c>
      <c r="Y626" s="39" t="n">
        <f aca="false">Resumo!$B$10*CEILING(I626/100,1)</f>
        <v>4.5</v>
      </c>
      <c r="Z626" s="39" t="n">
        <f aca="false">Resumo!$B$12*CEILING(I626,1)</f>
        <v>3.6</v>
      </c>
      <c r="AA626" s="39" t="n">
        <f aca="false">Resumo!$B$13*CEILING(I626,1)</f>
        <v>27</v>
      </c>
      <c r="AB626" s="39" t="n">
        <f aca="false">SUM(U626:AA626)</f>
        <v>150.8591</v>
      </c>
      <c r="AC626" s="39" t="n">
        <f aca="false">AB626/(1-Resumo!$B$5)</f>
        <v>171.430795454545</v>
      </c>
      <c r="AD626" s="39" t="n">
        <f aca="false">(AB626-AA626)/(1-Resumo!$B$5)</f>
        <v>140.748977272727</v>
      </c>
      <c r="AE626" s="39" t="n">
        <f aca="false">AC626-T626</f>
        <v>56.3533136363637</v>
      </c>
      <c r="AF626" s="40" t="n">
        <f aca="false">AC626/T626-1</f>
        <v>0.489698877191281</v>
      </c>
      <c r="AG626" s="37" t="str">
        <f aca="false">IF(AC626&lt;T626,"SIM","NÃO")</f>
        <v>NÃO</v>
      </c>
      <c r="AH626" s="37" t="n">
        <v>8</v>
      </c>
      <c r="AI626" s="37" t="n">
        <v>5</v>
      </c>
      <c r="AJ626" s="37" t="s">
        <v>323</v>
      </c>
    </row>
    <row r="627" customFormat="false" ht="15" hidden="false" customHeight="false" outlineLevel="0" collapsed="false">
      <c r="A627" s="37" t="n">
        <v>372470470</v>
      </c>
      <c r="B627" s="38" t="n">
        <v>46240.5147222222</v>
      </c>
      <c r="C627" s="37" t="s">
        <v>325</v>
      </c>
      <c r="D627" s="37" t="s">
        <v>936</v>
      </c>
      <c r="E627" s="37" t="n">
        <v>24754007</v>
      </c>
      <c r="F627" s="37" t="s">
        <v>140</v>
      </c>
      <c r="G627" s="37" t="s">
        <v>207</v>
      </c>
      <c r="H627" s="37" t="s">
        <v>168</v>
      </c>
      <c r="I627" s="37" t="n">
        <v>27.5</v>
      </c>
      <c r="J627" s="39" t="n">
        <v>320</v>
      </c>
      <c r="K627" s="37" t="s">
        <v>498</v>
      </c>
      <c r="L627" s="39" t="n">
        <v>99.25</v>
      </c>
      <c r="M627" s="39" t="n">
        <v>70</v>
      </c>
      <c r="N627" s="39" t="n">
        <f aca="false">J627*Resumo!$C$7</f>
        <v>0.64</v>
      </c>
      <c r="O627" s="39" t="n">
        <f aca="false">J627*Resumo!$C$8</f>
        <v>0.64</v>
      </c>
      <c r="P627" s="39" t="n">
        <f aca="false">Resumo!$C$10*CEILING(I627/100,1)</f>
        <v>1</v>
      </c>
      <c r="Q627" s="39" t="n">
        <f aca="false">Resumo!$C$9</f>
        <v>11.9</v>
      </c>
      <c r="R627" s="39" t="n">
        <f aca="false">SUM(M627:Q627)*Resumo!$C$11</f>
        <v>4.6299</v>
      </c>
      <c r="S627" s="39" t="n">
        <f aca="false">SUM(M627:R627)</f>
        <v>88.8099</v>
      </c>
      <c r="T627" s="39" t="n">
        <f aca="false">S627/(1-Resumo!$C$5)</f>
        <v>100.920340909091</v>
      </c>
      <c r="U627" s="39" t="n">
        <v>100.58</v>
      </c>
      <c r="V627" s="39" t="n">
        <f aca="false">J627*Resumo!$B$6</f>
        <v>0.32</v>
      </c>
      <c r="W627" s="39" t="n">
        <f aca="false">J627*Resumo!$B$7</f>
        <v>0.64</v>
      </c>
      <c r="X627" s="39" t="n">
        <f aca="false">Resumo!$B$9</f>
        <v>1</v>
      </c>
      <c r="Y627" s="39" t="n">
        <f aca="false">Resumo!$B$10*CEILING(I627/100,1)</f>
        <v>4.5</v>
      </c>
      <c r="Z627" s="39" t="n">
        <f aca="false">Resumo!$B$12*CEILING(I627,1)</f>
        <v>1.68</v>
      </c>
      <c r="AA627" s="39" t="n">
        <f aca="false">Resumo!$B$13*CEILING(I627,1)</f>
        <v>12.6</v>
      </c>
      <c r="AB627" s="39" t="n">
        <f aca="false">SUM(U627:AA627)</f>
        <v>121.32</v>
      </c>
      <c r="AC627" s="39" t="n">
        <f aca="false">AB627/(1-Resumo!$B$5)</f>
        <v>137.863636363636</v>
      </c>
      <c r="AD627" s="39" t="n">
        <f aca="false">(AB627-AA627)/(1-Resumo!$B$5)</f>
        <v>123.545454545455</v>
      </c>
      <c r="AE627" s="39" t="n">
        <f aca="false">AC627-T627</f>
        <v>36.9432954545454</v>
      </c>
      <c r="AF627" s="40" t="n">
        <f aca="false">AC627/T627-1</f>
        <v>0.366063918549621</v>
      </c>
      <c r="AG627" s="37" t="str">
        <f aca="false">IF(AC627&lt;T627,"SIM","NÃO")</f>
        <v>NÃO</v>
      </c>
      <c r="AH627" s="37" t="n">
        <v>10</v>
      </c>
      <c r="AI627" s="37" t="n">
        <v>7</v>
      </c>
      <c r="AJ627" s="37" t="s">
        <v>323</v>
      </c>
    </row>
    <row r="628" customFormat="false" ht="15" hidden="false" customHeight="false" outlineLevel="0" collapsed="false">
      <c r="A628" s="37" t="n">
        <v>372475510</v>
      </c>
      <c r="B628" s="38" t="n">
        <v>46240.5242592593</v>
      </c>
      <c r="C628" s="37" t="s">
        <v>320</v>
      </c>
      <c r="D628" s="37" t="s">
        <v>937</v>
      </c>
      <c r="E628" s="37" t="n">
        <v>28994500</v>
      </c>
      <c r="F628" s="37" t="s">
        <v>281</v>
      </c>
      <c r="G628" s="37" t="s">
        <v>201</v>
      </c>
      <c r="H628" s="37" t="s">
        <v>169</v>
      </c>
      <c r="I628" s="37" t="n">
        <v>37.2</v>
      </c>
      <c r="J628" s="39" t="n">
        <v>419.99</v>
      </c>
      <c r="K628" s="37" t="s">
        <v>498</v>
      </c>
      <c r="L628" s="39" t="n">
        <v>123.22</v>
      </c>
      <c r="M628" s="39" t="n">
        <v>87.4</v>
      </c>
      <c r="N628" s="39" t="n">
        <f aca="false">J628*Resumo!$C$7</f>
        <v>0.83998</v>
      </c>
      <c r="O628" s="39" t="n">
        <f aca="false">J628*Resumo!$C$8</f>
        <v>0.83998</v>
      </c>
      <c r="P628" s="39" t="n">
        <f aca="false">Resumo!$C$10*CEILING(I628/100,1)</f>
        <v>1</v>
      </c>
      <c r="Q628" s="39" t="n">
        <f aca="false">Resumo!$C$9</f>
        <v>11.9</v>
      </c>
      <c r="R628" s="39" t="n">
        <f aca="false">SUM(M628:Q628)*Resumo!$C$11</f>
        <v>5.6088978</v>
      </c>
      <c r="S628" s="39" t="n">
        <f aca="false">SUM(M628:R628)</f>
        <v>107.5888578</v>
      </c>
      <c r="T628" s="39" t="n">
        <f aca="false">S628/(1-Resumo!$C$5)</f>
        <v>122.260065681818</v>
      </c>
      <c r="U628" s="39" t="n">
        <v>124.38</v>
      </c>
      <c r="V628" s="39" t="n">
        <f aca="false">J628*Resumo!$B$6</f>
        <v>0.41999</v>
      </c>
      <c r="W628" s="39" t="n">
        <f aca="false">J628*Resumo!$B$7</f>
        <v>0.83998</v>
      </c>
      <c r="X628" s="39" t="n">
        <f aca="false">Resumo!$B$9</f>
        <v>1</v>
      </c>
      <c r="Y628" s="39" t="n">
        <f aca="false">Resumo!$B$10*CEILING(I628/100,1)</f>
        <v>4.5</v>
      </c>
      <c r="Z628" s="39" t="n">
        <f aca="false">Resumo!$B$12*CEILING(I628,1)</f>
        <v>2.28</v>
      </c>
      <c r="AA628" s="39" t="n">
        <f aca="false">Resumo!$B$13*CEILING(I628,1)</f>
        <v>17.1</v>
      </c>
      <c r="AB628" s="39" t="n">
        <f aca="false">SUM(U628:AA628)</f>
        <v>150.51997</v>
      </c>
      <c r="AC628" s="39" t="n">
        <f aca="false">AB628/(1-Resumo!$B$5)</f>
        <v>171.045420454545</v>
      </c>
      <c r="AD628" s="39" t="n">
        <f aca="false">(AB628-AA628)/(1-Resumo!$B$5)</f>
        <v>151.613602272727</v>
      </c>
      <c r="AE628" s="39" t="n">
        <f aca="false">AC628-T628</f>
        <v>48.7853547727273</v>
      </c>
      <c r="AF628" s="40" t="n">
        <f aca="false">AC628/T628-1</f>
        <v>0.399029351903762</v>
      </c>
      <c r="AG628" s="37" t="str">
        <f aca="false">IF(AC628&lt;T628,"SIM","NÃO")</f>
        <v>NÃO</v>
      </c>
      <c r="AH628" s="37" t="n">
        <v>13</v>
      </c>
      <c r="AI628" s="37" t="n">
        <v>10</v>
      </c>
      <c r="AJ628" s="37" t="s">
        <v>327</v>
      </c>
    </row>
    <row r="629" customFormat="false" ht="15" hidden="false" customHeight="false" outlineLevel="0" collapsed="false">
      <c r="A629" s="37" t="n">
        <v>372479492</v>
      </c>
      <c r="B629" s="38" t="n">
        <v>46240.5316319445</v>
      </c>
      <c r="C629" s="37" t="s">
        <v>320</v>
      </c>
      <c r="D629" s="37" t="s">
        <v>938</v>
      </c>
      <c r="E629" s="37" t="n">
        <v>24436807</v>
      </c>
      <c r="F629" s="37" t="s">
        <v>140</v>
      </c>
      <c r="G629" s="37" t="s">
        <v>207</v>
      </c>
      <c r="H629" s="37" t="s">
        <v>167</v>
      </c>
      <c r="I629" s="37" t="n">
        <v>19.5</v>
      </c>
      <c r="J629" s="39" t="n">
        <v>359.99</v>
      </c>
      <c r="K629" s="37" t="s">
        <v>498</v>
      </c>
      <c r="L629" s="39" t="n">
        <v>77.09</v>
      </c>
      <c r="M629" s="39" t="n">
        <v>48.69</v>
      </c>
      <c r="N629" s="39" t="n">
        <f aca="false">J629*Resumo!$C$7</f>
        <v>0.71998</v>
      </c>
      <c r="O629" s="39" t="n">
        <f aca="false">J629*Resumo!$C$8</f>
        <v>0.71998</v>
      </c>
      <c r="P629" s="39" t="n">
        <f aca="false">Resumo!$C$10*CEILING(I629/100,1)</f>
        <v>1</v>
      </c>
      <c r="Q629" s="39" t="n">
        <f aca="false">Resumo!$C$9</f>
        <v>11.9</v>
      </c>
      <c r="R629" s="39" t="n">
        <f aca="false">SUM(M629:Q629)*Resumo!$C$11</f>
        <v>3.4666478</v>
      </c>
      <c r="S629" s="39" t="n">
        <f aca="false">SUM(M629:R629)</f>
        <v>66.4966078</v>
      </c>
      <c r="T629" s="39" t="n">
        <f aca="false">S629/(1-Resumo!$C$5)</f>
        <v>75.5643270454545</v>
      </c>
      <c r="U629" s="39" t="n">
        <v>57.47</v>
      </c>
      <c r="V629" s="39" t="n">
        <f aca="false">J629*Resumo!$B$6</f>
        <v>0.35999</v>
      </c>
      <c r="W629" s="39" t="n">
        <f aca="false">J629*Resumo!$B$7</f>
        <v>0.71998</v>
      </c>
      <c r="X629" s="39" t="n">
        <f aca="false">Resumo!$B$9</f>
        <v>1</v>
      </c>
      <c r="Y629" s="39" t="n">
        <f aca="false">Resumo!$B$10*CEILING(I629/100,1)</f>
        <v>4.5</v>
      </c>
      <c r="Z629" s="39" t="n">
        <f aca="false">Resumo!$B$12*CEILING(I629,1)</f>
        <v>1.2</v>
      </c>
      <c r="AA629" s="39" t="n">
        <f aca="false">Resumo!$B$13*CEILING(I629,1)</f>
        <v>9</v>
      </c>
      <c r="AB629" s="39" t="n">
        <f aca="false">SUM(U629:AA629)</f>
        <v>74.24997</v>
      </c>
      <c r="AC629" s="39" t="n">
        <f aca="false">AB629/(1-Resumo!$B$5)</f>
        <v>84.3749659090909</v>
      </c>
      <c r="AD629" s="39" t="n">
        <f aca="false">(AB629-AA629)/(1-Resumo!$B$5)</f>
        <v>74.1476931818182</v>
      </c>
      <c r="AE629" s="39" t="n">
        <f aca="false">AC629-T629</f>
        <v>8.81063886363639</v>
      </c>
      <c r="AF629" s="40" t="n">
        <f aca="false">AC629/T629-1</f>
        <v>0.116597860500187</v>
      </c>
      <c r="AG629" s="37" t="str">
        <f aca="false">IF(AC629&lt;T629,"SIM","NÃO")</f>
        <v>NÃO</v>
      </c>
      <c r="AH629" s="37" t="n">
        <v>10</v>
      </c>
      <c r="AI629" s="37" t="n">
        <v>7</v>
      </c>
      <c r="AJ629" s="37" t="s">
        <v>323</v>
      </c>
    </row>
    <row r="630" customFormat="false" ht="15" hidden="false" customHeight="false" outlineLevel="0" collapsed="false">
      <c r="A630" s="37" t="n">
        <v>372480676</v>
      </c>
      <c r="B630" s="38" t="n">
        <v>46240.5337384259</v>
      </c>
      <c r="C630" s="37" t="s">
        <v>320</v>
      </c>
      <c r="D630" s="37" t="s">
        <v>939</v>
      </c>
      <c r="E630" s="37" t="n">
        <v>21843110</v>
      </c>
      <c r="F630" s="37" t="s">
        <v>139</v>
      </c>
      <c r="G630" s="37" t="s">
        <v>198</v>
      </c>
      <c r="H630" s="37" t="s">
        <v>170</v>
      </c>
      <c r="I630" s="37" t="n">
        <v>45</v>
      </c>
      <c r="J630" s="39" t="n">
        <v>531.42</v>
      </c>
      <c r="K630" s="37" t="s">
        <v>322</v>
      </c>
      <c r="L630" s="39" t="n">
        <v>103.13</v>
      </c>
      <c r="M630" s="39" t="n">
        <v>71</v>
      </c>
      <c r="N630" s="39" t="n">
        <f aca="false">J630*Resumo!$C$7</f>
        <v>1.06284</v>
      </c>
      <c r="O630" s="39" t="n">
        <f aca="false">J630*Resumo!$C$8</f>
        <v>1.06284</v>
      </c>
      <c r="P630" s="39" t="n">
        <f aca="false">Resumo!$C$10*CEILING(I630/100,1)</f>
        <v>1</v>
      </c>
      <c r="Q630" s="39" t="n">
        <f aca="false">Resumo!$C$9</f>
        <v>11.9</v>
      </c>
      <c r="R630" s="39" t="n">
        <f aca="false">SUM(M630:Q630)*Resumo!$C$11</f>
        <v>4.7314124</v>
      </c>
      <c r="S630" s="39" t="n">
        <f aca="false">SUM(M630:R630)</f>
        <v>90.7570924</v>
      </c>
      <c r="T630" s="39" t="n">
        <f aca="false">S630/(1-Resumo!$C$5)</f>
        <v>103.133059545455</v>
      </c>
      <c r="U630" s="39" t="n">
        <v>93.97</v>
      </c>
      <c r="V630" s="39" t="n">
        <f aca="false">J630*Resumo!$B$6</f>
        <v>0.53142</v>
      </c>
      <c r="W630" s="39" t="n">
        <f aca="false">J630*Resumo!$B$7</f>
        <v>1.06284</v>
      </c>
      <c r="X630" s="39" t="n">
        <f aca="false">Resumo!$B$9</f>
        <v>1</v>
      </c>
      <c r="Y630" s="39" t="n">
        <f aca="false">Resumo!$B$10*CEILING(I630/100,1)</f>
        <v>4.5</v>
      </c>
      <c r="Z630" s="39" t="n">
        <f aca="false">Resumo!$B$12*CEILING(I630,1)</f>
        <v>2.7</v>
      </c>
      <c r="AA630" s="39" t="n">
        <f aca="false">Resumo!$B$13*CEILING(I630,1)</f>
        <v>20.25</v>
      </c>
      <c r="AB630" s="39" t="n">
        <f aca="false">SUM(U630:AA630)</f>
        <v>124.01426</v>
      </c>
      <c r="AC630" s="39" t="n">
        <f aca="false">AB630/(1-Resumo!$B$5)</f>
        <v>140.925295454545</v>
      </c>
      <c r="AD630" s="39" t="n">
        <f aca="false">(AB630-AA630)/(1-Resumo!$B$5)</f>
        <v>117.913931818182</v>
      </c>
      <c r="AE630" s="39" t="n">
        <f aca="false">AC630-T630</f>
        <v>37.7922359090909</v>
      </c>
      <c r="AF630" s="40" t="n">
        <f aca="false">AC630/T630-1</f>
        <v>0.366441527824882</v>
      </c>
      <c r="AG630" s="37" t="str">
        <f aca="false">IF(AC630&lt;T630,"SIM","NÃO")</f>
        <v>NÃO</v>
      </c>
      <c r="AH630" s="37" t="n">
        <v>8</v>
      </c>
      <c r="AI630" s="37" t="n">
        <v>5</v>
      </c>
      <c r="AJ630" s="37" t="s">
        <v>323</v>
      </c>
    </row>
    <row r="631" customFormat="false" ht="15" hidden="false" customHeight="false" outlineLevel="0" collapsed="false">
      <c r="A631" s="37" t="n">
        <v>372487991</v>
      </c>
      <c r="B631" s="38" t="n">
        <v>46240.5474884259</v>
      </c>
      <c r="C631" s="37" t="s">
        <v>325</v>
      </c>
      <c r="D631" s="37" t="s">
        <v>940</v>
      </c>
      <c r="E631" s="37" t="n">
        <v>21920120</v>
      </c>
      <c r="F631" s="37" t="s">
        <v>139</v>
      </c>
      <c r="G631" s="37" t="s">
        <v>198</v>
      </c>
      <c r="H631" s="37" t="s">
        <v>168</v>
      </c>
      <c r="I631" s="37" t="n">
        <v>31.9</v>
      </c>
      <c r="J631" s="39" t="n">
        <v>466.39</v>
      </c>
      <c r="K631" s="37" t="s">
        <v>322</v>
      </c>
      <c r="L631" s="39" t="n">
        <v>82.56</v>
      </c>
      <c r="M631" s="39" t="n">
        <v>54.1</v>
      </c>
      <c r="N631" s="39" t="n">
        <f aca="false">J631*Resumo!$C$7</f>
        <v>0.93278</v>
      </c>
      <c r="O631" s="39" t="n">
        <f aca="false">J631*Resumo!$C$8</f>
        <v>0.93278</v>
      </c>
      <c r="P631" s="39" t="n">
        <f aca="false">Resumo!$C$10*CEILING(I631/100,1)</f>
        <v>1</v>
      </c>
      <c r="Q631" s="39" t="n">
        <f aca="false">Resumo!$C$9</f>
        <v>11.9</v>
      </c>
      <c r="R631" s="39" t="n">
        <f aca="false">SUM(M631:Q631)*Resumo!$C$11</f>
        <v>3.7876058</v>
      </c>
      <c r="S631" s="39" t="n">
        <f aca="false">SUM(M631:R631)</f>
        <v>72.6531658</v>
      </c>
      <c r="T631" s="39" t="n">
        <f aca="false">S631/(1-Resumo!$C$5)</f>
        <v>82.5604156818182</v>
      </c>
      <c r="U631" s="39" t="n">
        <v>82.21</v>
      </c>
      <c r="V631" s="39" t="n">
        <f aca="false">J631*Resumo!$B$6</f>
        <v>0.46639</v>
      </c>
      <c r="W631" s="39" t="n">
        <f aca="false">J631*Resumo!$B$7</f>
        <v>0.93278</v>
      </c>
      <c r="X631" s="39" t="n">
        <f aca="false">Resumo!$B$9</f>
        <v>1</v>
      </c>
      <c r="Y631" s="39" t="n">
        <f aca="false">Resumo!$B$10*CEILING(I631/100,1)</f>
        <v>4.5</v>
      </c>
      <c r="Z631" s="39" t="n">
        <f aca="false">Resumo!$B$12*CEILING(I631,1)</f>
        <v>1.92</v>
      </c>
      <c r="AA631" s="39" t="n">
        <f aca="false">Resumo!$B$13*CEILING(I631,1)</f>
        <v>14.4</v>
      </c>
      <c r="AB631" s="39" t="n">
        <f aca="false">SUM(U631:AA631)</f>
        <v>105.42917</v>
      </c>
      <c r="AC631" s="39" t="n">
        <f aca="false">AB631/(1-Resumo!$B$5)</f>
        <v>119.805875</v>
      </c>
      <c r="AD631" s="39" t="n">
        <f aca="false">(AB631-AA631)/(1-Resumo!$B$5)</f>
        <v>103.442238636364</v>
      </c>
      <c r="AE631" s="39" t="n">
        <f aca="false">AC631-T631</f>
        <v>37.2454593181818</v>
      </c>
      <c r="AF631" s="40" t="n">
        <f aca="false">AC631/T631-1</f>
        <v>0.451129745539595</v>
      </c>
      <c r="AG631" s="37" t="str">
        <f aca="false">IF(AC631&lt;T631,"SIM","NÃO")</f>
        <v>NÃO</v>
      </c>
      <c r="AH631" s="37" t="n">
        <v>8</v>
      </c>
      <c r="AI631" s="37" t="n">
        <v>5</v>
      </c>
      <c r="AJ631" s="37" t="s">
        <v>323</v>
      </c>
    </row>
    <row r="632" customFormat="false" ht="15" hidden="false" customHeight="false" outlineLevel="0" collapsed="false">
      <c r="A632" s="37" t="n">
        <v>372489893</v>
      </c>
      <c r="B632" s="38" t="n">
        <v>46240.5514467593</v>
      </c>
      <c r="C632" s="37" t="s">
        <v>320</v>
      </c>
      <c r="D632" s="37" t="s">
        <v>941</v>
      </c>
      <c r="E632" s="37" t="n">
        <v>21230354</v>
      </c>
      <c r="F632" s="37" t="s">
        <v>139</v>
      </c>
      <c r="G632" s="37" t="s">
        <v>198</v>
      </c>
      <c r="H632" s="37" t="s">
        <v>168</v>
      </c>
      <c r="I632" s="37" t="n">
        <v>23.4</v>
      </c>
      <c r="J632" s="39" t="n">
        <v>379.99</v>
      </c>
      <c r="K632" s="37" t="s">
        <v>322</v>
      </c>
      <c r="L632" s="39" t="n">
        <v>82.15</v>
      </c>
      <c r="M632" s="39" t="n">
        <v>54.1</v>
      </c>
      <c r="N632" s="39" t="n">
        <f aca="false">J632*Resumo!$C$7</f>
        <v>0.75998</v>
      </c>
      <c r="O632" s="39" t="n">
        <f aca="false">J632*Resumo!$C$8</f>
        <v>0.75998</v>
      </c>
      <c r="P632" s="39" t="n">
        <f aca="false">Resumo!$C$10*CEILING(I632/100,1)</f>
        <v>1</v>
      </c>
      <c r="Q632" s="39" t="n">
        <f aca="false">Resumo!$C$9</f>
        <v>11.9</v>
      </c>
      <c r="R632" s="39" t="n">
        <f aca="false">SUM(M632:Q632)*Resumo!$C$11</f>
        <v>3.7685978</v>
      </c>
      <c r="S632" s="39" t="n">
        <f aca="false">SUM(M632:R632)</f>
        <v>72.2885578</v>
      </c>
      <c r="T632" s="39" t="n">
        <f aca="false">S632/(1-Resumo!$C$5)</f>
        <v>82.1460884090909</v>
      </c>
      <c r="U632" s="39" t="n">
        <v>82.21</v>
      </c>
      <c r="V632" s="39" t="n">
        <f aca="false">J632*Resumo!$B$6</f>
        <v>0.37999</v>
      </c>
      <c r="W632" s="39" t="n">
        <f aca="false">J632*Resumo!$B$7</f>
        <v>0.75998</v>
      </c>
      <c r="X632" s="39" t="n">
        <f aca="false">Resumo!$B$9</f>
        <v>1</v>
      </c>
      <c r="Y632" s="39" t="n">
        <f aca="false">Resumo!$B$10*CEILING(I632/100,1)</f>
        <v>4.5</v>
      </c>
      <c r="Z632" s="39" t="n">
        <f aca="false">Resumo!$B$12*CEILING(I632,1)</f>
        <v>1.44</v>
      </c>
      <c r="AA632" s="39" t="n">
        <f aca="false">Resumo!$B$13*CEILING(I632,1)</f>
        <v>10.8</v>
      </c>
      <c r="AB632" s="39" t="n">
        <f aca="false">SUM(U632:AA632)</f>
        <v>101.08997</v>
      </c>
      <c r="AC632" s="39" t="n">
        <f aca="false">AB632/(1-Resumo!$B$5)</f>
        <v>114.874965909091</v>
      </c>
      <c r="AD632" s="39" t="n">
        <f aca="false">(AB632-AA632)/(1-Resumo!$B$5)</f>
        <v>102.602238636364</v>
      </c>
      <c r="AE632" s="39" t="n">
        <f aca="false">AC632-T632</f>
        <v>32.7288775</v>
      </c>
      <c r="AF632" s="40" t="n">
        <f aca="false">AC632/T632-1</f>
        <v>0.398422835875141</v>
      </c>
      <c r="AG632" s="37" t="str">
        <f aca="false">IF(AC632&lt;T632,"SIM","NÃO")</f>
        <v>NÃO</v>
      </c>
      <c r="AH632" s="37" t="n">
        <v>8</v>
      </c>
      <c r="AI632" s="37" t="n">
        <v>5</v>
      </c>
      <c r="AJ632" s="37" t="s">
        <v>323</v>
      </c>
    </row>
    <row r="633" customFormat="false" ht="15" hidden="false" customHeight="false" outlineLevel="0" collapsed="false">
      <c r="A633" s="37" t="n">
        <v>372491039</v>
      </c>
      <c r="B633" s="38" t="n">
        <v>46240.555150463</v>
      </c>
      <c r="C633" s="37" t="s">
        <v>355</v>
      </c>
      <c r="D633" s="37" t="s">
        <v>942</v>
      </c>
      <c r="E633" s="37" t="n">
        <v>20766721</v>
      </c>
      <c r="F633" s="37" t="s">
        <v>139</v>
      </c>
      <c r="G633" s="37" t="s">
        <v>198</v>
      </c>
      <c r="H633" s="37" t="s">
        <v>171</v>
      </c>
      <c r="I633" s="37" t="n">
        <v>52.3</v>
      </c>
      <c r="J633" s="39" t="n">
        <v>536.93</v>
      </c>
      <c r="K633" s="37" t="s">
        <v>322</v>
      </c>
      <c r="L633" s="39" t="n">
        <v>113.72</v>
      </c>
      <c r="M633" s="39" t="n">
        <v>79.81</v>
      </c>
      <c r="N633" s="39" t="n">
        <f aca="false">J633*Resumo!$C$7</f>
        <v>1.07386</v>
      </c>
      <c r="O633" s="39" t="n">
        <f aca="false">J633*Resumo!$C$8</f>
        <v>1.07386</v>
      </c>
      <c r="P633" s="39" t="n">
        <f aca="false">Resumo!$C$10*CEILING(I633/100,1)</f>
        <v>1</v>
      </c>
      <c r="Q633" s="39" t="n">
        <f aca="false">Resumo!$C$9</f>
        <v>11.9</v>
      </c>
      <c r="R633" s="39" t="n">
        <f aca="false">SUM(M633:Q633)*Resumo!$C$11</f>
        <v>5.2171746</v>
      </c>
      <c r="S633" s="39" t="n">
        <f aca="false">SUM(M633:R633)</f>
        <v>100.0748946</v>
      </c>
      <c r="T633" s="39" t="n">
        <f aca="false">S633/(1-Resumo!$C$5)</f>
        <v>113.721471136364</v>
      </c>
      <c r="U633" s="39" t="n">
        <v>112.3</v>
      </c>
      <c r="V633" s="39" t="n">
        <f aca="false">J633*Resumo!$B$6</f>
        <v>0.53693</v>
      </c>
      <c r="W633" s="39" t="n">
        <f aca="false">J633*Resumo!$B$7</f>
        <v>1.07386</v>
      </c>
      <c r="X633" s="39" t="n">
        <f aca="false">Resumo!$B$9</f>
        <v>1</v>
      </c>
      <c r="Y633" s="39" t="n">
        <f aca="false">Resumo!$B$10*CEILING(I633/100,1)</f>
        <v>4.5</v>
      </c>
      <c r="Z633" s="39" t="n">
        <f aca="false">Resumo!$B$12*CEILING(I633,1)</f>
        <v>3.18</v>
      </c>
      <c r="AA633" s="39" t="n">
        <f aca="false">Resumo!$B$13*CEILING(I633,1)</f>
        <v>23.85</v>
      </c>
      <c r="AB633" s="39" t="n">
        <f aca="false">SUM(U633:AA633)</f>
        <v>146.44079</v>
      </c>
      <c r="AC633" s="39" t="n">
        <f aca="false">AB633/(1-Resumo!$B$5)</f>
        <v>166.409988636364</v>
      </c>
      <c r="AD633" s="39" t="n">
        <f aca="false">(AB633-AA633)/(1-Resumo!$B$5)</f>
        <v>139.307715909091</v>
      </c>
      <c r="AE633" s="39" t="n">
        <f aca="false">AC633-T633</f>
        <v>52.6885175</v>
      </c>
      <c r="AF633" s="40" t="n">
        <f aca="false">AC633/T633-1</f>
        <v>0.463311958362033</v>
      </c>
      <c r="AG633" s="37" t="str">
        <f aca="false">IF(AC633&lt;T633,"SIM","NÃO")</f>
        <v>NÃO</v>
      </c>
      <c r="AH633" s="37" t="n">
        <v>8</v>
      </c>
      <c r="AI633" s="37" t="n">
        <v>5</v>
      </c>
      <c r="AJ633" s="37" t="s">
        <v>323</v>
      </c>
    </row>
    <row r="634" customFormat="false" ht="15" hidden="false" customHeight="false" outlineLevel="0" collapsed="false">
      <c r="A634" s="37" t="n">
        <v>372499690</v>
      </c>
      <c r="B634" s="38" t="n">
        <v>46240.5702314815</v>
      </c>
      <c r="C634" s="37" t="s">
        <v>359</v>
      </c>
      <c r="D634" s="37" t="s">
        <v>943</v>
      </c>
      <c r="E634" s="37" t="n">
        <v>21775410</v>
      </c>
      <c r="F634" s="37" t="s">
        <v>139</v>
      </c>
      <c r="G634" s="37" t="s">
        <v>198</v>
      </c>
      <c r="H634" s="37" t="s">
        <v>167</v>
      </c>
      <c r="I634" s="37" t="n">
        <v>19.5</v>
      </c>
      <c r="J634" s="39" t="n">
        <v>335.99</v>
      </c>
      <c r="K634" s="37" t="s">
        <v>322</v>
      </c>
      <c r="L634" s="39" t="n">
        <v>64.82</v>
      </c>
      <c r="M634" s="39" t="n">
        <v>39.83</v>
      </c>
      <c r="N634" s="39" t="n">
        <f aca="false">J634*Resumo!$C$7</f>
        <v>0.67198</v>
      </c>
      <c r="O634" s="39" t="n">
        <f aca="false">J634*Resumo!$C$8</f>
        <v>0.67198</v>
      </c>
      <c r="P634" s="39" t="n">
        <f aca="false">Resumo!$C$10*CEILING(I634/100,1)</f>
        <v>1</v>
      </c>
      <c r="Q634" s="39" t="n">
        <f aca="false">Resumo!$C$9</f>
        <v>11.9</v>
      </c>
      <c r="R634" s="39" t="n">
        <f aca="false">SUM(M634:Q634)*Resumo!$C$11</f>
        <v>2.9740678</v>
      </c>
      <c r="S634" s="39" t="n">
        <f aca="false">SUM(M634:R634)</f>
        <v>57.0480278</v>
      </c>
      <c r="T634" s="39" t="n">
        <f aca="false">S634/(1-Resumo!$C$5)</f>
        <v>64.8273043181818</v>
      </c>
      <c r="U634" s="39" t="n">
        <v>46.98</v>
      </c>
      <c r="V634" s="39" t="n">
        <f aca="false">J634*Resumo!$B$6</f>
        <v>0.33599</v>
      </c>
      <c r="W634" s="39" t="n">
        <f aca="false">J634*Resumo!$B$7</f>
        <v>0.67198</v>
      </c>
      <c r="X634" s="39" t="n">
        <f aca="false">Resumo!$B$9</f>
        <v>1</v>
      </c>
      <c r="Y634" s="39" t="n">
        <f aca="false">Resumo!$B$10*CEILING(I634/100,1)</f>
        <v>4.5</v>
      </c>
      <c r="Z634" s="39" t="n">
        <f aca="false">Resumo!$B$12*CEILING(I634,1)</f>
        <v>1.2</v>
      </c>
      <c r="AA634" s="39" t="n">
        <f aca="false">Resumo!$B$13*CEILING(I634,1)</f>
        <v>9</v>
      </c>
      <c r="AB634" s="39" t="n">
        <f aca="false">SUM(U634:AA634)</f>
        <v>63.68797</v>
      </c>
      <c r="AC634" s="39" t="n">
        <f aca="false">AB634/(1-Resumo!$B$5)</f>
        <v>72.3726931818182</v>
      </c>
      <c r="AD634" s="39" t="n">
        <f aca="false">(AB634-AA634)/(1-Resumo!$B$5)</f>
        <v>62.1454204545455</v>
      </c>
      <c r="AE634" s="39" t="n">
        <f aca="false">AC634-T634</f>
        <v>7.54538886363636</v>
      </c>
      <c r="AF634" s="40" t="n">
        <f aca="false">AC634/T634-1</f>
        <v>0.116392142832324</v>
      </c>
      <c r="AG634" s="37" t="str">
        <f aca="false">IF(AC634&lt;T634,"SIM","NÃO")</f>
        <v>NÃO</v>
      </c>
      <c r="AH634" s="37" t="n">
        <v>8</v>
      </c>
      <c r="AI634" s="37" t="n">
        <v>5</v>
      </c>
      <c r="AJ634" s="37" t="s">
        <v>323</v>
      </c>
    </row>
    <row r="635" customFormat="false" ht="15" hidden="false" customHeight="false" outlineLevel="0" collapsed="false">
      <c r="A635" s="37" t="n">
        <v>372499857</v>
      </c>
      <c r="B635" s="38" t="n">
        <v>46240.5704050926</v>
      </c>
      <c r="C635" s="37" t="s">
        <v>325</v>
      </c>
      <c r="D635" s="37" t="s">
        <v>944</v>
      </c>
      <c r="E635" s="37" t="n">
        <v>25261470</v>
      </c>
      <c r="F635" s="37" t="s">
        <v>141</v>
      </c>
      <c r="G635" s="37" t="s">
        <v>207</v>
      </c>
      <c r="H635" s="37" t="s">
        <v>171</v>
      </c>
      <c r="I635" s="37" t="n">
        <v>52.3</v>
      </c>
      <c r="J635" s="39" t="n">
        <v>630</v>
      </c>
      <c r="K635" s="37" t="s">
        <v>322</v>
      </c>
      <c r="L635" s="39" t="n">
        <v>128.31</v>
      </c>
      <c r="M635" s="39" t="n">
        <v>91.6</v>
      </c>
      <c r="N635" s="39" t="n">
        <f aca="false">J635*Resumo!$C$7</f>
        <v>1.26</v>
      </c>
      <c r="O635" s="39" t="n">
        <f aca="false">J635*Resumo!$C$8</f>
        <v>1.26</v>
      </c>
      <c r="P635" s="39" t="n">
        <f aca="false">Resumo!$C$10*CEILING(I635/100,1)</f>
        <v>1</v>
      </c>
      <c r="Q635" s="39" t="n">
        <f aca="false">Resumo!$C$9</f>
        <v>11.9</v>
      </c>
      <c r="R635" s="39" t="n">
        <f aca="false">SUM(M635:Q635)*Resumo!$C$11</f>
        <v>5.8861</v>
      </c>
      <c r="S635" s="39" t="n">
        <f aca="false">SUM(M635:R635)</f>
        <v>112.9061</v>
      </c>
      <c r="T635" s="39" t="n">
        <f aca="false">S635/(1-Resumo!$C$5)</f>
        <v>128.302386363636</v>
      </c>
      <c r="U635" s="39" t="n">
        <v>112.3</v>
      </c>
      <c r="V635" s="39" t="n">
        <f aca="false">J635*Resumo!$B$6</f>
        <v>0.63</v>
      </c>
      <c r="W635" s="39" t="n">
        <f aca="false">J635*Resumo!$B$7</f>
        <v>1.26</v>
      </c>
      <c r="X635" s="39" t="n">
        <f aca="false">Resumo!$B$9</f>
        <v>1</v>
      </c>
      <c r="Y635" s="39" t="n">
        <f aca="false">Resumo!$B$10*CEILING(I635/100,1)</f>
        <v>4.5</v>
      </c>
      <c r="Z635" s="39" t="n">
        <f aca="false">Resumo!$B$12*CEILING(I635,1)</f>
        <v>3.18</v>
      </c>
      <c r="AA635" s="39" t="n">
        <f aca="false">Resumo!$B$13*CEILING(I635,1)</f>
        <v>23.85</v>
      </c>
      <c r="AB635" s="39" t="n">
        <f aca="false">SUM(U635:AA635)</f>
        <v>146.72</v>
      </c>
      <c r="AC635" s="39" t="n">
        <f aca="false">AB635/(1-Resumo!$B$5)</f>
        <v>166.727272727273</v>
      </c>
      <c r="AD635" s="39" t="n">
        <f aca="false">(AB635-AA635)/(1-Resumo!$B$5)</f>
        <v>139.625</v>
      </c>
      <c r="AE635" s="39" t="n">
        <f aca="false">AC635-T635</f>
        <v>38.4248863636364</v>
      </c>
      <c r="AF635" s="40" t="n">
        <f aca="false">AC635/T635-1</f>
        <v>0.299486918775868</v>
      </c>
      <c r="AG635" s="37" t="str">
        <f aca="false">IF(AC635&lt;T635,"SIM","NÃO")</f>
        <v>NÃO</v>
      </c>
      <c r="AH635" s="37" t="n">
        <v>10</v>
      </c>
      <c r="AI635" s="37" t="n">
        <v>5</v>
      </c>
      <c r="AJ635" s="37" t="s">
        <v>323</v>
      </c>
    </row>
    <row r="636" customFormat="false" ht="15" hidden="false" customHeight="false" outlineLevel="0" collapsed="false">
      <c r="A636" s="37" t="n">
        <v>372508302</v>
      </c>
      <c r="B636" s="38" t="n">
        <v>46240.5867476852</v>
      </c>
      <c r="C636" s="37" t="s">
        <v>320</v>
      </c>
      <c r="D636" s="37" t="s">
        <v>945</v>
      </c>
      <c r="E636" s="37" t="n">
        <v>21760001</v>
      </c>
      <c r="F636" s="37" t="s">
        <v>139</v>
      </c>
      <c r="G636" s="37" t="s">
        <v>198</v>
      </c>
      <c r="H636" s="37" t="s">
        <v>168</v>
      </c>
      <c r="I636" s="37" t="n">
        <v>27.4</v>
      </c>
      <c r="J636" s="39" t="n">
        <v>315.99</v>
      </c>
      <c r="K636" s="37" t="s">
        <v>322</v>
      </c>
      <c r="L636" s="39" t="n">
        <v>81.83</v>
      </c>
      <c r="M636" s="39" t="n">
        <v>54.1</v>
      </c>
      <c r="N636" s="39" t="n">
        <f aca="false">J636*Resumo!$C$7</f>
        <v>0.63198</v>
      </c>
      <c r="O636" s="39" t="n">
        <f aca="false">J636*Resumo!$C$8</f>
        <v>0.63198</v>
      </c>
      <c r="P636" s="39" t="n">
        <f aca="false">Resumo!$C$10*CEILING(I636/100,1)</f>
        <v>1</v>
      </c>
      <c r="Q636" s="39" t="n">
        <f aca="false">Resumo!$C$9</f>
        <v>11.9</v>
      </c>
      <c r="R636" s="39" t="n">
        <f aca="false">SUM(M636:Q636)*Resumo!$C$11</f>
        <v>3.7545178</v>
      </c>
      <c r="S636" s="39" t="n">
        <f aca="false">SUM(M636:R636)</f>
        <v>72.0184778</v>
      </c>
      <c r="T636" s="39" t="n">
        <f aca="false">S636/(1-Resumo!$C$5)</f>
        <v>81.8391793181818</v>
      </c>
      <c r="U636" s="39" t="n">
        <v>82.21</v>
      </c>
      <c r="V636" s="39" t="n">
        <f aca="false">J636*Resumo!$B$6</f>
        <v>0.31599</v>
      </c>
      <c r="W636" s="39" t="n">
        <f aca="false">J636*Resumo!$B$7</f>
        <v>0.63198</v>
      </c>
      <c r="X636" s="39" t="n">
        <f aca="false">Resumo!$B$9</f>
        <v>1</v>
      </c>
      <c r="Y636" s="39" t="n">
        <f aca="false">Resumo!$B$10*CEILING(I636/100,1)</f>
        <v>4.5</v>
      </c>
      <c r="Z636" s="39" t="n">
        <f aca="false">Resumo!$B$12*CEILING(I636,1)</f>
        <v>1.68</v>
      </c>
      <c r="AA636" s="39" t="n">
        <f aca="false">Resumo!$B$13*CEILING(I636,1)</f>
        <v>12.6</v>
      </c>
      <c r="AB636" s="39" t="n">
        <f aca="false">SUM(U636:AA636)</f>
        <v>102.93797</v>
      </c>
      <c r="AC636" s="39" t="n">
        <f aca="false">AB636/(1-Resumo!$B$5)</f>
        <v>116.974965909091</v>
      </c>
      <c r="AD636" s="39" t="n">
        <f aca="false">(AB636-AA636)/(1-Resumo!$B$5)</f>
        <v>102.656784090909</v>
      </c>
      <c r="AE636" s="39" t="n">
        <f aca="false">AC636-T636</f>
        <v>35.1357865909091</v>
      </c>
      <c r="AF636" s="40" t="n">
        <f aca="false">AC636/T636-1</f>
        <v>0.429327210800892</v>
      </c>
      <c r="AG636" s="37" t="str">
        <f aca="false">IF(AC636&lt;T636,"SIM","NÃO")</f>
        <v>NÃO</v>
      </c>
      <c r="AH636" s="37" t="n">
        <v>8</v>
      </c>
      <c r="AI636" s="37" t="n">
        <v>5</v>
      </c>
      <c r="AJ636" s="37" t="s">
        <v>323</v>
      </c>
    </row>
    <row r="637" customFormat="false" ht="15" hidden="false" customHeight="false" outlineLevel="0" collapsed="false">
      <c r="A637" s="37" t="n">
        <v>372520156</v>
      </c>
      <c r="B637" s="38" t="n">
        <v>46240.6100115741</v>
      </c>
      <c r="C637" s="37" t="s">
        <v>320</v>
      </c>
      <c r="D637" s="37" t="s">
        <v>946</v>
      </c>
      <c r="E637" s="37" t="n">
        <v>26381411</v>
      </c>
      <c r="F637" s="37" t="s">
        <v>222</v>
      </c>
      <c r="G637" s="37" t="s">
        <v>207</v>
      </c>
      <c r="H637" s="37" t="s">
        <v>173</v>
      </c>
      <c r="I637" s="37" t="n">
        <v>73</v>
      </c>
      <c r="J637" s="39" t="n">
        <v>827.99</v>
      </c>
      <c r="K637" s="37" t="s">
        <v>498</v>
      </c>
      <c r="L637" s="39" t="n">
        <v>151.6</v>
      </c>
      <c r="M637" s="39" t="n">
        <v>110.55</v>
      </c>
      <c r="N637" s="39" t="n">
        <f aca="false">J637*Resumo!$C$7</f>
        <v>1.65598</v>
      </c>
      <c r="O637" s="39" t="n">
        <f aca="false">J637*Resumo!$C$8</f>
        <v>1.65598</v>
      </c>
      <c r="P637" s="39" t="n">
        <f aca="false">Resumo!$C$10*CEILING(I637/100,1)</f>
        <v>1</v>
      </c>
      <c r="Q637" s="39" t="n">
        <f aca="false">Resumo!$C$9</f>
        <v>11.9</v>
      </c>
      <c r="R637" s="39" t="n">
        <f aca="false">SUM(M637:Q637)*Resumo!$C$11</f>
        <v>6.9719078</v>
      </c>
      <c r="S637" s="39" t="n">
        <f aca="false">SUM(M637:R637)</f>
        <v>133.7338678</v>
      </c>
      <c r="T637" s="39" t="n">
        <f aca="false">S637/(1-Resumo!$C$5)</f>
        <v>151.970304318182</v>
      </c>
      <c r="U637" s="39" t="n">
        <v>134.39</v>
      </c>
      <c r="V637" s="39" t="n">
        <f aca="false">J637*Resumo!$B$6</f>
        <v>0.82799</v>
      </c>
      <c r="W637" s="39" t="n">
        <f aca="false">J637*Resumo!$B$7</f>
        <v>1.65598</v>
      </c>
      <c r="X637" s="39" t="n">
        <f aca="false">Resumo!$B$9</f>
        <v>1</v>
      </c>
      <c r="Y637" s="39" t="n">
        <f aca="false">Resumo!$B$10*CEILING(I637/100,1)</f>
        <v>4.5</v>
      </c>
      <c r="Z637" s="39" t="n">
        <f aca="false">Resumo!$B$12*CEILING(I637,1)</f>
        <v>4.38</v>
      </c>
      <c r="AA637" s="39" t="n">
        <f aca="false">Resumo!$B$13*CEILING(I637,1)</f>
        <v>32.85</v>
      </c>
      <c r="AB637" s="39" t="n">
        <f aca="false">SUM(U637:AA637)</f>
        <v>179.60397</v>
      </c>
      <c r="AC637" s="39" t="n">
        <f aca="false">AB637/(1-Resumo!$B$5)</f>
        <v>204.095420454545</v>
      </c>
      <c r="AD637" s="39" t="n">
        <f aca="false">(AB637-AA637)/(1-Resumo!$B$5)</f>
        <v>166.765875</v>
      </c>
      <c r="AE637" s="39" t="n">
        <f aca="false">AC637-T637</f>
        <v>52.1251161363636</v>
      </c>
      <c r="AF637" s="40" t="n">
        <f aca="false">AC637/T637-1</f>
        <v>0.342995405386757</v>
      </c>
      <c r="AG637" s="37" t="str">
        <f aca="false">IF(AC637&lt;T637,"SIM","NÃO")</f>
        <v>NÃO</v>
      </c>
      <c r="AH637" s="37" t="n">
        <v>10</v>
      </c>
      <c r="AI637" s="37" t="n">
        <v>5</v>
      </c>
      <c r="AJ637" s="37" t="s">
        <v>327</v>
      </c>
    </row>
    <row r="638" customFormat="false" ht="15" hidden="false" customHeight="false" outlineLevel="0" collapsed="false">
      <c r="A638" s="37" t="n">
        <v>372530993</v>
      </c>
      <c r="B638" s="38" t="n">
        <v>46240.6322569445</v>
      </c>
      <c r="C638" s="37" t="s">
        <v>341</v>
      </c>
      <c r="D638" s="37" t="s">
        <v>947</v>
      </c>
      <c r="E638" s="37" t="n">
        <v>28990051</v>
      </c>
      <c r="F638" s="37" t="s">
        <v>281</v>
      </c>
      <c r="G638" s="37" t="s">
        <v>201</v>
      </c>
      <c r="H638" s="37" t="s">
        <v>168</v>
      </c>
      <c r="I638" s="37" t="n">
        <v>22.6</v>
      </c>
      <c r="J638" s="39" t="n">
        <v>475.99</v>
      </c>
      <c r="K638" s="37" t="s">
        <v>498</v>
      </c>
      <c r="L638" s="39" t="n">
        <v>105.2</v>
      </c>
      <c r="M638" s="39" t="n">
        <v>76.5</v>
      </c>
      <c r="N638" s="39" t="n">
        <f aca="false">J638*Resumo!$C$7</f>
        <v>0.95198</v>
      </c>
      <c r="O638" s="39" t="n">
        <f aca="false">J638*Resumo!$C$8</f>
        <v>0.95198</v>
      </c>
      <c r="P638" s="39" t="n">
        <f aca="false">Resumo!$C$10*CEILING(I638/100,1)</f>
        <v>1</v>
      </c>
      <c r="Q638" s="39" t="n">
        <f aca="false">Resumo!$C$9</f>
        <v>11.9</v>
      </c>
      <c r="R638" s="39" t="n">
        <f aca="false">SUM(M638:Q638)*Resumo!$C$11</f>
        <v>5.0217178</v>
      </c>
      <c r="S638" s="39" t="n">
        <f aca="false">SUM(M638:R638)</f>
        <v>96.3256778</v>
      </c>
      <c r="T638" s="39" t="n">
        <f aca="false">S638/(1-Resumo!$C$5)</f>
        <v>109.4609975</v>
      </c>
      <c r="U638" s="39" t="n">
        <v>114.95</v>
      </c>
      <c r="V638" s="39" t="n">
        <f aca="false">J638*Resumo!$B$6</f>
        <v>0.47599</v>
      </c>
      <c r="W638" s="39" t="n">
        <f aca="false">J638*Resumo!$B$7</f>
        <v>0.95198</v>
      </c>
      <c r="X638" s="39" t="n">
        <f aca="false">Resumo!$B$9</f>
        <v>1</v>
      </c>
      <c r="Y638" s="39" t="n">
        <f aca="false">Resumo!$B$10*CEILING(I638/100,1)</f>
        <v>4.5</v>
      </c>
      <c r="Z638" s="39" t="n">
        <f aca="false">Resumo!$B$12*CEILING(I638,1)</f>
        <v>1.38</v>
      </c>
      <c r="AA638" s="39" t="n">
        <f aca="false">Resumo!$B$13*CEILING(I638,1)</f>
        <v>10.35</v>
      </c>
      <c r="AB638" s="39" t="n">
        <f aca="false">SUM(U638:AA638)</f>
        <v>133.60797</v>
      </c>
      <c r="AC638" s="39" t="n">
        <f aca="false">AB638/(1-Resumo!$B$5)</f>
        <v>151.827238636364</v>
      </c>
      <c r="AD638" s="39" t="n">
        <f aca="false">(AB638-AA638)/(1-Resumo!$B$5)</f>
        <v>140.065875</v>
      </c>
      <c r="AE638" s="39" t="n">
        <f aca="false">AC638-T638</f>
        <v>42.3662411363636</v>
      </c>
      <c r="AF638" s="40" t="n">
        <f aca="false">AC638/T638-1</f>
        <v>0.387044171933146</v>
      </c>
      <c r="AG638" s="37" t="str">
        <f aca="false">IF(AC638&lt;T638,"SIM","NÃO")</f>
        <v>NÃO</v>
      </c>
      <c r="AH638" s="37" t="n">
        <v>13</v>
      </c>
      <c r="AI638" s="37" t="n">
        <v>10</v>
      </c>
      <c r="AJ638" s="37" t="s">
        <v>327</v>
      </c>
    </row>
    <row r="639" customFormat="false" ht="15" hidden="false" customHeight="false" outlineLevel="0" collapsed="false">
      <c r="A639" s="37" t="n">
        <v>372539516</v>
      </c>
      <c r="B639" s="38" t="n">
        <v>46240.6406481482</v>
      </c>
      <c r="C639" s="37" t="s">
        <v>320</v>
      </c>
      <c r="D639" s="37" t="s">
        <v>948</v>
      </c>
      <c r="E639" s="37" t="n">
        <v>24325020</v>
      </c>
      <c r="F639" s="37" t="s">
        <v>143</v>
      </c>
      <c r="G639" s="37" t="s">
        <v>207</v>
      </c>
      <c r="H639" s="37" t="s">
        <v>176</v>
      </c>
      <c r="I639" s="37" t="n">
        <v>124.2</v>
      </c>
      <c r="J639" s="39" t="n">
        <v>1558.09</v>
      </c>
      <c r="K639" s="37" t="s">
        <v>322</v>
      </c>
      <c r="L639" s="39" t="n">
        <v>244.08</v>
      </c>
      <c r="M639" s="39" t="n">
        <v>183.45</v>
      </c>
      <c r="N639" s="39" t="n">
        <f aca="false">J639*Resumo!$C$7</f>
        <v>3.11618</v>
      </c>
      <c r="O639" s="39" t="n">
        <f aca="false">J639*Resumo!$C$8</f>
        <v>3.11618</v>
      </c>
      <c r="P639" s="39" t="n">
        <f aca="false">Resumo!$C$10*CEILING(I639/100,1)</f>
        <v>2</v>
      </c>
      <c r="Q639" s="39" t="n">
        <f aca="false">Resumo!$C$9</f>
        <v>11.9</v>
      </c>
      <c r="R639" s="39" t="n">
        <f aca="false">SUM(M639:Q639)*Resumo!$C$11</f>
        <v>11.1970298</v>
      </c>
      <c r="S639" s="39" t="n">
        <f aca="false">SUM(M639:R639)</f>
        <v>214.7793898</v>
      </c>
      <c r="T639" s="39" t="n">
        <f aca="false">S639/(1-Resumo!$C$5)</f>
        <v>244.067488409091</v>
      </c>
      <c r="U639" s="39" t="n">
        <v>249.03</v>
      </c>
      <c r="V639" s="39" t="n">
        <f aca="false">J639*Resumo!$B$6</f>
        <v>1.55809</v>
      </c>
      <c r="W639" s="39" t="n">
        <f aca="false">J639*Resumo!$B$7</f>
        <v>3.11618</v>
      </c>
      <c r="X639" s="39" t="n">
        <f aca="false">Resumo!$B$9</f>
        <v>1</v>
      </c>
      <c r="Y639" s="39" t="n">
        <f aca="false">Resumo!$B$10*CEILING(I639/100,1)</f>
        <v>9</v>
      </c>
      <c r="Z639" s="39" t="n">
        <f aca="false">Resumo!$B$12*CEILING(I639,1)</f>
        <v>7.5</v>
      </c>
      <c r="AA639" s="39" t="n">
        <f aca="false">Resumo!$B$13*CEILING(I639,1)</f>
        <v>56.25</v>
      </c>
      <c r="AB639" s="39" t="n">
        <f aca="false">SUM(U639:AA639)</f>
        <v>327.45427</v>
      </c>
      <c r="AC639" s="39" t="n">
        <f aca="false">AB639/(1-Resumo!$B$5)</f>
        <v>372.107125</v>
      </c>
      <c r="AD639" s="39" t="n">
        <f aca="false">(AB639-AA639)/(1-Resumo!$B$5)</f>
        <v>308.186670454545</v>
      </c>
      <c r="AE639" s="39" t="n">
        <f aca="false">AC639-T639</f>
        <v>128.039636590909</v>
      </c>
      <c r="AF639" s="40" t="n">
        <f aca="false">AC639/T639-1</f>
        <v>0.524607506823264</v>
      </c>
      <c r="AG639" s="37" t="str">
        <f aca="false">IF(AC639&lt;T639,"SIM","NÃO")</f>
        <v>NÃO</v>
      </c>
      <c r="AH639" s="37" t="n">
        <v>10</v>
      </c>
      <c r="AI639" s="37" t="n">
        <v>7</v>
      </c>
      <c r="AJ639" s="37" t="s">
        <v>323</v>
      </c>
    </row>
    <row r="640" customFormat="false" ht="15" hidden="false" customHeight="false" outlineLevel="0" collapsed="false">
      <c r="A640" s="37" t="n">
        <v>372547265</v>
      </c>
      <c r="B640" s="38" t="n">
        <v>46240.655462963</v>
      </c>
      <c r="C640" s="37" t="s">
        <v>325</v>
      </c>
      <c r="D640" s="37" t="s">
        <v>949</v>
      </c>
      <c r="E640" s="37" t="n">
        <v>28972872</v>
      </c>
      <c r="F640" s="37" t="s">
        <v>153</v>
      </c>
      <c r="G640" s="37" t="s">
        <v>201</v>
      </c>
      <c r="H640" s="37" t="s">
        <v>169</v>
      </c>
      <c r="I640" s="37" t="n">
        <v>35.4</v>
      </c>
      <c r="J640" s="39" t="n">
        <v>466.06</v>
      </c>
      <c r="K640" s="37" t="s">
        <v>498</v>
      </c>
      <c r="L640" s="39" t="n">
        <v>122.42</v>
      </c>
      <c r="M640" s="39" t="n">
        <v>87.4</v>
      </c>
      <c r="N640" s="39" t="n">
        <f aca="false">J640*Resumo!$C$7</f>
        <v>0.93212</v>
      </c>
      <c r="O640" s="39" t="n">
        <f aca="false">J640*Resumo!$C$8</f>
        <v>0.93212</v>
      </c>
      <c r="P640" s="39" t="n">
        <f aca="false">Resumo!$C$10*CEILING(I640/100,1)</f>
        <v>1</v>
      </c>
      <c r="Q640" s="39" t="n">
        <f aca="false">Resumo!$C$9</f>
        <v>11.9</v>
      </c>
      <c r="R640" s="39" t="n">
        <f aca="false">SUM(M640:Q640)*Resumo!$C$11</f>
        <v>5.6190332</v>
      </c>
      <c r="S640" s="39" t="n">
        <f aca="false">SUM(M640:R640)</f>
        <v>107.7832732</v>
      </c>
      <c r="T640" s="39" t="n">
        <f aca="false">S640/(1-Resumo!$C$5)</f>
        <v>122.480992272727</v>
      </c>
      <c r="U640" s="39" t="n">
        <v>124.38</v>
      </c>
      <c r="V640" s="39" t="n">
        <f aca="false">J640*Resumo!$B$6</f>
        <v>0.46606</v>
      </c>
      <c r="W640" s="39" t="n">
        <f aca="false">J640*Resumo!$B$7</f>
        <v>0.93212</v>
      </c>
      <c r="X640" s="39" t="n">
        <f aca="false">Resumo!$B$9</f>
        <v>1</v>
      </c>
      <c r="Y640" s="39" t="n">
        <f aca="false">Resumo!$B$10*CEILING(I640/100,1)</f>
        <v>4.5</v>
      </c>
      <c r="Z640" s="39" t="n">
        <f aca="false">Resumo!$B$12*CEILING(I640,1)</f>
        <v>2.16</v>
      </c>
      <c r="AA640" s="39" t="n">
        <f aca="false">Resumo!$B$13*CEILING(I640,1)</f>
        <v>16.2</v>
      </c>
      <c r="AB640" s="39" t="n">
        <f aca="false">SUM(U640:AA640)</f>
        <v>149.63818</v>
      </c>
      <c r="AC640" s="39" t="n">
        <f aca="false">AB640/(1-Resumo!$B$5)</f>
        <v>170.043386363636</v>
      </c>
      <c r="AD640" s="39" t="n">
        <f aca="false">(AB640-AA640)/(1-Resumo!$B$5)</f>
        <v>151.634295454545</v>
      </c>
      <c r="AE640" s="39" t="n">
        <f aca="false">AC640-T640</f>
        <v>47.5623940909091</v>
      </c>
      <c r="AF640" s="40" t="n">
        <f aca="false">AC640/T640-1</f>
        <v>0.388324696006727</v>
      </c>
      <c r="AG640" s="37" t="str">
        <f aca="false">IF(AC640&lt;T640,"SIM","NÃO")</f>
        <v>NÃO</v>
      </c>
      <c r="AH640" s="37" t="n">
        <v>13</v>
      </c>
      <c r="AI640" s="37" t="n">
        <v>10</v>
      </c>
      <c r="AJ640" s="37" t="s">
        <v>323</v>
      </c>
    </row>
    <row r="641" customFormat="false" ht="15" hidden="false" customHeight="false" outlineLevel="0" collapsed="false">
      <c r="A641" s="37" t="n">
        <v>372558534</v>
      </c>
      <c r="B641" s="38" t="n">
        <v>46240.6790393519</v>
      </c>
      <c r="C641" s="37" t="s">
        <v>341</v>
      </c>
      <c r="D641" s="37" t="s">
        <v>950</v>
      </c>
      <c r="E641" s="37" t="n">
        <v>25525720</v>
      </c>
      <c r="F641" s="37" t="s">
        <v>147</v>
      </c>
      <c r="G641" s="37" t="s">
        <v>207</v>
      </c>
      <c r="H641" s="37" t="s">
        <v>169</v>
      </c>
      <c r="I641" s="37" t="n">
        <v>37.2</v>
      </c>
      <c r="J641" s="39" t="n">
        <v>459.99</v>
      </c>
      <c r="K641" s="37" t="s">
        <v>498</v>
      </c>
      <c r="L641" s="39" t="n">
        <v>114.17</v>
      </c>
      <c r="M641" s="39" t="n">
        <v>79.65</v>
      </c>
      <c r="N641" s="39" t="n">
        <f aca="false">J641*Resumo!$C$7</f>
        <v>0.91998</v>
      </c>
      <c r="O641" s="39" t="n">
        <f aca="false">J641*Resumo!$C$8</f>
        <v>0.91998</v>
      </c>
      <c r="P641" s="39" t="n">
        <f aca="false">Resumo!$C$10*CEILING(I641/100,1)</f>
        <v>1</v>
      </c>
      <c r="Q641" s="39" t="n">
        <f aca="false">Resumo!$C$9</f>
        <v>11.9</v>
      </c>
      <c r="R641" s="39" t="n">
        <f aca="false">SUM(M641:Q641)*Resumo!$C$11</f>
        <v>5.1914478</v>
      </c>
      <c r="S641" s="39" t="n">
        <f aca="false">SUM(M641:R641)</f>
        <v>99.5814078</v>
      </c>
      <c r="T641" s="39" t="n">
        <f aca="false">S641/(1-Resumo!$C$5)</f>
        <v>113.160690681818</v>
      </c>
      <c r="U641" s="39" t="n">
        <v>93.97</v>
      </c>
      <c r="V641" s="39" t="n">
        <f aca="false">J641*Resumo!$B$6</f>
        <v>0.45999</v>
      </c>
      <c r="W641" s="39" t="n">
        <f aca="false">J641*Resumo!$B$7</f>
        <v>0.91998</v>
      </c>
      <c r="X641" s="39" t="n">
        <f aca="false">Resumo!$B$9</f>
        <v>1</v>
      </c>
      <c r="Y641" s="39" t="n">
        <f aca="false">Resumo!$B$10*CEILING(I641/100,1)</f>
        <v>4.5</v>
      </c>
      <c r="Z641" s="39" t="n">
        <f aca="false">Resumo!$B$12*CEILING(I641,1)</f>
        <v>2.28</v>
      </c>
      <c r="AA641" s="39" t="n">
        <f aca="false">Resumo!$B$13*CEILING(I641,1)</f>
        <v>17.1</v>
      </c>
      <c r="AB641" s="39" t="n">
        <f aca="false">SUM(U641:AA641)</f>
        <v>120.22997</v>
      </c>
      <c r="AC641" s="39" t="n">
        <f aca="false">AB641/(1-Resumo!$B$5)</f>
        <v>136.624965909091</v>
      </c>
      <c r="AD641" s="39" t="n">
        <f aca="false">(AB641-AA641)/(1-Resumo!$B$5)</f>
        <v>117.193147727273</v>
      </c>
      <c r="AE641" s="39" t="n">
        <f aca="false">AC641-T641</f>
        <v>23.4642752272727</v>
      </c>
      <c r="AF641" s="40" t="n">
        <f aca="false">AC641/T641-1</f>
        <v>0.20735358794556</v>
      </c>
      <c r="AG641" s="37" t="str">
        <f aca="false">IF(AC641&lt;T641,"SIM","NÃO")</f>
        <v>NÃO</v>
      </c>
      <c r="AH641" s="37" t="n">
        <v>10</v>
      </c>
      <c r="AI641" s="37" t="n">
        <v>5</v>
      </c>
      <c r="AJ641" s="37" t="s">
        <v>323</v>
      </c>
    </row>
    <row r="642" customFormat="false" ht="15" hidden="false" customHeight="false" outlineLevel="0" collapsed="false">
      <c r="A642" s="37" t="n">
        <v>372575121</v>
      </c>
      <c r="B642" s="38" t="n">
        <v>46240.7103703704</v>
      </c>
      <c r="C642" s="37" t="s">
        <v>325</v>
      </c>
      <c r="D642" s="37" t="s">
        <v>951</v>
      </c>
      <c r="E642" s="37" t="n">
        <v>23555220</v>
      </c>
      <c r="F642" s="37" t="s">
        <v>139</v>
      </c>
      <c r="G642" s="37" t="s">
        <v>198</v>
      </c>
      <c r="H642" s="37" t="s">
        <v>169</v>
      </c>
      <c r="I642" s="37" t="n">
        <v>36.8</v>
      </c>
      <c r="J642" s="39" t="n">
        <v>449.99</v>
      </c>
      <c r="K642" s="37" t="s">
        <v>498</v>
      </c>
      <c r="L642" s="39" t="n">
        <v>92.59</v>
      </c>
      <c r="M642" s="39" t="n">
        <v>62.05</v>
      </c>
      <c r="N642" s="39" t="n">
        <f aca="false">J642*Resumo!$C$7</f>
        <v>0.89998</v>
      </c>
      <c r="O642" s="39" t="n">
        <f aca="false">J642*Resumo!$C$8</f>
        <v>0.89998</v>
      </c>
      <c r="P642" s="39" t="n">
        <f aca="false">Resumo!$C$10*CEILING(I642/100,1)</f>
        <v>1</v>
      </c>
      <c r="Q642" s="39" t="n">
        <f aca="false">Resumo!$C$9</f>
        <v>11.9</v>
      </c>
      <c r="R642" s="39" t="n">
        <f aca="false">SUM(M642:Q642)*Resumo!$C$11</f>
        <v>4.2212478</v>
      </c>
      <c r="S642" s="39" t="n">
        <f aca="false">SUM(M642:R642)</f>
        <v>80.9712078</v>
      </c>
      <c r="T642" s="39" t="n">
        <f aca="false">S642/(1-Resumo!$C$5)</f>
        <v>92.0127361363636</v>
      </c>
      <c r="U642" s="39" t="n">
        <v>93.97</v>
      </c>
      <c r="V642" s="39" t="n">
        <f aca="false">J642*Resumo!$B$6</f>
        <v>0.44999</v>
      </c>
      <c r="W642" s="39" t="n">
        <f aca="false">J642*Resumo!$B$7</f>
        <v>0.89998</v>
      </c>
      <c r="X642" s="39" t="n">
        <f aca="false">Resumo!$B$9</f>
        <v>1</v>
      </c>
      <c r="Y642" s="39" t="n">
        <f aca="false">Resumo!$B$10*CEILING(I642/100,1)</f>
        <v>4.5</v>
      </c>
      <c r="Z642" s="39" t="n">
        <f aca="false">Resumo!$B$12*CEILING(I642,1)</f>
        <v>2.22</v>
      </c>
      <c r="AA642" s="39" t="n">
        <f aca="false">Resumo!$B$13*CEILING(I642,1)</f>
        <v>16.65</v>
      </c>
      <c r="AB642" s="39" t="n">
        <f aca="false">SUM(U642:AA642)</f>
        <v>119.68997</v>
      </c>
      <c r="AC642" s="39" t="n">
        <f aca="false">AB642/(1-Resumo!$B$5)</f>
        <v>136.011329545455</v>
      </c>
      <c r="AD642" s="39" t="n">
        <f aca="false">(AB642-AA642)/(1-Resumo!$B$5)</f>
        <v>117.090875</v>
      </c>
      <c r="AE642" s="39" t="n">
        <f aca="false">AC642-T642</f>
        <v>43.9985934090909</v>
      </c>
      <c r="AF642" s="40" t="n">
        <f aca="false">AC642/T642-1</f>
        <v>0.478179383165876</v>
      </c>
      <c r="AG642" s="37" t="str">
        <f aca="false">IF(AC642&lt;T642,"SIM","NÃO")</f>
        <v>NÃO</v>
      </c>
      <c r="AH642" s="37" t="n">
        <v>8</v>
      </c>
      <c r="AI642" s="37" t="n">
        <v>5</v>
      </c>
      <c r="AJ642" s="37" t="s">
        <v>323</v>
      </c>
    </row>
    <row r="643" customFormat="false" ht="15" hidden="false" customHeight="false" outlineLevel="0" collapsed="false">
      <c r="A643" s="37" t="n">
        <v>372585068</v>
      </c>
      <c r="B643" s="38" t="n">
        <v>46240.7307175926</v>
      </c>
      <c r="C643" s="37" t="s">
        <v>320</v>
      </c>
      <c r="D643" s="37" t="s">
        <v>952</v>
      </c>
      <c r="E643" s="37" t="n">
        <v>28985225</v>
      </c>
      <c r="F643" s="37" t="s">
        <v>153</v>
      </c>
      <c r="G643" s="37" t="s">
        <v>201</v>
      </c>
      <c r="H643" s="37" t="s">
        <v>172</v>
      </c>
      <c r="I643" s="37" t="n">
        <v>63.9</v>
      </c>
      <c r="J643" s="39" t="n">
        <v>735.99</v>
      </c>
      <c r="K643" s="37" t="s">
        <v>498</v>
      </c>
      <c r="L643" s="39" t="n">
        <v>155.34</v>
      </c>
      <c r="M643" s="39" t="n">
        <v>113.9</v>
      </c>
      <c r="N643" s="39" t="n">
        <f aca="false">J643*Resumo!$C$7</f>
        <v>1.47198</v>
      </c>
      <c r="O643" s="39" t="n">
        <f aca="false">J643*Resumo!$C$8</f>
        <v>1.47198</v>
      </c>
      <c r="P643" s="39" t="n">
        <f aca="false">Resumo!$C$10*CEILING(I643/100,1)</f>
        <v>1</v>
      </c>
      <c r="Q643" s="39" t="n">
        <f aca="false">Resumo!$C$9</f>
        <v>11.9</v>
      </c>
      <c r="R643" s="39" t="n">
        <f aca="false">SUM(M643:Q643)*Resumo!$C$11</f>
        <v>7.1359178</v>
      </c>
      <c r="S643" s="39" t="n">
        <f aca="false">SUM(M643:R643)</f>
        <v>136.8798778</v>
      </c>
      <c r="T643" s="39" t="n">
        <f aca="false">S643/(1-Resumo!$C$5)</f>
        <v>155.545315681818</v>
      </c>
      <c r="U643" s="39" t="n">
        <v>166.05</v>
      </c>
      <c r="V643" s="39" t="n">
        <f aca="false">J643*Resumo!$B$6</f>
        <v>0.73599</v>
      </c>
      <c r="W643" s="39" t="n">
        <f aca="false">J643*Resumo!$B$7</f>
        <v>1.47198</v>
      </c>
      <c r="X643" s="39" t="n">
        <f aca="false">Resumo!$B$9</f>
        <v>1</v>
      </c>
      <c r="Y643" s="39" t="n">
        <f aca="false">Resumo!$B$10*CEILING(I643/100,1)</f>
        <v>4.5</v>
      </c>
      <c r="Z643" s="39" t="n">
        <f aca="false">Resumo!$B$12*CEILING(I643,1)</f>
        <v>3.84</v>
      </c>
      <c r="AA643" s="39" t="n">
        <f aca="false">Resumo!$B$13*CEILING(I643,1)</f>
        <v>28.8</v>
      </c>
      <c r="AB643" s="39" t="n">
        <f aca="false">SUM(U643:AA643)</f>
        <v>206.39797</v>
      </c>
      <c r="AC643" s="39" t="n">
        <f aca="false">AB643/(1-Resumo!$B$5)</f>
        <v>234.543147727273</v>
      </c>
      <c r="AD643" s="39" t="n">
        <f aca="false">(AB643-AA643)/(1-Resumo!$B$5)</f>
        <v>201.815875</v>
      </c>
      <c r="AE643" s="39" t="n">
        <f aca="false">AC643-T643</f>
        <v>78.9978320454546</v>
      </c>
      <c r="AF643" s="40" t="n">
        <f aca="false">AC643/T643-1</f>
        <v>0.507876638387823</v>
      </c>
      <c r="AG643" s="37" t="str">
        <f aca="false">IF(AC643&lt;T643,"SIM","NÃO")</f>
        <v>NÃO</v>
      </c>
      <c r="AH643" s="37" t="n">
        <v>13</v>
      </c>
      <c r="AI643" s="37" t="n">
        <v>10</v>
      </c>
      <c r="AJ643" s="37" t="s">
        <v>323</v>
      </c>
    </row>
    <row r="644" customFormat="false" ht="15" hidden="false" customHeight="false" outlineLevel="0" collapsed="false">
      <c r="A644" s="37" t="n">
        <v>372591144</v>
      </c>
      <c r="B644" s="38" t="n">
        <v>46240.7421527778</v>
      </c>
      <c r="C644" s="37" t="s">
        <v>325</v>
      </c>
      <c r="D644" s="37" t="s">
        <v>953</v>
      </c>
      <c r="E644" s="37" t="n">
        <v>21740030</v>
      </c>
      <c r="F644" s="37" t="s">
        <v>139</v>
      </c>
      <c r="G644" s="37" t="s">
        <v>198</v>
      </c>
      <c r="H644" s="37" t="s">
        <v>167</v>
      </c>
      <c r="I644" s="37" t="n">
        <v>8</v>
      </c>
      <c r="J644" s="39" t="n">
        <v>155.1</v>
      </c>
      <c r="K644" s="37" t="s">
        <v>322</v>
      </c>
      <c r="L644" s="39" t="n">
        <v>63.95</v>
      </c>
      <c r="M644" s="39" t="n">
        <v>39.83</v>
      </c>
      <c r="N644" s="39" t="n">
        <f aca="false">J644*Resumo!$C$7</f>
        <v>0.3102</v>
      </c>
      <c r="O644" s="39" t="n">
        <f aca="false">J644*Resumo!$C$8</f>
        <v>0.3102</v>
      </c>
      <c r="P644" s="39" t="n">
        <f aca="false">Resumo!$C$10*CEILING(I644/100,1)</f>
        <v>1</v>
      </c>
      <c r="Q644" s="39" t="n">
        <f aca="false">Resumo!$C$9</f>
        <v>11.9</v>
      </c>
      <c r="R644" s="39" t="n">
        <f aca="false">SUM(M644:Q644)*Resumo!$C$11</f>
        <v>2.934272</v>
      </c>
      <c r="S644" s="39" t="n">
        <f aca="false">SUM(M644:R644)</f>
        <v>56.284672</v>
      </c>
      <c r="T644" s="39" t="n">
        <f aca="false">S644/(1-Resumo!$C$5)</f>
        <v>63.9598545454546</v>
      </c>
      <c r="U644" s="39" t="n">
        <v>46.98</v>
      </c>
      <c r="V644" s="39" t="n">
        <f aca="false">J644*Resumo!$B$6</f>
        <v>0.1551</v>
      </c>
      <c r="W644" s="39" t="n">
        <f aca="false">J644*Resumo!$B$7</f>
        <v>0.3102</v>
      </c>
      <c r="X644" s="39" t="n">
        <f aca="false">Resumo!$B$9</f>
        <v>1</v>
      </c>
      <c r="Y644" s="39" t="n">
        <f aca="false">Resumo!$B$10*CEILING(I644/100,1)</f>
        <v>4.5</v>
      </c>
      <c r="Z644" s="39" t="n">
        <f aca="false">Resumo!$B$12*CEILING(I644,1)</f>
        <v>0.48</v>
      </c>
      <c r="AA644" s="39" t="n">
        <f aca="false">Resumo!$B$13*CEILING(I644,1)</f>
        <v>3.6</v>
      </c>
      <c r="AB644" s="39" t="n">
        <f aca="false">SUM(U644:AA644)</f>
        <v>57.0253</v>
      </c>
      <c r="AC644" s="39" t="n">
        <f aca="false">AB644/(1-Resumo!$B$5)</f>
        <v>64.8014772727273</v>
      </c>
      <c r="AD644" s="39" t="n">
        <f aca="false">(AB644-AA644)/(1-Resumo!$B$5)</f>
        <v>60.7105681818182</v>
      </c>
      <c r="AE644" s="39" t="n">
        <f aca="false">AC644-T644</f>
        <v>0.841622727272721</v>
      </c>
      <c r="AF644" s="40" t="n">
        <f aca="false">AC644/T644-1</f>
        <v>0.0131586091502851</v>
      </c>
      <c r="AG644" s="37" t="str">
        <f aca="false">IF(AC644&lt;T644,"SIM","NÃO")</f>
        <v>NÃO</v>
      </c>
      <c r="AH644" s="37" t="n">
        <v>8</v>
      </c>
      <c r="AI644" s="37" t="n">
        <v>5</v>
      </c>
      <c r="AJ644" s="37" t="s">
        <v>323</v>
      </c>
    </row>
    <row r="645" customFormat="false" ht="15" hidden="false" customHeight="false" outlineLevel="0" collapsed="false">
      <c r="A645" s="37" t="n">
        <v>372592842</v>
      </c>
      <c r="B645" s="38" t="n">
        <v>46240.7459027778</v>
      </c>
      <c r="C645" s="37" t="s">
        <v>320</v>
      </c>
      <c r="D645" s="37" t="s">
        <v>954</v>
      </c>
      <c r="E645" s="37" t="n">
        <v>23030300</v>
      </c>
      <c r="F645" s="37" t="s">
        <v>139</v>
      </c>
      <c r="G645" s="37" t="s">
        <v>198</v>
      </c>
      <c r="H645" s="37" t="s">
        <v>169</v>
      </c>
      <c r="I645" s="37" t="n">
        <v>37.2</v>
      </c>
      <c r="J645" s="39" t="n">
        <v>419.99</v>
      </c>
      <c r="K645" s="37" t="s">
        <v>498</v>
      </c>
      <c r="L645" s="39" t="n">
        <v>92.97</v>
      </c>
      <c r="M645" s="39" t="n">
        <v>62.05</v>
      </c>
      <c r="N645" s="39" t="n">
        <f aca="false">J645*Resumo!$C$7</f>
        <v>0.83998</v>
      </c>
      <c r="O645" s="39" t="n">
        <f aca="false">J645*Resumo!$C$8</f>
        <v>0.83998</v>
      </c>
      <c r="P645" s="39" t="n">
        <f aca="false">Resumo!$C$10*CEILING(I645/100,1)</f>
        <v>1</v>
      </c>
      <c r="Q645" s="39" t="n">
        <f aca="false">Resumo!$C$9</f>
        <v>11.9</v>
      </c>
      <c r="R645" s="39" t="n">
        <f aca="false">SUM(M645:Q645)*Resumo!$C$11</f>
        <v>4.2146478</v>
      </c>
      <c r="S645" s="39" t="n">
        <f aca="false">SUM(M645:R645)</f>
        <v>80.8446078</v>
      </c>
      <c r="T645" s="39" t="n">
        <f aca="false">S645/(1-Resumo!$C$5)</f>
        <v>91.8688725</v>
      </c>
      <c r="U645" s="39" t="n">
        <v>93.97</v>
      </c>
      <c r="V645" s="39" t="n">
        <f aca="false">J645*Resumo!$B$6</f>
        <v>0.41999</v>
      </c>
      <c r="W645" s="39" t="n">
        <f aca="false">J645*Resumo!$B$7</f>
        <v>0.83998</v>
      </c>
      <c r="X645" s="39" t="n">
        <f aca="false">Resumo!$B$9</f>
        <v>1</v>
      </c>
      <c r="Y645" s="39" t="n">
        <f aca="false">Resumo!$B$10*CEILING(I645/100,1)</f>
        <v>4.5</v>
      </c>
      <c r="Z645" s="39" t="n">
        <f aca="false">Resumo!$B$12*CEILING(I645,1)</f>
        <v>2.28</v>
      </c>
      <c r="AA645" s="39" t="n">
        <f aca="false">Resumo!$B$13*CEILING(I645,1)</f>
        <v>17.1</v>
      </c>
      <c r="AB645" s="39" t="n">
        <f aca="false">SUM(U645:AA645)</f>
        <v>120.10997</v>
      </c>
      <c r="AC645" s="39" t="n">
        <f aca="false">AB645/(1-Resumo!$B$5)</f>
        <v>136.488602272727</v>
      </c>
      <c r="AD645" s="39" t="n">
        <f aca="false">(AB645-AA645)/(1-Resumo!$B$5)</f>
        <v>117.056784090909</v>
      </c>
      <c r="AE645" s="39" t="n">
        <f aca="false">AC645-T645</f>
        <v>44.6197297727273</v>
      </c>
      <c r="AF645" s="40" t="n">
        <f aca="false">AC645/T645-1</f>
        <v>0.485689315200067</v>
      </c>
      <c r="AG645" s="37" t="str">
        <f aca="false">IF(AC645&lt;T645,"SIM","NÃO")</f>
        <v>NÃO</v>
      </c>
      <c r="AH645" s="37" t="n">
        <v>8</v>
      </c>
      <c r="AI645" s="37" t="n">
        <v>5</v>
      </c>
      <c r="AJ645" s="37" t="s">
        <v>323</v>
      </c>
    </row>
    <row r="646" customFormat="false" ht="15" hidden="false" customHeight="false" outlineLevel="0" collapsed="false">
      <c r="A646" s="37" t="n">
        <v>372597501</v>
      </c>
      <c r="B646" s="38" t="n">
        <v>46240.7543518519</v>
      </c>
      <c r="C646" s="37" t="s">
        <v>325</v>
      </c>
      <c r="D646" s="37" t="s">
        <v>955</v>
      </c>
      <c r="E646" s="37" t="n">
        <v>26042450</v>
      </c>
      <c r="F646" s="37" t="s">
        <v>142</v>
      </c>
      <c r="G646" s="37" t="s">
        <v>207</v>
      </c>
      <c r="H646" s="37" t="s">
        <v>171</v>
      </c>
      <c r="I646" s="37" t="n">
        <v>60</v>
      </c>
      <c r="J646" s="39" t="n">
        <v>899.99</v>
      </c>
      <c r="K646" s="37" t="s">
        <v>322</v>
      </c>
      <c r="L646" s="39" t="n">
        <v>129.6</v>
      </c>
      <c r="M646" s="39" t="n">
        <v>91.6</v>
      </c>
      <c r="N646" s="39" t="n">
        <f aca="false">J646*Resumo!$C$7</f>
        <v>1.79998</v>
      </c>
      <c r="O646" s="39" t="n">
        <f aca="false">J646*Resumo!$C$8</f>
        <v>1.79998</v>
      </c>
      <c r="P646" s="39" t="n">
        <f aca="false">Resumo!$C$10*CEILING(I646/100,1)</f>
        <v>1</v>
      </c>
      <c r="Q646" s="39" t="n">
        <f aca="false">Resumo!$C$9</f>
        <v>11.9</v>
      </c>
      <c r="R646" s="39" t="n">
        <f aca="false">SUM(M646:Q646)*Resumo!$C$11</f>
        <v>5.9454978</v>
      </c>
      <c r="S646" s="39" t="n">
        <f aca="false">SUM(M646:R646)</f>
        <v>114.0454578</v>
      </c>
      <c r="T646" s="39" t="n">
        <f aca="false">S646/(1-Resumo!$C$5)</f>
        <v>129.597111136364</v>
      </c>
      <c r="U646" s="39" t="n">
        <v>112.3</v>
      </c>
      <c r="V646" s="39" t="n">
        <f aca="false">J646*Resumo!$B$6</f>
        <v>0.89999</v>
      </c>
      <c r="W646" s="39" t="n">
        <f aca="false">J646*Resumo!$B$7</f>
        <v>1.79998</v>
      </c>
      <c r="X646" s="39" t="n">
        <f aca="false">Resumo!$B$9</f>
        <v>1</v>
      </c>
      <c r="Y646" s="39" t="n">
        <f aca="false">Resumo!$B$10*CEILING(I646/100,1)</f>
        <v>4.5</v>
      </c>
      <c r="Z646" s="39" t="n">
        <f aca="false">Resumo!$B$12*CEILING(I646,1)</f>
        <v>3.6</v>
      </c>
      <c r="AA646" s="39" t="n">
        <f aca="false">Resumo!$B$13*CEILING(I646,1)</f>
        <v>27</v>
      </c>
      <c r="AB646" s="39" t="n">
        <f aca="false">SUM(U646:AA646)</f>
        <v>151.09997</v>
      </c>
      <c r="AC646" s="39" t="n">
        <f aca="false">AB646/(1-Resumo!$B$5)</f>
        <v>171.704511363636</v>
      </c>
      <c r="AD646" s="39" t="n">
        <f aca="false">(AB646-AA646)/(1-Resumo!$B$5)</f>
        <v>141.022693181818</v>
      </c>
      <c r="AE646" s="39" t="n">
        <f aca="false">AC646-T646</f>
        <v>42.1074002272727</v>
      </c>
      <c r="AF646" s="40" t="n">
        <f aca="false">AC646/T646-1</f>
        <v>0.324910021975466</v>
      </c>
      <c r="AG646" s="37" t="str">
        <f aca="false">IF(AC646&lt;T646,"SIM","NÃO")</f>
        <v>NÃO</v>
      </c>
      <c r="AH646" s="37" t="n">
        <v>10</v>
      </c>
      <c r="AI646" s="37" t="n">
        <v>5</v>
      </c>
      <c r="AJ646" s="37" t="s">
        <v>323</v>
      </c>
    </row>
    <row r="647" customFormat="false" ht="15" hidden="false" customHeight="false" outlineLevel="0" collapsed="false">
      <c r="A647" s="37" t="n">
        <v>372608503</v>
      </c>
      <c r="B647" s="38" t="n">
        <v>46240.7763773148</v>
      </c>
      <c r="C647" s="37" t="s">
        <v>320</v>
      </c>
      <c r="D647" s="37" t="s">
        <v>956</v>
      </c>
      <c r="E647" s="37" t="n">
        <v>24440440</v>
      </c>
      <c r="F647" s="37" t="s">
        <v>140</v>
      </c>
      <c r="G647" s="37" t="s">
        <v>207</v>
      </c>
      <c r="H647" s="37" t="s">
        <v>167</v>
      </c>
      <c r="I647" s="37" t="n">
        <v>14.4</v>
      </c>
      <c r="J647" s="39" t="n">
        <v>459.99</v>
      </c>
      <c r="K647" s="37" t="s">
        <v>498</v>
      </c>
      <c r="L647" s="39" t="n">
        <v>75.01</v>
      </c>
      <c r="M647" s="39" t="n">
        <v>48.69</v>
      </c>
      <c r="N647" s="39" t="n">
        <f aca="false">J647*Resumo!$C$7</f>
        <v>0.91998</v>
      </c>
      <c r="O647" s="39" t="n">
        <f aca="false">J647*Resumo!$C$8</f>
        <v>0.91998</v>
      </c>
      <c r="P647" s="39" t="n">
        <f aca="false">Resumo!$C$10*CEILING(I647/100,1)</f>
        <v>1</v>
      </c>
      <c r="Q647" s="39" t="n">
        <f aca="false">Resumo!$C$9</f>
        <v>11.9</v>
      </c>
      <c r="R647" s="39" t="n">
        <f aca="false">SUM(M647:Q647)*Resumo!$C$11</f>
        <v>3.4886478</v>
      </c>
      <c r="S647" s="39" t="n">
        <f aca="false">SUM(M647:R647)</f>
        <v>66.9186078</v>
      </c>
      <c r="T647" s="39" t="n">
        <f aca="false">S647/(1-Resumo!$C$5)</f>
        <v>76.0438725</v>
      </c>
      <c r="U647" s="39" t="n">
        <v>57.47</v>
      </c>
      <c r="V647" s="39" t="n">
        <f aca="false">J647*Resumo!$B$6</f>
        <v>0.45999</v>
      </c>
      <c r="W647" s="39" t="n">
        <f aca="false">J647*Resumo!$B$7</f>
        <v>0.91998</v>
      </c>
      <c r="X647" s="39" t="n">
        <f aca="false">Resumo!$B$9</f>
        <v>1</v>
      </c>
      <c r="Y647" s="39" t="n">
        <f aca="false">Resumo!$B$10*CEILING(I647/100,1)</f>
        <v>4.5</v>
      </c>
      <c r="Z647" s="39" t="n">
        <f aca="false">Resumo!$B$12*CEILING(I647,1)</f>
        <v>0.9</v>
      </c>
      <c r="AA647" s="39" t="n">
        <f aca="false">Resumo!$B$13*CEILING(I647,1)</f>
        <v>6.75</v>
      </c>
      <c r="AB647" s="39" t="n">
        <f aca="false">SUM(U647:AA647)</f>
        <v>71.99997</v>
      </c>
      <c r="AC647" s="39" t="n">
        <f aca="false">AB647/(1-Resumo!$B$5)</f>
        <v>81.8181477272727</v>
      </c>
      <c r="AD647" s="39" t="n">
        <f aca="false">(AB647-AA647)/(1-Resumo!$B$5)</f>
        <v>74.1476931818182</v>
      </c>
      <c r="AE647" s="39" t="n">
        <f aca="false">AC647-T647</f>
        <v>5.77427522727272</v>
      </c>
      <c r="AF647" s="40" t="n">
        <f aca="false">AC647/T647-1</f>
        <v>0.0759334715268838</v>
      </c>
      <c r="AG647" s="37" t="str">
        <f aca="false">IF(AC647&lt;T647,"SIM","NÃO")</f>
        <v>NÃO</v>
      </c>
      <c r="AH647" s="37" t="n">
        <v>10</v>
      </c>
      <c r="AI647" s="37" t="n">
        <v>7</v>
      </c>
      <c r="AJ647" s="37" t="s">
        <v>323</v>
      </c>
    </row>
    <row r="648" customFormat="false" ht="15" hidden="false" customHeight="false" outlineLevel="0" collapsed="false">
      <c r="A648" s="37" t="n">
        <v>372615480</v>
      </c>
      <c r="B648" s="38" t="n">
        <v>46240.7954513889</v>
      </c>
      <c r="C648" s="37" t="s">
        <v>355</v>
      </c>
      <c r="D648" s="37" t="s">
        <v>957</v>
      </c>
      <c r="E648" s="37" t="n">
        <v>23058150</v>
      </c>
      <c r="F648" s="37" t="s">
        <v>139</v>
      </c>
      <c r="G648" s="37" t="s">
        <v>198</v>
      </c>
      <c r="H648" s="37" t="s">
        <v>171</v>
      </c>
      <c r="I648" s="37" t="n">
        <v>52.3</v>
      </c>
      <c r="J648" s="39" t="n">
        <v>611.37</v>
      </c>
      <c r="K648" s="37" t="s">
        <v>498</v>
      </c>
      <c r="L648" s="39" t="n">
        <v>113.19</v>
      </c>
      <c r="M648" s="39" t="n">
        <v>79.81</v>
      </c>
      <c r="N648" s="39" t="n">
        <f aca="false">J648*Resumo!$C$7</f>
        <v>1.22274</v>
      </c>
      <c r="O648" s="39" t="n">
        <f aca="false">J648*Resumo!$C$8</f>
        <v>1.22274</v>
      </c>
      <c r="P648" s="39" t="n">
        <f aca="false">Resumo!$C$10*CEILING(I648/100,1)</f>
        <v>1</v>
      </c>
      <c r="Q648" s="39" t="n">
        <f aca="false">Resumo!$C$9</f>
        <v>11.9</v>
      </c>
      <c r="R648" s="39" t="n">
        <f aca="false">SUM(M648:Q648)*Resumo!$C$11</f>
        <v>5.2335514</v>
      </c>
      <c r="S648" s="39" t="n">
        <f aca="false">SUM(M648:R648)</f>
        <v>100.3890314</v>
      </c>
      <c r="T648" s="39" t="n">
        <f aca="false">S648/(1-Resumo!$C$5)</f>
        <v>114.078444772727</v>
      </c>
      <c r="U648" s="39" t="n">
        <v>112.3</v>
      </c>
      <c r="V648" s="39" t="n">
        <f aca="false">J648*Resumo!$B$6</f>
        <v>0.61137</v>
      </c>
      <c r="W648" s="39" t="n">
        <f aca="false">J648*Resumo!$B$7</f>
        <v>1.22274</v>
      </c>
      <c r="X648" s="39" t="n">
        <f aca="false">Resumo!$B$9</f>
        <v>1</v>
      </c>
      <c r="Y648" s="39" t="n">
        <f aca="false">Resumo!$B$10*CEILING(I648/100,1)</f>
        <v>4.5</v>
      </c>
      <c r="Z648" s="39" t="n">
        <f aca="false">Resumo!$B$12*CEILING(I648,1)</f>
        <v>3.18</v>
      </c>
      <c r="AA648" s="39" t="n">
        <f aca="false">Resumo!$B$13*CEILING(I648,1)</f>
        <v>23.85</v>
      </c>
      <c r="AB648" s="39" t="n">
        <f aca="false">SUM(U648:AA648)</f>
        <v>146.66411</v>
      </c>
      <c r="AC648" s="39" t="n">
        <f aca="false">AB648/(1-Resumo!$B$5)</f>
        <v>166.663761363636</v>
      </c>
      <c r="AD648" s="39" t="n">
        <f aca="false">(AB648-AA648)/(1-Resumo!$B$5)</f>
        <v>139.561488636364</v>
      </c>
      <c r="AE648" s="39" t="n">
        <f aca="false">AC648-T648</f>
        <v>52.5853165909091</v>
      </c>
      <c r="AF648" s="40" t="n">
        <f aca="false">AC648/T648-1</f>
        <v>0.460957516520077</v>
      </c>
      <c r="AG648" s="37" t="str">
        <f aca="false">IF(AC648&lt;T648,"SIM","NÃO")</f>
        <v>NÃO</v>
      </c>
      <c r="AH648" s="37" t="n">
        <v>8</v>
      </c>
      <c r="AI648" s="37" t="n">
        <v>5</v>
      </c>
      <c r="AJ648" s="37" t="s">
        <v>323</v>
      </c>
    </row>
    <row r="649" customFormat="false" ht="15" hidden="false" customHeight="false" outlineLevel="0" collapsed="false">
      <c r="A649" s="37" t="n">
        <v>372624866</v>
      </c>
      <c r="B649" s="38" t="n">
        <v>46240.8080555556</v>
      </c>
      <c r="C649" s="37" t="s">
        <v>320</v>
      </c>
      <c r="D649" s="37" t="s">
        <v>544</v>
      </c>
      <c r="E649" s="37" t="n">
        <v>22451265</v>
      </c>
      <c r="F649" s="37" t="s">
        <v>139</v>
      </c>
      <c r="G649" s="37" t="s">
        <v>198</v>
      </c>
      <c r="H649" s="37" t="s">
        <v>170</v>
      </c>
      <c r="I649" s="37" t="n">
        <v>48.6</v>
      </c>
      <c r="J649" s="39" t="n">
        <v>679.99</v>
      </c>
      <c r="K649" s="37" t="s">
        <v>498</v>
      </c>
      <c r="L649" s="39" t="n">
        <v>105.75</v>
      </c>
      <c r="M649" s="39" t="n">
        <v>71</v>
      </c>
      <c r="N649" s="39" t="n">
        <f aca="false">J649*Resumo!$C$7</f>
        <v>1.35998</v>
      </c>
      <c r="O649" s="39" t="n">
        <f aca="false">J649*Resumo!$C$8</f>
        <v>1.35998</v>
      </c>
      <c r="P649" s="39" t="n">
        <f aca="false">Resumo!$C$10*CEILING(I649/100,1)</f>
        <v>1</v>
      </c>
      <c r="Q649" s="39" t="n">
        <f aca="false">Resumo!$C$9</f>
        <v>11.9</v>
      </c>
      <c r="R649" s="39" t="n">
        <f aca="false">SUM(M649:Q649)*Resumo!$C$11</f>
        <v>4.7640978</v>
      </c>
      <c r="S649" s="39" t="n">
        <f aca="false">SUM(M649:R649)</f>
        <v>91.3840578</v>
      </c>
      <c r="T649" s="39" t="n">
        <f aca="false">S649/(1-Resumo!$C$5)</f>
        <v>103.845520227273</v>
      </c>
      <c r="U649" s="39" t="n">
        <v>93.97</v>
      </c>
      <c r="V649" s="39" t="n">
        <f aca="false">J649*Resumo!$B$6</f>
        <v>0.67999</v>
      </c>
      <c r="W649" s="39" t="n">
        <f aca="false">J649*Resumo!$B$7</f>
        <v>1.35998</v>
      </c>
      <c r="X649" s="39" t="n">
        <f aca="false">Resumo!$B$9</f>
        <v>1</v>
      </c>
      <c r="Y649" s="39" t="n">
        <f aca="false">Resumo!$B$10*CEILING(I649/100,1)</f>
        <v>4.5</v>
      </c>
      <c r="Z649" s="39" t="n">
        <f aca="false">Resumo!$B$12*CEILING(I649,1)</f>
        <v>2.94</v>
      </c>
      <c r="AA649" s="39" t="n">
        <f aca="false">Resumo!$B$13*CEILING(I649,1)</f>
        <v>22.05</v>
      </c>
      <c r="AB649" s="39" t="n">
        <f aca="false">SUM(U649:AA649)</f>
        <v>126.49997</v>
      </c>
      <c r="AC649" s="39" t="n">
        <f aca="false">AB649/(1-Resumo!$B$5)</f>
        <v>143.749965909091</v>
      </c>
      <c r="AD649" s="39" t="n">
        <f aca="false">(AB649-AA649)/(1-Resumo!$B$5)</f>
        <v>118.693147727273</v>
      </c>
      <c r="AE649" s="39" t="n">
        <f aca="false">AC649-T649</f>
        <v>39.9044456818182</v>
      </c>
      <c r="AF649" s="40" t="n">
        <f aca="false">AC649/T649-1</f>
        <v>0.384267377104806</v>
      </c>
      <c r="AG649" s="37" t="str">
        <f aca="false">IF(AC649&lt;T649,"SIM","NÃO")</f>
        <v>NÃO</v>
      </c>
      <c r="AH649" s="37" t="n">
        <v>8</v>
      </c>
      <c r="AI649" s="37" t="n">
        <v>5</v>
      </c>
      <c r="AJ649" s="37" t="s">
        <v>323</v>
      </c>
    </row>
    <row r="650" customFormat="false" ht="15" hidden="false" customHeight="false" outlineLevel="0" collapsed="false">
      <c r="A650" s="37" t="n">
        <v>372625190</v>
      </c>
      <c r="B650" s="38" t="n">
        <v>46240.8086921296</v>
      </c>
      <c r="C650" s="37" t="s">
        <v>320</v>
      </c>
      <c r="D650" s="37" t="s">
        <v>958</v>
      </c>
      <c r="E650" s="37" t="n">
        <v>21215060</v>
      </c>
      <c r="F650" s="37" t="s">
        <v>139</v>
      </c>
      <c r="G650" s="37" t="s">
        <v>198</v>
      </c>
      <c r="H650" s="37" t="s">
        <v>172</v>
      </c>
      <c r="I650" s="37" t="n">
        <v>66.8</v>
      </c>
      <c r="J650" s="39" t="n">
        <v>699.99</v>
      </c>
      <c r="K650" s="37" t="s">
        <v>322</v>
      </c>
      <c r="L650" s="39" t="n">
        <v>124.56</v>
      </c>
      <c r="M650" s="39" t="n">
        <v>88.2</v>
      </c>
      <c r="N650" s="39" t="n">
        <f aca="false">J650*Resumo!$C$7</f>
        <v>1.39998</v>
      </c>
      <c r="O650" s="39" t="n">
        <f aca="false">J650*Resumo!$C$8</f>
        <v>1.39998</v>
      </c>
      <c r="P650" s="39" t="n">
        <f aca="false">Resumo!$C$10*CEILING(I650/100,1)</f>
        <v>1</v>
      </c>
      <c r="Q650" s="39" t="n">
        <f aca="false">Resumo!$C$9</f>
        <v>11.9</v>
      </c>
      <c r="R650" s="39" t="n">
        <f aca="false">SUM(M650:Q650)*Resumo!$C$11</f>
        <v>5.7144978</v>
      </c>
      <c r="S650" s="39" t="n">
        <f aca="false">SUM(M650:R650)</f>
        <v>109.6144578</v>
      </c>
      <c r="T650" s="39" t="n">
        <f aca="false">S650/(1-Resumo!$C$5)</f>
        <v>124.561883863636</v>
      </c>
      <c r="U650" s="39" t="n">
        <v>131.02</v>
      </c>
      <c r="V650" s="39" t="n">
        <f aca="false">J650*Resumo!$B$6</f>
        <v>0.69999</v>
      </c>
      <c r="W650" s="39" t="n">
        <f aca="false">J650*Resumo!$B$7</f>
        <v>1.39998</v>
      </c>
      <c r="X650" s="39" t="n">
        <f aca="false">Resumo!$B$9</f>
        <v>1</v>
      </c>
      <c r="Y650" s="39" t="n">
        <f aca="false">Resumo!$B$10*CEILING(I650/100,1)</f>
        <v>4.5</v>
      </c>
      <c r="Z650" s="39" t="n">
        <f aca="false">Resumo!$B$12*CEILING(I650,1)</f>
        <v>4.02</v>
      </c>
      <c r="AA650" s="39" t="n">
        <f aca="false">Resumo!$B$13*CEILING(I650,1)</f>
        <v>30.15</v>
      </c>
      <c r="AB650" s="39" t="n">
        <f aca="false">SUM(U650:AA650)</f>
        <v>172.78997</v>
      </c>
      <c r="AC650" s="39" t="n">
        <f aca="false">AB650/(1-Resumo!$B$5)</f>
        <v>196.352238636364</v>
      </c>
      <c r="AD650" s="39" t="n">
        <f aca="false">(AB650-AA650)/(1-Resumo!$B$5)</f>
        <v>162.090875</v>
      </c>
      <c r="AE650" s="39" t="n">
        <f aca="false">AC650-T650</f>
        <v>71.7903547727273</v>
      </c>
      <c r="AF650" s="40" t="n">
        <f aca="false">AC650/T650-1</f>
        <v>0.576342879105132</v>
      </c>
      <c r="AG650" s="37" t="str">
        <f aca="false">IF(AC650&lt;T650,"SIM","NÃO")</f>
        <v>NÃO</v>
      </c>
      <c r="AH650" s="37" t="n">
        <v>8</v>
      </c>
      <c r="AI650" s="37" t="n">
        <v>5</v>
      </c>
      <c r="AJ650" s="37" t="s">
        <v>323</v>
      </c>
    </row>
    <row r="651" customFormat="false" ht="15" hidden="false" customHeight="false" outlineLevel="0" collapsed="false">
      <c r="A651" s="37" t="n">
        <v>372637606</v>
      </c>
      <c r="B651" s="38" t="n">
        <v>46240.8312152778</v>
      </c>
      <c r="C651" s="37" t="s">
        <v>320</v>
      </c>
      <c r="D651" s="37" t="s">
        <v>959</v>
      </c>
      <c r="E651" s="37" t="n">
        <v>25264480</v>
      </c>
      <c r="F651" s="37" t="s">
        <v>141</v>
      </c>
      <c r="G651" s="37" t="s">
        <v>207</v>
      </c>
      <c r="H651" s="37" t="s">
        <v>171</v>
      </c>
      <c r="I651" s="37" t="n">
        <v>52.3</v>
      </c>
      <c r="J651" s="39" t="n">
        <v>685.85</v>
      </c>
      <c r="K651" s="37" t="s">
        <v>322</v>
      </c>
      <c r="L651" s="39" t="n">
        <v>128.57</v>
      </c>
      <c r="M651" s="39" t="n">
        <v>91.6</v>
      </c>
      <c r="N651" s="39" t="n">
        <f aca="false">J651*Resumo!$C$7</f>
        <v>1.3717</v>
      </c>
      <c r="O651" s="39" t="n">
        <f aca="false">J651*Resumo!$C$8</f>
        <v>1.3717</v>
      </c>
      <c r="P651" s="39" t="n">
        <f aca="false">Resumo!$C$10*CEILING(I651/100,1)</f>
        <v>1</v>
      </c>
      <c r="Q651" s="39" t="n">
        <f aca="false">Resumo!$C$9</f>
        <v>11.9</v>
      </c>
      <c r="R651" s="39" t="n">
        <f aca="false">SUM(M651:Q651)*Resumo!$C$11</f>
        <v>5.898387</v>
      </c>
      <c r="S651" s="39" t="n">
        <f aca="false">SUM(M651:R651)</f>
        <v>113.141787</v>
      </c>
      <c r="T651" s="39" t="n">
        <f aca="false">S651/(1-Resumo!$C$5)</f>
        <v>128.5702125</v>
      </c>
      <c r="U651" s="39" t="n">
        <v>112.3</v>
      </c>
      <c r="V651" s="39" t="n">
        <f aca="false">J651*Resumo!$B$6</f>
        <v>0.68585</v>
      </c>
      <c r="W651" s="39" t="n">
        <f aca="false">J651*Resumo!$B$7</f>
        <v>1.3717</v>
      </c>
      <c r="X651" s="39" t="n">
        <f aca="false">Resumo!$B$9</f>
        <v>1</v>
      </c>
      <c r="Y651" s="39" t="n">
        <f aca="false">Resumo!$B$10*CEILING(I651/100,1)</f>
        <v>4.5</v>
      </c>
      <c r="Z651" s="39" t="n">
        <f aca="false">Resumo!$B$12*CEILING(I651,1)</f>
        <v>3.18</v>
      </c>
      <c r="AA651" s="39" t="n">
        <f aca="false">Resumo!$B$13*CEILING(I651,1)</f>
        <v>23.85</v>
      </c>
      <c r="AB651" s="39" t="n">
        <f aca="false">SUM(U651:AA651)</f>
        <v>146.88755</v>
      </c>
      <c r="AC651" s="39" t="n">
        <f aca="false">AB651/(1-Resumo!$B$5)</f>
        <v>166.917670454545</v>
      </c>
      <c r="AD651" s="39" t="n">
        <f aca="false">(AB651-AA651)/(1-Resumo!$B$5)</f>
        <v>139.815397727273</v>
      </c>
      <c r="AE651" s="39" t="n">
        <f aca="false">AC651-T651</f>
        <v>38.3474579545455</v>
      </c>
      <c r="AF651" s="40" t="n">
        <f aca="false">AC651/T651-1</f>
        <v>0.298260827363457</v>
      </c>
      <c r="AG651" s="37" t="str">
        <f aca="false">IF(AC651&lt;T651,"SIM","NÃO")</f>
        <v>NÃO</v>
      </c>
      <c r="AH651" s="37" t="n">
        <v>10</v>
      </c>
      <c r="AI651" s="37" t="n">
        <v>5</v>
      </c>
      <c r="AJ651" s="37" t="s">
        <v>323</v>
      </c>
    </row>
    <row r="652" customFormat="false" ht="15" hidden="false" customHeight="false" outlineLevel="0" collapsed="false">
      <c r="A652" s="37" t="n">
        <v>372637630</v>
      </c>
      <c r="B652" s="38" t="n">
        <v>46240.8312731482</v>
      </c>
      <c r="C652" s="37" t="s">
        <v>320</v>
      </c>
      <c r="D652" s="37" t="s">
        <v>960</v>
      </c>
      <c r="E652" s="37" t="n">
        <v>22775598</v>
      </c>
      <c r="F652" s="37" t="s">
        <v>139</v>
      </c>
      <c r="G652" s="37" t="s">
        <v>198</v>
      </c>
      <c r="H652" s="37" t="s">
        <v>168</v>
      </c>
      <c r="I652" s="37" t="n">
        <v>22.4</v>
      </c>
      <c r="J652" s="39" t="n">
        <v>440.99</v>
      </c>
      <c r="K652" s="37" t="s">
        <v>322</v>
      </c>
      <c r="L652" s="39" t="n">
        <v>82.43</v>
      </c>
      <c r="M652" s="39" t="n">
        <v>54.1</v>
      </c>
      <c r="N652" s="39" t="n">
        <f aca="false">J652*Resumo!$C$7</f>
        <v>0.88198</v>
      </c>
      <c r="O652" s="39" t="n">
        <f aca="false">J652*Resumo!$C$8</f>
        <v>0.88198</v>
      </c>
      <c r="P652" s="39" t="n">
        <f aca="false">Resumo!$C$10*CEILING(I652/100,1)</f>
        <v>1</v>
      </c>
      <c r="Q652" s="39" t="n">
        <f aca="false">Resumo!$C$9</f>
        <v>11.9</v>
      </c>
      <c r="R652" s="39" t="n">
        <f aca="false">SUM(M652:Q652)*Resumo!$C$11</f>
        <v>3.7820178</v>
      </c>
      <c r="S652" s="39" t="n">
        <f aca="false">SUM(M652:R652)</f>
        <v>72.5459778</v>
      </c>
      <c r="T652" s="39" t="n">
        <f aca="false">S652/(1-Resumo!$C$5)</f>
        <v>82.4386111363636</v>
      </c>
      <c r="U652" s="39" t="n">
        <v>82.21</v>
      </c>
      <c r="V652" s="39" t="n">
        <f aca="false">J652*Resumo!$B$6</f>
        <v>0.44099</v>
      </c>
      <c r="W652" s="39" t="n">
        <f aca="false">J652*Resumo!$B$7</f>
        <v>0.88198</v>
      </c>
      <c r="X652" s="39" t="n">
        <f aca="false">Resumo!$B$9</f>
        <v>1</v>
      </c>
      <c r="Y652" s="39" t="n">
        <f aca="false">Resumo!$B$10*CEILING(I652/100,1)</f>
        <v>4.5</v>
      </c>
      <c r="Z652" s="39" t="n">
        <f aca="false">Resumo!$B$12*CEILING(I652,1)</f>
        <v>1.38</v>
      </c>
      <c r="AA652" s="39" t="n">
        <f aca="false">Resumo!$B$13*CEILING(I652,1)</f>
        <v>10.35</v>
      </c>
      <c r="AB652" s="39" t="n">
        <f aca="false">SUM(U652:AA652)</f>
        <v>100.76297</v>
      </c>
      <c r="AC652" s="39" t="n">
        <f aca="false">AB652/(1-Resumo!$B$5)</f>
        <v>114.503375</v>
      </c>
      <c r="AD652" s="39" t="n">
        <f aca="false">(AB652-AA652)/(1-Resumo!$B$5)</f>
        <v>102.742011363636</v>
      </c>
      <c r="AE652" s="39" t="n">
        <f aca="false">AC652-T652</f>
        <v>32.0647638636363</v>
      </c>
      <c r="AF652" s="40" t="n">
        <f aca="false">AC652/T652-1</f>
        <v>0.38895322739726</v>
      </c>
      <c r="AG652" s="37" t="str">
        <f aca="false">IF(AC652&lt;T652,"SIM","NÃO")</f>
        <v>NÃO</v>
      </c>
      <c r="AH652" s="37" t="n">
        <v>8</v>
      </c>
      <c r="AI652" s="37" t="n">
        <v>5</v>
      </c>
      <c r="AJ652" s="37" t="s">
        <v>323</v>
      </c>
    </row>
    <row r="653" customFormat="false" ht="15" hidden="false" customHeight="false" outlineLevel="0" collapsed="false">
      <c r="A653" s="37" t="n">
        <v>372638730</v>
      </c>
      <c r="B653" s="38" t="n">
        <v>46240.8334259259</v>
      </c>
      <c r="C653" s="37" t="s">
        <v>320</v>
      </c>
      <c r="D653" s="37" t="s">
        <v>961</v>
      </c>
      <c r="E653" s="37" t="n">
        <v>24813093</v>
      </c>
      <c r="F653" s="37" t="s">
        <v>154</v>
      </c>
      <c r="G653" s="37" t="s">
        <v>201</v>
      </c>
      <c r="H653" s="37" t="s">
        <v>171</v>
      </c>
      <c r="I653" s="37" t="n">
        <v>51.7</v>
      </c>
      <c r="J653" s="39" t="n">
        <v>659.99</v>
      </c>
      <c r="K653" s="37" t="s">
        <v>498</v>
      </c>
      <c r="L653" s="39" t="n">
        <v>141.32</v>
      </c>
      <c r="M653" s="39" t="n">
        <v>103.6</v>
      </c>
      <c r="N653" s="39" t="n">
        <f aca="false">J653*Resumo!$C$7</f>
        <v>1.31998</v>
      </c>
      <c r="O653" s="39" t="n">
        <f aca="false">J653*Resumo!$C$8</f>
        <v>1.31998</v>
      </c>
      <c r="P653" s="39" t="n">
        <f aca="false">Resumo!$C$10*CEILING(I653/100,1)</f>
        <v>1</v>
      </c>
      <c r="Q653" s="39" t="n">
        <f aca="false">Resumo!$C$9</f>
        <v>11.9</v>
      </c>
      <c r="R653" s="39" t="n">
        <f aca="false">SUM(M653:Q653)*Resumo!$C$11</f>
        <v>6.5526978</v>
      </c>
      <c r="S653" s="39" t="n">
        <f aca="false">SUM(M653:R653)</f>
        <v>125.6926578</v>
      </c>
      <c r="T653" s="39" t="n">
        <f aca="false">S653/(1-Resumo!$C$5)</f>
        <v>142.832565681818</v>
      </c>
      <c r="U653" s="39" t="n">
        <v>128.14</v>
      </c>
      <c r="V653" s="39" t="n">
        <f aca="false">J653*Resumo!$B$6</f>
        <v>0.65999</v>
      </c>
      <c r="W653" s="39" t="n">
        <f aca="false">J653*Resumo!$B$7</f>
        <v>1.31998</v>
      </c>
      <c r="X653" s="39" t="n">
        <f aca="false">Resumo!$B$9</f>
        <v>1</v>
      </c>
      <c r="Y653" s="39" t="n">
        <f aca="false">Resumo!$B$10*CEILING(I653/100,1)</f>
        <v>4.5</v>
      </c>
      <c r="Z653" s="39" t="n">
        <f aca="false">Resumo!$B$12*CEILING(I653,1)</f>
        <v>3.12</v>
      </c>
      <c r="AA653" s="39" t="n">
        <f aca="false">Resumo!$B$13*CEILING(I653,1)</f>
        <v>23.4</v>
      </c>
      <c r="AB653" s="39" t="n">
        <f aca="false">SUM(U653:AA653)</f>
        <v>162.13997</v>
      </c>
      <c r="AC653" s="39" t="n">
        <f aca="false">AB653/(1-Resumo!$B$5)</f>
        <v>184.249965909091</v>
      </c>
      <c r="AD653" s="39" t="n">
        <f aca="false">(AB653-AA653)/(1-Resumo!$B$5)</f>
        <v>157.659056818182</v>
      </c>
      <c r="AE653" s="39" t="n">
        <f aca="false">AC653-T653</f>
        <v>41.4174002272727</v>
      </c>
      <c r="AF653" s="40" t="n">
        <f aca="false">AC653/T653-1</f>
        <v>0.289971688386082</v>
      </c>
      <c r="AG653" s="37" t="str">
        <f aca="false">IF(AC653&lt;T653,"SIM","NÃO")</f>
        <v>NÃO</v>
      </c>
      <c r="AH653" s="37" t="n">
        <v>13</v>
      </c>
      <c r="AI653" s="37" t="n">
        <v>7</v>
      </c>
      <c r="AJ653" s="37" t="s">
        <v>323</v>
      </c>
    </row>
    <row r="654" customFormat="false" ht="15" hidden="false" customHeight="false" outlineLevel="0" collapsed="false">
      <c r="A654" s="37" t="n">
        <v>372647141</v>
      </c>
      <c r="B654" s="38" t="n">
        <v>46240.8490046296</v>
      </c>
      <c r="C654" s="37" t="s">
        <v>325</v>
      </c>
      <c r="D654" s="37" t="s">
        <v>962</v>
      </c>
      <c r="E654" s="37" t="n">
        <v>23520521</v>
      </c>
      <c r="F654" s="37" t="s">
        <v>139</v>
      </c>
      <c r="G654" s="37" t="s">
        <v>198</v>
      </c>
      <c r="H654" s="37" t="s">
        <v>179</v>
      </c>
      <c r="I654" s="37" t="n">
        <v>200.3</v>
      </c>
      <c r="J654" s="39" t="n">
        <v>2125.94</v>
      </c>
      <c r="K654" s="37" t="s">
        <v>498</v>
      </c>
      <c r="L654" s="39" t="n">
        <v>338.2</v>
      </c>
      <c r="M654" s="39" t="n">
        <v>272.9</v>
      </c>
      <c r="N654" s="39" t="n">
        <f aca="false">J654*Resumo!$C$7</f>
        <v>4.25188</v>
      </c>
      <c r="O654" s="39" t="n">
        <f aca="false">J654*Resumo!$C$8</f>
        <v>4.25188</v>
      </c>
      <c r="P654" s="39" t="n">
        <f aca="false">Resumo!$C$10*CEILING(I654/100,1)</f>
        <v>3</v>
      </c>
      <c r="Q654" s="39" t="n">
        <f aca="false">Resumo!$C$9</f>
        <v>11.9</v>
      </c>
      <c r="R654" s="39" t="n">
        <f aca="false">SUM(M654:Q654)*Resumo!$C$11</f>
        <v>16.2967068</v>
      </c>
      <c r="S654" s="39" t="n">
        <f aca="false">SUM(M654:R654)</f>
        <v>312.6004668</v>
      </c>
      <c r="T654" s="39" t="n">
        <f aca="false">S654/(1-Resumo!$C$5)</f>
        <v>355.227803181818</v>
      </c>
      <c r="U654" s="39" t="n">
        <v>398.74</v>
      </c>
      <c r="V654" s="39" t="n">
        <f aca="false">J654*Resumo!$B$6</f>
        <v>2.12594</v>
      </c>
      <c r="W654" s="39" t="n">
        <f aca="false">J654*Resumo!$B$7</f>
        <v>4.25188</v>
      </c>
      <c r="X654" s="39" t="n">
        <f aca="false">Resumo!$B$9</f>
        <v>1</v>
      </c>
      <c r="Y654" s="39" t="n">
        <f aca="false">Resumo!$B$10*CEILING(I654/100,1)</f>
        <v>13.5</v>
      </c>
      <c r="Z654" s="39" t="n">
        <f aca="false">Resumo!$B$12*CEILING(I654,1)</f>
        <v>12.06</v>
      </c>
      <c r="AA654" s="39" t="n">
        <f aca="false">Resumo!$B$13*CEILING(I654,1)</f>
        <v>90.45</v>
      </c>
      <c r="AB654" s="39" t="n">
        <f aca="false">SUM(U654:AA654)</f>
        <v>522.12782</v>
      </c>
      <c r="AC654" s="39" t="n">
        <f aca="false">AB654/(1-Resumo!$B$5)</f>
        <v>593.327068181818</v>
      </c>
      <c r="AD654" s="39" t="n">
        <f aca="false">(AB654-AA654)/(1-Resumo!$B$5)</f>
        <v>490.542977272727</v>
      </c>
      <c r="AE654" s="39" t="n">
        <f aca="false">AC654-T654</f>
        <v>238.099265</v>
      </c>
      <c r="AF654" s="40" t="n">
        <f aca="false">AC654/T654-1</f>
        <v>0.670272041961008</v>
      </c>
      <c r="AG654" s="37" t="str">
        <f aca="false">IF(AC654&lt;T654,"SIM","NÃO")</f>
        <v>NÃO</v>
      </c>
      <c r="AH654" s="37" t="n">
        <v>8</v>
      </c>
      <c r="AI654" s="37" t="n">
        <v>5</v>
      </c>
      <c r="AJ654" s="37" t="s">
        <v>323</v>
      </c>
    </row>
    <row r="655" customFormat="false" ht="15" hidden="false" customHeight="false" outlineLevel="0" collapsed="false">
      <c r="A655" s="37" t="n">
        <v>372648369</v>
      </c>
      <c r="B655" s="38" t="n">
        <v>46240.8514930556</v>
      </c>
      <c r="C655" s="37" t="s">
        <v>320</v>
      </c>
      <c r="D655" s="37" t="s">
        <v>963</v>
      </c>
      <c r="E655" s="37" t="n">
        <v>20771631</v>
      </c>
      <c r="F655" s="37" t="s">
        <v>139</v>
      </c>
      <c r="G655" s="37" t="s">
        <v>198</v>
      </c>
      <c r="H655" s="37" t="s">
        <v>169</v>
      </c>
      <c r="I655" s="37" t="n">
        <v>36.8</v>
      </c>
      <c r="J655" s="39" t="n">
        <v>469.99</v>
      </c>
      <c r="K655" s="37" t="s">
        <v>322</v>
      </c>
      <c r="L655" s="39" t="n">
        <v>92.11</v>
      </c>
      <c r="M655" s="39" t="n">
        <v>62.05</v>
      </c>
      <c r="N655" s="39" t="n">
        <f aca="false">J655*Resumo!$C$7</f>
        <v>0.93998</v>
      </c>
      <c r="O655" s="39" t="n">
        <f aca="false">J655*Resumo!$C$8</f>
        <v>0.93998</v>
      </c>
      <c r="P655" s="39" t="n">
        <f aca="false">Resumo!$C$10*CEILING(I655/100,1)</f>
        <v>1</v>
      </c>
      <c r="Q655" s="39" t="n">
        <f aca="false">Resumo!$C$9</f>
        <v>11.9</v>
      </c>
      <c r="R655" s="39" t="n">
        <f aca="false">SUM(M655:Q655)*Resumo!$C$11</f>
        <v>4.2256478</v>
      </c>
      <c r="S655" s="39" t="n">
        <f aca="false">SUM(M655:R655)</f>
        <v>81.0556078</v>
      </c>
      <c r="T655" s="39" t="n">
        <f aca="false">S655/(1-Resumo!$C$5)</f>
        <v>92.1086452272727</v>
      </c>
      <c r="U655" s="39" t="n">
        <v>93.97</v>
      </c>
      <c r="V655" s="39" t="n">
        <f aca="false">J655*Resumo!$B$6</f>
        <v>0.46999</v>
      </c>
      <c r="W655" s="39" t="n">
        <f aca="false">J655*Resumo!$B$7</f>
        <v>0.93998</v>
      </c>
      <c r="X655" s="39" t="n">
        <f aca="false">Resumo!$B$9</f>
        <v>1</v>
      </c>
      <c r="Y655" s="39" t="n">
        <f aca="false">Resumo!$B$10*CEILING(I655/100,1)</f>
        <v>4.5</v>
      </c>
      <c r="Z655" s="39" t="n">
        <f aca="false">Resumo!$B$12*CEILING(I655,1)</f>
        <v>2.22</v>
      </c>
      <c r="AA655" s="39" t="n">
        <f aca="false">Resumo!$B$13*CEILING(I655,1)</f>
        <v>16.65</v>
      </c>
      <c r="AB655" s="39" t="n">
        <f aca="false">SUM(U655:AA655)</f>
        <v>119.74997</v>
      </c>
      <c r="AC655" s="39" t="n">
        <f aca="false">AB655/(1-Resumo!$B$5)</f>
        <v>136.079511363636</v>
      </c>
      <c r="AD655" s="39" t="n">
        <f aca="false">(AB655-AA655)/(1-Resumo!$B$5)</f>
        <v>117.159056818182</v>
      </c>
      <c r="AE655" s="39" t="n">
        <f aca="false">AC655-T655</f>
        <v>43.9708661363636</v>
      </c>
      <c r="AF655" s="40" t="n">
        <f aca="false">AC655/T655-1</f>
        <v>0.477380445970821</v>
      </c>
      <c r="AG655" s="37" t="str">
        <f aca="false">IF(AC655&lt;T655,"SIM","NÃO")</f>
        <v>NÃO</v>
      </c>
      <c r="AH655" s="37" t="n">
        <v>8</v>
      </c>
      <c r="AI655" s="37" t="n">
        <v>5</v>
      </c>
      <c r="AJ655" s="37" t="s">
        <v>323</v>
      </c>
    </row>
    <row r="656" customFormat="false" ht="15" hidden="false" customHeight="false" outlineLevel="0" collapsed="false">
      <c r="A656" s="37" t="n">
        <v>372657683</v>
      </c>
      <c r="B656" s="38" t="n">
        <v>46240.8684143519</v>
      </c>
      <c r="C656" s="37" t="s">
        <v>320</v>
      </c>
      <c r="D656" s="37" t="s">
        <v>964</v>
      </c>
      <c r="E656" s="37" t="n">
        <v>24900155</v>
      </c>
      <c r="F656" s="37" t="s">
        <v>151</v>
      </c>
      <c r="G656" s="37" t="s">
        <v>201</v>
      </c>
      <c r="H656" s="37" t="s">
        <v>175</v>
      </c>
      <c r="I656" s="37" t="n">
        <v>106.5</v>
      </c>
      <c r="J656" s="39" t="n">
        <v>1199.99</v>
      </c>
      <c r="K656" s="37" t="s">
        <v>498</v>
      </c>
      <c r="L656" s="39" t="n">
        <v>214.02</v>
      </c>
      <c r="M656" s="39" t="n">
        <v>161.81</v>
      </c>
      <c r="N656" s="39" t="n">
        <f aca="false">J656*Resumo!$C$7</f>
        <v>2.39998</v>
      </c>
      <c r="O656" s="39" t="n">
        <f aca="false">J656*Resumo!$C$8</f>
        <v>2.39998</v>
      </c>
      <c r="P656" s="39" t="n">
        <f aca="false">Resumo!$C$10*CEILING(I656/100,1)</f>
        <v>2</v>
      </c>
      <c r="Q656" s="39" t="n">
        <f aca="false">Resumo!$C$9</f>
        <v>11.9</v>
      </c>
      <c r="R656" s="39" t="n">
        <f aca="false">SUM(M656:Q656)*Resumo!$C$11</f>
        <v>9.9280478</v>
      </c>
      <c r="S656" s="39" t="n">
        <f aca="false">SUM(M656:R656)</f>
        <v>190.4380078</v>
      </c>
      <c r="T656" s="39" t="n">
        <f aca="false">S656/(1-Resumo!$C$5)</f>
        <v>216.406827045455</v>
      </c>
      <c r="U656" s="39" t="n">
        <v>214.11</v>
      </c>
      <c r="V656" s="39" t="n">
        <f aca="false">J656*Resumo!$B$6</f>
        <v>1.19999</v>
      </c>
      <c r="W656" s="39" t="n">
        <f aca="false">J656*Resumo!$B$7</f>
        <v>2.39998</v>
      </c>
      <c r="X656" s="39" t="n">
        <f aca="false">Resumo!$B$9</f>
        <v>1</v>
      </c>
      <c r="Y656" s="39" t="n">
        <f aca="false">Resumo!$B$10*CEILING(I656/100,1)</f>
        <v>9</v>
      </c>
      <c r="Z656" s="39" t="n">
        <f aca="false">Resumo!$B$12*CEILING(I656,1)</f>
        <v>6.42</v>
      </c>
      <c r="AA656" s="39" t="n">
        <f aca="false">Resumo!$B$13*CEILING(I656,1)</f>
        <v>48.15</v>
      </c>
      <c r="AB656" s="39" t="n">
        <f aca="false">SUM(U656:AA656)</f>
        <v>282.27997</v>
      </c>
      <c r="AC656" s="39" t="n">
        <f aca="false">AB656/(1-Resumo!$B$5)</f>
        <v>320.772693181818</v>
      </c>
      <c r="AD656" s="39" t="n">
        <f aca="false">(AB656-AA656)/(1-Resumo!$B$5)</f>
        <v>266.056784090909</v>
      </c>
      <c r="AE656" s="39" t="n">
        <f aca="false">AC656-T656</f>
        <v>104.365866136364</v>
      </c>
      <c r="AF656" s="40" t="n">
        <f aca="false">AC656/T656-1</f>
        <v>0.482266976329921</v>
      </c>
      <c r="AG656" s="37" t="str">
        <f aca="false">IF(AC656&lt;T656,"SIM","NÃO")</f>
        <v>NÃO</v>
      </c>
      <c r="AH656" s="37" t="n">
        <v>13</v>
      </c>
      <c r="AI656" s="37" t="n">
        <v>7</v>
      </c>
      <c r="AJ656" s="37" t="s">
        <v>323</v>
      </c>
    </row>
    <row r="657" customFormat="false" ht="15" hidden="false" customHeight="false" outlineLevel="0" collapsed="false">
      <c r="A657" s="37" t="n">
        <v>372662584</v>
      </c>
      <c r="B657" s="38" t="n">
        <v>46240.8778703704</v>
      </c>
      <c r="C657" s="37" t="s">
        <v>320</v>
      </c>
      <c r="D657" s="37" t="s">
        <v>965</v>
      </c>
      <c r="E657" s="37" t="n">
        <v>27255005</v>
      </c>
      <c r="F657" s="37" t="s">
        <v>148</v>
      </c>
      <c r="G657" s="37" t="s">
        <v>201</v>
      </c>
      <c r="H657" s="37" t="s">
        <v>171</v>
      </c>
      <c r="I657" s="37" t="n">
        <v>52.3</v>
      </c>
      <c r="J657" s="39" t="n">
        <v>685.85</v>
      </c>
      <c r="K657" s="37" t="s">
        <v>498</v>
      </c>
      <c r="L657" s="39" t="n">
        <v>141.94</v>
      </c>
      <c r="M657" s="39" t="n">
        <v>103.6</v>
      </c>
      <c r="N657" s="39" t="n">
        <f aca="false">J657*Resumo!$C$7</f>
        <v>1.3717</v>
      </c>
      <c r="O657" s="39" t="n">
        <f aca="false">J657*Resumo!$C$8</f>
        <v>1.3717</v>
      </c>
      <c r="P657" s="39" t="n">
        <f aca="false">Resumo!$C$10*CEILING(I657/100,1)</f>
        <v>1</v>
      </c>
      <c r="Q657" s="39" t="n">
        <f aca="false">Resumo!$C$9</f>
        <v>11.9</v>
      </c>
      <c r="R657" s="39" t="n">
        <f aca="false">SUM(M657:Q657)*Resumo!$C$11</f>
        <v>6.558387</v>
      </c>
      <c r="S657" s="39" t="n">
        <f aca="false">SUM(M657:R657)</f>
        <v>125.801787</v>
      </c>
      <c r="T657" s="39" t="n">
        <f aca="false">S657/(1-Resumo!$C$5)</f>
        <v>142.956576136364</v>
      </c>
      <c r="U657" s="39" t="n">
        <v>142.32</v>
      </c>
      <c r="V657" s="39" t="n">
        <f aca="false">J657*Resumo!$B$6</f>
        <v>0.68585</v>
      </c>
      <c r="W657" s="39" t="n">
        <f aca="false">J657*Resumo!$B$7</f>
        <v>1.3717</v>
      </c>
      <c r="X657" s="39" t="n">
        <f aca="false">Resumo!$B$9</f>
        <v>1</v>
      </c>
      <c r="Y657" s="39" t="n">
        <f aca="false">Resumo!$B$10*CEILING(I657/100,1)</f>
        <v>4.5</v>
      </c>
      <c r="Z657" s="39" t="n">
        <f aca="false">Resumo!$B$12*CEILING(I657,1)</f>
        <v>3.18</v>
      </c>
      <c r="AA657" s="39" t="n">
        <f aca="false">Resumo!$B$13*CEILING(I657,1)</f>
        <v>23.85</v>
      </c>
      <c r="AB657" s="39" t="n">
        <f aca="false">SUM(U657:AA657)</f>
        <v>176.90755</v>
      </c>
      <c r="AC657" s="39" t="n">
        <f aca="false">AB657/(1-Resumo!$B$5)</f>
        <v>201.031306818182</v>
      </c>
      <c r="AD657" s="39" t="n">
        <f aca="false">(AB657-AA657)/(1-Resumo!$B$5)</f>
        <v>173.929034090909</v>
      </c>
      <c r="AE657" s="39" t="n">
        <f aca="false">AC657-T657</f>
        <v>58.0747306818182</v>
      </c>
      <c r="AF657" s="40" t="n">
        <f aca="false">AC657/T657-1</f>
        <v>0.406240358096026</v>
      </c>
      <c r="AG657" s="37" t="str">
        <f aca="false">IF(AC657&lt;T657,"SIM","NÃO")</f>
        <v>NÃO</v>
      </c>
      <c r="AH657" s="37" t="n">
        <v>13</v>
      </c>
      <c r="AI657" s="37" t="n">
        <v>10</v>
      </c>
      <c r="AJ657" s="37" t="s">
        <v>323</v>
      </c>
    </row>
    <row r="658" customFormat="false" ht="15" hidden="false" customHeight="false" outlineLevel="0" collapsed="false">
      <c r="A658" s="37" t="n">
        <v>372666225</v>
      </c>
      <c r="B658" s="38" t="n">
        <v>46240.8843865741</v>
      </c>
      <c r="C658" s="37" t="s">
        <v>320</v>
      </c>
      <c r="D658" s="37" t="s">
        <v>966</v>
      </c>
      <c r="E658" s="37" t="n">
        <v>23063152</v>
      </c>
      <c r="F658" s="37" t="s">
        <v>139</v>
      </c>
      <c r="G658" s="37" t="s">
        <v>198</v>
      </c>
      <c r="H658" s="37" t="s">
        <v>171</v>
      </c>
      <c r="I658" s="37" t="n">
        <v>52.3</v>
      </c>
      <c r="J658" s="39" t="n">
        <v>685.85</v>
      </c>
      <c r="K658" s="37" t="s">
        <v>498</v>
      </c>
      <c r="L658" s="39" t="n">
        <v>113.56</v>
      </c>
      <c r="M658" s="39" t="n">
        <v>79.81</v>
      </c>
      <c r="N658" s="39" t="n">
        <f aca="false">J658*Resumo!$C$7</f>
        <v>1.3717</v>
      </c>
      <c r="O658" s="39" t="n">
        <f aca="false">J658*Resumo!$C$8</f>
        <v>1.3717</v>
      </c>
      <c r="P658" s="39" t="n">
        <f aca="false">Resumo!$C$10*CEILING(I658/100,1)</f>
        <v>1</v>
      </c>
      <c r="Q658" s="39" t="n">
        <f aca="false">Resumo!$C$9</f>
        <v>11.9</v>
      </c>
      <c r="R658" s="39" t="n">
        <f aca="false">SUM(M658:Q658)*Resumo!$C$11</f>
        <v>5.249937</v>
      </c>
      <c r="S658" s="39" t="n">
        <f aca="false">SUM(M658:R658)</f>
        <v>100.703337</v>
      </c>
      <c r="T658" s="39" t="n">
        <f aca="false">S658/(1-Resumo!$C$5)</f>
        <v>114.435610227273</v>
      </c>
      <c r="U658" s="39" t="n">
        <v>112.3</v>
      </c>
      <c r="V658" s="39" t="n">
        <f aca="false">J658*Resumo!$B$6</f>
        <v>0.68585</v>
      </c>
      <c r="W658" s="39" t="n">
        <f aca="false">J658*Resumo!$B$7</f>
        <v>1.3717</v>
      </c>
      <c r="X658" s="39" t="n">
        <f aca="false">Resumo!$B$9</f>
        <v>1</v>
      </c>
      <c r="Y658" s="39" t="n">
        <f aca="false">Resumo!$B$10*CEILING(I658/100,1)</f>
        <v>4.5</v>
      </c>
      <c r="Z658" s="39" t="n">
        <f aca="false">Resumo!$B$12*CEILING(I658,1)</f>
        <v>3.18</v>
      </c>
      <c r="AA658" s="39" t="n">
        <f aca="false">Resumo!$B$13*CEILING(I658,1)</f>
        <v>23.85</v>
      </c>
      <c r="AB658" s="39" t="n">
        <f aca="false">SUM(U658:AA658)</f>
        <v>146.88755</v>
      </c>
      <c r="AC658" s="39" t="n">
        <f aca="false">AB658/(1-Resumo!$B$5)</f>
        <v>166.917670454545</v>
      </c>
      <c r="AD658" s="39" t="n">
        <f aca="false">(AB658-AA658)/(1-Resumo!$B$5)</f>
        <v>139.815397727273</v>
      </c>
      <c r="AE658" s="39" t="n">
        <f aca="false">AC658-T658</f>
        <v>52.4820602272727</v>
      </c>
      <c r="AF658" s="40" t="n">
        <f aca="false">AC658/T658-1</f>
        <v>0.458616510394288</v>
      </c>
      <c r="AG658" s="37" t="str">
        <f aca="false">IF(AC658&lt;T658,"SIM","NÃO")</f>
        <v>NÃO</v>
      </c>
      <c r="AH658" s="37" t="n">
        <v>8</v>
      </c>
      <c r="AI658" s="37" t="n">
        <v>5</v>
      </c>
      <c r="AJ658" s="37" t="s">
        <v>323</v>
      </c>
    </row>
    <row r="659" customFormat="false" ht="15" hidden="false" customHeight="false" outlineLevel="0" collapsed="false">
      <c r="A659" s="37" t="n">
        <v>372674713</v>
      </c>
      <c r="B659" s="38" t="n">
        <v>46240.9035532407</v>
      </c>
      <c r="C659" s="37" t="s">
        <v>355</v>
      </c>
      <c r="D659" s="37" t="s">
        <v>967</v>
      </c>
      <c r="E659" s="37" t="n">
        <v>21042070</v>
      </c>
      <c r="F659" s="37" t="s">
        <v>139</v>
      </c>
      <c r="G659" s="37" t="s">
        <v>198</v>
      </c>
      <c r="H659" s="37" t="s">
        <v>168</v>
      </c>
      <c r="I659" s="37" t="n">
        <v>22.4</v>
      </c>
      <c r="J659" s="39" t="n">
        <v>466.39</v>
      </c>
      <c r="K659" s="37" t="s">
        <v>322</v>
      </c>
      <c r="L659" s="39" t="n">
        <v>82.56</v>
      </c>
      <c r="M659" s="39" t="n">
        <v>54.1</v>
      </c>
      <c r="N659" s="39" t="n">
        <f aca="false">J659*Resumo!$C$7</f>
        <v>0.93278</v>
      </c>
      <c r="O659" s="39" t="n">
        <f aca="false">J659*Resumo!$C$8</f>
        <v>0.93278</v>
      </c>
      <c r="P659" s="39" t="n">
        <f aca="false">Resumo!$C$10*CEILING(I659/100,1)</f>
        <v>1</v>
      </c>
      <c r="Q659" s="39" t="n">
        <f aca="false">Resumo!$C$9</f>
        <v>11.9</v>
      </c>
      <c r="R659" s="39" t="n">
        <f aca="false">SUM(M659:Q659)*Resumo!$C$11</f>
        <v>3.7876058</v>
      </c>
      <c r="S659" s="39" t="n">
        <f aca="false">SUM(M659:R659)</f>
        <v>72.6531658</v>
      </c>
      <c r="T659" s="39" t="n">
        <f aca="false">S659/(1-Resumo!$C$5)</f>
        <v>82.5604156818182</v>
      </c>
      <c r="U659" s="39" t="n">
        <v>82.21</v>
      </c>
      <c r="V659" s="39" t="n">
        <f aca="false">J659*Resumo!$B$6</f>
        <v>0.46639</v>
      </c>
      <c r="W659" s="39" t="n">
        <f aca="false">J659*Resumo!$B$7</f>
        <v>0.93278</v>
      </c>
      <c r="X659" s="39" t="n">
        <f aca="false">Resumo!$B$9</f>
        <v>1</v>
      </c>
      <c r="Y659" s="39" t="n">
        <f aca="false">Resumo!$B$10*CEILING(I659/100,1)</f>
        <v>4.5</v>
      </c>
      <c r="Z659" s="39" t="n">
        <f aca="false">Resumo!$B$12*CEILING(I659,1)</f>
        <v>1.38</v>
      </c>
      <c r="AA659" s="39" t="n">
        <f aca="false">Resumo!$B$13*CEILING(I659,1)</f>
        <v>10.35</v>
      </c>
      <c r="AB659" s="39" t="n">
        <f aca="false">SUM(U659:AA659)</f>
        <v>100.83917</v>
      </c>
      <c r="AC659" s="39" t="n">
        <f aca="false">AB659/(1-Resumo!$B$5)</f>
        <v>114.589965909091</v>
      </c>
      <c r="AD659" s="39" t="n">
        <f aca="false">(AB659-AA659)/(1-Resumo!$B$5)</f>
        <v>102.828602272727</v>
      </c>
      <c r="AE659" s="39" t="n">
        <f aca="false">AC659-T659</f>
        <v>32.0295502272727</v>
      </c>
      <c r="AF659" s="40" t="n">
        <f aca="false">AC659/T659-1</f>
        <v>0.387952870183119</v>
      </c>
      <c r="AG659" s="37" t="str">
        <f aca="false">IF(AC659&lt;T659,"SIM","NÃO")</f>
        <v>NÃO</v>
      </c>
      <c r="AH659" s="37" t="n">
        <v>8</v>
      </c>
      <c r="AI659" s="37" t="n">
        <v>5</v>
      </c>
      <c r="AJ659" s="37" t="s">
        <v>323</v>
      </c>
    </row>
    <row r="660" customFormat="false" ht="15" hidden="false" customHeight="false" outlineLevel="0" collapsed="false">
      <c r="A660" s="37" t="n">
        <v>372671752</v>
      </c>
      <c r="B660" s="38" t="n">
        <v>46240.9112268519</v>
      </c>
      <c r="C660" s="37" t="s">
        <v>352</v>
      </c>
      <c r="D660" s="37" t="s">
        <v>968</v>
      </c>
      <c r="E660" s="37" t="n">
        <v>23914215</v>
      </c>
      <c r="F660" s="37" t="s">
        <v>149</v>
      </c>
      <c r="G660" s="37" t="s">
        <v>201</v>
      </c>
      <c r="H660" s="37" t="s">
        <v>169</v>
      </c>
      <c r="I660" s="37" t="n">
        <v>40</v>
      </c>
      <c r="J660" s="39" t="n">
        <v>599.99</v>
      </c>
      <c r="K660" s="37" t="s">
        <v>498</v>
      </c>
      <c r="L660" s="39" t="n">
        <v>125.1</v>
      </c>
      <c r="M660" s="39" t="n">
        <v>87.4</v>
      </c>
      <c r="N660" s="39" t="n">
        <f aca="false">J660*Resumo!$C$7</f>
        <v>1.19998</v>
      </c>
      <c r="O660" s="39" t="n">
        <f aca="false">J660*Resumo!$C$8</f>
        <v>1.19998</v>
      </c>
      <c r="P660" s="39" t="n">
        <f aca="false">Resumo!$C$10*CEILING(I660/100,1)</f>
        <v>1</v>
      </c>
      <c r="Q660" s="39" t="n">
        <f aca="false">Resumo!$C$9</f>
        <v>11.9</v>
      </c>
      <c r="R660" s="39" t="n">
        <f aca="false">SUM(M660:Q660)*Resumo!$C$11</f>
        <v>5.6484978</v>
      </c>
      <c r="S660" s="39" t="n">
        <f aca="false">SUM(M660:R660)</f>
        <v>108.3484578</v>
      </c>
      <c r="T660" s="39" t="n">
        <f aca="false">S660/(1-Resumo!$C$5)</f>
        <v>123.1232475</v>
      </c>
      <c r="U660" s="39" t="n">
        <v>124.38</v>
      </c>
      <c r="V660" s="39" t="n">
        <f aca="false">J660*Resumo!$B$6</f>
        <v>0.59999</v>
      </c>
      <c r="W660" s="39" t="n">
        <f aca="false">J660*Resumo!$B$7</f>
        <v>1.19998</v>
      </c>
      <c r="X660" s="39" t="n">
        <f aca="false">Resumo!$B$9</f>
        <v>1</v>
      </c>
      <c r="Y660" s="39" t="n">
        <f aca="false">Resumo!$B$10*CEILING(I660/100,1)</f>
        <v>4.5</v>
      </c>
      <c r="Z660" s="39" t="n">
        <f aca="false">Resumo!$B$12*CEILING(I660,1)</f>
        <v>2.4</v>
      </c>
      <c r="AA660" s="39" t="n">
        <f aca="false">Resumo!$B$13*CEILING(I660,1)</f>
        <v>18</v>
      </c>
      <c r="AB660" s="39" t="n">
        <f aca="false">SUM(U660:AA660)</f>
        <v>152.07997</v>
      </c>
      <c r="AC660" s="39" t="n">
        <f aca="false">AB660/(1-Resumo!$B$5)</f>
        <v>172.818147727273</v>
      </c>
      <c r="AD660" s="39" t="n">
        <f aca="false">(AB660-AA660)/(1-Resumo!$B$5)</f>
        <v>152.363602272727</v>
      </c>
      <c r="AE660" s="39" t="n">
        <f aca="false">AC660-T660</f>
        <v>49.6949002272727</v>
      </c>
      <c r="AF660" s="40" t="n">
        <f aca="false">AC660/T660-1</f>
        <v>0.403619147775263</v>
      </c>
      <c r="AG660" s="37" t="str">
        <f aca="false">IF(AC660&lt;T660,"SIM","NÃO")</f>
        <v>NÃO</v>
      </c>
      <c r="AH660" s="37" t="n">
        <v>13</v>
      </c>
      <c r="AI660" s="37" t="n">
        <v>10</v>
      </c>
      <c r="AJ660" s="37" t="s">
        <v>323</v>
      </c>
    </row>
    <row r="661" customFormat="false" ht="15" hidden="false" customHeight="false" outlineLevel="0" collapsed="false">
      <c r="A661" s="37" t="n">
        <v>372687901</v>
      </c>
      <c r="B661" s="38" t="n">
        <v>46240.9252430556</v>
      </c>
      <c r="C661" s="37" t="s">
        <v>320</v>
      </c>
      <c r="D661" s="37" t="s">
        <v>969</v>
      </c>
      <c r="E661" s="37" t="n">
        <v>24725229</v>
      </c>
      <c r="F661" s="37" t="s">
        <v>140</v>
      </c>
      <c r="G661" s="37" t="s">
        <v>207</v>
      </c>
      <c r="H661" s="37" t="s">
        <v>168</v>
      </c>
      <c r="I661" s="37" t="n">
        <v>20.9</v>
      </c>
      <c r="J661" s="39" t="n">
        <v>487.59</v>
      </c>
      <c r="K661" s="37" t="s">
        <v>498</v>
      </c>
      <c r="L661" s="39" t="n">
        <v>96.47</v>
      </c>
      <c r="M661" s="39" t="n">
        <v>70</v>
      </c>
      <c r="N661" s="39" t="n">
        <f aca="false">J661*Resumo!$C$7</f>
        <v>0.97518</v>
      </c>
      <c r="O661" s="39" t="n">
        <f aca="false">J661*Resumo!$C$8</f>
        <v>0.97518</v>
      </c>
      <c r="P661" s="39" t="n">
        <f aca="false">Resumo!$C$10*CEILING(I661/100,1)</f>
        <v>1</v>
      </c>
      <c r="Q661" s="39" t="n">
        <f aca="false">Resumo!$C$9</f>
        <v>11.9</v>
      </c>
      <c r="R661" s="39" t="n">
        <f aca="false">SUM(M661:Q661)*Resumo!$C$11</f>
        <v>4.6667698</v>
      </c>
      <c r="S661" s="39" t="n">
        <f aca="false">SUM(M661:R661)</f>
        <v>89.5171298</v>
      </c>
      <c r="T661" s="39" t="n">
        <f aca="false">S661/(1-Resumo!$C$5)</f>
        <v>101.724011136364</v>
      </c>
      <c r="U661" s="39" t="n">
        <v>100.58</v>
      </c>
      <c r="V661" s="39" t="n">
        <f aca="false">J661*Resumo!$B$6</f>
        <v>0.48759</v>
      </c>
      <c r="W661" s="39" t="n">
        <f aca="false">J661*Resumo!$B$7</f>
        <v>0.97518</v>
      </c>
      <c r="X661" s="39" t="n">
        <f aca="false">Resumo!$B$9</f>
        <v>1</v>
      </c>
      <c r="Y661" s="39" t="n">
        <f aca="false">Resumo!$B$10*CEILING(I661/100,1)</f>
        <v>4.5</v>
      </c>
      <c r="Z661" s="39" t="n">
        <f aca="false">Resumo!$B$12*CEILING(I661,1)</f>
        <v>1.26</v>
      </c>
      <c r="AA661" s="39" t="n">
        <f aca="false">Resumo!$B$13*CEILING(I661,1)</f>
        <v>9.45</v>
      </c>
      <c r="AB661" s="39" t="n">
        <f aca="false">SUM(U661:AA661)</f>
        <v>118.25277</v>
      </c>
      <c r="AC661" s="39" t="n">
        <f aca="false">AB661/(1-Resumo!$B$5)</f>
        <v>134.378147727273</v>
      </c>
      <c r="AD661" s="39" t="n">
        <f aca="false">(AB661-AA661)/(1-Resumo!$B$5)</f>
        <v>123.639511363636</v>
      </c>
      <c r="AE661" s="39" t="n">
        <f aca="false">AC661-T661</f>
        <v>32.6541365909091</v>
      </c>
      <c r="AF661" s="40" t="n">
        <f aca="false">AC661/T661-1</f>
        <v>0.32100716660824</v>
      </c>
      <c r="AG661" s="37" t="str">
        <f aca="false">IF(AC661&lt;T661,"SIM","NÃO")</f>
        <v>NÃO</v>
      </c>
      <c r="AH661" s="37" t="n">
        <v>10</v>
      </c>
      <c r="AI661" s="37" t="n">
        <v>7</v>
      </c>
      <c r="AJ661" s="37" t="s">
        <v>323</v>
      </c>
    </row>
    <row r="662" customFormat="false" ht="15" hidden="false" customHeight="false" outlineLevel="0" collapsed="false">
      <c r="A662" s="37" t="n">
        <v>372688345</v>
      </c>
      <c r="B662" s="38" t="n">
        <v>46240.9266319444</v>
      </c>
      <c r="C662" s="37" t="s">
        <v>320</v>
      </c>
      <c r="D662" s="37" t="s">
        <v>970</v>
      </c>
      <c r="E662" s="37" t="n">
        <v>25213152</v>
      </c>
      <c r="F662" s="37" t="s">
        <v>141</v>
      </c>
      <c r="G662" s="37" t="s">
        <v>207</v>
      </c>
      <c r="H662" s="37" t="s">
        <v>172</v>
      </c>
      <c r="I662" s="37" t="n">
        <v>63.9</v>
      </c>
      <c r="J662" s="39" t="n">
        <v>735.99</v>
      </c>
      <c r="K662" s="37" t="s">
        <v>322</v>
      </c>
      <c r="L662" s="39" t="n">
        <v>139.95</v>
      </c>
      <c r="M662" s="39" t="n">
        <v>100.9</v>
      </c>
      <c r="N662" s="39" t="n">
        <f aca="false">J662*Resumo!$C$7</f>
        <v>1.47198</v>
      </c>
      <c r="O662" s="39" t="n">
        <f aca="false">J662*Resumo!$C$8</f>
        <v>1.47198</v>
      </c>
      <c r="P662" s="39" t="n">
        <f aca="false">Resumo!$C$10*CEILING(I662/100,1)</f>
        <v>1</v>
      </c>
      <c r="Q662" s="39" t="n">
        <f aca="false">Resumo!$C$9</f>
        <v>11.9</v>
      </c>
      <c r="R662" s="39" t="n">
        <f aca="false">SUM(M662:Q662)*Resumo!$C$11</f>
        <v>6.4209178</v>
      </c>
      <c r="S662" s="39" t="n">
        <f aca="false">SUM(M662:R662)</f>
        <v>123.1648778</v>
      </c>
      <c r="T662" s="39" t="n">
        <f aca="false">S662/(1-Resumo!$C$5)</f>
        <v>139.960088409091</v>
      </c>
      <c r="U662" s="39" t="n">
        <v>131.02</v>
      </c>
      <c r="V662" s="39" t="n">
        <f aca="false">J662*Resumo!$B$6</f>
        <v>0.73599</v>
      </c>
      <c r="W662" s="39" t="n">
        <f aca="false">J662*Resumo!$B$7</f>
        <v>1.47198</v>
      </c>
      <c r="X662" s="39" t="n">
        <f aca="false">Resumo!$B$9</f>
        <v>1</v>
      </c>
      <c r="Y662" s="39" t="n">
        <f aca="false">Resumo!$B$10*CEILING(I662/100,1)</f>
        <v>4.5</v>
      </c>
      <c r="Z662" s="39" t="n">
        <f aca="false">Resumo!$B$12*CEILING(I662,1)</f>
        <v>3.84</v>
      </c>
      <c r="AA662" s="39" t="n">
        <f aca="false">Resumo!$B$13*CEILING(I662,1)</f>
        <v>28.8</v>
      </c>
      <c r="AB662" s="39" t="n">
        <f aca="false">SUM(U662:AA662)</f>
        <v>171.36797</v>
      </c>
      <c r="AC662" s="39" t="n">
        <f aca="false">AB662/(1-Resumo!$B$5)</f>
        <v>194.736329545455</v>
      </c>
      <c r="AD662" s="39" t="n">
        <f aca="false">(AB662-AA662)/(1-Resumo!$B$5)</f>
        <v>162.009056818182</v>
      </c>
      <c r="AE662" s="39" t="n">
        <f aca="false">AC662-T662</f>
        <v>54.7762411363637</v>
      </c>
      <c r="AF662" s="40" t="n">
        <f aca="false">AC662/T662-1</f>
        <v>0.391370438237061</v>
      </c>
      <c r="AG662" s="37" t="str">
        <f aca="false">IF(AC662&lt;T662,"SIM","NÃO")</f>
        <v>NÃO</v>
      </c>
      <c r="AH662" s="37" t="n">
        <v>10</v>
      </c>
      <c r="AI662" s="37" t="n">
        <v>5</v>
      </c>
      <c r="AJ662" s="37" t="s">
        <v>323</v>
      </c>
    </row>
    <row r="663" customFormat="false" ht="15" hidden="false" customHeight="false" outlineLevel="0" collapsed="false">
      <c r="A663" s="37" t="n">
        <v>372690858</v>
      </c>
      <c r="B663" s="38" t="n">
        <v>46240.9313888889</v>
      </c>
      <c r="C663" s="37" t="s">
        <v>320</v>
      </c>
      <c r="D663" s="37" t="s">
        <v>971</v>
      </c>
      <c r="E663" s="37" t="n">
        <v>27262470</v>
      </c>
      <c r="F663" s="37" t="s">
        <v>148</v>
      </c>
      <c r="G663" s="37" t="s">
        <v>201</v>
      </c>
      <c r="H663" s="37" t="s">
        <v>169</v>
      </c>
      <c r="I663" s="37" t="n">
        <v>36</v>
      </c>
      <c r="J663" s="39" t="n">
        <v>449.99</v>
      </c>
      <c r="K663" s="37" t="s">
        <v>498</v>
      </c>
      <c r="L663" s="39" t="n">
        <v>122.33</v>
      </c>
      <c r="M663" s="39" t="n">
        <v>87.4</v>
      </c>
      <c r="N663" s="39" t="n">
        <f aca="false">J663*Resumo!$C$7</f>
        <v>0.89998</v>
      </c>
      <c r="O663" s="39" t="n">
        <f aca="false">J663*Resumo!$C$8</f>
        <v>0.89998</v>
      </c>
      <c r="P663" s="39" t="n">
        <f aca="false">Resumo!$C$10*CEILING(I663/100,1)</f>
        <v>1</v>
      </c>
      <c r="Q663" s="39" t="n">
        <f aca="false">Resumo!$C$9</f>
        <v>11.9</v>
      </c>
      <c r="R663" s="39" t="n">
        <f aca="false">SUM(M663:Q663)*Resumo!$C$11</f>
        <v>5.6154978</v>
      </c>
      <c r="S663" s="39" t="n">
        <f aca="false">SUM(M663:R663)</f>
        <v>107.7154578</v>
      </c>
      <c r="T663" s="39" t="n">
        <f aca="false">S663/(1-Resumo!$C$5)</f>
        <v>122.403929318182</v>
      </c>
      <c r="U663" s="39" t="n">
        <v>124.38</v>
      </c>
      <c r="V663" s="39" t="n">
        <f aca="false">J663*Resumo!$B$6</f>
        <v>0.44999</v>
      </c>
      <c r="W663" s="39" t="n">
        <f aca="false">J663*Resumo!$B$7</f>
        <v>0.89998</v>
      </c>
      <c r="X663" s="39" t="n">
        <f aca="false">Resumo!$B$9</f>
        <v>1</v>
      </c>
      <c r="Y663" s="39" t="n">
        <f aca="false">Resumo!$B$10*CEILING(I663/100,1)</f>
        <v>4.5</v>
      </c>
      <c r="Z663" s="39" t="n">
        <f aca="false">Resumo!$B$12*CEILING(I663,1)</f>
        <v>2.16</v>
      </c>
      <c r="AA663" s="39" t="n">
        <f aca="false">Resumo!$B$13*CEILING(I663,1)</f>
        <v>16.2</v>
      </c>
      <c r="AB663" s="39" t="n">
        <f aca="false">SUM(U663:AA663)</f>
        <v>149.58997</v>
      </c>
      <c r="AC663" s="39" t="n">
        <f aca="false">AB663/(1-Resumo!$B$5)</f>
        <v>169.988602272727</v>
      </c>
      <c r="AD663" s="39" t="n">
        <f aca="false">(AB663-AA663)/(1-Resumo!$B$5)</f>
        <v>151.579511363636</v>
      </c>
      <c r="AE663" s="39" t="n">
        <f aca="false">AC663-T663</f>
        <v>47.5846729545454</v>
      </c>
      <c r="AF663" s="40" t="n">
        <f aca="false">AC663/T663-1</f>
        <v>0.388751188132628</v>
      </c>
      <c r="AG663" s="37" t="str">
        <f aca="false">IF(AC663&lt;T663,"SIM","NÃO")</f>
        <v>NÃO</v>
      </c>
      <c r="AH663" s="37" t="n">
        <v>13</v>
      </c>
      <c r="AI663" s="37" t="n">
        <v>10</v>
      </c>
      <c r="AJ663" s="37" t="s">
        <v>323</v>
      </c>
    </row>
    <row r="664" customFormat="false" ht="15" hidden="false" customHeight="false" outlineLevel="0" collapsed="false">
      <c r="A664" s="37" t="n">
        <v>372691995</v>
      </c>
      <c r="B664" s="38" t="n">
        <v>46240.9336805556</v>
      </c>
      <c r="C664" s="37" t="s">
        <v>325</v>
      </c>
      <c r="D664" s="37" t="s">
        <v>972</v>
      </c>
      <c r="E664" s="37" t="n">
        <v>21211740</v>
      </c>
      <c r="F664" s="37" t="s">
        <v>139</v>
      </c>
      <c r="G664" s="37" t="s">
        <v>198</v>
      </c>
      <c r="H664" s="37" t="s">
        <v>172</v>
      </c>
      <c r="I664" s="37" t="n">
        <v>69.15</v>
      </c>
      <c r="J664" s="39" t="n">
        <v>707</v>
      </c>
      <c r="K664" s="37" t="s">
        <v>322</v>
      </c>
      <c r="L664" s="39" t="n">
        <v>124.59</v>
      </c>
      <c r="M664" s="39" t="n">
        <v>88.2</v>
      </c>
      <c r="N664" s="39" t="n">
        <f aca="false">J664*Resumo!$C$7</f>
        <v>1.414</v>
      </c>
      <c r="O664" s="39" t="n">
        <f aca="false">J664*Resumo!$C$8</f>
        <v>1.414</v>
      </c>
      <c r="P664" s="39" t="n">
        <f aca="false">Resumo!$C$10*CEILING(I664/100,1)</f>
        <v>1</v>
      </c>
      <c r="Q664" s="39" t="n">
        <f aca="false">Resumo!$C$9</f>
        <v>11.9</v>
      </c>
      <c r="R664" s="39" t="n">
        <f aca="false">SUM(M664:Q664)*Resumo!$C$11</f>
        <v>5.71604</v>
      </c>
      <c r="S664" s="39" t="n">
        <f aca="false">SUM(M664:R664)</f>
        <v>109.64404</v>
      </c>
      <c r="T664" s="39" t="n">
        <f aca="false">S664/(1-Resumo!$C$5)</f>
        <v>124.5955</v>
      </c>
      <c r="U664" s="39" t="n">
        <v>131.02</v>
      </c>
      <c r="V664" s="39" t="n">
        <f aca="false">J664*Resumo!$B$6</f>
        <v>0.707</v>
      </c>
      <c r="W664" s="39" t="n">
        <f aca="false">J664*Resumo!$B$7</f>
        <v>1.414</v>
      </c>
      <c r="X664" s="39" t="n">
        <f aca="false">Resumo!$B$9</f>
        <v>1</v>
      </c>
      <c r="Y664" s="39" t="n">
        <f aca="false">Resumo!$B$10*CEILING(I664/100,1)</f>
        <v>4.5</v>
      </c>
      <c r="Z664" s="39" t="n">
        <f aca="false">Resumo!$B$12*CEILING(I664,1)</f>
        <v>4.2</v>
      </c>
      <c r="AA664" s="39" t="n">
        <f aca="false">Resumo!$B$13*CEILING(I664,1)</f>
        <v>31.5</v>
      </c>
      <c r="AB664" s="39" t="n">
        <f aca="false">SUM(U664:AA664)</f>
        <v>174.341</v>
      </c>
      <c r="AC664" s="39" t="n">
        <f aca="false">AB664/(1-Resumo!$B$5)</f>
        <v>198.114772727273</v>
      </c>
      <c r="AD664" s="39" t="n">
        <f aca="false">(AB664-AA664)/(1-Resumo!$B$5)</f>
        <v>162.319318181818</v>
      </c>
      <c r="AE664" s="39" t="n">
        <f aca="false">AC664-T664</f>
        <v>73.5192727272727</v>
      </c>
      <c r="AF664" s="40" t="n">
        <f aca="false">AC664/T664-1</f>
        <v>0.590063627717476</v>
      </c>
      <c r="AG664" s="37" t="str">
        <f aca="false">IF(AC664&lt;T664,"SIM","NÃO")</f>
        <v>NÃO</v>
      </c>
      <c r="AH664" s="37" t="n">
        <v>8</v>
      </c>
      <c r="AI664" s="37" t="n">
        <v>5</v>
      </c>
      <c r="AJ664" s="37" t="s">
        <v>323</v>
      </c>
    </row>
    <row r="665" customFormat="false" ht="15" hidden="false" customHeight="false" outlineLevel="0" collapsed="false">
      <c r="A665" s="37" t="n">
        <v>372704119</v>
      </c>
      <c r="B665" s="38" t="n">
        <v>46240.9584953704</v>
      </c>
      <c r="C665" s="37" t="s">
        <v>320</v>
      </c>
      <c r="D665" s="37" t="s">
        <v>973</v>
      </c>
      <c r="E665" s="37" t="n">
        <v>28030350</v>
      </c>
      <c r="F665" s="37" t="s">
        <v>144</v>
      </c>
      <c r="G665" s="37" t="s">
        <v>201</v>
      </c>
      <c r="H665" s="37" t="s">
        <v>175</v>
      </c>
      <c r="I665" s="37" t="n">
        <v>106.5</v>
      </c>
      <c r="J665" s="39" t="n">
        <v>1199.99</v>
      </c>
      <c r="K665" s="37" t="s">
        <v>498</v>
      </c>
      <c r="L665" s="39" t="n">
        <v>214.02</v>
      </c>
      <c r="M665" s="39" t="n">
        <v>161.81</v>
      </c>
      <c r="N665" s="39" t="n">
        <f aca="false">J665*Resumo!$C$7</f>
        <v>2.39998</v>
      </c>
      <c r="O665" s="39" t="n">
        <f aca="false">J665*Resumo!$C$8</f>
        <v>2.39998</v>
      </c>
      <c r="P665" s="39" t="n">
        <f aca="false">Resumo!$C$10*CEILING(I665/100,1)</f>
        <v>2</v>
      </c>
      <c r="Q665" s="39" t="n">
        <f aca="false">Resumo!$C$9</f>
        <v>11.9</v>
      </c>
      <c r="R665" s="39" t="n">
        <f aca="false">SUM(M665:Q665)*Resumo!$C$11</f>
        <v>9.9280478</v>
      </c>
      <c r="S665" s="39" t="n">
        <f aca="false">SUM(M665:R665)</f>
        <v>190.4380078</v>
      </c>
      <c r="T665" s="39" t="n">
        <f aca="false">S665/(1-Resumo!$C$5)</f>
        <v>216.406827045455</v>
      </c>
      <c r="U665" s="39" t="n">
        <v>236.82</v>
      </c>
      <c r="V665" s="39" t="n">
        <f aca="false">J665*Resumo!$B$6</f>
        <v>1.19999</v>
      </c>
      <c r="W665" s="39" t="n">
        <f aca="false">J665*Resumo!$B$7</f>
        <v>2.39998</v>
      </c>
      <c r="X665" s="39" t="n">
        <f aca="false">Resumo!$B$9</f>
        <v>1</v>
      </c>
      <c r="Y665" s="39" t="n">
        <f aca="false">Resumo!$B$10*CEILING(I665/100,1)</f>
        <v>9</v>
      </c>
      <c r="Z665" s="39" t="n">
        <f aca="false">Resumo!$B$12*CEILING(I665,1)</f>
        <v>6.42</v>
      </c>
      <c r="AA665" s="39" t="n">
        <f aca="false">Resumo!$B$13*CEILING(I665,1)</f>
        <v>48.15</v>
      </c>
      <c r="AB665" s="39" t="n">
        <f aca="false">SUM(U665:AA665)</f>
        <v>304.98997</v>
      </c>
      <c r="AC665" s="39" t="n">
        <f aca="false">AB665/(1-Resumo!$B$5)</f>
        <v>346.579511363636</v>
      </c>
      <c r="AD665" s="39" t="n">
        <f aca="false">(AB665-AA665)/(1-Resumo!$B$5)</f>
        <v>291.863602272727</v>
      </c>
      <c r="AE665" s="39" t="n">
        <f aca="false">AC665-T665</f>
        <v>130.172684318182</v>
      </c>
      <c r="AF665" s="40" t="n">
        <f aca="false">AC665/T665-1</f>
        <v>0.601518381353284</v>
      </c>
      <c r="AG665" s="37" t="str">
        <f aca="false">IF(AC665&lt;T665,"SIM","NÃO")</f>
        <v>NÃO</v>
      </c>
      <c r="AH665" s="37" t="n">
        <v>13</v>
      </c>
      <c r="AI665" s="37" t="n">
        <v>11</v>
      </c>
      <c r="AJ665" s="37" t="s">
        <v>323</v>
      </c>
    </row>
    <row r="666" customFormat="false" ht="15" hidden="false" customHeight="false" outlineLevel="0" collapsed="false">
      <c r="A666" s="37" t="n">
        <v>372750324</v>
      </c>
      <c r="B666" s="38" t="n">
        <v>46241.0879513889</v>
      </c>
      <c r="C666" s="37" t="s">
        <v>320</v>
      </c>
      <c r="D666" s="37" t="s">
        <v>974</v>
      </c>
      <c r="E666" s="37" t="n">
        <v>24472160</v>
      </c>
      <c r="F666" s="37" t="s">
        <v>140</v>
      </c>
      <c r="G666" s="37" t="s">
        <v>207</v>
      </c>
      <c r="H666" s="37" t="s">
        <v>172</v>
      </c>
      <c r="I666" s="37" t="n">
        <v>61.5</v>
      </c>
      <c r="J666" s="39" t="n">
        <v>726.79</v>
      </c>
      <c r="K666" s="37" t="s">
        <v>498</v>
      </c>
      <c r="L666" s="39" t="n">
        <v>138.76</v>
      </c>
      <c r="M666" s="39" t="n">
        <v>100.9</v>
      </c>
      <c r="N666" s="39" t="n">
        <f aca="false">J666*Resumo!$C$7</f>
        <v>1.45358</v>
      </c>
      <c r="O666" s="39" t="n">
        <f aca="false">J666*Resumo!$C$8</f>
        <v>1.45358</v>
      </c>
      <c r="P666" s="39" t="n">
        <f aca="false">Resumo!$C$10*CEILING(I666/100,1)</f>
        <v>1</v>
      </c>
      <c r="Q666" s="39" t="n">
        <f aca="false">Resumo!$C$9</f>
        <v>11.9</v>
      </c>
      <c r="R666" s="39" t="n">
        <f aca="false">SUM(M666:Q666)*Resumo!$C$11</f>
        <v>6.4188938</v>
      </c>
      <c r="S666" s="39" t="n">
        <f aca="false">SUM(M666:R666)</f>
        <v>123.1260538</v>
      </c>
      <c r="T666" s="39" t="n">
        <f aca="false">S666/(1-Resumo!$C$5)</f>
        <v>139.915970227273</v>
      </c>
      <c r="U666" s="39" t="n">
        <v>149.5</v>
      </c>
      <c r="V666" s="39" t="n">
        <f aca="false">J666*Resumo!$B$6</f>
        <v>0.72679</v>
      </c>
      <c r="W666" s="39" t="n">
        <f aca="false">J666*Resumo!$B$7</f>
        <v>1.45358</v>
      </c>
      <c r="X666" s="39" t="n">
        <f aca="false">Resumo!$B$9</f>
        <v>1</v>
      </c>
      <c r="Y666" s="39" t="n">
        <f aca="false">Resumo!$B$10*CEILING(I666/100,1)</f>
        <v>4.5</v>
      </c>
      <c r="Z666" s="39" t="n">
        <f aca="false">Resumo!$B$12*CEILING(I666,1)</f>
        <v>3.72</v>
      </c>
      <c r="AA666" s="39" t="n">
        <f aca="false">Resumo!$B$13*CEILING(I666,1)</f>
        <v>27.9</v>
      </c>
      <c r="AB666" s="39" t="n">
        <f aca="false">SUM(U666:AA666)</f>
        <v>188.80037</v>
      </c>
      <c r="AC666" s="39" t="n">
        <f aca="false">AB666/(1-Resumo!$B$5)</f>
        <v>214.545875</v>
      </c>
      <c r="AD666" s="39" t="n">
        <f aca="false">(AB666-AA666)/(1-Resumo!$B$5)</f>
        <v>182.841329545455</v>
      </c>
      <c r="AE666" s="39" t="n">
        <f aca="false">AC666-T666</f>
        <v>74.6299047727273</v>
      </c>
      <c r="AF666" s="40" t="n">
        <f aca="false">AC666/T666-1</f>
        <v>0.533390896346586</v>
      </c>
      <c r="AG666" s="37" t="str">
        <f aca="false">IF(AC666&lt;T666,"SIM","NÃO")</f>
        <v>NÃO</v>
      </c>
      <c r="AH666" s="37" t="n">
        <v>10</v>
      </c>
      <c r="AI666" s="37" t="n">
        <v>7</v>
      </c>
      <c r="AJ666" s="37" t="s">
        <v>323</v>
      </c>
    </row>
    <row r="667" customFormat="false" ht="15" hidden="false" customHeight="false" outlineLevel="0" collapsed="false">
      <c r="A667" s="37" t="n">
        <v>372808444</v>
      </c>
      <c r="B667" s="38" t="n">
        <v>46241.3121527778</v>
      </c>
      <c r="C667" s="37" t="s">
        <v>352</v>
      </c>
      <c r="D667" s="37" t="s">
        <v>975</v>
      </c>
      <c r="E667" s="37" t="n">
        <v>25015005</v>
      </c>
      <c r="F667" s="37" t="s">
        <v>141</v>
      </c>
      <c r="G667" s="37" t="s">
        <v>207</v>
      </c>
      <c r="H667" s="37" t="s">
        <v>176</v>
      </c>
      <c r="I667" s="37" t="n">
        <v>145.8</v>
      </c>
      <c r="J667" s="39" t="n">
        <v>1559.99</v>
      </c>
      <c r="K667" s="37" t="s">
        <v>322</v>
      </c>
      <c r="L667" s="39" t="n">
        <v>244.08</v>
      </c>
      <c r="M667" s="39" t="n">
        <v>183.45</v>
      </c>
      <c r="N667" s="39" t="n">
        <f aca="false">J667*Resumo!$C$7</f>
        <v>3.11998</v>
      </c>
      <c r="O667" s="39" t="n">
        <f aca="false">J667*Resumo!$C$8</f>
        <v>3.11998</v>
      </c>
      <c r="P667" s="39" t="n">
        <f aca="false">Resumo!$C$10*CEILING(I667/100,1)</f>
        <v>2</v>
      </c>
      <c r="Q667" s="39" t="n">
        <f aca="false">Resumo!$C$9</f>
        <v>11.9</v>
      </c>
      <c r="R667" s="39" t="n">
        <f aca="false">SUM(M667:Q667)*Resumo!$C$11</f>
        <v>11.1974478</v>
      </c>
      <c r="S667" s="39" t="n">
        <f aca="false">SUM(M667:R667)</f>
        <v>214.7874078</v>
      </c>
      <c r="T667" s="39" t="n">
        <f aca="false">S667/(1-Resumo!$C$5)</f>
        <v>244.076599772727</v>
      </c>
      <c r="U667" s="39" t="n">
        <v>239.25</v>
      </c>
      <c r="V667" s="39" t="n">
        <f aca="false">J667*Resumo!$B$6</f>
        <v>1.55999</v>
      </c>
      <c r="W667" s="39" t="n">
        <f aca="false">J667*Resumo!$B$7</f>
        <v>3.11998</v>
      </c>
      <c r="X667" s="39" t="n">
        <f aca="false">Resumo!$B$9</f>
        <v>1</v>
      </c>
      <c r="Y667" s="39" t="n">
        <f aca="false">Resumo!$B$10*CEILING(I667/100,1)</f>
        <v>9</v>
      </c>
      <c r="Z667" s="39" t="n">
        <f aca="false">Resumo!$B$12*CEILING(I667,1)</f>
        <v>8.76</v>
      </c>
      <c r="AA667" s="39" t="n">
        <f aca="false">Resumo!$B$13*CEILING(I667,1)</f>
        <v>65.7</v>
      </c>
      <c r="AB667" s="39" t="n">
        <f aca="false">SUM(U667:AA667)</f>
        <v>328.38997</v>
      </c>
      <c r="AC667" s="39" t="n">
        <f aca="false">AB667/(1-Resumo!$B$5)</f>
        <v>373.170420454546</v>
      </c>
      <c r="AD667" s="39" t="n">
        <f aca="false">(AB667-AA667)/(1-Resumo!$B$5)</f>
        <v>298.511329545455</v>
      </c>
      <c r="AE667" s="39" t="n">
        <f aca="false">AC667-T667</f>
        <v>129.093820681818</v>
      </c>
      <c r="AF667" s="40" t="n">
        <f aca="false">AC667/T667-1</f>
        <v>0.528906993960193</v>
      </c>
      <c r="AG667" s="37" t="str">
        <f aca="false">IF(AC667&lt;T667,"SIM","NÃO")</f>
        <v>NÃO</v>
      </c>
      <c r="AH667" s="37" t="n">
        <v>10</v>
      </c>
      <c r="AI667" s="37" t="n">
        <v>5</v>
      </c>
      <c r="AJ667" s="37" t="s">
        <v>323</v>
      </c>
    </row>
    <row r="668" customFormat="false" ht="15" hidden="false" customHeight="false" outlineLevel="0" collapsed="false">
      <c r="A668" s="37" t="n">
        <v>372844125</v>
      </c>
      <c r="B668" s="38" t="n">
        <v>46241.3949305556</v>
      </c>
      <c r="C668" s="37" t="s">
        <v>320</v>
      </c>
      <c r="D668" s="37" t="s">
        <v>976</v>
      </c>
      <c r="E668" s="37" t="n">
        <v>21555150</v>
      </c>
      <c r="F668" s="37" t="s">
        <v>139</v>
      </c>
      <c r="G668" s="37" t="s">
        <v>198</v>
      </c>
      <c r="H668" s="37" t="s">
        <v>167</v>
      </c>
      <c r="I668" s="37" t="n">
        <v>19.5</v>
      </c>
      <c r="J668" s="39" t="n">
        <v>459.99</v>
      </c>
      <c r="K668" s="37" t="s">
        <v>322</v>
      </c>
      <c r="L668" s="39" t="n">
        <v>65.42</v>
      </c>
      <c r="M668" s="39" t="n">
        <v>39.83</v>
      </c>
      <c r="N668" s="39" t="n">
        <f aca="false">J668*Resumo!$C$7</f>
        <v>0.91998</v>
      </c>
      <c r="O668" s="39" t="n">
        <f aca="false">J668*Resumo!$C$8</f>
        <v>0.91998</v>
      </c>
      <c r="P668" s="39" t="n">
        <f aca="false">Resumo!$C$10*CEILING(I668/100,1)</f>
        <v>1</v>
      </c>
      <c r="Q668" s="39" t="n">
        <f aca="false">Resumo!$C$9</f>
        <v>11.9</v>
      </c>
      <c r="R668" s="39" t="n">
        <f aca="false">SUM(M668:Q668)*Resumo!$C$11</f>
        <v>3.0013478</v>
      </c>
      <c r="S668" s="39" t="n">
        <f aca="false">SUM(M668:R668)</f>
        <v>57.5713078</v>
      </c>
      <c r="T668" s="39" t="n">
        <f aca="false">S668/(1-Resumo!$C$5)</f>
        <v>65.4219406818182</v>
      </c>
      <c r="U668" s="39" t="n">
        <v>46.98</v>
      </c>
      <c r="V668" s="39" t="n">
        <f aca="false">J668*Resumo!$B$6</f>
        <v>0.45999</v>
      </c>
      <c r="W668" s="39" t="n">
        <f aca="false">J668*Resumo!$B$7</f>
        <v>0.91998</v>
      </c>
      <c r="X668" s="39" t="n">
        <f aca="false">Resumo!$B$9</f>
        <v>1</v>
      </c>
      <c r="Y668" s="39" t="n">
        <f aca="false">Resumo!$B$10*CEILING(I668/100,1)</f>
        <v>4.5</v>
      </c>
      <c r="Z668" s="39" t="n">
        <f aca="false">Resumo!$B$12*CEILING(I668,1)</f>
        <v>1.2</v>
      </c>
      <c r="AA668" s="39" t="n">
        <f aca="false">Resumo!$B$13*CEILING(I668,1)</f>
        <v>9</v>
      </c>
      <c r="AB668" s="39" t="n">
        <f aca="false">SUM(U668:AA668)</f>
        <v>64.05997</v>
      </c>
      <c r="AC668" s="39" t="n">
        <f aca="false">AB668/(1-Resumo!$B$5)</f>
        <v>72.7954204545455</v>
      </c>
      <c r="AD668" s="39" t="n">
        <f aca="false">(AB668-AA668)/(1-Resumo!$B$5)</f>
        <v>62.5681477272727</v>
      </c>
      <c r="AE668" s="39" t="n">
        <f aca="false">AC668-T668</f>
        <v>7.37347977272727</v>
      </c>
      <c r="AF668" s="40" t="n">
        <f aca="false">AC668/T668-1</f>
        <v>0.112706527747143</v>
      </c>
      <c r="AG668" s="37" t="str">
        <f aca="false">IF(AC668&lt;T668,"SIM","NÃO")</f>
        <v>NÃO</v>
      </c>
      <c r="AH668" s="37" t="n">
        <v>8</v>
      </c>
      <c r="AI668" s="37" t="n">
        <v>5</v>
      </c>
      <c r="AJ668" s="37" t="s">
        <v>323</v>
      </c>
    </row>
    <row r="669" customFormat="false" ht="15" hidden="false" customHeight="false" outlineLevel="0" collapsed="false">
      <c r="A669" s="37" t="n">
        <v>372855905</v>
      </c>
      <c r="B669" s="38" t="n">
        <v>46241.4174189815</v>
      </c>
      <c r="C669" s="37" t="s">
        <v>352</v>
      </c>
      <c r="D669" s="37" t="s">
        <v>977</v>
      </c>
      <c r="E669" s="37" t="n">
        <v>23061200</v>
      </c>
      <c r="F669" s="37" t="s">
        <v>139</v>
      </c>
      <c r="G669" s="37" t="s">
        <v>198</v>
      </c>
      <c r="H669" s="37" t="s">
        <v>167</v>
      </c>
      <c r="I669" s="37" t="n">
        <v>15.15</v>
      </c>
      <c r="J669" s="39" t="n">
        <v>284.99</v>
      </c>
      <c r="K669" s="37" t="s">
        <v>498</v>
      </c>
      <c r="L669" s="39" t="n">
        <v>64.11</v>
      </c>
      <c r="M669" s="39" t="n">
        <v>39.83</v>
      </c>
      <c r="N669" s="39" t="n">
        <f aca="false">J669*Resumo!$C$7</f>
        <v>0.56998</v>
      </c>
      <c r="O669" s="39" t="n">
        <f aca="false">J669*Resumo!$C$8</f>
        <v>0.56998</v>
      </c>
      <c r="P669" s="39" t="n">
        <f aca="false">Resumo!$C$10*CEILING(I669/100,1)</f>
        <v>1</v>
      </c>
      <c r="Q669" s="39" t="n">
        <f aca="false">Resumo!$C$9</f>
        <v>11.9</v>
      </c>
      <c r="R669" s="39" t="n">
        <f aca="false">SUM(M669:Q669)*Resumo!$C$11</f>
        <v>2.9628478</v>
      </c>
      <c r="S669" s="39" t="n">
        <f aca="false">SUM(M669:R669)</f>
        <v>56.8328078</v>
      </c>
      <c r="T669" s="39" t="n">
        <f aca="false">S669/(1-Resumo!$C$5)</f>
        <v>64.5827361363636</v>
      </c>
      <c r="U669" s="39" t="n">
        <v>46.98</v>
      </c>
      <c r="V669" s="39" t="n">
        <f aca="false">J669*Resumo!$B$6</f>
        <v>0.28499</v>
      </c>
      <c r="W669" s="39" t="n">
        <f aca="false">J669*Resumo!$B$7</f>
        <v>0.56998</v>
      </c>
      <c r="X669" s="39" t="n">
        <f aca="false">Resumo!$B$9</f>
        <v>1</v>
      </c>
      <c r="Y669" s="39" t="n">
        <f aca="false">Resumo!$B$10*CEILING(I669/100,1)</f>
        <v>4.5</v>
      </c>
      <c r="Z669" s="39" t="n">
        <f aca="false">Resumo!$B$12*CEILING(I669,1)</f>
        <v>0.96</v>
      </c>
      <c r="AA669" s="39" t="n">
        <f aca="false">Resumo!$B$13*CEILING(I669,1)</f>
        <v>7.2</v>
      </c>
      <c r="AB669" s="39" t="n">
        <f aca="false">SUM(U669:AA669)</f>
        <v>61.49497</v>
      </c>
      <c r="AC669" s="39" t="n">
        <f aca="false">AB669/(1-Resumo!$B$5)</f>
        <v>69.8806477272727</v>
      </c>
      <c r="AD669" s="39" t="n">
        <f aca="false">(AB669-AA669)/(1-Resumo!$B$5)</f>
        <v>61.6988295454545</v>
      </c>
      <c r="AE669" s="39" t="n">
        <f aca="false">AC669-T669</f>
        <v>5.2979115909091</v>
      </c>
      <c r="AF669" s="40" t="n">
        <f aca="false">AC669/T669-1</f>
        <v>0.0820329380242235</v>
      </c>
      <c r="AG669" s="37" t="str">
        <f aca="false">IF(AC669&lt;T669,"SIM","NÃO")</f>
        <v>NÃO</v>
      </c>
      <c r="AH669" s="37" t="n">
        <v>8</v>
      </c>
      <c r="AI669" s="37" t="n">
        <v>5</v>
      </c>
      <c r="AJ669" s="37" t="s">
        <v>323</v>
      </c>
    </row>
    <row r="670" customFormat="false" ht="15" hidden="false" customHeight="false" outlineLevel="0" collapsed="false">
      <c r="A670" s="37" t="n">
        <v>372876962</v>
      </c>
      <c r="B670" s="38" t="n">
        <v>46241.4553703704</v>
      </c>
      <c r="C670" s="37" t="s">
        <v>320</v>
      </c>
      <c r="D670" s="37" t="s">
        <v>978</v>
      </c>
      <c r="E670" s="37" t="n">
        <v>22790873</v>
      </c>
      <c r="F670" s="37" t="s">
        <v>139</v>
      </c>
      <c r="G670" s="37" t="s">
        <v>198</v>
      </c>
      <c r="H670" s="37" t="s">
        <v>175</v>
      </c>
      <c r="I670" s="37" t="n">
        <v>106.5</v>
      </c>
      <c r="J670" s="39" t="n">
        <v>1199.99</v>
      </c>
      <c r="K670" s="37" t="s">
        <v>322</v>
      </c>
      <c r="L670" s="39" t="n">
        <v>185.4</v>
      </c>
      <c r="M670" s="39" t="n">
        <v>135.94</v>
      </c>
      <c r="N670" s="39" t="n">
        <f aca="false">J670*Resumo!$C$7</f>
        <v>2.39998</v>
      </c>
      <c r="O670" s="39" t="n">
        <f aca="false">J670*Resumo!$C$8</f>
        <v>2.39998</v>
      </c>
      <c r="P670" s="39" t="n">
        <f aca="false">Resumo!$C$10*CEILING(I670/100,1)</f>
        <v>2</v>
      </c>
      <c r="Q670" s="39" t="n">
        <f aca="false">Resumo!$C$9</f>
        <v>11.9</v>
      </c>
      <c r="R670" s="39" t="n">
        <f aca="false">SUM(M670:Q670)*Resumo!$C$11</f>
        <v>8.5051978</v>
      </c>
      <c r="S670" s="39" t="n">
        <f aca="false">SUM(M670:R670)</f>
        <v>163.1451578</v>
      </c>
      <c r="T670" s="39" t="n">
        <f aca="false">S670/(1-Resumo!$C$5)</f>
        <v>185.392224772727</v>
      </c>
      <c r="U670" s="39" t="n">
        <v>201.59</v>
      </c>
      <c r="V670" s="39" t="n">
        <f aca="false">J670*Resumo!$B$6</f>
        <v>1.19999</v>
      </c>
      <c r="W670" s="39" t="n">
        <f aca="false">J670*Resumo!$B$7</f>
        <v>2.39998</v>
      </c>
      <c r="X670" s="39" t="n">
        <f aca="false">Resumo!$B$9</f>
        <v>1</v>
      </c>
      <c r="Y670" s="39" t="n">
        <f aca="false">Resumo!$B$10*CEILING(I670/100,1)</f>
        <v>9</v>
      </c>
      <c r="Z670" s="39" t="n">
        <f aca="false">Resumo!$B$12*CEILING(I670,1)</f>
        <v>6.42</v>
      </c>
      <c r="AA670" s="39" t="n">
        <f aca="false">Resumo!$B$13*CEILING(I670,1)</f>
        <v>48.15</v>
      </c>
      <c r="AB670" s="39" t="n">
        <f aca="false">SUM(U670:AA670)</f>
        <v>269.75997</v>
      </c>
      <c r="AC670" s="39" t="n">
        <f aca="false">AB670/(1-Resumo!$B$5)</f>
        <v>306.545420454546</v>
      </c>
      <c r="AD670" s="39" t="n">
        <f aca="false">(AB670-AA670)/(1-Resumo!$B$5)</f>
        <v>251.829511363636</v>
      </c>
      <c r="AE670" s="39" t="n">
        <f aca="false">AC670-T670</f>
        <v>121.153195681818</v>
      </c>
      <c r="AF670" s="40" t="n">
        <f aca="false">AC670/T670-1</f>
        <v>0.653496638439612</v>
      </c>
      <c r="AG670" s="37" t="str">
        <f aca="false">IF(AC670&lt;T670,"SIM","NÃO")</f>
        <v>NÃO</v>
      </c>
      <c r="AH670" s="37" t="n">
        <v>8</v>
      </c>
      <c r="AI670" s="37" t="n">
        <v>5</v>
      </c>
      <c r="AJ670" s="37" t="s">
        <v>323</v>
      </c>
    </row>
    <row r="671" customFormat="false" ht="15" hidden="false" customHeight="false" outlineLevel="0" collapsed="false">
      <c r="A671" s="37" t="n">
        <v>372884217</v>
      </c>
      <c r="B671" s="38" t="n">
        <v>46241.4620486111</v>
      </c>
      <c r="C671" s="37" t="s">
        <v>517</v>
      </c>
      <c r="D671" s="37" t="s">
        <v>979</v>
      </c>
      <c r="E671" s="37" t="n">
        <v>24230090</v>
      </c>
      <c r="F671" s="37" t="s">
        <v>143</v>
      </c>
      <c r="G671" s="37" t="s">
        <v>207</v>
      </c>
      <c r="H671" s="37" t="s">
        <v>171</v>
      </c>
      <c r="I671" s="37" t="n">
        <v>52.3</v>
      </c>
      <c r="J671" s="39" t="n">
        <v>643.99</v>
      </c>
      <c r="K671" s="37" t="s">
        <v>322</v>
      </c>
      <c r="L671" s="39" t="n">
        <v>128.38</v>
      </c>
      <c r="M671" s="39" t="n">
        <v>91.6</v>
      </c>
      <c r="N671" s="39" t="n">
        <f aca="false">J671*Resumo!$C$7</f>
        <v>1.28798</v>
      </c>
      <c r="O671" s="39" t="n">
        <f aca="false">J671*Resumo!$C$8</f>
        <v>1.28798</v>
      </c>
      <c r="P671" s="39" t="n">
        <f aca="false">Resumo!$C$10*CEILING(I671/100,1)</f>
        <v>1</v>
      </c>
      <c r="Q671" s="39" t="n">
        <f aca="false">Resumo!$C$9</f>
        <v>11.9</v>
      </c>
      <c r="R671" s="39" t="n">
        <f aca="false">SUM(M671:Q671)*Resumo!$C$11</f>
        <v>5.8891778</v>
      </c>
      <c r="S671" s="39" t="n">
        <f aca="false">SUM(M671:R671)</f>
        <v>112.9651378</v>
      </c>
      <c r="T671" s="39" t="n">
        <f aca="false">S671/(1-Resumo!$C$5)</f>
        <v>128.369474772727</v>
      </c>
      <c r="U671" s="39" t="n">
        <v>128.14</v>
      </c>
      <c r="V671" s="39" t="n">
        <f aca="false">J671*Resumo!$B$6</f>
        <v>0.64399</v>
      </c>
      <c r="W671" s="39" t="n">
        <f aca="false">J671*Resumo!$B$7</f>
        <v>1.28798</v>
      </c>
      <c r="X671" s="39" t="n">
        <f aca="false">Resumo!$B$9</f>
        <v>1</v>
      </c>
      <c r="Y671" s="39" t="n">
        <f aca="false">Resumo!$B$10*CEILING(I671/100,1)</f>
        <v>4.5</v>
      </c>
      <c r="Z671" s="39" t="n">
        <f aca="false">Resumo!$B$12*CEILING(I671,1)</f>
        <v>3.18</v>
      </c>
      <c r="AA671" s="39" t="n">
        <f aca="false">Resumo!$B$13*CEILING(I671,1)</f>
        <v>23.85</v>
      </c>
      <c r="AB671" s="39" t="n">
        <f aca="false">SUM(U671:AA671)</f>
        <v>162.60197</v>
      </c>
      <c r="AC671" s="39" t="n">
        <f aca="false">AB671/(1-Resumo!$B$5)</f>
        <v>184.774965909091</v>
      </c>
      <c r="AD671" s="39" t="n">
        <f aca="false">(AB671-AA671)/(1-Resumo!$B$5)</f>
        <v>157.672693181818</v>
      </c>
      <c r="AE671" s="39" t="n">
        <f aca="false">AC671-T671</f>
        <v>56.4054911363636</v>
      </c>
      <c r="AF671" s="40" t="n">
        <f aca="false">AC671/T671-1</f>
        <v>0.439399563145578</v>
      </c>
      <c r="AG671" s="37" t="str">
        <f aca="false">IF(AC671&lt;T671,"SIM","NÃO")</f>
        <v>NÃO</v>
      </c>
      <c r="AH671" s="37" t="n">
        <v>10</v>
      </c>
      <c r="AI671" s="37" t="n">
        <v>7</v>
      </c>
      <c r="AJ671" s="37" t="s">
        <v>323</v>
      </c>
    </row>
    <row r="672" customFormat="false" ht="15" hidden="false" customHeight="false" outlineLevel="0" collapsed="false">
      <c r="A672" s="37" t="n">
        <v>372894382</v>
      </c>
      <c r="B672" s="38" t="n">
        <v>46241.5012152778</v>
      </c>
      <c r="C672" s="37" t="s">
        <v>341</v>
      </c>
      <c r="D672" s="37" t="s">
        <v>980</v>
      </c>
      <c r="E672" s="37" t="n">
        <v>28989520</v>
      </c>
      <c r="F672" s="37" t="s">
        <v>153</v>
      </c>
      <c r="G672" s="37" t="s">
        <v>201</v>
      </c>
      <c r="H672" s="37" t="s">
        <v>168</v>
      </c>
      <c r="I672" s="37" t="n">
        <v>30.5</v>
      </c>
      <c r="J672" s="39" t="n">
        <v>424.99</v>
      </c>
      <c r="K672" s="37" t="s">
        <v>498</v>
      </c>
      <c r="L672" s="39" t="n">
        <v>109.05</v>
      </c>
      <c r="M672" s="39" t="n">
        <v>76.5</v>
      </c>
      <c r="N672" s="39" t="n">
        <f aca="false">J672*Resumo!$C$7</f>
        <v>0.84998</v>
      </c>
      <c r="O672" s="39" t="n">
        <f aca="false">J672*Resumo!$C$8</f>
        <v>0.84998</v>
      </c>
      <c r="P672" s="39" t="n">
        <f aca="false">Resumo!$C$10*CEILING(I672/100,1)</f>
        <v>1</v>
      </c>
      <c r="Q672" s="39" t="n">
        <f aca="false">Resumo!$C$9</f>
        <v>11.9</v>
      </c>
      <c r="R672" s="39" t="n">
        <f aca="false">SUM(M672:Q672)*Resumo!$C$11</f>
        <v>5.0104978</v>
      </c>
      <c r="S672" s="39" t="n">
        <f aca="false">SUM(M672:R672)</f>
        <v>96.1104578</v>
      </c>
      <c r="T672" s="39" t="n">
        <f aca="false">S672/(1-Resumo!$C$5)</f>
        <v>109.216429318182</v>
      </c>
      <c r="U672" s="39" t="n">
        <v>114.95</v>
      </c>
      <c r="V672" s="39" t="n">
        <f aca="false">J672*Resumo!$B$6</f>
        <v>0.42499</v>
      </c>
      <c r="W672" s="39" t="n">
        <f aca="false">J672*Resumo!$B$7</f>
        <v>0.84998</v>
      </c>
      <c r="X672" s="39" t="n">
        <f aca="false">Resumo!$B$9</f>
        <v>1</v>
      </c>
      <c r="Y672" s="39" t="n">
        <f aca="false">Resumo!$B$10*CEILING(I672/100,1)</f>
        <v>4.5</v>
      </c>
      <c r="Z672" s="39" t="n">
        <f aca="false">Resumo!$B$12*CEILING(I672,1)</f>
        <v>1.86</v>
      </c>
      <c r="AA672" s="39" t="n">
        <f aca="false">Resumo!$B$13*CEILING(I672,1)</f>
        <v>13.95</v>
      </c>
      <c r="AB672" s="39" t="n">
        <f aca="false">SUM(U672:AA672)</f>
        <v>137.53497</v>
      </c>
      <c r="AC672" s="39" t="n">
        <f aca="false">AB672/(1-Resumo!$B$5)</f>
        <v>156.289738636364</v>
      </c>
      <c r="AD672" s="39" t="n">
        <f aca="false">(AB672-AA672)/(1-Resumo!$B$5)</f>
        <v>140.437465909091</v>
      </c>
      <c r="AE672" s="39" t="n">
        <f aca="false">AC672-T672</f>
        <v>47.0733093181818</v>
      </c>
      <c r="AF672" s="40" t="n">
        <f aca="false">AC672/T672-1</f>
        <v>0.431009415085733</v>
      </c>
      <c r="AG672" s="37" t="str">
        <f aca="false">IF(AC672&lt;T672,"SIM","NÃO")</f>
        <v>NÃO</v>
      </c>
      <c r="AH672" s="37" t="n">
        <v>13</v>
      </c>
      <c r="AI672" s="37" t="n">
        <v>10</v>
      </c>
      <c r="AJ672" s="37" t="s">
        <v>323</v>
      </c>
    </row>
    <row r="673" customFormat="false" ht="15" hidden="false" customHeight="false" outlineLevel="0" collapsed="false">
      <c r="A673" s="37" t="n">
        <v>372911533</v>
      </c>
      <c r="B673" s="38" t="n">
        <v>46241.5196064815</v>
      </c>
      <c r="C673" s="37" t="s">
        <v>320</v>
      </c>
      <c r="D673" s="37" t="s">
        <v>981</v>
      </c>
      <c r="E673" s="37" t="n">
        <v>26033310</v>
      </c>
      <c r="F673" s="37" t="s">
        <v>142</v>
      </c>
      <c r="G673" s="37" t="s">
        <v>207</v>
      </c>
      <c r="H673" s="37" t="s">
        <v>171</v>
      </c>
      <c r="I673" s="37" t="n">
        <v>52.3</v>
      </c>
      <c r="J673" s="39" t="n">
        <v>685.85</v>
      </c>
      <c r="K673" s="37" t="s">
        <v>322</v>
      </c>
      <c r="L673" s="39" t="n">
        <v>128.57</v>
      </c>
      <c r="M673" s="39" t="n">
        <v>91.6</v>
      </c>
      <c r="N673" s="39" t="n">
        <f aca="false">J673*Resumo!$C$7</f>
        <v>1.3717</v>
      </c>
      <c r="O673" s="39" t="n">
        <f aca="false">J673*Resumo!$C$8</f>
        <v>1.3717</v>
      </c>
      <c r="P673" s="39" t="n">
        <f aca="false">Resumo!$C$10*CEILING(I673/100,1)</f>
        <v>1</v>
      </c>
      <c r="Q673" s="39" t="n">
        <f aca="false">Resumo!$C$9</f>
        <v>11.9</v>
      </c>
      <c r="R673" s="39" t="n">
        <f aca="false">SUM(M673:Q673)*Resumo!$C$11</f>
        <v>5.898387</v>
      </c>
      <c r="S673" s="39" t="n">
        <f aca="false">SUM(M673:R673)</f>
        <v>113.141787</v>
      </c>
      <c r="T673" s="39" t="n">
        <f aca="false">S673/(1-Resumo!$C$5)</f>
        <v>128.5702125</v>
      </c>
      <c r="U673" s="39" t="n">
        <v>112.3</v>
      </c>
      <c r="V673" s="39" t="n">
        <f aca="false">J673*Resumo!$B$6</f>
        <v>0.68585</v>
      </c>
      <c r="W673" s="39" t="n">
        <f aca="false">J673*Resumo!$B$7</f>
        <v>1.3717</v>
      </c>
      <c r="X673" s="39" t="n">
        <f aca="false">Resumo!$B$9</f>
        <v>1</v>
      </c>
      <c r="Y673" s="39" t="n">
        <f aca="false">Resumo!$B$10*CEILING(I673/100,1)</f>
        <v>4.5</v>
      </c>
      <c r="Z673" s="39" t="n">
        <f aca="false">Resumo!$B$12*CEILING(I673,1)</f>
        <v>3.18</v>
      </c>
      <c r="AA673" s="39" t="n">
        <f aca="false">Resumo!$B$13*CEILING(I673,1)</f>
        <v>23.85</v>
      </c>
      <c r="AB673" s="39" t="n">
        <f aca="false">SUM(U673:AA673)</f>
        <v>146.88755</v>
      </c>
      <c r="AC673" s="39" t="n">
        <f aca="false">AB673/(1-Resumo!$B$5)</f>
        <v>166.917670454545</v>
      </c>
      <c r="AD673" s="39" t="n">
        <f aca="false">(AB673-AA673)/(1-Resumo!$B$5)</f>
        <v>139.815397727273</v>
      </c>
      <c r="AE673" s="39" t="n">
        <f aca="false">AC673-T673</f>
        <v>38.3474579545455</v>
      </c>
      <c r="AF673" s="40" t="n">
        <f aca="false">AC673/T673-1</f>
        <v>0.298260827363457</v>
      </c>
      <c r="AG673" s="37" t="str">
        <f aca="false">IF(AC673&lt;T673,"SIM","NÃO")</f>
        <v>NÃO</v>
      </c>
      <c r="AH673" s="37" t="n">
        <v>10</v>
      </c>
      <c r="AI673" s="37" t="n">
        <v>5</v>
      </c>
      <c r="AJ673" s="37" t="s">
        <v>323</v>
      </c>
    </row>
    <row r="674" customFormat="false" ht="15" hidden="false" customHeight="false" outlineLevel="0" collapsed="false">
      <c r="A674" s="37" t="n">
        <v>372941922</v>
      </c>
      <c r="B674" s="38" t="n">
        <v>46241.5785763889</v>
      </c>
      <c r="C674" s="37" t="s">
        <v>352</v>
      </c>
      <c r="D674" s="37" t="s">
        <v>982</v>
      </c>
      <c r="E674" s="37" t="n">
        <v>27935365</v>
      </c>
      <c r="F674" s="37" t="s">
        <v>146</v>
      </c>
      <c r="G674" s="37" t="s">
        <v>201</v>
      </c>
      <c r="H674" s="37" t="s">
        <v>172</v>
      </c>
      <c r="I674" s="37" t="n">
        <v>61.4</v>
      </c>
      <c r="J674" s="39" t="n">
        <v>1119.99</v>
      </c>
      <c r="K674" s="37" t="s">
        <v>498</v>
      </c>
      <c r="L674" s="39" t="n">
        <v>156.14</v>
      </c>
      <c r="M674" s="39" t="n">
        <v>113.9</v>
      </c>
      <c r="N674" s="39" t="n">
        <f aca="false">J674*Resumo!$C$7</f>
        <v>2.23998</v>
      </c>
      <c r="O674" s="39" t="n">
        <f aca="false">J674*Resumo!$C$8</f>
        <v>2.23998</v>
      </c>
      <c r="P674" s="39" t="n">
        <f aca="false">Resumo!$C$10*CEILING(I674/100,1)</f>
        <v>1</v>
      </c>
      <c r="Q674" s="39" t="n">
        <f aca="false">Resumo!$C$9</f>
        <v>11.9</v>
      </c>
      <c r="R674" s="39" t="n">
        <f aca="false">SUM(M674:Q674)*Resumo!$C$11</f>
        <v>7.2203978</v>
      </c>
      <c r="S674" s="39" t="n">
        <f aca="false">SUM(M674:R674)</f>
        <v>138.5003578</v>
      </c>
      <c r="T674" s="39" t="n">
        <f aca="false">S674/(1-Resumo!$C$5)</f>
        <v>157.386770227273</v>
      </c>
      <c r="U674" s="39" t="n">
        <v>171.54</v>
      </c>
      <c r="V674" s="39" t="n">
        <f aca="false">J674*Resumo!$B$6</f>
        <v>1.11999</v>
      </c>
      <c r="W674" s="39" t="n">
        <f aca="false">J674*Resumo!$B$7</f>
        <v>2.23998</v>
      </c>
      <c r="X674" s="39" t="n">
        <f aca="false">Resumo!$B$9</f>
        <v>1</v>
      </c>
      <c r="Y674" s="39" t="n">
        <f aca="false">Resumo!$B$10*CEILING(I674/100,1)</f>
        <v>4.5</v>
      </c>
      <c r="Z674" s="39" t="n">
        <f aca="false">Resumo!$B$12*CEILING(I674,1)</f>
        <v>3.72</v>
      </c>
      <c r="AA674" s="39" t="n">
        <f aca="false">Resumo!$B$13*CEILING(I674,1)</f>
        <v>27.9</v>
      </c>
      <c r="AB674" s="39" t="n">
        <f aca="false">SUM(U674:AA674)</f>
        <v>212.01997</v>
      </c>
      <c r="AC674" s="39" t="n">
        <f aca="false">AB674/(1-Resumo!$B$5)</f>
        <v>240.931784090909</v>
      </c>
      <c r="AD674" s="39" t="n">
        <f aca="false">(AB674-AA674)/(1-Resumo!$B$5)</f>
        <v>209.227238636364</v>
      </c>
      <c r="AE674" s="39" t="n">
        <f aca="false">AC674-T674</f>
        <v>83.5450138636364</v>
      </c>
      <c r="AF674" s="40" t="n">
        <f aca="false">AC674/T674-1</f>
        <v>0.530826153576912</v>
      </c>
      <c r="AG674" s="37" t="str">
        <f aca="false">IF(AC674&lt;T674,"SIM","NÃO")</f>
        <v>NÃO</v>
      </c>
      <c r="AH674" s="37" t="n">
        <v>13</v>
      </c>
      <c r="AI674" s="37" t="n">
        <v>11</v>
      </c>
      <c r="AJ674" s="37" t="s">
        <v>323</v>
      </c>
    </row>
    <row r="675" customFormat="false" ht="15" hidden="false" customHeight="false" outlineLevel="0" collapsed="false">
      <c r="A675" s="37" t="n">
        <v>372945144</v>
      </c>
      <c r="B675" s="38" t="n">
        <v>46241.587025463</v>
      </c>
      <c r="C675" s="37" t="s">
        <v>355</v>
      </c>
      <c r="D675" s="37" t="s">
        <v>983</v>
      </c>
      <c r="E675" s="37" t="n">
        <v>23587076</v>
      </c>
      <c r="F675" s="37" t="s">
        <v>139</v>
      </c>
      <c r="G675" s="37" t="s">
        <v>198</v>
      </c>
      <c r="H675" s="37" t="s">
        <v>171</v>
      </c>
      <c r="I675" s="37" t="n">
        <v>52.3</v>
      </c>
      <c r="J675" s="39" t="n">
        <v>677.59</v>
      </c>
      <c r="K675" s="37" t="s">
        <v>498</v>
      </c>
      <c r="L675" s="39" t="n">
        <v>113.51</v>
      </c>
      <c r="M675" s="39" t="n">
        <v>79.81</v>
      </c>
      <c r="N675" s="39" t="n">
        <f aca="false">J675*Resumo!$C$7</f>
        <v>1.35518</v>
      </c>
      <c r="O675" s="39" t="n">
        <f aca="false">J675*Resumo!$C$8</f>
        <v>1.35518</v>
      </c>
      <c r="P675" s="39" t="n">
        <f aca="false">Resumo!$C$10*CEILING(I675/100,1)</f>
        <v>1</v>
      </c>
      <c r="Q675" s="39" t="n">
        <f aca="false">Resumo!$C$9</f>
        <v>11.9</v>
      </c>
      <c r="R675" s="39" t="n">
        <f aca="false">SUM(M675:Q675)*Resumo!$C$11</f>
        <v>5.2481198</v>
      </c>
      <c r="S675" s="39" t="n">
        <f aca="false">SUM(M675:R675)</f>
        <v>100.6684798</v>
      </c>
      <c r="T675" s="39" t="n">
        <f aca="false">S675/(1-Resumo!$C$5)</f>
        <v>114.395999772727</v>
      </c>
      <c r="U675" s="39" t="n">
        <v>112.3</v>
      </c>
      <c r="V675" s="39" t="n">
        <f aca="false">J675*Resumo!$B$6</f>
        <v>0.67759</v>
      </c>
      <c r="W675" s="39" t="n">
        <f aca="false">J675*Resumo!$B$7</f>
        <v>1.35518</v>
      </c>
      <c r="X675" s="39" t="n">
        <f aca="false">Resumo!$B$9</f>
        <v>1</v>
      </c>
      <c r="Y675" s="39" t="n">
        <f aca="false">Resumo!$B$10*CEILING(I675/100,1)</f>
        <v>4.5</v>
      </c>
      <c r="Z675" s="39" t="n">
        <f aca="false">Resumo!$B$12*CEILING(I675,1)</f>
        <v>3.18</v>
      </c>
      <c r="AA675" s="39" t="n">
        <f aca="false">Resumo!$B$13*CEILING(I675,1)</f>
        <v>23.85</v>
      </c>
      <c r="AB675" s="39" t="n">
        <f aca="false">SUM(U675:AA675)</f>
        <v>146.86277</v>
      </c>
      <c r="AC675" s="39" t="n">
        <f aca="false">AB675/(1-Resumo!$B$5)</f>
        <v>166.889511363636</v>
      </c>
      <c r="AD675" s="39" t="n">
        <f aca="false">(AB675-AA675)/(1-Resumo!$B$5)</f>
        <v>139.787238636364</v>
      </c>
      <c r="AE675" s="39" t="n">
        <f aca="false">AC675-T675</f>
        <v>52.4935115909091</v>
      </c>
      <c r="AF675" s="40" t="n">
        <f aca="false">AC675/T675-1</f>
        <v>0.458875412559871</v>
      </c>
      <c r="AG675" s="37" t="str">
        <f aca="false">IF(AC675&lt;T675,"SIM","NÃO")</f>
        <v>NÃO</v>
      </c>
      <c r="AH675" s="37" t="n">
        <v>8</v>
      </c>
      <c r="AI675" s="37" t="n">
        <v>5</v>
      </c>
      <c r="AJ675" s="37" t="s">
        <v>323</v>
      </c>
    </row>
    <row r="676" customFormat="false" ht="15" hidden="false" customHeight="false" outlineLevel="0" collapsed="false">
      <c r="A676" s="37" t="n">
        <v>372962915</v>
      </c>
      <c r="B676" s="38" t="n">
        <v>46241.6154166667</v>
      </c>
      <c r="C676" s="37" t="s">
        <v>320</v>
      </c>
      <c r="D676" s="37" t="s">
        <v>984</v>
      </c>
      <c r="E676" s="37" t="n">
        <v>25220340</v>
      </c>
      <c r="F676" s="37" t="s">
        <v>141</v>
      </c>
      <c r="G676" s="37" t="s">
        <v>207</v>
      </c>
      <c r="H676" s="37" t="s">
        <v>171</v>
      </c>
      <c r="I676" s="37" t="n">
        <v>56.7</v>
      </c>
      <c r="J676" s="39" t="n">
        <v>799.99</v>
      </c>
      <c r="K676" s="37" t="s">
        <v>322</v>
      </c>
      <c r="L676" s="39" t="n">
        <v>129.11</v>
      </c>
      <c r="M676" s="39" t="n">
        <v>91.6</v>
      </c>
      <c r="N676" s="39" t="n">
        <f aca="false">J676*Resumo!$C$7</f>
        <v>1.59998</v>
      </c>
      <c r="O676" s="39" t="n">
        <f aca="false">J676*Resumo!$C$8</f>
        <v>1.59998</v>
      </c>
      <c r="P676" s="39" t="n">
        <f aca="false">Resumo!$C$10*CEILING(I676/100,1)</f>
        <v>1</v>
      </c>
      <c r="Q676" s="39" t="n">
        <f aca="false">Resumo!$C$9</f>
        <v>11.9</v>
      </c>
      <c r="R676" s="39" t="n">
        <f aca="false">SUM(M676:Q676)*Resumo!$C$11</f>
        <v>5.9234978</v>
      </c>
      <c r="S676" s="39" t="n">
        <f aca="false">SUM(M676:R676)</f>
        <v>113.6234578</v>
      </c>
      <c r="T676" s="39" t="n">
        <f aca="false">S676/(1-Resumo!$C$5)</f>
        <v>129.117565681818</v>
      </c>
      <c r="U676" s="39" t="n">
        <v>112.3</v>
      </c>
      <c r="V676" s="39" t="n">
        <f aca="false">J676*Resumo!$B$6</f>
        <v>0.79999</v>
      </c>
      <c r="W676" s="39" t="n">
        <f aca="false">J676*Resumo!$B$7</f>
        <v>1.59998</v>
      </c>
      <c r="X676" s="39" t="n">
        <f aca="false">Resumo!$B$9</f>
        <v>1</v>
      </c>
      <c r="Y676" s="39" t="n">
        <f aca="false">Resumo!$B$10*CEILING(I676/100,1)</f>
        <v>4.5</v>
      </c>
      <c r="Z676" s="39" t="n">
        <f aca="false">Resumo!$B$12*CEILING(I676,1)</f>
        <v>3.42</v>
      </c>
      <c r="AA676" s="39" t="n">
        <f aca="false">Resumo!$B$13*CEILING(I676,1)</f>
        <v>25.65</v>
      </c>
      <c r="AB676" s="39" t="n">
        <f aca="false">SUM(U676:AA676)</f>
        <v>149.26997</v>
      </c>
      <c r="AC676" s="39" t="n">
        <f aca="false">AB676/(1-Resumo!$B$5)</f>
        <v>169.624965909091</v>
      </c>
      <c r="AD676" s="39" t="n">
        <f aca="false">(AB676-AA676)/(1-Resumo!$B$5)</f>
        <v>140.477238636364</v>
      </c>
      <c r="AE676" s="39" t="n">
        <f aca="false">AC676-T676</f>
        <v>40.5074002272727</v>
      </c>
      <c r="AF676" s="40" t="n">
        <f aca="false">AC676/T676-1</f>
        <v>0.313724937527821</v>
      </c>
      <c r="AG676" s="37" t="str">
        <f aca="false">IF(AC676&lt;T676,"SIM","NÃO")</f>
        <v>NÃO</v>
      </c>
      <c r="AH676" s="37" t="n">
        <v>10</v>
      </c>
      <c r="AI676" s="37" t="n">
        <v>5</v>
      </c>
      <c r="AJ676" s="37" t="s">
        <v>323</v>
      </c>
    </row>
    <row r="677" customFormat="false" ht="15" hidden="false" customHeight="false" outlineLevel="0" collapsed="false">
      <c r="A677" s="37" t="n">
        <v>372963562</v>
      </c>
      <c r="B677" s="38" t="n">
        <v>46241.616712963</v>
      </c>
      <c r="C677" s="37" t="s">
        <v>320</v>
      </c>
      <c r="D677" s="37" t="s">
        <v>434</v>
      </c>
      <c r="E677" s="37" t="n">
        <v>28200000</v>
      </c>
      <c r="F677" s="37" t="s">
        <v>245</v>
      </c>
      <c r="G677" s="37" t="s">
        <v>201</v>
      </c>
      <c r="H677" s="37" t="s">
        <v>170</v>
      </c>
      <c r="I677" s="37" t="n">
        <v>46.8</v>
      </c>
      <c r="J677" s="39" t="n">
        <v>599.99</v>
      </c>
      <c r="K677" s="37" t="s">
        <v>498</v>
      </c>
      <c r="L677" s="39" t="n">
        <v>131.78</v>
      </c>
      <c r="M677" s="39" t="n">
        <v>94</v>
      </c>
      <c r="N677" s="39" t="n">
        <f aca="false">J677*Resumo!$C$7</f>
        <v>1.19998</v>
      </c>
      <c r="O677" s="39" t="n">
        <f aca="false">J677*Resumo!$C$8</f>
        <v>1.19998</v>
      </c>
      <c r="P677" s="39" t="n">
        <f aca="false">Resumo!$C$10*CEILING(I677/100,1)</f>
        <v>1</v>
      </c>
      <c r="Q677" s="39" t="n">
        <f aca="false">Resumo!$C$9</f>
        <v>11.9</v>
      </c>
      <c r="R677" s="39" t="n">
        <f aca="false">SUM(M677:Q677)*Resumo!$C$11</f>
        <v>6.0114978</v>
      </c>
      <c r="S677" s="39" t="n">
        <f aca="false">SUM(M677:R677)</f>
        <v>115.3114578</v>
      </c>
      <c r="T677" s="39" t="n">
        <f aca="false">S677/(1-Resumo!$C$5)</f>
        <v>131.0357475</v>
      </c>
      <c r="U677" s="39" t="n">
        <v>152.54</v>
      </c>
      <c r="V677" s="39" t="n">
        <f aca="false">J677*Resumo!$B$6</f>
        <v>0.59999</v>
      </c>
      <c r="W677" s="39" t="n">
        <f aca="false">J677*Resumo!$B$7</f>
        <v>1.19998</v>
      </c>
      <c r="X677" s="39" t="n">
        <f aca="false">Resumo!$B$9</f>
        <v>1</v>
      </c>
      <c r="Y677" s="39" t="n">
        <f aca="false">Resumo!$B$10*CEILING(I677/100,1)</f>
        <v>4.5</v>
      </c>
      <c r="Z677" s="39" t="n">
        <f aca="false">Resumo!$B$12*CEILING(I677,1)</f>
        <v>2.82</v>
      </c>
      <c r="AA677" s="39" t="n">
        <f aca="false">Resumo!$B$13*CEILING(I677,1)</f>
        <v>21.15</v>
      </c>
      <c r="AB677" s="39" t="n">
        <f aca="false">SUM(U677:AA677)</f>
        <v>183.80997</v>
      </c>
      <c r="AC677" s="39" t="n">
        <f aca="false">AB677/(1-Resumo!$B$5)</f>
        <v>208.874965909091</v>
      </c>
      <c r="AD677" s="39" t="n">
        <f aca="false">(AB677-AA677)/(1-Resumo!$B$5)</f>
        <v>184.840875</v>
      </c>
      <c r="AE677" s="39" t="n">
        <f aca="false">AC677-T677</f>
        <v>77.8392184090909</v>
      </c>
      <c r="AF677" s="40" t="n">
        <f aca="false">AC677/T677-1</f>
        <v>0.594030406924575</v>
      </c>
      <c r="AG677" s="37" t="str">
        <f aca="false">IF(AC677&lt;T677,"SIM","NÃO")</f>
        <v>NÃO</v>
      </c>
      <c r="AH677" s="37" t="n">
        <v>13</v>
      </c>
      <c r="AI677" s="37" t="n">
        <v>11</v>
      </c>
      <c r="AJ677" s="37" t="s">
        <v>327</v>
      </c>
    </row>
    <row r="678" customFormat="false" ht="15" hidden="false" customHeight="false" outlineLevel="0" collapsed="false">
      <c r="A678" s="37" t="n">
        <v>372962608</v>
      </c>
      <c r="B678" s="38" t="n">
        <v>46241.6208101852</v>
      </c>
      <c r="C678" s="37" t="s">
        <v>352</v>
      </c>
      <c r="D678" s="37" t="s">
        <v>985</v>
      </c>
      <c r="E678" s="37" t="n">
        <v>24425290</v>
      </c>
      <c r="F678" s="37" t="s">
        <v>140</v>
      </c>
      <c r="G678" s="37" t="s">
        <v>207</v>
      </c>
      <c r="H678" s="37" t="s">
        <v>168</v>
      </c>
      <c r="I678" s="37" t="n">
        <v>35</v>
      </c>
      <c r="J678" s="39" t="n">
        <v>383.99</v>
      </c>
      <c r="K678" s="37" t="s">
        <v>498</v>
      </c>
      <c r="L678" s="39" t="n">
        <v>103.15</v>
      </c>
      <c r="M678" s="39" t="n">
        <v>70</v>
      </c>
      <c r="N678" s="39" t="n">
        <f aca="false">J678*Resumo!$C$7</f>
        <v>0.76798</v>
      </c>
      <c r="O678" s="39" t="n">
        <f aca="false">J678*Resumo!$C$8</f>
        <v>0.76798</v>
      </c>
      <c r="P678" s="39" t="n">
        <f aca="false">Resumo!$C$10*CEILING(I678/100,1)</f>
        <v>1</v>
      </c>
      <c r="Q678" s="39" t="n">
        <f aca="false">Resumo!$C$9</f>
        <v>11.9</v>
      </c>
      <c r="R678" s="39" t="n">
        <f aca="false">SUM(M678:Q678)*Resumo!$C$11</f>
        <v>4.6439778</v>
      </c>
      <c r="S678" s="39" t="n">
        <f aca="false">SUM(M678:R678)</f>
        <v>89.0799378</v>
      </c>
      <c r="T678" s="39" t="n">
        <f aca="false">S678/(1-Resumo!$C$5)</f>
        <v>101.227202045455</v>
      </c>
      <c r="U678" s="39" t="n">
        <v>100.58</v>
      </c>
      <c r="V678" s="39" t="n">
        <f aca="false">J678*Resumo!$B$6</f>
        <v>0.38399</v>
      </c>
      <c r="W678" s="39" t="n">
        <f aca="false">J678*Resumo!$B$7</f>
        <v>0.76798</v>
      </c>
      <c r="X678" s="39" t="n">
        <f aca="false">Resumo!$B$9</f>
        <v>1</v>
      </c>
      <c r="Y678" s="39" t="n">
        <f aca="false">Resumo!$B$10*CEILING(I678/100,1)</f>
        <v>4.5</v>
      </c>
      <c r="Z678" s="39" t="n">
        <f aca="false">Resumo!$B$12*CEILING(I678,1)</f>
        <v>2.1</v>
      </c>
      <c r="AA678" s="39" t="n">
        <f aca="false">Resumo!$B$13*CEILING(I678,1)</f>
        <v>15.75</v>
      </c>
      <c r="AB678" s="39" t="n">
        <f aca="false">SUM(U678:AA678)</f>
        <v>125.08197</v>
      </c>
      <c r="AC678" s="39" t="n">
        <f aca="false">AB678/(1-Resumo!$B$5)</f>
        <v>142.138602272727</v>
      </c>
      <c r="AD678" s="39" t="n">
        <f aca="false">(AB678-AA678)/(1-Resumo!$B$5)</f>
        <v>124.240875</v>
      </c>
      <c r="AE678" s="39" t="n">
        <f aca="false">AC678-T678</f>
        <v>40.9114002272727</v>
      </c>
      <c r="AF678" s="40" t="n">
        <f aca="false">AC678/T678-1</f>
        <v>0.40415421349789</v>
      </c>
      <c r="AG678" s="37" t="str">
        <f aca="false">IF(AC678&lt;T678,"SIM","NÃO")</f>
        <v>NÃO</v>
      </c>
      <c r="AH678" s="37" t="n">
        <v>10</v>
      </c>
      <c r="AI678" s="37" t="n">
        <v>7</v>
      </c>
      <c r="AJ678" s="37" t="s">
        <v>323</v>
      </c>
    </row>
    <row r="679" customFormat="false" ht="15" hidden="false" customHeight="false" outlineLevel="0" collapsed="false">
      <c r="A679" s="37" t="n">
        <v>373024060</v>
      </c>
      <c r="B679" s="38" t="n">
        <v>46241.733900463</v>
      </c>
      <c r="C679" s="37" t="s">
        <v>341</v>
      </c>
      <c r="D679" s="37" t="s">
        <v>920</v>
      </c>
      <c r="E679" s="37" t="n">
        <v>22753050</v>
      </c>
      <c r="F679" s="37" t="s">
        <v>139</v>
      </c>
      <c r="G679" s="37" t="s">
        <v>198</v>
      </c>
      <c r="H679" s="37" t="s">
        <v>168</v>
      </c>
      <c r="I679" s="37" t="n">
        <v>31.9</v>
      </c>
      <c r="J679" s="39" t="n">
        <v>659.99</v>
      </c>
      <c r="K679" s="37" t="s">
        <v>322</v>
      </c>
      <c r="L679" s="39" t="n">
        <v>83.49</v>
      </c>
      <c r="M679" s="39" t="n">
        <v>54.1</v>
      </c>
      <c r="N679" s="39" t="n">
        <f aca="false">J679*Resumo!$C$7</f>
        <v>1.31998</v>
      </c>
      <c r="O679" s="39" t="n">
        <f aca="false">J679*Resumo!$C$8</f>
        <v>1.31998</v>
      </c>
      <c r="P679" s="39" t="n">
        <f aca="false">Resumo!$C$10*CEILING(I679/100,1)</f>
        <v>1</v>
      </c>
      <c r="Q679" s="39" t="n">
        <f aca="false">Resumo!$C$9</f>
        <v>11.9</v>
      </c>
      <c r="R679" s="39" t="n">
        <f aca="false">SUM(M679:Q679)*Resumo!$C$11</f>
        <v>3.8301978</v>
      </c>
      <c r="S679" s="39" t="n">
        <f aca="false">SUM(M679:R679)</f>
        <v>73.4701578</v>
      </c>
      <c r="T679" s="39" t="n">
        <f aca="false">S679/(1-Resumo!$C$5)</f>
        <v>83.4888156818182</v>
      </c>
      <c r="U679" s="39" t="n">
        <v>82.21</v>
      </c>
      <c r="V679" s="39" t="n">
        <f aca="false">J679*Resumo!$B$6</f>
        <v>0.65999</v>
      </c>
      <c r="W679" s="39" t="n">
        <f aca="false">J679*Resumo!$B$7</f>
        <v>1.31998</v>
      </c>
      <c r="X679" s="39" t="n">
        <f aca="false">Resumo!$B$9</f>
        <v>1</v>
      </c>
      <c r="Y679" s="39" t="n">
        <f aca="false">Resumo!$B$10*CEILING(I679/100,1)</f>
        <v>4.5</v>
      </c>
      <c r="Z679" s="39" t="n">
        <f aca="false">Resumo!$B$12*CEILING(I679,1)</f>
        <v>1.92</v>
      </c>
      <c r="AA679" s="39" t="n">
        <f aca="false">Resumo!$B$13*CEILING(I679,1)</f>
        <v>14.4</v>
      </c>
      <c r="AB679" s="39" t="n">
        <f aca="false">SUM(U679:AA679)</f>
        <v>106.00997</v>
      </c>
      <c r="AC679" s="39" t="n">
        <f aca="false">AB679/(1-Resumo!$B$5)</f>
        <v>120.465875</v>
      </c>
      <c r="AD679" s="39" t="n">
        <f aca="false">(AB679-AA679)/(1-Resumo!$B$5)</f>
        <v>104.102238636364</v>
      </c>
      <c r="AE679" s="39" t="n">
        <f aca="false">AC679-T679</f>
        <v>36.9770593181818</v>
      </c>
      <c r="AF679" s="40" t="n">
        <f aca="false">AC679/T679-1</f>
        <v>0.44289835729739</v>
      </c>
      <c r="AG679" s="37" t="str">
        <f aca="false">IF(AC679&lt;T679,"SIM","NÃO")</f>
        <v>NÃO</v>
      </c>
      <c r="AH679" s="37" t="n">
        <v>8</v>
      </c>
      <c r="AI679" s="37" t="n">
        <v>5</v>
      </c>
      <c r="AJ679" s="37" t="s">
        <v>323</v>
      </c>
    </row>
    <row r="680" customFormat="false" ht="15" hidden="false" customHeight="false" outlineLevel="0" collapsed="false">
      <c r="A680" s="37" t="n">
        <v>373031745</v>
      </c>
      <c r="B680" s="38" t="n">
        <v>46241.7476967593</v>
      </c>
      <c r="C680" s="37" t="s">
        <v>355</v>
      </c>
      <c r="D680" s="37" t="s">
        <v>935</v>
      </c>
      <c r="E680" s="37" t="n">
        <v>20765171</v>
      </c>
      <c r="F680" s="37" t="s">
        <v>139</v>
      </c>
      <c r="G680" s="37" t="s">
        <v>198</v>
      </c>
      <c r="H680" s="37" t="s">
        <v>168</v>
      </c>
      <c r="I680" s="37" t="n">
        <v>33.4</v>
      </c>
      <c r="J680" s="39" t="n">
        <v>373.27</v>
      </c>
      <c r="K680" s="37" t="s">
        <v>322</v>
      </c>
      <c r="L680" s="39" t="n">
        <v>82.13</v>
      </c>
      <c r="M680" s="39" t="n">
        <v>54.1</v>
      </c>
      <c r="N680" s="39" t="n">
        <f aca="false">J680*Resumo!$C$7</f>
        <v>0.74654</v>
      </c>
      <c r="O680" s="39" t="n">
        <f aca="false">J680*Resumo!$C$8</f>
        <v>0.74654</v>
      </c>
      <c r="P680" s="39" t="n">
        <f aca="false">Resumo!$C$10*CEILING(I680/100,1)</f>
        <v>1</v>
      </c>
      <c r="Q680" s="39" t="n">
        <f aca="false">Resumo!$C$9</f>
        <v>11.9</v>
      </c>
      <c r="R680" s="39" t="n">
        <f aca="false">SUM(M680:Q680)*Resumo!$C$11</f>
        <v>3.7671194</v>
      </c>
      <c r="S680" s="39" t="n">
        <f aca="false">SUM(M680:R680)</f>
        <v>72.2601994</v>
      </c>
      <c r="T680" s="39" t="n">
        <f aca="false">S680/(1-Resumo!$C$5)</f>
        <v>82.1138629545455</v>
      </c>
      <c r="U680" s="39" t="n">
        <v>82.21</v>
      </c>
      <c r="V680" s="39" t="n">
        <f aca="false">J680*Resumo!$B$6</f>
        <v>0.37327</v>
      </c>
      <c r="W680" s="39" t="n">
        <f aca="false">J680*Resumo!$B$7</f>
        <v>0.74654</v>
      </c>
      <c r="X680" s="39" t="n">
        <f aca="false">Resumo!$B$9</f>
        <v>1</v>
      </c>
      <c r="Y680" s="39" t="n">
        <f aca="false">Resumo!$B$10*CEILING(I680/100,1)</f>
        <v>4.5</v>
      </c>
      <c r="Z680" s="39" t="n">
        <f aca="false">Resumo!$B$12*CEILING(I680,1)</f>
        <v>2.04</v>
      </c>
      <c r="AA680" s="39" t="n">
        <f aca="false">Resumo!$B$13*CEILING(I680,1)</f>
        <v>15.3</v>
      </c>
      <c r="AB680" s="39" t="n">
        <f aca="false">SUM(U680:AA680)</f>
        <v>106.16981</v>
      </c>
      <c r="AC680" s="39" t="n">
        <f aca="false">AB680/(1-Resumo!$B$5)</f>
        <v>120.647511363636</v>
      </c>
      <c r="AD680" s="39" t="n">
        <f aca="false">(AB680-AA680)/(1-Resumo!$B$5)</f>
        <v>103.261147727273</v>
      </c>
      <c r="AE680" s="39" t="n">
        <f aca="false">AC680-T680</f>
        <v>38.5336484090909</v>
      </c>
      <c r="AF680" s="40" t="n">
        <f aca="false">AC680/T680-1</f>
        <v>0.4692709248184</v>
      </c>
      <c r="AG680" s="37" t="str">
        <f aca="false">IF(AC680&lt;T680,"SIM","NÃO")</f>
        <v>NÃO</v>
      </c>
      <c r="AH680" s="37" t="n">
        <v>8</v>
      </c>
      <c r="AI680" s="37" t="n">
        <v>5</v>
      </c>
      <c r="AJ680" s="37" t="s">
        <v>323</v>
      </c>
    </row>
    <row r="681" customFormat="false" ht="15" hidden="false" customHeight="false" outlineLevel="0" collapsed="false">
      <c r="A681" s="37" t="n">
        <v>373039675</v>
      </c>
      <c r="B681" s="38" t="n">
        <v>46241.7621875</v>
      </c>
      <c r="C681" s="37" t="s">
        <v>325</v>
      </c>
      <c r="D681" s="37" t="s">
        <v>986</v>
      </c>
      <c r="E681" s="37" t="n">
        <v>21770100</v>
      </c>
      <c r="F681" s="37" t="s">
        <v>139</v>
      </c>
      <c r="G681" s="37" t="s">
        <v>198</v>
      </c>
      <c r="H681" s="37" t="s">
        <v>171</v>
      </c>
      <c r="I681" s="37" t="n">
        <v>51.3</v>
      </c>
      <c r="J681" s="39" t="n">
        <v>570</v>
      </c>
      <c r="K681" s="37" t="s">
        <v>322</v>
      </c>
      <c r="L681" s="39" t="n">
        <v>113.87</v>
      </c>
      <c r="M681" s="39" t="n">
        <v>79.81</v>
      </c>
      <c r="N681" s="39" t="n">
        <f aca="false">J681*Resumo!$C$7</f>
        <v>1.14</v>
      </c>
      <c r="O681" s="39" t="n">
        <f aca="false">J681*Resumo!$C$8</f>
        <v>1.14</v>
      </c>
      <c r="P681" s="39" t="n">
        <f aca="false">Resumo!$C$10*CEILING(I681/100,1)</f>
        <v>1</v>
      </c>
      <c r="Q681" s="39" t="n">
        <f aca="false">Resumo!$C$9</f>
        <v>11.9</v>
      </c>
      <c r="R681" s="39" t="n">
        <f aca="false">SUM(M681:Q681)*Resumo!$C$11</f>
        <v>5.22445</v>
      </c>
      <c r="S681" s="39" t="n">
        <f aca="false">SUM(M681:R681)</f>
        <v>100.21445</v>
      </c>
      <c r="T681" s="39" t="n">
        <f aca="false">S681/(1-Resumo!$C$5)</f>
        <v>113.880056818182</v>
      </c>
      <c r="U681" s="39" t="n">
        <v>112.3</v>
      </c>
      <c r="V681" s="39" t="n">
        <f aca="false">J681*Resumo!$B$6</f>
        <v>0.57</v>
      </c>
      <c r="W681" s="39" t="n">
        <f aca="false">J681*Resumo!$B$7</f>
        <v>1.14</v>
      </c>
      <c r="X681" s="39" t="n">
        <f aca="false">Resumo!$B$9</f>
        <v>1</v>
      </c>
      <c r="Y681" s="39" t="n">
        <f aca="false">Resumo!$B$10*CEILING(I681/100,1)</f>
        <v>4.5</v>
      </c>
      <c r="Z681" s="39" t="n">
        <f aca="false">Resumo!$B$12*CEILING(I681,1)</f>
        <v>3.12</v>
      </c>
      <c r="AA681" s="39" t="n">
        <f aca="false">Resumo!$B$13*CEILING(I681,1)</f>
        <v>23.4</v>
      </c>
      <c r="AB681" s="39" t="n">
        <f aca="false">SUM(U681:AA681)</f>
        <v>146.03</v>
      </c>
      <c r="AC681" s="39" t="n">
        <f aca="false">AB681/(1-Resumo!$B$5)</f>
        <v>165.943181818182</v>
      </c>
      <c r="AD681" s="39" t="n">
        <f aca="false">(AB681-AA681)/(1-Resumo!$B$5)</f>
        <v>139.352272727273</v>
      </c>
      <c r="AE681" s="39" t="n">
        <f aca="false">AC681-T681</f>
        <v>52.063125</v>
      </c>
      <c r="AF681" s="40" t="n">
        <f aca="false">AC681/T681-1</f>
        <v>0.457175088023733</v>
      </c>
      <c r="AG681" s="37" t="str">
        <f aca="false">IF(AC681&lt;T681,"SIM","NÃO")</f>
        <v>NÃO</v>
      </c>
      <c r="AH681" s="37" t="n">
        <v>8</v>
      </c>
      <c r="AI681" s="37" t="n">
        <v>5</v>
      </c>
      <c r="AJ681" s="37" t="s">
        <v>323</v>
      </c>
    </row>
    <row r="682" customFormat="false" ht="15" hidden="false" customHeight="false" outlineLevel="0" collapsed="false">
      <c r="A682" s="37" t="n">
        <v>373053770</v>
      </c>
      <c r="B682" s="38" t="n">
        <v>46241.7917708333</v>
      </c>
      <c r="C682" s="37" t="s">
        <v>352</v>
      </c>
      <c r="D682" s="37" t="s">
        <v>987</v>
      </c>
      <c r="E682" s="37" t="n">
        <v>26190520</v>
      </c>
      <c r="F682" s="37" t="s">
        <v>145</v>
      </c>
      <c r="G682" s="37" t="s">
        <v>207</v>
      </c>
      <c r="H682" s="37" t="s">
        <v>170</v>
      </c>
      <c r="I682" s="37" t="n">
        <v>46.8</v>
      </c>
      <c r="J682" s="39" t="n">
        <v>474.4</v>
      </c>
      <c r="K682" s="37" t="s">
        <v>498</v>
      </c>
      <c r="L682" s="39" t="n">
        <v>117.17</v>
      </c>
      <c r="M682" s="39" t="n">
        <v>82.25</v>
      </c>
      <c r="N682" s="39" t="n">
        <f aca="false">J682*Resumo!$C$7</f>
        <v>0.9488</v>
      </c>
      <c r="O682" s="39" t="n">
        <f aca="false">J682*Resumo!$C$8</f>
        <v>0.9488</v>
      </c>
      <c r="P682" s="39" t="n">
        <f aca="false">Resumo!$C$10*CEILING(I682/100,1)</f>
        <v>1</v>
      </c>
      <c r="Q682" s="39" t="n">
        <f aca="false">Resumo!$C$9</f>
        <v>11.9</v>
      </c>
      <c r="R682" s="39" t="n">
        <f aca="false">SUM(M682:Q682)*Resumo!$C$11</f>
        <v>5.337618</v>
      </c>
      <c r="S682" s="39" t="n">
        <f aca="false">SUM(M682:R682)</f>
        <v>102.385218</v>
      </c>
      <c r="T682" s="39" t="n">
        <f aca="false">S682/(1-Resumo!$C$5)</f>
        <v>116.346838636364</v>
      </c>
      <c r="U682" s="39" t="n">
        <v>93.97</v>
      </c>
      <c r="V682" s="39" t="n">
        <f aca="false">J682*Resumo!$B$6</f>
        <v>0.4744</v>
      </c>
      <c r="W682" s="39" t="n">
        <f aca="false">J682*Resumo!$B$7</f>
        <v>0.9488</v>
      </c>
      <c r="X682" s="39" t="n">
        <f aca="false">Resumo!$B$9</f>
        <v>1</v>
      </c>
      <c r="Y682" s="39" t="n">
        <f aca="false">Resumo!$B$10*CEILING(I682/100,1)</f>
        <v>4.5</v>
      </c>
      <c r="Z682" s="39" t="n">
        <f aca="false">Resumo!$B$12*CEILING(I682,1)</f>
        <v>2.82</v>
      </c>
      <c r="AA682" s="39" t="n">
        <f aca="false">Resumo!$B$13*CEILING(I682,1)</f>
        <v>21.15</v>
      </c>
      <c r="AB682" s="39" t="n">
        <f aca="false">SUM(U682:AA682)</f>
        <v>124.8632</v>
      </c>
      <c r="AC682" s="39" t="n">
        <f aca="false">AB682/(1-Resumo!$B$5)</f>
        <v>141.89</v>
      </c>
      <c r="AD682" s="39" t="n">
        <f aca="false">(AB682-AA682)/(1-Resumo!$B$5)</f>
        <v>117.855909090909</v>
      </c>
      <c r="AE682" s="39" t="n">
        <f aca="false">AC682-T682</f>
        <v>25.5431613636364</v>
      </c>
      <c r="AF682" s="40" t="n">
        <f aca="false">AC682/T682-1</f>
        <v>0.219543235235383</v>
      </c>
      <c r="AG682" s="37" t="str">
        <f aca="false">IF(AC682&lt;T682,"SIM","NÃO")</f>
        <v>NÃO</v>
      </c>
      <c r="AH682" s="37" t="n">
        <v>10</v>
      </c>
      <c r="AI682" s="37" t="n">
        <v>5</v>
      </c>
      <c r="AJ682" s="37" t="s">
        <v>323</v>
      </c>
    </row>
    <row r="683" customFormat="false" ht="15" hidden="false" customHeight="false" outlineLevel="0" collapsed="false">
      <c r="A683" s="37" t="n">
        <v>373054252</v>
      </c>
      <c r="B683" s="38" t="n">
        <v>46241.7918171296</v>
      </c>
      <c r="C683" s="37" t="s">
        <v>320</v>
      </c>
      <c r="D683" s="37" t="s">
        <v>988</v>
      </c>
      <c r="E683" s="37" t="n">
        <v>27283040</v>
      </c>
      <c r="F683" s="37" t="s">
        <v>148</v>
      </c>
      <c r="G683" s="37" t="s">
        <v>201</v>
      </c>
      <c r="H683" s="37" t="s">
        <v>169</v>
      </c>
      <c r="I683" s="37" t="n">
        <v>39</v>
      </c>
      <c r="J683" s="39" t="n">
        <v>539.99</v>
      </c>
      <c r="K683" s="37" t="s">
        <v>498</v>
      </c>
      <c r="L683" s="39" t="n">
        <v>124.3</v>
      </c>
      <c r="M683" s="39" t="n">
        <v>87.4</v>
      </c>
      <c r="N683" s="39" t="n">
        <f aca="false">J683*Resumo!$C$7</f>
        <v>1.07998</v>
      </c>
      <c r="O683" s="39" t="n">
        <f aca="false">J683*Resumo!$C$8</f>
        <v>1.07998</v>
      </c>
      <c r="P683" s="39" t="n">
        <f aca="false">Resumo!$C$10*CEILING(I683/100,1)</f>
        <v>1</v>
      </c>
      <c r="Q683" s="39" t="n">
        <f aca="false">Resumo!$C$9</f>
        <v>11.9</v>
      </c>
      <c r="R683" s="39" t="n">
        <f aca="false">SUM(M683:Q683)*Resumo!$C$11</f>
        <v>5.6352978</v>
      </c>
      <c r="S683" s="39" t="n">
        <f aca="false">SUM(M683:R683)</f>
        <v>108.0952578</v>
      </c>
      <c r="T683" s="39" t="n">
        <f aca="false">S683/(1-Resumo!$C$5)</f>
        <v>122.835520227273</v>
      </c>
      <c r="U683" s="39" t="n">
        <v>124.38</v>
      </c>
      <c r="V683" s="39" t="n">
        <f aca="false">J683*Resumo!$B$6</f>
        <v>0.53999</v>
      </c>
      <c r="W683" s="39" t="n">
        <f aca="false">J683*Resumo!$B$7</f>
        <v>1.07998</v>
      </c>
      <c r="X683" s="39" t="n">
        <f aca="false">Resumo!$B$9</f>
        <v>1</v>
      </c>
      <c r="Y683" s="39" t="n">
        <f aca="false">Resumo!$B$10*CEILING(I683/100,1)</f>
        <v>4.5</v>
      </c>
      <c r="Z683" s="39" t="n">
        <f aca="false">Resumo!$B$12*CEILING(I683,1)</f>
        <v>2.34</v>
      </c>
      <c r="AA683" s="39" t="n">
        <f aca="false">Resumo!$B$13*CEILING(I683,1)</f>
        <v>17.55</v>
      </c>
      <c r="AB683" s="39" t="n">
        <f aca="false">SUM(U683:AA683)</f>
        <v>151.38997</v>
      </c>
      <c r="AC683" s="39" t="n">
        <f aca="false">AB683/(1-Resumo!$B$5)</f>
        <v>172.034056818182</v>
      </c>
      <c r="AD683" s="39" t="n">
        <f aca="false">(AB683-AA683)/(1-Resumo!$B$5)</f>
        <v>152.090875</v>
      </c>
      <c r="AE683" s="39" t="n">
        <f aca="false">AC683-T683</f>
        <v>49.1985365909091</v>
      </c>
      <c r="AF683" s="40" t="n">
        <f aca="false">AC683/T683-1</f>
        <v>0.400523696239337</v>
      </c>
      <c r="AG683" s="37" t="str">
        <f aca="false">IF(AC683&lt;T683,"SIM","NÃO")</f>
        <v>NÃO</v>
      </c>
      <c r="AH683" s="37" t="n">
        <v>13</v>
      </c>
      <c r="AI683" s="37" t="n">
        <v>10</v>
      </c>
      <c r="AJ683" s="37" t="s">
        <v>323</v>
      </c>
    </row>
    <row r="684" customFormat="false" ht="15" hidden="false" customHeight="false" outlineLevel="0" collapsed="false">
      <c r="A684" s="37" t="n">
        <v>373075766</v>
      </c>
      <c r="B684" s="38" t="n">
        <v>46241.8343981481</v>
      </c>
      <c r="C684" s="37" t="s">
        <v>320</v>
      </c>
      <c r="D684" s="37" t="s">
        <v>989</v>
      </c>
      <c r="E684" s="37" t="n">
        <v>24460170</v>
      </c>
      <c r="F684" s="37" t="s">
        <v>140</v>
      </c>
      <c r="G684" s="37" t="s">
        <v>207</v>
      </c>
      <c r="H684" s="37" t="s">
        <v>167</v>
      </c>
      <c r="I684" s="37" t="n">
        <v>19.5</v>
      </c>
      <c r="J684" s="39" t="n">
        <v>359.99</v>
      </c>
      <c r="K684" s="37" t="s">
        <v>498</v>
      </c>
      <c r="L684" s="39" t="n">
        <v>77.09</v>
      </c>
      <c r="M684" s="39" t="n">
        <v>48.69</v>
      </c>
      <c r="N684" s="39" t="n">
        <f aca="false">J684*Resumo!$C$7</f>
        <v>0.71998</v>
      </c>
      <c r="O684" s="39" t="n">
        <f aca="false">J684*Resumo!$C$8</f>
        <v>0.71998</v>
      </c>
      <c r="P684" s="39" t="n">
        <f aca="false">Resumo!$C$10*CEILING(I684/100,1)</f>
        <v>1</v>
      </c>
      <c r="Q684" s="39" t="n">
        <f aca="false">Resumo!$C$9</f>
        <v>11.9</v>
      </c>
      <c r="R684" s="39" t="n">
        <f aca="false">SUM(M684:Q684)*Resumo!$C$11</f>
        <v>3.4666478</v>
      </c>
      <c r="S684" s="39" t="n">
        <f aca="false">SUM(M684:R684)</f>
        <v>66.4966078</v>
      </c>
      <c r="T684" s="39" t="n">
        <f aca="false">S684/(1-Resumo!$C$5)</f>
        <v>75.5643270454545</v>
      </c>
      <c r="U684" s="39" t="n">
        <v>57.47</v>
      </c>
      <c r="V684" s="39" t="n">
        <f aca="false">J684*Resumo!$B$6</f>
        <v>0.35999</v>
      </c>
      <c r="W684" s="39" t="n">
        <f aca="false">J684*Resumo!$B$7</f>
        <v>0.71998</v>
      </c>
      <c r="X684" s="39" t="n">
        <f aca="false">Resumo!$B$9</f>
        <v>1</v>
      </c>
      <c r="Y684" s="39" t="n">
        <f aca="false">Resumo!$B$10*CEILING(I684/100,1)</f>
        <v>4.5</v>
      </c>
      <c r="Z684" s="39" t="n">
        <f aca="false">Resumo!$B$12*CEILING(I684,1)</f>
        <v>1.2</v>
      </c>
      <c r="AA684" s="39" t="n">
        <f aca="false">Resumo!$B$13*CEILING(I684,1)</f>
        <v>9</v>
      </c>
      <c r="AB684" s="39" t="n">
        <f aca="false">SUM(U684:AA684)</f>
        <v>74.24997</v>
      </c>
      <c r="AC684" s="39" t="n">
        <f aca="false">AB684/(1-Resumo!$B$5)</f>
        <v>84.3749659090909</v>
      </c>
      <c r="AD684" s="39" t="n">
        <f aca="false">(AB684-AA684)/(1-Resumo!$B$5)</f>
        <v>74.1476931818182</v>
      </c>
      <c r="AE684" s="39" t="n">
        <f aca="false">AC684-T684</f>
        <v>8.81063886363639</v>
      </c>
      <c r="AF684" s="40" t="n">
        <f aca="false">AC684/T684-1</f>
        <v>0.116597860500187</v>
      </c>
      <c r="AG684" s="37" t="str">
        <f aca="false">IF(AC684&lt;T684,"SIM","NÃO")</f>
        <v>NÃO</v>
      </c>
      <c r="AH684" s="37" t="n">
        <v>10</v>
      </c>
      <c r="AI684" s="37" t="n">
        <v>7</v>
      </c>
      <c r="AJ684" s="37" t="s">
        <v>323</v>
      </c>
    </row>
    <row r="685" customFormat="false" ht="15" hidden="false" customHeight="false" outlineLevel="0" collapsed="false">
      <c r="A685" s="37" t="n">
        <v>373130532</v>
      </c>
      <c r="B685" s="38" t="n">
        <v>46241.973599537</v>
      </c>
      <c r="C685" s="37" t="s">
        <v>341</v>
      </c>
      <c r="D685" s="37" t="s">
        <v>990</v>
      </c>
      <c r="E685" s="37" t="n">
        <v>20973900</v>
      </c>
      <c r="F685" s="37" t="s">
        <v>139</v>
      </c>
      <c r="G685" s="37" t="s">
        <v>198</v>
      </c>
      <c r="H685" s="37" t="s">
        <v>171</v>
      </c>
      <c r="I685" s="37" t="n">
        <v>58.6</v>
      </c>
      <c r="J685" s="39" t="n">
        <v>799.99</v>
      </c>
      <c r="K685" s="37" t="s">
        <v>322</v>
      </c>
      <c r="L685" s="39" t="n">
        <v>114.99</v>
      </c>
      <c r="M685" s="39" t="n">
        <v>79.81</v>
      </c>
      <c r="N685" s="39" t="n">
        <f aca="false">J685*Resumo!$C$7</f>
        <v>1.59998</v>
      </c>
      <c r="O685" s="39" t="n">
        <f aca="false">J685*Resumo!$C$8</f>
        <v>1.59998</v>
      </c>
      <c r="P685" s="39" t="n">
        <f aca="false">Resumo!$C$10*CEILING(I685/100,1)</f>
        <v>1</v>
      </c>
      <c r="Q685" s="39" t="n">
        <f aca="false">Resumo!$C$9</f>
        <v>11.9</v>
      </c>
      <c r="R685" s="39" t="n">
        <f aca="false">SUM(M685:Q685)*Resumo!$C$11</f>
        <v>5.2750478</v>
      </c>
      <c r="S685" s="39" t="n">
        <f aca="false">SUM(M685:R685)</f>
        <v>101.1850078</v>
      </c>
      <c r="T685" s="39" t="n">
        <f aca="false">S685/(1-Resumo!$C$5)</f>
        <v>114.982963409091</v>
      </c>
      <c r="U685" s="39" t="n">
        <v>112.3</v>
      </c>
      <c r="V685" s="39" t="n">
        <f aca="false">J685*Resumo!$B$6</f>
        <v>0.79999</v>
      </c>
      <c r="W685" s="39" t="n">
        <f aca="false">J685*Resumo!$B$7</f>
        <v>1.59998</v>
      </c>
      <c r="X685" s="39" t="n">
        <f aca="false">Resumo!$B$9</f>
        <v>1</v>
      </c>
      <c r="Y685" s="39" t="n">
        <f aca="false">Resumo!$B$10*CEILING(I685/100,1)</f>
        <v>4.5</v>
      </c>
      <c r="Z685" s="39" t="n">
        <f aca="false">Resumo!$B$12*CEILING(I685,1)</f>
        <v>3.54</v>
      </c>
      <c r="AA685" s="39" t="n">
        <f aca="false">Resumo!$B$13*CEILING(I685,1)</f>
        <v>26.55</v>
      </c>
      <c r="AB685" s="39" t="n">
        <f aca="false">SUM(U685:AA685)</f>
        <v>150.28997</v>
      </c>
      <c r="AC685" s="39" t="n">
        <f aca="false">AB685/(1-Resumo!$B$5)</f>
        <v>170.784056818182</v>
      </c>
      <c r="AD685" s="39" t="n">
        <f aca="false">(AB685-AA685)/(1-Resumo!$B$5)</f>
        <v>140.613602272727</v>
      </c>
      <c r="AE685" s="39" t="n">
        <f aca="false">AC685-T685</f>
        <v>55.8010934090909</v>
      </c>
      <c r="AF685" s="40" t="n">
        <f aca="false">AC685/T685-1</f>
        <v>0.485298793444378</v>
      </c>
      <c r="AG685" s="37" t="str">
        <f aca="false">IF(AC685&lt;T685,"SIM","NÃO")</f>
        <v>NÃO</v>
      </c>
      <c r="AH685" s="37" t="n">
        <v>8</v>
      </c>
      <c r="AI685" s="37" t="n">
        <v>5</v>
      </c>
      <c r="AJ685" s="37" t="s">
        <v>323</v>
      </c>
    </row>
    <row r="686" customFormat="false" ht="15" hidden="false" customHeight="false" outlineLevel="0" collapsed="false">
      <c r="A686" s="37" t="n">
        <v>373148369</v>
      </c>
      <c r="B686" s="38" t="n">
        <v>46242.0012962963</v>
      </c>
      <c r="C686" s="37" t="s">
        <v>320</v>
      </c>
      <c r="D686" s="37" t="s">
        <v>991</v>
      </c>
      <c r="E686" s="37" t="n">
        <v>28120000</v>
      </c>
      <c r="F686" s="37" t="s">
        <v>144</v>
      </c>
      <c r="G686" s="37" t="s">
        <v>201</v>
      </c>
      <c r="H686" s="37" t="s">
        <v>168</v>
      </c>
      <c r="I686" s="37" t="n">
        <v>22.4</v>
      </c>
      <c r="J686" s="39" t="n">
        <v>487.6</v>
      </c>
      <c r="K686" s="37" t="s">
        <v>498</v>
      </c>
      <c r="L686" s="39" t="n">
        <v>105.25</v>
      </c>
      <c r="M686" s="39" t="n">
        <v>76.5</v>
      </c>
      <c r="N686" s="39" t="n">
        <f aca="false">J686*Resumo!$C$7</f>
        <v>0.9752</v>
      </c>
      <c r="O686" s="39" t="n">
        <f aca="false">J686*Resumo!$C$8</f>
        <v>0.9752</v>
      </c>
      <c r="P686" s="39" t="n">
        <f aca="false">Resumo!$C$10*CEILING(I686/100,1)</f>
        <v>1</v>
      </c>
      <c r="Q686" s="39" t="n">
        <f aca="false">Resumo!$C$9</f>
        <v>11.9</v>
      </c>
      <c r="R686" s="39" t="n">
        <f aca="false">SUM(M686:Q686)*Resumo!$C$11</f>
        <v>5.024272</v>
      </c>
      <c r="S686" s="39" t="n">
        <f aca="false">SUM(M686:R686)</f>
        <v>96.374672</v>
      </c>
      <c r="T686" s="39" t="n">
        <f aca="false">S686/(1-Resumo!$C$5)</f>
        <v>109.516672727273</v>
      </c>
      <c r="U686" s="39" t="n">
        <v>138.29</v>
      </c>
      <c r="V686" s="39" t="n">
        <f aca="false">J686*Resumo!$B$6</f>
        <v>0.4876</v>
      </c>
      <c r="W686" s="39" t="n">
        <f aca="false">J686*Resumo!$B$7</f>
        <v>0.9752</v>
      </c>
      <c r="X686" s="39" t="n">
        <f aca="false">Resumo!$B$9</f>
        <v>1</v>
      </c>
      <c r="Y686" s="39" t="n">
        <f aca="false">Resumo!$B$10*CEILING(I686/100,1)</f>
        <v>4.5</v>
      </c>
      <c r="Z686" s="39" t="n">
        <f aca="false">Resumo!$B$12*CEILING(I686,1)</f>
        <v>1.38</v>
      </c>
      <c r="AA686" s="39" t="n">
        <f aca="false">Resumo!$B$13*CEILING(I686,1)</f>
        <v>10.35</v>
      </c>
      <c r="AB686" s="39" t="n">
        <f aca="false">SUM(U686:AA686)</f>
        <v>156.9828</v>
      </c>
      <c r="AC686" s="39" t="n">
        <f aca="false">AB686/(1-Resumo!$B$5)</f>
        <v>178.389545454545</v>
      </c>
      <c r="AD686" s="39" t="n">
        <f aca="false">(AB686-AA686)/(1-Resumo!$B$5)</f>
        <v>166.628181818182</v>
      </c>
      <c r="AE686" s="39" t="n">
        <f aca="false">AC686-T686</f>
        <v>68.8728727272727</v>
      </c>
      <c r="AF686" s="40" t="n">
        <f aca="false">AC686/T686-1</f>
        <v>0.628880251857044</v>
      </c>
      <c r="AG686" s="37" t="str">
        <f aca="false">IF(AC686&lt;T686,"SIM","NÃO")</f>
        <v>NÃO</v>
      </c>
      <c r="AH686" s="37" t="n">
        <v>13</v>
      </c>
      <c r="AI686" s="37" t="n">
        <v>11</v>
      </c>
      <c r="AJ686" s="37" t="s">
        <v>323</v>
      </c>
    </row>
    <row r="687" customFormat="false" ht="15" hidden="false" customHeight="false" outlineLevel="0" collapsed="false">
      <c r="A687" s="37" t="n">
        <v>373149800</v>
      </c>
      <c r="B687" s="38" t="n">
        <v>46242.0028935185</v>
      </c>
      <c r="C687" s="37" t="s">
        <v>320</v>
      </c>
      <c r="D687" s="37" t="s">
        <v>992</v>
      </c>
      <c r="E687" s="37" t="n">
        <v>25535120</v>
      </c>
      <c r="F687" s="37" t="s">
        <v>147</v>
      </c>
      <c r="G687" s="37" t="s">
        <v>207</v>
      </c>
      <c r="H687" s="37" t="s">
        <v>167</v>
      </c>
      <c r="I687" s="37" t="n">
        <v>19.5</v>
      </c>
      <c r="J687" s="39" t="n">
        <v>351</v>
      </c>
      <c r="K687" s="37" t="s">
        <v>498</v>
      </c>
      <c r="L687" s="39" t="n">
        <v>77.05</v>
      </c>
      <c r="M687" s="39" t="n">
        <v>48.69</v>
      </c>
      <c r="N687" s="39" t="n">
        <f aca="false">J687*Resumo!$C$7</f>
        <v>0.702</v>
      </c>
      <c r="O687" s="39" t="n">
        <f aca="false">J687*Resumo!$C$8</f>
        <v>0.702</v>
      </c>
      <c r="P687" s="39" t="n">
        <f aca="false">Resumo!$C$10*CEILING(I687/100,1)</f>
        <v>1</v>
      </c>
      <c r="Q687" s="39" t="n">
        <f aca="false">Resumo!$C$9</f>
        <v>11.9</v>
      </c>
      <c r="R687" s="39" t="n">
        <f aca="false">SUM(M687:Q687)*Resumo!$C$11</f>
        <v>3.46467</v>
      </c>
      <c r="S687" s="39" t="n">
        <f aca="false">SUM(M687:R687)</f>
        <v>66.45867</v>
      </c>
      <c r="T687" s="39" t="n">
        <f aca="false">S687/(1-Resumo!$C$5)</f>
        <v>75.5212159090909</v>
      </c>
      <c r="U687" s="39" t="n">
        <v>46.98</v>
      </c>
      <c r="V687" s="39" t="n">
        <f aca="false">J687*Resumo!$B$6</f>
        <v>0.351</v>
      </c>
      <c r="W687" s="39" t="n">
        <f aca="false">J687*Resumo!$B$7</f>
        <v>0.702</v>
      </c>
      <c r="X687" s="39" t="n">
        <f aca="false">Resumo!$B$9</f>
        <v>1</v>
      </c>
      <c r="Y687" s="39" t="n">
        <f aca="false">Resumo!$B$10*CEILING(I687/100,1)</f>
        <v>4.5</v>
      </c>
      <c r="Z687" s="39" t="n">
        <f aca="false">Resumo!$B$12*CEILING(I687,1)</f>
        <v>1.2</v>
      </c>
      <c r="AA687" s="39" t="n">
        <f aca="false">Resumo!$B$13*CEILING(I687,1)</f>
        <v>9</v>
      </c>
      <c r="AB687" s="39" t="n">
        <f aca="false">SUM(U687:AA687)</f>
        <v>63.733</v>
      </c>
      <c r="AC687" s="39" t="n">
        <f aca="false">AB687/(1-Resumo!$B$5)</f>
        <v>72.4238636363636</v>
      </c>
      <c r="AD687" s="39" t="n">
        <f aca="false">(AB687-AA687)/(1-Resumo!$B$5)</f>
        <v>62.1965909090909</v>
      </c>
      <c r="AE687" s="39" t="n">
        <f aca="false">AC687-T687</f>
        <v>-3.09735227272728</v>
      </c>
      <c r="AF687" s="40" t="n">
        <f aca="false">AC687/T687-1</f>
        <v>-0.0410130085359819</v>
      </c>
      <c r="AG687" s="37" t="str">
        <f aca="false">IF(AC687&lt;T687,"SIM","NÃO")</f>
        <v>SIM</v>
      </c>
      <c r="AH687" s="37" t="n">
        <v>10</v>
      </c>
      <c r="AI687" s="37" t="n">
        <v>5</v>
      </c>
      <c r="AJ687" s="37" t="s">
        <v>323</v>
      </c>
    </row>
    <row r="688" customFormat="false" ht="15" hidden="false" customHeight="false" outlineLevel="0" collapsed="false">
      <c r="A688" s="37" t="n">
        <v>373150701</v>
      </c>
      <c r="B688" s="38" t="n">
        <v>46242.0042476852</v>
      </c>
      <c r="C688" s="37" t="s">
        <v>320</v>
      </c>
      <c r="D688" s="37" t="s">
        <v>993</v>
      </c>
      <c r="E688" s="37" t="n">
        <v>26165340</v>
      </c>
      <c r="F688" s="37" t="s">
        <v>145</v>
      </c>
      <c r="G688" s="37" t="s">
        <v>207</v>
      </c>
      <c r="H688" s="37" t="s">
        <v>171</v>
      </c>
      <c r="I688" s="37" t="n">
        <v>52.3</v>
      </c>
      <c r="J688" s="39" t="n">
        <v>616.99</v>
      </c>
      <c r="K688" s="37" t="s">
        <v>498</v>
      </c>
      <c r="L688" s="39" t="n">
        <v>127.31</v>
      </c>
      <c r="M688" s="39" t="n">
        <v>91.6</v>
      </c>
      <c r="N688" s="39" t="n">
        <f aca="false">J688*Resumo!$C$7</f>
        <v>1.23398</v>
      </c>
      <c r="O688" s="39" t="n">
        <f aca="false">J688*Resumo!$C$8</f>
        <v>1.23398</v>
      </c>
      <c r="P688" s="39" t="n">
        <f aca="false">Resumo!$C$10*CEILING(I688/100,1)</f>
        <v>1</v>
      </c>
      <c r="Q688" s="39" t="n">
        <f aca="false">Resumo!$C$9</f>
        <v>11.9</v>
      </c>
      <c r="R688" s="39" t="n">
        <f aca="false">SUM(M688:Q688)*Resumo!$C$11</f>
        <v>5.8832378</v>
      </c>
      <c r="S688" s="39" t="n">
        <f aca="false">SUM(M688:R688)</f>
        <v>112.8511978</v>
      </c>
      <c r="T688" s="39" t="n">
        <f aca="false">S688/(1-Resumo!$C$5)</f>
        <v>128.2399975</v>
      </c>
      <c r="U688" s="39" t="n">
        <v>112.3</v>
      </c>
      <c r="V688" s="39" t="n">
        <f aca="false">J688*Resumo!$B$6</f>
        <v>0.61699</v>
      </c>
      <c r="W688" s="39" t="n">
        <f aca="false">J688*Resumo!$B$7</f>
        <v>1.23398</v>
      </c>
      <c r="X688" s="39" t="n">
        <f aca="false">Resumo!$B$9</f>
        <v>1</v>
      </c>
      <c r="Y688" s="39" t="n">
        <f aca="false">Resumo!$B$10*CEILING(I688/100,1)</f>
        <v>4.5</v>
      </c>
      <c r="Z688" s="39" t="n">
        <f aca="false">Resumo!$B$12*CEILING(I688,1)</f>
        <v>3.18</v>
      </c>
      <c r="AA688" s="39" t="n">
        <f aca="false">Resumo!$B$13*CEILING(I688,1)</f>
        <v>23.85</v>
      </c>
      <c r="AB688" s="39" t="n">
        <f aca="false">SUM(U688:AA688)</f>
        <v>146.68097</v>
      </c>
      <c r="AC688" s="39" t="n">
        <f aca="false">AB688/(1-Resumo!$B$5)</f>
        <v>166.682920454545</v>
      </c>
      <c r="AD688" s="39" t="n">
        <f aca="false">(AB688-AA688)/(1-Resumo!$B$5)</f>
        <v>139.580647727273</v>
      </c>
      <c r="AE688" s="39" t="n">
        <f aca="false">AC688-T688</f>
        <v>38.4429229545455</v>
      </c>
      <c r="AF688" s="40" t="n">
        <f aca="false">AC688/T688-1</f>
        <v>0.299773266562529</v>
      </c>
      <c r="AG688" s="37" t="str">
        <f aca="false">IF(AC688&lt;T688,"SIM","NÃO")</f>
        <v>NÃO</v>
      </c>
      <c r="AH688" s="37" t="n">
        <v>10</v>
      </c>
      <c r="AI688" s="37" t="n">
        <v>5</v>
      </c>
      <c r="AJ688" s="37" t="s">
        <v>323</v>
      </c>
    </row>
    <row r="689" customFormat="false" ht="15" hidden="false" customHeight="false" outlineLevel="0" collapsed="false">
      <c r="A689" s="37" t="n">
        <v>373151042</v>
      </c>
      <c r="B689" s="38" t="n">
        <v>46242.0045023148</v>
      </c>
      <c r="C689" s="37" t="s">
        <v>320</v>
      </c>
      <c r="D689" s="37" t="s">
        <v>463</v>
      </c>
      <c r="E689" s="37" t="n">
        <v>24754190</v>
      </c>
      <c r="F689" s="37" t="s">
        <v>140</v>
      </c>
      <c r="G689" s="37" t="s">
        <v>207</v>
      </c>
      <c r="H689" s="37" t="s">
        <v>171</v>
      </c>
      <c r="I689" s="37" t="n">
        <v>55</v>
      </c>
      <c r="J689" s="39" t="n">
        <v>759.98</v>
      </c>
      <c r="K689" s="37" t="s">
        <v>498</v>
      </c>
      <c r="L689" s="39" t="n">
        <v>129.01</v>
      </c>
      <c r="M689" s="39" t="n">
        <v>91.6</v>
      </c>
      <c r="N689" s="39" t="n">
        <f aca="false">J689*Resumo!$C$7</f>
        <v>1.51996</v>
      </c>
      <c r="O689" s="39" t="n">
        <f aca="false">J689*Resumo!$C$8</f>
        <v>1.51996</v>
      </c>
      <c r="P689" s="39" t="n">
        <f aca="false">Resumo!$C$10*CEILING(I689/100,1)</f>
        <v>1</v>
      </c>
      <c r="Q689" s="39" t="n">
        <f aca="false">Resumo!$C$9</f>
        <v>11.9</v>
      </c>
      <c r="R689" s="39" t="n">
        <f aca="false">SUM(M689:Q689)*Resumo!$C$11</f>
        <v>5.9146956</v>
      </c>
      <c r="S689" s="39" t="n">
        <f aca="false">SUM(M689:R689)</f>
        <v>113.4546156</v>
      </c>
      <c r="T689" s="39" t="n">
        <f aca="false">S689/(1-Resumo!$C$5)</f>
        <v>128.925699545455</v>
      </c>
      <c r="U689" s="39" t="n">
        <v>128.14</v>
      </c>
      <c r="V689" s="39" t="n">
        <f aca="false">J689*Resumo!$B$6</f>
        <v>0.75998</v>
      </c>
      <c r="W689" s="39" t="n">
        <f aca="false">J689*Resumo!$B$7</f>
        <v>1.51996</v>
      </c>
      <c r="X689" s="39" t="n">
        <f aca="false">Resumo!$B$9</f>
        <v>1</v>
      </c>
      <c r="Y689" s="39" t="n">
        <f aca="false">Resumo!$B$10*CEILING(I689/100,1)</f>
        <v>4.5</v>
      </c>
      <c r="Z689" s="39" t="n">
        <f aca="false">Resumo!$B$12*CEILING(I689,1)</f>
        <v>3.3</v>
      </c>
      <c r="AA689" s="39" t="n">
        <f aca="false">Resumo!$B$13*CEILING(I689,1)</f>
        <v>24.75</v>
      </c>
      <c r="AB689" s="39" t="n">
        <f aca="false">SUM(U689:AA689)</f>
        <v>163.96994</v>
      </c>
      <c r="AC689" s="39" t="n">
        <f aca="false">AB689/(1-Resumo!$B$5)</f>
        <v>186.329477272727</v>
      </c>
      <c r="AD689" s="39" t="n">
        <f aca="false">(AB689-AA689)/(1-Resumo!$B$5)</f>
        <v>158.204477272727</v>
      </c>
      <c r="AE689" s="39" t="n">
        <f aca="false">AC689-T689</f>
        <v>57.4037777272727</v>
      </c>
      <c r="AF689" s="40" t="n">
        <f aca="false">AC689/T689-1</f>
        <v>0.445246975038008</v>
      </c>
      <c r="AG689" s="37" t="str">
        <f aca="false">IF(AC689&lt;T689,"SIM","NÃO")</f>
        <v>NÃO</v>
      </c>
      <c r="AH689" s="37" t="n">
        <v>10</v>
      </c>
      <c r="AI689" s="37" t="n">
        <v>7</v>
      </c>
      <c r="AJ689" s="37" t="s">
        <v>323</v>
      </c>
    </row>
    <row r="690" customFormat="false" ht="15" hidden="false" customHeight="false" outlineLevel="0" collapsed="false">
      <c r="A690" s="37" t="n">
        <v>373154387</v>
      </c>
      <c r="B690" s="38" t="n">
        <v>46242.0080324074</v>
      </c>
      <c r="C690" s="37" t="s">
        <v>320</v>
      </c>
      <c r="D690" s="37" t="s">
        <v>994</v>
      </c>
      <c r="E690" s="37" t="n">
        <v>25575080</v>
      </c>
      <c r="F690" s="37" t="s">
        <v>147</v>
      </c>
      <c r="G690" s="37" t="s">
        <v>207</v>
      </c>
      <c r="H690" s="37" t="s">
        <v>169</v>
      </c>
      <c r="I690" s="37" t="n">
        <v>39</v>
      </c>
      <c r="J690" s="39" t="n">
        <v>759.98</v>
      </c>
      <c r="K690" s="37" t="s">
        <v>498</v>
      </c>
      <c r="L690" s="39" t="n">
        <v>116.11</v>
      </c>
      <c r="M690" s="39" t="n">
        <v>79.65</v>
      </c>
      <c r="N690" s="39" t="n">
        <f aca="false">J690*Resumo!$C$7</f>
        <v>1.51996</v>
      </c>
      <c r="O690" s="39" t="n">
        <f aca="false">J690*Resumo!$C$8</f>
        <v>1.51996</v>
      </c>
      <c r="P690" s="39" t="n">
        <f aca="false">Resumo!$C$10*CEILING(I690/100,1)</f>
        <v>1</v>
      </c>
      <c r="Q690" s="39" t="n">
        <f aca="false">Resumo!$C$9</f>
        <v>11.9</v>
      </c>
      <c r="R690" s="39" t="n">
        <f aca="false">SUM(M690:Q690)*Resumo!$C$11</f>
        <v>5.2574456</v>
      </c>
      <c r="S690" s="39" t="n">
        <f aca="false">SUM(M690:R690)</f>
        <v>100.8473656</v>
      </c>
      <c r="T690" s="39" t="n">
        <f aca="false">S690/(1-Resumo!$C$5)</f>
        <v>114.599279090909</v>
      </c>
      <c r="U690" s="39" t="n">
        <v>93.97</v>
      </c>
      <c r="V690" s="39" t="n">
        <f aca="false">J690*Resumo!$B$6</f>
        <v>0.75998</v>
      </c>
      <c r="W690" s="39" t="n">
        <f aca="false">J690*Resumo!$B$7</f>
        <v>1.51996</v>
      </c>
      <c r="X690" s="39" t="n">
        <f aca="false">Resumo!$B$9</f>
        <v>1</v>
      </c>
      <c r="Y690" s="39" t="n">
        <f aca="false">Resumo!$B$10*CEILING(I690/100,1)</f>
        <v>4.5</v>
      </c>
      <c r="Z690" s="39" t="n">
        <f aca="false">Resumo!$B$12*CEILING(I690,1)</f>
        <v>2.34</v>
      </c>
      <c r="AA690" s="39" t="n">
        <f aca="false">Resumo!$B$13*CEILING(I690,1)</f>
        <v>17.55</v>
      </c>
      <c r="AB690" s="39" t="n">
        <f aca="false">SUM(U690:AA690)</f>
        <v>121.63994</v>
      </c>
      <c r="AC690" s="39" t="n">
        <f aca="false">AB690/(1-Resumo!$B$5)</f>
        <v>138.227204545455</v>
      </c>
      <c r="AD690" s="39" t="n">
        <f aca="false">(AB690-AA690)/(1-Resumo!$B$5)</f>
        <v>118.284022727273</v>
      </c>
      <c r="AE690" s="39" t="n">
        <f aca="false">AC690-T690</f>
        <v>23.6279254545454</v>
      </c>
      <c r="AF690" s="40" t="n">
        <f aca="false">AC690/T690-1</f>
        <v>0.206178656986157</v>
      </c>
      <c r="AG690" s="37" t="str">
        <f aca="false">IF(AC690&lt;T690,"SIM","NÃO")</f>
        <v>NÃO</v>
      </c>
      <c r="AH690" s="37" t="n">
        <v>10</v>
      </c>
      <c r="AI690" s="37" t="n">
        <v>5</v>
      </c>
      <c r="AJ690" s="37" t="s">
        <v>323</v>
      </c>
    </row>
    <row r="691" customFormat="false" ht="15" hidden="false" customHeight="false" outlineLevel="0" collapsed="false">
      <c r="A691" s="37" t="n">
        <v>373163300</v>
      </c>
      <c r="B691" s="38" t="n">
        <v>46242.0198032407</v>
      </c>
      <c r="C691" s="37" t="s">
        <v>320</v>
      </c>
      <c r="D691" s="37" t="s">
        <v>995</v>
      </c>
      <c r="E691" s="37" t="n">
        <v>21050424</v>
      </c>
      <c r="F691" s="37" t="s">
        <v>139</v>
      </c>
      <c r="G691" s="37" t="s">
        <v>198</v>
      </c>
      <c r="H691" s="37" t="s">
        <v>169</v>
      </c>
      <c r="I691" s="37" t="n">
        <v>37.6</v>
      </c>
      <c r="J691" s="39" t="n">
        <v>378.99</v>
      </c>
      <c r="K691" s="37" t="s">
        <v>322</v>
      </c>
      <c r="L691" s="39" t="n">
        <v>91.68</v>
      </c>
      <c r="M691" s="39" t="n">
        <v>62.05</v>
      </c>
      <c r="N691" s="39" t="n">
        <f aca="false">J691*Resumo!$C$7</f>
        <v>0.75798</v>
      </c>
      <c r="O691" s="39" t="n">
        <f aca="false">J691*Resumo!$C$8</f>
        <v>0.75798</v>
      </c>
      <c r="P691" s="39" t="n">
        <f aca="false">Resumo!$C$10*CEILING(I691/100,1)</f>
        <v>1</v>
      </c>
      <c r="Q691" s="39" t="n">
        <f aca="false">Resumo!$C$9</f>
        <v>11.9</v>
      </c>
      <c r="R691" s="39" t="n">
        <f aca="false">SUM(M691:Q691)*Resumo!$C$11</f>
        <v>4.2056278</v>
      </c>
      <c r="S691" s="39" t="n">
        <f aca="false">SUM(M691:R691)</f>
        <v>80.6715878</v>
      </c>
      <c r="T691" s="39" t="n">
        <f aca="false">S691/(1-Resumo!$C$5)</f>
        <v>91.6722588636364</v>
      </c>
      <c r="U691" s="39" t="n">
        <v>93.97</v>
      </c>
      <c r="V691" s="39" t="n">
        <f aca="false">J691*Resumo!$B$6</f>
        <v>0.37899</v>
      </c>
      <c r="W691" s="39" t="n">
        <f aca="false">J691*Resumo!$B$7</f>
        <v>0.75798</v>
      </c>
      <c r="X691" s="39" t="n">
        <f aca="false">Resumo!$B$9</f>
        <v>1</v>
      </c>
      <c r="Y691" s="39" t="n">
        <f aca="false">Resumo!$B$10*CEILING(I691/100,1)</f>
        <v>4.5</v>
      </c>
      <c r="Z691" s="39" t="n">
        <f aca="false">Resumo!$B$12*CEILING(I691,1)</f>
        <v>2.28</v>
      </c>
      <c r="AA691" s="39" t="n">
        <f aca="false">Resumo!$B$13*CEILING(I691,1)</f>
        <v>17.1</v>
      </c>
      <c r="AB691" s="39" t="n">
        <f aca="false">SUM(U691:AA691)</f>
        <v>119.98697</v>
      </c>
      <c r="AC691" s="39" t="n">
        <f aca="false">AB691/(1-Resumo!$B$5)</f>
        <v>136.348829545455</v>
      </c>
      <c r="AD691" s="39" t="n">
        <f aca="false">(AB691-AA691)/(1-Resumo!$B$5)</f>
        <v>116.917011363636</v>
      </c>
      <c r="AE691" s="39" t="n">
        <f aca="false">AC691-T691</f>
        <v>44.6765706818182</v>
      </c>
      <c r="AF691" s="40" t="n">
        <f aca="false">AC691/T691-1</f>
        <v>0.487351039841564</v>
      </c>
      <c r="AG691" s="37" t="str">
        <f aca="false">IF(AC691&lt;T691,"SIM","NÃO")</f>
        <v>NÃO</v>
      </c>
      <c r="AH691" s="37" t="n">
        <v>8</v>
      </c>
      <c r="AI691" s="37" t="n">
        <v>5</v>
      </c>
      <c r="AJ691" s="37" t="s">
        <v>323</v>
      </c>
    </row>
    <row r="692" customFormat="false" ht="15" hidden="false" customHeight="false" outlineLevel="0" collapsed="false">
      <c r="A692" s="37" t="n">
        <v>373164643</v>
      </c>
      <c r="B692" s="38" t="n">
        <v>46242.022037037</v>
      </c>
      <c r="C692" s="37" t="s">
        <v>320</v>
      </c>
      <c r="D692" s="37" t="s">
        <v>996</v>
      </c>
      <c r="E692" s="37" t="n">
        <v>24461590</v>
      </c>
      <c r="F692" s="37" t="s">
        <v>140</v>
      </c>
      <c r="G692" s="37" t="s">
        <v>207</v>
      </c>
      <c r="H692" s="37" t="s">
        <v>171</v>
      </c>
      <c r="I692" s="37" t="n">
        <v>59.9</v>
      </c>
      <c r="J692" s="39" t="n">
        <v>874</v>
      </c>
      <c r="K692" s="37" t="s">
        <v>498</v>
      </c>
      <c r="L692" s="39" t="n">
        <v>132.11</v>
      </c>
      <c r="M692" s="39" t="n">
        <v>91.6</v>
      </c>
      <c r="N692" s="39" t="n">
        <f aca="false">J692*Resumo!$C$7</f>
        <v>1.748</v>
      </c>
      <c r="O692" s="39" t="n">
        <f aca="false">J692*Resumo!$C$8</f>
        <v>1.748</v>
      </c>
      <c r="P692" s="39" t="n">
        <f aca="false">Resumo!$C$10*CEILING(I692/100,1)</f>
        <v>1</v>
      </c>
      <c r="Q692" s="39" t="n">
        <f aca="false">Resumo!$C$9</f>
        <v>11.9</v>
      </c>
      <c r="R692" s="39" t="n">
        <f aca="false">SUM(M692:Q692)*Resumo!$C$11</f>
        <v>5.93978</v>
      </c>
      <c r="S692" s="39" t="n">
        <f aca="false">SUM(M692:R692)</f>
        <v>113.93578</v>
      </c>
      <c r="T692" s="39" t="n">
        <f aca="false">S692/(1-Resumo!$C$5)</f>
        <v>129.472477272727</v>
      </c>
      <c r="U692" s="39" t="n">
        <v>128.14</v>
      </c>
      <c r="V692" s="39" t="n">
        <f aca="false">J692*Resumo!$B$6</f>
        <v>0.874</v>
      </c>
      <c r="W692" s="39" t="n">
        <f aca="false">J692*Resumo!$B$7</f>
        <v>1.748</v>
      </c>
      <c r="X692" s="39" t="n">
        <f aca="false">Resumo!$B$9</f>
        <v>1</v>
      </c>
      <c r="Y692" s="39" t="n">
        <f aca="false">Resumo!$B$10*CEILING(I692/100,1)</f>
        <v>4.5</v>
      </c>
      <c r="Z692" s="39" t="n">
        <f aca="false">Resumo!$B$12*CEILING(I692,1)</f>
        <v>3.6</v>
      </c>
      <c r="AA692" s="39" t="n">
        <f aca="false">Resumo!$B$13*CEILING(I692,1)</f>
        <v>27</v>
      </c>
      <c r="AB692" s="39" t="n">
        <f aca="false">SUM(U692:AA692)</f>
        <v>166.862</v>
      </c>
      <c r="AC692" s="39" t="n">
        <f aca="false">AB692/(1-Resumo!$B$5)</f>
        <v>189.615909090909</v>
      </c>
      <c r="AD692" s="39" t="n">
        <f aca="false">(AB692-AA692)/(1-Resumo!$B$5)</f>
        <v>158.934090909091</v>
      </c>
      <c r="AE692" s="39" t="n">
        <f aca="false">AC692-T692</f>
        <v>60.1434318181818</v>
      </c>
      <c r="AF692" s="40" t="n">
        <f aca="false">AC692/T692-1</f>
        <v>0.464526771133703</v>
      </c>
      <c r="AG692" s="37" t="str">
        <f aca="false">IF(AC692&lt;T692,"SIM","NÃO")</f>
        <v>NÃO</v>
      </c>
      <c r="AH692" s="37" t="n">
        <v>10</v>
      </c>
      <c r="AI692" s="37" t="n">
        <v>7</v>
      </c>
      <c r="AJ692" s="37" t="s">
        <v>323</v>
      </c>
    </row>
    <row r="693" customFormat="false" ht="15" hidden="false" customHeight="false" outlineLevel="0" collapsed="false">
      <c r="A693" s="37" t="n">
        <v>373159571</v>
      </c>
      <c r="B693" s="38" t="n">
        <v>46242.0246759259</v>
      </c>
      <c r="C693" s="37" t="s">
        <v>341</v>
      </c>
      <c r="D693" s="37" t="s">
        <v>997</v>
      </c>
      <c r="E693" s="37" t="n">
        <v>23042330</v>
      </c>
      <c r="F693" s="37" t="s">
        <v>139</v>
      </c>
      <c r="G693" s="37" t="s">
        <v>198</v>
      </c>
      <c r="H693" s="37" t="s">
        <v>168</v>
      </c>
      <c r="I693" s="37" t="n">
        <v>22.6</v>
      </c>
      <c r="J693" s="39" t="n">
        <v>559.99</v>
      </c>
      <c r="K693" s="37" t="s">
        <v>498</v>
      </c>
      <c r="L693" s="39" t="n">
        <v>78.89</v>
      </c>
      <c r="M693" s="39" t="n">
        <v>54.1</v>
      </c>
      <c r="N693" s="39" t="n">
        <f aca="false">J693*Resumo!$C$7</f>
        <v>1.11998</v>
      </c>
      <c r="O693" s="39" t="n">
        <f aca="false">J693*Resumo!$C$8</f>
        <v>1.11998</v>
      </c>
      <c r="P693" s="39" t="n">
        <f aca="false">Resumo!$C$10*CEILING(I693/100,1)</f>
        <v>1</v>
      </c>
      <c r="Q693" s="39" t="n">
        <f aca="false">Resumo!$C$9</f>
        <v>11.9</v>
      </c>
      <c r="R693" s="39" t="n">
        <f aca="false">SUM(M693:Q693)*Resumo!$C$11</f>
        <v>3.8081978</v>
      </c>
      <c r="S693" s="39" t="n">
        <f aca="false">SUM(M693:R693)</f>
        <v>73.0481578</v>
      </c>
      <c r="T693" s="39" t="n">
        <f aca="false">S693/(1-Resumo!$C$5)</f>
        <v>83.0092702272727</v>
      </c>
      <c r="U693" s="39" t="n">
        <v>82.21</v>
      </c>
      <c r="V693" s="39" t="n">
        <f aca="false">J693*Resumo!$B$6</f>
        <v>0.55999</v>
      </c>
      <c r="W693" s="39" t="n">
        <f aca="false">J693*Resumo!$B$7</f>
        <v>1.11998</v>
      </c>
      <c r="X693" s="39" t="n">
        <f aca="false">Resumo!$B$9</f>
        <v>1</v>
      </c>
      <c r="Y693" s="39" t="n">
        <f aca="false">Resumo!$B$10*CEILING(I693/100,1)</f>
        <v>4.5</v>
      </c>
      <c r="Z693" s="39" t="n">
        <f aca="false">Resumo!$B$12*CEILING(I693,1)</f>
        <v>1.38</v>
      </c>
      <c r="AA693" s="39" t="n">
        <f aca="false">Resumo!$B$13*CEILING(I693,1)</f>
        <v>10.35</v>
      </c>
      <c r="AB693" s="39" t="n">
        <f aca="false">SUM(U693:AA693)</f>
        <v>101.11997</v>
      </c>
      <c r="AC693" s="39" t="n">
        <f aca="false">AB693/(1-Resumo!$B$5)</f>
        <v>114.909056818182</v>
      </c>
      <c r="AD693" s="39" t="n">
        <f aca="false">(AB693-AA693)/(1-Resumo!$B$5)</f>
        <v>103.147693181818</v>
      </c>
      <c r="AE693" s="39" t="n">
        <f aca="false">AC693-T693</f>
        <v>31.8997865909091</v>
      </c>
      <c r="AF693" s="40" t="n">
        <f aca="false">AC693/T693-1</f>
        <v>0.384291856844061</v>
      </c>
      <c r="AG693" s="37" t="str">
        <f aca="false">IF(AC693&lt;T693,"SIM","NÃO")</f>
        <v>NÃO</v>
      </c>
      <c r="AH693" s="37" t="n">
        <v>8</v>
      </c>
      <c r="AI693" s="37" t="n">
        <v>5</v>
      </c>
      <c r="AJ693" s="37" t="s">
        <v>323</v>
      </c>
    </row>
    <row r="694" customFormat="false" ht="15" hidden="false" customHeight="false" outlineLevel="0" collapsed="false">
      <c r="A694" s="37" t="n">
        <v>373169165</v>
      </c>
      <c r="B694" s="38" t="n">
        <v>46242.0295949074</v>
      </c>
      <c r="C694" s="37" t="s">
        <v>320</v>
      </c>
      <c r="D694" s="37" t="s">
        <v>998</v>
      </c>
      <c r="E694" s="37" t="n">
        <v>25225660</v>
      </c>
      <c r="F694" s="37" t="s">
        <v>141</v>
      </c>
      <c r="G694" s="37" t="s">
        <v>207</v>
      </c>
      <c r="H694" s="37" t="s">
        <v>172</v>
      </c>
      <c r="I694" s="37" t="n">
        <v>63</v>
      </c>
      <c r="J694" s="39" t="n">
        <v>789.99</v>
      </c>
      <c r="K694" s="37" t="s">
        <v>322</v>
      </c>
      <c r="L694" s="39" t="n">
        <v>140.22</v>
      </c>
      <c r="M694" s="39" t="n">
        <v>100.9</v>
      </c>
      <c r="N694" s="39" t="n">
        <f aca="false">J694*Resumo!$C$7</f>
        <v>1.57998</v>
      </c>
      <c r="O694" s="39" t="n">
        <f aca="false">J694*Resumo!$C$8</f>
        <v>1.57998</v>
      </c>
      <c r="P694" s="39" t="n">
        <f aca="false">Resumo!$C$10*CEILING(I694/100,1)</f>
        <v>1</v>
      </c>
      <c r="Q694" s="39" t="n">
        <f aca="false">Resumo!$C$9</f>
        <v>11.9</v>
      </c>
      <c r="R694" s="39" t="n">
        <f aca="false">SUM(M694:Q694)*Resumo!$C$11</f>
        <v>6.4327978</v>
      </c>
      <c r="S694" s="39" t="n">
        <f aca="false">SUM(M694:R694)</f>
        <v>123.3927578</v>
      </c>
      <c r="T694" s="39" t="n">
        <f aca="false">S694/(1-Resumo!$C$5)</f>
        <v>140.219042954545</v>
      </c>
      <c r="U694" s="39" t="n">
        <v>131.02</v>
      </c>
      <c r="V694" s="39" t="n">
        <f aca="false">J694*Resumo!$B$6</f>
        <v>0.78999</v>
      </c>
      <c r="W694" s="39" t="n">
        <f aca="false">J694*Resumo!$B$7</f>
        <v>1.57998</v>
      </c>
      <c r="X694" s="39" t="n">
        <f aca="false">Resumo!$B$9</f>
        <v>1</v>
      </c>
      <c r="Y694" s="39" t="n">
        <f aca="false">Resumo!$B$10*CEILING(I694/100,1)</f>
        <v>4.5</v>
      </c>
      <c r="Z694" s="39" t="n">
        <f aca="false">Resumo!$B$12*CEILING(I694,1)</f>
        <v>3.78</v>
      </c>
      <c r="AA694" s="39" t="n">
        <f aca="false">Resumo!$B$13*CEILING(I694,1)</f>
        <v>28.35</v>
      </c>
      <c r="AB694" s="39" t="n">
        <f aca="false">SUM(U694:AA694)</f>
        <v>171.01997</v>
      </c>
      <c r="AC694" s="39" t="n">
        <f aca="false">AB694/(1-Resumo!$B$5)</f>
        <v>194.340875</v>
      </c>
      <c r="AD694" s="39" t="n">
        <f aca="false">(AB694-AA694)/(1-Resumo!$B$5)</f>
        <v>162.124965909091</v>
      </c>
      <c r="AE694" s="39" t="n">
        <f aca="false">AC694-T694</f>
        <v>54.1218320454545</v>
      </c>
      <c r="AF694" s="40" t="n">
        <f aca="false">AC694/T694-1</f>
        <v>0.385980612226822</v>
      </c>
      <c r="AG694" s="37" t="str">
        <f aca="false">IF(AC694&lt;T694,"SIM","NÃO")</f>
        <v>NÃO</v>
      </c>
      <c r="AH694" s="37" t="n">
        <v>10</v>
      </c>
      <c r="AI694" s="37" t="n">
        <v>5</v>
      </c>
      <c r="AJ694" s="37" t="s">
        <v>323</v>
      </c>
    </row>
    <row r="695" customFormat="false" ht="15" hidden="false" customHeight="false" outlineLevel="0" collapsed="false">
      <c r="A695" s="37" t="n">
        <v>373169425</v>
      </c>
      <c r="B695" s="38" t="n">
        <v>46242.029849537</v>
      </c>
      <c r="C695" s="37" t="s">
        <v>325</v>
      </c>
      <c r="D695" s="37" t="s">
        <v>999</v>
      </c>
      <c r="E695" s="37" t="n">
        <v>26515020</v>
      </c>
      <c r="F695" s="37" t="s">
        <v>224</v>
      </c>
      <c r="G695" s="37" t="s">
        <v>207</v>
      </c>
      <c r="H695" s="37" t="s">
        <v>172</v>
      </c>
      <c r="I695" s="37" t="n">
        <v>66.8</v>
      </c>
      <c r="J695" s="39" t="n">
        <v>609.99</v>
      </c>
      <c r="K695" s="37" t="s">
        <v>498</v>
      </c>
      <c r="L695" s="39" t="n">
        <v>140.75</v>
      </c>
      <c r="M695" s="39" t="n">
        <v>100.9</v>
      </c>
      <c r="N695" s="39" t="n">
        <f aca="false">J695*Resumo!$C$7</f>
        <v>1.21998</v>
      </c>
      <c r="O695" s="39" t="n">
        <f aca="false">J695*Resumo!$C$8</f>
        <v>1.21998</v>
      </c>
      <c r="P695" s="39" t="n">
        <f aca="false">Resumo!$C$10*CEILING(I695/100,1)</f>
        <v>1</v>
      </c>
      <c r="Q695" s="39" t="n">
        <f aca="false">Resumo!$C$9</f>
        <v>11.9</v>
      </c>
      <c r="R695" s="39" t="n">
        <f aca="false">SUM(M695:Q695)*Resumo!$C$11</f>
        <v>6.3931978</v>
      </c>
      <c r="S695" s="39" t="n">
        <f aca="false">SUM(M695:R695)</f>
        <v>122.6331578</v>
      </c>
      <c r="T695" s="39" t="n">
        <f aca="false">S695/(1-Resumo!$C$5)</f>
        <v>139.355861136364</v>
      </c>
      <c r="U695" s="39" t="n">
        <v>131.02</v>
      </c>
      <c r="V695" s="39" t="n">
        <f aca="false">J695*Resumo!$B$6</f>
        <v>0.60999</v>
      </c>
      <c r="W695" s="39" t="n">
        <f aca="false">J695*Resumo!$B$7</f>
        <v>1.21998</v>
      </c>
      <c r="X695" s="39" t="n">
        <f aca="false">Resumo!$B$9</f>
        <v>1</v>
      </c>
      <c r="Y695" s="39" t="n">
        <f aca="false">Resumo!$B$10*CEILING(I695/100,1)</f>
        <v>4.5</v>
      </c>
      <c r="Z695" s="39" t="n">
        <f aca="false">Resumo!$B$12*CEILING(I695,1)</f>
        <v>4.02</v>
      </c>
      <c r="AA695" s="39" t="n">
        <f aca="false">Resumo!$B$13*CEILING(I695,1)</f>
        <v>30.15</v>
      </c>
      <c r="AB695" s="39" t="n">
        <f aca="false">SUM(U695:AA695)</f>
        <v>172.51997</v>
      </c>
      <c r="AC695" s="39" t="n">
        <f aca="false">AB695/(1-Resumo!$B$5)</f>
        <v>196.045420454545</v>
      </c>
      <c r="AD695" s="39" t="n">
        <f aca="false">(AB695-AA695)/(1-Resumo!$B$5)</f>
        <v>161.784056818182</v>
      </c>
      <c r="AE695" s="39" t="n">
        <f aca="false">AC695-T695</f>
        <v>56.6895593181818</v>
      </c>
      <c r="AF695" s="40" t="n">
        <f aca="false">AC695/T695-1</f>
        <v>0.406797093828077</v>
      </c>
      <c r="AG695" s="37" t="str">
        <f aca="false">IF(AC695&lt;T695,"SIM","NÃO")</f>
        <v>NÃO</v>
      </c>
      <c r="AH695" s="37" t="n">
        <v>10</v>
      </c>
      <c r="AI695" s="37" t="n">
        <v>5</v>
      </c>
      <c r="AJ695" s="37" t="s">
        <v>327</v>
      </c>
    </row>
    <row r="696" customFormat="false" ht="15" hidden="false" customHeight="false" outlineLevel="0" collapsed="false">
      <c r="A696" s="37" t="n">
        <v>373175341</v>
      </c>
      <c r="B696" s="38" t="n">
        <v>46242.0413078704</v>
      </c>
      <c r="C696" s="37" t="s">
        <v>320</v>
      </c>
      <c r="D696" s="37" t="s">
        <v>1000</v>
      </c>
      <c r="E696" s="37" t="n">
        <v>23092002</v>
      </c>
      <c r="F696" s="37" t="s">
        <v>139</v>
      </c>
      <c r="G696" s="37" t="s">
        <v>198</v>
      </c>
      <c r="H696" s="37" t="s">
        <v>168</v>
      </c>
      <c r="I696" s="37" t="n">
        <v>20.9</v>
      </c>
      <c r="J696" s="39" t="n">
        <v>450</v>
      </c>
      <c r="K696" s="37" t="s">
        <v>498</v>
      </c>
      <c r="L696" s="39" t="n">
        <v>77.34</v>
      </c>
      <c r="M696" s="39" t="n">
        <v>54.1</v>
      </c>
      <c r="N696" s="39" t="n">
        <f aca="false">J696*Resumo!$C$7</f>
        <v>0.9</v>
      </c>
      <c r="O696" s="39" t="n">
        <f aca="false">J696*Resumo!$C$8</f>
        <v>0.9</v>
      </c>
      <c r="P696" s="39" t="n">
        <f aca="false">Resumo!$C$10*CEILING(I696/100,1)</f>
        <v>1</v>
      </c>
      <c r="Q696" s="39" t="n">
        <f aca="false">Resumo!$C$9</f>
        <v>11.9</v>
      </c>
      <c r="R696" s="39" t="n">
        <f aca="false">SUM(M696:Q696)*Resumo!$C$11</f>
        <v>3.784</v>
      </c>
      <c r="S696" s="39" t="n">
        <f aca="false">SUM(M696:R696)</f>
        <v>72.584</v>
      </c>
      <c r="T696" s="39" t="n">
        <f aca="false">S696/(1-Resumo!$C$5)</f>
        <v>82.4818181818182</v>
      </c>
      <c r="U696" s="39" t="n">
        <v>82.21</v>
      </c>
      <c r="V696" s="39" t="n">
        <f aca="false">J696*Resumo!$B$6</f>
        <v>0.45</v>
      </c>
      <c r="W696" s="39" t="n">
        <f aca="false">J696*Resumo!$B$7</f>
        <v>0.9</v>
      </c>
      <c r="X696" s="39" t="n">
        <f aca="false">Resumo!$B$9</f>
        <v>1</v>
      </c>
      <c r="Y696" s="39" t="n">
        <f aca="false">Resumo!$B$10*CEILING(I696/100,1)</f>
        <v>4.5</v>
      </c>
      <c r="Z696" s="39" t="n">
        <f aca="false">Resumo!$B$12*CEILING(I696,1)</f>
        <v>1.26</v>
      </c>
      <c r="AA696" s="39" t="n">
        <f aca="false">Resumo!$B$13*CEILING(I696,1)</f>
        <v>9.45</v>
      </c>
      <c r="AB696" s="39" t="n">
        <f aca="false">SUM(U696:AA696)</f>
        <v>99.77</v>
      </c>
      <c r="AC696" s="39" t="n">
        <f aca="false">AB696/(1-Resumo!$B$5)</f>
        <v>113.375</v>
      </c>
      <c r="AD696" s="39" t="n">
        <f aca="false">(AB696-AA696)/(1-Resumo!$B$5)</f>
        <v>102.636363636364</v>
      </c>
      <c r="AE696" s="39" t="n">
        <f aca="false">AC696-T696</f>
        <v>30.8931818181818</v>
      </c>
      <c r="AF696" s="40" t="n">
        <f aca="false">AC696/T696-1</f>
        <v>0.374545354348066</v>
      </c>
      <c r="AG696" s="37" t="str">
        <f aca="false">IF(AC696&lt;T696,"SIM","NÃO")</f>
        <v>NÃO</v>
      </c>
      <c r="AH696" s="37" t="n">
        <v>8</v>
      </c>
      <c r="AI696" s="37" t="n">
        <v>5</v>
      </c>
      <c r="AJ696" s="37" t="s">
        <v>323</v>
      </c>
    </row>
    <row r="697" customFormat="false" ht="15" hidden="false" customHeight="false" outlineLevel="0" collapsed="false">
      <c r="A697" s="37" t="n">
        <v>373195863</v>
      </c>
      <c r="B697" s="38" t="n">
        <v>46242.1006365741</v>
      </c>
      <c r="C697" s="37" t="s">
        <v>320</v>
      </c>
      <c r="D697" s="37" t="s">
        <v>1001</v>
      </c>
      <c r="E697" s="37" t="n">
        <v>26178200</v>
      </c>
      <c r="F697" s="37" t="s">
        <v>145</v>
      </c>
      <c r="G697" s="37" t="s">
        <v>207</v>
      </c>
      <c r="H697" s="37" t="s">
        <v>169</v>
      </c>
      <c r="I697" s="37" t="n">
        <v>37.2</v>
      </c>
      <c r="J697" s="39" t="n">
        <v>360.99</v>
      </c>
      <c r="K697" s="37" t="s">
        <v>498</v>
      </c>
      <c r="L697" s="39" t="n">
        <v>113.69</v>
      </c>
      <c r="M697" s="39" t="n">
        <v>79.65</v>
      </c>
      <c r="N697" s="39" t="n">
        <f aca="false">J697*Resumo!$C$7</f>
        <v>0.72198</v>
      </c>
      <c r="O697" s="39" t="n">
        <f aca="false">J697*Resumo!$C$8</f>
        <v>0.72198</v>
      </c>
      <c r="P697" s="39" t="n">
        <f aca="false">Resumo!$C$10*CEILING(I697/100,1)</f>
        <v>1</v>
      </c>
      <c r="Q697" s="39" t="n">
        <f aca="false">Resumo!$C$9</f>
        <v>11.9</v>
      </c>
      <c r="R697" s="39" t="n">
        <f aca="false">SUM(M697:Q697)*Resumo!$C$11</f>
        <v>5.1696678</v>
      </c>
      <c r="S697" s="39" t="n">
        <f aca="false">SUM(M697:R697)</f>
        <v>99.1636278</v>
      </c>
      <c r="T697" s="39" t="n">
        <f aca="false">S697/(1-Resumo!$C$5)</f>
        <v>112.685940681818</v>
      </c>
      <c r="U697" s="39" t="n">
        <v>93.97</v>
      </c>
      <c r="V697" s="39" t="n">
        <f aca="false">J697*Resumo!$B$6</f>
        <v>0.36099</v>
      </c>
      <c r="W697" s="39" t="n">
        <f aca="false">J697*Resumo!$B$7</f>
        <v>0.72198</v>
      </c>
      <c r="X697" s="39" t="n">
        <f aca="false">Resumo!$B$9</f>
        <v>1</v>
      </c>
      <c r="Y697" s="39" t="n">
        <f aca="false">Resumo!$B$10*CEILING(I697/100,1)</f>
        <v>4.5</v>
      </c>
      <c r="Z697" s="39" t="n">
        <f aca="false">Resumo!$B$12*CEILING(I697,1)</f>
        <v>2.28</v>
      </c>
      <c r="AA697" s="39" t="n">
        <f aca="false">Resumo!$B$13*CEILING(I697,1)</f>
        <v>17.1</v>
      </c>
      <c r="AB697" s="39" t="n">
        <f aca="false">SUM(U697:AA697)</f>
        <v>119.93297</v>
      </c>
      <c r="AC697" s="39" t="n">
        <f aca="false">AB697/(1-Resumo!$B$5)</f>
        <v>136.287465909091</v>
      </c>
      <c r="AD697" s="39" t="n">
        <f aca="false">(AB697-AA697)/(1-Resumo!$B$5)</f>
        <v>116.855647727273</v>
      </c>
      <c r="AE697" s="39" t="n">
        <f aca="false">AC697-T697</f>
        <v>23.6015252272727</v>
      </c>
      <c r="AF697" s="40" t="n">
        <f aca="false">AC697/T697-1</f>
        <v>0.209445163118568</v>
      </c>
      <c r="AG697" s="37" t="str">
        <f aca="false">IF(AC697&lt;T697,"SIM","NÃO")</f>
        <v>NÃO</v>
      </c>
      <c r="AH697" s="37" t="n">
        <v>10</v>
      </c>
      <c r="AI697" s="37" t="n">
        <v>5</v>
      </c>
      <c r="AJ697" s="37" t="s">
        <v>323</v>
      </c>
    </row>
    <row r="698" customFormat="false" ht="15" hidden="false" customHeight="false" outlineLevel="0" collapsed="false">
      <c r="A698" s="37" t="n">
        <v>373241704</v>
      </c>
      <c r="B698" s="38" t="n">
        <v>46242.2783217593</v>
      </c>
      <c r="C698" s="37" t="s">
        <v>320</v>
      </c>
      <c r="D698" s="37" t="s">
        <v>1002</v>
      </c>
      <c r="E698" s="37" t="n">
        <v>23025150</v>
      </c>
      <c r="F698" s="37" t="s">
        <v>139</v>
      </c>
      <c r="G698" s="37" t="s">
        <v>198</v>
      </c>
      <c r="H698" s="37" t="s">
        <v>170</v>
      </c>
      <c r="I698" s="37" t="n">
        <v>44.8</v>
      </c>
      <c r="J698" s="39" t="n">
        <v>589.99</v>
      </c>
      <c r="K698" s="37" t="s">
        <v>498</v>
      </c>
      <c r="L698" s="39" t="n">
        <v>103.27</v>
      </c>
      <c r="M698" s="39" t="n">
        <v>71</v>
      </c>
      <c r="N698" s="39" t="n">
        <f aca="false">J698*Resumo!$C$7</f>
        <v>1.17998</v>
      </c>
      <c r="O698" s="39" t="n">
        <f aca="false">J698*Resumo!$C$8</f>
        <v>1.17998</v>
      </c>
      <c r="P698" s="39" t="n">
        <f aca="false">Resumo!$C$10*CEILING(I698/100,1)</f>
        <v>1</v>
      </c>
      <c r="Q698" s="39" t="n">
        <f aca="false">Resumo!$C$9</f>
        <v>11.9</v>
      </c>
      <c r="R698" s="39" t="n">
        <f aca="false">SUM(M698:Q698)*Resumo!$C$11</f>
        <v>4.7442978</v>
      </c>
      <c r="S698" s="39" t="n">
        <f aca="false">SUM(M698:R698)</f>
        <v>91.0042578</v>
      </c>
      <c r="T698" s="39" t="n">
        <f aca="false">S698/(1-Resumo!$C$5)</f>
        <v>103.413929318182</v>
      </c>
      <c r="U698" s="39" t="n">
        <v>93.97</v>
      </c>
      <c r="V698" s="39" t="n">
        <f aca="false">J698*Resumo!$B$6</f>
        <v>0.58999</v>
      </c>
      <c r="W698" s="39" t="n">
        <f aca="false">J698*Resumo!$B$7</f>
        <v>1.17998</v>
      </c>
      <c r="X698" s="39" t="n">
        <f aca="false">Resumo!$B$9</f>
        <v>1</v>
      </c>
      <c r="Y698" s="39" t="n">
        <f aca="false">Resumo!$B$10*CEILING(I698/100,1)</f>
        <v>4.5</v>
      </c>
      <c r="Z698" s="39" t="n">
        <f aca="false">Resumo!$B$12*CEILING(I698,1)</f>
        <v>2.7</v>
      </c>
      <c r="AA698" s="39" t="n">
        <f aca="false">Resumo!$B$13*CEILING(I698,1)</f>
        <v>20.25</v>
      </c>
      <c r="AB698" s="39" t="n">
        <f aca="false">SUM(U698:AA698)</f>
        <v>124.18997</v>
      </c>
      <c r="AC698" s="39" t="n">
        <f aca="false">AB698/(1-Resumo!$B$5)</f>
        <v>141.124965909091</v>
      </c>
      <c r="AD698" s="39" t="n">
        <f aca="false">(AB698-AA698)/(1-Resumo!$B$5)</f>
        <v>118.113602272727</v>
      </c>
      <c r="AE698" s="39" t="n">
        <f aca="false">AC698-T698</f>
        <v>37.7110365909091</v>
      </c>
      <c r="AF698" s="40" t="n">
        <f aca="false">AC698/T698-1</f>
        <v>0.364661093912026</v>
      </c>
      <c r="AG698" s="37" t="str">
        <f aca="false">IF(AC698&lt;T698,"SIM","NÃO")</f>
        <v>NÃO</v>
      </c>
      <c r="AH698" s="37" t="n">
        <v>8</v>
      </c>
      <c r="AI698" s="37" t="n">
        <v>5</v>
      </c>
      <c r="AJ698" s="37" t="s">
        <v>323</v>
      </c>
    </row>
    <row r="699" customFormat="false" ht="15" hidden="false" customHeight="false" outlineLevel="0" collapsed="false">
      <c r="A699" s="37" t="n">
        <v>373243491</v>
      </c>
      <c r="B699" s="38" t="n">
        <v>46242.2845023148</v>
      </c>
      <c r="C699" s="37" t="s">
        <v>320</v>
      </c>
      <c r="D699" s="37" t="s">
        <v>1003</v>
      </c>
      <c r="E699" s="37" t="n">
        <v>24425190</v>
      </c>
      <c r="F699" s="37" t="s">
        <v>140</v>
      </c>
      <c r="G699" s="37" t="s">
        <v>207</v>
      </c>
      <c r="H699" s="37" t="s">
        <v>168</v>
      </c>
      <c r="I699" s="37" t="n">
        <v>20.9</v>
      </c>
      <c r="J699" s="39" t="n">
        <v>441</v>
      </c>
      <c r="K699" s="37" t="s">
        <v>365</v>
      </c>
      <c r="L699" s="39" t="n">
        <v>86.03</v>
      </c>
      <c r="M699" s="39" t="n">
        <v>70</v>
      </c>
      <c r="N699" s="39" t="n">
        <f aca="false">J699*Resumo!$C$7</f>
        <v>0.882</v>
      </c>
      <c r="O699" s="39" t="n">
        <f aca="false">J699*Resumo!$C$8</f>
        <v>0.882</v>
      </c>
      <c r="P699" s="39" t="n">
        <f aca="false">Resumo!$C$10*CEILING(I699/100,1)</f>
        <v>1</v>
      </c>
      <c r="Q699" s="39" t="n">
        <f aca="false">Resumo!$C$9</f>
        <v>11.9</v>
      </c>
      <c r="R699" s="39" t="n">
        <f aca="false">SUM(M699:Q699)*Resumo!$C$11</f>
        <v>4.65652</v>
      </c>
      <c r="S699" s="39" t="n">
        <f aca="false">SUM(M699:R699)</f>
        <v>89.32052</v>
      </c>
      <c r="T699" s="39" t="n">
        <f aca="false">S699/(1-Resumo!$C$5)</f>
        <v>101.500590909091</v>
      </c>
      <c r="U699" s="39" t="n">
        <v>100.58</v>
      </c>
      <c r="V699" s="39" t="n">
        <f aca="false">J699*Resumo!$B$6</f>
        <v>0.441</v>
      </c>
      <c r="W699" s="39" t="n">
        <f aca="false">J699*Resumo!$B$7</f>
        <v>0.882</v>
      </c>
      <c r="X699" s="39" t="n">
        <f aca="false">Resumo!$B$9</f>
        <v>1</v>
      </c>
      <c r="Y699" s="39" t="n">
        <f aca="false">Resumo!$B$10*CEILING(I699/100,1)</f>
        <v>4.5</v>
      </c>
      <c r="Z699" s="39" t="n">
        <f aca="false">Resumo!$B$12*CEILING(I699,1)</f>
        <v>1.26</v>
      </c>
      <c r="AA699" s="39" t="n">
        <f aca="false">Resumo!$B$13*CEILING(I699,1)</f>
        <v>9.45</v>
      </c>
      <c r="AB699" s="39" t="n">
        <f aca="false">SUM(U699:AA699)</f>
        <v>118.113</v>
      </c>
      <c r="AC699" s="39" t="n">
        <f aca="false">AB699/(1-Resumo!$B$5)</f>
        <v>134.219318181818</v>
      </c>
      <c r="AD699" s="39" t="n">
        <f aca="false">(AB699-AA699)/(1-Resumo!$B$5)</f>
        <v>123.480681818182</v>
      </c>
      <c r="AE699" s="39" t="n">
        <f aca="false">AC699-T699</f>
        <v>32.7187272727273</v>
      </c>
      <c r="AF699" s="40" t="n">
        <f aca="false">AC699/T699-1</f>
        <v>0.322350116188307</v>
      </c>
      <c r="AG699" s="37" t="str">
        <f aca="false">IF(AC699&lt;T699,"SIM","NÃO")</f>
        <v>NÃO</v>
      </c>
      <c r="AH699" s="37" t="n">
        <v>10</v>
      </c>
      <c r="AI699" s="37" t="n">
        <v>7</v>
      </c>
      <c r="AJ699" s="37" t="s">
        <v>323</v>
      </c>
    </row>
    <row r="700" customFormat="false" ht="15" hidden="false" customHeight="false" outlineLevel="0" collapsed="false">
      <c r="A700" s="37" t="n">
        <v>373278210</v>
      </c>
      <c r="B700" s="38" t="n">
        <v>46242.373599537</v>
      </c>
      <c r="C700" s="37" t="s">
        <v>320</v>
      </c>
      <c r="D700" s="37" t="s">
        <v>1004</v>
      </c>
      <c r="E700" s="37" t="n">
        <v>26110250</v>
      </c>
      <c r="F700" s="37" t="s">
        <v>145</v>
      </c>
      <c r="G700" s="37" t="s">
        <v>207</v>
      </c>
      <c r="H700" s="37" t="s">
        <v>167</v>
      </c>
      <c r="I700" s="37" t="n">
        <v>19.5</v>
      </c>
      <c r="J700" s="39" t="n">
        <v>351</v>
      </c>
      <c r="K700" s="37" t="s">
        <v>498</v>
      </c>
      <c r="L700" s="39" t="n">
        <v>77.05</v>
      </c>
      <c r="M700" s="39" t="n">
        <v>48.69</v>
      </c>
      <c r="N700" s="39" t="n">
        <f aca="false">J700*Resumo!$C$7</f>
        <v>0.702</v>
      </c>
      <c r="O700" s="39" t="n">
        <f aca="false">J700*Resumo!$C$8</f>
        <v>0.702</v>
      </c>
      <c r="P700" s="39" t="n">
        <f aca="false">Resumo!$C$10*CEILING(I700/100,1)</f>
        <v>1</v>
      </c>
      <c r="Q700" s="39" t="n">
        <f aca="false">Resumo!$C$9</f>
        <v>11.9</v>
      </c>
      <c r="R700" s="39" t="n">
        <f aca="false">SUM(M700:Q700)*Resumo!$C$11</f>
        <v>3.46467</v>
      </c>
      <c r="S700" s="39" t="n">
        <f aca="false">SUM(M700:R700)</f>
        <v>66.45867</v>
      </c>
      <c r="T700" s="39" t="n">
        <f aca="false">S700/(1-Resumo!$C$5)</f>
        <v>75.5212159090909</v>
      </c>
      <c r="U700" s="39" t="n">
        <v>46.98</v>
      </c>
      <c r="V700" s="39" t="n">
        <f aca="false">J700*Resumo!$B$6</f>
        <v>0.351</v>
      </c>
      <c r="W700" s="39" t="n">
        <f aca="false">J700*Resumo!$B$7</f>
        <v>0.702</v>
      </c>
      <c r="X700" s="39" t="n">
        <f aca="false">Resumo!$B$9</f>
        <v>1</v>
      </c>
      <c r="Y700" s="39" t="n">
        <f aca="false">Resumo!$B$10*CEILING(I700/100,1)</f>
        <v>4.5</v>
      </c>
      <c r="Z700" s="39" t="n">
        <f aca="false">Resumo!$B$12*CEILING(I700,1)</f>
        <v>1.2</v>
      </c>
      <c r="AA700" s="39" t="n">
        <f aca="false">Resumo!$B$13*CEILING(I700,1)</f>
        <v>9</v>
      </c>
      <c r="AB700" s="39" t="n">
        <f aca="false">SUM(U700:AA700)</f>
        <v>63.733</v>
      </c>
      <c r="AC700" s="39" t="n">
        <f aca="false">AB700/(1-Resumo!$B$5)</f>
        <v>72.4238636363636</v>
      </c>
      <c r="AD700" s="39" t="n">
        <f aca="false">(AB700-AA700)/(1-Resumo!$B$5)</f>
        <v>62.1965909090909</v>
      </c>
      <c r="AE700" s="39" t="n">
        <f aca="false">AC700-T700</f>
        <v>-3.09735227272728</v>
      </c>
      <c r="AF700" s="40" t="n">
        <f aca="false">AC700/T700-1</f>
        <v>-0.0410130085359819</v>
      </c>
      <c r="AG700" s="37" t="str">
        <f aca="false">IF(AC700&lt;T700,"SIM","NÃO")</f>
        <v>SIM</v>
      </c>
      <c r="AH700" s="37" t="n">
        <v>10</v>
      </c>
      <c r="AI700" s="37" t="n">
        <v>5</v>
      </c>
      <c r="AJ700" s="37" t="s">
        <v>323</v>
      </c>
    </row>
    <row r="701" customFormat="false" ht="15" hidden="false" customHeight="false" outlineLevel="0" collapsed="false">
      <c r="A701" s="37" t="n">
        <v>373278878</v>
      </c>
      <c r="B701" s="38" t="n">
        <v>46242.3751157407</v>
      </c>
      <c r="C701" s="37" t="s">
        <v>320</v>
      </c>
      <c r="D701" s="37" t="s">
        <v>1005</v>
      </c>
      <c r="E701" s="37" t="n">
        <v>28948008</v>
      </c>
      <c r="F701" s="37" t="s">
        <v>278</v>
      </c>
      <c r="G701" s="37" t="s">
        <v>201</v>
      </c>
      <c r="H701" s="37" t="s">
        <v>173</v>
      </c>
      <c r="I701" s="37" t="n">
        <v>73.9</v>
      </c>
      <c r="J701" s="39" t="n">
        <v>959.99</v>
      </c>
      <c r="K701" s="37" t="s">
        <v>498</v>
      </c>
      <c r="L701" s="39" t="n">
        <v>168.99</v>
      </c>
      <c r="M701" s="39" t="n">
        <v>124.16</v>
      </c>
      <c r="N701" s="39" t="n">
        <f aca="false">J701*Resumo!$C$7</f>
        <v>1.91998</v>
      </c>
      <c r="O701" s="39" t="n">
        <f aca="false">J701*Resumo!$C$8</f>
        <v>1.91998</v>
      </c>
      <c r="P701" s="39" t="n">
        <f aca="false">Resumo!$C$10*CEILING(I701/100,1)</f>
        <v>1</v>
      </c>
      <c r="Q701" s="39" t="n">
        <f aca="false">Resumo!$C$9</f>
        <v>11.9</v>
      </c>
      <c r="R701" s="39" t="n">
        <f aca="false">SUM(M701:Q701)*Resumo!$C$11</f>
        <v>7.7494978</v>
      </c>
      <c r="S701" s="39" t="n">
        <f aca="false">SUM(M701:R701)</f>
        <v>148.6494578</v>
      </c>
      <c r="T701" s="39" t="n">
        <f aca="false">S701/(1-Resumo!$C$5)</f>
        <v>168.919838409091</v>
      </c>
      <c r="U701" s="39" t="n">
        <v>166.05</v>
      </c>
      <c r="V701" s="39" t="n">
        <f aca="false">J701*Resumo!$B$6</f>
        <v>0.95999</v>
      </c>
      <c r="W701" s="39" t="n">
        <f aca="false">J701*Resumo!$B$7</f>
        <v>1.91998</v>
      </c>
      <c r="X701" s="39" t="n">
        <f aca="false">Resumo!$B$9</f>
        <v>1</v>
      </c>
      <c r="Y701" s="39" t="n">
        <f aca="false">Resumo!$B$10*CEILING(I701/100,1)</f>
        <v>4.5</v>
      </c>
      <c r="Z701" s="39" t="n">
        <f aca="false">Resumo!$B$12*CEILING(I701,1)</f>
        <v>4.44</v>
      </c>
      <c r="AA701" s="39" t="n">
        <f aca="false">Resumo!$B$13*CEILING(I701,1)</f>
        <v>33.3</v>
      </c>
      <c r="AB701" s="39" t="n">
        <f aca="false">SUM(U701:AA701)</f>
        <v>212.16997</v>
      </c>
      <c r="AC701" s="39" t="n">
        <f aca="false">AB701/(1-Resumo!$B$5)</f>
        <v>241.102238636364</v>
      </c>
      <c r="AD701" s="39" t="n">
        <f aca="false">(AB701-AA701)/(1-Resumo!$B$5)</f>
        <v>203.261329545455</v>
      </c>
      <c r="AE701" s="39" t="n">
        <f aca="false">AC701-T701</f>
        <v>72.1824002272728</v>
      </c>
      <c r="AF701" s="40" t="n">
        <f aca="false">AC701/T701-1</f>
        <v>0.427317483293236</v>
      </c>
      <c r="AG701" s="37" t="str">
        <f aca="false">IF(AC701&lt;T701,"SIM","NÃO")</f>
        <v>NÃO</v>
      </c>
      <c r="AH701" s="37" t="n">
        <v>13</v>
      </c>
      <c r="AI701" s="37" t="n">
        <v>10</v>
      </c>
      <c r="AJ701" s="37" t="s">
        <v>327</v>
      </c>
    </row>
    <row r="702" customFormat="false" ht="15" hidden="false" customHeight="false" outlineLevel="0" collapsed="false">
      <c r="A702" s="37" t="n">
        <v>373280208</v>
      </c>
      <c r="B702" s="38" t="n">
        <v>46242.3771412037</v>
      </c>
      <c r="C702" s="37" t="s">
        <v>320</v>
      </c>
      <c r="D702" s="37" t="s">
        <v>1006</v>
      </c>
      <c r="E702" s="37" t="n">
        <v>22783124</v>
      </c>
      <c r="F702" s="37" t="s">
        <v>139</v>
      </c>
      <c r="G702" s="37" t="s">
        <v>198</v>
      </c>
      <c r="H702" s="37" t="s">
        <v>168</v>
      </c>
      <c r="I702" s="37" t="n">
        <v>22.4</v>
      </c>
      <c r="J702" s="39" t="n">
        <v>423</v>
      </c>
      <c r="K702" s="37" t="s">
        <v>322</v>
      </c>
      <c r="L702" s="39" t="n">
        <v>82.36</v>
      </c>
      <c r="M702" s="39" t="n">
        <v>54.1</v>
      </c>
      <c r="N702" s="39" t="n">
        <f aca="false">J702*Resumo!$C$7</f>
        <v>0.846</v>
      </c>
      <c r="O702" s="39" t="n">
        <f aca="false">J702*Resumo!$C$8</f>
        <v>0.846</v>
      </c>
      <c r="P702" s="39" t="n">
        <f aca="false">Resumo!$C$10*CEILING(I702/100,1)</f>
        <v>1</v>
      </c>
      <c r="Q702" s="39" t="n">
        <f aca="false">Resumo!$C$9</f>
        <v>11.9</v>
      </c>
      <c r="R702" s="39" t="n">
        <f aca="false">SUM(M702:Q702)*Resumo!$C$11</f>
        <v>3.77806</v>
      </c>
      <c r="S702" s="39" t="n">
        <f aca="false">SUM(M702:R702)</f>
        <v>72.47006</v>
      </c>
      <c r="T702" s="39" t="n">
        <f aca="false">S702/(1-Resumo!$C$5)</f>
        <v>82.3523409090909</v>
      </c>
      <c r="U702" s="39" t="n">
        <v>82.21</v>
      </c>
      <c r="V702" s="39" t="n">
        <f aca="false">J702*Resumo!$B$6</f>
        <v>0.423</v>
      </c>
      <c r="W702" s="39" t="n">
        <f aca="false">J702*Resumo!$B$7</f>
        <v>0.846</v>
      </c>
      <c r="X702" s="39" t="n">
        <f aca="false">Resumo!$B$9</f>
        <v>1</v>
      </c>
      <c r="Y702" s="39" t="n">
        <f aca="false">Resumo!$B$10*CEILING(I702/100,1)</f>
        <v>4.5</v>
      </c>
      <c r="Z702" s="39" t="n">
        <f aca="false">Resumo!$B$12*CEILING(I702,1)</f>
        <v>1.38</v>
      </c>
      <c r="AA702" s="39" t="n">
        <f aca="false">Resumo!$B$13*CEILING(I702,1)</f>
        <v>10.35</v>
      </c>
      <c r="AB702" s="39" t="n">
        <f aca="false">SUM(U702:AA702)</f>
        <v>100.709</v>
      </c>
      <c r="AC702" s="39" t="n">
        <f aca="false">AB702/(1-Resumo!$B$5)</f>
        <v>114.442045454545</v>
      </c>
      <c r="AD702" s="39" t="n">
        <f aca="false">(AB702-AA702)/(1-Resumo!$B$5)</f>
        <v>102.680681818182</v>
      </c>
      <c r="AE702" s="39" t="n">
        <f aca="false">AC702-T702</f>
        <v>32.0897045454545</v>
      </c>
      <c r="AF702" s="40" t="n">
        <f aca="false">AC702/T702-1</f>
        <v>0.389663538294297</v>
      </c>
      <c r="AG702" s="37" t="str">
        <f aca="false">IF(AC702&lt;T702,"SIM","NÃO")</f>
        <v>NÃO</v>
      </c>
      <c r="AH702" s="37" t="n">
        <v>8</v>
      </c>
      <c r="AI702" s="37" t="n">
        <v>5</v>
      </c>
      <c r="AJ702" s="37" t="s">
        <v>323</v>
      </c>
    </row>
    <row r="703" customFormat="false" ht="15" hidden="false" customHeight="false" outlineLevel="0" collapsed="false">
      <c r="A703" s="37" t="n">
        <v>373284205</v>
      </c>
      <c r="B703" s="38" t="n">
        <v>46242.3829398148</v>
      </c>
      <c r="C703" s="37" t="s">
        <v>325</v>
      </c>
      <c r="D703" s="37" t="s">
        <v>434</v>
      </c>
      <c r="E703" s="37" t="n">
        <v>28200000</v>
      </c>
      <c r="F703" s="37" t="s">
        <v>245</v>
      </c>
      <c r="G703" s="37" t="s">
        <v>201</v>
      </c>
      <c r="H703" s="37" t="s">
        <v>176</v>
      </c>
      <c r="I703" s="37" t="n">
        <v>134.4</v>
      </c>
      <c r="J703" s="39" t="n">
        <v>1597.99</v>
      </c>
      <c r="K703" s="37" t="s">
        <v>498</v>
      </c>
      <c r="L703" s="39" t="n">
        <v>258.36</v>
      </c>
      <c r="M703" s="39" t="n">
        <v>197.37</v>
      </c>
      <c r="N703" s="39" t="n">
        <f aca="false">J703*Resumo!$C$7</f>
        <v>3.19598</v>
      </c>
      <c r="O703" s="39" t="n">
        <f aca="false">J703*Resumo!$C$8</f>
        <v>3.19598</v>
      </c>
      <c r="P703" s="39" t="n">
        <f aca="false">Resumo!$C$10*CEILING(I703/100,1)</f>
        <v>2</v>
      </c>
      <c r="Q703" s="39" t="n">
        <f aca="false">Resumo!$C$9</f>
        <v>11.9</v>
      </c>
      <c r="R703" s="39" t="n">
        <f aca="false">SUM(M703:Q703)*Resumo!$C$11</f>
        <v>11.9714078</v>
      </c>
      <c r="S703" s="39" t="n">
        <f aca="false">SUM(M703:R703)</f>
        <v>229.6333678</v>
      </c>
      <c r="T703" s="39" t="n">
        <f aca="false">S703/(1-Resumo!$C$5)</f>
        <v>260.947008863636</v>
      </c>
      <c r="U703" s="39" t="n">
        <v>264.84</v>
      </c>
      <c r="V703" s="39" t="n">
        <f aca="false">J703*Resumo!$B$6</f>
        <v>1.59799</v>
      </c>
      <c r="W703" s="39" t="n">
        <f aca="false">J703*Resumo!$B$7</f>
        <v>3.19598</v>
      </c>
      <c r="X703" s="39" t="n">
        <f aca="false">Resumo!$B$9</f>
        <v>1</v>
      </c>
      <c r="Y703" s="39" t="n">
        <f aca="false">Resumo!$B$10*CEILING(I703/100,1)</f>
        <v>9</v>
      </c>
      <c r="Z703" s="39" t="n">
        <f aca="false">Resumo!$B$12*CEILING(I703,1)</f>
        <v>8.1</v>
      </c>
      <c r="AA703" s="39" t="n">
        <f aca="false">Resumo!$B$13*CEILING(I703,1)</f>
        <v>60.75</v>
      </c>
      <c r="AB703" s="39" t="n">
        <f aca="false">SUM(U703:AA703)</f>
        <v>348.48397</v>
      </c>
      <c r="AC703" s="39" t="n">
        <f aca="false">AB703/(1-Resumo!$B$5)</f>
        <v>396.004511363636</v>
      </c>
      <c r="AD703" s="39" t="n">
        <f aca="false">(AB703-AA703)/(1-Resumo!$B$5)</f>
        <v>326.970420454545</v>
      </c>
      <c r="AE703" s="39" t="n">
        <f aca="false">AC703-T703</f>
        <v>135.0575025</v>
      </c>
      <c r="AF703" s="40" t="n">
        <f aca="false">AC703/T703-1</f>
        <v>0.517566777592677</v>
      </c>
      <c r="AG703" s="37" t="str">
        <f aca="false">IF(AC703&lt;T703,"SIM","NÃO")</f>
        <v>NÃO</v>
      </c>
      <c r="AH703" s="37" t="n">
        <v>13</v>
      </c>
      <c r="AI703" s="37" t="n">
        <v>11</v>
      </c>
      <c r="AJ703" s="37" t="s">
        <v>327</v>
      </c>
    </row>
    <row r="704" customFormat="false" ht="15" hidden="false" customHeight="false" outlineLevel="0" collapsed="false">
      <c r="A704" s="37" t="n">
        <v>373294770</v>
      </c>
      <c r="B704" s="38" t="n">
        <v>46242.3999189815</v>
      </c>
      <c r="C704" s="37" t="s">
        <v>320</v>
      </c>
      <c r="D704" s="37" t="s">
        <v>1007</v>
      </c>
      <c r="E704" s="37" t="n">
        <v>23032180</v>
      </c>
      <c r="F704" s="37" t="s">
        <v>139</v>
      </c>
      <c r="G704" s="37" t="s">
        <v>198</v>
      </c>
      <c r="H704" s="37" t="s">
        <v>168</v>
      </c>
      <c r="I704" s="37" t="n">
        <v>22.4</v>
      </c>
      <c r="J704" s="39" t="n">
        <v>423</v>
      </c>
      <c r="K704" s="37" t="s">
        <v>498</v>
      </c>
      <c r="L704" s="39" t="n">
        <v>78.23</v>
      </c>
      <c r="M704" s="39" t="n">
        <v>54.1</v>
      </c>
      <c r="N704" s="39" t="n">
        <f aca="false">J704*Resumo!$C$7</f>
        <v>0.846</v>
      </c>
      <c r="O704" s="39" t="n">
        <f aca="false">J704*Resumo!$C$8</f>
        <v>0.846</v>
      </c>
      <c r="P704" s="39" t="n">
        <f aca="false">Resumo!$C$10*CEILING(I704/100,1)</f>
        <v>1</v>
      </c>
      <c r="Q704" s="39" t="n">
        <f aca="false">Resumo!$C$9</f>
        <v>11.9</v>
      </c>
      <c r="R704" s="39" t="n">
        <f aca="false">SUM(M704:Q704)*Resumo!$C$11</f>
        <v>3.77806</v>
      </c>
      <c r="S704" s="39" t="n">
        <f aca="false">SUM(M704:R704)</f>
        <v>72.47006</v>
      </c>
      <c r="T704" s="39" t="n">
        <f aca="false">S704/(1-Resumo!$C$5)</f>
        <v>82.3523409090909</v>
      </c>
      <c r="U704" s="39" t="n">
        <v>82.21</v>
      </c>
      <c r="V704" s="39" t="n">
        <f aca="false">J704*Resumo!$B$6</f>
        <v>0.423</v>
      </c>
      <c r="W704" s="39" t="n">
        <f aca="false">J704*Resumo!$B$7</f>
        <v>0.846</v>
      </c>
      <c r="X704" s="39" t="n">
        <f aca="false">Resumo!$B$9</f>
        <v>1</v>
      </c>
      <c r="Y704" s="39" t="n">
        <f aca="false">Resumo!$B$10*CEILING(I704/100,1)</f>
        <v>4.5</v>
      </c>
      <c r="Z704" s="39" t="n">
        <f aca="false">Resumo!$B$12*CEILING(I704,1)</f>
        <v>1.38</v>
      </c>
      <c r="AA704" s="39" t="n">
        <f aca="false">Resumo!$B$13*CEILING(I704,1)</f>
        <v>10.35</v>
      </c>
      <c r="AB704" s="39" t="n">
        <f aca="false">SUM(U704:AA704)</f>
        <v>100.709</v>
      </c>
      <c r="AC704" s="39" t="n">
        <f aca="false">AB704/(1-Resumo!$B$5)</f>
        <v>114.442045454545</v>
      </c>
      <c r="AD704" s="39" t="n">
        <f aca="false">(AB704-AA704)/(1-Resumo!$B$5)</f>
        <v>102.680681818182</v>
      </c>
      <c r="AE704" s="39" t="n">
        <f aca="false">AC704-T704</f>
        <v>32.0897045454545</v>
      </c>
      <c r="AF704" s="40" t="n">
        <f aca="false">AC704/T704-1</f>
        <v>0.389663538294297</v>
      </c>
      <c r="AG704" s="37" t="str">
        <f aca="false">IF(AC704&lt;T704,"SIM","NÃO")</f>
        <v>NÃO</v>
      </c>
      <c r="AH704" s="37" t="n">
        <v>8</v>
      </c>
      <c r="AI704" s="37" t="n">
        <v>5</v>
      </c>
      <c r="AJ704" s="37" t="s">
        <v>323</v>
      </c>
    </row>
    <row r="705" customFormat="false" ht="15" hidden="false" customHeight="false" outlineLevel="0" collapsed="false">
      <c r="A705" s="37" t="n">
        <v>373307889</v>
      </c>
      <c r="B705" s="38" t="n">
        <v>46242.4213194445</v>
      </c>
      <c r="C705" s="37" t="s">
        <v>320</v>
      </c>
      <c r="D705" s="37" t="s">
        <v>1008</v>
      </c>
      <c r="E705" s="37" t="n">
        <v>21910170</v>
      </c>
      <c r="F705" s="37" t="s">
        <v>139</v>
      </c>
      <c r="G705" s="37" t="s">
        <v>198</v>
      </c>
      <c r="H705" s="37" t="s">
        <v>168</v>
      </c>
      <c r="I705" s="37" t="n">
        <v>20.9</v>
      </c>
      <c r="J705" s="39" t="n">
        <v>441</v>
      </c>
      <c r="K705" s="37" t="s">
        <v>322</v>
      </c>
      <c r="L705" s="39" t="n">
        <v>82.43</v>
      </c>
      <c r="M705" s="39" t="n">
        <v>54.1</v>
      </c>
      <c r="N705" s="39" t="n">
        <f aca="false">J705*Resumo!$C$7</f>
        <v>0.882</v>
      </c>
      <c r="O705" s="39" t="n">
        <f aca="false">J705*Resumo!$C$8</f>
        <v>0.882</v>
      </c>
      <c r="P705" s="39" t="n">
        <f aca="false">Resumo!$C$10*CEILING(I705/100,1)</f>
        <v>1</v>
      </c>
      <c r="Q705" s="39" t="n">
        <f aca="false">Resumo!$C$9</f>
        <v>11.9</v>
      </c>
      <c r="R705" s="39" t="n">
        <f aca="false">SUM(M705:Q705)*Resumo!$C$11</f>
        <v>3.78202</v>
      </c>
      <c r="S705" s="39" t="n">
        <f aca="false">SUM(M705:R705)</f>
        <v>72.54602</v>
      </c>
      <c r="T705" s="39" t="n">
        <f aca="false">S705/(1-Resumo!$C$5)</f>
        <v>82.4386590909091</v>
      </c>
      <c r="U705" s="39" t="n">
        <v>82.21</v>
      </c>
      <c r="V705" s="39" t="n">
        <f aca="false">J705*Resumo!$B$6</f>
        <v>0.441</v>
      </c>
      <c r="W705" s="39" t="n">
        <f aca="false">J705*Resumo!$B$7</f>
        <v>0.882</v>
      </c>
      <c r="X705" s="39" t="n">
        <f aca="false">Resumo!$B$9</f>
        <v>1</v>
      </c>
      <c r="Y705" s="39" t="n">
        <f aca="false">Resumo!$B$10*CEILING(I705/100,1)</f>
        <v>4.5</v>
      </c>
      <c r="Z705" s="39" t="n">
        <f aca="false">Resumo!$B$12*CEILING(I705,1)</f>
        <v>1.26</v>
      </c>
      <c r="AA705" s="39" t="n">
        <f aca="false">Resumo!$B$13*CEILING(I705,1)</f>
        <v>9.45</v>
      </c>
      <c r="AB705" s="39" t="n">
        <f aca="false">SUM(U705:AA705)</f>
        <v>99.743</v>
      </c>
      <c r="AC705" s="39" t="n">
        <f aca="false">AB705/(1-Resumo!$B$5)</f>
        <v>113.344318181818</v>
      </c>
      <c r="AD705" s="39" t="n">
        <f aca="false">(AB705-AA705)/(1-Resumo!$B$5)</f>
        <v>102.605681818182</v>
      </c>
      <c r="AE705" s="39" t="n">
        <f aca="false">AC705-T705</f>
        <v>30.9056590909091</v>
      </c>
      <c r="AF705" s="40" t="n">
        <f aca="false">AC705/T705-1</f>
        <v>0.374892792189013</v>
      </c>
      <c r="AG705" s="37" t="str">
        <f aca="false">IF(AC705&lt;T705,"SIM","NÃO")</f>
        <v>NÃO</v>
      </c>
      <c r="AH705" s="37" t="n">
        <v>8</v>
      </c>
      <c r="AI705" s="37" t="n">
        <v>5</v>
      </c>
      <c r="AJ705" s="37" t="s">
        <v>323</v>
      </c>
    </row>
    <row r="706" customFormat="false" ht="15" hidden="false" customHeight="false" outlineLevel="0" collapsed="false">
      <c r="A706" s="37" t="n">
        <v>373314023</v>
      </c>
      <c r="B706" s="38" t="n">
        <v>46242.4307407407</v>
      </c>
      <c r="C706" s="37" t="s">
        <v>320</v>
      </c>
      <c r="D706" s="37" t="s">
        <v>1009</v>
      </c>
      <c r="E706" s="37" t="n">
        <v>21046415</v>
      </c>
      <c r="F706" s="37" t="s">
        <v>139</v>
      </c>
      <c r="G706" s="37" t="s">
        <v>198</v>
      </c>
      <c r="H706" s="37" t="s">
        <v>170</v>
      </c>
      <c r="I706" s="37" t="n">
        <v>44.5</v>
      </c>
      <c r="J706" s="39" t="n">
        <v>799.99</v>
      </c>
      <c r="K706" s="37" t="s">
        <v>322</v>
      </c>
      <c r="L706" s="39" t="n">
        <v>104.42</v>
      </c>
      <c r="M706" s="39" t="n">
        <v>71</v>
      </c>
      <c r="N706" s="39" t="n">
        <f aca="false">J706*Resumo!$C$7</f>
        <v>1.59998</v>
      </c>
      <c r="O706" s="39" t="n">
        <f aca="false">J706*Resumo!$C$8</f>
        <v>1.59998</v>
      </c>
      <c r="P706" s="39" t="n">
        <f aca="false">Resumo!$C$10*CEILING(I706/100,1)</f>
        <v>1</v>
      </c>
      <c r="Q706" s="39" t="n">
        <f aca="false">Resumo!$C$9</f>
        <v>11.9</v>
      </c>
      <c r="R706" s="39" t="n">
        <f aca="false">SUM(M706:Q706)*Resumo!$C$11</f>
        <v>4.7904978</v>
      </c>
      <c r="S706" s="39" t="n">
        <f aca="false">SUM(M706:R706)</f>
        <v>91.8904578</v>
      </c>
      <c r="T706" s="39" t="n">
        <f aca="false">S706/(1-Resumo!$C$5)</f>
        <v>104.420974772727</v>
      </c>
      <c r="U706" s="39" t="n">
        <v>93.97</v>
      </c>
      <c r="V706" s="39" t="n">
        <f aca="false">J706*Resumo!$B$6</f>
        <v>0.79999</v>
      </c>
      <c r="W706" s="39" t="n">
        <f aca="false">J706*Resumo!$B$7</f>
        <v>1.59998</v>
      </c>
      <c r="X706" s="39" t="n">
        <f aca="false">Resumo!$B$9</f>
        <v>1</v>
      </c>
      <c r="Y706" s="39" t="n">
        <f aca="false">Resumo!$B$10*CEILING(I706/100,1)</f>
        <v>4.5</v>
      </c>
      <c r="Z706" s="39" t="n">
        <f aca="false">Resumo!$B$12*CEILING(I706,1)</f>
        <v>2.7</v>
      </c>
      <c r="AA706" s="39" t="n">
        <f aca="false">Resumo!$B$13*CEILING(I706,1)</f>
        <v>20.25</v>
      </c>
      <c r="AB706" s="39" t="n">
        <f aca="false">SUM(U706:AA706)</f>
        <v>124.81997</v>
      </c>
      <c r="AC706" s="39" t="n">
        <f aca="false">AB706/(1-Resumo!$B$5)</f>
        <v>141.840875</v>
      </c>
      <c r="AD706" s="39" t="n">
        <f aca="false">(AB706-AA706)/(1-Resumo!$B$5)</f>
        <v>118.829511363636</v>
      </c>
      <c r="AE706" s="39" t="n">
        <f aca="false">AC706-T706</f>
        <v>37.4199002272727</v>
      </c>
      <c r="AF706" s="40" t="n">
        <f aca="false">AC706/T706-1</f>
        <v>0.35835616655291</v>
      </c>
      <c r="AG706" s="37" t="str">
        <f aca="false">IF(AC706&lt;T706,"SIM","NÃO")</f>
        <v>NÃO</v>
      </c>
      <c r="AH706" s="37" t="n">
        <v>8</v>
      </c>
      <c r="AI706" s="37" t="n">
        <v>5</v>
      </c>
      <c r="AJ706" s="37" t="s">
        <v>323</v>
      </c>
    </row>
    <row r="707" customFormat="false" ht="15" hidden="false" customHeight="false" outlineLevel="0" collapsed="false">
      <c r="A707" s="37" t="n">
        <v>373320545</v>
      </c>
      <c r="B707" s="38" t="n">
        <v>46242.4407523148</v>
      </c>
      <c r="C707" s="37" t="s">
        <v>320</v>
      </c>
      <c r="D707" s="37" t="s">
        <v>597</v>
      </c>
      <c r="E707" s="37" t="n">
        <v>22783111</v>
      </c>
      <c r="F707" s="37" t="s">
        <v>139</v>
      </c>
      <c r="G707" s="37" t="s">
        <v>198</v>
      </c>
      <c r="H707" s="37" t="s">
        <v>168</v>
      </c>
      <c r="I707" s="37" t="n">
        <v>20.9</v>
      </c>
      <c r="J707" s="39" t="n">
        <v>441</v>
      </c>
      <c r="K707" s="37" t="s">
        <v>322</v>
      </c>
      <c r="L707" s="39" t="n">
        <v>82.43</v>
      </c>
      <c r="M707" s="39" t="n">
        <v>54.1</v>
      </c>
      <c r="N707" s="39" t="n">
        <f aca="false">J707*Resumo!$C$7</f>
        <v>0.882</v>
      </c>
      <c r="O707" s="39" t="n">
        <f aca="false">J707*Resumo!$C$8</f>
        <v>0.882</v>
      </c>
      <c r="P707" s="39" t="n">
        <f aca="false">Resumo!$C$10*CEILING(I707/100,1)</f>
        <v>1</v>
      </c>
      <c r="Q707" s="39" t="n">
        <f aca="false">Resumo!$C$9</f>
        <v>11.9</v>
      </c>
      <c r="R707" s="39" t="n">
        <f aca="false">SUM(M707:Q707)*Resumo!$C$11</f>
        <v>3.78202</v>
      </c>
      <c r="S707" s="39" t="n">
        <f aca="false">SUM(M707:R707)</f>
        <v>72.54602</v>
      </c>
      <c r="T707" s="39" t="n">
        <f aca="false">S707/(1-Resumo!$C$5)</f>
        <v>82.4386590909091</v>
      </c>
      <c r="U707" s="39" t="n">
        <v>82.21</v>
      </c>
      <c r="V707" s="39" t="n">
        <f aca="false">J707*Resumo!$B$6</f>
        <v>0.441</v>
      </c>
      <c r="W707" s="39" t="n">
        <f aca="false">J707*Resumo!$B$7</f>
        <v>0.882</v>
      </c>
      <c r="X707" s="39" t="n">
        <f aca="false">Resumo!$B$9</f>
        <v>1</v>
      </c>
      <c r="Y707" s="39" t="n">
        <f aca="false">Resumo!$B$10*CEILING(I707/100,1)</f>
        <v>4.5</v>
      </c>
      <c r="Z707" s="39" t="n">
        <f aca="false">Resumo!$B$12*CEILING(I707,1)</f>
        <v>1.26</v>
      </c>
      <c r="AA707" s="39" t="n">
        <f aca="false">Resumo!$B$13*CEILING(I707,1)</f>
        <v>9.45</v>
      </c>
      <c r="AB707" s="39" t="n">
        <f aca="false">SUM(U707:AA707)</f>
        <v>99.743</v>
      </c>
      <c r="AC707" s="39" t="n">
        <f aca="false">AB707/(1-Resumo!$B$5)</f>
        <v>113.344318181818</v>
      </c>
      <c r="AD707" s="39" t="n">
        <f aca="false">(AB707-AA707)/(1-Resumo!$B$5)</f>
        <v>102.605681818182</v>
      </c>
      <c r="AE707" s="39" t="n">
        <f aca="false">AC707-T707</f>
        <v>30.9056590909091</v>
      </c>
      <c r="AF707" s="40" t="n">
        <f aca="false">AC707/T707-1</f>
        <v>0.374892792189013</v>
      </c>
      <c r="AG707" s="37" t="str">
        <f aca="false">IF(AC707&lt;T707,"SIM","NÃO")</f>
        <v>NÃO</v>
      </c>
      <c r="AH707" s="37" t="n">
        <v>8</v>
      </c>
      <c r="AI707" s="37" t="n">
        <v>5</v>
      </c>
      <c r="AJ707" s="37" t="s">
        <v>323</v>
      </c>
    </row>
    <row r="708" customFormat="false" ht="15" hidden="false" customHeight="false" outlineLevel="0" collapsed="false">
      <c r="A708" s="37" t="n">
        <v>373321632</v>
      </c>
      <c r="B708" s="38" t="n">
        <v>46242.441875</v>
      </c>
      <c r="C708" s="37" t="s">
        <v>320</v>
      </c>
      <c r="D708" s="37" t="s">
        <v>900</v>
      </c>
      <c r="E708" s="37" t="n">
        <v>25850000</v>
      </c>
      <c r="F708" s="37" t="s">
        <v>216</v>
      </c>
      <c r="G708" s="37" t="s">
        <v>201</v>
      </c>
      <c r="H708" s="37" t="s">
        <v>168</v>
      </c>
      <c r="I708" s="37" t="n">
        <v>31.9</v>
      </c>
      <c r="J708" s="39" t="n">
        <v>533.6</v>
      </c>
      <c r="K708" s="37" t="s">
        <v>498</v>
      </c>
      <c r="L708" s="39" t="n">
        <v>110.08</v>
      </c>
      <c r="M708" s="39" t="n">
        <v>76.5</v>
      </c>
      <c r="N708" s="39" t="n">
        <f aca="false">J708*Resumo!$C$7</f>
        <v>1.0672</v>
      </c>
      <c r="O708" s="39" t="n">
        <f aca="false">J708*Resumo!$C$8</f>
        <v>1.0672</v>
      </c>
      <c r="P708" s="39" t="n">
        <f aca="false">Resumo!$C$10*CEILING(I708/100,1)</f>
        <v>1</v>
      </c>
      <c r="Q708" s="39" t="n">
        <f aca="false">Resumo!$C$9</f>
        <v>11.9</v>
      </c>
      <c r="R708" s="39" t="n">
        <f aca="false">SUM(M708:Q708)*Resumo!$C$11</f>
        <v>5.034392</v>
      </c>
      <c r="S708" s="39" t="n">
        <f aca="false">SUM(M708:R708)</f>
        <v>96.568792</v>
      </c>
      <c r="T708" s="39" t="n">
        <f aca="false">S708/(1-Resumo!$C$5)</f>
        <v>109.737263636364</v>
      </c>
      <c r="U708" s="39" t="n">
        <v>120.78</v>
      </c>
      <c r="V708" s="39" t="n">
        <f aca="false">J708*Resumo!$B$6</f>
        <v>0.5336</v>
      </c>
      <c r="W708" s="39" t="n">
        <f aca="false">J708*Resumo!$B$7</f>
        <v>1.0672</v>
      </c>
      <c r="X708" s="39" t="n">
        <f aca="false">Resumo!$B$9</f>
        <v>1</v>
      </c>
      <c r="Y708" s="39" t="n">
        <f aca="false">Resumo!$B$10*CEILING(I708/100,1)</f>
        <v>4.5</v>
      </c>
      <c r="Z708" s="39" t="n">
        <f aca="false">Resumo!$B$12*CEILING(I708,1)</f>
        <v>1.92</v>
      </c>
      <c r="AA708" s="39" t="n">
        <f aca="false">Resumo!$B$13*CEILING(I708,1)</f>
        <v>14.4</v>
      </c>
      <c r="AB708" s="39" t="n">
        <f aca="false">SUM(U708:AA708)</f>
        <v>144.2008</v>
      </c>
      <c r="AC708" s="39" t="n">
        <f aca="false">AB708/(1-Resumo!$B$5)</f>
        <v>163.864545454545</v>
      </c>
      <c r="AD708" s="39" t="n">
        <f aca="false">(AB708-AA708)/(1-Resumo!$B$5)</f>
        <v>147.500909090909</v>
      </c>
      <c r="AE708" s="39" t="n">
        <f aca="false">AC708-T708</f>
        <v>54.1272818181818</v>
      </c>
      <c r="AF708" s="40" t="n">
        <f aca="false">AC708/T708-1</f>
        <v>0.493244318516483</v>
      </c>
      <c r="AG708" s="37" t="str">
        <f aca="false">IF(AC708&lt;T708,"SIM","NÃO")</f>
        <v>NÃO</v>
      </c>
      <c r="AH708" s="37" t="n">
        <v>13</v>
      </c>
      <c r="AI708" s="37" t="n">
        <v>10</v>
      </c>
      <c r="AJ708" s="37" t="s">
        <v>327</v>
      </c>
    </row>
    <row r="709" customFormat="false" ht="15" hidden="false" customHeight="false" outlineLevel="0" collapsed="false">
      <c r="A709" s="37" t="n">
        <v>373321462</v>
      </c>
      <c r="B709" s="38" t="n">
        <v>46242.4480902778</v>
      </c>
      <c r="C709" s="37" t="s">
        <v>355</v>
      </c>
      <c r="D709" s="37" t="s">
        <v>935</v>
      </c>
      <c r="E709" s="37" t="n">
        <v>20765171</v>
      </c>
      <c r="F709" s="37" t="s">
        <v>139</v>
      </c>
      <c r="G709" s="37" t="s">
        <v>198</v>
      </c>
      <c r="H709" s="37" t="s">
        <v>171</v>
      </c>
      <c r="I709" s="37" t="n">
        <v>60</v>
      </c>
      <c r="J709" s="39" t="n">
        <v>797.62</v>
      </c>
      <c r="K709" s="37" t="s">
        <v>322</v>
      </c>
      <c r="L709" s="39" t="n">
        <v>114.99</v>
      </c>
      <c r="M709" s="39" t="n">
        <v>79.81</v>
      </c>
      <c r="N709" s="39" t="n">
        <f aca="false">J709*Resumo!$C$7</f>
        <v>1.59524</v>
      </c>
      <c r="O709" s="39" t="n">
        <f aca="false">J709*Resumo!$C$8</f>
        <v>1.59524</v>
      </c>
      <c r="P709" s="39" t="n">
        <f aca="false">Resumo!$C$10*CEILING(I709/100,1)</f>
        <v>1</v>
      </c>
      <c r="Q709" s="39" t="n">
        <f aca="false">Resumo!$C$9</f>
        <v>11.9</v>
      </c>
      <c r="R709" s="39" t="n">
        <f aca="false">SUM(M709:Q709)*Resumo!$C$11</f>
        <v>5.2745264</v>
      </c>
      <c r="S709" s="39" t="n">
        <f aca="false">SUM(M709:R709)</f>
        <v>101.1750064</v>
      </c>
      <c r="T709" s="39" t="n">
        <f aca="false">S709/(1-Resumo!$C$5)</f>
        <v>114.971598181818</v>
      </c>
      <c r="U709" s="39" t="n">
        <v>112.3</v>
      </c>
      <c r="V709" s="39" t="n">
        <f aca="false">J709*Resumo!$B$6</f>
        <v>0.79762</v>
      </c>
      <c r="W709" s="39" t="n">
        <f aca="false">J709*Resumo!$B$7</f>
        <v>1.59524</v>
      </c>
      <c r="X709" s="39" t="n">
        <f aca="false">Resumo!$B$9</f>
        <v>1</v>
      </c>
      <c r="Y709" s="39" t="n">
        <f aca="false">Resumo!$B$10*CEILING(I709/100,1)</f>
        <v>4.5</v>
      </c>
      <c r="Z709" s="39" t="n">
        <f aca="false">Resumo!$B$12*CEILING(I709,1)</f>
        <v>3.6</v>
      </c>
      <c r="AA709" s="39" t="n">
        <f aca="false">Resumo!$B$13*CEILING(I709,1)</f>
        <v>27</v>
      </c>
      <c r="AB709" s="39" t="n">
        <f aca="false">SUM(U709:AA709)</f>
        <v>150.79286</v>
      </c>
      <c r="AC709" s="39" t="n">
        <f aca="false">AB709/(1-Resumo!$B$5)</f>
        <v>171.355522727273</v>
      </c>
      <c r="AD709" s="39" t="n">
        <f aca="false">(AB709-AA709)/(1-Resumo!$B$5)</f>
        <v>140.673704545455</v>
      </c>
      <c r="AE709" s="39" t="n">
        <f aca="false">AC709-T709</f>
        <v>56.3839245454546</v>
      </c>
      <c r="AF709" s="40" t="n">
        <f aca="false">AC709/T709-1</f>
        <v>0.490416115259074</v>
      </c>
      <c r="AG709" s="37" t="str">
        <f aca="false">IF(AC709&lt;T709,"SIM","NÃO")</f>
        <v>NÃO</v>
      </c>
      <c r="AH709" s="37" t="n">
        <v>8</v>
      </c>
      <c r="AI709" s="37" t="n">
        <v>5</v>
      </c>
      <c r="AJ709" s="37" t="s">
        <v>323</v>
      </c>
    </row>
    <row r="710" customFormat="false" ht="15" hidden="false" customHeight="false" outlineLevel="0" collapsed="false">
      <c r="A710" s="37" t="n">
        <v>373327129</v>
      </c>
      <c r="B710" s="38" t="n">
        <v>46242.4501967593</v>
      </c>
      <c r="C710" s="37" t="s">
        <v>320</v>
      </c>
      <c r="D710" s="37" t="s">
        <v>1010</v>
      </c>
      <c r="E710" s="37" t="n">
        <v>21072150</v>
      </c>
      <c r="F710" s="37" t="s">
        <v>139</v>
      </c>
      <c r="G710" s="37" t="s">
        <v>198</v>
      </c>
      <c r="H710" s="37" t="s">
        <v>170</v>
      </c>
      <c r="I710" s="37" t="n">
        <v>43.5</v>
      </c>
      <c r="J710" s="39" t="n">
        <v>690.99</v>
      </c>
      <c r="K710" s="37" t="s">
        <v>322</v>
      </c>
      <c r="L710" s="39" t="n">
        <v>103.9</v>
      </c>
      <c r="M710" s="39" t="n">
        <v>71</v>
      </c>
      <c r="N710" s="39" t="n">
        <f aca="false">J710*Resumo!$C$7</f>
        <v>1.38198</v>
      </c>
      <c r="O710" s="39" t="n">
        <f aca="false">J710*Resumo!$C$8</f>
        <v>1.38198</v>
      </c>
      <c r="P710" s="39" t="n">
        <f aca="false">Resumo!$C$10*CEILING(I710/100,1)</f>
        <v>1</v>
      </c>
      <c r="Q710" s="39" t="n">
        <f aca="false">Resumo!$C$9</f>
        <v>11.9</v>
      </c>
      <c r="R710" s="39" t="n">
        <f aca="false">SUM(M710:Q710)*Resumo!$C$11</f>
        <v>4.7665178</v>
      </c>
      <c r="S710" s="39" t="n">
        <f aca="false">SUM(M710:R710)</f>
        <v>91.4304778</v>
      </c>
      <c r="T710" s="39" t="n">
        <f aca="false">S710/(1-Resumo!$C$5)</f>
        <v>103.898270227273</v>
      </c>
      <c r="U710" s="39" t="n">
        <v>93.97</v>
      </c>
      <c r="V710" s="39" t="n">
        <f aca="false">J710*Resumo!$B$6</f>
        <v>0.69099</v>
      </c>
      <c r="W710" s="39" t="n">
        <f aca="false">J710*Resumo!$B$7</f>
        <v>1.38198</v>
      </c>
      <c r="X710" s="39" t="n">
        <f aca="false">Resumo!$B$9</f>
        <v>1</v>
      </c>
      <c r="Y710" s="39" t="n">
        <f aca="false">Resumo!$B$10*CEILING(I710/100,1)</f>
        <v>4.5</v>
      </c>
      <c r="Z710" s="39" t="n">
        <f aca="false">Resumo!$B$12*CEILING(I710,1)</f>
        <v>2.64</v>
      </c>
      <c r="AA710" s="39" t="n">
        <f aca="false">Resumo!$B$13*CEILING(I710,1)</f>
        <v>19.8</v>
      </c>
      <c r="AB710" s="39" t="n">
        <f aca="false">SUM(U710:AA710)</f>
        <v>123.98297</v>
      </c>
      <c r="AC710" s="39" t="n">
        <f aca="false">AB710/(1-Resumo!$B$5)</f>
        <v>140.889738636364</v>
      </c>
      <c r="AD710" s="39" t="n">
        <f aca="false">(AB710-AA710)/(1-Resumo!$B$5)</f>
        <v>118.389738636364</v>
      </c>
      <c r="AE710" s="39" t="n">
        <f aca="false">AC710-T710</f>
        <v>36.9914684090909</v>
      </c>
      <c r="AF710" s="40" t="n">
        <f aca="false">AC710/T710-1</f>
        <v>0.35603545976438</v>
      </c>
      <c r="AG710" s="37" t="str">
        <f aca="false">IF(AC710&lt;T710,"SIM","NÃO")</f>
        <v>NÃO</v>
      </c>
      <c r="AH710" s="37" t="n">
        <v>8</v>
      </c>
      <c r="AI710" s="37" t="n">
        <v>5</v>
      </c>
      <c r="AJ710" s="37" t="s">
        <v>323</v>
      </c>
    </row>
    <row r="711" customFormat="false" ht="15" hidden="false" customHeight="false" outlineLevel="0" collapsed="false">
      <c r="A711" s="37" t="n">
        <v>373327944</v>
      </c>
      <c r="B711" s="38" t="n">
        <v>46242.4514467593</v>
      </c>
      <c r="C711" s="37" t="s">
        <v>320</v>
      </c>
      <c r="D711" s="37" t="s">
        <v>1011</v>
      </c>
      <c r="E711" s="37" t="n">
        <v>24344121</v>
      </c>
      <c r="F711" s="37" t="s">
        <v>143</v>
      </c>
      <c r="G711" s="37" t="s">
        <v>207</v>
      </c>
      <c r="H711" s="37" t="s">
        <v>168</v>
      </c>
      <c r="I711" s="37" t="n">
        <v>31.9</v>
      </c>
      <c r="J711" s="39" t="n">
        <v>533.6</v>
      </c>
      <c r="K711" s="37" t="s">
        <v>322</v>
      </c>
      <c r="L711" s="39" t="n">
        <v>101.95</v>
      </c>
      <c r="M711" s="39" t="n">
        <v>70</v>
      </c>
      <c r="N711" s="39" t="n">
        <f aca="false">J711*Resumo!$C$7</f>
        <v>1.0672</v>
      </c>
      <c r="O711" s="39" t="n">
        <f aca="false">J711*Resumo!$C$8</f>
        <v>1.0672</v>
      </c>
      <c r="P711" s="39" t="n">
        <f aca="false">Resumo!$C$10*CEILING(I711/100,1)</f>
        <v>1</v>
      </c>
      <c r="Q711" s="39" t="n">
        <f aca="false">Resumo!$C$9</f>
        <v>11.9</v>
      </c>
      <c r="R711" s="39" t="n">
        <f aca="false">SUM(M711:Q711)*Resumo!$C$11</f>
        <v>4.676892</v>
      </c>
      <c r="S711" s="39" t="n">
        <f aca="false">SUM(M711:R711)</f>
        <v>89.711292</v>
      </c>
      <c r="T711" s="39" t="n">
        <f aca="false">S711/(1-Resumo!$C$5)</f>
        <v>101.94465</v>
      </c>
      <c r="U711" s="39" t="n">
        <v>100.58</v>
      </c>
      <c r="V711" s="39" t="n">
        <f aca="false">J711*Resumo!$B$6</f>
        <v>0.5336</v>
      </c>
      <c r="W711" s="39" t="n">
        <f aca="false">J711*Resumo!$B$7</f>
        <v>1.0672</v>
      </c>
      <c r="X711" s="39" t="n">
        <f aca="false">Resumo!$B$9</f>
        <v>1</v>
      </c>
      <c r="Y711" s="39" t="n">
        <f aca="false">Resumo!$B$10*CEILING(I711/100,1)</f>
        <v>4.5</v>
      </c>
      <c r="Z711" s="39" t="n">
        <f aca="false">Resumo!$B$12*CEILING(I711,1)</f>
        <v>1.92</v>
      </c>
      <c r="AA711" s="39" t="n">
        <f aca="false">Resumo!$B$13*CEILING(I711,1)</f>
        <v>14.4</v>
      </c>
      <c r="AB711" s="39" t="n">
        <f aca="false">SUM(U711:AA711)</f>
        <v>124.0008</v>
      </c>
      <c r="AC711" s="39" t="n">
        <f aca="false">AB711/(1-Resumo!$B$5)</f>
        <v>140.91</v>
      </c>
      <c r="AD711" s="39" t="n">
        <f aca="false">(AB711-AA711)/(1-Resumo!$B$5)</f>
        <v>124.546363636364</v>
      </c>
      <c r="AE711" s="39" t="n">
        <f aca="false">AC711-T711</f>
        <v>38.96535</v>
      </c>
      <c r="AF711" s="40" t="n">
        <f aca="false">AC711/T711-1</f>
        <v>0.382220646203602</v>
      </c>
      <c r="AG711" s="37" t="str">
        <f aca="false">IF(AC711&lt;T711,"SIM","NÃO")</f>
        <v>NÃO</v>
      </c>
      <c r="AH711" s="37" t="n">
        <v>10</v>
      </c>
      <c r="AI711" s="37" t="n">
        <v>7</v>
      </c>
      <c r="AJ711" s="37" t="s">
        <v>323</v>
      </c>
    </row>
    <row r="712" customFormat="false" ht="15" hidden="false" customHeight="false" outlineLevel="0" collapsed="false">
      <c r="A712" s="37" t="n">
        <v>373336033</v>
      </c>
      <c r="B712" s="38" t="n">
        <v>46242.4638888889</v>
      </c>
      <c r="C712" s="37" t="s">
        <v>320</v>
      </c>
      <c r="D712" s="37" t="s">
        <v>1012</v>
      </c>
      <c r="E712" s="37" t="n">
        <v>26297072</v>
      </c>
      <c r="F712" s="37" t="s">
        <v>142</v>
      </c>
      <c r="G712" s="37" t="s">
        <v>207</v>
      </c>
      <c r="H712" s="37" t="s">
        <v>173</v>
      </c>
      <c r="I712" s="37" t="n">
        <v>71.9</v>
      </c>
      <c r="J712" s="39" t="n">
        <v>793.68</v>
      </c>
      <c r="K712" s="37" t="s">
        <v>322</v>
      </c>
      <c r="L712" s="39" t="n">
        <v>151.81</v>
      </c>
      <c r="M712" s="39" t="n">
        <v>110.55</v>
      </c>
      <c r="N712" s="39" t="n">
        <f aca="false">J712*Resumo!$C$7</f>
        <v>1.58736</v>
      </c>
      <c r="O712" s="39" t="n">
        <f aca="false">J712*Resumo!$C$8</f>
        <v>1.58736</v>
      </c>
      <c r="P712" s="39" t="n">
        <f aca="false">Resumo!$C$10*CEILING(I712/100,1)</f>
        <v>1</v>
      </c>
      <c r="Q712" s="39" t="n">
        <f aca="false">Resumo!$C$9</f>
        <v>11.9</v>
      </c>
      <c r="R712" s="39" t="n">
        <f aca="false">SUM(M712:Q712)*Resumo!$C$11</f>
        <v>6.9643596</v>
      </c>
      <c r="S712" s="39" t="n">
        <f aca="false">SUM(M712:R712)</f>
        <v>133.5890796</v>
      </c>
      <c r="T712" s="39" t="n">
        <f aca="false">S712/(1-Resumo!$C$5)</f>
        <v>151.805772272727</v>
      </c>
      <c r="U712" s="39" t="n">
        <v>134.39</v>
      </c>
      <c r="V712" s="39" t="n">
        <f aca="false">J712*Resumo!$B$6</f>
        <v>0.79368</v>
      </c>
      <c r="W712" s="39" t="n">
        <f aca="false">J712*Resumo!$B$7</f>
        <v>1.58736</v>
      </c>
      <c r="X712" s="39" t="n">
        <f aca="false">Resumo!$B$9</f>
        <v>1</v>
      </c>
      <c r="Y712" s="39" t="n">
        <f aca="false">Resumo!$B$10*CEILING(I712/100,1)</f>
        <v>4.5</v>
      </c>
      <c r="Z712" s="39" t="n">
        <f aca="false">Resumo!$B$12*CEILING(I712,1)</f>
        <v>4.32</v>
      </c>
      <c r="AA712" s="39" t="n">
        <f aca="false">Resumo!$B$13*CEILING(I712,1)</f>
        <v>32.4</v>
      </c>
      <c r="AB712" s="39" t="n">
        <f aca="false">SUM(U712:AA712)</f>
        <v>178.99104</v>
      </c>
      <c r="AC712" s="39" t="n">
        <f aca="false">AB712/(1-Resumo!$B$5)</f>
        <v>203.398909090909</v>
      </c>
      <c r="AD712" s="39" t="n">
        <f aca="false">(AB712-AA712)/(1-Resumo!$B$5)</f>
        <v>166.580727272727</v>
      </c>
      <c r="AE712" s="39" t="n">
        <f aca="false">AC712-T712</f>
        <v>51.5931368181818</v>
      </c>
      <c r="AF712" s="40" t="n">
        <f aca="false">AC712/T712-1</f>
        <v>0.339862813157671</v>
      </c>
      <c r="AG712" s="37" t="str">
        <f aca="false">IF(AC712&lt;T712,"SIM","NÃO")</f>
        <v>NÃO</v>
      </c>
      <c r="AH712" s="37" t="n">
        <v>10</v>
      </c>
      <c r="AI712" s="37" t="n">
        <v>5</v>
      </c>
      <c r="AJ712" s="37" t="s">
        <v>323</v>
      </c>
    </row>
    <row r="713" customFormat="false" ht="15" hidden="false" customHeight="false" outlineLevel="0" collapsed="false">
      <c r="A713" s="37" t="n">
        <v>373265347</v>
      </c>
      <c r="B713" s="38" t="n">
        <v>46242.4688078704</v>
      </c>
      <c r="C713" s="37" t="s">
        <v>355</v>
      </c>
      <c r="D713" s="37" t="s">
        <v>1013</v>
      </c>
      <c r="E713" s="37" t="n">
        <v>23894658</v>
      </c>
      <c r="F713" s="37" t="s">
        <v>205</v>
      </c>
      <c r="G713" s="37" t="s">
        <v>201</v>
      </c>
      <c r="H713" s="37" t="s">
        <v>171</v>
      </c>
      <c r="I713" s="37" t="n">
        <v>52.3</v>
      </c>
      <c r="J713" s="39" t="n">
        <v>689.99</v>
      </c>
      <c r="K713" s="37" t="s">
        <v>498</v>
      </c>
      <c r="L713" s="39" t="n">
        <v>141.97</v>
      </c>
      <c r="M713" s="39" t="n">
        <v>103.6</v>
      </c>
      <c r="N713" s="39" t="n">
        <f aca="false">J713*Resumo!$C$7</f>
        <v>1.37998</v>
      </c>
      <c r="O713" s="39" t="n">
        <f aca="false">J713*Resumo!$C$8</f>
        <v>1.37998</v>
      </c>
      <c r="P713" s="39" t="n">
        <f aca="false">Resumo!$C$10*CEILING(I713/100,1)</f>
        <v>1</v>
      </c>
      <c r="Q713" s="39" t="n">
        <f aca="false">Resumo!$C$9</f>
        <v>11.9</v>
      </c>
      <c r="R713" s="39" t="n">
        <f aca="false">SUM(M713:Q713)*Resumo!$C$11</f>
        <v>6.5592978</v>
      </c>
      <c r="S713" s="39" t="n">
        <f aca="false">SUM(M713:R713)</f>
        <v>125.8192578</v>
      </c>
      <c r="T713" s="39" t="n">
        <f aca="false">S713/(1-Resumo!$C$5)</f>
        <v>142.976429318182</v>
      </c>
      <c r="U713" s="39" t="n">
        <v>122.3</v>
      </c>
      <c r="V713" s="39" t="n">
        <f aca="false">J713*Resumo!$B$6</f>
        <v>0.68999</v>
      </c>
      <c r="W713" s="39" t="n">
        <f aca="false">J713*Resumo!$B$7</f>
        <v>1.37998</v>
      </c>
      <c r="X713" s="39" t="n">
        <f aca="false">Resumo!$B$9</f>
        <v>1</v>
      </c>
      <c r="Y713" s="39" t="n">
        <f aca="false">Resumo!$B$10*CEILING(I713/100,1)</f>
        <v>4.5</v>
      </c>
      <c r="Z713" s="39" t="n">
        <f aca="false">Resumo!$B$12*CEILING(I713,1)</f>
        <v>3.18</v>
      </c>
      <c r="AA713" s="39" t="n">
        <f aca="false">Resumo!$B$13*CEILING(I713,1)</f>
        <v>23.85</v>
      </c>
      <c r="AB713" s="39" t="n">
        <f aca="false">SUM(U713:AA713)</f>
        <v>156.89997</v>
      </c>
      <c r="AC713" s="39" t="n">
        <f aca="false">AB713/(1-Resumo!$B$5)</f>
        <v>178.295420454545</v>
      </c>
      <c r="AD713" s="39" t="n">
        <f aca="false">(AB713-AA713)/(1-Resumo!$B$5)</f>
        <v>151.193147727273</v>
      </c>
      <c r="AE713" s="39" t="n">
        <f aca="false">AC713-T713</f>
        <v>35.3189911363637</v>
      </c>
      <c r="AF713" s="40" t="n">
        <f aca="false">AC713/T713-1</f>
        <v>0.247026669394326</v>
      </c>
      <c r="AG713" s="37" t="str">
        <f aca="false">IF(AC713&lt;T713,"SIM","NÃO")</f>
        <v>NÃO</v>
      </c>
      <c r="AH713" s="37" t="n">
        <v>13</v>
      </c>
      <c r="AI713" s="37" t="n">
        <v>5</v>
      </c>
      <c r="AJ713" s="37" t="s">
        <v>327</v>
      </c>
    </row>
    <row r="714" customFormat="false" ht="15" hidden="false" customHeight="false" outlineLevel="0" collapsed="false">
      <c r="A714" s="37" t="n">
        <v>373340068</v>
      </c>
      <c r="B714" s="38" t="n">
        <v>46242.4702662037</v>
      </c>
      <c r="C714" s="37" t="s">
        <v>320</v>
      </c>
      <c r="D714" s="37" t="s">
        <v>1014</v>
      </c>
      <c r="E714" s="37" t="n">
        <v>26116260</v>
      </c>
      <c r="F714" s="37" t="s">
        <v>145</v>
      </c>
      <c r="G714" s="37" t="s">
        <v>207</v>
      </c>
      <c r="H714" s="37" t="s">
        <v>170</v>
      </c>
      <c r="I714" s="37" t="n">
        <v>48.3</v>
      </c>
      <c r="J714" s="39" t="n">
        <v>429.99</v>
      </c>
      <c r="K714" s="37" t="s">
        <v>498</v>
      </c>
      <c r="L714" s="39" t="n">
        <v>117.97</v>
      </c>
      <c r="M714" s="39" t="n">
        <v>82.25</v>
      </c>
      <c r="N714" s="39" t="n">
        <f aca="false">J714*Resumo!$C$7</f>
        <v>0.85998</v>
      </c>
      <c r="O714" s="39" t="n">
        <f aca="false">J714*Resumo!$C$8</f>
        <v>0.85998</v>
      </c>
      <c r="P714" s="39" t="n">
        <f aca="false">Resumo!$C$10*CEILING(I714/100,1)</f>
        <v>1</v>
      </c>
      <c r="Q714" s="39" t="n">
        <f aca="false">Resumo!$C$9</f>
        <v>11.9</v>
      </c>
      <c r="R714" s="39" t="n">
        <f aca="false">SUM(M714:Q714)*Resumo!$C$11</f>
        <v>5.3278478</v>
      </c>
      <c r="S714" s="39" t="n">
        <f aca="false">SUM(M714:R714)</f>
        <v>102.1978078</v>
      </c>
      <c r="T714" s="39" t="n">
        <f aca="false">S714/(1-Resumo!$C$5)</f>
        <v>116.1338725</v>
      </c>
      <c r="U714" s="39" t="n">
        <v>93.97</v>
      </c>
      <c r="V714" s="39" t="n">
        <f aca="false">J714*Resumo!$B$6</f>
        <v>0.42999</v>
      </c>
      <c r="W714" s="39" t="n">
        <f aca="false">J714*Resumo!$B$7</f>
        <v>0.85998</v>
      </c>
      <c r="X714" s="39" t="n">
        <f aca="false">Resumo!$B$9</f>
        <v>1</v>
      </c>
      <c r="Y714" s="39" t="n">
        <f aca="false">Resumo!$B$10*CEILING(I714/100,1)</f>
        <v>4.5</v>
      </c>
      <c r="Z714" s="39" t="n">
        <f aca="false">Resumo!$B$12*CEILING(I714,1)</f>
        <v>2.94</v>
      </c>
      <c r="AA714" s="39" t="n">
        <f aca="false">Resumo!$B$13*CEILING(I714,1)</f>
        <v>22.05</v>
      </c>
      <c r="AB714" s="39" t="n">
        <f aca="false">SUM(U714:AA714)</f>
        <v>125.74997</v>
      </c>
      <c r="AC714" s="39" t="n">
        <f aca="false">AB714/(1-Resumo!$B$5)</f>
        <v>142.897693181818</v>
      </c>
      <c r="AD714" s="39" t="n">
        <f aca="false">(AB714-AA714)/(1-Resumo!$B$5)</f>
        <v>117.840875</v>
      </c>
      <c r="AE714" s="39" t="n">
        <f aca="false">AC714-T714</f>
        <v>26.7638206818182</v>
      </c>
      <c r="AF714" s="40" t="n">
        <f aca="false">AC714/T714-1</f>
        <v>0.230456628248732</v>
      </c>
      <c r="AG714" s="37" t="str">
        <f aca="false">IF(AC714&lt;T714,"SIM","NÃO")</f>
        <v>NÃO</v>
      </c>
      <c r="AH714" s="37" t="n">
        <v>10</v>
      </c>
      <c r="AI714" s="37" t="n">
        <v>5</v>
      </c>
      <c r="AJ714" s="37" t="s">
        <v>323</v>
      </c>
    </row>
    <row r="715" customFormat="false" ht="15" hidden="false" customHeight="false" outlineLevel="0" collapsed="false">
      <c r="A715" s="37" t="n">
        <v>373340591</v>
      </c>
      <c r="B715" s="38" t="n">
        <v>46242.471412037</v>
      </c>
      <c r="C715" s="37" t="s">
        <v>320</v>
      </c>
      <c r="D715" s="37" t="s">
        <v>1015</v>
      </c>
      <c r="E715" s="37" t="n">
        <v>24806686</v>
      </c>
      <c r="F715" s="37" t="s">
        <v>154</v>
      </c>
      <c r="G715" s="37" t="s">
        <v>201</v>
      </c>
      <c r="H715" s="37" t="s">
        <v>168</v>
      </c>
      <c r="I715" s="37" t="n">
        <v>31.9</v>
      </c>
      <c r="J715" s="39" t="n">
        <v>533.6</v>
      </c>
      <c r="K715" s="37" t="s">
        <v>498</v>
      </c>
      <c r="L715" s="39" t="n">
        <v>110.08</v>
      </c>
      <c r="M715" s="39" t="n">
        <v>76.5</v>
      </c>
      <c r="N715" s="39" t="n">
        <f aca="false">J715*Resumo!$C$7</f>
        <v>1.0672</v>
      </c>
      <c r="O715" s="39" t="n">
        <f aca="false">J715*Resumo!$C$8</f>
        <v>1.0672</v>
      </c>
      <c r="P715" s="39" t="n">
        <f aca="false">Resumo!$C$10*CEILING(I715/100,1)</f>
        <v>1</v>
      </c>
      <c r="Q715" s="39" t="n">
        <f aca="false">Resumo!$C$9</f>
        <v>11.9</v>
      </c>
      <c r="R715" s="39" t="n">
        <f aca="false">SUM(M715:Q715)*Resumo!$C$11</f>
        <v>5.034392</v>
      </c>
      <c r="S715" s="39" t="n">
        <f aca="false">SUM(M715:R715)</f>
        <v>96.568792</v>
      </c>
      <c r="T715" s="39" t="n">
        <f aca="false">S715/(1-Resumo!$C$5)</f>
        <v>109.737263636364</v>
      </c>
      <c r="U715" s="39" t="n">
        <v>100.58</v>
      </c>
      <c r="V715" s="39" t="n">
        <f aca="false">J715*Resumo!$B$6</f>
        <v>0.5336</v>
      </c>
      <c r="W715" s="39" t="n">
        <f aca="false">J715*Resumo!$B$7</f>
        <v>1.0672</v>
      </c>
      <c r="X715" s="39" t="n">
        <f aca="false">Resumo!$B$9</f>
        <v>1</v>
      </c>
      <c r="Y715" s="39" t="n">
        <f aca="false">Resumo!$B$10*CEILING(I715/100,1)</f>
        <v>4.5</v>
      </c>
      <c r="Z715" s="39" t="n">
        <f aca="false">Resumo!$B$12*CEILING(I715,1)</f>
        <v>1.92</v>
      </c>
      <c r="AA715" s="39" t="n">
        <f aca="false">Resumo!$B$13*CEILING(I715,1)</f>
        <v>14.4</v>
      </c>
      <c r="AB715" s="39" t="n">
        <f aca="false">SUM(U715:AA715)</f>
        <v>124.0008</v>
      </c>
      <c r="AC715" s="39" t="n">
        <f aca="false">AB715/(1-Resumo!$B$5)</f>
        <v>140.91</v>
      </c>
      <c r="AD715" s="39" t="n">
        <f aca="false">(AB715-AA715)/(1-Resumo!$B$5)</f>
        <v>124.546363636364</v>
      </c>
      <c r="AE715" s="39" t="n">
        <f aca="false">AC715-T715</f>
        <v>31.1727363636364</v>
      </c>
      <c r="AF715" s="40" t="n">
        <f aca="false">AC715/T715-1</f>
        <v>0.284067009971503</v>
      </c>
      <c r="AG715" s="37" t="str">
        <f aca="false">IF(AC715&lt;T715,"SIM","NÃO")</f>
        <v>NÃO</v>
      </c>
      <c r="AH715" s="37" t="n">
        <v>13</v>
      </c>
      <c r="AI715" s="37" t="n">
        <v>7</v>
      </c>
      <c r="AJ715" s="37" t="s">
        <v>323</v>
      </c>
    </row>
    <row r="716" customFormat="false" ht="15" hidden="false" customHeight="false" outlineLevel="0" collapsed="false">
      <c r="A716" s="37" t="n">
        <v>373341339</v>
      </c>
      <c r="B716" s="38" t="n">
        <v>46242.4723726852</v>
      </c>
      <c r="C716" s="37" t="s">
        <v>320</v>
      </c>
      <c r="D716" s="37" t="s">
        <v>1016</v>
      </c>
      <c r="E716" s="37" t="n">
        <v>21060630</v>
      </c>
      <c r="F716" s="37" t="s">
        <v>139</v>
      </c>
      <c r="G716" s="37" t="s">
        <v>198</v>
      </c>
      <c r="H716" s="37" t="s">
        <v>170</v>
      </c>
      <c r="I716" s="37" t="n">
        <v>45.5</v>
      </c>
      <c r="J716" s="39" t="n">
        <v>515.2</v>
      </c>
      <c r="K716" s="37" t="s">
        <v>322</v>
      </c>
      <c r="L716" s="39" t="n">
        <v>103.06</v>
      </c>
      <c r="M716" s="39" t="n">
        <v>71</v>
      </c>
      <c r="N716" s="39" t="n">
        <f aca="false">J716*Resumo!$C$7</f>
        <v>1.0304</v>
      </c>
      <c r="O716" s="39" t="n">
        <f aca="false">J716*Resumo!$C$8</f>
        <v>1.0304</v>
      </c>
      <c r="P716" s="39" t="n">
        <f aca="false">Resumo!$C$10*CEILING(I716/100,1)</f>
        <v>1</v>
      </c>
      <c r="Q716" s="39" t="n">
        <f aca="false">Resumo!$C$9</f>
        <v>11.9</v>
      </c>
      <c r="R716" s="39" t="n">
        <f aca="false">SUM(M716:Q716)*Resumo!$C$11</f>
        <v>4.727844</v>
      </c>
      <c r="S716" s="39" t="n">
        <f aca="false">SUM(M716:R716)</f>
        <v>90.688644</v>
      </c>
      <c r="T716" s="39" t="n">
        <f aca="false">S716/(1-Resumo!$C$5)</f>
        <v>103.055277272727</v>
      </c>
      <c r="U716" s="39" t="n">
        <v>93.97</v>
      </c>
      <c r="V716" s="39" t="n">
        <f aca="false">J716*Resumo!$B$6</f>
        <v>0.5152</v>
      </c>
      <c r="W716" s="39" t="n">
        <f aca="false">J716*Resumo!$B$7</f>
        <v>1.0304</v>
      </c>
      <c r="X716" s="39" t="n">
        <f aca="false">Resumo!$B$9</f>
        <v>1</v>
      </c>
      <c r="Y716" s="39" t="n">
        <f aca="false">Resumo!$B$10*CEILING(I716/100,1)</f>
        <v>4.5</v>
      </c>
      <c r="Z716" s="39" t="n">
        <f aca="false">Resumo!$B$12*CEILING(I716,1)</f>
        <v>2.76</v>
      </c>
      <c r="AA716" s="39" t="n">
        <f aca="false">Resumo!$B$13*CEILING(I716,1)</f>
        <v>20.7</v>
      </c>
      <c r="AB716" s="39" t="n">
        <f aca="false">SUM(U716:AA716)</f>
        <v>124.4756</v>
      </c>
      <c r="AC716" s="39" t="n">
        <f aca="false">AB716/(1-Resumo!$B$5)</f>
        <v>141.449545454545</v>
      </c>
      <c r="AD716" s="39" t="n">
        <f aca="false">(AB716-AA716)/(1-Resumo!$B$5)</f>
        <v>117.926818181818</v>
      </c>
      <c r="AE716" s="39" t="n">
        <f aca="false">AC716-T716</f>
        <v>38.3942681818182</v>
      </c>
      <c r="AF716" s="40" t="n">
        <f aca="false">AC716/T716-1</f>
        <v>0.372559942565687</v>
      </c>
      <c r="AG716" s="37" t="str">
        <f aca="false">IF(AC716&lt;T716,"SIM","NÃO")</f>
        <v>NÃO</v>
      </c>
      <c r="AH716" s="37" t="n">
        <v>8</v>
      </c>
      <c r="AI716" s="37" t="n">
        <v>5</v>
      </c>
      <c r="AJ716" s="37" t="s">
        <v>323</v>
      </c>
    </row>
    <row r="717" customFormat="false" ht="15" hidden="false" customHeight="false" outlineLevel="0" collapsed="false">
      <c r="A717" s="37" t="n">
        <v>373424595</v>
      </c>
      <c r="B717" s="38" t="n">
        <v>46242.4732638889</v>
      </c>
      <c r="C717" s="37" t="s">
        <v>325</v>
      </c>
      <c r="D717" s="37" t="s">
        <v>1017</v>
      </c>
      <c r="E717" s="37" t="n">
        <v>28908105</v>
      </c>
      <c r="F717" s="37" t="s">
        <v>152</v>
      </c>
      <c r="G717" s="37" t="s">
        <v>201</v>
      </c>
      <c r="H717" s="37" t="s">
        <v>170</v>
      </c>
      <c r="I717" s="37" t="n">
        <v>48.6</v>
      </c>
      <c r="J717" s="39" t="n">
        <v>629.99</v>
      </c>
      <c r="K717" s="37" t="s">
        <v>498</v>
      </c>
      <c r="L717" s="39" t="n">
        <v>132.94</v>
      </c>
      <c r="M717" s="39" t="n">
        <v>94</v>
      </c>
      <c r="N717" s="39" t="n">
        <f aca="false">J717*Resumo!$C$7</f>
        <v>1.25998</v>
      </c>
      <c r="O717" s="39" t="n">
        <f aca="false">J717*Resumo!$C$8</f>
        <v>1.25998</v>
      </c>
      <c r="P717" s="39" t="n">
        <f aca="false">Resumo!$C$10*CEILING(I717/100,1)</f>
        <v>1</v>
      </c>
      <c r="Q717" s="39" t="n">
        <f aca="false">Resumo!$C$9</f>
        <v>11.9</v>
      </c>
      <c r="R717" s="39" t="n">
        <f aca="false">SUM(M717:Q717)*Resumo!$C$11</f>
        <v>6.0180978</v>
      </c>
      <c r="S717" s="39" t="n">
        <f aca="false">SUM(M717:R717)</f>
        <v>115.4380578</v>
      </c>
      <c r="T717" s="39" t="n">
        <f aca="false">S717/(1-Resumo!$C$5)</f>
        <v>131.179611136364</v>
      </c>
      <c r="U717" s="39" t="n">
        <v>129.29</v>
      </c>
      <c r="V717" s="39" t="n">
        <f aca="false">J717*Resumo!$B$6</f>
        <v>0.62999</v>
      </c>
      <c r="W717" s="39" t="n">
        <f aca="false">J717*Resumo!$B$7</f>
        <v>1.25998</v>
      </c>
      <c r="X717" s="39" t="n">
        <f aca="false">Resumo!$B$9</f>
        <v>1</v>
      </c>
      <c r="Y717" s="39" t="n">
        <f aca="false">Resumo!$B$10*CEILING(I717/100,1)</f>
        <v>4.5</v>
      </c>
      <c r="Z717" s="39" t="n">
        <f aca="false">Resumo!$B$12*CEILING(I717,1)</f>
        <v>2.94</v>
      </c>
      <c r="AA717" s="39" t="n">
        <f aca="false">Resumo!$B$13*CEILING(I717,1)</f>
        <v>22.05</v>
      </c>
      <c r="AB717" s="39" t="n">
        <f aca="false">SUM(U717:AA717)</f>
        <v>161.66997</v>
      </c>
      <c r="AC717" s="39" t="n">
        <f aca="false">AB717/(1-Resumo!$B$5)</f>
        <v>183.715875</v>
      </c>
      <c r="AD717" s="39" t="n">
        <f aca="false">(AB717-AA717)/(1-Resumo!$B$5)</f>
        <v>158.659056818182</v>
      </c>
      <c r="AE717" s="39" t="n">
        <f aca="false">AC717-T717</f>
        <v>52.5362638636364</v>
      </c>
      <c r="AF717" s="40" t="n">
        <f aca="false">AC717/T717-1</f>
        <v>0.400491077908624</v>
      </c>
      <c r="AG717" s="37" t="str">
        <f aca="false">IF(AC717&lt;T717,"SIM","NÃO")</f>
        <v>NÃO</v>
      </c>
      <c r="AH717" s="37" t="n">
        <v>13</v>
      </c>
      <c r="AI717" s="37" t="n">
        <v>10</v>
      </c>
      <c r="AJ717" s="37" t="s">
        <v>323</v>
      </c>
    </row>
    <row r="718" customFormat="false" ht="15" hidden="false" customHeight="false" outlineLevel="0" collapsed="false">
      <c r="A718" s="37" t="n">
        <v>373344067</v>
      </c>
      <c r="B718" s="38" t="n">
        <v>46242.4767592593</v>
      </c>
      <c r="C718" s="37" t="s">
        <v>320</v>
      </c>
      <c r="D718" s="37" t="s">
        <v>1018</v>
      </c>
      <c r="E718" s="37" t="n">
        <v>23811790</v>
      </c>
      <c r="F718" s="37" t="s">
        <v>200</v>
      </c>
      <c r="G718" s="37" t="s">
        <v>201</v>
      </c>
      <c r="H718" s="37" t="s">
        <v>172</v>
      </c>
      <c r="I718" s="37" t="n">
        <v>63.9</v>
      </c>
      <c r="J718" s="39" t="n">
        <v>717.6</v>
      </c>
      <c r="K718" s="37" t="s">
        <v>498</v>
      </c>
      <c r="L718" s="39" t="n">
        <v>155.25</v>
      </c>
      <c r="M718" s="39" t="n">
        <v>113.9</v>
      </c>
      <c r="N718" s="39" t="n">
        <f aca="false">J718*Resumo!$C$7</f>
        <v>1.4352</v>
      </c>
      <c r="O718" s="39" t="n">
        <f aca="false">J718*Resumo!$C$8</f>
        <v>1.4352</v>
      </c>
      <c r="P718" s="39" t="n">
        <f aca="false">Resumo!$C$10*CEILING(I718/100,1)</f>
        <v>1</v>
      </c>
      <c r="Q718" s="39" t="n">
        <f aca="false">Resumo!$C$9</f>
        <v>11.9</v>
      </c>
      <c r="R718" s="39" t="n">
        <f aca="false">SUM(M718:Q718)*Resumo!$C$11</f>
        <v>7.131872</v>
      </c>
      <c r="S718" s="39" t="n">
        <f aca="false">SUM(M718:R718)</f>
        <v>136.802272</v>
      </c>
      <c r="T718" s="39" t="n">
        <f aca="false">S718/(1-Resumo!$C$5)</f>
        <v>155.457127272727</v>
      </c>
      <c r="U718" s="39" t="n">
        <v>141.02</v>
      </c>
      <c r="V718" s="39" t="n">
        <f aca="false">J718*Resumo!$B$6</f>
        <v>0.7176</v>
      </c>
      <c r="W718" s="39" t="n">
        <f aca="false">J718*Resumo!$B$7</f>
        <v>1.4352</v>
      </c>
      <c r="X718" s="39" t="n">
        <f aca="false">Resumo!$B$9</f>
        <v>1</v>
      </c>
      <c r="Y718" s="39" t="n">
        <f aca="false">Resumo!$B$10*CEILING(I718/100,1)</f>
        <v>4.5</v>
      </c>
      <c r="Z718" s="39" t="n">
        <f aca="false">Resumo!$B$12*CEILING(I718,1)</f>
        <v>3.84</v>
      </c>
      <c r="AA718" s="39" t="n">
        <f aca="false">Resumo!$B$13*CEILING(I718,1)</f>
        <v>28.8</v>
      </c>
      <c r="AB718" s="39" t="n">
        <f aca="false">SUM(U718:AA718)</f>
        <v>181.3128</v>
      </c>
      <c r="AC718" s="39" t="n">
        <f aca="false">AB718/(1-Resumo!$B$5)</f>
        <v>206.037272727273</v>
      </c>
      <c r="AD718" s="39" t="n">
        <f aca="false">(AB718-AA718)/(1-Resumo!$B$5)</f>
        <v>173.31</v>
      </c>
      <c r="AE718" s="39" t="n">
        <f aca="false">AC718-T718</f>
        <v>50.5801454545455</v>
      </c>
      <c r="AF718" s="40" t="n">
        <f aca="false">AC718/T718-1</f>
        <v>0.325363953019728</v>
      </c>
      <c r="AG718" s="37" t="str">
        <f aca="false">IF(AC718&lt;T718,"SIM","NÃO")</f>
        <v>NÃO</v>
      </c>
      <c r="AH718" s="37" t="n">
        <v>13</v>
      </c>
      <c r="AI718" s="37" t="n">
        <v>5</v>
      </c>
      <c r="AJ718" s="37" t="s">
        <v>327</v>
      </c>
    </row>
    <row r="719" customFormat="false" ht="15" hidden="false" customHeight="false" outlineLevel="0" collapsed="false">
      <c r="A719" s="37" t="n">
        <v>373365588</v>
      </c>
      <c r="B719" s="38" t="n">
        <v>46242.5097685185</v>
      </c>
      <c r="C719" s="37" t="s">
        <v>320</v>
      </c>
      <c r="D719" s="37" t="s">
        <v>1019</v>
      </c>
      <c r="E719" s="37" t="n">
        <v>21840102</v>
      </c>
      <c r="F719" s="37" t="s">
        <v>139</v>
      </c>
      <c r="G719" s="37" t="s">
        <v>198</v>
      </c>
      <c r="H719" s="37" t="s">
        <v>169</v>
      </c>
      <c r="I719" s="37" t="n">
        <v>36.8</v>
      </c>
      <c r="J719" s="39" t="n">
        <v>439.99</v>
      </c>
      <c r="K719" s="37" t="s">
        <v>322</v>
      </c>
      <c r="L719" s="39" t="n">
        <v>91.97</v>
      </c>
      <c r="M719" s="39" t="n">
        <v>62.05</v>
      </c>
      <c r="N719" s="39" t="n">
        <f aca="false">J719*Resumo!$C$7</f>
        <v>0.87998</v>
      </c>
      <c r="O719" s="39" t="n">
        <f aca="false">J719*Resumo!$C$8</f>
        <v>0.87998</v>
      </c>
      <c r="P719" s="39" t="n">
        <f aca="false">Resumo!$C$10*CEILING(I719/100,1)</f>
        <v>1</v>
      </c>
      <c r="Q719" s="39" t="n">
        <f aca="false">Resumo!$C$9</f>
        <v>11.9</v>
      </c>
      <c r="R719" s="39" t="n">
        <f aca="false">SUM(M719:Q719)*Resumo!$C$11</f>
        <v>4.2190478</v>
      </c>
      <c r="S719" s="39" t="n">
        <f aca="false">SUM(M719:R719)</f>
        <v>80.9290078</v>
      </c>
      <c r="T719" s="39" t="n">
        <f aca="false">S719/(1-Resumo!$C$5)</f>
        <v>91.9647815909091</v>
      </c>
      <c r="U719" s="39" t="n">
        <v>93.97</v>
      </c>
      <c r="V719" s="39" t="n">
        <f aca="false">J719*Resumo!$B$6</f>
        <v>0.43999</v>
      </c>
      <c r="W719" s="39" t="n">
        <f aca="false">J719*Resumo!$B$7</f>
        <v>0.87998</v>
      </c>
      <c r="X719" s="39" t="n">
        <f aca="false">Resumo!$B$9</f>
        <v>1</v>
      </c>
      <c r="Y719" s="39" t="n">
        <f aca="false">Resumo!$B$10*CEILING(I719/100,1)</f>
        <v>4.5</v>
      </c>
      <c r="Z719" s="39" t="n">
        <f aca="false">Resumo!$B$12*CEILING(I719,1)</f>
        <v>2.22</v>
      </c>
      <c r="AA719" s="39" t="n">
        <f aca="false">Resumo!$B$13*CEILING(I719,1)</f>
        <v>16.65</v>
      </c>
      <c r="AB719" s="39" t="n">
        <f aca="false">SUM(U719:AA719)</f>
        <v>119.65997</v>
      </c>
      <c r="AC719" s="39" t="n">
        <f aca="false">AB719/(1-Resumo!$B$5)</f>
        <v>135.977238636364</v>
      </c>
      <c r="AD719" s="39" t="n">
        <f aca="false">(AB719-AA719)/(1-Resumo!$B$5)</f>
        <v>117.056784090909</v>
      </c>
      <c r="AE719" s="39" t="n">
        <f aca="false">AC719-T719</f>
        <v>44.0124570454546</v>
      </c>
      <c r="AF719" s="40" t="n">
        <f aca="false">AC719/T719-1</f>
        <v>0.478579476665721</v>
      </c>
      <c r="AG719" s="37" t="str">
        <f aca="false">IF(AC719&lt;T719,"SIM","NÃO")</f>
        <v>NÃO</v>
      </c>
      <c r="AH719" s="37" t="n">
        <v>8</v>
      </c>
      <c r="AI719" s="37" t="n">
        <v>5</v>
      </c>
      <c r="AJ719" s="37" t="s">
        <v>323</v>
      </c>
    </row>
    <row r="720" customFormat="false" ht="15" hidden="false" customHeight="false" outlineLevel="0" collapsed="false">
      <c r="A720" s="37" t="n">
        <v>373388420</v>
      </c>
      <c r="B720" s="38" t="n">
        <v>46242.5427662037</v>
      </c>
      <c r="C720" s="37" t="s">
        <v>320</v>
      </c>
      <c r="D720" s="37" t="s">
        <v>1020</v>
      </c>
      <c r="E720" s="37" t="n">
        <v>21040016</v>
      </c>
      <c r="F720" s="37" t="s">
        <v>139</v>
      </c>
      <c r="G720" s="37" t="s">
        <v>198</v>
      </c>
      <c r="H720" s="37" t="s">
        <v>171</v>
      </c>
      <c r="I720" s="37" t="n">
        <v>52.3</v>
      </c>
      <c r="J720" s="39" t="n">
        <v>616.99</v>
      </c>
      <c r="K720" s="37" t="s">
        <v>322</v>
      </c>
      <c r="L720" s="39" t="n">
        <v>114.09</v>
      </c>
      <c r="M720" s="39" t="n">
        <v>79.81</v>
      </c>
      <c r="N720" s="39" t="n">
        <f aca="false">J720*Resumo!$C$7</f>
        <v>1.23398</v>
      </c>
      <c r="O720" s="39" t="n">
        <f aca="false">J720*Resumo!$C$8</f>
        <v>1.23398</v>
      </c>
      <c r="P720" s="39" t="n">
        <f aca="false">Resumo!$C$10*CEILING(I720/100,1)</f>
        <v>1</v>
      </c>
      <c r="Q720" s="39" t="n">
        <f aca="false">Resumo!$C$9</f>
        <v>11.9</v>
      </c>
      <c r="R720" s="39" t="n">
        <f aca="false">SUM(M720:Q720)*Resumo!$C$11</f>
        <v>5.2347878</v>
      </c>
      <c r="S720" s="39" t="n">
        <f aca="false">SUM(M720:R720)</f>
        <v>100.4127478</v>
      </c>
      <c r="T720" s="39" t="n">
        <f aca="false">S720/(1-Resumo!$C$5)</f>
        <v>114.105395227273</v>
      </c>
      <c r="U720" s="39" t="n">
        <v>112.3</v>
      </c>
      <c r="V720" s="39" t="n">
        <f aca="false">J720*Resumo!$B$6</f>
        <v>0.61699</v>
      </c>
      <c r="W720" s="39" t="n">
        <f aca="false">J720*Resumo!$B$7</f>
        <v>1.23398</v>
      </c>
      <c r="X720" s="39" t="n">
        <f aca="false">Resumo!$B$9</f>
        <v>1</v>
      </c>
      <c r="Y720" s="39" t="n">
        <f aca="false">Resumo!$B$10*CEILING(I720/100,1)</f>
        <v>4.5</v>
      </c>
      <c r="Z720" s="39" t="n">
        <f aca="false">Resumo!$B$12*CEILING(I720,1)</f>
        <v>3.18</v>
      </c>
      <c r="AA720" s="39" t="n">
        <f aca="false">Resumo!$B$13*CEILING(I720,1)</f>
        <v>23.85</v>
      </c>
      <c r="AB720" s="39" t="n">
        <f aca="false">SUM(U720:AA720)</f>
        <v>146.68097</v>
      </c>
      <c r="AC720" s="39" t="n">
        <f aca="false">AB720/(1-Resumo!$B$5)</f>
        <v>166.682920454545</v>
      </c>
      <c r="AD720" s="39" t="n">
        <f aca="false">(AB720-AA720)/(1-Resumo!$B$5)</f>
        <v>139.580647727273</v>
      </c>
      <c r="AE720" s="39" t="n">
        <f aca="false">AC720-T720</f>
        <v>52.5775252272727</v>
      </c>
      <c r="AF720" s="40" t="n">
        <f aca="false">AC720/T720-1</f>
        <v>0.46078036119633</v>
      </c>
      <c r="AG720" s="37" t="str">
        <f aca="false">IF(AC720&lt;T720,"SIM","NÃO")</f>
        <v>NÃO</v>
      </c>
      <c r="AH720" s="37" t="n">
        <v>8</v>
      </c>
      <c r="AI720" s="37" t="n">
        <v>5</v>
      </c>
      <c r="AJ720" s="37" t="s">
        <v>323</v>
      </c>
    </row>
    <row r="721" customFormat="false" ht="15" hidden="false" customHeight="false" outlineLevel="0" collapsed="false">
      <c r="A721" s="37" t="n">
        <v>373389646</v>
      </c>
      <c r="B721" s="38" t="n">
        <v>46242.5444328704</v>
      </c>
      <c r="C721" s="37" t="s">
        <v>325</v>
      </c>
      <c r="D721" s="37" t="s">
        <v>1021</v>
      </c>
      <c r="E721" s="37" t="n">
        <v>21241430</v>
      </c>
      <c r="F721" s="37" t="s">
        <v>139</v>
      </c>
      <c r="G721" s="37" t="s">
        <v>198</v>
      </c>
      <c r="H721" s="37" t="s">
        <v>174</v>
      </c>
      <c r="I721" s="37" t="n">
        <v>97.2</v>
      </c>
      <c r="J721" s="39" t="n">
        <v>1202.15</v>
      </c>
      <c r="K721" s="37" t="s">
        <v>322</v>
      </c>
      <c r="L721" s="39" t="n">
        <v>164.84</v>
      </c>
      <c r="M721" s="39" t="n">
        <v>119.8</v>
      </c>
      <c r="N721" s="39" t="n">
        <f aca="false">J721*Resumo!$C$7</f>
        <v>2.4043</v>
      </c>
      <c r="O721" s="39" t="n">
        <f aca="false">J721*Resumo!$C$8</f>
        <v>2.4043</v>
      </c>
      <c r="P721" s="39" t="n">
        <f aca="false">Resumo!$C$10*CEILING(I721/100,1)</f>
        <v>1</v>
      </c>
      <c r="Q721" s="39" t="n">
        <f aca="false">Resumo!$C$9</f>
        <v>11.9</v>
      </c>
      <c r="R721" s="39" t="n">
        <f aca="false">SUM(M721:Q721)*Resumo!$C$11</f>
        <v>7.562973</v>
      </c>
      <c r="S721" s="39" t="n">
        <f aca="false">SUM(M721:R721)</f>
        <v>145.071573</v>
      </c>
      <c r="T721" s="39" t="n">
        <f aca="false">S721/(1-Resumo!$C$5)</f>
        <v>164.854060227273</v>
      </c>
      <c r="U721" s="39" t="n">
        <v>167.99</v>
      </c>
      <c r="V721" s="39" t="n">
        <f aca="false">J721*Resumo!$B$6</f>
        <v>1.20215</v>
      </c>
      <c r="W721" s="39" t="n">
        <f aca="false">J721*Resumo!$B$7</f>
        <v>2.4043</v>
      </c>
      <c r="X721" s="39" t="n">
        <f aca="false">Resumo!$B$9</f>
        <v>1</v>
      </c>
      <c r="Y721" s="39" t="n">
        <f aca="false">Resumo!$B$10*CEILING(I721/100,1)</f>
        <v>4.5</v>
      </c>
      <c r="Z721" s="39" t="n">
        <f aca="false">Resumo!$B$12*CEILING(I721,1)</f>
        <v>5.88</v>
      </c>
      <c r="AA721" s="39" t="n">
        <f aca="false">Resumo!$B$13*CEILING(I721,1)</f>
        <v>44.1</v>
      </c>
      <c r="AB721" s="39" t="n">
        <f aca="false">SUM(U721:AA721)</f>
        <v>227.07645</v>
      </c>
      <c r="AC721" s="39" t="n">
        <f aca="false">AB721/(1-Resumo!$B$5)</f>
        <v>258.041420454545</v>
      </c>
      <c r="AD721" s="39" t="n">
        <f aca="false">(AB721-AA721)/(1-Resumo!$B$5)</f>
        <v>207.927784090909</v>
      </c>
      <c r="AE721" s="39" t="n">
        <f aca="false">AC721-T721</f>
        <v>93.1873602272727</v>
      </c>
      <c r="AF721" s="40" t="n">
        <f aca="false">AC721/T721-1</f>
        <v>0.565271853776618</v>
      </c>
      <c r="AG721" s="37" t="str">
        <f aca="false">IF(AC721&lt;T721,"SIM","NÃO")</f>
        <v>NÃO</v>
      </c>
      <c r="AH721" s="37" t="n">
        <v>8</v>
      </c>
      <c r="AI721" s="37" t="n">
        <v>5</v>
      </c>
      <c r="AJ721" s="37" t="s">
        <v>323</v>
      </c>
    </row>
    <row r="722" customFormat="false" ht="15" hidden="false" customHeight="false" outlineLevel="0" collapsed="false">
      <c r="A722" s="37" t="n">
        <v>373392193</v>
      </c>
      <c r="B722" s="38" t="n">
        <v>46242.5481712963</v>
      </c>
      <c r="C722" s="37" t="s">
        <v>320</v>
      </c>
      <c r="D722" s="37" t="s">
        <v>1022</v>
      </c>
      <c r="E722" s="37" t="n">
        <v>23580440</v>
      </c>
      <c r="F722" s="37" t="s">
        <v>139</v>
      </c>
      <c r="G722" s="37" t="s">
        <v>198</v>
      </c>
      <c r="H722" s="37" t="s">
        <v>171</v>
      </c>
      <c r="I722" s="37" t="n">
        <v>59.9</v>
      </c>
      <c r="J722" s="39" t="n">
        <v>874</v>
      </c>
      <c r="K722" s="37" t="s">
        <v>498</v>
      </c>
      <c r="L722" s="39" t="n">
        <v>118.05</v>
      </c>
      <c r="M722" s="39" t="n">
        <v>79.81</v>
      </c>
      <c r="N722" s="39" t="n">
        <f aca="false">J722*Resumo!$C$7</f>
        <v>1.748</v>
      </c>
      <c r="O722" s="39" t="n">
        <f aca="false">J722*Resumo!$C$8</f>
        <v>1.748</v>
      </c>
      <c r="P722" s="39" t="n">
        <f aca="false">Resumo!$C$10*CEILING(I722/100,1)</f>
        <v>1</v>
      </c>
      <c r="Q722" s="39" t="n">
        <f aca="false">Resumo!$C$9</f>
        <v>11.9</v>
      </c>
      <c r="R722" s="39" t="n">
        <f aca="false">SUM(M722:Q722)*Resumo!$C$11</f>
        <v>5.29133</v>
      </c>
      <c r="S722" s="39" t="n">
        <f aca="false">SUM(M722:R722)</f>
        <v>101.49733</v>
      </c>
      <c r="T722" s="39" t="n">
        <f aca="false">S722/(1-Resumo!$C$5)</f>
        <v>115.337875</v>
      </c>
      <c r="U722" s="39" t="n">
        <v>112.3</v>
      </c>
      <c r="V722" s="39" t="n">
        <f aca="false">J722*Resumo!$B$6</f>
        <v>0.874</v>
      </c>
      <c r="W722" s="39" t="n">
        <f aca="false">J722*Resumo!$B$7</f>
        <v>1.748</v>
      </c>
      <c r="X722" s="39" t="n">
        <f aca="false">Resumo!$B$9</f>
        <v>1</v>
      </c>
      <c r="Y722" s="39" t="n">
        <f aca="false">Resumo!$B$10*CEILING(I722/100,1)</f>
        <v>4.5</v>
      </c>
      <c r="Z722" s="39" t="n">
        <f aca="false">Resumo!$B$12*CEILING(I722,1)</f>
        <v>3.6</v>
      </c>
      <c r="AA722" s="39" t="n">
        <f aca="false">Resumo!$B$13*CEILING(I722,1)</f>
        <v>27</v>
      </c>
      <c r="AB722" s="39" t="n">
        <f aca="false">SUM(U722:AA722)</f>
        <v>151.022</v>
      </c>
      <c r="AC722" s="39" t="n">
        <f aca="false">AB722/(1-Resumo!$B$5)</f>
        <v>171.615909090909</v>
      </c>
      <c r="AD722" s="39" t="n">
        <f aca="false">(AB722-AA722)/(1-Resumo!$B$5)</f>
        <v>140.934090909091</v>
      </c>
      <c r="AE722" s="39" t="n">
        <f aca="false">AC722-T722</f>
        <v>56.2780340909091</v>
      </c>
      <c r="AF722" s="40" t="n">
        <f aca="false">AC722/T722-1</f>
        <v>0.487940618733517</v>
      </c>
      <c r="AG722" s="37" t="str">
        <f aca="false">IF(AC722&lt;T722,"SIM","NÃO")</f>
        <v>NÃO</v>
      </c>
      <c r="AH722" s="37" t="n">
        <v>8</v>
      </c>
      <c r="AI722" s="37" t="n">
        <v>5</v>
      </c>
      <c r="AJ722" s="37" t="s">
        <v>323</v>
      </c>
    </row>
    <row r="723" customFormat="false" ht="15" hidden="false" customHeight="false" outlineLevel="0" collapsed="false">
      <c r="A723" s="37" t="n">
        <v>373393072</v>
      </c>
      <c r="B723" s="38" t="n">
        <v>46242.549375</v>
      </c>
      <c r="C723" s="37" t="s">
        <v>320</v>
      </c>
      <c r="D723" s="37" t="s">
        <v>1023</v>
      </c>
      <c r="E723" s="37" t="n">
        <v>25035030</v>
      </c>
      <c r="F723" s="37" t="s">
        <v>141</v>
      </c>
      <c r="G723" s="37" t="s">
        <v>207</v>
      </c>
      <c r="H723" s="37" t="s">
        <v>171</v>
      </c>
      <c r="I723" s="37" t="n">
        <v>52.3</v>
      </c>
      <c r="J723" s="39" t="n">
        <v>616.99</v>
      </c>
      <c r="K723" s="37" t="s">
        <v>322</v>
      </c>
      <c r="L723" s="39" t="n">
        <v>128.23</v>
      </c>
      <c r="M723" s="39" t="n">
        <v>91.6</v>
      </c>
      <c r="N723" s="39" t="n">
        <f aca="false">J723*Resumo!$C$7</f>
        <v>1.23398</v>
      </c>
      <c r="O723" s="39" t="n">
        <f aca="false">J723*Resumo!$C$8</f>
        <v>1.23398</v>
      </c>
      <c r="P723" s="39" t="n">
        <f aca="false">Resumo!$C$10*CEILING(I723/100,1)</f>
        <v>1</v>
      </c>
      <c r="Q723" s="39" t="n">
        <f aca="false">Resumo!$C$9</f>
        <v>11.9</v>
      </c>
      <c r="R723" s="39" t="n">
        <f aca="false">SUM(M723:Q723)*Resumo!$C$11</f>
        <v>5.8832378</v>
      </c>
      <c r="S723" s="39" t="n">
        <f aca="false">SUM(M723:R723)</f>
        <v>112.8511978</v>
      </c>
      <c r="T723" s="39" t="n">
        <f aca="false">S723/(1-Resumo!$C$5)</f>
        <v>128.2399975</v>
      </c>
      <c r="U723" s="39" t="n">
        <v>112.3</v>
      </c>
      <c r="V723" s="39" t="n">
        <f aca="false">J723*Resumo!$B$6</f>
        <v>0.61699</v>
      </c>
      <c r="W723" s="39" t="n">
        <f aca="false">J723*Resumo!$B$7</f>
        <v>1.23398</v>
      </c>
      <c r="X723" s="39" t="n">
        <f aca="false">Resumo!$B$9</f>
        <v>1</v>
      </c>
      <c r="Y723" s="39" t="n">
        <f aca="false">Resumo!$B$10*CEILING(I723/100,1)</f>
        <v>4.5</v>
      </c>
      <c r="Z723" s="39" t="n">
        <f aca="false">Resumo!$B$12*CEILING(I723,1)</f>
        <v>3.18</v>
      </c>
      <c r="AA723" s="39" t="n">
        <f aca="false">Resumo!$B$13*CEILING(I723,1)</f>
        <v>23.85</v>
      </c>
      <c r="AB723" s="39" t="n">
        <f aca="false">SUM(U723:AA723)</f>
        <v>146.68097</v>
      </c>
      <c r="AC723" s="39" t="n">
        <f aca="false">AB723/(1-Resumo!$B$5)</f>
        <v>166.682920454545</v>
      </c>
      <c r="AD723" s="39" t="n">
        <f aca="false">(AB723-AA723)/(1-Resumo!$B$5)</f>
        <v>139.580647727273</v>
      </c>
      <c r="AE723" s="39" t="n">
        <f aca="false">AC723-T723</f>
        <v>38.4429229545455</v>
      </c>
      <c r="AF723" s="40" t="n">
        <f aca="false">AC723/T723-1</f>
        <v>0.299773266562529</v>
      </c>
      <c r="AG723" s="37" t="str">
        <f aca="false">IF(AC723&lt;T723,"SIM","NÃO")</f>
        <v>NÃO</v>
      </c>
      <c r="AH723" s="37" t="n">
        <v>10</v>
      </c>
      <c r="AI723" s="37" t="n">
        <v>5</v>
      </c>
      <c r="AJ723" s="37" t="s">
        <v>323</v>
      </c>
    </row>
    <row r="724" customFormat="false" ht="15" hidden="false" customHeight="false" outlineLevel="0" collapsed="false">
      <c r="A724" s="37" t="n">
        <v>373404951</v>
      </c>
      <c r="B724" s="38" t="n">
        <v>46242.5674652778</v>
      </c>
      <c r="C724" s="37" t="s">
        <v>325</v>
      </c>
      <c r="D724" s="37" t="s">
        <v>1024</v>
      </c>
      <c r="E724" s="37" t="n">
        <v>23075007</v>
      </c>
      <c r="F724" s="37" t="s">
        <v>139</v>
      </c>
      <c r="G724" s="37" t="s">
        <v>198</v>
      </c>
      <c r="H724" s="37" t="s">
        <v>168</v>
      </c>
      <c r="I724" s="37" t="n">
        <v>21.75</v>
      </c>
      <c r="J724" s="39" t="n">
        <v>284.43</v>
      </c>
      <c r="K724" s="37" t="s">
        <v>498</v>
      </c>
      <c r="L724" s="39" t="n">
        <v>77.06</v>
      </c>
      <c r="M724" s="39" t="n">
        <v>54.1</v>
      </c>
      <c r="N724" s="39" t="n">
        <f aca="false">J724*Resumo!$C$7</f>
        <v>0.56886</v>
      </c>
      <c r="O724" s="39" t="n">
        <f aca="false">J724*Resumo!$C$8</f>
        <v>0.56886</v>
      </c>
      <c r="P724" s="39" t="n">
        <f aca="false">Resumo!$C$10*CEILING(I724/100,1)</f>
        <v>1</v>
      </c>
      <c r="Q724" s="39" t="n">
        <f aca="false">Resumo!$C$9</f>
        <v>11.9</v>
      </c>
      <c r="R724" s="39" t="n">
        <f aca="false">SUM(M724:Q724)*Resumo!$C$11</f>
        <v>3.7475746</v>
      </c>
      <c r="S724" s="39" t="n">
        <f aca="false">SUM(M724:R724)</f>
        <v>71.8852946</v>
      </c>
      <c r="T724" s="39" t="n">
        <f aca="false">S724/(1-Resumo!$C$5)</f>
        <v>81.6878347727273</v>
      </c>
      <c r="U724" s="39" t="n">
        <v>82.21</v>
      </c>
      <c r="V724" s="39" t="n">
        <f aca="false">J724*Resumo!$B$6</f>
        <v>0.28443</v>
      </c>
      <c r="W724" s="39" t="n">
        <f aca="false">J724*Resumo!$B$7</f>
        <v>0.56886</v>
      </c>
      <c r="X724" s="39" t="n">
        <f aca="false">Resumo!$B$9</f>
        <v>1</v>
      </c>
      <c r="Y724" s="39" t="n">
        <f aca="false">Resumo!$B$10*CEILING(I724/100,1)</f>
        <v>4.5</v>
      </c>
      <c r="Z724" s="39" t="n">
        <f aca="false">Resumo!$B$12*CEILING(I724,1)</f>
        <v>1.32</v>
      </c>
      <c r="AA724" s="39" t="n">
        <f aca="false">Resumo!$B$13*CEILING(I724,1)</f>
        <v>9.9</v>
      </c>
      <c r="AB724" s="39" t="n">
        <f aca="false">SUM(U724:AA724)</f>
        <v>99.78329</v>
      </c>
      <c r="AC724" s="39" t="n">
        <f aca="false">AB724/(1-Resumo!$B$5)</f>
        <v>113.390102272727</v>
      </c>
      <c r="AD724" s="39" t="n">
        <f aca="false">(AB724-AA724)/(1-Resumo!$B$5)</f>
        <v>102.140102272727</v>
      </c>
      <c r="AE724" s="39" t="n">
        <f aca="false">AC724-T724</f>
        <v>31.7022675</v>
      </c>
      <c r="AF724" s="40" t="n">
        <f aca="false">AC724/T724-1</f>
        <v>0.388090437066943</v>
      </c>
      <c r="AG724" s="37" t="str">
        <f aca="false">IF(AC724&lt;T724,"SIM","NÃO")</f>
        <v>NÃO</v>
      </c>
      <c r="AH724" s="37" t="n">
        <v>8</v>
      </c>
      <c r="AI724" s="37" t="n">
        <v>5</v>
      </c>
      <c r="AJ724" s="37" t="s">
        <v>323</v>
      </c>
    </row>
    <row r="725" customFormat="false" ht="15" hidden="false" customHeight="false" outlineLevel="0" collapsed="false">
      <c r="A725" s="37" t="n">
        <v>373413730</v>
      </c>
      <c r="B725" s="38" t="n">
        <v>46242.5809722222</v>
      </c>
      <c r="C725" s="37" t="s">
        <v>320</v>
      </c>
      <c r="D725" s="37" t="s">
        <v>1025</v>
      </c>
      <c r="E725" s="37" t="n">
        <v>24745170</v>
      </c>
      <c r="F725" s="37" t="s">
        <v>140</v>
      </c>
      <c r="G725" s="37" t="s">
        <v>207</v>
      </c>
      <c r="H725" s="37" t="s">
        <v>176</v>
      </c>
      <c r="I725" s="37" t="n">
        <v>127.8</v>
      </c>
      <c r="J725" s="39" t="n">
        <v>1387.09</v>
      </c>
      <c r="K725" s="37" t="s">
        <v>498</v>
      </c>
      <c r="L725" s="39" t="n">
        <v>237.15</v>
      </c>
      <c r="M725" s="39" t="n">
        <v>183.45</v>
      </c>
      <c r="N725" s="39" t="n">
        <f aca="false">J725*Resumo!$C$7</f>
        <v>2.77418</v>
      </c>
      <c r="O725" s="39" t="n">
        <f aca="false">J725*Resumo!$C$8</f>
        <v>2.77418</v>
      </c>
      <c r="P725" s="39" t="n">
        <f aca="false">Resumo!$C$10*CEILING(I725/100,1)</f>
        <v>2</v>
      </c>
      <c r="Q725" s="39" t="n">
        <f aca="false">Resumo!$C$9</f>
        <v>11.9</v>
      </c>
      <c r="R725" s="39" t="n">
        <f aca="false">SUM(M725:Q725)*Resumo!$C$11</f>
        <v>11.1594098</v>
      </c>
      <c r="S725" s="39" t="n">
        <f aca="false">SUM(M725:R725)</f>
        <v>214.0577698</v>
      </c>
      <c r="T725" s="39" t="n">
        <f aca="false">S725/(1-Resumo!$C$5)</f>
        <v>243.247465681818</v>
      </c>
      <c r="U725" s="39" t="n">
        <v>249.03</v>
      </c>
      <c r="V725" s="39" t="n">
        <f aca="false">J725*Resumo!$B$6</f>
        <v>1.38709</v>
      </c>
      <c r="W725" s="39" t="n">
        <f aca="false">J725*Resumo!$B$7</f>
        <v>2.77418</v>
      </c>
      <c r="X725" s="39" t="n">
        <f aca="false">Resumo!$B$9</f>
        <v>1</v>
      </c>
      <c r="Y725" s="39" t="n">
        <f aca="false">Resumo!$B$10*CEILING(I725/100,1)</f>
        <v>9</v>
      </c>
      <c r="Z725" s="39" t="n">
        <f aca="false">Resumo!$B$12*CEILING(I725,1)</f>
        <v>7.68</v>
      </c>
      <c r="AA725" s="39" t="n">
        <f aca="false">Resumo!$B$13*CEILING(I725,1)</f>
        <v>57.6</v>
      </c>
      <c r="AB725" s="39" t="n">
        <f aca="false">SUM(U725:AA725)</f>
        <v>328.47127</v>
      </c>
      <c r="AC725" s="39" t="n">
        <f aca="false">AB725/(1-Resumo!$B$5)</f>
        <v>373.262806818182</v>
      </c>
      <c r="AD725" s="39" t="n">
        <f aca="false">(AB725-AA725)/(1-Resumo!$B$5)</f>
        <v>307.808261363636</v>
      </c>
      <c r="AE725" s="39" t="n">
        <f aca="false">AC725-T725</f>
        <v>130.015341136364</v>
      </c>
      <c r="AF725" s="40" t="n">
        <f aca="false">AC725/T725-1</f>
        <v>0.534498235251632</v>
      </c>
      <c r="AG725" s="37" t="str">
        <f aca="false">IF(AC725&lt;T725,"SIM","NÃO")</f>
        <v>NÃO</v>
      </c>
      <c r="AH725" s="37" t="n">
        <v>10</v>
      </c>
      <c r="AI725" s="37" t="n">
        <v>7</v>
      </c>
      <c r="AJ725" s="37" t="s">
        <v>323</v>
      </c>
    </row>
    <row r="726" customFormat="false" ht="15" hidden="false" customHeight="false" outlineLevel="0" collapsed="false">
      <c r="A726" s="37" t="n">
        <v>373414117</v>
      </c>
      <c r="B726" s="38" t="n">
        <v>46242.5817476852</v>
      </c>
      <c r="C726" s="37" t="s">
        <v>320</v>
      </c>
      <c r="D726" s="37" t="s">
        <v>1026</v>
      </c>
      <c r="E726" s="37" t="n">
        <v>23535811</v>
      </c>
      <c r="F726" s="37" t="s">
        <v>139</v>
      </c>
      <c r="G726" s="37" t="s">
        <v>198</v>
      </c>
      <c r="H726" s="37" t="s">
        <v>168</v>
      </c>
      <c r="I726" s="37" t="n">
        <v>20.9</v>
      </c>
      <c r="J726" s="39" t="n">
        <v>441</v>
      </c>
      <c r="K726" s="37" t="s">
        <v>498</v>
      </c>
      <c r="L726" s="39" t="n">
        <v>77.3</v>
      </c>
      <c r="M726" s="39" t="n">
        <v>54.1</v>
      </c>
      <c r="N726" s="39" t="n">
        <f aca="false">J726*Resumo!$C$7</f>
        <v>0.882</v>
      </c>
      <c r="O726" s="39" t="n">
        <f aca="false">J726*Resumo!$C$8</f>
        <v>0.882</v>
      </c>
      <c r="P726" s="39" t="n">
        <f aca="false">Resumo!$C$10*CEILING(I726/100,1)</f>
        <v>1</v>
      </c>
      <c r="Q726" s="39" t="n">
        <f aca="false">Resumo!$C$9</f>
        <v>11.9</v>
      </c>
      <c r="R726" s="39" t="n">
        <f aca="false">SUM(M726:Q726)*Resumo!$C$11</f>
        <v>3.78202</v>
      </c>
      <c r="S726" s="39" t="n">
        <f aca="false">SUM(M726:R726)</f>
        <v>72.54602</v>
      </c>
      <c r="T726" s="39" t="n">
        <f aca="false">S726/(1-Resumo!$C$5)</f>
        <v>82.4386590909091</v>
      </c>
      <c r="U726" s="39" t="n">
        <v>82.21</v>
      </c>
      <c r="V726" s="39" t="n">
        <f aca="false">J726*Resumo!$B$6</f>
        <v>0.441</v>
      </c>
      <c r="W726" s="39" t="n">
        <f aca="false">J726*Resumo!$B$7</f>
        <v>0.882</v>
      </c>
      <c r="X726" s="39" t="n">
        <f aca="false">Resumo!$B$9</f>
        <v>1</v>
      </c>
      <c r="Y726" s="39" t="n">
        <f aca="false">Resumo!$B$10*CEILING(I726/100,1)</f>
        <v>4.5</v>
      </c>
      <c r="Z726" s="39" t="n">
        <f aca="false">Resumo!$B$12*CEILING(I726,1)</f>
        <v>1.26</v>
      </c>
      <c r="AA726" s="39" t="n">
        <f aca="false">Resumo!$B$13*CEILING(I726,1)</f>
        <v>9.45</v>
      </c>
      <c r="AB726" s="39" t="n">
        <f aca="false">SUM(U726:AA726)</f>
        <v>99.743</v>
      </c>
      <c r="AC726" s="39" t="n">
        <f aca="false">AB726/(1-Resumo!$B$5)</f>
        <v>113.344318181818</v>
      </c>
      <c r="AD726" s="39" t="n">
        <f aca="false">(AB726-AA726)/(1-Resumo!$B$5)</f>
        <v>102.605681818182</v>
      </c>
      <c r="AE726" s="39" t="n">
        <f aca="false">AC726-T726</f>
        <v>30.9056590909091</v>
      </c>
      <c r="AF726" s="40" t="n">
        <f aca="false">AC726/T726-1</f>
        <v>0.374892792189013</v>
      </c>
      <c r="AG726" s="37" t="str">
        <f aca="false">IF(AC726&lt;T726,"SIM","NÃO")</f>
        <v>NÃO</v>
      </c>
      <c r="AH726" s="37" t="n">
        <v>8</v>
      </c>
      <c r="AI726" s="37" t="n">
        <v>5</v>
      </c>
      <c r="AJ726" s="37" t="s">
        <v>323</v>
      </c>
    </row>
    <row r="727" customFormat="false" ht="15" hidden="false" customHeight="false" outlineLevel="0" collapsed="false">
      <c r="A727" s="37" t="n">
        <v>373421050</v>
      </c>
      <c r="B727" s="38" t="n">
        <v>46242.5925925926</v>
      </c>
      <c r="C727" s="37" t="s">
        <v>325</v>
      </c>
      <c r="D727" s="37" t="s">
        <v>1027</v>
      </c>
      <c r="E727" s="37" t="n">
        <v>23830080</v>
      </c>
      <c r="F727" s="37" t="s">
        <v>200</v>
      </c>
      <c r="G727" s="37" t="s">
        <v>201</v>
      </c>
      <c r="H727" s="37" t="s">
        <v>175</v>
      </c>
      <c r="I727" s="37" t="n">
        <v>117</v>
      </c>
      <c r="J727" s="39" t="n">
        <v>1167</v>
      </c>
      <c r="K727" s="37" t="s">
        <v>498</v>
      </c>
      <c r="L727" s="39" t="n">
        <v>218.98</v>
      </c>
      <c r="M727" s="39" t="n">
        <v>161.81</v>
      </c>
      <c r="N727" s="39" t="n">
        <f aca="false">J727*Resumo!$C$7</f>
        <v>2.334</v>
      </c>
      <c r="O727" s="39" t="n">
        <f aca="false">J727*Resumo!$C$8</f>
        <v>2.334</v>
      </c>
      <c r="P727" s="39" t="n">
        <f aca="false">Resumo!$C$10*CEILING(I727/100,1)</f>
        <v>2</v>
      </c>
      <c r="Q727" s="39" t="n">
        <f aca="false">Resumo!$C$9</f>
        <v>11.9</v>
      </c>
      <c r="R727" s="39" t="n">
        <f aca="false">SUM(M727:Q727)*Resumo!$C$11</f>
        <v>9.92079</v>
      </c>
      <c r="S727" s="39" t="n">
        <f aca="false">SUM(M727:R727)</f>
        <v>190.29879</v>
      </c>
      <c r="T727" s="39" t="n">
        <f aca="false">S727/(1-Resumo!$C$5)</f>
        <v>216.248625</v>
      </c>
      <c r="U727" s="39" t="n">
        <v>211.59</v>
      </c>
      <c r="V727" s="39" t="n">
        <f aca="false">J727*Resumo!$B$6</f>
        <v>1.167</v>
      </c>
      <c r="W727" s="39" t="n">
        <f aca="false">J727*Resumo!$B$7</f>
        <v>2.334</v>
      </c>
      <c r="X727" s="39" t="n">
        <f aca="false">Resumo!$B$9</f>
        <v>1</v>
      </c>
      <c r="Y727" s="39" t="n">
        <f aca="false">Resumo!$B$10*CEILING(I727/100,1)</f>
        <v>9</v>
      </c>
      <c r="Z727" s="39" t="n">
        <f aca="false">Resumo!$B$12*CEILING(I727,1)</f>
        <v>7.02</v>
      </c>
      <c r="AA727" s="39" t="n">
        <f aca="false">Resumo!$B$13*CEILING(I727,1)</f>
        <v>52.65</v>
      </c>
      <c r="AB727" s="39" t="n">
        <f aca="false">SUM(U727:AA727)</f>
        <v>284.761</v>
      </c>
      <c r="AC727" s="39" t="n">
        <f aca="false">AB727/(1-Resumo!$B$5)</f>
        <v>323.592045454545</v>
      </c>
      <c r="AD727" s="39" t="n">
        <f aca="false">(AB727-AA727)/(1-Resumo!$B$5)</f>
        <v>263.7625</v>
      </c>
      <c r="AE727" s="39" t="n">
        <f aca="false">AC727-T727</f>
        <v>107.343420454545</v>
      </c>
      <c r="AF727" s="40" t="n">
        <f aca="false">AC727/T727-1</f>
        <v>0.496388915557476</v>
      </c>
      <c r="AG727" s="37" t="str">
        <f aca="false">IF(AC727&lt;T727,"SIM","NÃO")</f>
        <v>NÃO</v>
      </c>
      <c r="AH727" s="37" t="n">
        <v>13</v>
      </c>
      <c r="AI727" s="37" t="n">
        <v>5</v>
      </c>
      <c r="AJ727" s="37" t="s">
        <v>327</v>
      </c>
    </row>
    <row r="728" customFormat="false" ht="15" hidden="false" customHeight="false" outlineLevel="0" collapsed="false">
      <c r="A728" s="37" t="n">
        <v>373422414</v>
      </c>
      <c r="B728" s="38" t="n">
        <v>46242.5946527778</v>
      </c>
      <c r="C728" s="37" t="s">
        <v>325</v>
      </c>
      <c r="D728" s="37" t="s">
        <v>1028</v>
      </c>
      <c r="E728" s="37" t="n">
        <v>24921770</v>
      </c>
      <c r="F728" s="37" t="s">
        <v>151</v>
      </c>
      <c r="G728" s="37" t="s">
        <v>201</v>
      </c>
      <c r="H728" s="37" t="s">
        <v>170</v>
      </c>
      <c r="I728" s="37" t="n">
        <v>44.6</v>
      </c>
      <c r="J728" s="39" t="n">
        <v>513.9</v>
      </c>
      <c r="K728" s="37" t="s">
        <v>498</v>
      </c>
      <c r="L728" s="39" t="n">
        <v>130.35</v>
      </c>
      <c r="M728" s="39" t="n">
        <v>94</v>
      </c>
      <c r="N728" s="39" t="n">
        <f aca="false">J728*Resumo!$C$7</f>
        <v>1.0278</v>
      </c>
      <c r="O728" s="39" t="n">
        <f aca="false">J728*Resumo!$C$8</f>
        <v>1.0278</v>
      </c>
      <c r="P728" s="39" t="n">
        <f aca="false">Resumo!$C$10*CEILING(I728/100,1)</f>
        <v>1</v>
      </c>
      <c r="Q728" s="39" t="n">
        <f aca="false">Resumo!$C$9</f>
        <v>11.9</v>
      </c>
      <c r="R728" s="39" t="n">
        <f aca="false">SUM(M728:Q728)*Resumo!$C$11</f>
        <v>5.992558</v>
      </c>
      <c r="S728" s="39" t="n">
        <f aca="false">SUM(M728:R728)</f>
        <v>114.948158</v>
      </c>
      <c r="T728" s="39" t="n">
        <f aca="false">S728/(1-Resumo!$C$5)</f>
        <v>130.622906818182</v>
      </c>
      <c r="U728" s="39" t="n">
        <v>114.95</v>
      </c>
      <c r="V728" s="39" t="n">
        <f aca="false">J728*Resumo!$B$6</f>
        <v>0.5139</v>
      </c>
      <c r="W728" s="39" t="n">
        <f aca="false">J728*Resumo!$B$7</f>
        <v>1.0278</v>
      </c>
      <c r="X728" s="39" t="n">
        <f aca="false">Resumo!$B$9</f>
        <v>1</v>
      </c>
      <c r="Y728" s="39" t="n">
        <f aca="false">Resumo!$B$10*CEILING(I728/100,1)</f>
        <v>4.5</v>
      </c>
      <c r="Z728" s="39" t="n">
        <f aca="false">Resumo!$B$12*CEILING(I728,1)</f>
        <v>2.7</v>
      </c>
      <c r="AA728" s="39" t="n">
        <f aca="false">Resumo!$B$13*CEILING(I728,1)</f>
        <v>20.25</v>
      </c>
      <c r="AB728" s="39" t="n">
        <f aca="false">SUM(U728:AA728)</f>
        <v>144.9417</v>
      </c>
      <c r="AC728" s="39" t="n">
        <f aca="false">AB728/(1-Resumo!$B$5)</f>
        <v>164.706477272727</v>
      </c>
      <c r="AD728" s="39" t="n">
        <f aca="false">(AB728-AA728)/(1-Resumo!$B$5)</f>
        <v>141.695113636364</v>
      </c>
      <c r="AE728" s="39" t="n">
        <f aca="false">AC728-T728</f>
        <v>34.0835704545454</v>
      </c>
      <c r="AF728" s="40" t="n">
        <f aca="false">AC728/T728-1</f>
        <v>0.260931036406864</v>
      </c>
      <c r="AG728" s="37" t="str">
        <f aca="false">IF(AC728&lt;T728,"SIM","NÃO")</f>
        <v>NÃO</v>
      </c>
      <c r="AH728" s="37" t="n">
        <v>13</v>
      </c>
      <c r="AI728" s="37" t="n">
        <v>7</v>
      </c>
      <c r="AJ728" s="37" t="s">
        <v>323</v>
      </c>
    </row>
    <row r="729" customFormat="false" ht="15" hidden="false" customHeight="false" outlineLevel="0" collapsed="false">
      <c r="A729" s="37" t="n">
        <v>373424370</v>
      </c>
      <c r="B729" s="38" t="n">
        <v>46242.5980324074</v>
      </c>
      <c r="C729" s="37" t="s">
        <v>320</v>
      </c>
      <c r="D729" s="37" t="s">
        <v>1029</v>
      </c>
      <c r="E729" s="37" t="n">
        <v>24914100</v>
      </c>
      <c r="F729" s="37" t="s">
        <v>151</v>
      </c>
      <c r="G729" s="37" t="s">
        <v>201</v>
      </c>
      <c r="H729" s="37" t="s">
        <v>171</v>
      </c>
      <c r="I729" s="37" t="n">
        <v>52.3</v>
      </c>
      <c r="J729" s="39" t="n">
        <v>616.99</v>
      </c>
      <c r="K729" s="37" t="s">
        <v>498</v>
      </c>
      <c r="L729" s="39" t="n">
        <v>141.63</v>
      </c>
      <c r="M729" s="39" t="n">
        <v>103.6</v>
      </c>
      <c r="N729" s="39" t="n">
        <f aca="false">J729*Resumo!$C$7</f>
        <v>1.23398</v>
      </c>
      <c r="O729" s="39" t="n">
        <f aca="false">J729*Resumo!$C$8</f>
        <v>1.23398</v>
      </c>
      <c r="P729" s="39" t="n">
        <f aca="false">Resumo!$C$10*CEILING(I729/100,1)</f>
        <v>1</v>
      </c>
      <c r="Q729" s="39" t="n">
        <f aca="false">Resumo!$C$9</f>
        <v>11.9</v>
      </c>
      <c r="R729" s="39" t="n">
        <f aca="false">SUM(M729:Q729)*Resumo!$C$11</f>
        <v>6.5432378</v>
      </c>
      <c r="S729" s="39" t="n">
        <f aca="false">SUM(M729:R729)</f>
        <v>125.5111978</v>
      </c>
      <c r="T729" s="39" t="n">
        <f aca="false">S729/(1-Resumo!$C$5)</f>
        <v>142.626361136364</v>
      </c>
      <c r="U729" s="39" t="n">
        <v>128.14</v>
      </c>
      <c r="V729" s="39" t="n">
        <f aca="false">J729*Resumo!$B$6</f>
        <v>0.61699</v>
      </c>
      <c r="W729" s="39" t="n">
        <f aca="false">J729*Resumo!$B$7</f>
        <v>1.23398</v>
      </c>
      <c r="X729" s="39" t="n">
        <f aca="false">Resumo!$B$9</f>
        <v>1</v>
      </c>
      <c r="Y729" s="39" t="n">
        <f aca="false">Resumo!$B$10*CEILING(I729/100,1)</f>
        <v>4.5</v>
      </c>
      <c r="Z729" s="39" t="n">
        <f aca="false">Resumo!$B$12*CEILING(I729,1)</f>
        <v>3.18</v>
      </c>
      <c r="AA729" s="39" t="n">
        <f aca="false">Resumo!$B$13*CEILING(I729,1)</f>
        <v>23.85</v>
      </c>
      <c r="AB729" s="39" t="n">
        <f aca="false">SUM(U729:AA729)</f>
        <v>162.52097</v>
      </c>
      <c r="AC729" s="39" t="n">
        <f aca="false">AB729/(1-Resumo!$B$5)</f>
        <v>184.682920454545</v>
      </c>
      <c r="AD729" s="39" t="n">
        <f aca="false">(AB729-AA729)/(1-Resumo!$B$5)</f>
        <v>157.580647727273</v>
      </c>
      <c r="AE729" s="39" t="n">
        <f aca="false">AC729-T729</f>
        <v>42.0565593181818</v>
      </c>
      <c r="AF729" s="40" t="n">
        <f aca="false">AC729/T729-1</f>
        <v>0.294872273141513</v>
      </c>
      <c r="AG729" s="37" t="str">
        <f aca="false">IF(AC729&lt;T729,"SIM","NÃO")</f>
        <v>NÃO</v>
      </c>
      <c r="AH729" s="37" t="n">
        <v>13</v>
      </c>
      <c r="AI729" s="37" t="n">
        <v>7</v>
      </c>
      <c r="AJ729" s="37" t="s">
        <v>323</v>
      </c>
    </row>
    <row r="730" customFormat="false" ht="15" hidden="false" customHeight="false" outlineLevel="0" collapsed="false">
      <c r="A730" s="37" t="n">
        <v>373434452</v>
      </c>
      <c r="B730" s="38" t="n">
        <v>46242.6135185185</v>
      </c>
      <c r="C730" s="37" t="s">
        <v>320</v>
      </c>
      <c r="D730" s="37" t="s">
        <v>1030</v>
      </c>
      <c r="E730" s="37" t="n">
        <v>26376040</v>
      </c>
      <c r="F730" s="37" t="s">
        <v>222</v>
      </c>
      <c r="G730" s="37" t="s">
        <v>207</v>
      </c>
      <c r="H730" s="37" t="s">
        <v>169</v>
      </c>
      <c r="I730" s="37" t="n">
        <v>37.5</v>
      </c>
      <c r="J730" s="39" t="n">
        <v>459.99</v>
      </c>
      <c r="K730" s="37" t="s">
        <v>498</v>
      </c>
      <c r="L730" s="39" t="n">
        <v>114.17</v>
      </c>
      <c r="M730" s="39" t="n">
        <v>79.65</v>
      </c>
      <c r="N730" s="39" t="n">
        <f aca="false">J730*Resumo!$C$7</f>
        <v>0.91998</v>
      </c>
      <c r="O730" s="39" t="n">
        <f aca="false">J730*Resumo!$C$8</f>
        <v>0.91998</v>
      </c>
      <c r="P730" s="39" t="n">
        <f aca="false">Resumo!$C$10*CEILING(I730/100,1)</f>
        <v>1</v>
      </c>
      <c r="Q730" s="39" t="n">
        <f aca="false">Resumo!$C$9</f>
        <v>11.9</v>
      </c>
      <c r="R730" s="39" t="n">
        <f aca="false">SUM(M730:Q730)*Resumo!$C$11</f>
        <v>5.1914478</v>
      </c>
      <c r="S730" s="39" t="n">
        <f aca="false">SUM(M730:R730)</f>
        <v>99.5814078</v>
      </c>
      <c r="T730" s="39" t="n">
        <f aca="false">S730/(1-Resumo!$C$5)</f>
        <v>113.160690681818</v>
      </c>
      <c r="U730" s="39" t="n">
        <v>93.97</v>
      </c>
      <c r="V730" s="39" t="n">
        <f aca="false">J730*Resumo!$B$6</f>
        <v>0.45999</v>
      </c>
      <c r="W730" s="39" t="n">
        <f aca="false">J730*Resumo!$B$7</f>
        <v>0.91998</v>
      </c>
      <c r="X730" s="39" t="n">
        <f aca="false">Resumo!$B$9</f>
        <v>1</v>
      </c>
      <c r="Y730" s="39" t="n">
        <f aca="false">Resumo!$B$10*CEILING(I730/100,1)</f>
        <v>4.5</v>
      </c>
      <c r="Z730" s="39" t="n">
        <f aca="false">Resumo!$B$12*CEILING(I730,1)</f>
        <v>2.28</v>
      </c>
      <c r="AA730" s="39" t="n">
        <f aca="false">Resumo!$B$13*CEILING(I730,1)</f>
        <v>17.1</v>
      </c>
      <c r="AB730" s="39" t="n">
        <f aca="false">SUM(U730:AA730)</f>
        <v>120.22997</v>
      </c>
      <c r="AC730" s="39" t="n">
        <f aca="false">AB730/(1-Resumo!$B$5)</f>
        <v>136.624965909091</v>
      </c>
      <c r="AD730" s="39" t="n">
        <f aca="false">(AB730-AA730)/(1-Resumo!$B$5)</f>
        <v>117.193147727273</v>
      </c>
      <c r="AE730" s="39" t="n">
        <f aca="false">AC730-T730</f>
        <v>23.4642752272727</v>
      </c>
      <c r="AF730" s="40" t="n">
        <f aca="false">AC730/T730-1</f>
        <v>0.20735358794556</v>
      </c>
      <c r="AG730" s="37" t="str">
        <f aca="false">IF(AC730&lt;T730,"SIM","NÃO")</f>
        <v>NÃO</v>
      </c>
      <c r="AH730" s="37" t="n">
        <v>10</v>
      </c>
      <c r="AI730" s="37" t="n">
        <v>5</v>
      </c>
      <c r="AJ730" s="37" t="s">
        <v>327</v>
      </c>
    </row>
    <row r="731" customFormat="false" ht="15" hidden="false" customHeight="false" outlineLevel="0" collapsed="false">
      <c r="A731" s="37" t="n">
        <v>373442071</v>
      </c>
      <c r="B731" s="38" t="n">
        <v>46242.6252662037</v>
      </c>
      <c r="C731" s="37" t="s">
        <v>325</v>
      </c>
      <c r="D731" s="37" t="s">
        <v>1031</v>
      </c>
      <c r="E731" s="37" t="n">
        <v>21210260</v>
      </c>
      <c r="F731" s="37" t="s">
        <v>139</v>
      </c>
      <c r="G731" s="37" t="s">
        <v>198</v>
      </c>
      <c r="H731" s="37" t="s">
        <v>171</v>
      </c>
      <c r="I731" s="37" t="n">
        <v>54</v>
      </c>
      <c r="J731" s="39" t="n">
        <v>892</v>
      </c>
      <c r="K731" s="37" t="s">
        <v>322</v>
      </c>
      <c r="L731" s="39" t="n">
        <v>115.41</v>
      </c>
      <c r="M731" s="39" t="n">
        <v>79.81</v>
      </c>
      <c r="N731" s="39" t="n">
        <f aca="false">J731*Resumo!$C$7</f>
        <v>1.784</v>
      </c>
      <c r="O731" s="39" t="n">
        <f aca="false">J731*Resumo!$C$8</f>
        <v>1.784</v>
      </c>
      <c r="P731" s="39" t="n">
        <f aca="false">Resumo!$C$10*CEILING(I731/100,1)</f>
        <v>1</v>
      </c>
      <c r="Q731" s="39" t="n">
        <f aca="false">Resumo!$C$9</f>
        <v>11.9</v>
      </c>
      <c r="R731" s="39" t="n">
        <f aca="false">SUM(M731:Q731)*Resumo!$C$11</f>
        <v>5.29529</v>
      </c>
      <c r="S731" s="39" t="n">
        <f aca="false">SUM(M731:R731)</f>
        <v>101.57329</v>
      </c>
      <c r="T731" s="39" t="n">
        <f aca="false">S731/(1-Resumo!$C$5)</f>
        <v>115.424193181818</v>
      </c>
      <c r="U731" s="39" t="n">
        <v>112.3</v>
      </c>
      <c r="V731" s="39" t="n">
        <f aca="false">J731*Resumo!$B$6</f>
        <v>0.892</v>
      </c>
      <c r="W731" s="39" t="n">
        <f aca="false">J731*Resumo!$B$7</f>
        <v>1.784</v>
      </c>
      <c r="X731" s="39" t="n">
        <f aca="false">Resumo!$B$9</f>
        <v>1</v>
      </c>
      <c r="Y731" s="39" t="n">
        <f aca="false">Resumo!$B$10*CEILING(I731/100,1)</f>
        <v>4.5</v>
      </c>
      <c r="Z731" s="39" t="n">
        <f aca="false">Resumo!$B$12*CEILING(I731,1)</f>
        <v>3.24</v>
      </c>
      <c r="AA731" s="39" t="n">
        <f aca="false">Resumo!$B$13*CEILING(I731,1)</f>
        <v>24.3</v>
      </c>
      <c r="AB731" s="39" t="n">
        <f aca="false">SUM(U731:AA731)</f>
        <v>148.016</v>
      </c>
      <c r="AC731" s="39" t="n">
        <f aca="false">AB731/(1-Resumo!$B$5)</f>
        <v>168.2</v>
      </c>
      <c r="AD731" s="39" t="n">
        <f aca="false">(AB731-AA731)/(1-Resumo!$B$5)</f>
        <v>140.586363636364</v>
      </c>
      <c r="AE731" s="39" t="n">
        <f aca="false">AC731-T731</f>
        <v>52.7758068181818</v>
      </c>
      <c r="AF731" s="40" t="n">
        <f aca="false">AC731/T731-1</f>
        <v>0.457233491206202</v>
      </c>
      <c r="AG731" s="37" t="str">
        <f aca="false">IF(AC731&lt;T731,"SIM","NÃO")</f>
        <v>NÃO</v>
      </c>
      <c r="AH731" s="37" t="n">
        <v>8</v>
      </c>
      <c r="AI731" s="37" t="n">
        <v>5</v>
      </c>
      <c r="AJ731" s="37" t="s">
        <v>323</v>
      </c>
    </row>
    <row r="732" customFormat="false" ht="15" hidden="false" customHeight="false" outlineLevel="0" collapsed="false">
      <c r="A732" s="37" t="n">
        <v>373449576</v>
      </c>
      <c r="B732" s="38" t="n">
        <v>46242.638599537</v>
      </c>
      <c r="C732" s="37" t="s">
        <v>320</v>
      </c>
      <c r="D732" s="37" t="s">
        <v>1032</v>
      </c>
      <c r="E732" s="37" t="n">
        <v>21545290</v>
      </c>
      <c r="F732" s="37" t="s">
        <v>139</v>
      </c>
      <c r="G732" s="37" t="s">
        <v>198</v>
      </c>
      <c r="H732" s="37" t="s">
        <v>167</v>
      </c>
      <c r="I732" s="37" t="n">
        <v>19.9</v>
      </c>
      <c r="J732" s="39" t="n">
        <v>299.99</v>
      </c>
      <c r="K732" s="37" t="s">
        <v>322</v>
      </c>
      <c r="L732" s="39" t="n">
        <v>64.66</v>
      </c>
      <c r="M732" s="39" t="n">
        <v>39.83</v>
      </c>
      <c r="N732" s="39" t="n">
        <f aca="false">J732*Resumo!$C$7</f>
        <v>0.59998</v>
      </c>
      <c r="O732" s="39" t="n">
        <f aca="false">J732*Resumo!$C$8</f>
        <v>0.59998</v>
      </c>
      <c r="P732" s="39" t="n">
        <f aca="false">Resumo!$C$10*CEILING(I732/100,1)</f>
        <v>1</v>
      </c>
      <c r="Q732" s="39" t="n">
        <f aca="false">Resumo!$C$9</f>
        <v>11.9</v>
      </c>
      <c r="R732" s="39" t="n">
        <f aca="false">SUM(M732:Q732)*Resumo!$C$11</f>
        <v>2.9661478</v>
      </c>
      <c r="S732" s="39" t="n">
        <f aca="false">SUM(M732:R732)</f>
        <v>56.8961078</v>
      </c>
      <c r="T732" s="39" t="n">
        <f aca="false">S732/(1-Resumo!$C$5)</f>
        <v>64.6546679545455</v>
      </c>
      <c r="U732" s="39" t="n">
        <v>46.98</v>
      </c>
      <c r="V732" s="39" t="n">
        <f aca="false">J732*Resumo!$B$6</f>
        <v>0.29999</v>
      </c>
      <c r="W732" s="39" t="n">
        <f aca="false">J732*Resumo!$B$7</f>
        <v>0.59998</v>
      </c>
      <c r="X732" s="39" t="n">
        <f aca="false">Resumo!$B$9</f>
        <v>1</v>
      </c>
      <c r="Y732" s="39" t="n">
        <f aca="false">Resumo!$B$10*CEILING(I732/100,1)</f>
        <v>4.5</v>
      </c>
      <c r="Z732" s="39" t="n">
        <f aca="false">Resumo!$B$12*CEILING(I732,1)</f>
        <v>1.2</v>
      </c>
      <c r="AA732" s="39" t="n">
        <f aca="false">Resumo!$B$13*CEILING(I732,1)</f>
        <v>9</v>
      </c>
      <c r="AB732" s="39" t="n">
        <f aca="false">SUM(U732:AA732)</f>
        <v>63.57997</v>
      </c>
      <c r="AC732" s="39" t="n">
        <f aca="false">AB732/(1-Resumo!$B$5)</f>
        <v>72.2499659090909</v>
      </c>
      <c r="AD732" s="39" t="n">
        <f aca="false">(AB732-AA732)/(1-Resumo!$B$5)</f>
        <v>62.0226931818182</v>
      </c>
      <c r="AE732" s="39" t="n">
        <f aca="false">AC732-T732</f>
        <v>7.59529795454544</v>
      </c>
      <c r="AF732" s="40" t="n">
        <f aca="false">AC732/T732-1</f>
        <v>0.117474858271412</v>
      </c>
      <c r="AG732" s="37" t="str">
        <f aca="false">IF(AC732&lt;T732,"SIM","NÃO")</f>
        <v>NÃO</v>
      </c>
      <c r="AH732" s="37" t="n">
        <v>8</v>
      </c>
      <c r="AI732" s="37" t="n">
        <v>5</v>
      </c>
      <c r="AJ732" s="37" t="s">
        <v>323</v>
      </c>
    </row>
    <row r="733" customFormat="false" ht="15" hidden="false" customHeight="false" outlineLevel="0" collapsed="false">
      <c r="A733" s="37" t="n">
        <v>373451073</v>
      </c>
      <c r="B733" s="38" t="n">
        <v>46242.64125</v>
      </c>
      <c r="C733" s="37" t="s">
        <v>320</v>
      </c>
      <c r="D733" s="37" t="s">
        <v>1033</v>
      </c>
      <c r="E733" s="37" t="n">
        <v>21854002</v>
      </c>
      <c r="F733" s="37" t="s">
        <v>139</v>
      </c>
      <c r="G733" s="37" t="s">
        <v>198</v>
      </c>
      <c r="H733" s="37" t="s">
        <v>171</v>
      </c>
      <c r="I733" s="37" t="n">
        <v>60</v>
      </c>
      <c r="J733" s="39" t="n">
        <v>828</v>
      </c>
      <c r="K733" s="37" t="s">
        <v>322</v>
      </c>
      <c r="L733" s="39" t="n">
        <v>115.12</v>
      </c>
      <c r="M733" s="39" t="n">
        <v>79.81</v>
      </c>
      <c r="N733" s="39" t="n">
        <f aca="false">J733*Resumo!$C$7</f>
        <v>1.656</v>
      </c>
      <c r="O733" s="39" t="n">
        <f aca="false">J733*Resumo!$C$8</f>
        <v>1.656</v>
      </c>
      <c r="P733" s="39" t="n">
        <f aca="false">Resumo!$C$10*CEILING(I733/100,1)</f>
        <v>1</v>
      </c>
      <c r="Q733" s="39" t="n">
        <f aca="false">Resumo!$C$9</f>
        <v>11.9</v>
      </c>
      <c r="R733" s="39" t="n">
        <f aca="false">SUM(M733:Q733)*Resumo!$C$11</f>
        <v>5.28121</v>
      </c>
      <c r="S733" s="39" t="n">
        <f aca="false">SUM(M733:R733)</f>
        <v>101.30321</v>
      </c>
      <c r="T733" s="39" t="n">
        <f aca="false">S733/(1-Resumo!$C$5)</f>
        <v>115.117284090909</v>
      </c>
      <c r="U733" s="39" t="n">
        <v>112.3</v>
      </c>
      <c r="V733" s="39" t="n">
        <f aca="false">J733*Resumo!$B$6</f>
        <v>0.828</v>
      </c>
      <c r="W733" s="39" t="n">
        <f aca="false">J733*Resumo!$B$7</f>
        <v>1.656</v>
      </c>
      <c r="X733" s="39" t="n">
        <f aca="false">Resumo!$B$9</f>
        <v>1</v>
      </c>
      <c r="Y733" s="39" t="n">
        <f aca="false">Resumo!$B$10*CEILING(I733/100,1)</f>
        <v>4.5</v>
      </c>
      <c r="Z733" s="39" t="n">
        <f aca="false">Resumo!$B$12*CEILING(I733,1)</f>
        <v>3.6</v>
      </c>
      <c r="AA733" s="39" t="n">
        <f aca="false">Resumo!$B$13*CEILING(I733,1)</f>
        <v>27</v>
      </c>
      <c r="AB733" s="39" t="n">
        <f aca="false">SUM(U733:AA733)</f>
        <v>150.884</v>
      </c>
      <c r="AC733" s="39" t="n">
        <f aca="false">AB733/(1-Resumo!$B$5)</f>
        <v>171.459090909091</v>
      </c>
      <c r="AD733" s="39" t="n">
        <f aca="false">(AB733-AA733)/(1-Resumo!$B$5)</f>
        <v>140.777272727273</v>
      </c>
      <c r="AE733" s="39" t="n">
        <f aca="false">AC733-T733</f>
        <v>56.3418068181818</v>
      </c>
      <c r="AF733" s="40" t="n">
        <f aca="false">AC733/T733-1</f>
        <v>0.489429604451823</v>
      </c>
      <c r="AG733" s="37" t="str">
        <f aca="false">IF(AC733&lt;T733,"SIM","NÃO")</f>
        <v>NÃO</v>
      </c>
      <c r="AH733" s="37" t="n">
        <v>8</v>
      </c>
      <c r="AI733" s="37" t="n">
        <v>5</v>
      </c>
      <c r="AJ733" s="37" t="s">
        <v>323</v>
      </c>
    </row>
    <row r="734" customFormat="false" ht="15" hidden="false" customHeight="false" outlineLevel="0" collapsed="false">
      <c r="A734" s="37" t="n">
        <v>373451868</v>
      </c>
      <c r="B734" s="38" t="n">
        <v>46242.6427430556</v>
      </c>
      <c r="C734" s="37" t="s">
        <v>320</v>
      </c>
      <c r="D734" s="37" t="s">
        <v>1034</v>
      </c>
      <c r="E734" s="37" t="n">
        <v>23070130</v>
      </c>
      <c r="F734" s="37" t="s">
        <v>139</v>
      </c>
      <c r="G734" s="37" t="s">
        <v>198</v>
      </c>
      <c r="H734" s="37" t="s">
        <v>167</v>
      </c>
      <c r="I734" s="37" t="n">
        <v>17.2</v>
      </c>
      <c r="J734" s="39" t="n">
        <v>249.99</v>
      </c>
      <c r="K734" s="37" t="s">
        <v>498</v>
      </c>
      <c r="L734" s="39" t="n">
        <v>64.95</v>
      </c>
      <c r="M734" s="39" t="n">
        <v>39.83</v>
      </c>
      <c r="N734" s="39" t="n">
        <f aca="false">J734*Resumo!$C$7</f>
        <v>0.49998</v>
      </c>
      <c r="O734" s="39" t="n">
        <f aca="false">J734*Resumo!$C$8</f>
        <v>0.49998</v>
      </c>
      <c r="P734" s="39" t="n">
        <f aca="false">Resumo!$C$10*CEILING(I734/100,1)</f>
        <v>1</v>
      </c>
      <c r="Q734" s="39" t="n">
        <f aca="false">Resumo!$C$9</f>
        <v>11.9</v>
      </c>
      <c r="R734" s="39" t="n">
        <f aca="false">SUM(M734:Q734)*Resumo!$C$11</f>
        <v>2.9551478</v>
      </c>
      <c r="S734" s="39" t="n">
        <f aca="false">SUM(M734:R734)</f>
        <v>56.6851078</v>
      </c>
      <c r="T734" s="39" t="n">
        <f aca="false">S734/(1-Resumo!$C$5)</f>
        <v>64.4148952272727</v>
      </c>
      <c r="U734" s="39" t="n">
        <v>46.98</v>
      </c>
      <c r="V734" s="39" t="n">
        <f aca="false">J734*Resumo!$B$6</f>
        <v>0.24999</v>
      </c>
      <c r="W734" s="39" t="n">
        <f aca="false">J734*Resumo!$B$7</f>
        <v>0.49998</v>
      </c>
      <c r="X734" s="39" t="n">
        <f aca="false">Resumo!$B$9</f>
        <v>1</v>
      </c>
      <c r="Y734" s="39" t="n">
        <f aca="false">Resumo!$B$10*CEILING(I734/100,1)</f>
        <v>4.5</v>
      </c>
      <c r="Z734" s="39" t="n">
        <f aca="false">Resumo!$B$12*CEILING(I734,1)</f>
        <v>1.08</v>
      </c>
      <c r="AA734" s="39" t="n">
        <f aca="false">Resumo!$B$13*CEILING(I734,1)</f>
        <v>8.1</v>
      </c>
      <c r="AB734" s="39" t="n">
        <f aca="false">SUM(U734:AA734)</f>
        <v>62.40997</v>
      </c>
      <c r="AC734" s="39" t="n">
        <f aca="false">AB734/(1-Resumo!$B$5)</f>
        <v>70.9204204545455</v>
      </c>
      <c r="AD734" s="39" t="n">
        <f aca="false">(AB734-AA734)/(1-Resumo!$B$5)</f>
        <v>61.715875</v>
      </c>
      <c r="AE734" s="39" t="n">
        <f aca="false">AC734-T734</f>
        <v>6.50552522727273</v>
      </c>
      <c r="AF734" s="40" t="n">
        <f aca="false">AC734/T734-1</f>
        <v>0.100994113307481</v>
      </c>
      <c r="AG734" s="37" t="str">
        <f aca="false">IF(AC734&lt;T734,"SIM","NÃO")</f>
        <v>NÃO</v>
      </c>
      <c r="AH734" s="37" t="n">
        <v>8</v>
      </c>
      <c r="AI734" s="37" t="n">
        <v>5</v>
      </c>
      <c r="AJ734" s="37" t="s">
        <v>323</v>
      </c>
    </row>
    <row r="735" customFormat="false" ht="15" hidden="false" customHeight="false" outlineLevel="0" collapsed="false">
      <c r="A735" s="37" t="n">
        <v>373454518</v>
      </c>
      <c r="B735" s="38" t="n">
        <v>46242.6472685185</v>
      </c>
      <c r="C735" s="37" t="s">
        <v>325</v>
      </c>
      <c r="D735" s="37" t="s">
        <v>1035</v>
      </c>
      <c r="E735" s="37" t="n">
        <v>23075078</v>
      </c>
      <c r="F735" s="37" t="s">
        <v>139</v>
      </c>
      <c r="G735" s="37" t="s">
        <v>198</v>
      </c>
      <c r="H735" s="37" t="s">
        <v>176</v>
      </c>
      <c r="I735" s="37" t="n">
        <v>124.2</v>
      </c>
      <c r="J735" s="39" t="n">
        <v>1597.99</v>
      </c>
      <c r="K735" s="37" t="s">
        <v>498</v>
      </c>
      <c r="L735" s="39" t="n">
        <v>226.37</v>
      </c>
      <c r="M735" s="39" t="n">
        <v>174.85</v>
      </c>
      <c r="N735" s="39" t="n">
        <f aca="false">J735*Resumo!$C$7</f>
        <v>3.19598</v>
      </c>
      <c r="O735" s="39" t="n">
        <f aca="false">J735*Resumo!$C$8</f>
        <v>3.19598</v>
      </c>
      <c r="P735" s="39" t="n">
        <f aca="false">Resumo!$C$10*CEILING(I735/100,1)</f>
        <v>2</v>
      </c>
      <c r="Q735" s="39" t="n">
        <f aca="false">Resumo!$C$9</f>
        <v>11.9</v>
      </c>
      <c r="R735" s="39" t="n">
        <f aca="false">SUM(M735:Q735)*Resumo!$C$11</f>
        <v>10.7328078</v>
      </c>
      <c r="S735" s="39" t="n">
        <f aca="false">SUM(M735:R735)</f>
        <v>205.8747678</v>
      </c>
      <c r="T735" s="39" t="n">
        <f aca="false">S735/(1-Resumo!$C$5)</f>
        <v>233.948599772727</v>
      </c>
      <c r="U735" s="39" t="n">
        <v>239.25</v>
      </c>
      <c r="V735" s="39" t="n">
        <f aca="false">J735*Resumo!$B$6</f>
        <v>1.59799</v>
      </c>
      <c r="W735" s="39" t="n">
        <f aca="false">J735*Resumo!$B$7</f>
        <v>3.19598</v>
      </c>
      <c r="X735" s="39" t="n">
        <f aca="false">Resumo!$B$9</f>
        <v>1</v>
      </c>
      <c r="Y735" s="39" t="n">
        <f aca="false">Resumo!$B$10*CEILING(I735/100,1)</f>
        <v>9</v>
      </c>
      <c r="Z735" s="39" t="n">
        <f aca="false">Resumo!$B$12*CEILING(I735,1)</f>
        <v>7.5</v>
      </c>
      <c r="AA735" s="39" t="n">
        <f aca="false">Resumo!$B$13*CEILING(I735,1)</f>
        <v>56.25</v>
      </c>
      <c r="AB735" s="39" t="n">
        <f aca="false">SUM(U735:AA735)</f>
        <v>317.79397</v>
      </c>
      <c r="AC735" s="39" t="n">
        <f aca="false">AB735/(1-Resumo!$B$5)</f>
        <v>361.129511363636</v>
      </c>
      <c r="AD735" s="39" t="n">
        <f aca="false">(AB735-AA735)/(1-Resumo!$B$5)</f>
        <v>297.209056818182</v>
      </c>
      <c r="AE735" s="39" t="n">
        <f aca="false">AC735-T735</f>
        <v>127.180911590909</v>
      </c>
      <c r="AF735" s="40" t="n">
        <f aca="false">AC735/T735-1</f>
        <v>0.54362758193236</v>
      </c>
      <c r="AG735" s="37" t="str">
        <f aca="false">IF(AC735&lt;T735,"SIM","NÃO")</f>
        <v>NÃO</v>
      </c>
      <c r="AH735" s="37" t="n">
        <v>8</v>
      </c>
      <c r="AI735" s="37" t="n">
        <v>5</v>
      </c>
      <c r="AJ735" s="37" t="s">
        <v>323</v>
      </c>
    </row>
    <row r="736" customFormat="false" ht="15" hidden="false" customHeight="false" outlineLevel="0" collapsed="false">
      <c r="A736" s="37" t="n">
        <v>373458394</v>
      </c>
      <c r="B736" s="38" t="n">
        <v>46242.6541898148</v>
      </c>
      <c r="C736" s="37" t="s">
        <v>325</v>
      </c>
      <c r="D736" s="37" t="s">
        <v>1036</v>
      </c>
      <c r="E736" s="37" t="n">
        <v>27274090</v>
      </c>
      <c r="F736" s="37" t="s">
        <v>148</v>
      </c>
      <c r="G736" s="37" t="s">
        <v>201</v>
      </c>
      <c r="H736" s="37" t="s">
        <v>175</v>
      </c>
      <c r="I736" s="37" t="n">
        <v>109.7</v>
      </c>
      <c r="J736" s="39" t="n">
        <v>1263.12</v>
      </c>
      <c r="K736" s="37" t="s">
        <v>498</v>
      </c>
      <c r="L736" s="39" t="n">
        <v>215.85</v>
      </c>
      <c r="M736" s="39" t="n">
        <v>161.81</v>
      </c>
      <c r="N736" s="39" t="n">
        <f aca="false">J736*Resumo!$C$7</f>
        <v>2.52624</v>
      </c>
      <c r="O736" s="39" t="n">
        <f aca="false">J736*Resumo!$C$8</f>
        <v>2.52624</v>
      </c>
      <c r="P736" s="39" t="n">
        <f aca="false">Resumo!$C$10*CEILING(I736/100,1)</f>
        <v>2</v>
      </c>
      <c r="Q736" s="39" t="n">
        <f aca="false">Resumo!$C$9</f>
        <v>11.9</v>
      </c>
      <c r="R736" s="39" t="n">
        <f aca="false">SUM(M736:Q736)*Resumo!$C$11</f>
        <v>9.9419364</v>
      </c>
      <c r="S736" s="39" t="n">
        <f aca="false">SUM(M736:R736)</f>
        <v>190.7044164</v>
      </c>
      <c r="T736" s="39" t="n">
        <f aca="false">S736/(1-Resumo!$C$5)</f>
        <v>216.709564090909</v>
      </c>
      <c r="U736" s="39" t="n">
        <v>236.82</v>
      </c>
      <c r="V736" s="39" t="n">
        <f aca="false">J736*Resumo!$B$6</f>
        <v>1.26312</v>
      </c>
      <c r="W736" s="39" t="n">
        <f aca="false">J736*Resumo!$B$7</f>
        <v>2.52624</v>
      </c>
      <c r="X736" s="39" t="n">
        <f aca="false">Resumo!$B$9</f>
        <v>1</v>
      </c>
      <c r="Y736" s="39" t="n">
        <f aca="false">Resumo!$B$10*CEILING(I736/100,1)</f>
        <v>9</v>
      </c>
      <c r="Z736" s="39" t="n">
        <f aca="false">Resumo!$B$12*CEILING(I736,1)</f>
        <v>6.6</v>
      </c>
      <c r="AA736" s="39" t="n">
        <f aca="false">Resumo!$B$13*CEILING(I736,1)</f>
        <v>49.5</v>
      </c>
      <c r="AB736" s="39" t="n">
        <f aca="false">SUM(U736:AA736)</f>
        <v>306.70936</v>
      </c>
      <c r="AC736" s="39" t="n">
        <f aca="false">AB736/(1-Resumo!$B$5)</f>
        <v>348.533363636364</v>
      </c>
      <c r="AD736" s="39" t="n">
        <f aca="false">(AB736-AA736)/(1-Resumo!$B$5)</f>
        <v>292.283363636364</v>
      </c>
      <c r="AE736" s="39" t="n">
        <f aca="false">AC736-T736</f>
        <v>131.823799545455</v>
      </c>
      <c r="AF736" s="40" t="n">
        <f aca="false">AC736/T736-1</f>
        <v>0.608297100769188</v>
      </c>
      <c r="AG736" s="37" t="str">
        <f aca="false">IF(AC736&lt;T736,"SIM","NÃO")</f>
        <v>NÃO</v>
      </c>
      <c r="AH736" s="37" t="n">
        <v>13</v>
      </c>
      <c r="AI736" s="37" t="n">
        <v>10</v>
      </c>
      <c r="AJ736" s="37" t="s">
        <v>323</v>
      </c>
    </row>
    <row r="737" customFormat="false" ht="15" hidden="false" customHeight="false" outlineLevel="0" collapsed="false">
      <c r="A737" s="37" t="n">
        <v>373458630</v>
      </c>
      <c r="B737" s="38" t="n">
        <v>46242.6546643519</v>
      </c>
      <c r="C737" s="37" t="s">
        <v>320</v>
      </c>
      <c r="D737" s="37" t="s">
        <v>1037</v>
      </c>
      <c r="E737" s="37" t="n">
        <v>26381736</v>
      </c>
      <c r="F737" s="37" t="s">
        <v>222</v>
      </c>
      <c r="G737" s="37" t="s">
        <v>207</v>
      </c>
      <c r="H737" s="37" t="s">
        <v>172</v>
      </c>
      <c r="I737" s="37" t="n">
        <v>63.9</v>
      </c>
      <c r="J737" s="39" t="n">
        <v>717.6</v>
      </c>
      <c r="K737" s="37" t="s">
        <v>498</v>
      </c>
      <c r="L737" s="39" t="n">
        <v>139.74</v>
      </c>
      <c r="M737" s="39" t="n">
        <v>100.9</v>
      </c>
      <c r="N737" s="39" t="n">
        <f aca="false">J737*Resumo!$C$7</f>
        <v>1.4352</v>
      </c>
      <c r="O737" s="39" t="n">
        <f aca="false">J737*Resumo!$C$8</f>
        <v>1.4352</v>
      </c>
      <c r="P737" s="39" t="n">
        <f aca="false">Resumo!$C$10*CEILING(I737/100,1)</f>
        <v>1</v>
      </c>
      <c r="Q737" s="39" t="n">
        <f aca="false">Resumo!$C$9</f>
        <v>11.9</v>
      </c>
      <c r="R737" s="39" t="n">
        <f aca="false">SUM(M737:Q737)*Resumo!$C$11</f>
        <v>6.416872</v>
      </c>
      <c r="S737" s="39" t="n">
        <f aca="false">SUM(M737:R737)</f>
        <v>123.087272</v>
      </c>
      <c r="T737" s="39" t="n">
        <f aca="false">S737/(1-Resumo!$C$5)</f>
        <v>139.8719</v>
      </c>
      <c r="U737" s="39" t="n">
        <v>131.02</v>
      </c>
      <c r="V737" s="39" t="n">
        <f aca="false">J737*Resumo!$B$6</f>
        <v>0.7176</v>
      </c>
      <c r="W737" s="39" t="n">
        <f aca="false">J737*Resumo!$B$7</f>
        <v>1.4352</v>
      </c>
      <c r="X737" s="39" t="n">
        <f aca="false">Resumo!$B$9</f>
        <v>1</v>
      </c>
      <c r="Y737" s="39" t="n">
        <f aca="false">Resumo!$B$10*CEILING(I737/100,1)</f>
        <v>4.5</v>
      </c>
      <c r="Z737" s="39" t="n">
        <f aca="false">Resumo!$B$12*CEILING(I737,1)</f>
        <v>3.84</v>
      </c>
      <c r="AA737" s="39" t="n">
        <f aca="false">Resumo!$B$13*CEILING(I737,1)</f>
        <v>28.8</v>
      </c>
      <c r="AB737" s="39" t="n">
        <f aca="false">SUM(U737:AA737)</f>
        <v>171.3128</v>
      </c>
      <c r="AC737" s="39" t="n">
        <f aca="false">AB737/(1-Resumo!$B$5)</f>
        <v>194.673636363636</v>
      </c>
      <c r="AD737" s="39" t="n">
        <f aca="false">(AB737-AA737)/(1-Resumo!$B$5)</f>
        <v>161.946363636364</v>
      </c>
      <c r="AE737" s="39" t="n">
        <f aca="false">AC737-T737</f>
        <v>54.8017363636364</v>
      </c>
      <c r="AF737" s="40" t="n">
        <f aca="false">AC737/T737-1</f>
        <v>0.39179947054152</v>
      </c>
      <c r="AG737" s="37" t="str">
        <f aca="false">IF(AC737&lt;T737,"SIM","NÃO")</f>
        <v>NÃO</v>
      </c>
      <c r="AH737" s="37" t="n">
        <v>10</v>
      </c>
      <c r="AI737" s="37" t="n">
        <v>5</v>
      </c>
      <c r="AJ737" s="37" t="s">
        <v>327</v>
      </c>
    </row>
    <row r="738" customFormat="false" ht="15" hidden="false" customHeight="false" outlineLevel="0" collapsed="false">
      <c r="A738" s="37" t="n">
        <v>373458784</v>
      </c>
      <c r="B738" s="38" t="n">
        <v>46242.6550115741</v>
      </c>
      <c r="C738" s="37" t="s">
        <v>320</v>
      </c>
      <c r="D738" s="37" t="s">
        <v>1038</v>
      </c>
      <c r="E738" s="37" t="n">
        <v>25230050</v>
      </c>
      <c r="F738" s="37" t="s">
        <v>141</v>
      </c>
      <c r="G738" s="37" t="s">
        <v>207</v>
      </c>
      <c r="H738" s="37" t="s">
        <v>171</v>
      </c>
      <c r="I738" s="37" t="n">
        <v>56.7</v>
      </c>
      <c r="J738" s="39" t="n">
        <v>690.99</v>
      </c>
      <c r="K738" s="37" t="s">
        <v>322</v>
      </c>
      <c r="L738" s="39" t="n">
        <v>128.59</v>
      </c>
      <c r="M738" s="39" t="n">
        <v>91.6</v>
      </c>
      <c r="N738" s="39" t="n">
        <f aca="false">J738*Resumo!$C$7</f>
        <v>1.38198</v>
      </c>
      <c r="O738" s="39" t="n">
        <f aca="false">J738*Resumo!$C$8</f>
        <v>1.38198</v>
      </c>
      <c r="P738" s="39" t="n">
        <f aca="false">Resumo!$C$10*CEILING(I738/100,1)</f>
        <v>1</v>
      </c>
      <c r="Q738" s="39" t="n">
        <f aca="false">Resumo!$C$9</f>
        <v>11.9</v>
      </c>
      <c r="R738" s="39" t="n">
        <f aca="false">SUM(M738:Q738)*Resumo!$C$11</f>
        <v>5.8995178</v>
      </c>
      <c r="S738" s="39" t="n">
        <f aca="false">SUM(M738:R738)</f>
        <v>113.1634778</v>
      </c>
      <c r="T738" s="39" t="n">
        <f aca="false">S738/(1-Resumo!$C$5)</f>
        <v>128.594861136364</v>
      </c>
      <c r="U738" s="39" t="n">
        <v>112.3</v>
      </c>
      <c r="V738" s="39" t="n">
        <f aca="false">J738*Resumo!$B$6</f>
        <v>0.69099</v>
      </c>
      <c r="W738" s="39" t="n">
        <f aca="false">J738*Resumo!$B$7</f>
        <v>1.38198</v>
      </c>
      <c r="X738" s="39" t="n">
        <f aca="false">Resumo!$B$9</f>
        <v>1</v>
      </c>
      <c r="Y738" s="39" t="n">
        <f aca="false">Resumo!$B$10*CEILING(I738/100,1)</f>
        <v>4.5</v>
      </c>
      <c r="Z738" s="39" t="n">
        <f aca="false">Resumo!$B$12*CEILING(I738,1)</f>
        <v>3.42</v>
      </c>
      <c r="AA738" s="39" t="n">
        <f aca="false">Resumo!$B$13*CEILING(I738,1)</f>
        <v>25.65</v>
      </c>
      <c r="AB738" s="39" t="n">
        <f aca="false">SUM(U738:AA738)</f>
        <v>148.94297</v>
      </c>
      <c r="AC738" s="39" t="n">
        <f aca="false">AB738/(1-Resumo!$B$5)</f>
        <v>169.253375</v>
      </c>
      <c r="AD738" s="39" t="n">
        <f aca="false">(AB738-AA738)/(1-Resumo!$B$5)</f>
        <v>140.105647727273</v>
      </c>
      <c r="AE738" s="39" t="n">
        <f aca="false">AC738-T738</f>
        <v>40.6585138636364</v>
      </c>
      <c r="AF738" s="40" t="n">
        <f aca="false">AC738/T738-1</f>
        <v>0.31617526162668</v>
      </c>
      <c r="AG738" s="37" t="str">
        <f aca="false">IF(AC738&lt;T738,"SIM","NÃO")</f>
        <v>NÃO</v>
      </c>
      <c r="AH738" s="37" t="n">
        <v>10</v>
      </c>
      <c r="AI738" s="37" t="n">
        <v>5</v>
      </c>
      <c r="AJ738" s="37" t="s">
        <v>323</v>
      </c>
    </row>
    <row r="739" customFormat="false" ht="15" hidden="false" customHeight="false" outlineLevel="0" collapsed="false">
      <c r="A739" s="37" t="n">
        <v>373461126</v>
      </c>
      <c r="B739" s="38" t="n">
        <v>46242.6593171296</v>
      </c>
      <c r="C739" s="37" t="s">
        <v>320</v>
      </c>
      <c r="D739" s="37" t="s">
        <v>1039</v>
      </c>
      <c r="E739" s="37" t="n">
        <v>28080095</v>
      </c>
      <c r="F739" s="37" t="s">
        <v>144</v>
      </c>
      <c r="G739" s="37" t="s">
        <v>201</v>
      </c>
      <c r="H739" s="37" t="s">
        <v>168</v>
      </c>
      <c r="I739" s="37" t="n">
        <v>33</v>
      </c>
      <c r="J739" s="39" t="n">
        <v>450.99</v>
      </c>
      <c r="K739" s="37" t="s">
        <v>498</v>
      </c>
      <c r="L739" s="39" t="n">
        <v>110.2</v>
      </c>
      <c r="M739" s="39" t="n">
        <v>76.5</v>
      </c>
      <c r="N739" s="39" t="n">
        <f aca="false">J739*Resumo!$C$7</f>
        <v>0.90198</v>
      </c>
      <c r="O739" s="39" t="n">
        <f aca="false">J739*Resumo!$C$8</f>
        <v>0.90198</v>
      </c>
      <c r="P739" s="39" t="n">
        <f aca="false">Resumo!$C$10*CEILING(I739/100,1)</f>
        <v>1</v>
      </c>
      <c r="Q739" s="39" t="n">
        <f aca="false">Resumo!$C$9</f>
        <v>11.9</v>
      </c>
      <c r="R739" s="39" t="n">
        <f aca="false">SUM(M739:Q739)*Resumo!$C$11</f>
        <v>5.0162178</v>
      </c>
      <c r="S739" s="39" t="n">
        <f aca="false">SUM(M739:R739)</f>
        <v>96.2201778</v>
      </c>
      <c r="T739" s="39" t="n">
        <f aca="false">S739/(1-Resumo!$C$5)</f>
        <v>109.341111136364</v>
      </c>
      <c r="U739" s="39" t="n">
        <v>138.29</v>
      </c>
      <c r="V739" s="39" t="n">
        <f aca="false">J739*Resumo!$B$6</f>
        <v>0.45099</v>
      </c>
      <c r="W739" s="39" t="n">
        <f aca="false">J739*Resumo!$B$7</f>
        <v>0.90198</v>
      </c>
      <c r="X739" s="39" t="n">
        <f aca="false">Resumo!$B$9</f>
        <v>1</v>
      </c>
      <c r="Y739" s="39" t="n">
        <f aca="false">Resumo!$B$10*CEILING(I739/100,1)</f>
        <v>4.5</v>
      </c>
      <c r="Z739" s="39" t="n">
        <f aca="false">Resumo!$B$12*CEILING(I739,1)</f>
        <v>1.98</v>
      </c>
      <c r="AA739" s="39" t="n">
        <f aca="false">Resumo!$B$13*CEILING(I739,1)</f>
        <v>14.85</v>
      </c>
      <c r="AB739" s="39" t="n">
        <f aca="false">SUM(U739:AA739)</f>
        <v>161.97297</v>
      </c>
      <c r="AC739" s="39" t="n">
        <f aca="false">AB739/(1-Resumo!$B$5)</f>
        <v>184.060193181818</v>
      </c>
      <c r="AD739" s="39" t="n">
        <f aca="false">(AB739-AA739)/(1-Resumo!$B$5)</f>
        <v>167.185193181818</v>
      </c>
      <c r="AE739" s="39" t="n">
        <f aca="false">AC739-T739</f>
        <v>74.7190820454545</v>
      </c>
      <c r="AF739" s="40" t="n">
        <f aca="false">AC739/T739-1</f>
        <v>0.683357625223594</v>
      </c>
      <c r="AG739" s="37" t="str">
        <f aca="false">IF(AC739&lt;T739,"SIM","NÃO")</f>
        <v>NÃO</v>
      </c>
      <c r="AH739" s="37" t="n">
        <v>13</v>
      </c>
      <c r="AI739" s="37" t="n">
        <v>11</v>
      </c>
      <c r="AJ739" s="37" t="s">
        <v>323</v>
      </c>
    </row>
    <row r="740" customFormat="false" ht="15" hidden="false" customHeight="false" outlineLevel="0" collapsed="false">
      <c r="A740" s="37" t="n">
        <v>373464905</v>
      </c>
      <c r="B740" s="38" t="n">
        <v>46242.6662268519</v>
      </c>
      <c r="C740" s="37" t="s">
        <v>320</v>
      </c>
      <c r="D740" s="37" t="s">
        <v>1040</v>
      </c>
      <c r="E740" s="37" t="n">
        <v>25235105</v>
      </c>
      <c r="F740" s="37" t="s">
        <v>141</v>
      </c>
      <c r="G740" s="37" t="s">
        <v>207</v>
      </c>
      <c r="H740" s="37" t="s">
        <v>171</v>
      </c>
      <c r="I740" s="37" t="n">
        <v>59.9</v>
      </c>
      <c r="J740" s="39" t="n">
        <v>874</v>
      </c>
      <c r="K740" s="37" t="s">
        <v>322</v>
      </c>
      <c r="L740" s="39" t="n">
        <v>129.48</v>
      </c>
      <c r="M740" s="39" t="n">
        <v>91.6</v>
      </c>
      <c r="N740" s="39" t="n">
        <f aca="false">J740*Resumo!$C$7</f>
        <v>1.748</v>
      </c>
      <c r="O740" s="39" t="n">
        <f aca="false">J740*Resumo!$C$8</f>
        <v>1.748</v>
      </c>
      <c r="P740" s="39" t="n">
        <f aca="false">Resumo!$C$10*CEILING(I740/100,1)</f>
        <v>1</v>
      </c>
      <c r="Q740" s="39" t="n">
        <f aca="false">Resumo!$C$9</f>
        <v>11.9</v>
      </c>
      <c r="R740" s="39" t="n">
        <f aca="false">SUM(M740:Q740)*Resumo!$C$11</f>
        <v>5.93978</v>
      </c>
      <c r="S740" s="39" t="n">
        <f aca="false">SUM(M740:R740)</f>
        <v>113.93578</v>
      </c>
      <c r="T740" s="39" t="n">
        <f aca="false">S740/(1-Resumo!$C$5)</f>
        <v>129.472477272727</v>
      </c>
      <c r="U740" s="39" t="n">
        <v>112.3</v>
      </c>
      <c r="V740" s="39" t="n">
        <f aca="false">J740*Resumo!$B$6</f>
        <v>0.874</v>
      </c>
      <c r="W740" s="39" t="n">
        <f aca="false">J740*Resumo!$B$7</f>
        <v>1.748</v>
      </c>
      <c r="X740" s="39" t="n">
        <f aca="false">Resumo!$B$9</f>
        <v>1</v>
      </c>
      <c r="Y740" s="39" t="n">
        <f aca="false">Resumo!$B$10*CEILING(I740/100,1)</f>
        <v>4.5</v>
      </c>
      <c r="Z740" s="39" t="n">
        <f aca="false">Resumo!$B$12*CEILING(I740,1)</f>
        <v>3.6</v>
      </c>
      <c r="AA740" s="39" t="n">
        <f aca="false">Resumo!$B$13*CEILING(I740,1)</f>
        <v>27</v>
      </c>
      <c r="AB740" s="39" t="n">
        <f aca="false">SUM(U740:AA740)</f>
        <v>151.022</v>
      </c>
      <c r="AC740" s="39" t="n">
        <f aca="false">AB740/(1-Resumo!$B$5)</f>
        <v>171.615909090909</v>
      </c>
      <c r="AD740" s="39" t="n">
        <f aca="false">(AB740-AA740)/(1-Resumo!$B$5)</f>
        <v>140.934090909091</v>
      </c>
      <c r="AE740" s="39" t="n">
        <f aca="false">AC740-T740</f>
        <v>42.1434318181818</v>
      </c>
      <c r="AF740" s="40" t="n">
        <f aca="false">AC740/T740-1</f>
        <v>0.325501084909411</v>
      </c>
      <c r="AG740" s="37" t="str">
        <f aca="false">IF(AC740&lt;T740,"SIM","NÃO")</f>
        <v>NÃO</v>
      </c>
      <c r="AH740" s="37" t="n">
        <v>10</v>
      </c>
      <c r="AI740" s="37" t="n">
        <v>5</v>
      </c>
      <c r="AJ740" s="37" t="s">
        <v>323</v>
      </c>
    </row>
    <row r="741" customFormat="false" ht="15" hidden="false" customHeight="false" outlineLevel="0" collapsed="false">
      <c r="A741" s="37" t="n">
        <v>373466821</v>
      </c>
      <c r="B741" s="38" t="n">
        <v>46242.6695023148</v>
      </c>
      <c r="C741" s="37" t="s">
        <v>320</v>
      </c>
      <c r="D741" s="37" t="s">
        <v>1041</v>
      </c>
      <c r="E741" s="37" t="n">
        <v>28897174</v>
      </c>
      <c r="F741" s="37" t="s">
        <v>158</v>
      </c>
      <c r="G741" s="37" t="s">
        <v>201</v>
      </c>
      <c r="H741" s="37" t="s">
        <v>168</v>
      </c>
      <c r="I741" s="37" t="n">
        <v>33</v>
      </c>
      <c r="J741" s="39" t="n">
        <v>450.99</v>
      </c>
      <c r="K741" s="37" t="s">
        <v>498</v>
      </c>
      <c r="L741" s="39" t="n">
        <v>110.2</v>
      </c>
      <c r="M741" s="39" t="n">
        <v>76.5</v>
      </c>
      <c r="N741" s="39" t="n">
        <f aca="false">J741*Resumo!$C$7</f>
        <v>0.90198</v>
      </c>
      <c r="O741" s="39" t="n">
        <f aca="false">J741*Resumo!$C$8</f>
        <v>0.90198</v>
      </c>
      <c r="P741" s="39" t="n">
        <f aca="false">Resumo!$C$10*CEILING(I741/100,1)</f>
        <v>1</v>
      </c>
      <c r="Q741" s="39" t="n">
        <f aca="false">Resumo!$C$9</f>
        <v>11.9</v>
      </c>
      <c r="R741" s="39" t="n">
        <f aca="false">SUM(M741:Q741)*Resumo!$C$11</f>
        <v>5.0162178</v>
      </c>
      <c r="S741" s="39" t="n">
        <f aca="false">SUM(M741:R741)</f>
        <v>96.2201778</v>
      </c>
      <c r="T741" s="39" t="n">
        <f aca="false">S741/(1-Resumo!$C$5)</f>
        <v>109.341111136364</v>
      </c>
      <c r="U741" s="39" t="n">
        <v>114.95</v>
      </c>
      <c r="V741" s="39" t="n">
        <f aca="false">J741*Resumo!$B$6</f>
        <v>0.45099</v>
      </c>
      <c r="W741" s="39" t="n">
        <f aca="false">J741*Resumo!$B$7</f>
        <v>0.90198</v>
      </c>
      <c r="X741" s="39" t="n">
        <f aca="false">Resumo!$B$9</f>
        <v>1</v>
      </c>
      <c r="Y741" s="39" t="n">
        <f aca="false">Resumo!$B$10*CEILING(I741/100,1)</f>
        <v>4.5</v>
      </c>
      <c r="Z741" s="39" t="n">
        <f aca="false">Resumo!$B$12*CEILING(I741,1)</f>
        <v>1.98</v>
      </c>
      <c r="AA741" s="39" t="n">
        <f aca="false">Resumo!$B$13*CEILING(I741,1)</f>
        <v>14.85</v>
      </c>
      <c r="AB741" s="39" t="n">
        <f aca="false">SUM(U741:AA741)</f>
        <v>138.63297</v>
      </c>
      <c r="AC741" s="39" t="n">
        <f aca="false">AB741/(1-Resumo!$B$5)</f>
        <v>157.537465909091</v>
      </c>
      <c r="AD741" s="39" t="n">
        <f aca="false">(AB741-AA741)/(1-Resumo!$B$5)</f>
        <v>140.662465909091</v>
      </c>
      <c r="AE741" s="39" t="n">
        <f aca="false">AC741-T741</f>
        <v>48.1963547727273</v>
      </c>
      <c r="AF741" s="40" t="n">
        <f aca="false">AC741/T741-1</f>
        <v>0.440788961003146</v>
      </c>
      <c r="AG741" s="37" t="str">
        <f aca="false">IF(AC741&lt;T741,"SIM","NÃO")</f>
        <v>NÃO</v>
      </c>
      <c r="AH741" s="37" t="n">
        <v>13</v>
      </c>
      <c r="AI741" s="37" t="n">
        <v>10</v>
      </c>
      <c r="AJ741" s="37" t="s">
        <v>323</v>
      </c>
    </row>
    <row r="742" customFormat="false" ht="15" hidden="false" customHeight="false" outlineLevel="0" collapsed="false">
      <c r="A742" s="37" t="n">
        <v>373473173</v>
      </c>
      <c r="B742" s="38" t="n">
        <v>46242.6801041667</v>
      </c>
      <c r="C742" s="37" t="s">
        <v>320</v>
      </c>
      <c r="D742" s="37" t="s">
        <v>1042</v>
      </c>
      <c r="E742" s="37" t="n">
        <v>21665110</v>
      </c>
      <c r="F742" s="37" t="s">
        <v>139</v>
      </c>
      <c r="G742" s="37" t="s">
        <v>198</v>
      </c>
      <c r="H742" s="37" t="s">
        <v>169</v>
      </c>
      <c r="I742" s="37" t="n">
        <v>37.2</v>
      </c>
      <c r="J742" s="39" t="n">
        <v>360.99</v>
      </c>
      <c r="K742" s="37" t="s">
        <v>322</v>
      </c>
      <c r="L742" s="39" t="n">
        <v>91.58</v>
      </c>
      <c r="M742" s="39" t="n">
        <v>62.05</v>
      </c>
      <c r="N742" s="39" t="n">
        <f aca="false">J742*Resumo!$C$7</f>
        <v>0.72198</v>
      </c>
      <c r="O742" s="39" t="n">
        <f aca="false">J742*Resumo!$C$8</f>
        <v>0.72198</v>
      </c>
      <c r="P742" s="39" t="n">
        <f aca="false">Resumo!$C$10*CEILING(I742/100,1)</f>
        <v>1</v>
      </c>
      <c r="Q742" s="39" t="n">
        <f aca="false">Resumo!$C$9</f>
        <v>11.9</v>
      </c>
      <c r="R742" s="39" t="n">
        <f aca="false">SUM(M742:Q742)*Resumo!$C$11</f>
        <v>4.2016678</v>
      </c>
      <c r="S742" s="39" t="n">
        <f aca="false">SUM(M742:R742)</f>
        <v>80.5956278</v>
      </c>
      <c r="T742" s="39" t="n">
        <f aca="false">S742/(1-Resumo!$C$5)</f>
        <v>91.5859406818182</v>
      </c>
      <c r="U742" s="39" t="n">
        <v>93.97</v>
      </c>
      <c r="V742" s="39" t="n">
        <f aca="false">J742*Resumo!$B$6</f>
        <v>0.36099</v>
      </c>
      <c r="W742" s="39" t="n">
        <f aca="false">J742*Resumo!$B$7</f>
        <v>0.72198</v>
      </c>
      <c r="X742" s="39" t="n">
        <f aca="false">Resumo!$B$9</f>
        <v>1</v>
      </c>
      <c r="Y742" s="39" t="n">
        <f aca="false">Resumo!$B$10*CEILING(I742/100,1)</f>
        <v>4.5</v>
      </c>
      <c r="Z742" s="39" t="n">
        <f aca="false">Resumo!$B$12*CEILING(I742,1)</f>
        <v>2.28</v>
      </c>
      <c r="AA742" s="39" t="n">
        <f aca="false">Resumo!$B$13*CEILING(I742,1)</f>
        <v>17.1</v>
      </c>
      <c r="AB742" s="39" t="n">
        <f aca="false">SUM(U742:AA742)</f>
        <v>119.93297</v>
      </c>
      <c r="AC742" s="39" t="n">
        <f aca="false">AB742/(1-Resumo!$B$5)</f>
        <v>136.287465909091</v>
      </c>
      <c r="AD742" s="39" t="n">
        <f aca="false">(AB742-AA742)/(1-Resumo!$B$5)</f>
        <v>116.855647727273</v>
      </c>
      <c r="AE742" s="39" t="n">
        <f aca="false">AC742-T742</f>
        <v>44.7015252272727</v>
      </c>
      <c r="AF742" s="40" t="n">
        <f aca="false">AC742/T742-1</f>
        <v>0.488082831212837</v>
      </c>
      <c r="AG742" s="37" t="str">
        <f aca="false">IF(AC742&lt;T742,"SIM","NÃO")</f>
        <v>NÃO</v>
      </c>
      <c r="AH742" s="37" t="n">
        <v>8</v>
      </c>
      <c r="AI742" s="37" t="n">
        <v>5</v>
      </c>
      <c r="AJ742" s="37" t="s">
        <v>323</v>
      </c>
    </row>
    <row r="743" customFormat="false" ht="15" hidden="false" customHeight="false" outlineLevel="0" collapsed="false">
      <c r="A743" s="37" t="n">
        <v>373474766</v>
      </c>
      <c r="B743" s="38" t="n">
        <v>46242.6831018519</v>
      </c>
      <c r="C743" s="37" t="s">
        <v>320</v>
      </c>
      <c r="D743" s="37" t="s">
        <v>674</v>
      </c>
      <c r="E743" s="37" t="n">
        <v>28400000</v>
      </c>
      <c r="F743" s="37" t="s">
        <v>254</v>
      </c>
      <c r="G743" s="37" t="s">
        <v>201</v>
      </c>
      <c r="H743" s="37" t="s">
        <v>170</v>
      </c>
      <c r="I743" s="37" t="n">
        <v>48.3</v>
      </c>
      <c r="J743" s="39" t="n">
        <v>439.99</v>
      </c>
      <c r="K743" s="37" t="s">
        <v>498</v>
      </c>
      <c r="L743" s="39" t="n">
        <v>132.03</v>
      </c>
      <c r="M743" s="39" t="n">
        <v>94</v>
      </c>
      <c r="N743" s="39" t="n">
        <f aca="false">J743*Resumo!$C$7</f>
        <v>0.87998</v>
      </c>
      <c r="O743" s="39" t="n">
        <f aca="false">J743*Resumo!$C$8</f>
        <v>0.87998</v>
      </c>
      <c r="P743" s="39" t="n">
        <f aca="false">Resumo!$C$10*CEILING(I743/100,1)</f>
        <v>1</v>
      </c>
      <c r="Q743" s="39" t="n">
        <f aca="false">Resumo!$C$9</f>
        <v>11.9</v>
      </c>
      <c r="R743" s="39" t="n">
        <f aca="false">SUM(M743:Q743)*Resumo!$C$11</f>
        <v>5.9762978</v>
      </c>
      <c r="S743" s="39" t="n">
        <f aca="false">SUM(M743:R743)</f>
        <v>114.6362578</v>
      </c>
      <c r="T743" s="39" t="n">
        <f aca="false">S743/(1-Resumo!$C$5)</f>
        <v>130.268474772727</v>
      </c>
      <c r="U743" s="39" t="n">
        <v>152.54</v>
      </c>
      <c r="V743" s="39" t="n">
        <f aca="false">J743*Resumo!$B$6</f>
        <v>0.43999</v>
      </c>
      <c r="W743" s="39" t="n">
        <f aca="false">J743*Resumo!$B$7</f>
        <v>0.87998</v>
      </c>
      <c r="X743" s="39" t="n">
        <f aca="false">Resumo!$B$9</f>
        <v>1</v>
      </c>
      <c r="Y743" s="39" t="n">
        <f aca="false">Resumo!$B$10*CEILING(I743/100,1)</f>
        <v>4.5</v>
      </c>
      <c r="Z743" s="39" t="n">
        <f aca="false">Resumo!$B$12*CEILING(I743,1)</f>
        <v>2.94</v>
      </c>
      <c r="AA743" s="39" t="n">
        <f aca="false">Resumo!$B$13*CEILING(I743,1)</f>
        <v>22.05</v>
      </c>
      <c r="AB743" s="39" t="n">
        <f aca="false">SUM(U743:AA743)</f>
        <v>184.34997</v>
      </c>
      <c r="AC743" s="39" t="n">
        <f aca="false">AB743/(1-Resumo!$B$5)</f>
        <v>209.488602272727</v>
      </c>
      <c r="AD743" s="39" t="n">
        <f aca="false">(AB743-AA743)/(1-Resumo!$B$5)</f>
        <v>184.431784090909</v>
      </c>
      <c r="AE743" s="39" t="n">
        <f aca="false">AC743-T743</f>
        <v>79.2201275</v>
      </c>
      <c r="AF743" s="40" t="n">
        <f aca="false">AC743/T743-1</f>
        <v>0.608129692454075</v>
      </c>
      <c r="AG743" s="37" t="str">
        <f aca="false">IF(AC743&lt;T743,"SIM","NÃO")</f>
        <v>NÃO</v>
      </c>
      <c r="AH743" s="37" t="n">
        <v>13</v>
      </c>
      <c r="AI743" s="37" t="n">
        <v>11</v>
      </c>
      <c r="AJ743" s="37" t="s">
        <v>327</v>
      </c>
    </row>
    <row r="744" customFormat="false" ht="15" hidden="false" customHeight="false" outlineLevel="0" collapsed="false">
      <c r="A744" s="37" t="n">
        <v>373475423</v>
      </c>
      <c r="B744" s="38" t="n">
        <v>46242.6841319444</v>
      </c>
      <c r="C744" s="37" t="s">
        <v>320</v>
      </c>
      <c r="D744" s="37" t="s">
        <v>1043</v>
      </c>
      <c r="E744" s="37" t="n">
        <v>22713587</v>
      </c>
      <c r="F744" s="37" t="s">
        <v>139</v>
      </c>
      <c r="G744" s="37" t="s">
        <v>198</v>
      </c>
      <c r="H744" s="37" t="s">
        <v>169</v>
      </c>
      <c r="I744" s="37" t="n">
        <v>36.8</v>
      </c>
      <c r="J744" s="39" t="n">
        <v>396.99</v>
      </c>
      <c r="K744" s="37" t="s">
        <v>322</v>
      </c>
      <c r="L744" s="39" t="n">
        <v>91.75</v>
      </c>
      <c r="M744" s="39" t="n">
        <v>62.05</v>
      </c>
      <c r="N744" s="39" t="n">
        <f aca="false">J744*Resumo!$C$7</f>
        <v>0.79398</v>
      </c>
      <c r="O744" s="39" t="n">
        <f aca="false">J744*Resumo!$C$8</f>
        <v>0.79398</v>
      </c>
      <c r="P744" s="39" t="n">
        <f aca="false">Resumo!$C$10*CEILING(I744/100,1)</f>
        <v>1</v>
      </c>
      <c r="Q744" s="39" t="n">
        <f aca="false">Resumo!$C$9</f>
        <v>11.9</v>
      </c>
      <c r="R744" s="39" t="n">
        <f aca="false">SUM(M744:Q744)*Resumo!$C$11</f>
        <v>4.2095878</v>
      </c>
      <c r="S744" s="39" t="n">
        <f aca="false">SUM(M744:R744)</f>
        <v>80.7475478</v>
      </c>
      <c r="T744" s="39" t="n">
        <f aca="false">S744/(1-Resumo!$C$5)</f>
        <v>91.7585770454545</v>
      </c>
      <c r="U744" s="39" t="n">
        <v>93.97</v>
      </c>
      <c r="V744" s="39" t="n">
        <f aca="false">J744*Resumo!$B$6</f>
        <v>0.39699</v>
      </c>
      <c r="W744" s="39" t="n">
        <f aca="false">J744*Resumo!$B$7</f>
        <v>0.79398</v>
      </c>
      <c r="X744" s="39" t="n">
        <f aca="false">Resumo!$B$9</f>
        <v>1</v>
      </c>
      <c r="Y744" s="39" t="n">
        <f aca="false">Resumo!$B$10*CEILING(I744/100,1)</f>
        <v>4.5</v>
      </c>
      <c r="Z744" s="39" t="n">
        <f aca="false">Resumo!$B$12*CEILING(I744,1)</f>
        <v>2.22</v>
      </c>
      <c r="AA744" s="39" t="n">
        <f aca="false">Resumo!$B$13*CEILING(I744,1)</f>
        <v>16.65</v>
      </c>
      <c r="AB744" s="39" t="n">
        <f aca="false">SUM(U744:AA744)</f>
        <v>119.53097</v>
      </c>
      <c r="AC744" s="39" t="n">
        <f aca="false">AB744/(1-Resumo!$B$5)</f>
        <v>135.830647727273</v>
      </c>
      <c r="AD744" s="39" t="n">
        <f aca="false">(AB744-AA744)/(1-Resumo!$B$5)</f>
        <v>116.910193181818</v>
      </c>
      <c r="AE744" s="39" t="n">
        <f aca="false">AC744-T744</f>
        <v>44.0720706818182</v>
      </c>
      <c r="AF744" s="40" t="n">
        <f aca="false">AC744/T744-1</f>
        <v>0.480304644000595</v>
      </c>
      <c r="AG744" s="37" t="str">
        <f aca="false">IF(AC744&lt;T744,"SIM","NÃO")</f>
        <v>NÃO</v>
      </c>
      <c r="AH744" s="37" t="n">
        <v>8</v>
      </c>
      <c r="AI744" s="37" t="n">
        <v>5</v>
      </c>
      <c r="AJ744" s="37" t="s">
        <v>323</v>
      </c>
    </row>
    <row r="745" customFormat="false" ht="15" hidden="false" customHeight="false" outlineLevel="0" collapsed="false">
      <c r="A745" s="37" t="n">
        <v>373483813</v>
      </c>
      <c r="B745" s="38" t="n">
        <v>46242.6987615741</v>
      </c>
      <c r="C745" s="37" t="s">
        <v>320</v>
      </c>
      <c r="D745" s="37" t="s">
        <v>1044</v>
      </c>
      <c r="E745" s="37" t="n">
        <v>21616410</v>
      </c>
      <c r="F745" s="37" t="s">
        <v>139</v>
      </c>
      <c r="G745" s="37" t="s">
        <v>198</v>
      </c>
      <c r="H745" s="37" t="s">
        <v>171</v>
      </c>
      <c r="I745" s="37" t="n">
        <v>52.3</v>
      </c>
      <c r="J745" s="39" t="n">
        <v>616.99</v>
      </c>
      <c r="K745" s="37" t="s">
        <v>322</v>
      </c>
      <c r="L745" s="39" t="n">
        <v>114.09</v>
      </c>
      <c r="M745" s="39" t="n">
        <v>79.81</v>
      </c>
      <c r="N745" s="39" t="n">
        <f aca="false">J745*Resumo!$C$7</f>
        <v>1.23398</v>
      </c>
      <c r="O745" s="39" t="n">
        <f aca="false">J745*Resumo!$C$8</f>
        <v>1.23398</v>
      </c>
      <c r="P745" s="39" t="n">
        <f aca="false">Resumo!$C$10*CEILING(I745/100,1)</f>
        <v>1</v>
      </c>
      <c r="Q745" s="39" t="n">
        <f aca="false">Resumo!$C$9</f>
        <v>11.9</v>
      </c>
      <c r="R745" s="39" t="n">
        <f aca="false">SUM(M745:Q745)*Resumo!$C$11</f>
        <v>5.2347878</v>
      </c>
      <c r="S745" s="39" t="n">
        <f aca="false">SUM(M745:R745)</f>
        <v>100.4127478</v>
      </c>
      <c r="T745" s="39" t="n">
        <f aca="false">S745/(1-Resumo!$C$5)</f>
        <v>114.105395227273</v>
      </c>
      <c r="U745" s="39" t="n">
        <v>112.3</v>
      </c>
      <c r="V745" s="39" t="n">
        <f aca="false">J745*Resumo!$B$6</f>
        <v>0.61699</v>
      </c>
      <c r="W745" s="39" t="n">
        <f aca="false">J745*Resumo!$B$7</f>
        <v>1.23398</v>
      </c>
      <c r="X745" s="39" t="n">
        <f aca="false">Resumo!$B$9</f>
        <v>1</v>
      </c>
      <c r="Y745" s="39" t="n">
        <f aca="false">Resumo!$B$10*CEILING(I745/100,1)</f>
        <v>4.5</v>
      </c>
      <c r="Z745" s="39" t="n">
        <f aca="false">Resumo!$B$12*CEILING(I745,1)</f>
        <v>3.18</v>
      </c>
      <c r="AA745" s="39" t="n">
        <f aca="false">Resumo!$B$13*CEILING(I745,1)</f>
        <v>23.85</v>
      </c>
      <c r="AB745" s="39" t="n">
        <f aca="false">SUM(U745:AA745)</f>
        <v>146.68097</v>
      </c>
      <c r="AC745" s="39" t="n">
        <f aca="false">AB745/(1-Resumo!$B$5)</f>
        <v>166.682920454545</v>
      </c>
      <c r="AD745" s="39" t="n">
        <f aca="false">(AB745-AA745)/(1-Resumo!$B$5)</f>
        <v>139.580647727273</v>
      </c>
      <c r="AE745" s="39" t="n">
        <f aca="false">AC745-T745</f>
        <v>52.5775252272727</v>
      </c>
      <c r="AF745" s="40" t="n">
        <f aca="false">AC745/T745-1</f>
        <v>0.46078036119633</v>
      </c>
      <c r="AG745" s="37" t="str">
        <f aca="false">IF(AC745&lt;T745,"SIM","NÃO")</f>
        <v>NÃO</v>
      </c>
      <c r="AH745" s="37" t="n">
        <v>8</v>
      </c>
      <c r="AI745" s="37" t="n">
        <v>5</v>
      </c>
      <c r="AJ745" s="37" t="s">
        <v>323</v>
      </c>
    </row>
    <row r="746" customFormat="false" ht="15" hidden="false" customHeight="false" outlineLevel="0" collapsed="false">
      <c r="A746" s="37" t="n">
        <v>373484295</v>
      </c>
      <c r="B746" s="38" t="n">
        <v>46242.6994675926</v>
      </c>
      <c r="C746" s="37" t="s">
        <v>325</v>
      </c>
      <c r="D746" s="37" t="s">
        <v>1045</v>
      </c>
      <c r="E746" s="37" t="n">
        <v>22775118</v>
      </c>
      <c r="F746" s="37" t="s">
        <v>139</v>
      </c>
      <c r="G746" s="37" t="s">
        <v>198</v>
      </c>
      <c r="H746" s="37" t="s">
        <v>176</v>
      </c>
      <c r="I746" s="37" t="n">
        <v>138</v>
      </c>
      <c r="J746" s="39" t="n">
        <v>1432.72</v>
      </c>
      <c r="K746" s="37" t="s">
        <v>322</v>
      </c>
      <c r="L746" s="39" t="n">
        <v>233.17</v>
      </c>
      <c r="M746" s="39" t="n">
        <v>174.85</v>
      </c>
      <c r="N746" s="39" t="n">
        <f aca="false">J746*Resumo!$C$7</f>
        <v>2.86544</v>
      </c>
      <c r="O746" s="39" t="n">
        <f aca="false">J746*Resumo!$C$8</f>
        <v>2.86544</v>
      </c>
      <c r="P746" s="39" t="n">
        <f aca="false">Resumo!$C$10*CEILING(I746/100,1)</f>
        <v>2</v>
      </c>
      <c r="Q746" s="39" t="n">
        <f aca="false">Resumo!$C$9</f>
        <v>11.9</v>
      </c>
      <c r="R746" s="39" t="n">
        <f aca="false">SUM(M746:Q746)*Resumo!$C$11</f>
        <v>10.6964484</v>
      </c>
      <c r="S746" s="39" t="n">
        <f aca="false">SUM(M746:R746)</f>
        <v>205.1773284</v>
      </c>
      <c r="T746" s="39" t="n">
        <f aca="false">S746/(1-Resumo!$C$5)</f>
        <v>233.156055</v>
      </c>
      <c r="U746" s="39" t="n">
        <v>239.25</v>
      </c>
      <c r="V746" s="39" t="n">
        <f aca="false">J746*Resumo!$B$6</f>
        <v>1.43272</v>
      </c>
      <c r="W746" s="39" t="n">
        <f aca="false">J746*Resumo!$B$7</f>
        <v>2.86544</v>
      </c>
      <c r="X746" s="39" t="n">
        <f aca="false">Resumo!$B$9</f>
        <v>1</v>
      </c>
      <c r="Y746" s="39" t="n">
        <f aca="false">Resumo!$B$10*CEILING(I746/100,1)</f>
        <v>9</v>
      </c>
      <c r="Z746" s="39" t="n">
        <f aca="false">Resumo!$B$12*CEILING(I746,1)</f>
        <v>8.28</v>
      </c>
      <c r="AA746" s="39" t="n">
        <f aca="false">Resumo!$B$13*CEILING(I746,1)</f>
        <v>62.1</v>
      </c>
      <c r="AB746" s="39" t="n">
        <f aca="false">SUM(U746:AA746)</f>
        <v>323.92816</v>
      </c>
      <c r="AC746" s="39" t="n">
        <f aca="false">AB746/(1-Resumo!$B$5)</f>
        <v>368.100181818182</v>
      </c>
      <c r="AD746" s="39" t="n">
        <f aca="false">(AB746-AA746)/(1-Resumo!$B$5)</f>
        <v>297.532</v>
      </c>
      <c r="AE746" s="39" t="n">
        <f aca="false">AC746-T746</f>
        <v>134.944126818182</v>
      </c>
      <c r="AF746" s="40" t="n">
        <f aca="false">AC746/T746-1</f>
        <v>0.578771702146796</v>
      </c>
      <c r="AG746" s="37" t="str">
        <f aca="false">IF(AC746&lt;T746,"SIM","NÃO")</f>
        <v>NÃO</v>
      </c>
      <c r="AH746" s="37" t="n">
        <v>8</v>
      </c>
      <c r="AI746" s="37" t="n">
        <v>5</v>
      </c>
      <c r="AJ746" s="37" t="s">
        <v>323</v>
      </c>
    </row>
    <row r="747" customFormat="false" ht="15" hidden="false" customHeight="false" outlineLevel="0" collapsed="false">
      <c r="A747" s="37" t="n">
        <v>373484522</v>
      </c>
      <c r="B747" s="38" t="n">
        <v>46242.7001273148</v>
      </c>
      <c r="C747" s="37" t="s">
        <v>320</v>
      </c>
      <c r="D747" s="37" t="s">
        <v>1046</v>
      </c>
      <c r="E747" s="37" t="n">
        <v>25266070</v>
      </c>
      <c r="F747" s="37" t="s">
        <v>141</v>
      </c>
      <c r="G747" s="37" t="s">
        <v>207</v>
      </c>
      <c r="H747" s="37" t="s">
        <v>172</v>
      </c>
      <c r="I747" s="37" t="n">
        <v>69.15</v>
      </c>
      <c r="J747" s="39" t="n">
        <v>829.99</v>
      </c>
      <c r="K747" s="37" t="s">
        <v>322</v>
      </c>
      <c r="L747" s="39" t="n">
        <v>140.41</v>
      </c>
      <c r="M747" s="39" t="n">
        <v>100.9</v>
      </c>
      <c r="N747" s="39" t="n">
        <f aca="false">J747*Resumo!$C$7</f>
        <v>1.65998</v>
      </c>
      <c r="O747" s="39" t="n">
        <f aca="false">J747*Resumo!$C$8</f>
        <v>1.65998</v>
      </c>
      <c r="P747" s="39" t="n">
        <f aca="false">Resumo!$C$10*CEILING(I747/100,1)</f>
        <v>1</v>
      </c>
      <c r="Q747" s="39" t="n">
        <f aca="false">Resumo!$C$9</f>
        <v>11.9</v>
      </c>
      <c r="R747" s="39" t="n">
        <f aca="false">SUM(M747:Q747)*Resumo!$C$11</f>
        <v>6.4415978</v>
      </c>
      <c r="S747" s="39" t="n">
        <f aca="false">SUM(M747:R747)</f>
        <v>123.5615578</v>
      </c>
      <c r="T747" s="39" t="n">
        <f aca="false">S747/(1-Resumo!$C$5)</f>
        <v>140.410861136364</v>
      </c>
      <c r="U747" s="39" t="n">
        <v>131.02</v>
      </c>
      <c r="V747" s="39" t="n">
        <f aca="false">J747*Resumo!$B$6</f>
        <v>0.82999</v>
      </c>
      <c r="W747" s="39" t="n">
        <f aca="false">J747*Resumo!$B$7</f>
        <v>1.65998</v>
      </c>
      <c r="X747" s="39" t="n">
        <f aca="false">Resumo!$B$9</f>
        <v>1</v>
      </c>
      <c r="Y747" s="39" t="n">
        <f aca="false">Resumo!$B$10*CEILING(I747/100,1)</f>
        <v>4.5</v>
      </c>
      <c r="Z747" s="39" t="n">
        <f aca="false">Resumo!$B$12*CEILING(I747,1)</f>
        <v>4.2</v>
      </c>
      <c r="AA747" s="39" t="n">
        <f aca="false">Resumo!$B$13*CEILING(I747,1)</f>
        <v>31.5</v>
      </c>
      <c r="AB747" s="39" t="n">
        <f aca="false">SUM(U747:AA747)</f>
        <v>174.70997</v>
      </c>
      <c r="AC747" s="39" t="n">
        <f aca="false">AB747/(1-Resumo!$B$5)</f>
        <v>198.534056818182</v>
      </c>
      <c r="AD747" s="39" t="n">
        <f aca="false">(AB747-AA747)/(1-Resumo!$B$5)</f>
        <v>162.738602272727</v>
      </c>
      <c r="AE747" s="39" t="n">
        <f aca="false">AC747-T747</f>
        <v>58.1231956818182</v>
      </c>
      <c r="AF747" s="40" t="n">
        <f aca="false">AC747/T747-1</f>
        <v>0.413950852600856</v>
      </c>
      <c r="AG747" s="37" t="str">
        <f aca="false">IF(AC747&lt;T747,"SIM","NÃO")</f>
        <v>NÃO</v>
      </c>
      <c r="AH747" s="37" t="n">
        <v>10</v>
      </c>
      <c r="AI747" s="37" t="n">
        <v>5</v>
      </c>
      <c r="AJ747" s="37" t="s">
        <v>323</v>
      </c>
    </row>
    <row r="748" customFormat="false" ht="15" hidden="false" customHeight="false" outlineLevel="0" collapsed="false">
      <c r="A748" s="37" t="n">
        <v>373485051</v>
      </c>
      <c r="B748" s="38" t="n">
        <v>46242.7012037037</v>
      </c>
      <c r="C748" s="37" t="s">
        <v>325</v>
      </c>
      <c r="D748" s="37" t="s">
        <v>632</v>
      </c>
      <c r="E748" s="37" t="n">
        <v>23860000</v>
      </c>
      <c r="F748" s="37" t="s">
        <v>203</v>
      </c>
      <c r="G748" s="37" t="s">
        <v>201</v>
      </c>
      <c r="H748" s="37" t="s">
        <v>172</v>
      </c>
      <c r="I748" s="37" t="n">
        <v>69.15</v>
      </c>
      <c r="J748" s="39" t="n">
        <v>707</v>
      </c>
      <c r="K748" s="37" t="s">
        <v>498</v>
      </c>
      <c r="L748" s="39" t="n">
        <v>158.25</v>
      </c>
      <c r="M748" s="39" t="n">
        <v>113.9</v>
      </c>
      <c r="N748" s="39" t="n">
        <f aca="false">J748*Resumo!$C$7</f>
        <v>1.414</v>
      </c>
      <c r="O748" s="39" t="n">
        <f aca="false">J748*Resumo!$C$8</f>
        <v>1.414</v>
      </c>
      <c r="P748" s="39" t="n">
        <f aca="false">Resumo!$C$10*CEILING(I748/100,1)</f>
        <v>1</v>
      </c>
      <c r="Q748" s="39" t="n">
        <f aca="false">Resumo!$C$9</f>
        <v>11.9</v>
      </c>
      <c r="R748" s="39" t="n">
        <f aca="false">SUM(M748:Q748)*Resumo!$C$11</f>
        <v>7.12954</v>
      </c>
      <c r="S748" s="39" t="n">
        <f aca="false">SUM(M748:R748)</f>
        <v>136.75754</v>
      </c>
      <c r="T748" s="39" t="n">
        <f aca="false">S748/(1-Resumo!$C$5)</f>
        <v>155.406295454545</v>
      </c>
      <c r="U748" s="39" t="n">
        <v>166.05</v>
      </c>
      <c r="V748" s="39" t="n">
        <f aca="false">J748*Resumo!$B$6</f>
        <v>0.707</v>
      </c>
      <c r="W748" s="39" t="n">
        <f aca="false">J748*Resumo!$B$7</f>
        <v>1.414</v>
      </c>
      <c r="X748" s="39" t="n">
        <f aca="false">Resumo!$B$9</f>
        <v>1</v>
      </c>
      <c r="Y748" s="39" t="n">
        <f aca="false">Resumo!$B$10*CEILING(I748/100,1)</f>
        <v>4.5</v>
      </c>
      <c r="Z748" s="39" t="n">
        <f aca="false">Resumo!$B$12*CEILING(I748,1)</f>
        <v>4.2</v>
      </c>
      <c r="AA748" s="39" t="n">
        <f aca="false">Resumo!$B$13*CEILING(I748,1)</f>
        <v>31.5</v>
      </c>
      <c r="AB748" s="39" t="n">
        <f aca="false">SUM(U748:AA748)</f>
        <v>209.371</v>
      </c>
      <c r="AC748" s="39" t="n">
        <f aca="false">AB748/(1-Resumo!$B$5)</f>
        <v>237.921590909091</v>
      </c>
      <c r="AD748" s="39" t="n">
        <f aca="false">(AB748-AA748)/(1-Resumo!$B$5)</f>
        <v>202.126136363636</v>
      </c>
      <c r="AE748" s="39" t="n">
        <f aca="false">AC748-T748</f>
        <v>82.5152954545455</v>
      </c>
      <c r="AF748" s="40" t="n">
        <f aca="false">AC748/T748-1</f>
        <v>0.530964947161231</v>
      </c>
      <c r="AG748" s="37" t="str">
        <f aca="false">IF(AC748&lt;T748,"SIM","NÃO")</f>
        <v>NÃO</v>
      </c>
      <c r="AH748" s="37" t="n">
        <v>13</v>
      </c>
      <c r="AI748" s="37" t="n">
        <v>10</v>
      </c>
      <c r="AJ748" s="37" t="s">
        <v>327</v>
      </c>
    </row>
    <row r="749" customFormat="false" ht="15" hidden="false" customHeight="false" outlineLevel="0" collapsed="false">
      <c r="A749" s="37" t="n">
        <v>373488397</v>
      </c>
      <c r="B749" s="38" t="n">
        <v>46242.7071527778</v>
      </c>
      <c r="C749" s="37" t="s">
        <v>320</v>
      </c>
      <c r="D749" s="37" t="s">
        <v>1047</v>
      </c>
      <c r="E749" s="37" t="n">
        <v>25570290</v>
      </c>
      <c r="F749" s="37" t="s">
        <v>147</v>
      </c>
      <c r="G749" s="37" t="s">
        <v>207</v>
      </c>
      <c r="H749" s="37" t="s">
        <v>172</v>
      </c>
      <c r="I749" s="37" t="n">
        <v>61.5</v>
      </c>
      <c r="J749" s="39" t="n">
        <v>708.4</v>
      </c>
      <c r="K749" s="37" t="s">
        <v>498</v>
      </c>
      <c r="L749" s="39" t="n">
        <v>138.67</v>
      </c>
      <c r="M749" s="39" t="n">
        <v>100.9</v>
      </c>
      <c r="N749" s="39" t="n">
        <f aca="false">J749*Resumo!$C$7</f>
        <v>1.4168</v>
      </c>
      <c r="O749" s="39" t="n">
        <f aca="false">J749*Resumo!$C$8</f>
        <v>1.4168</v>
      </c>
      <c r="P749" s="39" t="n">
        <f aca="false">Resumo!$C$10*CEILING(I749/100,1)</f>
        <v>1</v>
      </c>
      <c r="Q749" s="39" t="n">
        <f aca="false">Resumo!$C$9</f>
        <v>11.9</v>
      </c>
      <c r="R749" s="39" t="n">
        <f aca="false">SUM(M749:Q749)*Resumo!$C$11</f>
        <v>6.414848</v>
      </c>
      <c r="S749" s="39" t="n">
        <f aca="false">SUM(M749:R749)</f>
        <v>123.048448</v>
      </c>
      <c r="T749" s="39" t="n">
        <f aca="false">S749/(1-Resumo!$C$5)</f>
        <v>139.827781818182</v>
      </c>
      <c r="U749" s="39" t="n">
        <v>131.02</v>
      </c>
      <c r="V749" s="39" t="n">
        <f aca="false">J749*Resumo!$B$6</f>
        <v>0.7084</v>
      </c>
      <c r="W749" s="39" t="n">
        <f aca="false">J749*Resumo!$B$7</f>
        <v>1.4168</v>
      </c>
      <c r="X749" s="39" t="n">
        <f aca="false">Resumo!$B$9</f>
        <v>1</v>
      </c>
      <c r="Y749" s="39" t="n">
        <f aca="false">Resumo!$B$10*CEILING(I749/100,1)</f>
        <v>4.5</v>
      </c>
      <c r="Z749" s="39" t="n">
        <f aca="false">Resumo!$B$12*CEILING(I749,1)</f>
        <v>3.72</v>
      </c>
      <c r="AA749" s="39" t="n">
        <f aca="false">Resumo!$B$13*CEILING(I749,1)</f>
        <v>27.9</v>
      </c>
      <c r="AB749" s="39" t="n">
        <f aca="false">SUM(U749:AA749)</f>
        <v>170.2652</v>
      </c>
      <c r="AC749" s="39" t="n">
        <f aca="false">AB749/(1-Resumo!$B$5)</f>
        <v>193.483181818182</v>
      </c>
      <c r="AD749" s="39" t="n">
        <f aca="false">(AB749-AA749)/(1-Resumo!$B$5)</f>
        <v>161.778636363636</v>
      </c>
      <c r="AE749" s="39" t="n">
        <f aca="false">AC749-T749</f>
        <v>53.6554</v>
      </c>
      <c r="AF749" s="40" t="n">
        <f aca="false">AC749/T749-1</f>
        <v>0.383724888590224</v>
      </c>
      <c r="AG749" s="37" t="str">
        <f aca="false">IF(AC749&lt;T749,"SIM","NÃO")</f>
        <v>NÃO</v>
      </c>
      <c r="AH749" s="37" t="n">
        <v>10</v>
      </c>
      <c r="AI749" s="37" t="n">
        <v>5</v>
      </c>
      <c r="AJ749" s="37" t="s">
        <v>323</v>
      </c>
    </row>
    <row r="750" customFormat="false" ht="15" hidden="false" customHeight="false" outlineLevel="0" collapsed="false">
      <c r="A750" s="37" t="n">
        <v>373495295</v>
      </c>
      <c r="B750" s="38" t="n">
        <v>46242.7202083333</v>
      </c>
      <c r="C750" s="37" t="s">
        <v>320</v>
      </c>
      <c r="D750" s="37" t="s">
        <v>1048</v>
      </c>
      <c r="E750" s="37" t="n">
        <v>22775060</v>
      </c>
      <c r="F750" s="37" t="s">
        <v>139</v>
      </c>
      <c r="G750" s="37" t="s">
        <v>198</v>
      </c>
      <c r="H750" s="37" t="s">
        <v>168</v>
      </c>
      <c r="I750" s="37" t="n">
        <v>27</v>
      </c>
      <c r="J750" s="39" t="n">
        <v>297.99</v>
      </c>
      <c r="K750" s="37" t="s">
        <v>322</v>
      </c>
      <c r="L750" s="39" t="n">
        <v>81.76</v>
      </c>
      <c r="M750" s="39" t="n">
        <v>54.1</v>
      </c>
      <c r="N750" s="39" t="n">
        <f aca="false">J750*Resumo!$C$7</f>
        <v>0.59598</v>
      </c>
      <c r="O750" s="39" t="n">
        <f aca="false">J750*Resumo!$C$8</f>
        <v>0.59598</v>
      </c>
      <c r="P750" s="39" t="n">
        <f aca="false">Resumo!$C$10*CEILING(I750/100,1)</f>
        <v>1</v>
      </c>
      <c r="Q750" s="39" t="n">
        <f aca="false">Resumo!$C$9</f>
        <v>11.9</v>
      </c>
      <c r="R750" s="39" t="n">
        <f aca="false">SUM(M750:Q750)*Resumo!$C$11</f>
        <v>3.7505578</v>
      </c>
      <c r="S750" s="39" t="n">
        <f aca="false">SUM(M750:R750)</f>
        <v>71.9425178</v>
      </c>
      <c r="T750" s="39" t="n">
        <f aca="false">S750/(1-Resumo!$C$5)</f>
        <v>81.7528611363636</v>
      </c>
      <c r="U750" s="39" t="n">
        <v>82.21</v>
      </c>
      <c r="V750" s="39" t="n">
        <f aca="false">J750*Resumo!$B$6</f>
        <v>0.29799</v>
      </c>
      <c r="W750" s="39" t="n">
        <f aca="false">J750*Resumo!$B$7</f>
        <v>0.59598</v>
      </c>
      <c r="X750" s="39" t="n">
        <f aca="false">Resumo!$B$9</f>
        <v>1</v>
      </c>
      <c r="Y750" s="39" t="n">
        <f aca="false">Resumo!$B$10*CEILING(I750/100,1)</f>
        <v>4.5</v>
      </c>
      <c r="Z750" s="39" t="n">
        <f aca="false">Resumo!$B$12*CEILING(I750,1)</f>
        <v>1.62</v>
      </c>
      <c r="AA750" s="39" t="n">
        <f aca="false">Resumo!$B$13*CEILING(I750,1)</f>
        <v>12.15</v>
      </c>
      <c r="AB750" s="39" t="n">
        <f aca="false">SUM(U750:AA750)</f>
        <v>102.37397</v>
      </c>
      <c r="AC750" s="39" t="n">
        <f aca="false">AB750/(1-Resumo!$B$5)</f>
        <v>116.334056818182</v>
      </c>
      <c r="AD750" s="39" t="n">
        <f aca="false">(AB750-AA750)/(1-Resumo!$B$5)</f>
        <v>102.527238636364</v>
      </c>
      <c r="AE750" s="39" t="n">
        <f aca="false">AC750-T750</f>
        <v>34.5811956818182</v>
      </c>
      <c r="AF750" s="40" t="n">
        <f aca="false">AC750/T750-1</f>
        <v>0.422996763674568</v>
      </c>
      <c r="AG750" s="37" t="str">
        <f aca="false">IF(AC750&lt;T750,"SIM","NÃO")</f>
        <v>NÃO</v>
      </c>
      <c r="AH750" s="37" t="n">
        <v>8</v>
      </c>
      <c r="AI750" s="37" t="n">
        <v>5</v>
      </c>
      <c r="AJ750" s="37" t="s">
        <v>323</v>
      </c>
    </row>
    <row r="751" customFormat="false" ht="15" hidden="false" customHeight="false" outlineLevel="0" collapsed="false">
      <c r="A751" s="37" t="n">
        <v>373496636</v>
      </c>
      <c r="B751" s="38" t="n">
        <v>46242.7226041667</v>
      </c>
      <c r="C751" s="37" t="s">
        <v>320</v>
      </c>
      <c r="D751" s="37" t="s">
        <v>1049</v>
      </c>
      <c r="E751" s="37" t="n">
        <v>23918510</v>
      </c>
      <c r="F751" s="37" t="s">
        <v>149</v>
      </c>
      <c r="G751" s="37" t="s">
        <v>201</v>
      </c>
      <c r="H751" s="37" t="s">
        <v>172</v>
      </c>
      <c r="I751" s="37" t="n">
        <v>66.8</v>
      </c>
      <c r="J751" s="39" t="n">
        <v>644.99</v>
      </c>
      <c r="K751" s="37" t="s">
        <v>498</v>
      </c>
      <c r="L751" s="39" t="n">
        <v>156.42</v>
      </c>
      <c r="M751" s="39" t="n">
        <v>113.9</v>
      </c>
      <c r="N751" s="39" t="n">
        <f aca="false">J751*Resumo!$C$7</f>
        <v>1.28998</v>
      </c>
      <c r="O751" s="39" t="n">
        <f aca="false">J751*Resumo!$C$8</f>
        <v>1.28998</v>
      </c>
      <c r="P751" s="39" t="n">
        <f aca="false">Resumo!$C$10*CEILING(I751/100,1)</f>
        <v>1</v>
      </c>
      <c r="Q751" s="39" t="n">
        <f aca="false">Resumo!$C$9</f>
        <v>11.9</v>
      </c>
      <c r="R751" s="39" t="n">
        <f aca="false">SUM(M751:Q751)*Resumo!$C$11</f>
        <v>7.1158978</v>
      </c>
      <c r="S751" s="39" t="n">
        <f aca="false">SUM(M751:R751)</f>
        <v>136.4958578</v>
      </c>
      <c r="T751" s="39" t="n">
        <f aca="false">S751/(1-Resumo!$C$5)</f>
        <v>155.108929318182</v>
      </c>
      <c r="U751" s="39" t="n">
        <v>166.05</v>
      </c>
      <c r="V751" s="39" t="n">
        <f aca="false">J751*Resumo!$B$6</f>
        <v>0.64499</v>
      </c>
      <c r="W751" s="39" t="n">
        <f aca="false">J751*Resumo!$B$7</f>
        <v>1.28998</v>
      </c>
      <c r="X751" s="39" t="n">
        <f aca="false">Resumo!$B$9</f>
        <v>1</v>
      </c>
      <c r="Y751" s="39" t="n">
        <f aca="false">Resumo!$B$10*CEILING(I751/100,1)</f>
        <v>4.5</v>
      </c>
      <c r="Z751" s="39" t="n">
        <f aca="false">Resumo!$B$12*CEILING(I751,1)</f>
        <v>4.02</v>
      </c>
      <c r="AA751" s="39" t="n">
        <f aca="false">Resumo!$B$13*CEILING(I751,1)</f>
        <v>30.15</v>
      </c>
      <c r="AB751" s="39" t="n">
        <f aca="false">SUM(U751:AA751)</f>
        <v>207.65497</v>
      </c>
      <c r="AC751" s="39" t="n">
        <f aca="false">AB751/(1-Resumo!$B$5)</f>
        <v>235.971556818182</v>
      </c>
      <c r="AD751" s="39" t="n">
        <f aca="false">(AB751-AA751)/(1-Resumo!$B$5)</f>
        <v>201.710193181818</v>
      </c>
      <c r="AE751" s="39" t="n">
        <f aca="false">AC751-T751</f>
        <v>80.8626275</v>
      </c>
      <c r="AF751" s="40" t="n">
        <f aca="false">AC751/T751-1</f>
        <v>0.521327997398028</v>
      </c>
      <c r="AG751" s="37" t="str">
        <f aca="false">IF(AC751&lt;T751,"SIM","NÃO")</f>
        <v>NÃO</v>
      </c>
      <c r="AH751" s="37" t="n">
        <v>13</v>
      </c>
      <c r="AI751" s="37" t="n">
        <v>10</v>
      </c>
      <c r="AJ751" s="37" t="s">
        <v>323</v>
      </c>
    </row>
    <row r="752" customFormat="false" ht="15" hidden="false" customHeight="false" outlineLevel="0" collapsed="false">
      <c r="A752" s="37" t="n">
        <v>373497060</v>
      </c>
      <c r="B752" s="38" t="n">
        <v>46242.7235532407</v>
      </c>
      <c r="C752" s="37" t="s">
        <v>320</v>
      </c>
      <c r="D752" s="37" t="s">
        <v>1050</v>
      </c>
      <c r="E752" s="37" t="n">
        <v>28022720</v>
      </c>
      <c r="F752" s="37" t="s">
        <v>144</v>
      </c>
      <c r="G752" s="37" t="s">
        <v>201</v>
      </c>
      <c r="H752" s="37" t="s">
        <v>170</v>
      </c>
      <c r="I752" s="37" t="n">
        <v>41.4</v>
      </c>
      <c r="J752" s="39" t="n">
        <v>449.99</v>
      </c>
      <c r="K752" s="37" t="s">
        <v>498</v>
      </c>
      <c r="L752" s="39" t="n">
        <v>128.5</v>
      </c>
      <c r="M752" s="39" t="n">
        <v>94</v>
      </c>
      <c r="N752" s="39" t="n">
        <f aca="false">J752*Resumo!$C$7</f>
        <v>0.89998</v>
      </c>
      <c r="O752" s="39" t="n">
        <f aca="false">J752*Resumo!$C$8</f>
        <v>0.89998</v>
      </c>
      <c r="P752" s="39" t="n">
        <f aca="false">Resumo!$C$10*CEILING(I752/100,1)</f>
        <v>1</v>
      </c>
      <c r="Q752" s="39" t="n">
        <f aca="false">Resumo!$C$9</f>
        <v>11.9</v>
      </c>
      <c r="R752" s="39" t="n">
        <f aca="false">SUM(M752:Q752)*Resumo!$C$11</f>
        <v>5.9784978</v>
      </c>
      <c r="S752" s="39" t="n">
        <f aca="false">SUM(M752:R752)</f>
        <v>114.6784578</v>
      </c>
      <c r="T752" s="39" t="n">
        <f aca="false">S752/(1-Resumo!$C$5)</f>
        <v>130.316429318182</v>
      </c>
      <c r="U752" s="39" t="n">
        <v>152.54</v>
      </c>
      <c r="V752" s="39" t="n">
        <f aca="false">J752*Resumo!$B$6</f>
        <v>0.44999</v>
      </c>
      <c r="W752" s="39" t="n">
        <f aca="false">J752*Resumo!$B$7</f>
        <v>0.89998</v>
      </c>
      <c r="X752" s="39" t="n">
        <f aca="false">Resumo!$B$9</f>
        <v>1</v>
      </c>
      <c r="Y752" s="39" t="n">
        <f aca="false">Resumo!$B$10*CEILING(I752/100,1)</f>
        <v>4.5</v>
      </c>
      <c r="Z752" s="39" t="n">
        <f aca="false">Resumo!$B$12*CEILING(I752,1)</f>
        <v>2.52</v>
      </c>
      <c r="AA752" s="39" t="n">
        <f aca="false">Resumo!$B$13*CEILING(I752,1)</f>
        <v>18.9</v>
      </c>
      <c r="AB752" s="39" t="n">
        <f aca="false">SUM(U752:AA752)</f>
        <v>180.80997</v>
      </c>
      <c r="AC752" s="39" t="n">
        <f aca="false">AB752/(1-Resumo!$B$5)</f>
        <v>205.465875</v>
      </c>
      <c r="AD752" s="39" t="n">
        <f aca="false">(AB752-AA752)/(1-Resumo!$B$5)</f>
        <v>183.988602272727</v>
      </c>
      <c r="AE752" s="39" t="n">
        <f aca="false">AC752-T752</f>
        <v>75.1494456818182</v>
      </c>
      <c r="AF752" s="40" t="n">
        <f aca="false">AC752/T752-1</f>
        <v>0.576669005397106</v>
      </c>
      <c r="AG752" s="37" t="str">
        <f aca="false">IF(AC752&lt;T752,"SIM","NÃO")</f>
        <v>NÃO</v>
      </c>
      <c r="AH752" s="37" t="n">
        <v>13</v>
      </c>
      <c r="AI752" s="37" t="n">
        <v>11</v>
      </c>
      <c r="AJ752" s="37" t="s">
        <v>323</v>
      </c>
    </row>
    <row r="753" customFormat="false" ht="15" hidden="false" customHeight="false" outlineLevel="0" collapsed="false">
      <c r="A753" s="37" t="n">
        <v>373508916</v>
      </c>
      <c r="B753" s="38" t="n">
        <v>46242.7455671296</v>
      </c>
      <c r="C753" s="37" t="s">
        <v>320</v>
      </c>
      <c r="D753" s="37" t="s">
        <v>527</v>
      </c>
      <c r="E753" s="37" t="n">
        <v>28380000</v>
      </c>
      <c r="F753" s="37" t="s">
        <v>252</v>
      </c>
      <c r="G753" s="37" t="s">
        <v>201</v>
      </c>
      <c r="H753" s="37" t="s">
        <v>171</v>
      </c>
      <c r="I753" s="37" t="n">
        <v>52.3</v>
      </c>
      <c r="J753" s="39" t="n">
        <v>616.99</v>
      </c>
      <c r="K753" s="37" t="s">
        <v>498</v>
      </c>
      <c r="L753" s="39" t="n">
        <v>141.63</v>
      </c>
      <c r="M753" s="39" t="n">
        <v>103.6</v>
      </c>
      <c r="N753" s="39" t="n">
        <f aca="false">J753*Resumo!$C$7</f>
        <v>1.23398</v>
      </c>
      <c r="O753" s="39" t="n">
        <f aca="false">J753*Resumo!$C$8</f>
        <v>1.23398</v>
      </c>
      <c r="P753" s="39" t="n">
        <f aca="false">Resumo!$C$10*CEILING(I753/100,1)</f>
        <v>1</v>
      </c>
      <c r="Q753" s="39" t="n">
        <f aca="false">Resumo!$C$9</f>
        <v>11.9</v>
      </c>
      <c r="R753" s="39" t="n">
        <f aca="false">SUM(M753:Q753)*Resumo!$C$11</f>
        <v>6.5432378</v>
      </c>
      <c r="S753" s="39" t="n">
        <f aca="false">SUM(M753:R753)</f>
        <v>125.5111978</v>
      </c>
      <c r="T753" s="39" t="n">
        <f aca="false">S753/(1-Resumo!$C$5)</f>
        <v>142.626361136364</v>
      </c>
      <c r="U753" s="39" t="n">
        <v>162.04</v>
      </c>
      <c r="V753" s="39" t="n">
        <f aca="false">J753*Resumo!$B$6</f>
        <v>0.61699</v>
      </c>
      <c r="W753" s="39" t="n">
        <f aca="false">J753*Resumo!$B$7</f>
        <v>1.23398</v>
      </c>
      <c r="X753" s="39" t="n">
        <f aca="false">Resumo!$B$9</f>
        <v>1</v>
      </c>
      <c r="Y753" s="39" t="n">
        <f aca="false">Resumo!$B$10*CEILING(I753/100,1)</f>
        <v>4.5</v>
      </c>
      <c r="Z753" s="39" t="n">
        <f aca="false">Resumo!$B$12*CEILING(I753,1)</f>
        <v>3.18</v>
      </c>
      <c r="AA753" s="39" t="n">
        <f aca="false">Resumo!$B$13*CEILING(I753,1)</f>
        <v>23.85</v>
      </c>
      <c r="AB753" s="39" t="n">
        <f aca="false">SUM(U753:AA753)</f>
        <v>196.42097</v>
      </c>
      <c r="AC753" s="39" t="n">
        <f aca="false">AB753/(1-Resumo!$B$5)</f>
        <v>223.205647727273</v>
      </c>
      <c r="AD753" s="39" t="n">
        <f aca="false">(AB753-AA753)/(1-Resumo!$B$5)</f>
        <v>196.103375</v>
      </c>
      <c r="AE753" s="39" t="n">
        <f aca="false">AC753-T753</f>
        <v>80.5792865909091</v>
      </c>
      <c r="AF753" s="40" t="n">
        <f aca="false">AC753/T753-1</f>
        <v>0.56496769565528</v>
      </c>
      <c r="AG753" s="37" t="str">
        <f aca="false">IF(AC753&lt;T753,"SIM","NÃO")</f>
        <v>NÃO</v>
      </c>
      <c r="AH753" s="37" t="n">
        <v>13</v>
      </c>
      <c r="AI753" s="37" t="n">
        <v>11</v>
      </c>
      <c r="AJ753" s="37" t="s">
        <v>327</v>
      </c>
    </row>
    <row r="754" customFormat="false" ht="15" hidden="false" customHeight="false" outlineLevel="0" collapsed="false">
      <c r="A754" s="37" t="n">
        <v>373509799</v>
      </c>
      <c r="B754" s="38" t="n">
        <v>46242.7471759259</v>
      </c>
      <c r="C754" s="37" t="s">
        <v>325</v>
      </c>
      <c r="D754" s="37" t="s">
        <v>1051</v>
      </c>
      <c r="E754" s="37" t="n">
        <v>26525131</v>
      </c>
      <c r="F754" s="37" t="s">
        <v>224</v>
      </c>
      <c r="G754" s="37" t="s">
        <v>207</v>
      </c>
      <c r="H754" s="37" t="s">
        <v>176</v>
      </c>
      <c r="I754" s="37" t="n">
        <v>124.2</v>
      </c>
      <c r="J754" s="39" t="n">
        <v>1558.09</v>
      </c>
      <c r="K754" s="37" t="s">
        <v>498</v>
      </c>
      <c r="L754" s="39" t="n">
        <v>236.43</v>
      </c>
      <c r="M754" s="39" t="n">
        <v>183.45</v>
      </c>
      <c r="N754" s="39" t="n">
        <f aca="false">J754*Resumo!$C$7</f>
        <v>3.11618</v>
      </c>
      <c r="O754" s="39" t="n">
        <f aca="false">J754*Resumo!$C$8</f>
        <v>3.11618</v>
      </c>
      <c r="P754" s="39" t="n">
        <f aca="false">Resumo!$C$10*CEILING(I754/100,1)</f>
        <v>2</v>
      </c>
      <c r="Q754" s="39" t="n">
        <f aca="false">Resumo!$C$9</f>
        <v>11.9</v>
      </c>
      <c r="R754" s="39" t="n">
        <f aca="false">SUM(M754:Q754)*Resumo!$C$11</f>
        <v>11.1970298</v>
      </c>
      <c r="S754" s="39" t="n">
        <f aca="false">SUM(M754:R754)</f>
        <v>214.7793898</v>
      </c>
      <c r="T754" s="39" t="n">
        <f aca="false">S754/(1-Resumo!$C$5)</f>
        <v>244.067488409091</v>
      </c>
      <c r="U754" s="39" t="n">
        <v>239.25</v>
      </c>
      <c r="V754" s="39" t="n">
        <f aca="false">J754*Resumo!$B$6</f>
        <v>1.55809</v>
      </c>
      <c r="W754" s="39" t="n">
        <f aca="false">J754*Resumo!$B$7</f>
        <v>3.11618</v>
      </c>
      <c r="X754" s="39" t="n">
        <f aca="false">Resumo!$B$9</f>
        <v>1</v>
      </c>
      <c r="Y754" s="39" t="n">
        <f aca="false">Resumo!$B$10*CEILING(I754/100,1)</f>
        <v>9</v>
      </c>
      <c r="Z754" s="39" t="n">
        <f aca="false">Resumo!$B$12*CEILING(I754,1)</f>
        <v>7.5</v>
      </c>
      <c r="AA754" s="39" t="n">
        <f aca="false">Resumo!$B$13*CEILING(I754,1)</f>
        <v>56.25</v>
      </c>
      <c r="AB754" s="39" t="n">
        <f aca="false">SUM(U754:AA754)</f>
        <v>317.67427</v>
      </c>
      <c r="AC754" s="39" t="n">
        <f aca="false">AB754/(1-Resumo!$B$5)</f>
        <v>360.993488636364</v>
      </c>
      <c r="AD754" s="39" t="n">
        <f aca="false">(AB754-AA754)/(1-Resumo!$B$5)</f>
        <v>297.073034090909</v>
      </c>
      <c r="AE754" s="39" t="n">
        <f aca="false">AC754-T754</f>
        <v>116.926000227273</v>
      </c>
      <c r="AF754" s="40" t="n">
        <f aca="false">AC754/T754-1</f>
        <v>0.479072411444201</v>
      </c>
      <c r="AG754" s="37" t="str">
        <f aca="false">IF(AC754&lt;T754,"SIM","NÃO")</f>
        <v>NÃO</v>
      </c>
      <c r="AH754" s="37" t="n">
        <v>10</v>
      </c>
      <c r="AI754" s="37" t="n">
        <v>5</v>
      </c>
      <c r="AJ754" s="37" t="s">
        <v>327</v>
      </c>
    </row>
    <row r="755" customFormat="false" ht="15" hidden="false" customHeight="false" outlineLevel="0" collapsed="false">
      <c r="A755" s="37" t="n">
        <v>373519331</v>
      </c>
      <c r="B755" s="38" t="n">
        <v>46242.7655439815</v>
      </c>
      <c r="C755" s="37" t="s">
        <v>320</v>
      </c>
      <c r="D755" s="37" t="s">
        <v>1052</v>
      </c>
      <c r="E755" s="37" t="n">
        <v>28948243</v>
      </c>
      <c r="F755" s="37" t="s">
        <v>278</v>
      </c>
      <c r="G755" s="37" t="s">
        <v>201</v>
      </c>
      <c r="H755" s="37" t="s">
        <v>171</v>
      </c>
      <c r="I755" s="37" t="n">
        <v>56.7</v>
      </c>
      <c r="J755" s="39" t="n">
        <v>690.99</v>
      </c>
      <c r="K755" s="37" t="s">
        <v>498</v>
      </c>
      <c r="L755" s="39" t="n">
        <v>144.01</v>
      </c>
      <c r="M755" s="39" t="n">
        <v>103.6</v>
      </c>
      <c r="N755" s="39" t="n">
        <f aca="false">J755*Resumo!$C$7</f>
        <v>1.38198</v>
      </c>
      <c r="O755" s="39" t="n">
        <f aca="false">J755*Resumo!$C$8</f>
        <v>1.38198</v>
      </c>
      <c r="P755" s="39" t="n">
        <f aca="false">Resumo!$C$10*CEILING(I755/100,1)</f>
        <v>1</v>
      </c>
      <c r="Q755" s="39" t="n">
        <f aca="false">Resumo!$C$9</f>
        <v>11.9</v>
      </c>
      <c r="R755" s="39" t="n">
        <f aca="false">SUM(M755:Q755)*Resumo!$C$11</f>
        <v>6.5595178</v>
      </c>
      <c r="S755" s="39" t="n">
        <f aca="false">SUM(M755:R755)</f>
        <v>125.8234778</v>
      </c>
      <c r="T755" s="39" t="n">
        <f aca="false">S755/(1-Resumo!$C$5)</f>
        <v>142.981224772727</v>
      </c>
      <c r="U755" s="39" t="n">
        <v>142.32</v>
      </c>
      <c r="V755" s="39" t="n">
        <f aca="false">J755*Resumo!$B$6</f>
        <v>0.69099</v>
      </c>
      <c r="W755" s="39" t="n">
        <f aca="false">J755*Resumo!$B$7</f>
        <v>1.38198</v>
      </c>
      <c r="X755" s="39" t="n">
        <f aca="false">Resumo!$B$9</f>
        <v>1</v>
      </c>
      <c r="Y755" s="39" t="n">
        <f aca="false">Resumo!$B$10*CEILING(I755/100,1)</f>
        <v>4.5</v>
      </c>
      <c r="Z755" s="39" t="n">
        <f aca="false">Resumo!$B$12*CEILING(I755,1)</f>
        <v>3.42</v>
      </c>
      <c r="AA755" s="39" t="n">
        <f aca="false">Resumo!$B$13*CEILING(I755,1)</f>
        <v>25.65</v>
      </c>
      <c r="AB755" s="39" t="n">
        <f aca="false">SUM(U755:AA755)</f>
        <v>178.96297</v>
      </c>
      <c r="AC755" s="39" t="n">
        <f aca="false">AB755/(1-Resumo!$B$5)</f>
        <v>203.367011363636</v>
      </c>
      <c r="AD755" s="39" t="n">
        <f aca="false">(AB755-AA755)/(1-Resumo!$B$5)</f>
        <v>174.219284090909</v>
      </c>
      <c r="AE755" s="39" t="n">
        <f aca="false">AC755-T755</f>
        <v>60.3857865909091</v>
      </c>
      <c r="AF755" s="40" t="n">
        <f aca="false">AC755/T755-1</f>
        <v>0.4223336783336</v>
      </c>
      <c r="AG755" s="37" t="str">
        <f aca="false">IF(AC755&lt;T755,"SIM","NÃO")</f>
        <v>NÃO</v>
      </c>
      <c r="AH755" s="37" t="n">
        <v>13</v>
      </c>
      <c r="AI755" s="37" t="n">
        <v>10</v>
      </c>
      <c r="AJ755" s="37" t="s">
        <v>327</v>
      </c>
    </row>
    <row r="756" customFormat="false" ht="15" hidden="false" customHeight="false" outlineLevel="0" collapsed="false">
      <c r="A756" s="37" t="n">
        <v>373520405</v>
      </c>
      <c r="B756" s="38" t="n">
        <v>46242.7672916667</v>
      </c>
      <c r="C756" s="37" t="s">
        <v>320</v>
      </c>
      <c r="D756" s="37" t="s">
        <v>1053</v>
      </c>
      <c r="E756" s="37" t="n">
        <v>22770590</v>
      </c>
      <c r="F756" s="37" t="s">
        <v>139</v>
      </c>
      <c r="G756" s="37" t="s">
        <v>198</v>
      </c>
      <c r="H756" s="37" t="s">
        <v>167</v>
      </c>
      <c r="I756" s="37" t="n">
        <v>17.2</v>
      </c>
      <c r="J756" s="39" t="n">
        <v>269.99</v>
      </c>
      <c r="K756" s="37" t="s">
        <v>322</v>
      </c>
      <c r="L756" s="39" t="n">
        <v>64.51</v>
      </c>
      <c r="M756" s="39" t="n">
        <v>39.83</v>
      </c>
      <c r="N756" s="39" t="n">
        <f aca="false">J756*Resumo!$C$7</f>
        <v>0.53998</v>
      </c>
      <c r="O756" s="39" t="n">
        <f aca="false">J756*Resumo!$C$8</f>
        <v>0.53998</v>
      </c>
      <c r="P756" s="39" t="n">
        <f aca="false">Resumo!$C$10*CEILING(I756/100,1)</f>
        <v>1</v>
      </c>
      <c r="Q756" s="39" t="n">
        <f aca="false">Resumo!$C$9</f>
        <v>11.9</v>
      </c>
      <c r="R756" s="39" t="n">
        <f aca="false">SUM(M756:Q756)*Resumo!$C$11</f>
        <v>2.9595478</v>
      </c>
      <c r="S756" s="39" t="n">
        <f aca="false">SUM(M756:R756)</f>
        <v>56.7695078</v>
      </c>
      <c r="T756" s="39" t="n">
        <f aca="false">S756/(1-Resumo!$C$5)</f>
        <v>64.5108043181818</v>
      </c>
      <c r="U756" s="39" t="n">
        <v>46.98</v>
      </c>
      <c r="V756" s="39" t="n">
        <f aca="false">J756*Resumo!$B$6</f>
        <v>0.26999</v>
      </c>
      <c r="W756" s="39" t="n">
        <f aca="false">J756*Resumo!$B$7</f>
        <v>0.53998</v>
      </c>
      <c r="X756" s="39" t="n">
        <f aca="false">Resumo!$B$9</f>
        <v>1</v>
      </c>
      <c r="Y756" s="39" t="n">
        <f aca="false">Resumo!$B$10*CEILING(I756/100,1)</f>
        <v>4.5</v>
      </c>
      <c r="Z756" s="39" t="n">
        <f aca="false">Resumo!$B$12*CEILING(I756,1)</f>
        <v>1.08</v>
      </c>
      <c r="AA756" s="39" t="n">
        <f aca="false">Resumo!$B$13*CEILING(I756,1)</f>
        <v>8.1</v>
      </c>
      <c r="AB756" s="39" t="n">
        <f aca="false">SUM(U756:AA756)</f>
        <v>62.46997</v>
      </c>
      <c r="AC756" s="39" t="n">
        <f aca="false">AB756/(1-Resumo!$B$5)</f>
        <v>70.9886022727273</v>
      </c>
      <c r="AD756" s="39" t="n">
        <f aca="false">(AB756-AA756)/(1-Resumo!$B$5)</f>
        <v>61.7840568181818</v>
      </c>
      <c r="AE756" s="39" t="n">
        <f aca="false">AC756-T756</f>
        <v>6.47779795454545</v>
      </c>
      <c r="AF756" s="40" t="n">
        <f aca="false">AC756/T756-1</f>
        <v>0.10041415578382</v>
      </c>
      <c r="AG756" s="37" t="str">
        <f aca="false">IF(AC756&lt;T756,"SIM","NÃO")</f>
        <v>NÃO</v>
      </c>
      <c r="AH756" s="37" t="n">
        <v>8</v>
      </c>
      <c r="AI756" s="37" t="n">
        <v>5</v>
      </c>
      <c r="AJ756" s="37" t="s">
        <v>323</v>
      </c>
    </row>
    <row r="757" customFormat="false" ht="15" hidden="false" customHeight="false" outlineLevel="0" collapsed="false">
      <c r="A757" s="37" t="n">
        <v>373526561</v>
      </c>
      <c r="B757" s="38" t="n">
        <v>46242.7785185185</v>
      </c>
      <c r="C757" s="37" t="s">
        <v>320</v>
      </c>
      <c r="D757" s="37" t="s">
        <v>1054</v>
      </c>
      <c r="E757" s="37" t="n">
        <v>25243054</v>
      </c>
      <c r="F757" s="37" t="s">
        <v>141</v>
      </c>
      <c r="G757" s="37" t="s">
        <v>207</v>
      </c>
      <c r="H757" s="37" t="s">
        <v>168</v>
      </c>
      <c r="I757" s="37" t="n">
        <v>22.4</v>
      </c>
      <c r="J757" s="39" t="n">
        <v>519.99</v>
      </c>
      <c r="K757" s="37" t="s">
        <v>322</v>
      </c>
      <c r="L757" s="39" t="n">
        <v>101.87</v>
      </c>
      <c r="M757" s="39" t="n">
        <v>70</v>
      </c>
      <c r="N757" s="39" t="n">
        <f aca="false">J757*Resumo!$C$7</f>
        <v>1.03998</v>
      </c>
      <c r="O757" s="39" t="n">
        <f aca="false">J757*Resumo!$C$8</f>
        <v>1.03998</v>
      </c>
      <c r="P757" s="39" t="n">
        <f aca="false">Resumo!$C$10*CEILING(I757/100,1)</f>
        <v>1</v>
      </c>
      <c r="Q757" s="39" t="n">
        <f aca="false">Resumo!$C$9</f>
        <v>11.9</v>
      </c>
      <c r="R757" s="39" t="n">
        <f aca="false">SUM(M757:Q757)*Resumo!$C$11</f>
        <v>4.6738978</v>
      </c>
      <c r="S757" s="39" t="n">
        <f aca="false">SUM(M757:R757)</f>
        <v>89.6538578</v>
      </c>
      <c r="T757" s="39" t="n">
        <f aca="false">S757/(1-Resumo!$C$5)</f>
        <v>101.879383863636</v>
      </c>
      <c r="U757" s="39" t="n">
        <v>82.21</v>
      </c>
      <c r="V757" s="39" t="n">
        <f aca="false">J757*Resumo!$B$6</f>
        <v>0.51999</v>
      </c>
      <c r="W757" s="39" t="n">
        <f aca="false">J757*Resumo!$B$7</f>
        <v>1.03998</v>
      </c>
      <c r="X757" s="39" t="n">
        <f aca="false">Resumo!$B$9</f>
        <v>1</v>
      </c>
      <c r="Y757" s="39" t="n">
        <f aca="false">Resumo!$B$10*CEILING(I757/100,1)</f>
        <v>4.5</v>
      </c>
      <c r="Z757" s="39" t="n">
        <f aca="false">Resumo!$B$12*CEILING(I757,1)</f>
        <v>1.38</v>
      </c>
      <c r="AA757" s="39" t="n">
        <f aca="false">Resumo!$B$13*CEILING(I757,1)</f>
        <v>10.35</v>
      </c>
      <c r="AB757" s="39" t="n">
        <f aca="false">SUM(U757:AA757)</f>
        <v>100.99997</v>
      </c>
      <c r="AC757" s="39" t="n">
        <f aca="false">AB757/(1-Resumo!$B$5)</f>
        <v>114.772693181818</v>
      </c>
      <c r="AD757" s="39" t="n">
        <f aca="false">(AB757-AA757)/(1-Resumo!$B$5)</f>
        <v>103.011329545455</v>
      </c>
      <c r="AE757" s="39" t="n">
        <f aca="false">AC757-T757</f>
        <v>12.8933093181818</v>
      </c>
      <c r="AF757" s="40" t="n">
        <f aca="false">AC757/T757-1</f>
        <v>0.126554645593845</v>
      </c>
      <c r="AG757" s="37" t="str">
        <f aca="false">IF(AC757&lt;T757,"SIM","NÃO")</f>
        <v>NÃO</v>
      </c>
      <c r="AH757" s="37" t="n">
        <v>10</v>
      </c>
      <c r="AI757" s="37" t="n">
        <v>5</v>
      </c>
      <c r="AJ757" s="37" t="s">
        <v>323</v>
      </c>
    </row>
    <row r="758" customFormat="false" ht="15" hidden="false" customHeight="false" outlineLevel="0" collapsed="false">
      <c r="A758" s="37" t="n">
        <v>373537524</v>
      </c>
      <c r="B758" s="38" t="n">
        <v>46242.7989583333</v>
      </c>
      <c r="C758" s="37" t="s">
        <v>320</v>
      </c>
      <c r="D758" s="37" t="s">
        <v>1055</v>
      </c>
      <c r="E758" s="37" t="n">
        <v>23550570</v>
      </c>
      <c r="F758" s="37" t="s">
        <v>139</v>
      </c>
      <c r="G758" s="37" t="s">
        <v>198</v>
      </c>
      <c r="H758" s="37" t="s">
        <v>172</v>
      </c>
      <c r="I758" s="37" t="n">
        <v>63.9</v>
      </c>
      <c r="J758" s="39" t="n">
        <v>717.6</v>
      </c>
      <c r="K758" s="37" t="s">
        <v>498</v>
      </c>
      <c r="L758" s="39" t="n">
        <v>124.58</v>
      </c>
      <c r="M758" s="39" t="n">
        <v>88.2</v>
      </c>
      <c r="N758" s="39" t="n">
        <f aca="false">J758*Resumo!$C$7</f>
        <v>1.4352</v>
      </c>
      <c r="O758" s="39" t="n">
        <f aca="false">J758*Resumo!$C$8</f>
        <v>1.4352</v>
      </c>
      <c r="P758" s="39" t="n">
        <f aca="false">Resumo!$C$10*CEILING(I758/100,1)</f>
        <v>1</v>
      </c>
      <c r="Q758" s="39" t="n">
        <f aca="false">Resumo!$C$9</f>
        <v>11.9</v>
      </c>
      <c r="R758" s="39" t="n">
        <f aca="false">SUM(M758:Q758)*Resumo!$C$11</f>
        <v>5.718372</v>
      </c>
      <c r="S758" s="39" t="n">
        <f aca="false">SUM(M758:R758)</f>
        <v>109.688772</v>
      </c>
      <c r="T758" s="39" t="n">
        <f aca="false">S758/(1-Resumo!$C$5)</f>
        <v>124.646331818182</v>
      </c>
      <c r="U758" s="39" t="n">
        <v>131.02</v>
      </c>
      <c r="V758" s="39" t="n">
        <f aca="false">J758*Resumo!$B$6</f>
        <v>0.7176</v>
      </c>
      <c r="W758" s="39" t="n">
        <f aca="false">J758*Resumo!$B$7</f>
        <v>1.4352</v>
      </c>
      <c r="X758" s="39" t="n">
        <f aca="false">Resumo!$B$9</f>
        <v>1</v>
      </c>
      <c r="Y758" s="39" t="n">
        <f aca="false">Resumo!$B$10*CEILING(I758/100,1)</f>
        <v>4.5</v>
      </c>
      <c r="Z758" s="39" t="n">
        <f aca="false">Resumo!$B$12*CEILING(I758,1)</f>
        <v>3.84</v>
      </c>
      <c r="AA758" s="39" t="n">
        <f aca="false">Resumo!$B$13*CEILING(I758,1)</f>
        <v>28.8</v>
      </c>
      <c r="AB758" s="39" t="n">
        <f aca="false">SUM(U758:AA758)</f>
        <v>171.3128</v>
      </c>
      <c r="AC758" s="39" t="n">
        <f aca="false">AB758/(1-Resumo!$B$5)</f>
        <v>194.673636363636</v>
      </c>
      <c r="AD758" s="39" t="n">
        <f aca="false">(AB758-AA758)/(1-Resumo!$B$5)</f>
        <v>161.946363636364</v>
      </c>
      <c r="AE758" s="39" t="n">
        <f aca="false">AC758-T758</f>
        <v>70.0273045454546</v>
      </c>
      <c r="AF758" s="40" t="n">
        <f aca="false">AC758/T758-1</f>
        <v>0.561807985232983</v>
      </c>
      <c r="AG758" s="37" t="str">
        <f aca="false">IF(AC758&lt;T758,"SIM","NÃO")</f>
        <v>NÃO</v>
      </c>
      <c r="AH758" s="37" t="n">
        <v>8</v>
      </c>
      <c r="AI758" s="37" t="n">
        <v>5</v>
      </c>
      <c r="AJ758" s="37" t="s">
        <v>323</v>
      </c>
    </row>
    <row r="759" customFormat="false" ht="15" hidden="false" customHeight="false" outlineLevel="0" collapsed="false">
      <c r="A759" s="37" t="n">
        <v>373542254</v>
      </c>
      <c r="B759" s="38" t="n">
        <v>46242.8080555556</v>
      </c>
      <c r="C759" s="37" t="s">
        <v>359</v>
      </c>
      <c r="D759" s="37" t="s">
        <v>1056</v>
      </c>
      <c r="E759" s="37" t="n">
        <v>27511610</v>
      </c>
      <c r="F759" s="37" t="s">
        <v>236</v>
      </c>
      <c r="G759" s="37" t="s">
        <v>201</v>
      </c>
      <c r="H759" s="37" t="s">
        <v>173</v>
      </c>
      <c r="I759" s="37" t="n">
        <v>74.06</v>
      </c>
      <c r="J759" s="39" t="n">
        <v>1099.99</v>
      </c>
      <c r="K759" s="37" t="s">
        <v>498</v>
      </c>
      <c r="L759" s="39" t="n">
        <v>170.16</v>
      </c>
      <c r="M759" s="39" t="n">
        <v>124.16</v>
      </c>
      <c r="N759" s="39" t="n">
        <f aca="false">J759*Resumo!$C$7</f>
        <v>2.19998</v>
      </c>
      <c r="O759" s="39" t="n">
        <f aca="false">J759*Resumo!$C$8</f>
        <v>2.19998</v>
      </c>
      <c r="P759" s="39" t="n">
        <f aca="false">Resumo!$C$10*CEILING(I759/100,1)</f>
        <v>1</v>
      </c>
      <c r="Q759" s="39" t="n">
        <f aca="false">Resumo!$C$9</f>
        <v>11.9</v>
      </c>
      <c r="R759" s="39" t="n">
        <f aca="false">SUM(M759:Q759)*Resumo!$C$11</f>
        <v>7.7802978</v>
      </c>
      <c r="S759" s="39" t="n">
        <f aca="false">SUM(M759:R759)</f>
        <v>149.2402578</v>
      </c>
      <c r="T759" s="39" t="n">
        <f aca="false">S759/(1-Resumo!$C$5)</f>
        <v>169.591202045455</v>
      </c>
      <c r="U759" s="39" t="n">
        <v>157.88</v>
      </c>
      <c r="V759" s="39" t="n">
        <f aca="false">J759*Resumo!$B$6</f>
        <v>1.09999</v>
      </c>
      <c r="W759" s="39" t="n">
        <f aca="false">J759*Resumo!$B$7</f>
        <v>2.19998</v>
      </c>
      <c r="X759" s="39" t="n">
        <f aca="false">Resumo!$B$9</f>
        <v>1</v>
      </c>
      <c r="Y759" s="39" t="n">
        <f aca="false">Resumo!$B$10*CEILING(I759/100,1)</f>
        <v>4.5</v>
      </c>
      <c r="Z759" s="39" t="n">
        <f aca="false">Resumo!$B$12*CEILING(I759,1)</f>
        <v>4.5</v>
      </c>
      <c r="AA759" s="39" t="n">
        <f aca="false">Resumo!$B$13*CEILING(I759,1)</f>
        <v>33.75</v>
      </c>
      <c r="AB759" s="39" t="n">
        <f aca="false">SUM(U759:AA759)</f>
        <v>204.92997</v>
      </c>
      <c r="AC759" s="39" t="n">
        <f aca="false">AB759/(1-Resumo!$B$5)</f>
        <v>232.874965909091</v>
      </c>
      <c r="AD759" s="39" t="n">
        <f aca="false">(AB759-AA759)/(1-Resumo!$B$5)</f>
        <v>194.522693181818</v>
      </c>
      <c r="AE759" s="39" t="n">
        <f aca="false">AC759-T759</f>
        <v>63.2837638636364</v>
      </c>
      <c r="AF759" s="40" t="n">
        <f aca="false">AC759/T759-1</f>
        <v>0.373154757442399</v>
      </c>
      <c r="AG759" s="37" t="str">
        <f aca="false">IF(AC759&lt;T759,"SIM","NÃO")</f>
        <v>NÃO</v>
      </c>
      <c r="AH759" s="37" t="n">
        <v>13</v>
      </c>
      <c r="AI759" s="37" t="n">
        <v>10</v>
      </c>
      <c r="AJ759" s="37" t="s">
        <v>327</v>
      </c>
    </row>
    <row r="760" customFormat="false" ht="15" hidden="false" customHeight="false" outlineLevel="0" collapsed="false">
      <c r="A760" s="37" t="n">
        <v>373550619</v>
      </c>
      <c r="B760" s="38" t="n">
        <v>46242.8230208333</v>
      </c>
      <c r="C760" s="37" t="s">
        <v>320</v>
      </c>
      <c r="D760" s="37" t="s">
        <v>1057</v>
      </c>
      <c r="E760" s="37" t="n">
        <v>23585245</v>
      </c>
      <c r="F760" s="37" t="s">
        <v>139</v>
      </c>
      <c r="G760" s="37" t="s">
        <v>198</v>
      </c>
      <c r="H760" s="37" t="s">
        <v>167</v>
      </c>
      <c r="I760" s="37" t="n">
        <v>19.5</v>
      </c>
      <c r="J760" s="39" t="n">
        <v>333</v>
      </c>
      <c r="K760" s="37" t="s">
        <v>498</v>
      </c>
      <c r="L760" s="39" t="n">
        <v>66.39</v>
      </c>
      <c r="M760" s="39" t="n">
        <v>39.83</v>
      </c>
      <c r="N760" s="39" t="n">
        <f aca="false">J760*Resumo!$C$7</f>
        <v>0.666</v>
      </c>
      <c r="O760" s="39" t="n">
        <f aca="false">J760*Resumo!$C$8</f>
        <v>0.666</v>
      </c>
      <c r="P760" s="39" t="n">
        <f aca="false">Resumo!$C$10*CEILING(I760/100,1)</f>
        <v>1</v>
      </c>
      <c r="Q760" s="39" t="n">
        <f aca="false">Resumo!$C$9</f>
        <v>11.9</v>
      </c>
      <c r="R760" s="39" t="n">
        <f aca="false">SUM(M760:Q760)*Resumo!$C$11</f>
        <v>2.97341</v>
      </c>
      <c r="S760" s="39" t="n">
        <f aca="false">SUM(M760:R760)</f>
        <v>57.03541</v>
      </c>
      <c r="T760" s="39" t="n">
        <f aca="false">S760/(1-Resumo!$C$5)</f>
        <v>64.8129659090909</v>
      </c>
      <c r="U760" s="39" t="n">
        <v>46.98</v>
      </c>
      <c r="V760" s="39" t="n">
        <f aca="false">J760*Resumo!$B$6</f>
        <v>0.333</v>
      </c>
      <c r="W760" s="39" t="n">
        <f aca="false">J760*Resumo!$B$7</f>
        <v>0.666</v>
      </c>
      <c r="X760" s="39" t="n">
        <f aca="false">Resumo!$B$9</f>
        <v>1</v>
      </c>
      <c r="Y760" s="39" t="n">
        <f aca="false">Resumo!$B$10*CEILING(I760/100,1)</f>
        <v>4.5</v>
      </c>
      <c r="Z760" s="39" t="n">
        <f aca="false">Resumo!$B$12*CEILING(I760,1)</f>
        <v>1.2</v>
      </c>
      <c r="AA760" s="39" t="n">
        <f aca="false">Resumo!$B$13*CEILING(I760,1)</f>
        <v>9</v>
      </c>
      <c r="AB760" s="39" t="n">
        <f aca="false">SUM(U760:AA760)</f>
        <v>63.679</v>
      </c>
      <c r="AC760" s="39" t="n">
        <f aca="false">AB760/(1-Resumo!$B$5)</f>
        <v>72.3625</v>
      </c>
      <c r="AD760" s="39" t="n">
        <f aca="false">(AB760-AA760)/(1-Resumo!$B$5)</f>
        <v>62.1352272727273</v>
      </c>
      <c r="AE760" s="39" t="n">
        <f aca="false">AC760-T760</f>
        <v>7.54953409090909</v>
      </c>
      <c r="AF760" s="40" t="n">
        <f aca="false">AC760/T760-1</f>
        <v>0.116481848732217</v>
      </c>
      <c r="AG760" s="37" t="str">
        <f aca="false">IF(AC760&lt;T760,"SIM","NÃO")</f>
        <v>NÃO</v>
      </c>
      <c r="AH760" s="37" t="n">
        <v>8</v>
      </c>
      <c r="AI760" s="37" t="n">
        <v>5</v>
      </c>
      <c r="AJ760" s="37" t="s">
        <v>323</v>
      </c>
    </row>
    <row r="761" customFormat="false" ht="15" hidden="false" customHeight="false" outlineLevel="0" collapsed="false">
      <c r="A761" s="37" t="n">
        <v>373552902</v>
      </c>
      <c r="B761" s="38" t="n">
        <v>46242.8270601852</v>
      </c>
      <c r="C761" s="37" t="s">
        <v>325</v>
      </c>
      <c r="D761" s="37" t="s">
        <v>1058</v>
      </c>
      <c r="E761" s="37" t="n">
        <v>28415000</v>
      </c>
      <c r="F761" s="37" t="s">
        <v>254</v>
      </c>
      <c r="G761" s="37" t="s">
        <v>201</v>
      </c>
      <c r="H761" s="37" t="s">
        <v>176</v>
      </c>
      <c r="I761" s="37" t="n">
        <v>134.4</v>
      </c>
      <c r="J761" s="39" t="n">
        <v>1597.99</v>
      </c>
      <c r="K761" s="37" t="s">
        <v>498</v>
      </c>
      <c r="L761" s="39" t="n">
        <v>258.36</v>
      </c>
      <c r="M761" s="39" t="n">
        <v>197.37</v>
      </c>
      <c r="N761" s="39" t="n">
        <f aca="false">J761*Resumo!$C$7</f>
        <v>3.19598</v>
      </c>
      <c r="O761" s="39" t="n">
        <f aca="false">J761*Resumo!$C$8</f>
        <v>3.19598</v>
      </c>
      <c r="P761" s="39" t="n">
        <f aca="false">Resumo!$C$10*CEILING(I761/100,1)</f>
        <v>2</v>
      </c>
      <c r="Q761" s="39" t="n">
        <f aca="false">Resumo!$C$9</f>
        <v>11.9</v>
      </c>
      <c r="R761" s="39" t="n">
        <f aca="false">SUM(M761:Q761)*Resumo!$C$11</f>
        <v>11.9714078</v>
      </c>
      <c r="S761" s="39" t="n">
        <f aca="false">SUM(M761:R761)</f>
        <v>229.6333678</v>
      </c>
      <c r="T761" s="39" t="n">
        <f aca="false">S761/(1-Resumo!$C$5)</f>
        <v>260.947008863636</v>
      </c>
      <c r="U761" s="39" t="n">
        <v>264.84</v>
      </c>
      <c r="V761" s="39" t="n">
        <f aca="false">J761*Resumo!$B$6</f>
        <v>1.59799</v>
      </c>
      <c r="W761" s="39" t="n">
        <f aca="false">J761*Resumo!$B$7</f>
        <v>3.19598</v>
      </c>
      <c r="X761" s="39" t="n">
        <f aca="false">Resumo!$B$9</f>
        <v>1</v>
      </c>
      <c r="Y761" s="39" t="n">
        <f aca="false">Resumo!$B$10*CEILING(I761/100,1)</f>
        <v>9</v>
      </c>
      <c r="Z761" s="39" t="n">
        <f aca="false">Resumo!$B$12*CEILING(I761,1)</f>
        <v>8.1</v>
      </c>
      <c r="AA761" s="39" t="n">
        <f aca="false">Resumo!$B$13*CEILING(I761,1)</f>
        <v>60.75</v>
      </c>
      <c r="AB761" s="39" t="n">
        <f aca="false">SUM(U761:AA761)</f>
        <v>348.48397</v>
      </c>
      <c r="AC761" s="39" t="n">
        <f aca="false">AB761/(1-Resumo!$B$5)</f>
        <v>396.004511363636</v>
      </c>
      <c r="AD761" s="39" t="n">
        <f aca="false">(AB761-AA761)/(1-Resumo!$B$5)</f>
        <v>326.970420454545</v>
      </c>
      <c r="AE761" s="39" t="n">
        <f aca="false">AC761-T761</f>
        <v>135.0575025</v>
      </c>
      <c r="AF761" s="40" t="n">
        <f aca="false">AC761/T761-1</f>
        <v>0.517566777592677</v>
      </c>
      <c r="AG761" s="37" t="str">
        <f aca="false">IF(AC761&lt;T761,"SIM","NÃO")</f>
        <v>NÃO</v>
      </c>
      <c r="AH761" s="37" t="n">
        <v>13</v>
      </c>
      <c r="AI761" s="37" t="n">
        <v>11</v>
      </c>
      <c r="AJ761" s="37" t="s">
        <v>327</v>
      </c>
    </row>
    <row r="762" customFormat="false" ht="15" hidden="false" customHeight="false" outlineLevel="0" collapsed="false">
      <c r="A762" s="37" t="n">
        <v>373561126</v>
      </c>
      <c r="B762" s="38" t="n">
        <v>46242.8413657407</v>
      </c>
      <c r="C762" s="37" t="s">
        <v>325</v>
      </c>
      <c r="D762" s="37" t="s">
        <v>1059</v>
      </c>
      <c r="E762" s="37" t="n">
        <v>26455365</v>
      </c>
      <c r="F762" s="37" t="s">
        <v>223</v>
      </c>
      <c r="G762" s="37" t="s">
        <v>201</v>
      </c>
      <c r="H762" s="37" t="s">
        <v>169</v>
      </c>
      <c r="I762" s="37" t="n">
        <v>37.3</v>
      </c>
      <c r="J762" s="39" t="n">
        <v>423.99</v>
      </c>
      <c r="K762" s="37" t="s">
        <v>498</v>
      </c>
      <c r="L762" s="39" t="n">
        <v>123.24</v>
      </c>
      <c r="M762" s="39" t="n">
        <v>87.4</v>
      </c>
      <c r="N762" s="39" t="n">
        <f aca="false">J762*Resumo!$C$7</f>
        <v>0.84798</v>
      </c>
      <c r="O762" s="39" t="n">
        <f aca="false">J762*Resumo!$C$8</f>
        <v>0.84798</v>
      </c>
      <c r="P762" s="39" t="n">
        <f aca="false">Resumo!$C$10*CEILING(I762/100,1)</f>
        <v>1</v>
      </c>
      <c r="Q762" s="39" t="n">
        <f aca="false">Resumo!$C$9</f>
        <v>11.9</v>
      </c>
      <c r="R762" s="39" t="n">
        <f aca="false">SUM(M762:Q762)*Resumo!$C$11</f>
        <v>5.6097778</v>
      </c>
      <c r="S762" s="39" t="n">
        <f aca="false">SUM(M762:R762)</f>
        <v>107.6057378</v>
      </c>
      <c r="T762" s="39" t="n">
        <f aca="false">S762/(1-Resumo!$C$5)</f>
        <v>122.2792475</v>
      </c>
      <c r="U762" s="39" t="n">
        <v>93.97</v>
      </c>
      <c r="V762" s="39" t="n">
        <f aca="false">J762*Resumo!$B$6</f>
        <v>0.42399</v>
      </c>
      <c r="W762" s="39" t="n">
        <f aca="false">J762*Resumo!$B$7</f>
        <v>0.84798</v>
      </c>
      <c r="X762" s="39" t="n">
        <f aca="false">Resumo!$B$9</f>
        <v>1</v>
      </c>
      <c r="Y762" s="39" t="n">
        <f aca="false">Resumo!$B$10*CEILING(I762/100,1)</f>
        <v>4.5</v>
      </c>
      <c r="Z762" s="39" t="n">
        <f aca="false">Resumo!$B$12*CEILING(I762,1)</f>
        <v>2.28</v>
      </c>
      <c r="AA762" s="39" t="n">
        <f aca="false">Resumo!$B$13*CEILING(I762,1)</f>
        <v>17.1</v>
      </c>
      <c r="AB762" s="39" t="n">
        <f aca="false">SUM(U762:AA762)</f>
        <v>120.12197</v>
      </c>
      <c r="AC762" s="39" t="n">
        <f aca="false">AB762/(1-Resumo!$B$5)</f>
        <v>136.502238636364</v>
      </c>
      <c r="AD762" s="39" t="n">
        <f aca="false">(AB762-AA762)/(1-Resumo!$B$5)</f>
        <v>117.070420454545</v>
      </c>
      <c r="AE762" s="39" t="n">
        <f aca="false">AC762-T762</f>
        <v>14.2229911363636</v>
      </c>
      <c r="AF762" s="40" t="n">
        <f aca="false">AC762/T762-1</f>
        <v>0.116315658029901</v>
      </c>
      <c r="AG762" s="37" t="str">
        <f aca="false">IF(AC762&lt;T762,"SIM","NÃO")</f>
        <v>NÃO</v>
      </c>
      <c r="AH762" s="37" t="n">
        <v>13</v>
      </c>
      <c r="AI762" s="37" t="n">
        <v>5</v>
      </c>
      <c r="AJ762" s="37" t="s">
        <v>327</v>
      </c>
    </row>
    <row r="763" customFormat="false" ht="15" hidden="false" customHeight="false" outlineLevel="0" collapsed="false">
      <c r="A763" s="37" t="n">
        <v>373562159</v>
      </c>
      <c r="B763" s="38" t="n">
        <v>46242.8433333333</v>
      </c>
      <c r="C763" s="37" t="s">
        <v>320</v>
      </c>
      <c r="D763" s="37" t="s">
        <v>1060</v>
      </c>
      <c r="E763" s="37" t="n">
        <v>28770000</v>
      </c>
      <c r="F763" s="37" t="s">
        <v>273</v>
      </c>
      <c r="G763" s="37" t="s">
        <v>201</v>
      </c>
      <c r="H763" s="37" t="s">
        <v>168</v>
      </c>
      <c r="I763" s="37" t="n">
        <v>31.9</v>
      </c>
      <c r="J763" s="39" t="n">
        <v>533.6</v>
      </c>
      <c r="K763" s="37" t="s">
        <v>498</v>
      </c>
      <c r="L763" s="39" t="n">
        <v>110.08</v>
      </c>
      <c r="M763" s="39" t="n">
        <v>76.5</v>
      </c>
      <c r="N763" s="39" t="n">
        <f aca="false">J763*Resumo!$C$7</f>
        <v>1.0672</v>
      </c>
      <c r="O763" s="39" t="n">
        <f aca="false">J763*Resumo!$C$8</f>
        <v>1.0672</v>
      </c>
      <c r="P763" s="39" t="n">
        <f aca="false">Resumo!$C$10*CEILING(I763/100,1)</f>
        <v>1</v>
      </c>
      <c r="Q763" s="39" t="n">
        <f aca="false">Resumo!$C$9</f>
        <v>11.9</v>
      </c>
      <c r="R763" s="39" t="n">
        <f aca="false">SUM(M763:Q763)*Resumo!$C$11</f>
        <v>5.034392</v>
      </c>
      <c r="S763" s="39" t="n">
        <f aca="false">SUM(M763:R763)</f>
        <v>96.568792</v>
      </c>
      <c r="T763" s="39" t="n">
        <f aca="false">S763/(1-Resumo!$C$5)</f>
        <v>109.737263636364</v>
      </c>
      <c r="U763" s="39" t="n">
        <v>138.29</v>
      </c>
      <c r="V763" s="39" t="n">
        <f aca="false">J763*Resumo!$B$6</f>
        <v>0.5336</v>
      </c>
      <c r="W763" s="39" t="n">
        <f aca="false">J763*Resumo!$B$7</f>
        <v>1.0672</v>
      </c>
      <c r="X763" s="39" t="n">
        <f aca="false">Resumo!$B$9</f>
        <v>1</v>
      </c>
      <c r="Y763" s="39" t="n">
        <f aca="false">Resumo!$B$10*CEILING(I763/100,1)</f>
        <v>4.5</v>
      </c>
      <c r="Z763" s="39" t="n">
        <f aca="false">Resumo!$B$12*CEILING(I763,1)</f>
        <v>1.92</v>
      </c>
      <c r="AA763" s="39" t="n">
        <f aca="false">Resumo!$B$13*CEILING(I763,1)</f>
        <v>14.4</v>
      </c>
      <c r="AB763" s="39" t="n">
        <f aca="false">SUM(U763:AA763)</f>
        <v>161.7108</v>
      </c>
      <c r="AC763" s="39" t="n">
        <f aca="false">AB763/(1-Resumo!$B$5)</f>
        <v>183.762272727273</v>
      </c>
      <c r="AD763" s="39" t="n">
        <f aca="false">(AB763-AA763)/(1-Resumo!$B$5)</f>
        <v>167.398636363636</v>
      </c>
      <c r="AE763" s="39" t="n">
        <f aca="false">AC763-T763</f>
        <v>74.0250090909091</v>
      </c>
      <c r="AF763" s="40" t="n">
        <f aca="false">AC763/T763-1</f>
        <v>0.674565836963147</v>
      </c>
      <c r="AG763" s="37" t="str">
        <f aca="false">IF(AC763&lt;T763,"SIM","NÃO")</f>
        <v>NÃO</v>
      </c>
      <c r="AH763" s="37" t="n">
        <v>13</v>
      </c>
      <c r="AI763" s="37" t="n">
        <v>11</v>
      </c>
      <c r="AJ763" s="37" t="s">
        <v>327</v>
      </c>
    </row>
    <row r="764" customFormat="false" ht="15" hidden="false" customHeight="false" outlineLevel="0" collapsed="false">
      <c r="A764" s="37" t="n">
        <v>373562477</v>
      </c>
      <c r="B764" s="38" t="n">
        <v>46242.8438194445</v>
      </c>
      <c r="C764" s="37" t="s">
        <v>325</v>
      </c>
      <c r="D764" s="37" t="s">
        <v>1061</v>
      </c>
      <c r="E764" s="37" t="n">
        <v>28968345</v>
      </c>
      <c r="F764" s="37" t="s">
        <v>280</v>
      </c>
      <c r="G764" s="37" t="s">
        <v>201</v>
      </c>
      <c r="H764" s="37" t="s">
        <v>169</v>
      </c>
      <c r="I764" s="37" t="n">
        <v>36.9</v>
      </c>
      <c r="J764" s="39" t="n">
        <v>399.99</v>
      </c>
      <c r="K764" s="37" t="s">
        <v>498</v>
      </c>
      <c r="L764" s="39" t="n">
        <v>122.61</v>
      </c>
      <c r="M764" s="39" t="n">
        <v>87.4</v>
      </c>
      <c r="N764" s="39" t="n">
        <f aca="false">J764*Resumo!$C$7</f>
        <v>0.79998</v>
      </c>
      <c r="O764" s="39" t="n">
        <f aca="false">J764*Resumo!$C$8</f>
        <v>0.79998</v>
      </c>
      <c r="P764" s="39" t="n">
        <f aca="false">Resumo!$C$10*CEILING(I764/100,1)</f>
        <v>1</v>
      </c>
      <c r="Q764" s="39" t="n">
        <f aca="false">Resumo!$C$9</f>
        <v>11.9</v>
      </c>
      <c r="R764" s="39" t="n">
        <f aca="false">SUM(M764:Q764)*Resumo!$C$11</f>
        <v>5.6044978</v>
      </c>
      <c r="S764" s="39" t="n">
        <f aca="false">SUM(M764:R764)</f>
        <v>107.5044578</v>
      </c>
      <c r="T764" s="39" t="n">
        <f aca="false">S764/(1-Resumo!$C$5)</f>
        <v>122.164156590909</v>
      </c>
      <c r="U764" s="39" t="n">
        <v>124.38</v>
      </c>
      <c r="V764" s="39" t="n">
        <f aca="false">J764*Resumo!$B$6</f>
        <v>0.39999</v>
      </c>
      <c r="W764" s="39" t="n">
        <f aca="false">J764*Resumo!$B$7</f>
        <v>0.79998</v>
      </c>
      <c r="X764" s="39" t="n">
        <f aca="false">Resumo!$B$9</f>
        <v>1</v>
      </c>
      <c r="Y764" s="39" t="n">
        <f aca="false">Resumo!$B$10*CEILING(I764/100,1)</f>
        <v>4.5</v>
      </c>
      <c r="Z764" s="39" t="n">
        <f aca="false">Resumo!$B$12*CEILING(I764,1)</f>
        <v>2.22</v>
      </c>
      <c r="AA764" s="39" t="n">
        <f aca="false">Resumo!$B$13*CEILING(I764,1)</f>
        <v>16.65</v>
      </c>
      <c r="AB764" s="39" t="n">
        <f aca="false">SUM(U764:AA764)</f>
        <v>149.94997</v>
      </c>
      <c r="AC764" s="39" t="n">
        <f aca="false">AB764/(1-Resumo!$B$5)</f>
        <v>170.397693181818</v>
      </c>
      <c r="AD764" s="39" t="n">
        <f aca="false">(AB764-AA764)/(1-Resumo!$B$5)</f>
        <v>151.477238636364</v>
      </c>
      <c r="AE764" s="39" t="n">
        <f aca="false">AC764-T764</f>
        <v>48.2335365909091</v>
      </c>
      <c r="AF764" s="40" t="n">
        <f aca="false">AC764/T764-1</f>
        <v>0.394825601362179</v>
      </c>
      <c r="AG764" s="37" t="str">
        <f aca="false">IF(AC764&lt;T764,"SIM","NÃO")</f>
        <v>NÃO</v>
      </c>
      <c r="AH764" s="37" t="n">
        <v>13</v>
      </c>
      <c r="AI764" s="37" t="n">
        <v>10</v>
      </c>
      <c r="AJ764" s="37" t="s">
        <v>327</v>
      </c>
    </row>
    <row r="765" customFormat="false" ht="15" hidden="false" customHeight="false" outlineLevel="0" collapsed="false">
      <c r="A765" s="37" t="n">
        <v>373567726</v>
      </c>
      <c r="B765" s="38" t="n">
        <v>46242.8531597222</v>
      </c>
      <c r="C765" s="37" t="s">
        <v>320</v>
      </c>
      <c r="D765" s="37" t="s">
        <v>1062</v>
      </c>
      <c r="E765" s="37" t="n">
        <v>23068100</v>
      </c>
      <c r="F765" s="37" t="s">
        <v>139</v>
      </c>
      <c r="G765" s="37" t="s">
        <v>198</v>
      </c>
      <c r="H765" s="37" t="s">
        <v>167</v>
      </c>
      <c r="I765" s="37" t="n">
        <v>19.9</v>
      </c>
      <c r="J765" s="39" t="n">
        <v>309.99</v>
      </c>
      <c r="K765" s="37" t="s">
        <v>498</v>
      </c>
      <c r="L765" s="39" t="n">
        <v>66.27</v>
      </c>
      <c r="M765" s="39" t="n">
        <v>39.83</v>
      </c>
      <c r="N765" s="39" t="n">
        <f aca="false">J765*Resumo!$C$7</f>
        <v>0.61998</v>
      </c>
      <c r="O765" s="39" t="n">
        <f aca="false">J765*Resumo!$C$8</f>
        <v>0.61998</v>
      </c>
      <c r="P765" s="39" t="n">
        <f aca="false">Resumo!$C$10*CEILING(I765/100,1)</f>
        <v>1</v>
      </c>
      <c r="Q765" s="39" t="n">
        <f aca="false">Resumo!$C$9</f>
        <v>11.9</v>
      </c>
      <c r="R765" s="39" t="n">
        <f aca="false">SUM(M765:Q765)*Resumo!$C$11</f>
        <v>2.9683478</v>
      </c>
      <c r="S765" s="39" t="n">
        <f aca="false">SUM(M765:R765)</f>
        <v>56.9383078</v>
      </c>
      <c r="T765" s="39" t="n">
        <f aca="false">S765/(1-Resumo!$C$5)</f>
        <v>64.7026225</v>
      </c>
      <c r="U765" s="39" t="n">
        <v>46.98</v>
      </c>
      <c r="V765" s="39" t="n">
        <f aca="false">J765*Resumo!$B$6</f>
        <v>0.30999</v>
      </c>
      <c r="W765" s="39" t="n">
        <f aca="false">J765*Resumo!$B$7</f>
        <v>0.61998</v>
      </c>
      <c r="X765" s="39" t="n">
        <f aca="false">Resumo!$B$9</f>
        <v>1</v>
      </c>
      <c r="Y765" s="39" t="n">
        <f aca="false">Resumo!$B$10*CEILING(I765/100,1)</f>
        <v>4.5</v>
      </c>
      <c r="Z765" s="39" t="n">
        <f aca="false">Resumo!$B$12*CEILING(I765,1)</f>
        <v>1.2</v>
      </c>
      <c r="AA765" s="39" t="n">
        <f aca="false">Resumo!$B$13*CEILING(I765,1)</f>
        <v>9</v>
      </c>
      <c r="AB765" s="39" t="n">
        <f aca="false">SUM(U765:AA765)</f>
        <v>63.60997</v>
      </c>
      <c r="AC765" s="39" t="n">
        <f aca="false">AB765/(1-Resumo!$B$5)</f>
        <v>72.2840568181818</v>
      </c>
      <c r="AD765" s="39" t="n">
        <f aca="false">(AB765-AA765)/(1-Resumo!$B$5)</f>
        <v>62.0567840909091</v>
      </c>
      <c r="AE765" s="39" t="n">
        <f aca="false">AC765-T765</f>
        <v>7.58143431818181</v>
      </c>
      <c r="AF765" s="40" t="n">
        <f aca="false">AC765/T765-1</f>
        <v>0.117173524429892</v>
      </c>
      <c r="AG765" s="37" t="str">
        <f aca="false">IF(AC765&lt;T765,"SIM","NÃO")</f>
        <v>NÃO</v>
      </c>
      <c r="AH765" s="37" t="n">
        <v>8</v>
      </c>
      <c r="AI765" s="37" t="n">
        <v>5</v>
      </c>
      <c r="AJ765" s="37" t="s">
        <v>323</v>
      </c>
    </row>
    <row r="766" customFormat="false" ht="15" hidden="false" customHeight="false" outlineLevel="0" collapsed="false">
      <c r="A766" s="37" t="n">
        <v>373567710</v>
      </c>
      <c r="B766" s="38" t="n">
        <v>46242.8531597222</v>
      </c>
      <c r="C766" s="37" t="s">
        <v>320</v>
      </c>
      <c r="D766" s="37" t="s">
        <v>1062</v>
      </c>
      <c r="E766" s="37" t="n">
        <v>23068100</v>
      </c>
      <c r="F766" s="37" t="s">
        <v>139</v>
      </c>
      <c r="G766" s="37" t="s">
        <v>198</v>
      </c>
      <c r="H766" s="37" t="s">
        <v>169</v>
      </c>
      <c r="I766" s="37" t="n">
        <v>36.8</v>
      </c>
      <c r="J766" s="39" t="n">
        <v>414.99</v>
      </c>
      <c r="K766" s="37" t="s">
        <v>498</v>
      </c>
      <c r="L766" s="39" t="n">
        <v>92.43</v>
      </c>
      <c r="M766" s="39" t="n">
        <v>62.05</v>
      </c>
      <c r="N766" s="39" t="n">
        <f aca="false">J766*Resumo!$C$7</f>
        <v>0.82998</v>
      </c>
      <c r="O766" s="39" t="n">
        <f aca="false">J766*Resumo!$C$8</f>
        <v>0.82998</v>
      </c>
      <c r="P766" s="39" t="n">
        <f aca="false">Resumo!$C$10*CEILING(I766/100,1)</f>
        <v>1</v>
      </c>
      <c r="Q766" s="39" t="n">
        <f aca="false">Resumo!$C$9</f>
        <v>11.9</v>
      </c>
      <c r="R766" s="39" t="n">
        <f aca="false">SUM(M766:Q766)*Resumo!$C$11</f>
        <v>4.2135478</v>
      </c>
      <c r="S766" s="39" t="n">
        <f aca="false">SUM(M766:R766)</f>
        <v>80.8235078</v>
      </c>
      <c r="T766" s="39" t="n">
        <f aca="false">S766/(1-Resumo!$C$5)</f>
        <v>91.8448952272727</v>
      </c>
      <c r="U766" s="39" t="n">
        <v>93.97</v>
      </c>
      <c r="V766" s="39" t="n">
        <f aca="false">J766*Resumo!$B$6</f>
        <v>0.41499</v>
      </c>
      <c r="W766" s="39" t="n">
        <f aca="false">J766*Resumo!$B$7</f>
        <v>0.82998</v>
      </c>
      <c r="X766" s="39" t="n">
        <f aca="false">Resumo!$B$9</f>
        <v>1</v>
      </c>
      <c r="Y766" s="39" t="n">
        <f aca="false">Resumo!$B$10*CEILING(I766/100,1)</f>
        <v>4.5</v>
      </c>
      <c r="Z766" s="39" t="n">
        <f aca="false">Resumo!$B$12*CEILING(I766,1)</f>
        <v>2.22</v>
      </c>
      <c r="AA766" s="39" t="n">
        <f aca="false">Resumo!$B$13*CEILING(I766,1)</f>
        <v>16.65</v>
      </c>
      <c r="AB766" s="39" t="n">
        <f aca="false">SUM(U766:AA766)</f>
        <v>119.58497</v>
      </c>
      <c r="AC766" s="39" t="n">
        <f aca="false">AB766/(1-Resumo!$B$5)</f>
        <v>135.892011363636</v>
      </c>
      <c r="AD766" s="39" t="n">
        <f aca="false">(AB766-AA766)/(1-Resumo!$B$5)</f>
        <v>116.971556818182</v>
      </c>
      <c r="AE766" s="39" t="n">
        <f aca="false">AC766-T766</f>
        <v>44.0471161363636</v>
      </c>
      <c r="AF766" s="40" t="n">
        <f aca="false">AC766/T766-1</f>
        <v>0.479581538281119</v>
      </c>
      <c r="AG766" s="37" t="str">
        <f aca="false">IF(AC766&lt;T766,"SIM","NÃO")</f>
        <v>NÃO</v>
      </c>
      <c r="AH766" s="37" t="n">
        <v>8</v>
      </c>
      <c r="AI766" s="37" t="n">
        <v>5</v>
      </c>
      <c r="AJ766" s="37" t="s">
        <v>323</v>
      </c>
    </row>
    <row r="767" customFormat="false" ht="15" hidden="false" customHeight="false" outlineLevel="0" collapsed="false">
      <c r="A767" s="37" t="n">
        <v>373577132</v>
      </c>
      <c r="B767" s="38" t="n">
        <v>46242.8698611111</v>
      </c>
      <c r="C767" s="37" t="s">
        <v>320</v>
      </c>
      <c r="D767" s="37" t="s">
        <v>1063</v>
      </c>
      <c r="E767" s="37" t="n">
        <v>22410001</v>
      </c>
      <c r="F767" s="37" t="s">
        <v>139</v>
      </c>
      <c r="G767" s="37" t="s">
        <v>198</v>
      </c>
      <c r="H767" s="37" t="s">
        <v>171</v>
      </c>
      <c r="I767" s="37" t="n">
        <v>52.3</v>
      </c>
      <c r="J767" s="39" t="n">
        <v>616.99</v>
      </c>
      <c r="K767" s="37" t="s">
        <v>322</v>
      </c>
      <c r="L767" s="39" t="n">
        <v>114.09</v>
      </c>
      <c r="M767" s="39" t="n">
        <v>79.81</v>
      </c>
      <c r="N767" s="39" t="n">
        <f aca="false">J767*Resumo!$C$7</f>
        <v>1.23398</v>
      </c>
      <c r="O767" s="39" t="n">
        <f aca="false">J767*Resumo!$C$8</f>
        <v>1.23398</v>
      </c>
      <c r="P767" s="39" t="n">
        <f aca="false">Resumo!$C$10*CEILING(I767/100,1)</f>
        <v>1</v>
      </c>
      <c r="Q767" s="39" t="n">
        <f aca="false">Resumo!$C$9</f>
        <v>11.9</v>
      </c>
      <c r="R767" s="39" t="n">
        <f aca="false">SUM(M767:Q767)*Resumo!$C$11</f>
        <v>5.2347878</v>
      </c>
      <c r="S767" s="39" t="n">
        <f aca="false">SUM(M767:R767)</f>
        <v>100.4127478</v>
      </c>
      <c r="T767" s="39" t="n">
        <f aca="false">S767/(1-Resumo!$C$5)</f>
        <v>114.105395227273</v>
      </c>
      <c r="U767" s="39" t="n">
        <v>112.3</v>
      </c>
      <c r="V767" s="39" t="n">
        <f aca="false">J767*Resumo!$B$6</f>
        <v>0.61699</v>
      </c>
      <c r="W767" s="39" t="n">
        <f aca="false">J767*Resumo!$B$7</f>
        <v>1.23398</v>
      </c>
      <c r="X767" s="39" t="n">
        <f aca="false">Resumo!$B$9</f>
        <v>1</v>
      </c>
      <c r="Y767" s="39" t="n">
        <f aca="false">Resumo!$B$10*CEILING(I767/100,1)</f>
        <v>4.5</v>
      </c>
      <c r="Z767" s="39" t="n">
        <f aca="false">Resumo!$B$12*CEILING(I767,1)</f>
        <v>3.18</v>
      </c>
      <c r="AA767" s="39" t="n">
        <f aca="false">Resumo!$B$13*CEILING(I767,1)</f>
        <v>23.85</v>
      </c>
      <c r="AB767" s="39" t="n">
        <f aca="false">SUM(U767:AA767)</f>
        <v>146.68097</v>
      </c>
      <c r="AC767" s="39" t="n">
        <f aca="false">AB767/(1-Resumo!$B$5)</f>
        <v>166.682920454545</v>
      </c>
      <c r="AD767" s="39" t="n">
        <f aca="false">(AB767-AA767)/(1-Resumo!$B$5)</f>
        <v>139.580647727273</v>
      </c>
      <c r="AE767" s="39" t="n">
        <f aca="false">AC767-T767</f>
        <v>52.5775252272727</v>
      </c>
      <c r="AF767" s="40" t="n">
        <f aca="false">AC767/T767-1</f>
        <v>0.46078036119633</v>
      </c>
      <c r="AG767" s="37" t="str">
        <f aca="false">IF(AC767&lt;T767,"SIM","NÃO")</f>
        <v>NÃO</v>
      </c>
      <c r="AH767" s="37" t="n">
        <v>8</v>
      </c>
      <c r="AI767" s="37" t="n">
        <v>5</v>
      </c>
      <c r="AJ767" s="37" t="s">
        <v>323</v>
      </c>
    </row>
    <row r="768" customFormat="false" ht="15" hidden="false" customHeight="false" outlineLevel="0" collapsed="false">
      <c r="A768" s="37" t="n">
        <v>373588942</v>
      </c>
      <c r="B768" s="38" t="n">
        <v>46242.8924652778</v>
      </c>
      <c r="C768" s="37" t="s">
        <v>320</v>
      </c>
      <c r="D768" s="37" t="s">
        <v>500</v>
      </c>
      <c r="E768" s="37" t="n">
        <v>22780760</v>
      </c>
      <c r="F768" s="37" t="s">
        <v>139</v>
      </c>
      <c r="G768" s="37" t="s">
        <v>198</v>
      </c>
      <c r="H768" s="37" t="s">
        <v>168</v>
      </c>
      <c r="I768" s="37" t="n">
        <v>20.9</v>
      </c>
      <c r="J768" s="39" t="n">
        <v>450</v>
      </c>
      <c r="K768" s="37" t="s">
        <v>322</v>
      </c>
      <c r="L768" s="39" t="n">
        <v>82.48</v>
      </c>
      <c r="M768" s="39" t="n">
        <v>54.1</v>
      </c>
      <c r="N768" s="39" t="n">
        <f aca="false">J768*Resumo!$C$7</f>
        <v>0.9</v>
      </c>
      <c r="O768" s="39" t="n">
        <f aca="false">J768*Resumo!$C$8</f>
        <v>0.9</v>
      </c>
      <c r="P768" s="39" t="n">
        <f aca="false">Resumo!$C$10*CEILING(I768/100,1)</f>
        <v>1</v>
      </c>
      <c r="Q768" s="39" t="n">
        <f aca="false">Resumo!$C$9</f>
        <v>11.9</v>
      </c>
      <c r="R768" s="39" t="n">
        <f aca="false">SUM(M768:Q768)*Resumo!$C$11</f>
        <v>3.784</v>
      </c>
      <c r="S768" s="39" t="n">
        <f aca="false">SUM(M768:R768)</f>
        <v>72.584</v>
      </c>
      <c r="T768" s="39" t="n">
        <f aca="false">S768/(1-Resumo!$C$5)</f>
        <v>82.4818181818182</v>
      </c>
      <c r="U768" s="39" t="n">
        <v>82.21</v>
      </c>
      <c r="V768" s="39" t="n">
        <f aca="false">J768*Resumo!$B$6</f>
        <v>0.45</v>
      </c>
      <c r="W768" s="39" t="n">
        <f aca="false">J768*Resumo!$B$7</f>
        <v>0.9</v>
      </c>
      <c r="X768" s="39" t="n">
        <f aca="false">Resumo!$B$9</f>
        <v>1</v>
      </c>
      <c r="Y768" s="39" t="n">
        <f aca="false">Resumo!$B$10*CEILING(I768/100,1)</f>
        <v>4.5</v>
      </c>
      <c r="Z768" s="39" t="n">
        <f aca="false">Resumo!$B$12*CEILING(I768,1)</f>
        <v>1.26</v>
      </c>
      <c r="AA768" s="39" t="n">
        <f aca="false">Resumo!$B$13*CEILING(I768,1)</f>
        <v>9.45</v>
      </c>
      <c r="AB768" s="39" t="n">
        <f aca="false">SUM(U768:AA768)</f>
        <v>99.77</v>
      </c>
      <c r="AC768" s="39" t="n">
        <f aca="false">AB768/(1-Resumo!$B$5)</f>
        <v>113.375</v>
      </c>
      <c r="AD768" s="39" t="n">
        <f aca="false">(AB768-AA768)/(1-Resumo!$B$5)</f>
        <v>102.636363636364</v>
      </c>
      <c r="AE768" s="39" t="n">
        <f aca="false">AC768-T768</f>
        <v>30.8931818181818</v>
      </c>
      <c r="AF768" s="40" t="n">
        <f aca="false">AC768/T768-1</f>
        <v>0.374545354348066</v>
      </c>
      <c r="AG768" s="37" t="str">
        <f aca="false">IF(AC768&lt;T768,"SIM","NÃO")</f>
        <v>NÃO</v>
      </c>
      <c r="AH768" s="37" t="n">
        <v>8</v>
      </c>
      <c r="AI768" s="37" t="n">
        <v>5</v>
      </c>
      <c r="AJ768" s="37" t="s">
        <v>323</v>
      </c>
    </row>
    <row r="769" customFormat="false" ht="15" hidden="false" customHeight="false" outlineLevel="0" collapsed="false">
      <c r="A769" s="37" t="n">
        <v>373588974</v>
      </c>
      <c r="B769" s="38" t="n">
        <v>46242.8924884259</v>
      </c>
      <c r="C769" s="37" t="s">
        <v>325</v>
      </c>
      <c r="D769" s="37" t="s">
        <v>1064</v>
      </c>
      <c r="E769" s="37" t="n">
        <v>22270060</v>
      </c>
      <c r="F769" s="37" t="s">
        <v>139</v>
      </c>
      <c r="G769" s="37" t="s">
        <v>198</v>
      </c>
      <c r="H769" s="37" t="s">
        <v>172</v>
      </c>
      <c r="I769" s="37" t="n">
        <v>61.4</v>
      </c>
      <c r="J769" s="39" t="n">
        <v>979.99</v>
      </c>
      <c r="K769" s="37" t="s">
        <v>322</v>
      </c>
      <c r="L769" s="39" t="n">
        <v>125.91</v>
      </c>
      <c r="M769" s="39" t="n">
        <v>88.2</v>
      </c>
      <c r="N769" s="39" t="n">
        <f aca="false">J769*Resumo!$C$7</f>
        <v>1.95998</v>
      </c>
      <c r="O769" s="39" t="n">
        <f aca="false">J769*Resumo!$C$8</f>
        <v>1.95998</v>
      </c>
      <c r="P769" s="39" t="n">
        <f aca="false">Resumo!$C$10*CEILING(I769/100,1)</f>
        <v>1</v>
      </c>
      <c r="Q769" s="39" t="n">
        <f aca="false">Resumo!$C$9</f>
        <v>11.9</v>
      </c>
      <c r="R769" s="39" t="n">
        <f aca="false">SUM(M769:Q769)*Resumo!$C$11</f>
        <v>5.7760978</v>
      </c>
      <c r="S769" s="39" t="n">
        <f aca="false">SUM(M769:R769)</f>
        <v>110.7960578</v>
      </c>
      <c r="T769" s="39" t="n">
        <f aca="false">S769/(1-Resumo!$C$5)</f>
        <v>125.904611136364</v>
      </c>
      <c r="U769" s="39" t="n">
        <v>131.02</v>
      </c>
      <c r="V769" s="39" t="n">
        <f aca="false">J769*Resumo!$B$6</f>
        <v>0.97999</v>
      </c>
      <c r="W769" s="39" t="n">
        <f aca="false">J769*Resumo!$B$7</f>
        <v>1.95998</v>
      </c>
      <c r="X769" s="39" t="n">
        <f aca="false">Resumo!$B$9</f>
        <v>1</v>
      </c>
      <c r="Y769" s="39" t="n">
        <f aca="false">Resumo!$B$10*CEILING(I769/100,1)</f>
        <v>4.5</v>
      </c>
      <c r="Z769" s="39" t="n">
        <f aca="false">Resumo!$B$12*CEILING(I769,1)</f>
        <v>3.72</v>
      </c>
      <c r="AA769" s="39" t="n">
        <f aca="false">Resumo!$B$13*CEILING(I769,1)</f>
        <v>27.9</v>
      </c>
      <c r="AB769" s="39" t="n">
        <f aca="false">SUM(U769:AA769)</f>
        <v>171.07997</v>
      </c>
      <c r="AC769" s="39" t="n">
        <f aca="false">AB769/(1-Resumo!$B$5)</f>
        <v>194.409056818182</v>
      </c>
      <c r="AD769" s="39" t="n">
        <f aca="false">(AB769-AA769)/(1-Resumo!$B$5)</f>
        <v>162.704511363636</v>
      </c>
      <c r="AE769" s="39" t="n">
        <f aca="false">AC769-T769</f>
        <v>68.5044456818182</v>
      </c>
      <c r="AF769" s="40" t="n">
        <f aca="false">AC769/T769-1</f>
        <v>0.544097988656055</v>
      </c>
      <c r="AG769" s="37" t="str">
        <f aca="false">IF(AC769&lt;T769,"SIM","NÃO")</f>
        <v>NÃO</v>
      </c>
      <c r="AH769" s="37" t="n">
        <v>8</v>
      </c>
      <c r="AI769" s="37" t="n">
        <v>5</v>
      </c>
      <c r="AJ769" s="37" t="s">
        <v>323</v>
      </c>
    </row>
    <row r="770" customFormat="false" ht="15" hidden="false" customHeight="false" outlineLevel="0" collapsed="false">
      <c r="A770" s="37" t="n">
        <v>373596483</v>
      </c>
      <c r="B770" s="38" t="n">
        <v>46242.9063310185</v>
      </c>
      <c r="C770" s="37" t="s">
        <v>320</v>
      </c>
      <c r="D770" s="37" t="s">
        <v>1065</v>
      </c>
      <c r="E770" s="37" t="n">
        <v>23097640</v>
      </c>
      <c r="F770" s="37" t="s">
        <v>139</v>
      </c>
      <c r="G770" s="37" t="s">
        <v>198</v>
      </c>
      <c r="H770" s="37" t="s">
        <v>170</v>
      </c>
      <c r="I770" s="37" t="n">
        <v>44.6</v>
      </c>
      <c r="J770" s="39" t="n">
        <v>549.99</v>
      </c>
      <c r="K770" s="37" t="s">
        <v>498</v>
      </c>
      <c r="L770" s="39" t="n">
        <v>103.07</v>
      </c>
      <c r="M770" s="39" t="n">
        <v>71</v>
      </c>
      <c r="N770" s="39" t="n">
        <f aca="false">J770*Resumo!$C$7</f>
        <v>1.09998</v>
      </c>
      <c r="O770" s="39" t="n">
        <f aca="false">J770*Resumo!$C$8</f>
        <v>1.09998</v>
      </c>
      <c r="P770" s="39" t="n">
        <f aca="false">Resumo!$C$10*CEILING(I770/100,1)</f>
        <v>1</v>
      </c>
      <c r="Q770" s="39" t="n">
        <f aca="false">Resumo!$C$9</f>
        <v>11.9</v>
      </c>
      <c r="R770" s="39" t="n">
        <f aca="false">SUM(M770:Q770)*Resumo!$C$11</f>
        <v>4.7354978</v>
      </c>
      <c r="S770" s="39" t="n">
        <f aca="false">SUM(M770:R770)</f>
        <v>90.8354578</v>
      </c>
      <c r="T770" s="39" t="n">
        <f aca="false">S770/(1-Resumo!$C$5)</f>
        <v>103.222111136364</v>
      </c>
      <c r="U770" s="39" t="n">
        <v>93.97</v>
      </c>
      <c r="V770" s="39" t="n">
        <f aca="false">J770*Resumo!$B$6</f>
        <v>0.54999</v>
      </c>
      <c r="W770" s="39" t="n">
        <f aca="false">J770*Resumo!$B$7</f>
        <v>1.09998</v>
      </c>
      <c r="X770" s="39" t="n">
        <f aca="false">Resumo!$B$9</f>
        <v>1</v>
      </c>
      <c r="Y770" s="39" t="n">
        <f aca="false">Resumo!$B$10*CEILING(I770/100,1)</f>
        <v>4.5</v>
      </c>
      <c r="Z770" s="39" t="n">
        <f aca="false">Resumo!$B$12*CEILING(I770,1)</f>
        <v>2.7</v>
      </c>
      <c r="AA770" s="39" t="n">
        <f aca="false">Resumo!$B$13*CEILING(I770,1)</f>
        <v>20.25</v>
      </c>
      <c r="AB770" s="39" t="n">
        <f aca="false">SUM(U770:AA770)</f>
        <v>124.06997</v>
      </c>
      <c r="AC770" s="39" t="n">
        <f aca="false">AB770/(1-Resumo!$B$5)</f>
        <v>140.988602272727</v>
      </c>
      <c r="AD770" s="39" t="n">
        <f aca="false">(AB770-AA770)/(1-Resumo!$B$5)</f>
        <v>117.977238636364</v>
      </c>
      <c r="AE770" s="39" t="n">
        <f aca="false">AC770-T770</f>
        <v>37.7664911363636</v>
      </c>
      <c r="AF770" s="40" t="n">
        <f aca="false">AC770/T770-1</f>
        <v>0.365875980645963</v>
      </c>
      <c r="AG770" s="37" t="str">
        <f aca="false">IF(AC770&lt;T770,"SIM","NÃO")</f>
        <v>NÃO</v>
      </c>
      <c r="AH770" s="37" t="n">
        <v>8</v>
      </c>
      <c r="AI770" s="37" t="n">
        <v>5</v>
      </c>
      <c r="AJ770" s="37" t="s">
        <v>323</v>
      </c>
    </row>
    <row r="771" customFormat="false" ht="15" hidden="false" customHeight="false" outlineLevel="0" collapsed="false">
      <c r="A771" s="37" t="n">
        <v>373600840</v>
      </c>
      <c r="B771" s="38" t="n">
        <v>46242.9144097222</v>
      </c>
      <c r="C771" s="37" t="s">
        <v>320</v>
      </c>
      <c r="D771" s="37" t="s">
        <v>1066</v>
      </c>
      <c r="E771" s="37" t="n">
        <v>24436810</v>
      </c>
      <c r="F771" s="37" t="s">
        <v>140</v>
      </c>
      <c r="G771" s="37" t="s">
        <v>207</v>
      </c>
      <c r="H771" s="37" t="s">
        <v>168</v>
      </c>
      <c r="I771" s="37" t="n">
        <v>34.4</v>
      </c>
      <c r="J771" s="39" t="n">
        <v>440.88</v>
      </c>
      <c r="K771" s="37" t="s">
        <v>498</v>
      </c>
      <c r="L771" s="39" t="n">
        <v>103.42</v>
      </c>
      <c r="M771" s="39" t="n">
        <v>70</v>
      </c>
      <c r="N771" s="39" t="n">
        <f aca="false">J771*Resumo!$C$7</f>
        <v>0.88176</v>
      </c>
      <c r="O771" s="39" t="n">
        <f aca="false">J771*Resumo!$C$8</f>
        <v>0.88176</v>
      </c>
      <c r="P771" s="39" t="n">
        <f aca="false">Resumo!$C$10*CEILING(I771/100,1)</f>
        <v>1</v>
      </c>
      <c r="Q771" s="39" t="n">
        <f aca="false">Resumo!$C$9</f>
        <v>11.9</v>
      </c>
      <c r="R771" s="39" t="n">
        <f aca="false">SUM(M771:Q771)*Resumo!$C$11</f>
        <v>4.6564936</v>
      </c>
      <c r="S771" s="39" t="n">
        <f aca="false">SUM(M771:R771)</f>
        <v>89.3200136</v>
      </c>
      <c r="T771" s="39" t="n">
        <f aca="false">S771/(1-Resumo!$C$5)</f>
        <v>101.500015454545</v>
      </c>
      <c r="U771" s="39" t="n">
        <v>100.58</v>
      </c>
      <c r="V771" s="39" t="n">
        <f aca="false">J771*Resumo!$B$6</f>
        <v>0.44088</v>
      </c>
      <c r="W771" s="39" t="n">
        <f aca="false">J771*Resumo!$B$7</f>
        <v>0.88176</v>
      </c>
      <c r="X771" s="39" t="n">
        <f aca="false">Resumo!$B$9</f>
        <v>1</v>
      </c>
      <c r="Y771" s="39" t="n">
        <f aca="false">Resumo!$B$10*CEILING(I771/100,1)</f>
        <v>4.5</v>
      </c>
      <c r="Z771" s="39" t="n">
        <f aca="false">Resumo!$B$12*CEILING(I771,1)</f>
        <v>2.1</v>
      </c>
      <c r="AA771" s="39" t="n">
        <f aca="false">Resumo!$B$13*CEILING(I771,1)</f>
        <v>15.75</v>
      </c>
      <c r="AB771" s="39" t="n">
        <f aca="false">SUM(U771:AA771)</f>
        <v>125.25264</v>
      </c>
      <c r="AC771" s="39" t="n">
        <f aca="false">AB771/(1-Resumo!$B$5)</f>
        <v>142.332545454545</v>
      </c>
      <c r="AD771" s="39" t="n">
        <f aca="false">(AB771-AA771)/(1-Resumo!$B$5)</f>
        <v>124.434818181818</v>
      </c>
      <c r="AE771" s="39" t="n">
        <f aca="false">AC771-T771</f>
        <v>40.83253</v>
      </c>
      <c r="AF771" s="40" t="n">
        <f aca="false">AC771/T771-1</f>
        <v>0.402290874707166</v>
      </c>
      <c r="AG771" s="37" t="str">
        <f aca="false">IF(AC771&lt;T771,"SIM","NÃO")</f>
        <v>NÃO</v>
      </c>
      <c r="AH771" s="37" t="n">
        <v>10</v>
      </c>
      <c r="AI771" s="37" t="n">
        <v>7</v>
      </c>
      <c r="AJ771" s="37" t="s">
        <v>323</v>
      </c>
    </row>
    <row r="772" customFormat="false" ht="15" hidden="false" customHeight="false" outlineLevel="0" collapsed="false">
      <c r="A772" s="37" t="n">
        <v>373606286</v>
      </c>
      <c r="B772" s="38" t="n">
        <v>46242.9253009259</v>
      </c>
      <c r="C772" s="37" t="s">
        <v>320</v>
      </c>
      <c r="D772" s="37" t="s">
        <v>1067</v>
      </c>
      <c r="E772" s="37" t="n">
        <v>24730090</v>
      </c>
      <c r="F772" s="37" t="s">
        <v>140</v>
      </c>
      <c r="G772" s="37" t="s">
        <v>207</v>
      </c>
      <c r="H772" s="37" t="s">
        <v>171</v>
      </c>
      <c r="I772" s="37" t="n">
        <v>54.8</v>
      </c>
      <c r="J772" s="39" t="n">
        <v>719.98</v>
      </c>
      <c r="K772" s="37" t="s">
        <v>498</v>
      </c>
      <c r="L772" s="39" t="n">
        <v>128.81</v>
      </c>
      <c r="M772" s="39" t="n">
        <v>91.6</v>
      </c>
      <c r="N772" s="39" t="n">
        <f aca="false">J772*Resumo!$C$7</f>
        <v>1.43996</v>
      </c>
      <c r="O772" s="39" t="n">
        <f aca="false">J772*Resumo!$C$8</f>
        <v>1.43996</v>
      </c>
      <c r="P772" s="39" t="n">
        <f aca="false">Resumo!$C$10*CEILING(I772/100,1)</f>
        <v>1</v>
      </c>
      <c r="Q772" s="39" t="n">
        <f aca="false">Resumo!$C$9</f>
        <v>11.9</v>
      </c>
      <c r="R772" s="39" t="n">
        <f aca="false">SUM(M772:Q772)*Resumo!$C$11</f>
        <v>5.9058956</v>
      </c>
      <c r="S772" s="39" t="n">
        <f aca="false">SUM(M772:R772)</f>
        <v>113.2858156</v>
      </c>
      <c r="T772" s="39" t="n">
        <f aca="false">S772/(1-Resumo!$C$5)</f>
        <v>128.733881363636</v>
      </c>
      <c r="U772" s="39" t="n">
        <v>128.14</v>
      </c>
      <c r="V772" s="39" t="n">
        <f aca="false">J772*Resumo!$B$6</f>
        <v>0.71998</v>
      </c>
      <c r="W772" s="39" t="n">
        <f aca="false">J772*Resumo!$B$7</f>
        <v>1.43996</v>
      </c>
      <c r="X772" s="39" t="n">
        <f aca="false">Resumo!$B$9</f>
        <v>1</v>
      </c>
      <c r="Y772" s="39" t="n">
        <f aca="false">Resumo!$B$10*CEILING(I772/100,1)</f>
        <v>4.5</v>
      </c>
      <c r="Z772" s="39" t="n">
        <f aca="false">Resumo!$B$12*CEILING(I772,1)</f>
        <v>3.3</v>
      </c>
      <c r="AA772" s="39" t="n">
        <f aca="false">Resumo!$B$13*CEILING(I772,1)</f>
        <v>24.75</v>
      </c>
      <c r="AB772" s="39" t="n">
        <f aca="false">SUM(U772:AA772)</f>
        <v>163.84994</v>
      </c>
      <c r="AC772" s="39" t="n">
        <f aca="false">AB772/(1-Resumo!$B$5)</f>
        <v>186.193113636364</v>
      </c>
      <c r="AD772" s="39" t="n">
        <f aca="false">(AB772-AA772)/(1-Resumo!$B$5)</f>
        <v>158.068113636364</v>
      </c>
      <c r="AE772" s="39" t="n">
        <f aca="false">AC772-T772</f>
        <v>57.4592322727273</v>
      </c>
      <c r="AF772" s="40" t="n">
        <f aca="false">AC772/T772-1</f>
        <v>0.446341178127158</v>
      </c>
      <c r="AG772" s="37" t="str">
        <f aca="false">IF(AC772&lt;T772,"SIM","NÃO")</f>
        <v>NÃO</v>
      </c>
      <c r="AH772" s="37" t="n">
        <v>10</v>
      </c>
      <c r="AI772" s="37" t="n">
        <v>7</v>
      </c>
      <c r="AJ772" s="37" t="s">
        <v>323</v>
      </c>
    </row>
    <row r="773" customFormat="false" ht="15" hidden="false" customHeight="false" outlineLevel="0" collapsed="false">
      <c r="A773" s="37" t="n">
        <v>373608428</v>
      </c>
      <c r="B773" s="38" t="n">
        <v>46242.9296527778</v>
      </c>
      <c r="C773" s="37" t="s">
        <v>320</v>
      </c>
      <c r="D773" s="37" t="s">
        <v>1068</v>
      </c>
      <c r="E773" s="37" t="n">
        <v>21530013</v>
      </c>
      <c r="F773" s="37" t="s">
        <v>139</v>
      </c>
      <c r="G773" s="37" t="s">
        <v>198</v>
      </c>
      <c r="H773" s="37" t="s">
        <v>168</v>
      </c>
      <c r="I773" s="37" t="n">
        <v>29.2</v>
      </c>
      <c r="J773" s="39" t="n">
        <v>387.99</v>
      </c>
      <c r="K773" s="37" t="s">
        <v>322</v>
      </c>
      <c r="L773" s="39" t="n">
        <v>82.19</v>
      </c>
      <c r="M773" s="39" t="n">
        <v>54.1</v>
      </c>
      <c r="N773" s="39" t="n">
        <f aca="false">J773*Resumo!$C$7</f>
        <v>0.77598</v>
      </c>
      <c r="O773" s="39" t="n">
        <f aca="false">J773*Resumo!$C$8</f>
        <v>0.77598</v>
      </c>
      <c r="P773" s="39" t="n">
        <f aca="false">Resumo!$C$10*CEILING(I773/100,1)</f>
        <v>1</v>
      </c>
      <c r="Q773" s="39" t="n">
        <f aca="false">Resumo!$C$9</f>
        <v>11.9</v>
      </c>
      <c r="R773" s="39" t="n">
        <f aca="false">SUM(M773:Q773)*Resumo!$C$11</f>
        <v>3.7703578</v>
      </c>
      <c r="S773" s="39" t="n">
        <f aca="false">SUM(M773:R773)</f>
        <v>72.3223178</v>
      </c>
      <c r="T773" s="39" t="n">
        <f aca="false">S773/(1-Resumo!$C$5)</f>
        <v>82.1844520454546</v>
      </c>
      <c r="U773" s="39" t="n">
        <v>82.21</v>
      </c>
      <c r="V773" s="39" t="n">
        <f aca="false">J773*Resumo!$B$6</f>
        <v>0.38799</v>
      </c>
      <c r="W773" s="39" t="n">
        <f aca="false">J773*Resumo!$B$7</f>
        <v>0.77598</v>
      </c>
      <c r="X773" s="39" t="n">
        <f aca="false">Resumo!$B$9</f>
        <v>1</v>
      </c>
      <c r="Y773" s="39" t="n">
        <f aca="false">Resumo!$B$10*CEILING(I773/100,1)</f>
        <v>4.5</v>
      </c>
      <c r="Z773" s="39" t="n">
        <f aca="false">Resumo!$B$12*CEILING(I773,1)</f>
        <v>1.8</v>
      </c>
      <c r="AA773" s="39" t="n">
        <f aca="false">Resumo!$B$13*CEILING(I773,1)</f>
        <v>13.5</v>
      </c>
      <c r="AB773" s="39" t="n">
        <f aca="false">SUM(U773:AA773)</f>
        <v>104.17397</v>
      </c>
      <c r="AC773" s="39" t="n">
        <f aca="false">AB773/(1-Resumo!$B$5)</f>
        <v>118.379511363636</v>
      </c>
      <c r="AD773" s="39" t="n">
        <f aca="false">(AB773-AA773)/(1-Resumo!$B$5)</f>
        <v>103.038602272727</v>
      </c>
      <c r="AE773" s="39" t="n">
        <f aca="false">AC773-T773</f>
        <v>36.1950593181818</v>
      </c>
      <c r="AF773" s="40" t="n">
        <f aca="false">AC773/T773-1</f>
        <v>0.44041249186845</v>
      </c>
      <c r="AG773" s="37" t="str">
        <f aca="false">IF(AC773&lt;T773,"SIM","NÃO")</f>
        <v>NÃO</v>
      </c>
      <c r="AH773" s="37" t="n">
        <v>8</v>
      </c>
      <c r="AI773" s="37" t="n">
        <v>5</v>
      </c>
      <c r="AJ773" s="37" t="s">
        <v>323</v>
      </c>
    </row>
    <row r="774" customFormat="false" ht="15" hidden="false" customHeight="false" outlineLevel="0" collapsed="false">
      <c r="A774" s="37" t="n">
        <v>373613499</v>
      </c>
      <c r="B774" s="38" t="n">
        <v>46242.94</v>
      </c>
      <c r="C774" s="37" t="s">
        <v>320</v>
      </c>
      <c r="D774" s="37" t="s">
        <v>1069</v>
      </c>
      <c r="E774" s="37" t="n">
        <v>21011290</v>
      </c>
      <c r="F774" s="37" t="s">
        <v>139</v>
      </c>
      <c r="G774" s="37" t="s">
        <v>198</v>
      </c>
      <c r="H774" s="37" t="s">
        <v>168</v>
      </c>
      <c r="I774" s="37" t="n">
        <v>27</v>
      </c>
      <c r="J774" s="39" t="n">
        <v>297.99</v>
      </c>
      <c r="K774" s="37" t="s">
        <v>322</v>
      </c>
      <c r="L774" s="39" t="n">
        <v>81.76</v>
      </c>
      <c r="M774" s="39" t="n">
        <v>54.1</v>
      </c>
      <c r="N774" s="39" t="n">
        <f aca="false">J774*Resumo!$C$7</f>
        <v>0.59598</v>
      </c>
      <c r="O774" s="39" t="n">
        <f aca="false">J774*Resumo!$C$8</f>
        <v>0.59598</v>
      </c>
      <c r="P774" s="39" t="n">
        <f aca="false">Resumo!$C$10*CEILING(I774/100,1)</f>
        <v>1</v>
      </c>
      <c r="Q774" s="39" t="n">
        <f aca="false">Resumo!$C$9</f>
        <v>11.9</v>
      </c>
      <c r="R774" s="39" t="n">
        <f aca="false">SUM(M774:Q774)*Resumo!$C$11</f>
        <v>3.7505578</v>
      </c>
      <c r="S774" s="39" t="n">
        <f aca="false">SUM(M774:R774)</f>
        <v>71.9425178</v>
      </c>
      <c r="T774" s="39" t="n">
        <f aca="false">S774/(1-Resumo!$C$5)</f>
        <v>81.7528611363636</v>
      </c>
      <c r="U774" s="39" t="n">
        <v>82.21</v>
      </c>
      <c r="V774" s="39" t="n">
        <f aca="false">J774*Resumo!$B$6</f>
        <v>0.29799</v>
      </c>
      <c r="W774" s="39" t="n">
        <f aca="false">J774*Resumo!$B$7</f>
        <v>0.59598</v>
      </c>
      <c r="X774" s="39" t="n">
        <f aca="false">Resumo!$B$9</f>
        <v>1</v>
      </c>
      <c r="Y774" s="39" t="n">
        <f aca="false">Resumo!$B$10*CEILING(I774/100,1)</f>
        <v>4.5</v>
      </c>
      <c r="Z774" s="39" t="n">
        <f aca="false">Resumo!$B$12*CEILING(I774,1)</f>
        <v>1.62</v>
      </c>
      <c r="AA774" s="39" t="n">
        <f aca="false">Resumo!$B$13*CEILING(I774,1)</f>
        <v>12.15</v>
      </c>
      <c r="AB774" s="39" t="n">
        <f aca="false">SUM(U774:AA774)</f>
        <v>102.37397</v>
      </c>
      <c r="AC774" s="39" t="n">
        <f aca="false">AB774/(1-Resumo!$B$5)</f>
        <v>116.334056818182</v>
      </c>
      <c r="AD774" s="39" t="n">
        <f aca="false">(AB774-AA774)/(1-Resumo!$B$5)</f>
        <v>102.527238636364</v>
      </c>
      <c r="AE774" s="39" t="n">
        <f aca="false">AC774-T774</f>
        <v>34.5811956818182</v>
      </c>
      <c r="AF774" s="40" t="n">
        <f aca="false">AC774/T774-1</f>
        <v>0.422996763674568</v>
      </c>
      <c r="AG774" s="37" t="str">
        <f aca="false">IF(AC774&lt;T774,"SIM","NÃO")</f>
        <v>NÃO</v>
      </c>
      <c r="AH774" s="37" t="n">
        <v>8</v>
      </c>
      <c r="AI774" s="37" t="n">
        <v>5</v>
      </c>
      <c r="AJ774" s="37" t="s">
        <v>323</v>
      </c>
    </row>
    <row r="775" customFormat="false" ht="15" hidden="false" customHeight="false" outlineLevel="0" collapsed="false">
      <c r="A775" s="37" t="n">
        <v>373614827</v>
      </c>
      <c r="B775" s="38" t="n">
        <v>46242.9423032407</v>
      </c>
      <c r="C775" s="37" t="s">
        <v>320</v>
      </c>
      <c r="D775" s="37" t="s">
        <v>1070</v>
      </c>
      <c r="E775" s="37" t="n">
        <v>28994282</v>
      </c>
      <c r="F775" s="37" t="s">
        <v>281</v>
      </c>
      <c r="G775" s="37" t="s">
        <v>201</v>
      </c>
      <c r="H775" s="37" t="s">
        <v>172</v>
      </c>
      <c r="I775" s="37" t="n">
        <v>61.5</v>
      </c>
      <c r="J775" s="39" t="n">
        <v>708.4</v>
      </c>
      <c r="K775" s="37" t="s">
        <v>498</v>
      </c>
      <c r="L775" s="39" t="n">
        <v>154.18</v>
      </c>
      <c r="M775" s="39" t="n">
        <v>113.9</v>
      </c>
      <c r="N775" s="39" t="n">
        <f aca="false">J775*Resumo!$C$7</f>
        <v>1.4168</v>
      </c>
      <c r="O775" s="39" t="n">
        <f aca="false">J775*Resumo!$C$8</f>
        <v>1.4168</v>
      </c>
      <c r="P775" s="39" t="n">
        <f aca="false">Resumo!$C$10*CEILING(I775/100,1)</f>
        <v>1</v>
      </c>
      <c r="Q775" s="39" t="n">
        <f aca="false">Resumo!$C$9</f>
        <v>11.9</v>
      </c>
      <c r="R775" s="39" t="n">
        <f aca="false">SUM(M775:Q775)*Resumo!$C$11</f>
        <v>7.129848</v>
      </c>
      <c r="S775" s="39" t="n">
        <f aca="false">SUM(M775:R775)</f>
        <v>136.763448</v>
      </c>
      <c r="T775" s="39" t="n">
        <f aca="false">S775/(1-Resumo!$C$5)</f>
        <v>155.413009090909</v>
      </c>
      <c r="U775" s="39" t="n">
        <v>166.05</v>
      </c>
      <c r="V775" s="39" t="n">
        <f aca="false">J775*Resumo!$B$6</f>
        <v>0.7084</v>
      </c>
      <c r="W775" s="39" t="n">
        <f aca="false">J775*Resumo!$B$7</f>
        <v>1.4168</v>
      </c>
      <c r="X775" s="39" t="n">
        <f aca="false">Resumo!$B$9</f>
        <v>1</v>
      </c>
      <c r="Y775" s="39" t="n">
        <f aca="false">Resumo!$B$10*CEILING(I775/100,1)</f>
        <v>4.5</v>
      </c>
      <c r="Z775" s="39" t="n">
        <f aca="false">Resumo!$B$12*CEILING(I775,1)</f>
        <v>3.72</v>
      </c>
      <c r="AA775" s="39" t="n">
        <f aca="false">Resumo!$B$13*CEILING(I775,1)</f>
        <v>27.9</v>
      </c>
      <c r="AB775" s="39" t="n">
        <f aca="false">SUM(U775:AA775)</f>
        <v>205.2952</v>
      </c>
      <c r="AC775" s="39" t="n">
        <f aca="false">AB775/(1-Resumo!$B$5)</f>
        <v>233.29</v>
      </c>
      <c r="AD775" s="39" t="n">
        <f aca="false">(AB775-AA775)/(1-Resumo!$B$5)</f>
        <v>201.585454545455</v>
      </c>
      <c r="AE775" s="39" t="n">
        <f aca="false">AC775-T775</f>
        <v>77.8769909090909</v>
      </c>
      <c r="AF775" s="40" t="n">
        <f aca="false">AC775/T775-1</f>
        <v>0.501096989014199</v>
      </c>
      <c r="AG775" s="37" t="str">
        <f aca="false">IF(AC775&lt;T775,"SIM","NÃO")</f>
        <v>NÃO</v>
      </c>
      <c r="AH775" s="37" t="n">
        <v>13</v>
      </c>
      <c r="AI775" s="37" t="n">
        <v>10</v>
      </c>
      <c r="AJ775" s="37" t="s">
        <v>327</v>
      </c>
    </row>
    <row r="776" customFormat="false" ht="15" hidden="false" customHeight="false" outlineLevel="0" collapsed="false">
      <c r="A776" s="37" t="n">
        <v>373615994</v>
      </c>
      <c r="B776" s="38" t="n">
        <v>46242.9448726852</v>
      </c>
      <c r="C776" s="37" t="s">
        <v>320</v>
      </c>
      <c r="D776" s="37" t="s">
        <v>1071</v>
      </c>
      <c r="E776" s="37" t="n">
        <v>24456150</v>
      </c>
      <c r="F776" s="37" t="s">
        <v>140</v>
      </c>
      <c r="G776" s="37" t="s">
        <v>207</v>
      </c>
      <c r="H776" s="37" t="s">
        <v>168</v>
      </c>
      <c r="I776" s="37" t="n">
        <v>22.4</v>
      </c>
      <c r="J776" s="39" t="n">
        <v>423</v>
      </c>
      <c r="K776" s="37" t="s">
        <v>365</v>
      </c>
      <c r="L776" s="39" t="n">
        <v>85.45</v>
      </c>
      <c r="M776" s="39" t="n">
        <v>70</v>
      </c>
      <c r="N776" s="39" t="n">
        <f aca="false">J776*Resumo!$C$7</f>
        <v>0.846</v>
      </c>
      <c r="O776" s="39" t="n">
        <f aca="false">J776*Resumo!$C$8</f>
        <v>0.846</v>
      </c>
      <c r="P776" s="39" t="n">
        <f aca="false">Resumo!$C$10*CEILING(I776/100,1)</f>
        <v>1</v>
      </c>
      <c r="Q776" s="39" t="n">
        <f aca="false">Resumo!$C$9</f>
        <v>11.9</v>
      </c>
      <c r="R776" s="39" t="n">
        <f aca="false">SUM(M776:Q776)*Resumo!$C$11</f>
        <v>4.65256</v>
      </c>
      <c r="S776" s="39" t="n">
        <f aca="false">SUM(M776:R776)</f>
        <v>89.24456</v>
      </c>
      <c r="T776" s="39" t="n">
        <f aca="false">S776/(1-Resumo!$C$5)</f>
        <v>101.414272727273</v>
      </c>
      <c r="U776" s="39" t="n">
        <v>100.58</v>
      </c>
      <c r="V776" s="39" t="n">
        <f aca="false">J776*Resumo!$B$6</f>
        <v>0.423</v>
      </c>
      <c r="W776" s="39" t="n">
        <f aca="false">J776*Resumo!$B$7</f>
        <v>0.846</v>
      </c>
      <c r="X776" s="39" t="n">
        <f aca="false">Resumo!$B$9</f>
        <v>1</v>
      </c>
      <c r="Y776" s="39" t="n">
        <f aca="false">Resumo!$B$10*CEILING(I776/100,1)</f>
        <v>4.5</v>
      </c>
      <c r="Z776" s="39" t="n">
        <f aca="false">Resumo!$B$12*CEILING(I776,1)</f>
        <v>1.38</v>
      </c>
      <c r="AA776" s="39" t="n">
        <f aca="false">Resumo!$B$13*CEILING(I776,1)</f>
        <v>10.35</v>
      </c>
      <c r="AB776" s="39" t="n">
        <f aca="false">SUM(U776:AA776)</f>
        <v>119.079</v>
      </c>
      <c r="AC776" s="39" t="n">
        <f aca="false">AB776/(1-Resumo!$B$5)</f>
        <v>135.317045454545</v>
      </c>
      <c r="AD776" s="39" t="n">
        <f aca="false">(AB776-AA776)/(1-Resumo!$B$5)</f>
        <v>123.555681818182</v>
      </c>
      <c r="AE776" s="39" t="n">
        <f aca="false">AC776-T776</f>
        <v>33.9027727272727</v>
      </c>
      <c r="AF776" s="40" t="n">
        <f aca="false">AC776/T776-1</f>
        <v>0.334299816145657</v>
      </c>
      <c r="AG776" s="37" t="str">
        <f aca="false">IF(AC776&lt;T776,"SIM","NÃO")</f>
        <v>NÃO</v>
      </c>
      <c r="AH776" s="37" t="n">
        <v>10</v>
      </c>
      <c r="AI776" s="37" t="n">
        <v>7</v>
      </c>
      <c r="AJ776" s="37" t="s">
        <v>323</v>
      </c>
    </row>
    <row r="777" customFormat="false" ht="15" hidden="false" customHeight="false" outlineLevel="0" collapsed="false">
      <c r="A777" s="37" t="n">
        <v>373616222</v>
      </c>
      <c r="B777" s="38" t="n">
        <v>46242.9454861111</v>
      </c>
      <c r="C777" s="37" t="s">
        <v>320</v>
      </c>
      <c r="D777" s="37" t="s">
        <v>1072</v>
      </c>
      <c r="E777" s="37" t="n">
        <v>24320420</v>
      </c>
      <c r="F777" s="37" t="s">
        <v>143</v>
      </c>
      <c r="G777" s="37" t="s">
        <v>207</v>
      </c>
      <c r="H777" s="37" t="s">
        <v>171</v>
      </c>
      <c r="I777" s="37" t="n">
        <v>52.3</v>
      </c>
      <c r="J777" s="39" t="n">
        <v>616.99</v>
      </c>
      <c r="K777" s="37" t="s">
        <v>322</v>
      </c>
      <c r="L777" s="39" t="n">
        <v>128.23</v>
      </c>
      <c r="M777" s="39" t="n">
        <v>91.6</v>
      </c>
      <c r="N777" s="39" t="n">
        <f aca="false">J777*Resumo!$C$7</f>
        <v>1.23398</v>
      </c>
      <c r="O777" s="39" t="n">
        <f aca="false">J777*Resumo!$C$8</f>
        <v>1.23398</v>
      </c>
      <c r="P777" s="39" t="n">
        <f aca="false">Resumo!$C$10*CEILING(I777/100,1)</f>
        <v>1</v>
      </c>
      <c r="Q777" s="39" t="n">
        <f aca="false">Resumo!$C$9</f>
        <v>11.9</v>
      </c>
      <c r="R777" s="39" t="n">
        <f aca="false">SUM(M777:Q777)*Resumo!$C$11</f>
        <v>5.8832378</v>
      </c>
      <c r="S777" s="39" t="n">
        <f aca="false">SUM(M777:R777)</f>
        <v>112.8511978</v>
      </c>
      <c r="T777" s="39" t="n">
        <f aca="false">S777/(1-Resumo!$C$5)</f>
        <v>128.2399975</v>
      </c>
      <c r="U777" s="39" t="n">
        <v>128.14</v>
      </c>
      <c r="V777" s="39" t="n">
        <f aca="false">J777*Resumo!$B$6</f>
        <v>0.61699</v>
      </c>
      <c r="W777" s="39" t="n">
        <f aca="false">J777*Resumo!$B$7</f>
        <v>1.23398</v>
      </c>
      <c r="X777" s="39" t="n">
        <f aca="false">Resumo!$B$9</f>
        <v>1</v>
      </c>
      <c r="Y777" s="39" t="n">
        <f aca="false">Resumo!$B$10*CEILING(I777/100,1)</f>
        <v>4.5</v>
      </c>
      <c r="Z777" s="39" t="n">
        <f aca="false">Resumo!$B$12*CEILING(I777,1)</f>
        <v>3.18</v>
      </c>
      <c r="AA777" s="39" t="n">
        <f aca="false">Resumo!$B$13*CEILING(I777,1)</f>
        <v>23.85</v>
      </c>
      <c r="AB777" s="39" t="n">
        <f aca="false">SUM(U777:AA777)</f>
        <v>162.52097</v>
      </c>
      <c r="AC777" s="39" t="n">
        <f aca="false">AB777/(1-Resumo!$B$5)</f>
        <v>184.682920454545</v>
      </c>
      <c r="AD777" s="39" t="n">
        <f aca="false">(AB777-AA777)/(1-Resumo!$B$5)</f>
        <v>157.580647727273</v>
      </c>
      <c r="AE777" s="39" t="n">
        <f aca="false">AC777-T777</f>
        <v>56.4429229545455</v>
      </c>
      <c r="AF777" s="40" t="n">
        <f aca="false">AC777/T777-1</f>
        <v>0.440135090883369</v>
      </c>
      <c r="AG777" s="37" t="str">
        <f aca="false">IF(AC777&lt;T777,"SIM","NÃO")</f>
        <v>NÃO</v>
      </c>
      <c r="AH777" s="37" t="n">
        <v>10</v>
      </c>
      <c r="AI777" s="37" t="n">
        <v>7</v>
      </c>
      <c r="AJ777" s="37" t="s">
        <v>323</v>
      </c>
    </row>
    <row r="778" customFormat="false" ht="15" hidden="false" customHeight="false" outlineLevel="0" collapsed="false">
      <c r="A778" s="37" t="n">
        <v>373616962</v>
      </c>
      <c r="B778" s="38" t="n">
        <v>46242.9470601852</v>
      </c>
      <c r="C778" s="37" t="s">
        <v>320</v>
      </c>
      <c r="D778" s="37" t="s">
        <v>369</v>
      </c>
      <c r="E778" s="37" t="n">
        <v>23056630</v>
      </c>
      <c r="F778" s="37" t="s">
        <v>139</v>
      </c>
      <c r="G778" s="37" t="s">
        <v>198</v>
      </c>
      <c r="H778" s="37" t="s">
        <v>171</v>
      </c>
      <c r="I778" s="37" t="n">
        <v>52.3</v>
      </c>
      <c r="J778" s="39" t="n">
        <v>685.88</v>
      </c>
      <c r="K778" s="37" t="s">
        <v>498</v>
      </c>
      <c r="L778" s="39" t="n">
        <v>113.56</v>
      </c>
      <c r="M778" s="39" t="n">
        <v>79.81</v>
      </c>
      <c r="N778" s="39" t="n">
        <f aca="false">J778*Resumo!$C$7</f>
        <v>1.37176</v>
      </c>
      <c r="O778" s="39" t="n">
        <f aca="false">J778*Resumo!$C$8</f>
        <v>1.37176</v>
      </c>
      <c r="P778" s="39" t="n">
        <f aca="false">Resumo!$C$10*CEILING(I778/100,1)</f>
        <v>1</v>
      </c>
      <c r="Q778" s="39" t="n">
        <f aca="false">Resumo!$C$9</f>
        <v>11.9</v>
      </c>
      <c r="R778" s="39" t="n">
        <f aca="false">SUM(M778:Q778)*Resumo!$C$11</f>
        <v>5.2499436</v>
      </c>
      <c r="S778" s="39" t="n">
        <f aca="false">SUM(M778:R778)</f>
        <v>100.7034636</v>
      </c>
      <c r="T778" s="39" t="n">
        <f aca="false">S778/(1-Resumo!$C$5)</f>
        <v>114.435754090909</v>
      </c>
      <c r="U778" s="39" t="n">
        <v>112.3</v>
      </c>
      <c r="V778" s="39" t="n">
        <f aca="false">J778*Resumo!$B$6</f>
        <v>0.68588</v>
      </c>
      <c r="W778" s="39" t="n">
        <f aca="false">J778*Resumo!$B$7</f>
        <v>1.37176</v>
      </c>
      <c r="X778" s="39" t="n">
        <f aca="false">Resumo!$B$9</f>
        <v>1</v>
      </c>
      <c r="Y778" s="39" t="n">
        <f aca="false">Resumo!$B$10*CEILING(I778/100,1)</f>
        <v>4.5</v>
      </c>
      <c r="Z778" s="39" t="n">
        <f aca="false">Resumo!$B$12*CEILING(I778,1)</f>
        <v>3.18</v>
      </c>
      <c r="AA778" s="39" t="n">
        <f aca="false">Resumo!$B$13*CEILING(I778,1)</f>
        <v>23.85</v>
      </c>
      <c r="AB778" s="39" t="n">
        <f aca="false">SUM(U778:AA778)</f>
        <v>146.88764</v>
      </c>
      <c r="AC778" s="39" t="n">
        <f aca="false">AB778/(1-Resumo!$B$5)</f>
        <v>166.917772727273</v>
      </c>
      <c r="AD778" s="39" t="n">
        <f aca="false">(AB778-AA778)/(1-Resumo!$B$5)</f>
        <v>139.8155</v>
      </c>
      <c r="AE778" s="39" t="n">
        <f aca="false">AC778-T778</f>
        <v>52.4820186363637</v>
      </c>
      <c r="AF778" s="40" t="n">
        <f aca="false">AC778/T778-1</f>
        <v>0.458615570398316</v>
      </c>
      <c r="AG778" s="37" t="str">
        <f aca="false">IF(AC778&lt;T778,"SIM","NÃO")</f>
        <v>NÃO</v>
      </c>
      <c r="AH778" s="37" t="n">
        <v>8</v>
      </c>
      <c r="AI778" s="37" t="n">
        <v>5</v>
      </c>
      <c r="AJ778" s="37" t="s">
        <v>323</v>
      </c>
    </row>
    <row r="779" customFormat="false" ht="15" hidden="false" customHeight="false" outlineLevel="0" collapsed="false">
      <c r="A779" s="37" t="n">
        <v>373618744</v>
      </c>
      <c r="B779" s="38" t="n">
        <v>46242.9505787037</v>
      </c>
      <c r="C779" s="37" t="s">
        <v>320</v>
      </c>
      <c r="D779" s="37" t="s">
        <v>1073</v>
      </c>
      <c r="E779" s="37" t="n">
        <v>20750030</v>
      </c>
      <c r="F779" s="37" t="s">
        <v>139</v>
      </c>
      <c r="G779" s="37" t="s">
        <v>198</v>
      </c>
      <c r="H779" s="37" t="s">
        <v>171</v>
      </c>
      <c r="I779" s="37" t="n">
        <v>52.3</v>
      </c>
      <c r="J779" s="39" t="n">
        <v>685.88</v>
      </c>
      <c r="K779" s="37" t="s">
        <v>322</v>
      </c>
      <c r="L779" s="39" t="n">
        <v>114.43</v>
      </c>
      <c r="M779" s="39" t="n">
        <v>79.81</v>
      </c>
      <c r="N779" s="39" t="n">
        <f aca="false">J779*Resumo!$C$7</f>
        <v>1.37176</v>
      </c>
      <c r="O779" s="39" t="n">
        <f aca="false">J779*Resumo!$C$8</f>
        <v>1.37176</v>
      </c>
      <c r="P779" s="39" t="n">
        <f aca="false">Resumo!$C$10*CEILING(I779/100,1)</f>
        <v>1</v>
      </c>
      <c r="Q779" s="39" t="n">
        <f aca="false">Resumo!$C$9</f>
        <v>11.9</v>
      </c>
      <c r="R779" s="39" t="n">
        <f aca="false">SUM(M779:Q779)*Resumo!$C$11</f>
        <v>5.2499436</v>
      </c>
      <c r="S779" s="39" t="n">
        <f aca="false">SUM(M779:R779)</f>
        <v>100.7034636</v>
      </c>
      <c r="T779" s="39" t="n">
        <f aca="false">S779/(1-Resumo!$C$5)</f>
        <v>114.435754090909</v>
      </c>
      <c r="U779" s="39" t="n">
        <v>112.3</v>
      </c>
      <c r="V779" s="39" t="n">
        <f aca="false">J779*Resumo!$B$6</f>
        <v>0.68588</v>
      </c>
      <c r="W779" s="39" t="n">
        <f aca="false">J779*Resumo!$B$7</f>
        <v>1.37176</v>
      </c>
      <c r="X779" s="39" t="n">
        <f aca="false">Resumo!$B$9</f>
        <v>1</v>
      </c>
      <c r="Y779" s="39" t="n">
        <f aca="false">Resumo!$B$10*CEILING(I779/100,1)</f>
        <v>4.5</v>
      </c>
      <c r="Z779" s="39" t="n">
        <f aca="false">Resumo!$B$12*CEILING(I779,1)</f>
        <v>3.18</v>
      </c>
      <c r="AA779" s="39" t="n">
        <f aca="false">Resumo!$B$13*CEILING(I779,1)</f>
        <v>23.85</v>
      </c>
      <c r="AB779" s="39" t="n">
        <f aca="false">SUM(U779:AA779)</f>
        <v>146.88764</v>
      </c>
      <c r="AC779" s="39" t="n">
        <f aca="false">AB779/(1-Resumo!$B$5)</f>
        <v>166.917772727273</v>
      </c>
      <c r="AD779" s="39" t="n">
        <f aca="false">(AB779-AA779)/(1-Resumo!$B$5)</f>
        <v>139.8155</v>
      </c>
      <c r="AE779" s="39" t="n">
        <f aca="false">AC779-T779</f>
        <v>52.4820186363637</v>
      </c>
      <c r="AF779" s="40" t="n">
        <f aca="false">AC779/T779-1</f>
        <v>0.458615570398316</v>
      </c>
      <c r="AG779" s="37" t="str">
        <f aca="false">IF(AC779&lt;T779,"SIM","NÃO")</f>
        <v>NÃO</v>
      </c>
      <c r="AH779" s="37" t="n">
        <v>8</v>
      </c>
      <c r="AI779" s="37" t="n">
        <v>5</v>
      </c>
      <c r="AJ779" s="37" t="s">
        <v>323</v>
      </c>
    </row>
    <row r="780" customFormat="false" ht="15" hidden="false" customHeight="false" outlineLevel="0" collapsed="false">
      <c r="A780" s="37" t="n">
        <v>373619912</v>
      </c>
      <c r="B780" s="38" t="n">
        <v>46242.952962963</v>
      </c>
      <c r="C780" s="37" t="s">
        <v>320</v>
      </c>
      <c r="D780" s="37" t="s">
        <v>1074</v>
      </c>
      <c r="E780" s="37" t="n">
        <v>24723415</v>
      </c>
      <c r="F780" s="37" t="s">
        <v>140</v>
      </c>
      <c r="G780" s="37" t="s">
        <v>207</v>
      </c>
      <c r="H780" s="37" t="s">
        <v>167</v>
      </c>
      <c r="I780" s="37" t="n">
        <v>19.5</v>
      </c>
      <c r="J780" s="39" t="n">
        <v>351</v>
      </c>
      <c r="K780" s="37" t="s">
        <v>498</v>
      </c>
      <c r="L780" s="39" t="n">
        <v>77.05</v>
      </c>
      <c r="M780" s="39" t="n">
        <v>48.69</v>
      </c>
      <c r="N780" s="39" t="n">
        <f aca="false">J780*Resumo!$C$7</f>
        <v>0.702</v>
      </c>
      <c r="O780" s="39" t="n">
        <f aca="false">J780*Resumo!$C$8</f>
        <v>0.702</v>
      </c>
      <c r="P780" s="39" t="n">
        <f aca="false">Resumo!$C$10*CEILING(I780/100,1)</f>
        <v>1</v>
      </c>
      <c r="Q780" s="39" t="n">
        <f aca="false">Resumo!$C$9</f>
        <v>11.9</v>
      </c>
      <c r="R780" s="39" t="n">
        <f aca="false">SUM(M780:Q780)*Resumo!$C$11</f>
        <v>3.46467</v>
      </c>
      <c r="S780" s="39" t="n">
        <f aca="false">SUM(M780:R780)</f>
        <v>66.45867</v>
      </c>
      <c r="T780" s="39" t="n">
        <f aca="false">S780/(1-Resumo!$C$5)</f>
        <v>75.5212159090909</v>
      </c>
      <c r="U780" s="39" t="n">
        <v>57.47</v>
      </c>
      <c r="V780" s="39" t="n">
        <f aca="false">J780*Resumo!$B$6</f>
        <v>0.351</v>
      </c>
      <c r="W780" s="39" t="n">
        <f aca="false">J780*Resumo!$B$7</f>
        <v>0.702</v>
      </c>
      <c r="X780" s="39" t="n">
        <f aca="false">Resumo!$B$9</f>
        <v>1</v>
      </c>
      <c r="Y780" s="39" t="n">
        <f aca="false">Resumo!$B$10*CEILING(I780/100,1)</f>
        <v>4.5</v>
      </c>
      <c r="Z780" s="39" t="n">
        <f aca="false">Resumo!$B$12*CEILING(I780,1)</f>
        <v>1.2</v>
      </c>
      <c r="AA780" s="39" t="n">
        <f aca="false">Resumo!$B$13*CEILING(I780,1)</f>
        <v>9</v>
      </c>
      <c r="AB780" s="39" t="n">
        <f aca="false">SUM(U780:AA780)</f>
        <v>74.223</v>
      </c>
      <c r="AC780" s="39" t="n">
        <f aca="false">AB780/(1-Resumo!$B$5)</f>
        <v>84.3443181818182</v>
      </c>
      <c r="AD780" s="39" t="n">
        <f aca="false">(AB780-AA780)/(1-Resumo!$B$5)</f>
        <v>74.1170454545455</v>
      </c>
      <c r="AE780" s="39" t="n">
        <f aca="false">AC780-T780</f>
        <v>8.82310227272727</v>
      </c>
      <c r="AF780" s="40" t="n">
        <f aca="false">AC780/T780-1</f>
        <v>0.11682945204892</v>
      </c>
      <c r="AG780" s="37" t="str">
        <f aca="false">IF(AC780&lt;T780,"SIM","NÃO")</f>
        <v>NÃO</v>
      </c>
      <c r="AH780" s="37" t="n">
        <v>10</v>
      </c>
      <c r="AI780" s="37" t="n">
        <v>7</v>
      </c>
      <c r="AJ780" s="37" t="s">
        <v>323</v>
      </c>
    </row>
    <row r="781" customFormat="false" ht="15" hidden="false" customHeight="false" outlineLevel="0" collapsed="false">
      <c r="A781" s="37" t="n">
        <v>373633250</v>
      </c>
      <c r="B781" s="38" t="n">
        <v>46242.9636458333</v>
      </c>
      <c r="C781" s="37" t="s">
        <v>517</v>
      </c>
      <c r="D781" s="37" t="s">
        <v>1075</v>
      </c>
      <c r="E781" s="37" t="n">
        <v>22210030</v>
      </c>
      <c r="F781" s="37" t="s">
        <v>139</v>
      </c>
      <c r="G781" s="37" t="s">
        <v>198</v>
      </c>
      <c r="H781" s="37" t="s">
        <v>170</v>
      </c>
      <c r="I781" s="37" t="n">
        <v>44.5</v>
      </c>
      <c r="J781" s="39" t="n">
        <v>799.99</v>
      </c>
      <c r="K781" s="37" t="s">
        <v>322</v>
      </c>
      <c r="L781" s="39" t="n">
        <v>104.42</v>
      </c>
      <c r="M781" s="39" t="n">
        <v>71</v>
      </c>
      <c r="N781" s="39" t="n">
        <f aca="false">J781*Resumo!$C$7</f>
        <v>1.59998</v>
      </c>
      <c r="O781" s="39" t="n">
        <f aca="false">J781*Resumo!$C$8</f>
        <v>1.59998</v>
      </c>
      <c r="P781" s="39" t="n">
        <f aca="false">Resumo!$C$10*CEILING(I781/100,1)</f>
        <v>1</v>
      </c>
      <c r="Q781" s="39" t="n">
        <f aca="false">Resumo!$C$9</f>
        <v>11.9</v>
      </c>
      <c r="R781" s="39" t="n">
        <f aca="false">SUM(M781:Q781)*Resumo!$C$11</f>
        <v>4.7904978</v>
      </c>
      <c r="S781" s="39" t="n">
        <f aca="false">SUM(M781:R781)</f>
        <v>91.8904578</v>
      </c>
      <c r="T781" s="39" t="n">
        <f aca="false">S781/(1-Resumo!$C$5)</f>
        <v>104.420974772727</v>
      </c>
      <c r="U781" s="39" t="n">
        <v>93.97</v>
      </c>
      <c r="V781" s="39" t="n">
        <f aca="false">J781*Resumo!$B$6</f>
        <v>0.79999</v>
      </c>
      <c r="W781" s="39" t="n">
        <f aca="false">J781*Resumo!$B$7</f>
        <v>1.59998</v>
      </c>
      <c r="X781" s="39" t="n">
        <f aca="false">Resumo!$B$9</f>
        <v>1</v>
      </c>
      <c r="Y781" s="39" t="n">
        <f aca="false">Resumo!$B$10*CEILING(I781/100,1)</f>
        <v>4.5</v>
      </c>
      <c r="Z781" s="39" t="n">
        <f aca="false">Resumo!$B$12*CEILING(I781,1)</f>
        <v>2.7</v>
      </c>
      <c r="AA781" s="39" t="n">
        <f aca="false">Resumo!$B$13*CEILING(I781,1)</f>
        <v>20.25</v>
      </c>
      <c r="AB781" s="39" t="n">
        <f aca="false">SUM(U781:AA781)</f>
        <v>124.81997</v>
      </c>
      <c r="AC781" s="39" t="n">
        <f aca="false">AB781/(1-Resumo!$B$5)</f>
        <v>141.840875</v>
      </c>
      <c r="AD781" s="39" t="n">
        <f aca="false">(AB781-AA781)/(1-Resumo!$B$5)</f>
        <v>118.829511363636</v>
      </c>
      <c r="AE781" s="39" t="n">
        <f aca="false">AC781-T781</f>
        <v>37.4199002272727</v>
      </c>
      <c r="AF781" s="40" t="n">
        <f aca="false">AC781/T781-1</f>
        <v>0.35835616655291</v>
      </c>
      <c r="AG781" s="37" t="str">
        <f aca="false">IF(AC781&lt;T781,"SIM","NÃO")</f>
        <v>NÃO</v>
      </c>
      <c r="AH781" s="37" t="n">
        <v>8</v>
      </c>
      <c r="AI781" s="37" t="n">
        <v>5</v>
      </c>
      <c r="AJ781" s="37" t="s">
        <v>323</v>
      </c>
    </row>
    <row r="782" customFormat="false" ht="15" hidden="false" customHeight="false" outlineLevel="0" collapsed="false">
      <c r="A782" s="37" t="n">
        <v>373625302</v>
      </c>
      <c r="B782" s="38" t="n">
        <v>46242.9721990741</v>
      </c>
      <c r="C782" s="37" t="s">
        <v>352</v>
      </c>
      <c r="D782" s="37" t="s">
        <v>1076</v>
      </c>
      <c r="E782" s="37" t="n">
        <v>25046480</v>
      </c>
      <c r="F782" s="37" t="s">
        <v>141</v>
      </c>
      <c r="G782" s="37" t="s">
        <v>207</v>
      </c>
      <c r="H782" s="37" t="s">
        <v>168</v>
      </c>
      <c r="I782" s="37" t="n">
        <v>35</v>
      </c>
      <c r="J782" s="39" t="n">
        <v>399.99</v>
      </c>
      <c r="K782" s="37" t="s">
        <v>322</v>
      </c>
      <c r="L782" s="39" t="n">
        <v>101.31</v>
      </c>
      <c r="M782" s="39" t="n">
        <v>70</v>
      </c>
      <c r="N782" s="39" t="n">
        <f aca="false">J782*Resumo!$C$7</f>
        <v>0.79998</v>
      </c>
      <c r="O782" s="39" t="n">
        <f aca="false">J782*Resumo!$C$8</f>
        <v>0.79998</v>
      </c>
      <c r="P782" s="39" t="n">
        <f aca="false">Resumo!$C$10*CEILING(I782/100,1)</f>
        <v>1</v>
      </c>
      <c r="Q782" s="39" t="n">
        <f aca="false">Resumo!$C$9</f>
        <v>11.9</v>
      </c>
      <c r="R782" s="39" t="n">
        <f aca="false">SUM(M782:Q782)*Resumo!$C$11</f>
        <v>4.6474978</v>
      </c>
      <c r="S782" s="39" t="n">
        <f aca="false">SUM(M782:R782)</f>
        <v>89.1474578</v>
      </c>
      <c r="T782" s="39" t="n">
        <f aca="false">S782/(1-Resumo!$C$5)</f>
        <v>101.303929318182</v>
      </c>
      <c r="U782" s="39" t="n">
        <v>82.21</v>
      </c>
      <c r="V782" s="39" t="n">
        <f aca="false">J782*Resumo!$B$6</f>
        <v>0.39999</v>
      </c>
      <c r="W782" s="39" t="n">
        <f aca="false">J782*Resumo!$B$7</f>
        <v>0.79998</v>
      </c>
      <c r="X782" s="39" t="n">
        <f aca="false">Resumo!$B$9</f>
        <v>1</v>
      </c>
      <c r="Y782" s="39" t="n">
        <f aca="false">Resumo!$B$10*CEILING(I782/100,1)</f>
        <v>4.5</v>
      </c>
      <c r="Z782" s="39" t="n">
        <f aca="false">Resumo!$B$12*CEILING(I782,1)</f>
        <v>2.1</v>
      </c>
      <c r="AA782" s="39" t="n">
        <f aca="false">Resumo!$B$13*CEILING(I782,1)</f>
        <v>15.75</v>
      </c>
      <c r="AB782" s="39" t="n">
        <f aca="false">SUM(U782:AA782)</f>
        <v>106.75997</v>
      </c>
      <c r="AC782" s="39" t="n">
        <f aca="false">AB782/(1-Resumo!$B$5)</f>
        <v>121.318147727273</v>
      </c>
      <c r="AD782" s="39" t="n">
        <f aca="false">(AB782-AA782)/(1-Resumo!$B$5)</f>
        <v>103.420420454545</v>
      </c>
      <c r="AE782" s="39" t="n">
        <f aca="false">AC782-T782</f>
        <v>20.0142184090909</v>
      </c>
      <c r="AF782" s="40" t="n">
        <f aca="false">AC782/T782-1</f>
        <v>0.197566062282036</v>
      </c>
      <c r="AG782" s="37" t="str">
        <f aca="false">IF(AC782&lt;T782,"SIM","NÃO")</f>
        <v>NÃO</v>
      </c>
      <c r="AH782" s="37" t="n">
        <v>10</v>
      </c>
      <c r="AI782" s="37" t="n">
        <v>5</v>
      </c>
      <c r="AJ782" s="37" t="s">
        <v>323</v>
      </c>
    </row>
    <row r="783" customFormat="false" ht="15" hidden="false" customHeight="false" outlineLevel="0" collapsed="false">
      <c r="A783" s="37" t="n">
        <v>373635039</v>
      </c>
      <c r="B783" s="38" t="n">
        <v>46242.9844212963</v>
      </c>
      <c r="C783" s="37" t="s">
        <v>320</v>
      </c>
      <c r="D783" s="37" t="s">
        <v>1077</v>
      </c>
      <c r="E783" s="37" t="n">
        <v>20770180</v>
      </c>
      <c r="F783" s="37" t="s">
        <v>139</v>
      </c>
      <c r="G783" s="37" t="s">
        <v>198</v>
      </c>
      <c r="H783" s="37" t="s">
        <v>168</v>
      </c>
      <c r="I783" s="37" t="n">
        <v>27.4</v>
      </c>
      <c r="J783" s="39" t="n">
        <v>369.99</v>
      </c>
      <c r="K783" s="37" t="s">
        <v>322</v>
      </c>
      <c r="L783" s="39" t="n">
        <v>82.1</v>
      </c>
      <c r="M783" s="39" t="n">
        <v>54.1</v>
      </c>
      <c r="N783" s="39" t="n">
        <f aca="false">J783*Resumo!$C$7</f>
        <v>0.73998</v>
      </c>
      <c r="O783" s="39" t="n">
        <f aca="false">J783*Resumo!$C$8</f>
        <v>0.73998</v>
      </c>
      <c r="P783" s="39" t="n">
        <f aca="false">Resumo!$C$10*CEILING(I783/100,1)</f>
        <v>1</v>
      </c>
      <c r="Q783" s="39" t="n">
        <f aca="false">Resumo!$C$9</f>
        <v>11.9</v>
      </c>
      <c r="R783" s="39" t="n">
        <f aca="false">SUM(M783:Q783)*Resumo!$C$11</f>
        <v>3.7663978</v>
      </c>
      <c r="S783" s="39" t="n">
        <f aca="false">SUM(M783:R783)</f>
        <v>72.2463578</v>
      </c>
      <c r="T783" s="39" t="n">
        <f aca="false">S783/(1-Resumo!$C$5)</f>
        <v>82.0981338636364</v>
      </c>
      <c r="U783" s="39" t="n">
        <v>82.21</v>
      </c>
      <c r="V783" s="39" t="n">
        <f aca="false">J783*Resumo!$B$6</f>
        <v>0.36999</v>
      </c>
      <c r="W783" s="39" t="n">
        <f aca="false">J783*Resumo!$B$7</f>
        <v>0.73998</v>
      </c>
      <c r="X783" s="39" t="n">
        <f aca="false">Resumo!$B$9</f>
        <v>1</v>
      </c>
      <c r="Y783" s="39" t="n">
        <f aca="false">Resumo!$B$10*CEILING(I783/100,1)</f>
        <v>4.5</v>
      </c>
      <c r="Z783" s="39" t="n">
        <f aca="false">Resumo!$B$12*CEILING(I783,1)</f>
        <v>1.68</v>
      </c>
      <c r="AA783" s="39" t="n">
        <f aca="false">Resumo!$B$13*CEILING(I783,1)</f>
        <v>12.6</v>
      </c>
      <c r="AB783" s="39" t="n">
        <f aca="false">SUM(U783:AA783)</f>
        <v>103.09997</v>
      </c>
      <c r="AC783" s="39" t="n">
        <f aca="false">AB783/(1-Resumo!$B$5)</f>
        <v>117.159056818182</v>
      </c>
      <c r="AD783" s="39" t="n">
        <f aca="false">(AB783-AA783)/(1-Resumo!$B$5)</f>
        <v>102.840875</v>
      </c>
      <c r="AE783" s="39" t="n">
        <f aca="false">AC783-T783</f>
        <v>35.0609229545454</v>
      </c>
      <c r="AF783" s="40" t="n">
        <f aca="false">AC783/T783-1</f>
        <v>0.427061143835267</v>
      </c>
      <c r="AG783" s="37" t="str">
        <f aca="false">IF(AC783&lt;T783,"SIM","NÃO")</f>
        <v>NÃO</v>
      </c>
      <c r="AH783" s="37" t="n">
        <v>8</v>
      </c>
      <c r="AI783" s="37" t="n">
        <v>5</v>
      </c>
      <c r="AJ783" s="37" t="s">
        <v>323</v>
      </c>
    </row>
    <row r="784" customFormat="false" ht="15" hidden="false" customHeight="false" outlineLevel="0" collapsed="false">
      <c r="A784" s="37" t="n">
        <v>373635152</v>
      </c>
      <c r="B784" s="38" t="n">
        <v>46242.9846527778</v>
      </c>
      <c r="C784" s="37" t="s">
        <v>320</v>
      </c>
      <c r="D784" s="37" t="s">
        <v>1078</v>
      </c>
      <c r="E784" s="37" t="n">
        <v>24753532</v>
      </c>
      <c r="F784" s="37" t="s">
        <v>140</v>
      </c>
      <c r="G784" s="37" t="s">
        <v>207</v>
      </c>
      <c r="H784" s="37" t="s">
        <v>170</v>
      </c>
      <c r="I784" s="37" t="n">
        <v>46.8</v>
      </c>
      <c r="J784" s="39" t="n">
        <v>515.99</v>
      </c>
      <c r="K784" s="37" t="s">
        <v>498</v>
      </c>
      <c r="L784" s="39" t="n">
        <v>117.35</v>
      </c>
      <c r="M784" s="39" t="n">
        <v>82.25</v>
      </c>
      <c r="N784" s="39" t="n">
        <f aca="false">J784*Resumo!$C$7</f>
        <v>1.03198</v>
      </c>
      <c r="O784" s="39" t="n">
        <f aca="false">J784*Resumo!$C$8</f>
        <v>1.03198</v>
      </c>
      <c r="P784" s="39" t="n">
        <f aca="false">Resumo!$C$10*CEILING(I784/100,1)</f>
        <v>1</v>
      </c>
      <c r="Q784" s="39" t="n">
        <f aca="false">Resumo!$C$9</f>
        <v>11.9</v>
      </c>
      <c r="R784" s="39" t="n">
        <f aca="false">SUM(M784:Q784)*Resumo!$C$11</f>
        <v>5.3467678</v>
      </c>
      <c r="S784" s="39" t="n">
        <f aca="false">SUM(M784:R784)</f>
        <v>102.5607278</v>
      </c>
      <c r="T784" s="39" t="n">
        <f aca="false">S784/(1-Resumo!$C$5)</f>
        <v>116.546281590909</v>
      </c>
      <c r="U784" s="39" t="n">
        <v>114.95</v>
      </c>
      <c r="V784" s="39" t="n">
        <f aca="false">J784*Resumo!$B$6</f>
        <v>0.51599</v>
      </c>
      <c r="W784" s="39" t="n">
        <f aca="false">J784*Resumo!$B$7</f>
        <v>1.03198</v>
      </c>
      <c r="X784" s="39" t="n">
        <f aca="false">Resumo!$B$9</f>
        <v>1</v>
      </c>
      <c r="Y784" s="39" t="n">
        <f aca="false">Resumo!$B$10*CEILING(I784/100,1)</f>
        <v>4.5</v>
      </c>
      <c r="Z784" s="39" t="n">
        <f aca="false">Resumo!$B$12*CEILING(I784,1)</f>
        <v>2.82</v>
      </c>
      <c r="AA784" s="39" t="n">
        <f aca="false">Resumo!$B$13*CEILING(I784,1)</f>
        <v>21.15</v>
      </c>
      <c r="AB784" s="39" t="n">
        <f aca="false">SUM(U784:AA784)</f>
        <v>145.96797</v>
      </c>
      <c r="AC784" s="39" t="n">
        <f aca="false">AB784/(1-Resumo!$B$5)</f>
        <v>165.872693181818</v>
      </c>
      <c r="AD784" s="39" t="n">
        <f aca="false">(AB784-AA784)/(1-Resumo!$B$5)</f>
        <v>141.838602272727</v>
      </c>
      <c r="AE784" s="39" t="n">
        <f aca="false">AC784-T784</f>
        <v>49.3264115909091</v>
      </c>
      <c r="AF784" s="40" t="n">
        <f aca="false">AC784/T784-1</f>
        <v>0.423234537538062</v>
      </c>
      <c r="AG784" s="37" t="str">
        <f aca="false">IF(AC784&lt;T784,"SIM","NÃO")</f>
        <v>NÃO</v>
      </c>
      <c r="AH784" s="37" t="n">
        <v>10</v>
      </c>
      <c r="AI784" s="37" t="n">
        <v>7</v>
      </c>
      <c r="AJ784" s="37" t="s">
        <v>323</v>
      </c>
    </row>
    <row r="785" customFormat="false" ht="15" hidden="false" customHeight="false" outlineLevel="0" collapsed="false">
      <c r="A785" s="37" t="n">
        <v>373637238</v>
      </c>
      <c r="B785" s="38" t="n">
        <v>46242.989224537</v>
      </c>
      <c r="C785" s="37" t="s">
        <v>320</v>
      </c>
      <c r="D785" s="37" t="s">
        <v>1079</v>
      </c>
      <c r="E785" s="37" t="n">
        <v>23595020</v>
      </c>
      <c r="F785" s="37" t="s">
        <v>139</v>
      </c>
      <c r="G785" s="37" t="s">
        <v>198</v>
      </c>
      <c r="H785" s="37" t="s">
        <v>171</v>
      </c>
      <c r="I785" s="37" t="n">
        <v>56.7</v>
      </c>
      <c r="J785" s="39" t="n">
        <v>799.99</v>
      </c>
      <c r="K785" s="37" t="s">
        <v>498</v>
      </c>
      <c r="L785" s="39" t="n">
        <v>116.15</v>
      </c>
      <c r="M785" s="39" t="n">
        <v>79.81</v>
      </c>
      <c r="N785" s="39" t="n">
        <f aca="false">J785*Resumo!$C$7</f>
        <v>1.59998</v>
      </c>
      <c r="O785" s="39" t="n">
        <f aca="false">J785*Resumo!$C$8</f>
        <v>1.59998</v>
      </c>
      <c r="P785" s="39" t="n">
        <f aca="false">Resumo!$C$10*CEILING(I785/100,1)</f>
        <v>1</v>
      </c>
      <c r="Q785" s="39" t="n">
        <f aca="false">Resumo!$C$9</f>
        <v>11.9</v>
      </c>
      <c r="R785" s="39" t="n">
        <f aca="false">SUM(M785:Q785)*Resumo!$C$11</f>
        <v>5.2750478</v>
      </c>
      <c r="S785" s="39" t="n">
        <f aca="false">SUM(M785:R785)</f>
        <v>101.1850078</v>
      </c>
      <c r="T785" s="39" t="n">
        <f aca="false">S785/(1-Resumo!$C$5)</f>
        <v>114.982963409091</v>
      </c>
      <c r="U785" s="39" t="n">
        <v>112.3</v>
      </c>
      <c r="V785" s="39" t="n">
        <f aca="false">J785*Resumo!$B$6</f>
        <v>0.79999</v>
      </c>
      <c r="W785" s="39" t="n">
        <f aca="false">J785*Resumo!$B$7</f>
        <v>1.59998</v>
      </c>
      <c r="X785" s="39" t="n">
        <f aca="false">Resumo!$B$9</f>
        <v>1</v>
      </c>
      <c r="Y785" s="39" t="n">
        <f aca="false">Resumo!$B$10*CEILING(I785/100,1)</f>
        <v>4.5</v>
      </c>
      <c r="Z785" s="39" t="n">
        <f aca="false">Resumo!$B$12*CEILING(I785,1)</f>
        <v>3.42</v>
      </c>
      <c r="AA785" s="39" t="n">
        <f aca="false">Resumo!$B$13*CEILING(I785,1)</f>
        <v>25.65</v>
      </c>
      <c r="AB785" s="39" t="n">
        <f aca="false">SUM(U785:AA785)</f>
        <v>149.26997</v>
      </c>
      <c r="AC785" s="39" t="n">
        <f aca="false">AB785/(1-Resumo!$B$5)</f>
        <v>169.624965909091</v>
      </c>
      <c r="AD785" s="39" t="n">
        <f aca="false">(AB785-AA785)/(1-Resumo!$B$5)</f>
        <v>140.477238636364</v>
      </c>
      <c r="AE785" s="39" t="n">
        <f aca="false">AC785-T785</f>
        <v>54.6420025</v>
      </c>
      <c r="AF785" s="40" t="n">
        <f aca="false">AC785/T785-1</f>
        <v>0.475218248686047</v>
      </c>
      <c r="AG785" s="37" t="str">
        <f aca="false">IF(AC785&lt;T785,"SIM","NÃO")</f>
        <v>NÃO</v>
      </c>
      <c r="AH785" s="37" t="n">
        <v>8</v>
      </c>
      <c r="AI785" s="37" t="n">
        <v>5</v>
      </c>
      <c r="AJ785" s="37" t="s">
        <v>323</v>
      </c>
    </row>
    <row r="786" customFormat="false" ht="15" hidden="false" customHeight="false" outlineLevel="0" collapsed="false">
      <c r="A786" s="37" t="n">
        <v>373638278</v>
      </c>
      <c r="B786" s="38" t="n">
        <v>46242.9914467593</v>
      </c>
      <c r="C786" s="37" t="s">
        <v>320</v>
      </c>
      <c r="D786" s="37" t="s">
        <v>706</v>
      </c>
      <c r="E786" s="37" t="n">
        <v>22753005</v>
      </c>
      <c r="F786" s="37" t="s">
        <v>139</v>
      </c>
      <c r="G786" s="37" t="s">
        <v>198</v>
      </c>
      <c r="H786" s="37" t="s">
        <v>171</v>
      </c>
      <c r="I786" s="37" t="n">
        <v>56.7</v>
      </c>
      <c r="J786" s="39" t="n">
        <v>690.99</v>
      </c>
      <c r="K786" s="37" t="s">
        <v>322</v>
      </c>
      <c r="L786" s="39" t="n">
        <v>114.45</v>
      </c>
      <c r="M786" s="39" t="n">
        <v>79.81</v>
      </c>
      <c r="N786" s="39" t="n">
        <f aca="false">J786*Resumo!$C$7</f>
        <v>1.38198</v>
      </c>
      <c r="O786" s="39" t="n">
        <f aca="false">J786*Resumo!$C$8</f>
        <v>1.38198</v>
      </c>
      <c r="P786" s="39" t="n">
        <f aca="false">Resumo!$C$10*CEILING(I786/100,1)</f>
        <v>1</v>
      </c>
      <c r="Q786" s="39" t="n">
        <f aca="false">Resumo!$C$9</f>
        <v>11.9</v>
      </c>
      <c r="R786" s="39" t="n">
        <f aca="false">SUM(M786:Q786)*Resumo!$C$11</f>
        <v>5.2510678</v>
      </c>
      <c r="S786" s="39" t="n">
        <f aca="false">SUM(M786:R786)</f>
        <v>100.7250278</v>
      </c>
      <c r="T786" s="39" t="n">
        <f aca="false">S786/(1-Resumo!$C$5)</f>
        <v>114.460258863636</v>
      </c>
      <c r="U786" s="39" t="n">
        <v>112.3</v>
      </c>
      <c r="V786" s="39" t="n">
        <f aca="false">J786*Resumo!$B$6</f>
        <v>0.69099</v>
      </c>
      <c r="W786" s="39" t="n">
        <f aca="false">J786*Resumo!$B$7</f>
        <v>1.38198</v>
      </c>
      <c r="X786" s="39" t="n">
        <f aca="false">Resumo!$B$9</f>
        <v>1</v>
      </c>
      <c r="Y786" s="39" t="n">
        <f aca="false">Resumo!$B$10*CEILING(I786/100,1)</f>
        <v>4.5</v>
      </c>
      <c r="Z786" s="39" t="n">
        <f aca="false">Resumo!$B$12*CEILING(I786,1)</f>
        <v>3.42</v>
      </c>
      <c r="AA786" s="39" t="n">
        <f aca="false">Resumo!$B$13*CEILING(I786,1)</f>
        <v>25.65</v>
      </c>
      <c r="AB786" s="39" t="n">
        <f aca="false">SUM(U786:AA786)</f>
        <v>148.94297</v>
      </c>
      <c r="AC786" s="39" t="n">
        <f aca="false">AB786/(1-Resumo!$B$5)</f>
        <v>169.253375</v>
      </c>
      <c r="AD786" s="39" t="n">
        <f aca="false">(AB786-AA786)/(1-Resumo!$B$5)</f>
        <v>140.105647727273</v>
      </c>
      <c r="AE786" s="39" t="n">
        <f aca="false">AC786-T786</f>
        <v>54.7931161363636</v>
      </c>
      <c r="AF786" s="40" t="n">
        <f aca="false">AC786/T786-1</f>
        <v>0.478708651197811</v>
      </c>
      <c r="AG786" s="37" t="str">
        <f aca="false">IF(AC786&lt;T786,"SIM","NÃO")</f>
        <v>NÃO</v>
      </c>
      <c r="AH786" s="37" t="n">
        <v>8</v>
      </c>
      <c r="AI786" s="37" t="n">
        <v>5</v>
      </c>
      <c r="AJ786" s="37" t="s">
        <v>323</v>
      </c>
    </row>
    <row r="787" customFormat="false" ht="15" hidden="false" customHeight="false" outlineLevel="0" collapsed="false">
      <c r="A787" s="37" t="n">
        <v>373638601</v>
      </c>
      <c r="B787" s="38" t="n">
        <v>46242.9921064815</v>
      </c>
      <c r="C787" s="37" t="s">
        <v>325</v>
      </c>
      <c r="D787" s="37" t="s">
        <v>1080</v>
      </c>
      <c r="E787" s="37" t="n">
        <v>20740370</v>
      </c>
      <c r="F787" s="37" t="s">
        <v>139</v>
      </c>
      <c r="G787" s="37" t="s">
        <v>198</v>
      </c>
      <c r="H787" s="37" t="s">
        <v>168</v>
      </c>
      <c r="I787" s="37" t="n">
        <v>31.9</v>
      </c>
      <c r="J787" s="39" t="n">
        <v>466.39</v>
      </c>
      <c r="K787" s="37" t="s">
        <v>322</v>
      </c>
      <c r="L787" s="39" t="n">
        <v>82.56</v>
      </c>
      <c r="M787" s="39" t="n">
        <v>54.1</v>
      </c>
      <c r="N787" s="39" t="n">
        <f aca="false">J787*Resumo!$C$7</f>
        <v>0.93278</v>
      </c>
      <c r="O787" s="39" t="n">
        <f aca="false">J787*Resumo!$C$8</f>
        <v>0.93278</v>
      </c>
      <c r="P787" s="39" t="n">
        <f aca="false">Resumo!$C$10*CEILING(I787/100,1)</f>
        <v>1</v>
      </c>
      <c r="Q787" s="39" t="n">
        <f aca="false">Resumo!$C$9</f>
        <v>11.9</v>
      </c>
      <c r="R787" s="39" t="n">
        <f aca="false">SUM(M787:Q787)*Resumo!$C$11</f>
        <v>3.7876058</v>
      </c>
      <c r="S787" s="39" t="n">
        <f aca="false">SUM(M787:R787)</f>
        <v>72.6531658</v>
      </c>
      <c r="T787" s="39" t="n">
        <f aca="false">S787/(1-Resumo!$C$5)</f>
        <v>82.5604156818182</v>
      </c>
      <c r="U787" s="39" t="n">
        <v>82.21</v>
      </c>
      <c r="V787" s="39" t="n">
        <f aca="false">J787*Resumo!$B$6</f>
        <v>0.46639</v>
      </c>
      <c r="W787" s="39" t="n">
        <f aca="false">J787*Resumo!$B$7</f>
        <v>0.93278</v>
      </c>
      <c r="X787" s="39" t="n">
        <f aca="false">Resumo!$B$9</f>
        <v>1</v>
      </c>
      <c r="Y787" s="39" t="n">
        <f aca="false">Resumo!$B$10*CEILING(I787/100,1)</f>
        <v>4.5</v>
      </c>
      <c r="Z787" s="39" t="n">
        <f aca="false">Resumo!$B$12*CEILING(I787,1)</f>
        <v>1.92</v>
      </c>
      <c r="AA787" s="39" t="n">
        <f aca="false">Resumo!$B$13*CEILING(I787,1)</f>
        <v>14.4</v>
      </c>
      <c r="AB787" s="39" t="n">
        <f aca="false">SUM(U787:AA787)</f>
        <v>105.42917</v>
      </c>
      <c r="AC787" s="39" t="n">
        <f aca="false">AB787/(1-Resumo!$B$5)</f>
        <v>119.805875</v>
      </c>
      <c r="AD787" s="39" t="n">
        <f aca="false">(AB787-AA787)/(1-Resumo!$B$5)</f>
        <v>103.442238636364</v>
      </c>
      <c r="AE787" s="39" t="n">
        <f aca="false">AC787-T787</f>
        <v>37.2454593181818</v>
      </c>
      <c r="AF787" s="40" t="n">
        <f aca="false">AC787/T787-1</f>
        <v>0.451129745539595</v>
      </c>
      <c r="AG787" s="37" t="str">
        <f aca="false">IF(AC787&lt;T787,"SIM","NÃO")</f>
        <v>NÃO</v>
      </c>
      <c r="AH787" s="37" t="n">
        <v>8</v>
      </c>
      <c r="AI787" s="37" t="n">
        <v>5</v>
      </c>
      <c r="AJ787" s="37" t="s">
        <v>323</v>
      </c>
    </row>
    <row r="788" customFormat="false" ht="15" hidden="false" customHeight="false" outlineLevel="0" collapsed="false">
      <c r="A788" s="37" t="n">
        <v>373652400</v>
      </c>
      <c r="B788" s="38" t="n">
        <v>46243.0326736111</v>
      </c>
      <c r="C788" s="37" t="s">
        <v>320</v>
      </c>
      <c r="D788" s="37" t="s">
        <v>1081</v>
      </c>
      <c r="E788" s="37" t="n">
        <v>24914420</v>
      </c>
      <c r="F788" s="37" t="s">
        <v>151</v>
      </c>
      <c r="G788" s="37" t="s">
        <v>201</v>
      </c>
      <c r="H788" s="37" t="s">
        <v>171</v>
      </c>
      <c r="I788" s="37" t="n">
        <v>52.3</v>
      </c>
      <c r="J788" s="39" t="n">
        <v>616.99</v>
      </c>
      <c r="K788" s="37" t="s">
        <v>498</v>
      </c>
      <c r="L788" s="39" t="n">
        <v>141.63</v>
      </c>
      <c r="M788" s="39" t="n">
        <v>103.6</v>
      </c>
      <c r="N788" s="39" t="n">
        <f aca="false">J788*Resumo!$C$7</f>
        <v>1.23398</v>
      </c>
      <c r="O788" s="39" t="n">
        <f aca="false">J788*Resumo!$C$8</f>
        <v>1.23398</v>
      </c>
      <c r="P788" s="39" t="n">
        <f aca="false">Resumo!$C$10*CEILING(I788/100,1)</f>
        <v>1</v>
      </c>
      <c r="Q788" s="39" t="n">
        <f aca="false">Resumo!$C$9</f>
        <v>11.9</v>
      </c>
      <c r="R788" s="39" t="n">
        <f aca="false">SUM(M788:Q788)*Resumo!$C$11</f>
        <v>6.5432378</v>
      </c>
      <c r="S788" s="39" t="n">
        <f aca="false">SUM(M788:R788)</f>
        <v>125.5111978</v>
      </c>
      <c r="T788" s="39" t="n">
        <f aca="false">S788/(1-Resumo!$C$5)</f>
        <v>142.626361136364</v>
      </c>
      <c r="U788" s="39" t="n">
        <v>128.14</v>
      </c>
      <c r="V788" s="39" t="n">
        <f aca="false">J788*Resumo!$B$6</f>
        <v>0.61699</v>
      </c>
      <c r="W788" s="39" t="n">
        <f aca="false">J788*Resumo!$B$7</f>
        <v>1.23398</v>
      </c>
      <c r="X788" s="39" t="n">
        <f aca="false">Resumo!$B$9</f>
        <v>1</v>
      </c>
      <c r="Y788" s="39" t="n">
        <f aca="false">Resumo!$B$10*CEILING(I788/100,1)</f>
        <v>4.5</v>
      </c>
      <c r="Z788" s="39" t="n">
        <f aca="false">Resumo!$B$12*CEILING(I788,1)</f>
        <v>3.18</v>
      </c>
      <c r="AA788" s="39" t="n">
        <f aca="false">Resumo!$B$13*CEILING(I788,1)</f>
        <v>23.85</v>
      </c>
      <c r="AB788" s="39" t="n">
        <f aca="false">SUM(U788:AA788)</f>
        <v>162.52097</v>
      </c>
      <c r="AC788" s="39" t="n">
        <f aca="false">AB788/(1-Resumo!$B$5)</f>
        <v>184.682920454545</v>
      </c>
      <c r="AD788" s="39" t="n">
        <f aca="false">(AB788-AA788)/(1-Resumo!$B$5)</f>
        <v>157.580647727273</v>
      </c>
      <c r="AE788" s="39" t="n">
        <f aca="false">AC788-T788</f>
        <v>42.0565593181818</v>
      </c>
      <c r="AF788" s="40" t="n">
        <f aca="false">AC788/T788-1</f>
        <v>0.294872273141513</v>
      </c>
      <c r="AG788" s="37" t="str">
        <f aca="false">IF(AC788&lt;T788,"SIM","NÃO")</f>
        <v>NÃO</v>
      </c>
      <c r="AH788" s="37" t="n">
        <v>13</v>
      </c>
      <c r="AI788" s="37" t="n">
        <v>7</v>
      </c>
      <c r="AJ788" s="37" t="s">
        <v>323</v>
      </c>
    </row>
    <row r="789" customFormat="false" ht="15" hidden="false" customHeight="false" outlineLevel="0" collapsed="false">
      <c r="A789" s="37" t="n">
        <v>373664595</v>
      </c>
      <c r="B789" s="38" t="n">
        <v>46243.0793634259</v>
      </c>
      <c r="C789" s="37" t="s">
        <v>320</v>
      </c>
      <c r="D789" s="37" t="s">
        <v>1082</v>
      </c>
      <c r="E789" s="37" t="n">
        <v>22041011</v>
      </c>
      <c r="F789" s="37" t="s">
        <v>139</v>
      </c>
      <c r="G789" s="37" t="s">
        <v>198</v>
      </c>
      <c r="H789" s="37" t="s">
        <v>171</v>
      </c>
      <c r="I789" s="37" t="n">
        <v>52.3</v>
      </c>
      <c r="J789" s="39" t="n">
        <v>685.88</v>
      </c>
      <c r="K789" s="37" t="s">
        <v>322</v>
      </c>
      <c r="L789" s="39" t="n">
        <v>114.43</v>
      </c>
      <c r="M789" s="39" t="n">
        <v>79.81</v>
      </c>
      <c r="N789" s="39" t="n">
        <f aca="false">J789*Resumo!$C$7</f>
        <v>1.37176</v>
      </c>
      <c r="O789" s="39" t="n">
        <f aca="false">J789*Resumo!$C$8</f>
        <v>1.37176</v>
      </c>
      <c r="P789" s="39" t="n">
        <f aca="false">Resumo!$C$10*CEILING(I789/100,1)</f>
        <v>1</v>
      </c>
      <c r="Q789" s="39" t="n">
        <f aca="false">Resumo!$C$9</f>
        <v>11.9</v>
      </c>
      <c r="R789" s="39" t="n">
        <f aca="false">SUM(M789:Q789)*Resumo!$C$11</f>
        <v>5.2499436</v>
      </c>
      <c r="S789" s="39" t="n">
        <f aca="false">SUM(M789:R789)</f>
        <v>100.7034636</v>
      </c>
      <c r="T789" s="39" t="n">
        <f aca="false">S789/(1-Resumo!$C$5)</f>
        <v>114.435754090909</v>
      </c>
      <c r="U789" s="39" t="n">
        <v>112.3</v>
      </c>
      <c r="V789" s="39" t="n">
        <f aca="false">J789*Resumo!$B$6</f>
        <v>0.68588</v>
      </c>
      <c r="W789" s="39" t="n">
        <f aca="false">J789*Resumo!$B$7</f>
        <v>1.37176</v>
      </c>
      <c r="X789" s="39" t="n">
        <f aca="false">Resumo!$B$9</f>
        <v>1</v>
      </c>
      <c r="Y789" s="39" t="n">
        <f aca="false">Resumo!$B$10*CEILING(I789/100,1)</f>
        <v>4.5</v>
      </c>
      <c r="Z789" s="39" t="n">
        <f aca="false">Resumo!$B$12*CEILING(I789,1)</f>
        <v>3.18</v>
      </c>
      <c r="AA789" s="39" t="n">
        <f aca="false">Resumo!$B$13*CEILING(I789,1)</f>
        <v>23.85</v>
      </c>
      <c r="AB789" s="39" t="n">
        <f aca="false">SUM(U789:AA789)</f>
        <v>146.88764</v>
      </c>
      <c r="AC789" s="39" t="n">
        <f aca="false">AB789/(1-Resumo!$B$5)</f>
        <v>166.917772727273</v>
      </c>
      <c r="AD789" s="39" t="n">
        <f aca="false">(AB789-AA789)/(1-Resumo!$B$5)</f>
        <v>139.8155</v>
      </c>
      <c r="AE789" s="39" t="n">
        <f aca="false">AC789-T789</f>
        <v>52.4820186363637</v>
      </c>
      <c r="AF789" s="40" t="n">
        <f aca="false">AC789/T789-1</f>
        <v>0.458615570398316</v>
      </c>
      <c r="AG789" s="37" t="str">
        <f aca="false">IF(AC789&lt;T789,"SIM","NÃO")</f>
        <v>NÃO</v>
      </c>
      <c r="AH789" s="37" t="n">
        <v>8</v>
      </c>
      <c r="AI789" s="37" t="n">
        <v>5</v>
      </c>
      <c r="AJ789" s="37" t="s">
        <v>323</v>
      </c>
    </row>
    <row r="790" customFormat="false" ht="15" hidden="false" customHeight="false" outlineLevel="0" collapsed="false">
      <c r="A790" s="37" t="n">
        <v>373709040</v>
      </c>
      <c r="B790" s="38" t="n">
        <v>46243.3046296296</v>
      </c>
      <c r="C790" s="37" t="s">
        <v>320</v>
      </c>
      <c r="D790" s="37" t="s">
        <v>1083</v>
      </c>
      <c r="E790" s="37" t="n">
        <v>20540106</v>
      </c>
      <c r="F790" s="37" t="s">
        <v>139</v>
      </c>
      <c r="G790" s="37" t="s">
        <v>198</v>
      </c>
      <c r="H790" s="37" t="s">
        <v>171</v>
      </c>
      <c r="I790" s="37" t="n">
        <v>56.7</v>
      </c>
      <c r="J790" s="39" t="n">
        <v>690.99</v>
      </c>
      <c r="K790" s="37" t="s">
        <v>322</v>
      </c>
      <c r="L790" s="39" t="n">
        <v>114.45</v>
      </c>
      <c r="M790" s="39" t="n">
        <v>79.81</v>
      </c>
      <c r="N790" s="39" t="n">
        <f aca="false">J790*Resumo!$C$7</f>
        <v>1.38198</v>
      </c>
      <c r="O790" s="39" t="n">
        <f aca="false">J790*Resumo!$C$8</f>
        <v>1.38198</v>
      </c>
      <c r="P790" s="39" t="n">
        <f aca="false">Resumo!$C$10*CEILING(I790/100,1)</f>
        <v>1</v>
      </c>
      <c r="Q790" s="39" t="n">
        <f aca="false">Resumo!$C$9</f>
        <v>11.9</v>
      </c>
      <c r="R790" s="39" t="n">
        <f aca="false">SUM(M790:Q790)*Resumo!$C$11</f>
        <v>5.2510678</v>
      </c>
      <c r="S790" s="39" t="n">
        <f aca="false">SUM(M790:R790)</f>
        <v>100.7250278</v>
      </c>
      <c r="T790" s="39" t="n">
        <f aca="false">S790/(1-Resumo!$C$5)</f>
        <v>114.460258863636</v>
      </c>
      <c r="U790" s="39" t="n">
        <v>112.3</v>
      </c>
      <c r="V790" s="39" t="n">
        <f aca="false">J790*Resumo!$B$6</f>
        <v>0.69099</v>
      </c>
      <c r="W790" s="39" t="n">
        <f aca="false">J790*Resumo!$B$7</f>
        <v>1.38198</v>
      </c>
      <c r="X790" s="39" t="n">
        <f aca="false">Resumo!$B$9</f>
        <v>1</v>
      </c>
      <c r="Y790" s="39" t="n">
        <f aca="false">Resumo!$B$10*CEILING(I790/100,1)</f>
        <v>4.5</v>
      </c>
      <c r="Z790" s="39" t="n">
        <f aca="false">Resumo!$B$12*CEILING(I790,1)</f>
        <v>3.42</v>
      </c>
      <c r="AA790" s="39" t="n">
        <f aca="false">Resumo!$B$13*CEILING(I790,1)</f>
        <v>25.65</v>
      </c>
      <c r="AB790" s="39" t="n">
        <f aca="false">SUM(U790:AA790)</f>
        <v>148.94297</v>
      </c>
      <c r="AC790" s="39" t="n">
        <f aca="false">AB790/(1-Resumo!$B$5)</f>
        <v>169.253375</v>
      </c>
      <c r="AD790" s="39" t="n">
        <f aca="false">(AB790-AA790)/(1-Resumo!$B$5)</f>
        <v>140.105647727273</v>
      </c>
      <c r="AE790" s="39" t="n">
        <f aca="false">AC790-T790</f>
        <v>54.7931161363636</v>
      </c>
      <c r="AF790" s="40" t="n">
        <f aca="false">AC790/T790-1</f>
        <v>0.478708651197811</v>
      </c>
      <c r="AG790" s="37" t="str">
        <f aca="false">IF(AC790&lt;T790,"SIM","NÃO")</f>
        <v>NÃO</v>
      </c>
      <c r="AH790" s="37" t="n">
        <v>8</v>
      </c>
      <c r="AI790" s="37" t="n">
        <v>5</v>
      </c>
      <c r="AJ790" s="37" t="s">
        <v>323</v>
      </c>
    </row>
    <row r="791" customFormat="false" ht="15" hidden="false" customHeight="false" outlineLevel="0" collapsed="false">
      <c r="A791" s="37" t="n">
        <v>373709104</v>
      </c>
      <c r="B791" s="38" t="n">
        <v>46243.3053009259</v>
      </c>
      <c r="C791" s="37" t="s">
        <v>320</v>
      </c>
      <c r="D791" s="37" t="s">
        <v>1084</v>
      </c>
      <c r="E791" s="37" t="n">
        <v>21042001</v>
      </c>
      <c r="F791" s="37" t="s">
        <v>139</v>
      </c>
      <c r="G791" s="37" t="s">
        <v>198</v>
      </c>
      <c r="H791" s="37" t="s">
        <v>169</v>
      </c>
      <c r="I791" s="37" t="n">
        <v>37.2</v>
      </c>
      <c r="J791" s="39" t="n">
        <v>419.99</v>
      </c>
      <c r="K791" s="37" t="s">
        <v>322</v>
      </c>
      <c r="L791" s="39" t="n">
        <v>91.86</v>
      </c>
      <c r="M791" s="39" t="n">
        <v>62.05</v>
      </c>
      <c r="N791" s="39" t="n">
        <f aca="false">J791*Resumo!$C$7</f>
        <v>0.83998</v>
      </c>
      <c r="O791" s="39" t="n">
        <f aca="false">J791*Resumo!$C$8</f>
        <v>0.83998</v>
      </c>
      <c r="P791" s="39" t="n">
        <f aca="false">Resumo!$C$10*CEILING(I791/100,1)</f>
        <v>1</v>
      </c>
      <c r="Q791" s="39" t="n">
        <f aca="false">Resumo!$C$9</f>
        <v>11.9</v>
      </c>
      <c r="R791" s="39" t="n">
        <f aca="false">SUM(M791:Q791)*Resumo!$C$11</f>
        <v>4.2146478</v>
      </c>
      <c r="S791" s="39" t="n">
        <f aca="false">SUM(M791:R791)</f>
        <v>80.8446078</v>
      </c>
      <c r="T791" s="39" t="n">
        <f aca="false">S791/(1-Resumo!$C$5)</f>
        <v>91.8688725</v>
      </c>
      <c r="U791" s="39" t="n">
        <v>93.97</v>
      </c>
      <c r="V791" s="39" t="n">
        <f aca="false">J791*Resumo!$B$6</f>
        <v>0.41999</v>
      </c>
      <c r="W791" s="39" t="n">
        <f aca="false">J791*Resumo!$B$7</f>
        <v>0.83998</v>
      </c>
      <c r="X791" s="39" t="n">
        <f aca="false">Resumo!$B$9</f>
        <v>1</v>
      </c>
      <c r="Y791" s="39" t="n">
        <f aca="false">Resumo!$B$10*CEILING(I791/100,1)</f>
        <v>4.5</v>
      </c>
      <c r="Z791" s="39" t="n">
        <f aca="false">Resumo!$B$12*CEILING(I791,1)</f>
        <v>2.28</v>
      </c>
      <c r="AA791" s="39" t="n">
        <f aca="false">Resumo!$B$13*CEILING(I791,1)</f>
        <v>17.1</v>
      </c>
      <c r="AB791" s="39" t="n">
        <f aca="false">SUM(U791:AA791)</f>
        <v>120.10997</v>
      </c>
      <c r="AC791" s="39" t="n">
        <f aca="false">AB791/(1-Resumo!$B$5)</f>
        <v>136.488602272727</v>
      </c>
      <c r="AD791" s="39" t="n">
        <f aca="false">(AB791-AA791)/(1-Resumo!$B$5)</f>
        <v>117.056784090909</v>
      </c>
      <c r="AE791" s="39" t="n">
        <f aca="false">AC791-T791</f>
        <v>44.6197297727273</v>
      </c>
      <c r="AF791" s="40" t="n">
        <f aca="false">AC791/T791-1</f>
        <v>0.485689315200067</v>
      </c>
      <c r="AG791" s="37" t="str">
        <f aca="false">IF(AC791&lt;T791,"SIM","NÃO")</f>
        <v>NÃO</v>
      </c>
      <c r="AH791" s="37" t="n">
        <v>8</v>
      </c>
      <c r="AI791" s="37" t="n">
        <v>5</v>
      </c>
      <c r="AJ791" s="37" t="s">
        <v>323</v>
      </c>
    </row>
    <row r="792" customFormat="false" ht="15" hidden="false" customHeight="false" outlineLevel="0" collapsed="false">
      <c r="A792" s="37" t="n">
        <v>373726826</v>
      </c>
      <c r="B792" s="38" t="n">
        <v>46243.3721875</v>
      </c>
      <c r="C792" s="37" t="s">
        <v>320</v>
      </c>
      <c r="D792" s="37" t="s">
        <v>1085</v>
      </c>
      <c r="E792" s="37" t="n">
        <v>28988892</v>
      </c>
      <c r="F792" s="37" t="s">
        <v>153</v>
      </c>
      <c r="G792" s="37" t="s">
        <v>201</v>
      </c>
      <c r="H792" s="37" t="s">
        <v>172</v>
      </c>
      <c r="I792" s="37" t="n">
        <v>63.9</v>
      </c>
      <c r="J792" s="39" t="n">
        <v>735.99</v>
      </c>
      <c r="K792" s="37" t="s">
        <v>498</v>
      </c>
      <c r="L792" s="39" t="n">
        <v>155.34</v>
      </c>
      <c r="M792" s="39" t="n">
        <v>113.9</v>
      </c>
      <c r="N792" s="39" t="n">
        <f aca="false">J792*Resumo!$C$7</f>
        <v>1.47198</v>
      </c>
      <c r="O792" s="39" t="n">
        <f aca="false">J792*Resumo!$C$8</f>
        <v>1.47198</v>
      </c>
      <c r="P792" s="39" t="n">
        <f aca="false">Resumo!$C$10*CEILING(I792/100,1)</f>
        <v>1</v>
      </c>
      <c r="Q792" s="39" t="n">
        <f aca="false">Resumo!$C$9</f>
        <v>11.9</v>
      </c>
      <c r="R792" s="39" t="n">
        <f aca="false">SUM(M792:Q792)*Resumo!$C$11</f>
        <v>7.1359178</v>
      </c>
      <c r="S792" s="39" t="n">
        <f aca="false">SUM(M792:R792)</f>
        <v>136.8798778</v>
      </c>
      <c r="T792" s="39" t="n">
        <f aca="false">S792/(1-Resumo!$C$5)</f>
        <v>155.545315681818</v>
      </c>
      <c r="U792" s="39" t="n">
        <v>166.05</v>
      </c>
      <c r="V792" s="39" t="n">
        <f aca="false">J792*Resumo!$B$6</f>
        <v>0.73599</v>
      </c>
      <c r="W792" s="39" t="n">
        <f aca="false">J792*Resumo!$B$7</f>
        <v>1.47198</v>
      </c>
      <c r="X792" s="39" t="n">
        <f aca="false">Resumo!$B$9</f>
        <v>1</v>
      </c>
      <c r="Y792" s="39" t="n">
        <f aca="false">Resumo!$B$10*CEILING(I792/100,1)</f>
        <v>4.5</v>
      </c>
      <c r="Z792" s="39" t="n">
        <f aca="false">Resumo!$B$12*CEILING(I792,1)</f>
        <v>3.84</v>
      </c>
      <c r="AA792" s="39" t="n">
        <f aca="false">Resumo!$B$13*CEILING(I792,1)</f>
        <v>28.8</v>
      </c>
      <c r="AB792" s="39" t="n">
        <f aca="false">SUM(U792:AA792)</f>
        <v>206.39797</v>
      </c>
      <c r="AC792" s="39" t="n">
        <f aca="false">AB792/(1-Resumo!$B$5)</f>
        <v>234.543147727273</v>
      </c>
      <c r="AD792" s="39" t="n">
        <f aca="false">(AB792-AA792)/(1-Resumo!$B$5)</f>
        <v>201.815875</v>
      </c>
      <c r="AE792" s="39" t="n">
        <f aca="false">AC792-T792</f>
        <v>78.9978320454546</v>
      </c>
      <c r="AF792" s="40" t="n">
        <f aca="false">AC792/T792-1</f>
        <v>0.507876638387823</v>
      </c>
      <c r="AG792" s="37" t="str">
        <f aca="false">IF(AC792&lt;T792,"SIM","NÃO")</f>
        <v>NÃO</v>
      </c>
      <c r="AH792" s="37" t="n">
        <v>13</v>
      </c>
      <c r="AI792" s="37" t="n">
        <v>10</v>
      </c>
      <c r="AJ792" s="37" t="s">
        <v>323</v>
      </c>
    </row>
    <row r="793" customFormat="false" ht="15" hidden="false" customHeight="false" outlineLevel="0" collapsed="false">
      <c r="A793" s="37" t="n">
        <v>373735942</v>
      </c>
      <c r="B793" s="38" t="n">
        <v>46243.3998842593</v>
      </c>
      <c r="C793" s="37" t="s">
        <v>320</v>
      </c>
      <c r="D793" s="37" t="s">
        <v>1086</v>
      </c>
      <c r="E793" s="37" t="n">
        <v>24415000</v>
      </c>
      <c r="F793" s="37" t="s">
        <v>140</v>
      </c>
      <c r="G793" s="37" t="s">
        <v>207</v>
      </c>
      <c r="H793" s="37" t="s">
        <v>170</v>
      </c>
      <c r="I793" s="37" t="n">
        <v>44.5</v>
      </c>
      <c r="J793" s="39" t="n">
        <v>685.63</v>
      </c>
      <c r="K793" s="37" t="s">
        <v>498</v>
      </c>
      <c r="L793" s="39" t="n">
        <v>117.15</v>
      </c>
      <c r="M793" s="39" t="n">
        <v>82.25</v>
      </c>
      <c r="N793" s="39" t="n">
        <f aca="false">J793*Resumo!$C$7</f>
        <v>1.37126</v>
      </c>
      <c r="O793" s="39" t="n">
        <f aca="false">J793*Resumo!$C$8</f>
        <v>1.37126</v>
      </c>
      <c r="P793" s="39" t="n">
        <f aca="false">Resumo!$C$10*CEILING(I793/100,1)</f>
        <v>1</v>
      </c>
      <c r="Q793" s="39" t="n">
        <f aca="false">Resumo!$C$9</f>
        <v>11.9</v>
      </c>
      <c r="R793" s="39" t="n">
        <f aca="false">SUM(M793:Q793)*Resumo!$C$11</f>
        <v>5.3840886</v>
      </c>
      <c r="S793" s="39" t="n">
        <f aca="false">SUM(M793:R793)</f>
        <v>103.2766086</v>
      </c>
      <c r="T793" s="39" t="n">
        <f aca="false">S793/(1-Resumo!$C$5)</f>
        <v>117.3597825</v>
      </c>
      <c r="U793" s="39" t="n">
        <v>114.95</v>
      </c>
      <c r="V793" s="39" t="n">
        <f aca="false">J793*Resumo!$B$6</f>
        <v>0.68563</v>
      </c>
      <c r="W793" s="39" t="n">
        <f aca="false">J793*Resumo!$B$7</f>
        <v>1.37126</v>
      </c>
      <c r="X793" s="39" t="n">
        <f aca="false">Resumo!$B$9</f>
        <v>1</v>
      </c>
      <c r="Y793" s="39" t="n">
        <f aca="false">Resumo!$B$10*CEILING(I793/100,1)</f>
        <v>4.5</v>
      </c>
      <c r="Z793" s="39" t="n">
        <f aca="false">Resumo!$B$12*CEILING(I793,1)</f>
        <v>2.7</v>
      </c>
      <c r="AA793" s="39" t="n">
        <f aca="false">Resumo!$B$13*CEILING(I793,1)</f>
        <v>20.25</v>
      </c>
      <c r="AB793" s="39" t="n">
        <f aca="false">SUM(U793:AA793)</f>
        <v>145.45689</v>
      </c>
      <c r="AC793" s="39" t="n">
        <f aca="false">AB793/(1-Resumo!$B$5)</f>
        <v>165.291920454545</v>
      </c>
      <c r="AD793" s="39" t="n">
        <f aca="false">(AB793-AA793)/(1-Resumo!$B$5)</f>
        <v>142.280556818182</v>
      </c>
      <c r="AE793" s="39" t="n">
        <f aca="false">AC793-T793</f>
        <v>47.9321379545454</v>
      </c>
      <c r="AF793" s="40" t="n">
        <f aca="false">AC793/T793-1</f>
        <v>0.40842047363666</v>
      </c>
      <c r="AG793" s="37" t="str">
        <f aca="false">IF(AC793&lt;T793,"SIM","NÃO")</f>
        <v>NÃO</v>
      </c>
      <c r="AH793" s="37" t="n">
        <v>10</v>
      </c>
      <c r="AI793" s="37" t="n">
        <v>7</v>
      </c>
      <c r="AJ793" s="37" t="s">
        <v>323</v>
      </c>
    </row>
    <row r="794" customFormat="false" ht="15" hidden="false" customHeight="false" outlineLevel="0" collapsed="false">
      <c r="A794" s="37" t="n">
        <v>373736843</v>
      </c>
      <c r="B794" s="38" t="n">
        <v>46243.4022453704</v>
      </c>
      <c r="C794" s="37" t="s">
        <v>325</v>
      </c>
      <c r="D794" s="37" t="s">
        <v>865</v>
      </c>
      <c r="E794" s="37" t="n">
        <v>21341180</v>
      </c>
      <c r="F794" s="37" t="s">
        <v>139</v>
      </c>
      <c r="G794" s="37" t="s">
        <v>198</v>
      </c>
      <c r="H794" s="37" t="s">
        <v>168</v>
      </c>
      <c r="I794" s="37" t="n">
        <v>27.5</v>
      </c>
      <c r="J794" s="39" t="n">
        <v>339.99</v>
      </c>
      <c r="K794" s="37" t="s">
        <v>322</v>
      </c>
      <c r="L794" s="39" t="n">
        <v>81.95</v>
      </c>
      <c r="M794" s="39" t="n">
        <v>54.1</v>
      </c>
      <c r="N794" s="39" t="n">
        <f aca="false">J794*Resumo!$C$7</f>
        <v>0.67998</v>
      </c>
      <c r="O794" s="39" t="n">
        <f aca="false">J794*Resumo!$C$8</f>
        <v>0.67998</v>
      </c>
      <c r="P794" s="39" t="n">
        <f aca="false">Resumo!$C$10*CEILING(I794/100,1)</f>
        <v>1</v>
      </c>
      <c r="Q794" s="39" t="n">
        <f aca="false">Resumo!$C$9</f>
        <v>11.9</v>
      </c>
      <c r="R794" s="39" t="n">
        <f aca="false">SUM(M794:Q794)*Resumo!$C$11</f>
        <v>3.7597978</v>
      </c>
      <c r="S794" s="39" t="n">
        <f aca="false">SUM(M794:R794)</f>
        <v>72.1197578</v>
      </c>
      <c r="T794" s="39" t="n">
        <f aca="false">S794/(1-Resumo!$C$5)</f>
        <v>81.9542702272727</v>
      </c>
      <c r="U794" s="39" t="n">
        <v>82.21</v>
      </c>
      <c r="V794" s="39" t="n">
        <f aca="false">J794*Resumo!$B$6</f>
        <v>0.33999</v>
      </c>
      <c r="W794" s="39" t="n">
        <f aca="false">J794*Resumo!$B$7</f>
        <v>0.67998</v>
      </c>
      <c r="X794" s="39" t="n">
        <f aca="false">Resumo!$B$9</f>
        <v>1</v>
      </c>
      <c r="Y794" s="39" t="n">
        <f aca="false">Resumo!$B$10*CEILING(I794/100,1)</f>
        <v>4.5</v>
      </c>
      <c r="Z794" s="39" t="n">
        <f aca="false">Resumo!$B$12*CEILING(I794,1)</f>
        <v>1.68</v>
      </c>
      <c r="AA794" s="39" t="n">
        <f aca="false">Resumo!$B$13*CEILING(I794,1)</f>
        <v>12.6</v>
      </c>
      <c r="AB794" s="39" t="n">
        <f aca="false">SUM(U794:AA794)</f>
        <v>103.00997</v>
      </c>
      <c r="AC794" s="39" t="n">
        <f aca="false">AB794/(1-Resumo!$B$5)</f>
        <v>117.056784090909</v>
      </c>
      <c r="AD794" s="39" t="n">
        <f aca="false">(AB794-AA794)/(1-Resumo!$B$5)</f>
        <v>102.738602272727</v>
      </c>
      <c r="AE794" s="39" t="n">
        <f aca="false">AC794-T794</f>
        <v>35.1025138636364</v>
      </c>
      <c r="AF794" s="40" t="n">
        <f aca="false">AC794/T794-1</f>
        <v>0.428318301978546</v>
      </c>
      <c r="AG794" s="37" t="str">
        <f aca="false">IF(AC794&lt;T794,"SIM","NÃO")</f>
        <v>NÃO</v>
      </c>
      <c r="AH794" s="37" t="n">
        <v>8</v>
      </c>
      <c r="AI794" s="37" t="n">
        <v>5</v>
      </c>
      <c r="AJ794" s="37" t="s">
        <v>323</v>
      </c>
    </row>
    <row r="795" customFormat="false" ht="15" hidden="false" customHeight="false" outlineLevel="0" collapsed="false">
      <c r="A795" s="37" t="n">
        <v>373777887</v>
      </c>
      <c r="B795" s="38" t="n">
        <v>46243.5060185185</v>
      </c>
      <c r="C795" s="37" t="s">
        <v>320</v>
      </c>
      <c r="D795" s="37" t="s">
        <v>480</v>
      </c>
      <c r="E795" s="37" t="n">
        <v>22710568</v>
      </c>
      <c r="F795" s="37" t="s">
        <v>139</v>
      </c>
      <c r="G795" s="37" t="s">
        <v>198</v>
      </c>
      <c r="H795" s="37" t="s">
        <v>172</v>
      </c>
      <c r="I795" s="37" t="n">
        <v>61.5</v>
      </c>
      <c r="J795" s="39" t="n">
        <v>726.79</v>
      </c>
      <c r="K795" s="37" t="s">
        <v>322</v>
      </c>
      <c r="L795" s="39" t="n">
        <v>124.68</v>
      </c>
      <c r="M795" s="39" t="n">
        <v>88.2</v>
      </c>
      <c r="N795" s="39" t="n">
        <f aca="false">J795*Resumo!$C$7</f>
        <v>1.45358</v>
      </c>
      <c r="O795" s="39" t="n">
        <f aca="false">J795*Resumo!$C$8</f>
        <v>1.45358</v>
      </c>
      <c r="P795" s="39" t="n">
        <f aca="false">Resumo!$C$10*CEILING(I795/100,1)</f>
        <v>1</v>
      </c>
      <c r="Q795" s="39" t="n">
        <f aca="false">Resumo!$C$9</f>
        <v>11.9</v>
      </c>
      <c r="R795" s="39" t="n">
        <f aca="false">SUM(M795:Q795)*Resumo!$C$11</f>
        <v>5.7203938</v>
      </c>
      <c r="S795" s="39" t="n">
        <f aca="false">SUM(M795:R795)</f>
        <v>109.7275538</v>
      </c>
      <c r="T795" s="39" t="n">
        <f aca="false">S795/(1-Resumo!$C$5)</f>
        <v>124.690402045455</v>
      </c>
      <c r="U795" s="39" t="n">
        <v>131.02</v>
      </c>
      <c r="V795" s="39" t="n">
        <f aca="false">J795*Resumo!$B$6</f>
        <v>0.72679</v>
      </c>
      <c r="W795" s="39" t="n">
        <f aca="false">J795*Resumo!$B$7</f>
        <v>1.45358</v>
      </c>
      <c r="X795" s="39" t="n">
        <f aca="false">Resumo!$B$9</f>
        <v>1</v>
      </c>
      <c r="Y795" s="39" t="n">
        <f aca="false">Resumo!$B$10*CEILING(I795/100,1)</f>
        <v>4.5</v>
      </c>
      <c r="Z795" s="39" t="n">
        <f aca="false">Resumo!$B$12*CEILING(I795,1)</f>
        <v>3.72</v>
      </c>
      <c r="AA795" s="39" t="n">
        <f aca="false">Resumo!$B$13*CEILING(I795,1)</f>
        <v>27.9</v>
      </c>
      <c r="AB795" s="39" t="n">
        <f aca="false">SUM(U795:AA795)</f>
        <v>170.32037</v>
      </c>
      <c r="AC795" s="39" t="n">
        <f aca="false">AB795/(1-Resumo!$B$5)</f>
        <v>193.545875</v>
      </c>
      <c r="AD795" s="39" t="n">
        <f aca="false">(AB795-AA795)/(1-Resumo!$B$5)</f>
        <v>161.841329545455</v>
      </c>
      <c r="AE795" s="39" t="n">
        <f aca="false">AC795-T795</f>
        <v>68.8554729545455</v>
      </c>
      <c r="AF795" s="40" t="n">
        <f aca="false">AC795/T795-1</f>
        <v>0.55221149202362</v>
      </c>
      <c r="AG795" s="37" t="str">
        <f aca="false">IF(AC795&lt;T795,"SIM","NÃO")</f>
        <v>NÃO</v>
      </c>
      <c r="AH795" s="37" t="n">
        <v>8</v>
      </c>
      <c r="AI795" s="37" t="n">
        <v>5</v>
      </c>
      <c r="AJ795" s="37" t="s">
        <v>323</v>
      </c>
    </row>
    <row r="796" customFormat="false" ht="15" hidden="false" customHeight="false" outlineLevel="0" collapsed="false">
      <c r="A796" s="37" t="n">
        <v>373779084</v>
      </c>
      <c r="B796" s="38" t="n">
        <v>46243.509224537</v>
      </c>
      <c r="C796" s="37" t="s">
        <v>320</v>
      </c>
      <c r="D796" s="37" t="s">
        <v>1087</v>
      </c>
      <c r="E796" s="37" t="n">
        <v>24932855</v>
      </c>
      <c r="F796" s="37" t="s">
        <v>151</v>
      </c>
      <c r="G796" s="37" t="s">
        <v>201</v>
      </c>
      <c r="H796" s="37" t="s">
        <v>171</v>
      </c>
      <c r="I796" s="37" t="n">
        <v>52.3</v>
      </c>
      <c r="J796" s="39" t="n">
        <v>699.99</v>
      </c>
      <c r="K796" s="37" t="s">
        <v>498</v>
      </c>
      <c r="L796" s="39" t="n">
        <v>142.01</v>
      </c>
      <c r="M796" s="39" t="n">
        <v>103.6</v>
      </c>
      <c r="N796" s="39" t="n">
        <f aca="false">J796*Resumo!$C$7</f>
        <v>1.39998</v>
      </c>
      <c r="O796" s="39" t="n">
        <f aca="false">J796*Resumo!$C$8</f>
        <v>1.39998</v>
      </c>
      <c r="P796" s="39" t="n">
        <f aca="false">Resumo!$C$10*CEILING(I796/100,1)</f>
        <v>1</v>
      </c>
      <c r="Q796" s="39" t="n">
        <f aca="false">Resumo!$C$9</f>
        <v>11.9</v>
      </c>
      <c r="R796" s="39" t="n">
        <f aca="false">SUM(M796:Q796)*Resumo!$C$11</f>
        <v>6.5614978</v>
      </c>
      <c r="S796" s="39" t="n">
        <f aca="false">SUM(M796:R796)</f>
        <v>125.8614578</v>
      </c>
      <c r="T796" s="39" t="n">
        <f aca="false">S796/(1-Resumo!$C$5)</f>
        <v>143.024383863636</v>
      </c>
      <c r="U796" s="39" t="n">
        <v>128.14</v>
      </c>
      <c r="V796" s="39" t="n">
        <f aca="false">J796*Resumo!$B$6</f>
        <v>0.69999</v>
      </c>
      <c r="W796" s="39" t="n">
        <f aca="false">J796*Resumo!$B$7</f>
        <v>1.39998</v>
      </c>
      <c r="X796" s="39" t="n">
        <f aca="false">Resumo!$B$9</f>
        <v>1</v>
      </c>
      <c r="Y796" s="39" t="n">
        <f aca="false">Resumo!$B$10*CEILING(I796/100,1)</f>
        <v>4.5</v>
      </c>
      <c r="Z796" s="39" t="n">
        <f aca="false">Resumo!$B$12*CEILING(I796,1)</f>
        <v>3.18</v>
      </c>
      <c r="AA796" s="39" t="n">
        <f aca="false">Resumo!$B$13*CEILING(I796,1)</f>
        <v>23.85</v>
      </c>
      <c r="AB796" s="39" t="n">
        <f aca="false">SUM(U796:AA796)</f>
        <v>162.76997</v>
      </c>
      <c r="AC796" s="39" t="n">
        <f aca="false">AB796/(1-Resumo!$B$5)</f>
        <v>184.965875</v>
      </c>
      <c r="AD796" s="39" t="n">
        <f aca="false">(AB796-AA796)/(1-Resumo!$B$5)</f>
        <v>157.863602272727</v>
      </c>
      <c r="AE796" s="39" t="n">
        <f aca="false">AC796-T796</f>
        <v>41.9414911363636</v>
      </c>
      <c r="AF796" s="40" t="n">
        <f aca="false">AC796/T796-1</f>
        <v>0.293247137329757</v>
      </c>
      <c r="AG796" s="37" t="str">
        <f aca="false">IF(AC796&lt;T796,"SIM","NÃO")</f>
        <v>NÃO</v>
      </c>
      <c r="AH796" s="37" t="n">
        <v>13</v>
      </c>
      <c r="AI796" s="37" t="n">
        <v>7</v>
      </c>
      <c r="AJ796" s="37" t="s">
        <v>323</v>
      </c>
    </row>
    <row r="797" customFormat="false" ht="15" hidden="false" customHeight="false" outlineLevel="0" collapsed="false">
      <c r="A797" s="37" t="n">
        <v>373779268</v>
      </c>
      <c r="B797" s="38" t="n">
        <v>46243.509537037</v>
      </c>
      <c r="C797" s="37" t="s">
        <v>325</v>
      </c>
      <c r="D797" s="37" t="s">
        <v>1088</v>
      </c>
      <c r="E797" s="37" t="n">
        <v>25555221</v>
      </c>
      <c r="F797" s="37" t="s">
        <v>147</v>
      </c>
      <c r="G797" s="37" t="s">
        <v>207</v>
      </c>
      <c r="H797" s="37" t="s">
        <v>176</v>
      </c>
      <c r="I797" s="37" t="n">
        <v>124.2</v>
      </c>
      <c r="J797" s="39" t="n">
        <v>1749.98</v>
      </c>
      <c r="K797" s="37" t="s">
        <v>498</v>
      </c>
      <c r="L797" s="39" t="n">
        <v>237.34</v>
      </c>
      <c r="M797" s="39" t="n">
        <v>183.45</v>
      </c>
      <c r="N797" s="39" t="n">
        <f aca="false">J797*Resumo!$C$7</f>
        <v>3.49996</v>
      </c>
      <c r="O797" s="39" t="n">
        <f aca="false">J797*Resumo!$C$8</f>
        <v>3.49996</v>
      </c>
      <c r="P797" s="39" t="n">
        <f aca="false">Resumo!$C$10*CEILING(I797/100,1)</f>
        <v>2</v>
      </c>
      <c r="Q797" s="39" t="n">
        <f aca="false">Resumo!$C$9</f>
        <v>11.9</v>
      </c>
      <c r="R797" s="39" t="n">
        <f aca="false">SUM(M797:Q797)*Resumo!$C$11</f>
        <v>11.2392456</v>
      </c>
      <c r="S797" s="39" t="n">
        <f aca="false">SUM(M797:R797)</f>
        <v>215.5891656</v>
      </c>
      <c r="T797" s="39" t="n">
        <f aca="false">S797/(1-Resumo!$C$5)</f>
        <v>244.987688181818</v>
      </c>
      <c r="U797" s="39" t="n">
        <v>239.25</v>
      </c>
      <c r="V797" s="39" t="n">
        <f aca="false">J797*Resumo!$B$6</f>
        <v>1.74998</v>
      </c>
      <c r="W797" s="39" t="n">
        <f aca="false">J797*Resumo!$B$7</f>
        <v>3.49996</v>
      </c>
      <c r="X797" s="39" t="n">
        <f aca="false">Resumo!$B$9</f>
        <v>1</v>
      </c>
      <c r="Y797" s="39" t="n">
        <f aca="false">Resumo!$B$10*CEILING(I797/100,1)</f>
        <v>9</v>
      </c>
      <c r="Z797" s="39" t="n">
        <f aca="false">Resumo!$B$12*CEILING(I797,1)</f>
        <v>7.5</v>
      </c>
      <c r="AA797" s="39" t="n">
        <f aca="false">Resumo!$B$13*CEILING(I797,1)</f>
        <v>56.25</v>
      </c>
      <c r="AB797" s="39" t="n">
        <f aca="false">SUM(U797:AA797)</f>
        <v>318.24994</v>
      </c>
      <c r="AC797" s="39" t="n">
        <f aca="false">AB797/(1-Resumo!$B$5)</f>
        <v>361.647659090909</v>
      </c>
      <c r="AD797" s="39" t="n">
        <f aca="false">(AB797-AA797)/(1-Resumo!$B$5)</f>
        <v>297.727204545455</v>
      </c>
      <c r="AE797" s="39" t="n">
        <f aca="false">AC797-T797</f>
        <v>116.659970909091</v>
      </c>
      <c r="AF797" s="40" t="n">
        <f aca="false">AC797/T797-1</f>
        <v>0.476187076072621</v>
      </c>
      <c r="AG797" s="37" t="str">
        <f aca="false">IF(AC797&lt;T797,"SIM","NÃO")</f>
        <v>NÃO</v>
      </c>
      <c r="AH797" s="37" t="n">
        <v>10</v>
      </c>
      <c r="AI797" s="37" t="n">
        <v>5</v>
      </c>
      <c r="AJ797" s="37" t="s">
        <v>323</v>
      </c>
    </row>
    <row r="798" customFormat="false" ht="15" hidden="false" customHeight="false" outlineLevel="0" collapsed="false">
      <c r="A798" s="37" t="n">
        <v>373784096</v>
      </c>
      <c r="B798" s="38" t="n">
        <v>46243.520462963</v>
      </c>
      <c r="C798" s="37" t="s">
        <v>320</v>
      </c>
      <c r="D798" s="37" t="s">
        <v>1089</v>
      </c>
      <c r="E798" s="37" t="n">
        <v>22753710</v>
      </c>
      <c r="F798" s="37" t="s">
        <v>139</v>
      </c>
      <c r="G798" s="37" t="s">
        <v>198</v>
      </c>
      <c r="H798" s="37" t="s">
        <v>169</v>
      </c>
      <c r="I798" s="37" t="n">
        <v>37.2</v>
      </c>
      <c r="J798" s="39" t="n">
        <v>419.99</v>
      </c>
      <c r="K798" s="37" t="s">
        <v>322</v>
      </c>
      <c r="L798" s="39" t="n">
        <v>91.86</v>
      </c>
      <c r="M798" s="39" t="n">
        <v>62.05</v>
      </c>
      <c r="N798" s="39" t="n">
        <f aca="false">J798*Resumo!$C$7</f>
        <v>0.83998</v>
      </c>
      <c r="O798" s="39" t="n">
        <f aca="false">J798*Resumo!$C$8</f>
        <v>0.83998</v>
      </c>
      <c r="P798" s="39" t="n">
        <f aca="false">Resumo!$C$10*CEILING(I798/100,1)</f>
        <v>1</v>
      </c>
      <c r="Q798" s="39" t="n">
        <f aca="false">Resumo!$C$9</f>
        <v>11.9</v>
      </c>
      <c r="R798" s="39" t="n">
        <f aca="false">SUM(M798:Q798)*Resumo!$C$11</f>
        <v>4.2146478</v>
      </c>
      <c r="S798" s="39" t="n">
        <f aca="false">SUM(M798:R798)</f>
        <v>80.8446078</v>
      </c>
      <c r="T798" s="39" t="n">
        <f aca="false">S798/(1-Resumo!$C$5)</f>
        <v>91.8688725</v>
      </c>
      <c r="U798" s="39" t="n">
        <v>93.97</v>
      </c>
      <c r="V798" s="39" t="n">
        <f aca="false">J798*Resumo!$B$6</f>
        <v>0.41999</v>
      </c>
      <c r="W798" s="39" t="n">
        <f aca="false">J798*Resumo!$B$7</f>
        <v>0.83998</v>
      </c>
      <c r="X798" s="39" t="n">
        <f aca="false">Resumo!$B$9</f>
        <v>1</v>
      </c>
      <c r="Y798" s="39" t="n">
        <f aca="false">Resumo!$B$10*CEILING(I798/100,1)</f>
        <v>4.5</v>
      </c>
      <c r="Z798" s="39" t="n">
        <f aca="false">Resumo!$B$12*CEILING(I798,1)</f>
        <v>2.28</v>
      </c>
      <c r="AA798" s="39" t="n">
        <f aca="false">Resumo!$B$13*CEILING(I798,1)</f>
        <v>17.1</v>
      </c>
      <c r="AB798" s="39" t="n">
        <f aca="false">SUM(U798:AA798)</f>
        <v>120.10997</v>
      </c>
      <c r="AC798" s="39" t="n">
        <f aca="false">AB798/(1-Resumo!$B$5)</f>
        <v>136.488602272727</v>
      </c>
      <c r="AD798" s="39" t="n">
        <f aca="false">(AB798-AA798)/(1-Resumo!$B$5)</f>
        <v>117.056784090909</v>
      </c>
      <c r="AE798" s="39" t="n">
        <f aca="false">AC798-T798</f>
        <v>44.6197297727273</v>
      </c>
      <c r="AF798" s="40" t="n">
        <f aca="false">AC798/T798-1</f>
        <v>0.485689315200067</v>
      </c>
      <c r="AG798" s="37" t="str">
        <f aca="false">IF(AC798&lt;T798,"SIM","NÃO")</f>
        <v>NÃO</v>
      </c>
      <c r="AH798" s="37" t="n">
        <v>8</v>
      </c>
      <c r="AI798" s="37" t="n">
        <v>5</v>
      </c>
      <c r="AJ798" s="37" t="s">
        <v>323</v>
      </c>
    </row>
    <row r="799" customFormat="false" ht="15" hidden="false" customHeight="false" outlineLevel="0" collapsed="false">
      <c r="A799" s="37" t="n">
        <v>373801337</v>
      </c>
      <c r="B799" s="38" t="n">
        <v>46243.5611574074</v>
      </c>
      <c r="C799" s="37" t="s">
        <v>325</v>
      </c>
      <c r="D799" s="37" t="s">
        <v>1090</v>
      </c>
      <c r="E799" s="37" t="n">
        <v>27923390</v>
      </c>
      <c r="F799" s="37" t="s">
        <v>146</v>
      </c>
      <c r="G799" s="37" t="s">
        <v>201</v>
      </c>
      <c r="H799" s="37" t="s">
        <v>170</v>
      </c>
      <c r="I799" s="37" t="n">
        <v>40.6</v>
      </c>
      <c r="J799" s="39" t="n">
        <v>439.99</v>
      </c>
      <c r="K799" s="37" t="s">
        <v>498</v>
      </c>
      <c r="L799" s="39" t="n">
        <v>127.94</v>
      </c>
      <c r="M799" s="39" t="n">
        <v>94</v>
      </c>
      <c r="N799" s="39" t="n">
        <f aca="false">J799*Resumo!$C$7</f>
        <v>0.87998</v>
      </c>
      <c r="O799" s="39" t="n">
        <f aca="false">J799*Resumo!$C$8</f>
        <v>0.87998</v>
      </c>
      <c r="P799" s="39" t="n">
        <f aca="false">Resumo!$C$10*CEILING(I799/100,1)</f>
        <v>1</v>
      </c>
      <c r="Q799" s="39" t="n">
        <f aca="false">Resumo!$C$9</f>
        <v>11.9</v>
      </c>
      <c r="R799" s="39" t="n">
        <f aca="false">SUM(M799:Q799)*Resumo!$C$11</f>
        <v>5.9762978</v>
      </c>
      <c r="S799" s="39" t="n">
        <f aca="false">SUM(M799:R799)</f>
        <v>114.6362578</v>
      </c>
      <c r="T799" s="39" t="n">
        <f aca="false">S799/(1-Resumo!$C$5)</f>
        <v>130.268474772727</v>
      </c>
      <c r="U799" s="39" t="n">
        <v>152.54</v>
      </c>
      <c r="V799" s="39" t="n">
        <f aca="false">J799*Resumo!$B$6</f>
        <v>0.43999</v>
      </c>
      <c r="W799" s="39" t="n">
        <f aca="false">J799*Resumo!$B$7</f>
        <v>0.87998</v>
      </c>
      <c r="X799" s="39" t="n">
        <f aca="false">Resumo!$B$9</f>
        <v>1</v>
      </c>
      <c r="Y799" s="39" t="n">
        <f aca="false">Resumo!$B$10*CEILING(I799/100,1)</f>
        <v>4.5</v>
      </c>
      <c r="Z799" s="39" t="n">
        <f aca="false">Resumo!$B$12*CEILING(I799,1)</f>
        <v>2.46</v>
      </c>
      <c r="AA799" s="39" t="n">
        <f aca="false">Resumo!$B$13*CEILING(I799,1)</f>
        <v>18.45</v>
      </c>
      <c r="AB799" s="39" t="n">
        <f aca="false">SUM(U799:AA799)</f>
        <v>180.26997</v>
      </c>
      <c r="AC799" s="39" t="n">
        <f aca="false">AB799/(1-Resumo!$B$5)</f>
        <v>204.852238636364</v>
      </c>
      <c r="AD799" s="39" t="n">
        <f aca="false">(AB799-AA799)/(1-Resumo!$B$5)</f>
        <v>183.886329545455</v>
      </c>
      <c r="AE799" s="39" t="n">
        <f aca="false">AC799-T799</f>
        <v>74.5837638636363</v>
      </c>
      <c r="AF799" s="40" t="n">
        <f aca="false">AC799/T799-1</f>
        <v>0.572538858643726</v>
      </c>
      <c r="AG799" s="37" t="str">
        <f aca="false">IF(AC799&lt;T799,"SIM","NÃO")</f>
        <v>NÃO</v>
      </c>
      <c r="AH799" s="37" t="n">
        <v>13</v>
      </c>
      <c r="AI799" s="37" t="n">
        <v>11</v>
      </c>
      <c r="AJ799" s="37" t="s">
        <v>323</v>
      </c>
    </row>
    <row r="800" customFormat="false" ht="15" hidden="false" customHeight="false" outlineLevel="0" collapsed="false">
      <c r="A800" s="37" t="n">
        <v>373809217</v>
      </c>
      <c r="B800" s="38" t="n">
        <v>46243.5819907407</v>
      </c>
      <c r="C800" s="37" t="s">
        <v>352</v>
      </c>
      <c r="D800" s="37" t="s">
        <v>1091</v>
      </c>
      <c r="E800" s="37" t="n">
        <v>22790714</v>
      </c>
      <c r="F800" s="37" t="s">
        <v>139</v>
      </c>
      <c r="G800" s="37" t="s">
        <v>198</v>
      </c>
      <c r="H800" s="37" t="s">
        <v>168</v>
      </c>
      <c r="I800" s="37" t="n">
        <v>24.4</v>
      </c>
      <c r="J800" s="39" t="n">
        <v>369.99</v>
      </c>
      <c r="K800" s="37" t="s">
        <v>322</v>
      </c>
      <c r="L800" s="39" t="n">
        <v>82.1</v>
      </c>
      <c r="M800" s="39" t="n">
        <v>54.1</v>
      </c>
      <c r="N800" s="39" t="n">
        <f aca="false">J800*Resumo!$C$7</f>
        <v>0.73998</v>
      </c>
      <c r="O800" s="39" t="n">
        <f aca="false">J800*Resumo!$C$8</f>
        <v>0.73998</v>
      </c>
      <c r="P800" s="39" t="n">
        <f aca="false">Resumo!$C$10*CEILING(I800/100,1)</f>
        <v>1</v>
      </c>
      <c r="Q800" s="39" t="n">
        <f aca="false">Resumo!$C$9</f>
        <v>11.9</v>
      </c>
      <c r="R800" s="39" t="n">
        <f aca="false">SUM(M800:Q800)*Resumo!$C$11</f>
        <v>3.7663978</v>
      </c>
      <c r="S800" s="39" t="n">
        <f aca="false">SUM(M800:R800)</f>
        <v>72.2463578</v>
      </c>
      <c r="T800" s="39" t="n">
        <f aca="false">S800/(1-Resumo!$C$5)</f>
        <v>82.0981338636364</v>
      </c>
      <c r="U800" s="39" t="n">
        <v>82.21</v>
      </c>
      <c r="V800" s="39" t="n">
        <f aca="false">J800*Resumo!$B$6</f>
        <v>0.36999</v>
      </c>
      <c r="W800" s="39" t="n">
        <f aca="false">J800*Resumo!$B$7</f>
        <v>0.73998</v>
      </c>
      <c r="X800" s="39" t="n">
        <f aca="false">Resumo!$B$9</f>
        <v>1</v>
      </c>
      <c r="Y800" s="39" t="n">
        <f aca="false">Resumo!$B$10*CEILING(I800/100,1)</f>
        <v>4.5</v>
      </c>
      <c r="Z800" s="39" t="n">
        <f aca="false">Resumo!$B$12*CEILING(I800,1)</f>
        <v>1.5</v>
      </c>
      <c r="AA800" s="39" t="n">
        <f aca="false">Resumo!$B$13*CEILING(I800,1)</f>
        <v>11.25</v>
      </c>
      <c r="AB800" s="39" t="n">
        <f aca="false">SUM(U800:AA800)</f>
        <v>101.56997</v>
      </c>
      <c r="AC800" s="39" t="n">
        <f aca="false">AB800/(1-Resumo!$B$5)</f>
        <v>115.420420454545</v>
      </c>
      <c r="AD800" s="39" t="n">
        <f aca="false">(AB800-AA800)/(1-Resumo!$B$5)</f>
        <v>102.636329545455</v>
      </c>
      <c r="AE800" s="39" t="n">
        <f aca="false">AC800-T800</f>
        <v>33.3222865909091</v>
      </c>
      <c r="AF800" s="40" t="n">
        <f aca="false">AC800/T800-1</f>
        <v>0.405883605664616</v>
      </c>
      <c r="AG800" s="37" t="str">
        <f aca="false">IF(AC800&lt;T800,"SIM","NÃO")</f>
        <v>NÃO</v>
      </c>
      <c r="AH800" s="37" t="n">
        <v>8</v>
      </c>
      <c r="AI800" s="37" t="n">
        <v>5</v>
      </c>
      <c r="AJ800" s="37" t="s">
        <v>323</v>
      </c>
    </row>
    <row r="801" customFormat="false" ht="15" hidden="false" customHeight="false" outlineLevel="0" collapsed="false">
      <c r="A801" s="37" t="n">
        <v>373821842</v>
      </c>
      <c r="B801" s="38" t="n">
        <v>46243.6115393519</v>
      </c>
      <c r="C801" s="37" t="s">
        <v>320</v>
      </c>
      <c r="D801" s="37" t="s">
        <v>1092</v>
      </c>
      <c r="E801" s="37" t="n">
        <v>22740240</v>
      </c>
      <c r="F801" s="37" t="s">
        <v>139</v>
      </c>
      <c r="G801" s="37" t="s">
        <v>198</v>
      </c>
      <c r="H801" s="37" t="s">
        <v>171</v>
      </c>
      <c r="I801" s="37" t="n">
        <v>54</v>
      </c>
      <c r="J801" s="39" t="n">
        <v>659.98</v>
      </c>
      <c r="K801" s="37" t="s">
        <v>322</v>
      </c>
      <c r="L801" s="39" t="n">
        <v>114.31</v>
      </c>
      <c r="M801" s="39" t="n">
        <v>79.81</v>
      </c>
      <c r="N801" s="39" t="n">
        <f aca="false">J801*Resumo!$C$7</f>
        <v>1.31996</v>
      </c>
      <c r="O801" s="39" t="n">
        <f aca="false">J801*Resumo!$C$8</f>
        <v>1.31996</v>
      </c>
      <c r="P801" s="39" t="n">
        <f aca="false">Resumo!$C$10*CEILING(I801/100,1)</f>
        <v>1</v>
      </c>
      <c r="Q801" s="39" t="n">
        <f aca="false">Resumo!$C$9</f>
        <v>11.9</v>
      </c>
      <c r="R801" s="39" t="n">
        <f aca="false">SUM(M801:Q801)*Resumo!$C$11</f>
        <v>5.2442456</v>
      </c>
      <c r="S801" s="39" t="n">
        <f aca="false">SUM(M801:R801)</f>
        <v>100.5941656</v>
      </c>
      <c r="T801" s="39" t="n">
        <f aca="false">S801/(1-Resumo!$C$5)</f>
        <v>114.311551818182</v>
      </c>
      <c r="U801" s="39" t="n">
        <v>112.3</v>
      </c>
      <c r="V801" s="39" t="n">
        <f aca="false">J801*Resumo!$B$6</f>
        <v>0.65998</v>
      </c>
      <c r="W801" s="39" t="n">
        <f aca="false">J801*Resumo!$B$7</f>
        <v>1.31996</v>
      </c>
      <c r="X801" s="39" t="n">
        <f aca="false">Resumo!$B$9</f>
        <v>1</v>
      </c>
      <c r="Y801" s="39" t="n">
        <f aca="false">Resumo!$B$10*CEILING(I801/100,1)</f>
        <v>4.5</v>
      </c>
      <c r="Z801" s="39" t="n">
        <f aca="false">Resumo!$B$12*CEILING(I801,1)</f>
        <v>3.24</v>
      </c>
      <c r="AA801" s="39" t="n">
        <f aca="false">Resumo!$B$13*CEILING(I801,1)</f>
        <v>24.3</v>
      </c>
      <c r="AB801" s="39" t="n">
        <f aca="false">SUM(U801:AA801)</f>
        <v>147.31994</v>
      </c>
      <c r="AC801" s="39" t="n">
        <f aca="false">AB801/(1-Resumo!$B$5)</f>
        <v>167.409022727273</v>
      </c>
      <c r="AD801" s="39" t="n">
        <f aca="false">(AB801-AA801)/(1-Resumo!$B$5)</f>
        <v>139.795386363636</v>
      </c>
      <c r="AE801" s="39" t="n">
        <f aca="false">AC801-T801</f>
        <v>53.0974709090909</v>
      </c>
      <c r="AF801" s="40" t="n">
        <f aca="false">AC801/T801-1</f>
        <v>0.464497857517892</v>
      </c>
      <c r="AG801" s="37" t="str">
        <f aca="false">IF(AC801&lt;T801,"SIM","NÃO")</f>
        <v>NÃO</v>
      </c>
      <c r="AH801" s="37" t="n">
        <v>8</v>
      </c>
      <c r="AI801" s="37" t="n">
        <v>5</v>
      </c>
      <c r="AJ801" s="37" t="s">
        <v>323</v>
      </c>
    </row>
    <row r="802" customFormat="false" ht="15" hidden="false" customHeight="false" outlineLevel="0" collapsed="false">
      <c r="A802" s="37" t="n">
        <v>373825290</v>
      </c>
      <c r="B802" s="38" t="n">
        <v>46243.6199305556</v>
      </c>
      <c r="C802" s="37" t="s">
        <v>320</v>
      </c>
      <c r="D802" s="37" t="s">
        <v>1093</v>
      </c>
      <c r="E802" s="37" t="n">
        <v>26540130</v>
      </c>
      <c r="F802" s="37" t="s">
        <v>224</v>
      </c>
      <c r="G802" s="37" t="s">
        <v>207</v>
      </c>
      <c r="H802" s="37" t="s">
        <v>170</v>
      </c>
      <c r="I802" s="37" t="n">
        <v>48.6</v>
      </c>
      <c r="J802" s="39" t="n">
        <v>679.99</v>
      </c>
      <c r="K802" s="37" t="s">
        <v>498</v>
      </c>
      <c r="L802" s="39" t="n">
        <v>119.17</v>
      </c>
      <c r="M802" s="39" t="n">
        <v>82.25</v>
      </c>
      <c r="N802" s="39" t="n">
        <f aca="false">J802*Resumo!$C$7</f>
        <v>1.35998</v>
      </c>
      <c r="O802" s="39" t="n">
        <f aca="false">J802*Resumo!$C$8</f>
        <v>1.35998</v>
      </c>
      <c r="P802" s="39" t="n">
        <f aca="false">Resumo!$C$10*CEILING(I802/100,1)</f>
        <v>1</v>
      </c>
      <c r="Q802" s="39" t="n">
        <f aca="false">Resumo!$C$9</f>
        <v>11.9</v>
      </c>
      <c r="R802" s="39" t="n">
        <f aca="false">SUM(M802:Q802)*Resumo!$C$11</f>
        <v>5.3828478</v>
      </c>
      <c r="S802" s="39" t="n">
        <f aca="false">SUM(M802:R802)</f>
        <v>103.2528078</v>
      </c>
      <c r="T802" s="39" t="n">
        <f aca="false">S802/(1-Resumo!$C$5)</f>
        <v>117.332736136364</v>
      </c>
      <c r="U802" s="39" t="n">
        <v>93.97</v>
      </c>
      <c r="V802" s="39" t="n">
        <f aca="false">J802*Resumo!$B$6</f>
        <v>0.67999</v>
      </c>
      <c r="W802" s="39" t="n">
        <f aca="false">J802*Resumo!$B$7</f>
        <v>1.35998</v>
      </c>
      <c r="X802" s="39" t="n">
        <f aca="false">Resumo!$B$9</f>
        <v>1</v>
      </c>
      <c r="Y802" s="39" t="n">
        <f aca="false">Resumo!$B$10*CEILING(I802/100,1)</f>
        <v>4.5</v>
      </c>
      <c r="Z802" s="39" t="n">
        <f aca="false">Resumo!$B$12*CEILING(I802,1)</f>
        <v>2.94</v>
      </c>
      <c r="AA802" s="39" t="n">
        <f aca="false">Resumo!$B$13*CEILING(I802,1)</f>
        <v>22.05</v>
      </c>
      <c r="AB802" s="39" t="n">
        <f aca="false">SUM(U802:AA802)</f>
        <v>126.49997</v>
      </c>
      <c r="AC802" s="39" t="n">
        <f aca="false">AB802/(1-Resumo!$B$5)</f>
        <v>143.749965909091</v>
      </c>
      <c r="AD802" s="39" t="n">
        <f aca="false">(AB802-AA802)/(1-Resumo!$B$5)</f>
        <v>118.693147727273</v>
      </c>
      <c r="AE802" s="39" t="n">
        <f aca="false">AC802-T802</f>
        <v>26.4172297727273</v>
      </c>
      <c r="AF802" s="40" t="n">
        <f aca="false">AC802/T802-1</f>
        <v>0.225147990600213</v>
      </c>
      <c r="AG802" s="37" t="str">
        <f aca="false">IF(AC802&lt;T802,"SIM","NÃO")</f>
        <v>NÃO</v>
      </c>
      <c r="AH802" s="37" t="n">
        <v>10</v>
      </c>
      <c r="AI802" s="37" t="n">
        <v>5</v>
      </c>
      <c r="AJ802" s="37" t="s">
        <v>327</v>
      </c>
    </row>
    <row r="803" customFormat="false" ht="15" hidden="false" customHeight="false" outlineLevel="0" collapsed="false">
      <c r="A803" s="37" t="n">
        <v>373844352</v>
      </c>
      <c r="B803" s="38" t="n">
        <v>46243.6651041667</v>
      </c>
      <c r="C803" s="37" t="s">
        <v>325</v>
      </c>
      <c r="D803" s="37" t="s">
        <v>1094</v>
      </c>
      <c r="E803" s="37" t="n">
        <v>27273500</v>
      </c>
      <c r="F803" s="37" t="s">
        <v>148</v>
      </c>
      <c r="G803" s="37" t="s">
        <v>201</v>
      </c>
      <c r="H803" s="37" t="s">
        <v>172</v>
      </c>
      <c r="I803" s="37" t="n">
        <v>66.8</v>
      </c>
      <c r="J803" s="39" t="n">
        <v>578</v>
      </c>
      <c r="K803" s="37" t="s">
        <v>498</v>
      </c>
      <c r="L803" s="39" t="n">
        <v>156.1</v>
      </c>
      <c r="M803" s="39" t="n">
        <v>113.9</v>
      </c>
      <c r="N803" s="39" t="n">
        <f aca="false">J803*Resumo!$C$7</f>
        <v>1.156</v>
      </c>
      <c r="O803" s="39" t="n">
        <f aca="false">J803*Resumo!$C$8</f>
        <v>1.156</v>
      </c>
      <c r="P803" s="39" t="n">
        <f aca="false">Resumo!$C$10*CEILING(I803/100,1)</f>
        <v>1</v>
      </c>
      <c r="Q803" s="39" t="n">
        <f aca="false">Resumo!$C$9</f>
        <v>11.9</v>
      </c>
      <c r="R803" s="39" t="n">
        <f aca="false">SUM(M803:Q803)*Resumo!$C$11</f>
        <v>7.10116</v>
      </c>
      <c r="S803" s="39" t="n">
        <f aca="false">SUM(M803:R803)</f>
        <v>136.21316</v>
      </c>
      <c r="T803" s="39" t="n">
        <f aca="false">S803/(1-Resumo!$C$5)</f>
        <v>154.787681818182</v>
      </c>
      <c r="U803" s="39" t="n">
        <v>166.05</v>
      </c>
      <c r="V803" s="39" t="n">
        <f aca="false">J803*Resumo!$B$6</f>
        <v>0.578</v>
      </c>
      <c r="W803" s="39" t="n">
        <f aca="false">J803*Resumo!$B$7</f>
        <v>1.156</v>
      </c>
      <c r="X803" s="39" t="n">
        <f aca="false">Resumo!$B$9</f>
        <v>1</v>
      </c>
      <c r="Y803" s="39" t="n">
        <f aca="false">Resumo!$B$10*CEILING(I803/100,1)</f>
        <v>4.5</v>
      </c>
      <c r="Z803" s="39" t="n">
        <f aca="false">Resumo!$B$12*CEILING(I803,1)</f>
        <v>4.02</v>
      </c>
      <c r="AA803" s="39" t="n">
        <f aca="false">Resumo!$B$13*CEILING(I803,1)</f>
        <v>30.15</v>
      </c>
      <c r="AB803" s="39" t="n">
        <f aca="false">SUM(U803:AA803)</f>
        <v>207.454</v>
      </c>
      <c r="AC803" s="39" t="n">
        <f aca="false">AB803/(1-Resumo!$B$5)</f>
        <v>235.743181818182</v>
      </c>
      <c r="AD803" s="39" t="n">
        <f aca="false">(AB803-AA803)/(1-Resumo!$B$5)</f>
        <v>201.481818181818</v>
      </c>
      <c r="AE803" s="39" t="n">
        <f aca="false">AC803-T803</f>
        <v>80.9555</v>
      </c>
      <c r="AF803" s="40" t="n">
        <f aca="false">AC803/T803-1</f>
        <v>0.523009964675954</v>
      </c>
      <c r="AG803" s="37" t="str">
        <f aca="false">IF(AC803&lt;T803,"SIM","NÃO")</f>
        <v>NÃO</v>
      </c>
      <c r="AH803" s="37" t="n">
        <v>13</v>
      </c>
      <c r="AI803" s="37" t="n">
        <v>10</v>
      </c>
      <c r="AJ803" s="37" t="s">
        <v>323</v>
      </c>
    </row>
    <row r="804" customFormat="false" ht="15" hidden="false" customHeight="false" outlineLevel="0" collapsed="false">
      <c r="A804" s="37" t="n">
        <v>373866511</v>
      </c>
      <c r="B804" s="38" t="n">
        <v>46243.7180208333</v>
      </c>
      <c r="C804" s="37" t="s">
        <v>325</v>
      </c>
      <c r="D804" s="37" t="s">
        <v>1095</v>
      </c>
      <c r="E804" s="37" t="n">
        <v>20521030</v>
      </c>
      <c r="F804" s="37" t="s">
        <v>139</v>
      </c>
      <c r="G804" s="37" t="s">
        <v>198</v>
      </c>
      <c r="H804" s="37" t="s">
        <v>171</v>
      </c>
      <c r="I804" s="37" t="n">
        <v>52.3</v>
      </c>
      <c r="J804" s="39" t="n">
        <v>616.99</v>
      </c>
      <c r="K804" s="37" t="s">
        <v>322</v>
      </c>
      <c r="L804" s="39" t="n">
        <v>114.09</v>
      </c>
      <c r="M804" s="39" t="n">
        <v>79.81</v>
      </c>
      <c r="N804" s="39" t="n">
        <f aca="false">J804*Resumo!$C$7</f>
        <v>1.23398</v>
      </c>
      <c r="O804" s="39" t="n">
        <f aca="false">J804*Resumo!$C$8</f>
        <v>1.23398</v>
      </c>
      <c r="P804" s="39" t="n">
        <f aca="false">Resumo!$C$10*CEILING(I804/100,1)</f>
        <v>1</v>
      </c>
      <c r="Q804" s="39" t="n">
        <f aca="false">Resumo!$C$9</f>
        <v>11.9</v>
      </c>
      <c r="R804" s="39" t="n">
        <f aca="false">SUM(M804:Q804)*Resumo!$C$11</f>
        <v>5.2347878</v>
      </c>
      <c r="S804" s="39" t="n">
        <f aca="false">SUM(M804:R804)</f>
        <v>100.4127478</v>
      </c>
      <c r="T804" s="39" t="n">
        <f aca="false">S804/(1-Resumo!$C$5)</f>
        <v>114.105395227273</v>
      </c>
      <c r="U804" s="39" t="n">
        <v>112.3</v>
      </c>
      <c r="V804" s="39" t="n">
        <f aca="false">J804*Resumo!$B$6</f>
        <v>0.61699</v>
      </c>
      <c r="W804" s="39" t="n">
        <f aca="false">J804*Resumo!$B$7</f>
        <v>1.23398</v>
      </c>
      <c r="X804" s="39" t="n">
        <f aca="false">Resumo!$B$9</f>
        <v>1</v>
      </c>
      <c r="Y804" s="39" t="n">
        <f aca="false">Resumo!$B$10*CEILING(I804/100,1)</f>
        <v>4.5</v>
      </c>
      <c r="Z804" s="39" t="n">
        <f aca="false">Resumo!$B$12*CEILING(I804,1)</f>
        <v>3.18</v>
      </c>
      <c r="AA804" s="39" t="n">
        <f aca="false">Resumo!$B$13*CEILING(I804,1)</f>
        <v>23.85</v>
      </c>
      <c r="AB804" s="39" t="n">
        <f aca="false">SUM(U804:AA804)</f>
        <v>146.68097</v>
      </c>
      <c r="AC804" s="39" t="n">
        <f aca="false">AB804/(1-Resumo!$B$5)</f>
        <v>166.682920454545</v>
      </c>
      <c r="AD804" s="39" t="n">
        <f aca="false">(AB804-AA804)/(1-Resumo!$B$5)</f>
        <v>139.580647727273</v>
      </c>
      <c r="AE804" s="39" t="n">
        <f aca="false">AC804-T804</f>
        <v>52.5775252272727</v>
      </c>
      <c r="AF804" s="40" t="n">
        <f aca="false">AC804/T804-1</f>
        <v>0.46078036119633</v>
      </c>
      <c r="AG804" s="37" t="str">
        <f aca="false">IF(AC804&lt;T804,"SIM","NÃO")</f>
        <v>NÃO</v>
      </c>
      <c r="AH804" s="37" t="n">
        <v>8</v>
      </c>
      <c r="AI804" s="37" t="n">
        <v>5</v>
      </c>
      <c r="AJ804" s="37" t="s">
        <v>323</v>
      </c>
    </row>
    <row r="805" customFormat="false" ht="15" hidden="false" customHeight="false" outlineLevel="0" collapsed="false">
      <c r="A805" s="37" t="n">
        <v>373876150</v>
      </c>
      <c r="B805" s="38" t="n">
        <v>46243.7403356481</v>
      </c>
      <c r="C805" s="37" t="s">
        <v>325</v>
      </c>
      <c r="D805" s="37" t="s">
        <v>1096</v>
      </c>
      <c r="E805" s="37" t="n">
        <v>26293307</v>
      </c>
      <c r="F805" s="37" t="s">
        <v>142</v>
      </c>
      <c r="G805" s="37" t="s">
        <v>207</v>
      </c>
      <c r="H805" s="37" t="s">
        <v>168</v>
      </c>
      <c r="I805" s="37" t="n">
        <v>33</v>
      </c>
      <c r="J805" s="39" t="n">
        <v>488.88</v>
      </c>
      <c r="K805" s="37" t="s">
        <v>322</v>
      </c>
      <c r="L805" s="39" t="n">
        <v>101.74</v>
      </c>
      <c r="M805" s="39" t="n">
        <v>70</v>
      </c>
      <c r="N805" s="39" t="n">
        <f aca="false">J805*Resumo!$C$7</f>
        <v>0.97776</v>
      </c>
      <c r="O805" s="39" t="n">
        <f aca="false">J805*Resumo!$C$8</f>
        <v>0.97776</v>
      </c>
      <c r="P805" s="39" t="n">
        <f aca="false">Resumo!$C$10*CEILING(I805/100,1)</f>
        <v>1</v>
      </c>
      <c r="Q805" s="39" t="n">
        <f aca="false">Resumo!$C$9</f>
        <v>11.9</v>
      </c>
      <c r="R805" s="39" t="n">
        <f aca="false">SUM(M805:Q805)*Resumo!$C$11</f>
        <v>4.6670536</v>
      </c>
      <c r="S805" s="39" t="n">
        <f aca="false">SUM(M805:R805)</f>
        <v>89.5225736</v>
      </c>
      <c r="T805" s="39" t="n">
        <f aca="false">S805/(1-Resumo!$C$5)</f>
        <v>101.730197272727</v>
      </c>
      <c r="U805" s="39" t="n">
        <v>82.21</v>
      </c>
      <c r="V805" s="39" t="n">
        <f aca="false">J805*Resumo!$B$6</f>
        <v>0.48888</v>
      </c>
      <c r="W805" s="39" t="n">
        <f aca="false">J805*Resumo!$B$7</f>
        <v>0.97776</v>
      </c>
      <c r="X805" s="39" t="n">
        <f aca="false">Resumo!$B$9</f>
        <v>1</v>
      </c>
      <c r="Y805" s="39" t="n">
        <f aca="false">Resumo!$B$10*CEILING(I805/100,1)</f>
        <v>4.5</v>
      </c>
      <c r="Z805" s="39" t="n">
        <f aca="false">Resumo!$B$12*CEILING(I805,1)</f>
        <v>1.98</v>
      </c>
      <c r="AA805" s="39" t="n">
        <f aca="false">Resumo!$B$13*CEILING(I805,1)</f>
        <v>14.85</v>
      </c>
      <c r="AB805" s="39" t="n">
        <f aca="false">SUM(U805:AA805)</f>
        <v>106.00664</v>
      </c>
      <c r="AC805" s="39" t="n">
        <f aca="false">AB805/(1-Resumo!$B$5)</f>
        <v>120.462090909091</v>
      </c>
      <c r="AD805" s="39" t="n">
        <f aca="false">(AB805-AA805)/(1-Resumo!$B$5)</f>
        <v>103.587090909091</v>
      </c>
      <c r="AE805" s="39" t="n">
        <f aca="false">AC805-T805</f>
        <v>18.7318936363636</v>
      </c>
      <c r="AF805" s="40" t="n">
        <f aca="false">AC805/T805-1</f>
        <v>0.184133070991158</v>
      </c>
      <c r="AG805" s="37" t="str">
        <f aca="false">IF(AC805&lt;T805,"SIM","NÃO")</f>
        <v>NÃO</v>
      </c>
      <c r="AH805" s="37" t="n">
        <v>10</v>
      </c>
      <c r="AI805" s="37" t="n">
        <v>5</v>
      </c>
      <c r="AJ805" s="37" t="s">
        <v>323</v>
      </c>
    </row>
    <row r="806" customFormat="false" ht="15" hidden="false" customHeight="false" outlineLevel="0" collapsed="false">
      <c r="A806" s="37" t="n">
        <v>373884240</v>
      </c>
      <c r="B806" s="38" t="n">
        <v>46243.7589467593</v>
      </c>
      <c r="C806" s="37" t="s">
        <v>352</v>
      </c>
      <c r="D806" s="37" t="s">
        <v>1097</v>
      </c>
      <c r="E806" s="37" t="n">
        <v>26173140</v>
      </c>
      <c r="F806" s="37" t="s">
        <v>145</v>
      </c>
      <c r="G806" s="37" t="s">
        <v>207</v>
      </c>
      <c r="H806" s="37" t="s">
        <v>172</v>
      </c>
      <c r="I806" s="37" t="n">
        <v>61.4</v>
      </c>
      <c r="J806" s="39" t="n">
        <v>1069.99</v>
      </c>
      <c r="K806" s="37" t="s">
        <v>498</v>
      </c>
      <c r="L806" s="39" t="n">
        <v>140.4</v>
      </c>
      <c r="M806" s="39" t="n">
        <v>100.9</v>
      </c>
      <c r="N806" s="39" t="n">
        <f aca="false">J806*Resumo!$C$7</f>
        <v>2.13998</v>
      </c>
      <c r="O806" s="39" t="n">
        <f aca="false">J806*Resumo!$C$8</f>
        <v>2.13998</v>
      </c>
      <c r="P806" s="39" t="n">
        <f aca="false">Resumo!$C$10*CEILING(I806/100,1)</f>
        <v>1</v>
      </c>
      <c r="Q806" s="39" t="n">
        <f aca="false">Resumo!$C$9</f>
        <v>11.9</v>
      </c>
      <c r="R806" s="39" t="n">
        <f aca="false">SUM(M806:Q806)*Resumo!$C$11</f>
        <v>6.4943978</v>
      </c>
      <c r="S806" s="39" t="n">
        <f aca="false">SUM(M806:R806)</f>
        <v>124.5743578</v>
      </c>
      <c r="T806" s="39" t="n">
        <f aca="false">S806/(1-Resumo!$C$5)</f>
        <v>141.561770227273</v>
      </c>
      <c r="U806" s="39" t="n">
        <v>131.02</v>
      </c>
      <c r="V806" s="39" t="n">
        <f aca="false">J806*Resumo!$B$6</f>
        <v>1.06999</v>
      </c>
      <c r="W806" s="39" t="n">
        <f aca="false">J806*Resumo!$B$7</f>
        <v>2.13998</v>
      </c>
      <c r="X806" s="39" t="n">
        <f aca="false">Resumo!$B$9</f>
        <v>1</v>
      </c>
      <c r="Y806" s="39" t="n">
        <f aca="false">Resumo!$B$10*CEILING(I806/100,1)</f>
        <v>4.5</v>
      </c>
      <c r="Z806" s="39" t="n">
        <f aca="false">Resumo!$B$12*CEILING(I806,1)</f>
        <v>3.72</v>
      </c>
      <c r="AA806" s="39" t="n">
        <f aca="false">Resumo!$B$13*CEILING(I806,1)</f>
        <v>27.9</v>
      </c>
      <c r="AB806" s="39" t="n">
        <f aca="false">SUM(U806:AA806)</f>
        <v>171.34997</v>
      </c>
      <c r="AC806" s="39" t="n">
        <f aca="false">AB806/(1-Resumo!$B$5)</f>
        <v>194.715875</v>
      </c>
      <c r="AD806" s="39" t="n">
        <f aca="false">(AB806-AA806)/(1-Resumo!$B$5)</f>
        <v>163.011329545455</v>
      </c>
      <c r="AE806" s="39" t="n">
        <f aca="false">AC806-T806</f>
        <v>53.1541047727273</v>
      </c>
      <c r="AF806" s="40" t="n">
        <f aca="false">AC806/T806-1</f>
        <v>0.375483470483522</v>
      </c>
      <c r="AG806" s="37" t="str">
        <f aca="false">IF(AC806&lt;T806,"SIM","NÃO")</f>
        <v>NÃO</v>
      </c>
      <c r="AH806" s="37" t="n">
        <v>10</v>
      </c>
      <c r="AI806" s="37" t="n">
        <v>5</v>
      </c>
      <c r="AJ806" s="37" t="s">
        <v>323</v>
      </c>
    </row>
    <row r="807" customFormat="false" ht="15" hidden="false" customHeight="false" outlineLevel="0" collapsed="false">
      <c r="A807" s="37" t="n">
        <v>373891268</v>
      </c>
      <c r="B807" s="38" t="n">
        <v>46243.7757986111</v>
      </c>
      <c r="C807" s="37" t="s">
        <v>320</v>
      </c>
      <c r="D807" s="37" t="s">
        <v>1098</v>
      </c>
      <c r="E807" s="37" t="n">
        <v>24722250</v>
      </c>
      <c r="F807" s="37" t="s">
        <v>140</v>
      </c>
      <c r="G807" s="37" t="s">
        <v>207</v>
      </c>
      <c r="H807" s="37" t="s">
        <v>171</v>
      </c>
      <c r="I807" s="37" t="n">
        <v>51.06</v>
      </c>
      <c r="J807" s="39" t="n">
        <v>749.99</v>
      </c>
      <c r="K807" s="37" t="s">
        <v>498</v>
      </c>
      <c r="L807" s="39" t="n">
        <v>127.41</v>
      </c>
      <c r="M807" s="39" t="n">
        <v>91.6</v>
      </c>
      <c r="N807" s="39" t="n">
        <f aca="false">J807*Resumo!$C$7</f>
        <v>1.49998</v>
      </c>
      <c r="O807" s="39" t="n">
        <f aca="false">J807*Resumo!$C$8</f>
        <v>1.49998</v>
      </c>
      <c r="P807" s="39" t="n">
        <f aca="false">Resumo!$C$10*CEILING(I807/100,1)</f>
        <v>1</v>
      </c>
      <c r="Q807" s="39" t="n">
        <f aca="false">Resumo!$C$9</f>
        <v>11.9</v>
      </c>
      <c r="R807" s="39" t="n">
        <f aca="false">SUM(M807:Q807)*Resumo!$C$11</f>
        <v>5.9124978</v>
      </c>
      <c r="S807" s="39" t="n">
        <f aca="false">SUM(M807:R807)</f>
        <v>113.4124578</v>
      </c>
      <c r="T807" s="39" t="n">
        <f aca="false">S807/(1-Resumo!$C$5)</f>
        <v>128.877792954545</v>
      </c>
      <c r="U807" s="39" t="n">
        <v>128.14</v>
      </c>
      <c r="V807" s="39" t="n">
        <f aca="false">J807*Resumo!$B$6</f>
        <v>0.74999</v>
      </c>
      <c r="W807" s="39" t="n">
        <f aca="false">J807*Resumo!$B$7</f>
        <v>1.49998</v>
      </c>
      <c r="X807" s="39" t="n">
        <f aca="false">Resumo!$B$9</f>
        <v>1</v>
      </c>
      <c r="Y807" s="39" t="n">
        <f aca="false">Resumo!$B$10*CEILING(I807/100,1)</f>
        <v>4.5</v>
      </c>
      <c r="Z807" s="39" t="n">
        <f aca="false">Resumo!$B$12*CEILING(I807,1)</f>
        <v>3.12</v>
      </c>
      <c r="AA807" s="39" t="n">
        <f aca="false">Resumo!$B$13*CEILING(I807,1)</f>
        <v>23.4</v>
      </c>
      <c r="AB807" s="39" t="n">
        <f aca="false">SUM(U807:AA807)</f>
        <v>162.40997</v>
      </c>
      <c r="AC807" s="39" t="n">
        <f aca="false">AB807/(1-Resumo!$B$5)</f>
        <v>184.556784090909</v>
      </c>
      <c r="AD807" s="39" t="n">
        <f aca="false">(AB807-AA807)/(1-Resumo!$B$5)</f>
        <v>157.965875</v>
      </c>
      <c r="AE807" s="39" t="n">
        <f aca="false">AC807-T807</f>
        <v>55.6789911363636</v>
      </c>
      <c r="AF807" s="40" t="n">
        <f aca="false">AC807/T807-1</f>
        <v>0.432029365648753</v>
      </c>
      <c r="AG807" s="37" t="str">
        <f aca="false">IF(AC807&lt;T807,"SIM","NÃO")</f>
        <v>NÃO</v>
      </c>
      <c r="AH807" s="37" t="n">
        <v>10</v>
      </c>
      <c r="AI807" s="37" t="n">
        <v>7</v>
      </c>
      <c r="AJ807" s="37" t="s">
        <v>323</v>
      </c>
    </row>
    <row r="808" customFormat="false" ht="15" hidden="false" customHeight="false" outlineLevel="0" collapsed="false">
      <c r="A808" s="37" t="n">
        <v>373894141</v>
      </c>
      <c r="B808" s="38" t="n">
        <v>46243.7871643519</v>
      </c>
      <c r="C808" s="37" t="s">
        <v>341</v>
      </c>
      <c r="D808" s="37" t="s">
        <v>1099</v>
      </c>
      <c r="E808" s="37" t="n">
        <v>26177110</v>
      </c>
      <c r="F808" s="37" t="s">
        <v>145</v>
      </c>
      <c r="G808" s="37" t="s">
        <v>207</v>
      </c>
      <c r="H808" s="37" t="s">
        <v>168</v>
      </c>
      <c r="I808" s="37" t="n">
        <v>27.5</v>
      </c>
      <c r="J808" s="39" t="n">
        <v>399.99</v>
      </c>
      <c r="K808" s="37" t="s">
        <v>498</v>
      </c>
      <c r="L808" s="39" t="n">
        <v>99.64</v>
      </c>
      <c r="M808" s="39" t="n">
        <v>70</v>
      </c>
      <c r="N808" s="39" t="n">
        <f aca="false">J808*Resumo!$C$7</f>
        <v>0.79998</v>
      </c>
      <c r="O808" s="39" t="n">
        <f aca="false">J808*Resumo!$C$8</f>
        <v>0.79998</v>
      </c>
      <c r="P808" s="39" t="n">
        <f aca="false">Resumo!$C$10*CEILING(I808/100,1)</f>
        <v>1</v>
      </c>
      <c r="Q808" s="39" t="n">
        <f aca="false">Resumo!$C$9</f>
        <v>11.9</v>
      </c>
      <c r="R808" s="39" t="n">
        <f aca="false">SUM(M808:Q808)*Resumo!$C$11</f>
        <v>4.6474978</v>
      </c>
      <c r="S808" s="39" t="n">
        <f aca="false">SUM(M808:R808)</f>
        <v>89.1474578</v>
      </c>
      <c r="T808" s="39" t="n">
        <f aca="false">S808/(1-Resumo!$C$5)</f>
        <v>101.303929318182</v>
      </c>
      <c r="U808" s="39" t="n">
        <v>82.21</v>
      </c>
      <c r="V808" s="39" t="n">
        <f aca="false">J808*Resumo!$B$6</f>
        <v>0.39999</v>
      </c>
      <c r="W808" s="39" t="n">
        <f aca="false">J808*Resumo!$B$7</f>
        <v>0.79998</v>
      </c>
      <c r="X808" s="39" t="n">
        <f aca="false">Resumo!$B$9</f>
        <v>1</v>
      </c>
      <c r="Y808" s="39" t="n">
        <f aca="false">Resumo!$B$10*CEILING(I808/100,1)</f>
        <v>4.5</v>
      </c>
      <c r="Z808" s="39" t="n">
        <f aca="false">Resumo!$B$12*CEILING(I808,1)</f>
        <v>1.68</v>
      </c>
      <c r="AA808" s="39" t="n">
        <f aca="false">Resumo!$B$13*CEILING(I808,1)</f>
        <v>12.6</v>
      </c>
      <c r="AB808" s="39" t="n">
        <f aca="false">SUM(U808:AA808)</f>
        <v>103.18997</v>
      </c>
      <c r="AC808" s="39" t="n">
        <f aca="false">AB808/(1-Resumo!$B$5)</f>
        <v>117.261329545455</v>
      </c>
      <c r="AD808" s="39" t="n">
        <f aca="false">(AB808-AA808)/(1-Resumo!$B$5)</f>
        <v>102.943147727273</v>
      </c>
      <c r="AE808" s="39" t="n">
        <f aca="false">AC808-T808</f>
        <v>15.9574002272727</v>
      </c>
      <c r="AF808" s="40" t="n">
        <f aca="false">AC808/T808-1</f>
        <v>0.157520052130976</v>
      </c>
      <c r="AG808" s="37" t="str">
        <f aca="false">IF(AC808&lt;T808,"SIM","NÃO")</f>
        <v>NÃO</v>
      </c>
      <c r="AH808" s="37" t="n">
        <v>10</v>
      </c>
      <c r="AI808" s="37" t="n">
        <v>5</v>
      </c>
      <c r="AJ808" s="37" t="s">
        <v>323</v>
      </c>
    </row>
    <row r="809" customFormat="false" ht="15" hidden="false" customHeight="false" outlineLevel="0" collapsed="false">
      <c r="A809" s="37" t="n">
        <v>373919169</v>
      </c>
      <c r="B809" s="38" t="n">
        <v>46243.8404976852</v>
      </c>
      <c r="C809" s="37" t="s">
        <v>320</v>
      </c>
      <c r="D809" s="37" t="s">
        <v>1100</v>
      </c>
      <c r="E809" s="37" t="n">
        <v>24455436</v>
      </c>
      <c r="F809" s="37" t="s">
        <v>140</v>
      </c>
      <c r="G809" s="37" t="s">
        <v>207</v>
      </c>
      <c r="H809" s="37" t="s">
        <v>169</v>
      </c>
      <c r="I809" s="37" t="n">
        <v>37.6</v>
      </c>
      <c r="J809" s="39" t="n">
        <v>391.05</v>
      </c>
      <c r="K809" s="37" t="s">
        <v>498</v>
      </c>
      <c r="L809" s="39" t="n">
        <v>113.83</v>
      </c>
      <c r="M809" s="39" t="n">
        <v>79.65</v>
      </c>
      <c r="N809" s="39" t="n">
        <f aca="false">J809*Resumo!$C$7</f>
        <v>0.7821</v>
      </c>
      <c r="O809" s="39" t="n">
        <f aca="false">J809*Resumo!$C$8</f>
        <v>0.7821</v>
      </c>
      <c r="P809" s="39" t="n">
        <f aca="false">Resumo!$C$10*CEILING(I809/100,1)</f>
        <v>1</v>
      </c>
      <c r="Q809" s="39" t="n">
        <f aca="false">Resumo!$C$9</f>
        <v>11.9</v>
      </c>
      <c r="R809" s="39" t="n">
        <f aca="false">SUM(M809:Q809)*Resumo!$C$11</f>
        <v>5.176281</v>
      </c>
      <c r="S809" s="39" t="n">
        <f aca="false">SUM(M809:R809)</f>
        <v>99.290481</v>
      </c>
      <c r="T809" s="39" t="n">
        <f aca="false">S809/(1-Resumo!$C$5)</f>
        <v>112.830092045455</v>
      </c>
      <c r="U809" s="39" t="n">
        <v>114.95</v>
      </c>
      <c r="V809" s="39" t="n">
        <f aca="false">J809*Resumo!$B$6</f>
        <v>0.39105</v>
      </c>
      <c r="W809" s="39" t="n">
        <f aca="false">J809*Resumo!$B$7</f>
        <v>0.7821</v>
      </c>
      <c r="X809" s="39" t="n">
        <f aca="false">Resumo!$B$9</f>
        <v>1</v>
      </c>
      <c r="Y809" s="39" t="n">
        <f aca="false">Resumo!$B$10*CEILING(I809/100,1)</f>
        <v>4.5</v>
      </c>
      <c r="Z809" s="39" t="n">
        <f aca="false">Resumo!$B$12*CEILING(I809,1)</f>
        <v>2.28</v>
      </c>
      <c r="AA809" s="39" t="n">
        <f aca="false">Resumo!$B$13*CEILING(I809,1)</f>
        <v>17.1</v>
      </c>
      <c r="AB809" s="39" t="n">
        <f aca="false">SUM(U809:AA809)</f>
        <v>141.00315</v>
      </c>
      <c r="AC809" s="39" t="n">
        <f aca="false">AB809/(1-Resumo!$B$5)</f>
        <v>160.230852272727</v>
      </c>
      <c r="AD809" s="39" t="n">
        <f aca="false">(AB809-AA809)/(1-Resumo!$B$5)</f>
        <v>140.799034090909</v>
      </c>
      <c r="AE809" s="39" t="n">
        <f aca="false">AC809-T809</f>
        <v>47.4007602272727</v>
      </c>
      <c r="AF809" s="40" t="n">
        <f aca="false">AC809/T809-1</f>
        <v>0.420107432050812</v>
      </c>
      <c r="AG809" s="37" t="str">
        <f aca="false">IF(AC809&lt;T809,"SIM","NÃO")</f>
        <v>NÃO</v>
      </c>
      <c r="AH809" s="37" t="n">
        <v>10</v>
      </c>
      <c r="AI809" s="37" t="n">
        <v>7</v>
      </c>
      <c r="AJ809" s="37" t="s">
        <v>323</v>
      </c>
    </row>
    <row r="810" customFormat="false" ht="15" hidden="false" customHeight="false" outlineLevel="0" collapsed="false">
      <c r="A810" s="37" t="n">
        <v>373924457</v>
      </c>
      <c r="B810" s="38" t="n">
        <v>46243.8521412037</v>
      </c>
      <c r="C810" s="37" t="s">
        <v>320</v>
      </c>
      <c r="D810" s="37" t="s">
        <v>1101</v>
      </c>
      <c r="E810" s="37" t="n">
        <v>23550105</v>
      </c>
      <c r="F810" s="37" t="s">
        <v>139</v>
      </c>
      <c r="G810" s="37" t="s">
        <v>198</v>
      </c>
      <c r="H810" s="37" t="s">
        <v>168</v>
      </c>
      <c r="I810" s="37" t="n">
        <v>28.8</v>
      </c>
      <c r="J810" s="39" t="n">
        <v>881.88</v>
      </c>
      <c r="K810" s="37" t="s">
        <v>498</v>
      </c>
      <c r="L810" s="39" t="n">
        <v>83.48</v>
      </c>
      <c r="M810" s="39" t="n">
        <v>54.1</v>
      </c>
      <c r="N810" s="39" t="n">
        <f aca="false">J810*Resumo!$C$7</f>
        <v>1.76376</v>
      </c>
      <c r="O810" s="39" t="n">
        <f aca="false">J810*Resumo!$C$8</f>
        <v>1.76376</v>
      </c>
      <c r="P810" s="39" t="n">
        <f aca="false">Resumo!$C$10*CEILING(I810/100,1)</f>
        <v>1</v>
      </c>
      <c r="Q810" s="39" t="n">
        <f aca="false">Resumo!$C$9</f>
        <v>11.9</v>
      </c>
      <c r="R810" s="39" t="n">
        <f aca="false">SUM(M810:Q810)*Resumo!$C$11</f>
        <v>3.8790136</v>
      </c>
      <c r="S810" s="39" t="n">
        <f aca="false">SUM(M810:R810)</f>
        <v>74.4065336</v>
      </c>
      <c r="T810" s="39" t="n">
        <f aca="false">S810/(1-Resumo!$C$5)</f>
        <v>84.5528790909091</v>
      </c>
      <c r="U810" s="39" t="n">
        <v>82.21</v>
      </c>
      <c r="V810" s="39" t="n">
        <f aca="false">J810*Resumo!$B$6</f>
        <v>0.88188</v>
      </c>
      <c r="W810" s="39" t="n">
        <f aca="false">J810*Resumo!$B$7</f>
        <v>1.76376</v>
      </c>
      <c r="X810" s="39" t="n">
        <f aca="false">Resumo!$B$9</f>
        <v>1</v>
      </c>
      <c r="Y810" s="39" t="n">
        <f aca="false">Resumo!$B$10*CEILING(I810/100,1)</f>
        <v>4.5</v>
      </c>
      <c r="Z810" s="39" t="n">
        <f aca="false">Resumo!$B$12*CEILING(I810,1)</f>
        <v>1.74</v>
      </c>
      <c r="AA810" s="39" t="n">
        <f aca="false">Resumo!$B$13*CEILING(I810,1)</f>
        <v>13.05</v>
      </c>
      <c r="AB810" s="39" t="n">
        <f aca="false">SUM(U810:AA810)</f>
        <v>105.14564</v>
      </c>
      <c r="AC810" s="39" t="n">
        <f aca="false">AB810/(1-Resumo!$B$5)</f>
        <v>119.483681818182</v>
      </c>
      <c r="AD810" s="39" t="n">
        <f aca="false">(AB810-AA810)/(1-Resumo!$B$5)</f>
        <v>104.654136363636</v>
      </c>
      <c r="AE810" s="39" t="n">
        <f aca="false">AC810-T810</f>
        <v>34.9308027272727</v>
      </c>
      <c r="AF810" s="40" t="n">
        <f aca="false">AC810/T810-1</f>
        <v>0.413123752885056</v>
      </c>
      <c r="AG810" s="37" t="str">
        <f aca="false">IF(AC810&lt;T810,"SIM","NÃO")</f>
        <v>NÃO</v>
      </c>
      <c r="AH810" s="37" t="n">
        <v>8</v>
      </c>
      <c r="AI810" s="37" t="n">
        <v>5</v>
      </c>
      <c r="AJ810" s="37" t="s">
        <v>323</v>
      </c>
    </row>
    <row r="811" customFormat="false" ht="15" hidden="false" customHeight="false" outlineLevel="0" collapsed="false">
      <c r="A811" s="37" t="n">
        <v>373932103</v>
      </c>
      <c r="B811" s="38" t="n">
        <v>46243.8693055556</v>
      </c>
      <c r="C811" s="37" t="s">
        <v>325</v>
      </c>
      <c r="D811" s="37" t="s">
        <v>1102</v>
      </c>
      <c r="E811" s="37" t="n">
        <v>22011900</v>
      </c>
      <c r="F811" s="37" t="s">
        <v>139</v>
      </c>
      <c r="G811" s="37" t="s">
        <v>198</v>
      </c>
      <c r="H811" s="37" t="s">
        <v>170</v>
      </c>
      <c r="I811" s="37" t="n">
        <v>48.6</v>
      </c>
      <c r="J811" s="39" t="n">
        <v>583</v>
      </c>
      <c r="K811" s="37" t="s">
        <v>322</v>
      </c>
      <c r="L811" s="39" t="n">
        <v>103.39</v>
      </c>
      <c r="M811" s="39" t="n">
        <v>71</v>
      </c>
      <c r="N811" s="39" t="n">
        <f aca="false">J811*Resumo!$C$7</f>
        <v>1.166</v>
      </c>
      <c r="O811" s="39" t="n">
        <f aca="false">J811*Resumo!$C$8</f>
        <v>1.166</v>
      </c>
      <c r="P811" s="39" t="n">
        <f aca="false">Resumo!$C$10*CEILING(I811/100,1)</f>
        <v>1</v>
      </c>
      <c r="Q811" s="39" t="n">
        <f aca="false">Resumo!$C$9</f>
        <v>11.9</v>
      </c>
      <c r="R811" s="39" t="n">
        <f aca="false">SUM(M811:Q811)*Resumo!$C$11</f>
        <v>4.74276</v>
      </c>
      <c r="S811" s="39" t="n">
        <f aca="false">SUM(M811:R811)</f>
        <v>90.97476</v>
      </c>
      <c r="T811" s="39" t="n">
        <f aca="false">S811/(1-Resumo!$C$5)</f>
        <v>103.380409090909</v>
      </c>
      <c r="U811" s="39" t="n">
        <v>93.97</v>
      </c>
      <c r="V811" s="39" t="n">
        <f aca="false">J811*Resumo!$B$6</f>
        <v>0.583</v>
      </c>
      <c r="W811" s="39" t="n">
        <f aca="false">J811*Resumo!$B$7</f>
        <v>1.166</v>
      </c>
      <c r="X811" s="39" t="n">
        <f aca="false">Resumo!$B$9</f>
        <v>1</v>
      </c>
      <c r="Y811" s="39" t="n">
        <f aca="false">Resumo!$B$10*CEILING(I811/100,1)</f>
        <v>4.5</v>
      </c>
      <c r="Z811" s="39" t="n">
        <f aca="false">Resumo!$B$12*CEILING(I811,1)</f>
        <v>2.94</v>
      </c>
      <c r="AA811" s="39" t="n">
        <f aca="false">Resumo!$B$13*CEILING(I811,1)</f>
        <v>22.05</v>
      </c>
      <c r="AB811" s="39" t="n">
        <f aca="false">SUM(U811:AA811)</f>
        <v>126.209</v>
      </c>
      <c r="AC811" s="39" t="n">
        <f aca="false">AB811/(1-Resumo!$B$5)</f>
        <v>143.419318181818</v>
      </c>
      <c r="AD811" s="39" t="n">
        <f aca="false">(AB811-AA811)/(1-Resumo!$B$5)</f>
        <v>118.3625</v>
      </c>
      <c r="AE811" s="39" t="n">
        <f aca="false">AC811-T811</f>
        <v>40.0389090909091</v>
      </c>
      <c r="AF811" s="40" t="n">
        <f aca="false">AC811/T811-1</f>
        <v>0.387296872231375</v>
      </c>
      <c r="AG811" s="37" t="str">
        <f aca="false">IF(AC811&lt;T811,"SIM","NÃO")</f>
        <v>NÃO</v>
      </c>
      <c r="AH811" s="37" t="n">
        <v>8</v>
      </c>
      <c r="AI811" s="37" t="n">
        <v>5</v>
      </c>
      <c r="AJ811" s="37" t="s">
        <v>323</v>
      </c>
    </row>
    <row r="812" customFormat="false" ht="15" hidden="false" customHeight="false" outlineLevel="0" collapsed="false">
      <c r="A812" s="37" t="n">
        <v>373932564</v>
      </c>
      <c r="B812" s="38" t="n">
        <v>46243.8703472222</v>
      </c>
      <c r="C812" s="37" t="s">
        <v>325</v>
      </c>
      <c r="D812" s="37" t="s">
        <v>1103</v>
      </c>
      <c r="E812" s="37" t="n">
        <v>23035600</v>
      </c>
      <c r="F812" s="37" t="s">
        <v>139</v>
      </c>
      <c r="G812" s="37" t="s">
        <v>198</v>
      </c>
      <c r="H812" s="37" t="s">
        <v>168</v>
      </c>
      <c r="I812" s="37" t="n">
        <v>31.9</v>
      </c>
      <c r="J812" s="39" t="n">
        <v>466.39</v>
      </c>
      <c r="K812" s="37" t="s">
        <v>498</v>
      </c>
      <c r="L812" s="39" t="n">
        <v>83.03</v>
      </c>
      <c r="M812" s="39" t="n">
        <v>54.1</v>
      </c>
      <c r="N812" s="39" t="n">
        <f aca="false">J812*Resumo!$C$7</f>
        <v>0.93278</v>
      </c>
      <c r="O812" s="39" t="n">
        <f aca="false">J812*Resumo!$C$8</f>
        <v>0.93278</v>
      </c>
      <c r="P812" s="39" t="n">
        <f aca="false">Resumo!$C$10*CEILING(I812/100,1)</f>
        <v>1</v>
      </c>
      <c r="Q812" s="39" t="n">
        <f aca="false">Resumo!$C$9</f>
        <v>11.9</v>
      </c>
      <c r="R812" s="39" t="n">
        <f aca="false">SUM(M812:Q812)*Resumo!$C$11</f>
        <v>3.7876058</v>
      </c>
      <c r="S812" s="39" t="n">
        <f aca="false">SUM(M812:R812)</f>
        <v>72.6531658</v>
      </c>
      <c r="T812" s="39" t="n">
        <f aca="false">S812/(1-Resumo!$C$5)</f>
        <v>82.5604156818182</v>
      </c>
      <c r="U812" s="39" t="n">
        <v>82.21</v>
      </c>
      <c r="V812" s="39" t="n">
        <f aca="false">J812*Resumo!$B$6</f>
        <v>0.46639</v>
      </c>
      <c r="W812" s="39" t="n">
        <f aca="false">J812*Resumo!$B$7</f>
        <v>0.93278</v>
      </c>
      <c r="X812" s="39" t="n">
        <f aca="false">Resumo!$B$9</f>
        <v>1</v>
      </c>
      <c r="Y812" s="39" t="n">
        <f aca="false">Resumo!$B$10*CEILING(I812/100,1)</f>
        <v>4.5</v>
      </c>
      <c r="Z812" s="39" t="n">
        <f aca="false">Resumo!$B$12*CEILING(I812,1)</f>
        <v>1.92</v>
      </c>
      <c r="AA812" s="39" t="n">
        <f aca="false">Resumo!$B$13*CEILING(I812,1)</f>
        <v>14.4</v>
      </c>
      <c r="AB812" s="39" t="n">
        <f aca="false">SUM(U812:AA812)</f>
        <v>105.42917</v>
      </c>
      <c r="AC812" s="39" t="n">
        <f aca="false">AB812/(1-Resumo!$B$5)</f>
        <v>119.805875</v>
      </c>
      <c r="AD812" s="39" t="n">
        <f aca="false">(AB812-AA812)/(1-Resumo!$B$5)</f>
        <v>103.442238636364</v>
      </c>
      <c r="AE812" s="39" t="n">
        <f aca="false">AC812-T812</f>
        <v>37.2454593181818</v>
      </c>
      <c r="AF812" s="40" t="n">
        <f aca="false">AC812/T812-1</f>
        <v>0.451129745539595</v>
      </c>
      <c r="AG812" s="37" t="str">
        <f aca="false">IF(AC812&lt;T812,"SIM","NÃO")</f>
        <v>NÃO</v>
      </c>
      <c r="AH812" s="37" t="n">
        <v>8</v>
      </c>
      <c r="AI812" s="37" t="n">
        <v>5</v>
      </c>
      <c r="AJ812" s="37" t="s">
        <v>323</v>
      </c>
    </row>
    <row r="813" customFormat="false" ht="15" hidden="false" customHeight="false" outlineLevel="0" collapsed="false">
      <c r="A813" s="37" t="n">
        <v>373938912</v>
      </c>
      <c r="B813" s="38" t="n">
        <v>46243.8841782407</v>
      </c>
      <c r="C813" s="37" t="s">
        <v>325</v>
      </c>
      <c r="D813" s="37" t="s">
        <v>1104</v>
      </c>
      <c r="E813" s="37" t="n">
        <v>26553495</v>
      </c>
      <c r="F813" s="37" t="s">
        <v>155</v>
      </c>
      <c r="G813" s="37" t="s">
        <v>207</v>
      </c>
      <c r="H813" s="37" t="s">
        <v>172</v>
      </c>
      <c r="I813" s="37" t="n">
        <v>69.15</v>
      </c>
      <c r="J813" s="39" t="n">
        <v>707</v>
      </c>
      <c r="K813" s="37" t="s">
        <v>498</v>
      </c>
      <c r="L813" s="39" t="n">
        <v>142.74</v>
      </c>
      <c r="M813" s="39" t="n">
        <v>100.9</v>
      </c>
      <c r="N813" s="39" t="n">
        <f aca="false">J813*Resumo!$C$7</f>
        <v>1.414</v>
      </c>
      <c r="O813" s="39" t="n">
        <f aca="false">J813*Resumo!$C$8</f>
        <v>1.414</v>
      </c>
      <c r="P813" s="39" t="n">
        <f aca="false">Resumo!$C$10*CEILING(I813/100,1)</f>
        <v>1</v>
      </c>
      <c r="Q813" s="39" t="n">
        <f aca="false">Resumo!$C$9</f>
        <v>11.9</v>
      </c>
      <c r="R813" s="39" t="n">
        <f aca="false">SUM(M813:Q813)*Resumo!$C$11</f>
        <v>6.41454</v>
      </c>
      <c r="S813" s="39" t="n">
        <f aca="false">SUM(M813:R813)</f>
        <v>123.04254</v>
      </c>
      <c r="T813" s="39" t="n">
        <f aca="false">S813/(1-Resumo!$C$5)</f>
        <v>139.821068181818</v>
      </c>
      <c r="U813" s="39" t="n">
        <v>131.02</v>
      </c>
      <c r="V813" s="39" t="n">
        <f aca="false">J813*Resumo!$B$6</f>
        <v>0.707</v>
      </c>
      <c r="W813" s="39" t="n">
        <f aca="false">J813*Resumo!$B$7</f>
        <v>1.414</v>
      </c>
      <c r="X813" s="39" t="n">
        <f aca="false">Resumo!$B$9</f>
        <v>1</v>
      </c>
      <c r="Y813" s="39" t="n">
        <f aca="false">Resumo!$B$10*CEILING(I813/100,1)</f>
        <v>4.5</v>
      </c>
      <c r="Z813" s="39" t="n">
        <f aca="false">Resumo!$B$12*CEILING(I813,1)</f>
        <v>4.2</v>
      </c>
      <c r="AA813" s="39" t="n">
        <f aca="false">Resumo!$B$13*CEILING(I813,1)</f>
        <v>31.5</v>
      </c>
      <c r="AB813" s="39" t="n">
        <f aca="false">SUM(U813:AA813)</f>
        <v>174.341</v>
      </c>
      <c r="AC813" s="39" t="n">
        <f aca="false">AB813/(1-Resumo!$B$5)</f>
        <v>198.114772727273</v>
      </c>
      <c r="AD813" s="39" t="n">
        <f aca="false">(AB813-AA813)/(1-Resumo!$B$5)</f>
        <v>162.319318181818</v>
      </c>
      <c r="AE813" s="39" t="n">
        <f aca="false">AC813-T813</f>
        <v>58.2937045454545</v>
      </c>
      <c r="AF813" s="40" t="n">
        <f aca="false">AC813/T813-1</f>
        <v>0.416916458324089</v>
      </c>
      <c r="AG813" s="37" t="str">
        <f aca="false">IF(AC813&lt;T813,"SIM","NÃO")</f>
        <v>NÃO</v>
      </c>
      <c r="AH813" s="37" t="n">
        <v>10</v>
      </c>
      <c r="AI813" s="37" t="n">
        <v>5</v>
      </c>
      <c r="AJ813" s="37" t="s">
        <v>323</v>
      </c>
    </row>
    <row r="814" customFormat="false" ht="15" hidden="false" customHeight="false" outlineLevel="0" collapsed="false">
      <c r="A814" s="37" t="n">
        <v>373953975</v>
      </c>
      <c r="B814" s="38" t="n">
        <v>46243.9165972222</v>
      </c>
      <c r="C814" s="37" t="s">
        <v>320</v>
      </c>
      <c r="D814" s="37" t="s">
        <v>1105</v>
      </c>
      <c r="E814" s="37" t="n">
        <v>24130247</v>
      </c>
      <c r="F814" s="37" t="s">
        <v>143</v>
      </c>
      <c r="G814" s="37" t="s">
        <v>207</v>
      </c>
      <c r="H814" s="37" t="s">
        <v>170</v>
      </c>
      <c r="I814" s="37" t="n">
        <v>41.4</v>
      </c>
      <c r="J814" s="39" t="n">
        <v>449.99</v>
      </c>
      <c r="K814" s="37" t="s">
        <v>322</v>
      </c>
      <c r="L814" s="39" t="n">
        <v>116.23</v>
      </c>
      <c r="M814" s="39" t="n">
        <v>82.25</v>
      </c>
      <c r="N814" s="39" t="n">
        <f aca="false">J814*Resumo!$C$7</f>
        <v>0.89998</v>
      </c>
      <c r="O814" s="39" t="n">
        <f aca="false">J814*Resumo!$C$8</f>
        <v>0.89998</v>
      </c>
      <c r="P814" s="39" t="n">
        <f aca="false">Resumo!$C$10*CEILING(I814/100,1)</f>
        <v>1</v>
      </c>
      <c r="Q814" s="39" t="n">
        <f aca="false">Resumo!$C$9</f>
        <v>11.9</v>
      </c>
      <c r="R814" s="39" t="n">
        <f aca="false">SUM(M814:Q814)*Resumo!$C$11</f>
        <v>5.3322478</v>
      </c>
      <c r="S814" s="39" t="n">
        <f aca="false">SUM(M814:R814)</f>
        <v>102.2822078</v>
      </c>
      <c r="T814" s="39" t="n">
        <f aca="false">S814/(1-Resumo!$C$5)</f>
        <v>116.229781590909</v>
      </c>
      <c r="U814" s="39" t="n">
        <v>114.95</v>
      </c>
      <c r="V814" s="39" t="n">
        <f aca="false">J814*Resumo!$B$6</f>
        <v>0.44999</v>
      </c>
      <c r="W814" s="39" t="n">
        <f aca="false">J814*Resumo!$B$7</f>
        <v>0.89998</v>
      </c>
      <c r="X814" s="39" t="n">
        <f aca="false">Resumo!$B$9</f>
        <v>1</v>
      </c>
      <c r="Y814" s="39" t="n">
        <f aca="false">Resumo!$B$10*CEILING(I814/100,1)</f>
        <v>4.5</v>
      </c>
      <c r="Z814" s="39" t="n">
        <f aca="false">Resumo!$B$12*CEILING(I814,1)</f>
        <v>2.52</v>
      </c>
      <c r="AA814" s="39" t="n">
        <f aca="false">Resumo!$B$13*CEILING(I814,1)</f>
        <v>18.9</v>
      </c>
      <c r="AB814" s="39" t="n">
        <f aca="false">SUM(U814:AA814)</f>
        <v>143.21997</v>
      </c>
      <c r="AC814" s="39" t="n">
        <f aca="false">AB814/(1-Resumo!$B$5)</f>
        <v>162.749965909091</v>
      </c>
      <c r="AD814" s="39" t="n">
        <f aca="false">(AB814-AA814)/(1-Resumo!$B$5)</f>
        <v>141.272693181818</v>
      </c>
      <c r="AE814" s="39" t="n">
        <f aca="false">AC814-T814</f>
        <v>46.5201843181818</v>
      </c>
      <c r="AF814" s="40" t="n">
        <f aca="false">AC814/T814-1</f>
        <v>0.400243239567615</v>
      </c>
      <c r="AG814" s="37" t="str">
        <f aca="false">IF(AC814&lt;T814,"SIM","NÃO")</f>
        <v>NÃO</v>
      </c>
      <c r="AH814" s="37" t="n">
        <v>10</v>
      </c>
      <c r="AI814" s="37" t="n">
        <v>7</v>
      </c>
      <c r="AJ814" s="37" t="s">
        <v>323</v>
      </c>
    </row>
    <row r="815" customFormat="false" ht="15" hidden="false" customHeight="false" outlineLevel="0" collapsed="false">
      <c r="A815" s="37" t="n">
        <v>373962758</v>
      </c>
      <c r="B815" s="38" t="n">
        <v>46243.9375925926</v>
      </c>
      <c r="C815" s="37" t="s">
        <v>320</v>
      </c>
      <c r="D815" s="37" t="s">
        <v>1106</v>
      </c>
      <c r="E815" s="37" t="n">
        <v>21230075</v>
      </c>
      <c r="F815" s="37" t="s">
        <v>139</v>
      </c>
      <c r="G815" s="37" t="s">
        <v>198</v>
      </c>
      <c r="H815" s="37" t="s">
        <v>170</v>
      </c>
      <c r="I815" s="37" t="n">
        <v>46.8</v>
      </c>
      <c r="J815" s="39" t="n">
        <v>559.99</v>
      </c>
      <c r="K815" s="37" t="s">
        <v>322</v>
      </c>
      <c r="L815" s="39" t="n">
        <v>103.27</v>
      </c>
      <c r="M815" s="39" t="n">
        <v>71</v>
      </c>
      <c r="N815" s="39" t="n">
        <f aca="false">J815*Resumo!$C$7</f>
        <v>1.11998</v>
      </c>
      <c r="O815" s="39" t="n">
        <f aca="false">J815*Resumo!$C$8</f>
        <v>1.11998</v>
      </c>
      <c r="P815" s="39" t="n">
        <f aca="false">Resumo!$C$10*CEILING(I815/100,1)</f>
        <v>1</v>
      </c>
      <c r="Q815" s="39" t="n">
        <f aca="false">Resumo!$C$9</f>
        <v>11.9</v>
      </c>
      <c r="R815" s="39" t="n">
        <f aca="false">SUM(M815:Q815)*Resumo!$C$11</f>
        <v>4.7376978</v>
      </c>
      <c r="S815" s="39" t="n">
        <f aca="false">SUM(M815:R815)</f>
        <v>90.8776578</v>
      </c>
      <c r="T815" s="39" t="n">
        <f aca="false">S815/(1-Resumo!$C$5)</f>
        <v>103.270065681818</v>
      </c>
      <c r="U815" s="39" t="n">
        <v>93.97</v>
      </c>
      <c r="V815" s="39" t="n">
        <f aca="false">J815*Resumo!$B$6</f>
        <v>0.55999</v>
      </c>
      <c r="W815" s="39" t="n">
        <f aca="false">J815*Resumo!$B$7</f>
        <v>1.11998</v>
      </c>
      <c r="X815" s="39" t="n">
        <f aca="false">Resumo!$B$9</f>
        <v>1</v>
      </c>
      <c r="Y815" s="39" t="n">
        <f aca="false">Resumo!$B$10*CEILING(I815/100,1)</f>
        <v>4.5</v>
      </c>
      <c r="Z815" s="39" t="n">
        <f aca="false">Resumo!$B$12*CEILING(I815,1)</f>
        <v>2.82</v>
      </c>
      <c r="AA815" s="39" t="n">
        <f aca="false">Resumo!$B$13*CEILING(I815,1)</f>
        <v>21.15</v>
      </c>
      <c r="AB815" s="39" t="n">
        <f aca="false">SUM(U815:AA815)</f>
        <v>125.11997</v>
      </c>
      <c r="AC815" s="39" t="n">
        <f aca="false">AB815/(1-Resumo!$B$5)</f>
        <v>142.181784090909</v>
      </c>
      <c r="AD815" s="39" t="n">
        <f aca="false">(AB815-AA815)/(1-Resumo!$B$5)</f>
        <v>118.147693181818</v>
      </c>
      <c r="AE815" s="39" t="n">
        <f aca="false">AC815-T815</f>
        <v>38.9117184090909</v>
      </c>
      <c r="AF815" s="40" t="n">
        <f aca="false">AC815/T815-1</f>
        <v>0.376795716669538</v>
      </c>
      <c r="AG815" s="37" t="str">
        <f aca="false">IF(AC815&lt;T815,"SIM","NÃO")</f>
        <v>NÃO</v>
      </c>
      <c r="AH815" s="37" t="n">
        <v>8</v>
      </c>
      <c r="AI815" s="37" t="n">
        <v>5</v>
      </c>
      <c r="AJ815" s="37" t="s">
        <v>323</v>
      </c>
    </row>
    <row r="816" customFormat="false" ht="15" hidden="false" customHeight="false" outlineLevel="0" collapsed="false">
      <c r="A816" s="37" t="n">
        <v>373963089</v>
      </c>
      <c r="B816" s="38" t="n">
        <v>46243.9382291667</v>
      </c>
      <c r="C816" s="37" t="s">
        <v>325</v>
      </c>
      <c r="D816" s="37" t="s">
        <v>1107</v>
      </c>
      <c r="E816" s="37" t="n">
        <v>21520050</v>
      </c>
      <c r="F816" s="37" t="s">
        <v>139</v>
      </c>
      <c r="G816" s="37" t="s">
        <v>198</v>
      </c>
      <c r="H816" s="37" t="s">
        <v>176</v>
      </c>
      <c r="I816" s="37" t="n">
        <v>124.2</v>
      </c>
      <c r="J816" s="39" t="n">
        <v>1649.99</v>
      </c>
      <c r="K816" s="37" t="s">
        <v>322</v>
      </c>
      <c r="L816" s="39" t="n">
        <v>234.19</v>
      </c>
      <c r="M816" s="39" t="n">
        <v>174.85</v>
      </c>
      <c r="N816" s="39" t="n">
        <f aca="false">J816*Resumo!$C$7</f>
        <v>3.29998</v>
      </c>
      <c r="O816" s="39" t="n">
        <f aca="false">J816*Resumo!$C$8</f>
        <v>3.29998</v>
      </c>
      <c r="P816" s="39" t="n">
        <f aca="false">Resumo!$C$10*CEILING(I816/100,1)</f>
        <v>2</v>
      </c>
      <c r="Q816" s="39" t="n">
        <f aca="false">Resumo!$C$9</f>
        <v>11.9</v>
      </c>
      <c r="R816" s="39" t="n">
        <f aca="false">SUM(M816:Q816)*Resumo!$C$11</f>
        <v>10.7442478</v>
      </c>
      <c r="S816" s="39" t="n">
        <f aca="false">SUM(M816:R816)</f>
        <v>206.0942078</v>
      </c>
      <c r="T816" s="39" t="n">
        <f aca="false">S816/(1-Resumo!$C$5)</f>
        <v>234.197963409091</v>
      </c>
      <c r="U816" s="39" t="n">
        <v>239.25</v>
      </c>
      <c r="V816" s="39" t="n">
        <f aca="false">J816*Resumo!$B$6</f>
        <v>1.64999</v>
      </c>
      <c r="W816" s="39" t="n">
        <f aca="false">J816*Resumo!$B$7</f>
        <v>3.29998</v>
      </c>
      <c r="X816" s="39" t="n">
        <f aca="false">Resumo!$B$9</f>
        <v>1</v>
      </c>
      <c r="Y816" s="39" t="n">
        <f aca="false">Resumo!$B$10*CEILING(I816/100,1)</f>
        <v>9</v>
      </c>
      <c r="Z816" s="39" t="n">
        <f aca="false">Resumo!$B$12*CEILING(I816,1)</f>
        <v>7.5</v>
      </c>
      <c r="AA816" s="39" t="n">
        <f aca="false">Resumo!$B$13*CEILING(I816,1)</f>
        <v>56.25</v>
      </c>
      <c r="AB816" s="39" t="n">
        <f aca="false">SUM(U816:AA816)</f>
        <v>317.94997</v>
      </c>
      <c r="AC816" s="39" t="n">
        <f aca="false">AB816/(1-Resumo!$B$5)</f>
        <v>361.306784090909</v>
      </c>
      <c r="AD816" s="39" t="n">
        <f aca="false">(AB816-AA816)/(1-Resumo!$B$5)</f>
        <v>297.386329545455</v>
      </c>
      <c r="AE816" s="39" t="n">
        <f aca="false">AC816-T816</f>
        <v>127.108820681818</v>
      </c>
      <c r="AF816" s="40" t="n">
        <f aca="false">AC816/T816-1</f>
        <v>0.542740930926832</v>
      </c>
      <c r="AG816" s="37" t="str">
        <f aca="false">IF(AC816&lt;T816,"SIM","NÃO")</f>
        <v>NÃO</v>
      </c>
      <c r="AH816" s="37" t="n">
        <v>8</v>
      </c>
      <c r="AI816" s="37" t="n">
        <v>5</v>
      </c>
      <c r="AJ816" s="37" t="s">
        <v>323</v>
      </c>
    </row>
    <row r="817" customFormat="false" ht="15" hidden="false" customHeight="false" outlineLevel="0" collapsed="false">
      <c r="A817" s="37" t="n">
        <v>374009244</v>
      </c>
      <c r="B817" s="38" t="n">
        <v>46244.1058217593</v>
      </c>
      <c r="C817" s="37" t="s">
        <v>320</v>
      </c>
      <c r="D817" s="37" t="s">
        <v>1108</v>
      </c>
      <c r="E817" s="37" t="n">
        <v>20730200</v>
      </c>
      <c r="F817" s="37" t="s">
        <v>139</v>
      </c>
      <c r="G817" s="37" t="s">
        <v>198</v>
      </c>
      <c r="H817" s="37" t="s">
        <v>170</v>
      </c>
      <c r="I817" s="37" t="n">
        <v>45.3</v>
      </c>
      <c r="J817" s="39" t="n">
        <v>699.99</v>
      </c>
      <c r="K817" s="37" t="s">
        <v>322</v>
      </c>
      <c r="L817" s="39" t="n">
        <v>103.94</v>
      </c>
      <c r="M817" s="39" t="n">
        <v>71</v>
      </c>
      <c r="N817" s="39" t="n">
        <f aca="false">J817*Resumo!$C$7</f>
        <v>1.39998</v>
      </c>
      <c r="O817" s="39" t="n">
        <f aca="false">J817*Resumo!$C$8</f>
        <v>1.39998</v>
      </c>
      <c r="P817" s="39" t="n">
        <f aca="false">Resumo!$C$10*CEILING(I817/100,1)</f>
        <v>1</v>
      </c>
      <c r="Q817" s="39" t="n">
        <f aca="false">Resumo!$C$9</f>
        <v>11.9</v>
      </c>
      <c r="R817" s="39" t="n">
        <f aca="false">SUM(M817:Q817)*Resumo!$C$11</f>
        <v>4.7684978</v>
      </c>
      <c r="S817" s="39" t="n">
        <f aca="false">SUM(M817:R817)</f>
        <v>91.4684578</v>
      </c>
      <c r="T817" s="39" t="n">
        <f aca="false">S817/(1-Resumo!$C$5)</f>
        <v>103.941429318182</v>
      </c>
      <c r="U817" s="39" t="n">
        <v>93.97</v>
      </c>
      <c r="V817" s="39" t="n">
        <f aca="false">J817*Resumo!$B$6</f>
        <v>0.69999</v>
      </c>
      <c r="W817" s="39" t="n">
        <f aca="false">J817*Resumo!$B$7</f>
        <v>1.39998</v>
      </c>
      <c r="X817" s="39" t="n">
        <f aca="false">Resumo!$B$9</f>
        <v>1</v>
      </c>
      <c r="Y817" s="39" t="n">
        <f aca="false">Resumo!$B$10*CEILING(I817/100,1)</f>
        <v>4.5</v>
      </c>
      <c r="Z817" s="39" t="n">
        <f aca="false">Resumo!$B$12*CEILING(I817,1)</f>
        <v>2.76</v>
      </c>
      <c r="AA817" s="39" t="n">
        <f aca="false">Resumo!$B$13*CEILING(I817,1)</f>
        <v>20.7</v>
      </c>
      <c r="AB817" s="39" t="n">
        <f aca="false">SUM(U817:AA817)</f>
        <v>125.02997</v>
      </c>
      <c r="AC817" s="39" t="n">
        <f aca="false">AB817/(1-Resumo!$B$5)</f>
        <v>142.079511363636</v>
      </c>
      <c r="AD817" s="39" t="n">
        <f aca="false">(AB817-AA817)/(1-Resumo!$B$5)</f>
        <v>118.556784090909</v>
      </c>
      <c r="AE817" s="39" t="n">
        <f aca="false">AC817-T817</f>
        <v>38.1380820454545</v>
      </c>
      <c r="AF817" s="40" t="n">
        <f aca="false">AC817/T817-1</f>
        <v>0.366918968650196</v>
      </c>
      <c r="AG817" s="37" t="str">
        <f aca="false">IF(AC817&lt;T817,"SIM","NÃO")</f>
        <v>NÃO</v>
      </c>
      <c r="AH817" s="37" t="n">
        <v>8</v>
      </c>
      <c r="AI817" s="37" t="n">
        <v>5</v>
      </c>
      <c r="AJ817" s="37" t="s">
        <v>323</v>
      </c>
    </row>
    <row r="818" customFormat="false" ht="15" hidden="false" customHeight="false" outlineLevel="0" collapsed="false">
      <c r="A818" s="37" t="n">
        <v>374049247</v>
      </c>
      <c r="B818" s="38" t="n">
        <v>46244.3113194444</v>
      </c>
      <c r="C818" s="37" t="s">
        <v>320</v>
      </c>
      <c r="D818" s="37" t="s">
        <v>1109</v>
      </c>
      <c r="E818" s="37" t="n">
        <v>21046020</v>
      </c>
      <c r="F818" s="37" t="s">
        <v>139</v>
      </c>
      <c r="G818" s="37" t="s">
        <v>198</v>
      </c>
      <c r="H818" s="37" t="s">
        <v>168</v>
      </c>
      <c r="I818" s="37" t="n">
        <v>30.5</v>
      </c>
      <c r="J818" s="39" t="n">
        <v>395.99</v>
      </c>
      <c r="K818" s="37" t="s">
        <v>322</v>
      </c>
      <c r="L818" s="39" t="n">
        <v>82.22</v>
      </c>
      <c r="M818" s="39" t="n">
        <v>54.1</v>
      </c>
      <c r="N818" s="39" t="n">
        <f aca="false">J818*Resumo!$C$7</f>
        <v>0.79198</v>
      </c>
      <c r="O818" s="39" t="n">
        <f aca="false">J818*Resumo!$C$8</f>
        <v>0.79198</v>
      </c>
      <c r="P818" s="39" t="n">
        <f aca="false">Resumo!$C$10*CEILING(I818/100,1)</f>
        <v>1</v>
      </c>
      <c r="Q818" s="39" t="n">
        <f aca="false">Resumo!$C$9</f>
        <v>11.9</v>
      </c>
      <c r="R818" s="39" t="n">
        <f aca="false">SUM(M818:Q818)*Resumo!$C$11</f>
        <v>3.7721178</v>
      </c>
      <c r="S818" s="39" t="n">
        <f aca="false">SUM(M818:R818)</f>
        <v>72.3560778</v>
      </c>
      <c r="T818" s="39" t="n">
        <f aca="false">S818/(1-Resumo!$C$5)</f>
        <v>82.2228156818182</v>
      </c>
      <c r="U818" s="39" t="n">
        <v>82.21</v>
      </c>
      <c r="V818" s="39" t="n">
        <f aca="false">J818*Resumo!$B$6</f>
        <v>0.39599</v>
      </c>
      <c r="W818" s="39" t="n">
        <f aca="false">J818*Resumo!$B$7</f>
        <v>0.79198</v>
      </c>
      <c r="X818" s="39" t="n">
        <f aca="false">Resumo!$B$9</f>
        <v>1</v>
      </c>
      <c r="Y818" s="39" t="n">
        <f aca="false">Resumo!$B$10*CEILING(I818/100,1)</f>
        <v>4.5</v>
      </c>
      <c r="Z818" s="39" t="n">
        <f aca="false">Resumo!$B$12*CEILING(I818,1)</f>
        <v>1.86</v>
      </c>
      <c r="AA818" s="39" t="n">
        <f aca="false">Resumo!$B$13*CEILING(I818,1)</f>
        <v>13.95</v>
      </c>
      <c r="AB818" s="39" t="n">
        <f aca="false">SUM(U818:AA818)</f>
        <v>104.70797</v>
      </c>
      <c r="AC818" s="39" t="n">
        <f aca="false">AB818/(1-Resumo!$B$5)</f>
        <v>118.986329545455</v>
      </c>
      <c r="AD818" s="39" t="n">
        <f aca="false">(AB818-AA818)/(1-Resumo!$B$5)</f>
        <v>103.134056818182</v>
      </c>
      <c r="AE818" s="39" t="n">
        <f aca="false">AC818-T818</f>
        <v>36.7635138636364</v>
      </c>
      <c r="AF818" s="40" t="n">
        <f aca="false">AC818/T818-1</f>
        <v>0.44712059005498</v>
      </c>
      <c r="AG818" s="37" t="str">
        <f aca="false">IF(AC818&lt;T818,"SIM","NÃO")</f>
        <v>NÃO</v>
      </c>
      <c r="AH818" s="37" t="n">
        <v>8</v>
      </c>
      <c r="AI818" s="37" t="n">
        <v>5</v>
      </c>
      <c r="AJ818" s="37" t="s">
        <v>323</v>
      </c>
    </row>
    <row r="819" customFormat="false" ht="15" hidden="false" customHeight="false" outlineLevel="0" collapsed="false">
      <c r="A819" s="37" t="n">
        <v>374074118</v>
      </c>
      <c r="B819" s="38" t="n">
        <v>46244.3929282407</v>
      </c>
      <c r="C819" s="37" t="s">
        <v>320</v>
      </c>
      <c r="D819" s="37" t="s">
        <v>1110</v>
      </c>
      <c r="E819" s="37" t="n">
        <v>25035008</v>
      </c>
      <c r="F819" s="37" t="s">
        <v>141</v>
      </c>
      <c r="G819" s="37" t="s">
        <v>207</v>
      </c>
      <c r="H819" s="37" t="s">
        <v>172</v>
      </c>
      <c r="I819" s="37" t="n">
        <v>66.8</v>
      </c>
      <c r="J819" s="39" t="n">
        <v>699.99</v>
      </c>
      <c r="K819" s="37" t="s">
        <v>322</v>
      </c>
      <c r="L819" s="39" t="n">
        <v>139.78</v>
      </c>
      <c r="M819" s="39" t="n">
        <v>100.9</v>
      </c>
      <c r="N819" s="39" t="n">
        <f aca="false">J819*Resumo!$C$7</f>
        <v>1.39998</v>
      </c>
      <c r="O819" s="39" t="n">
        <f aca="false">J819*Resumo!$C$8</f>
        <v>1.39998</v>
      </c>
      <c r="P819" s="39" t="n">
        <f aca="false">Resumo!$C$10*CEILING(I819/100,1)</f>
        <v>1</v>
      </c>
      <c r="Q819" s="39" t="n">
        <f aca="false">Resumo!$C$9</f>
        <v>11.9</v>
      </c>
      <c r="R819" s="39" t="n">
        <f aca="false">SUM(M819:Q819)*Resumo!$C$11</f>
        <v>6.4129978</v>
      </c>
      <c r="S819" s="39" t="n">
        <f aca="false">SUM(M819:R819)</f>
        <v>123.0129578</v>
      </c>
      <c r="T819" s="39" t="n">
        <f aca="false">S819/(1-Resumo!$C$5)</f>
        <v>139.787452045455</v>
      </c>
      <c r="U819" s="39" t="n">
        <v>131.02</v>
      </c>
      <c r="V819" s="39" t="n">
        <f aca="false">J819*Resumo!$B$6</f>
        <v>0.69999</v>
      </c>
      <c r="W819" s="39" t="n">
        <f aca="false">J819*Resumo!$B$7</f>
        <v>1.39998</v>
      </c>
      <c r="X819" s="39" t="n">
        <f aca="false">Resumo!$B$9</f>
        <v>1</v>
      </c>
      <c r="Y819" s="39" t="n">
        <f aca="false">Resumo!$B$10*CEILING(I819/100,1)</f>
        <v>4.5</v>
      </c>
      <c r="Z819" s="39" t="n">
        <f aca="false">Resumo!$B$12*CEILING(I819,1)</f>
        <v>4.02</v>
      </c>
      <c r="AA819" s="39" t="n">
        <f aca="false">Resumo!$B$13*CEILING(I819,1)</f>
        <v>30.15</v>
      </c>
      <c r="AB819" s="39" t="n">
        <f aca="false">SUM(U819:AA819)</f>
        <v>172.78997</v>
      </c>
      <c r="AC819" s="39" t="n">
        <f aca="false">AB819/(1-Resumo!$B$5)</f>
        <v>196.352238636364</v>
      </c>
      <c r="AD819" s="39" t="n">
        <f aca="false">(AB819-AA819)/(1-Resumo!$B$5)</f>
        <v>162.090875</v>
      </c>
      <c r="AE819" s="39" t="n">
        <f aca="false">AC819-T819</f>
        <v>56.5647865909091</v>
      </c>
      <c r="AF819" s="40" t="n">
        <f aca="false">AC819/T819-1</f>
        <v>0.404648527197677</v>
      </c>
      <c r="AG819" s="37" t="str">
        <f aca="false">IF(AC819&lt;T819,"SIM","NÃO")</f>
        <v>NÃO</v>
      </c>
      <c r="AH819" s="37" t="n">
        <v>10</v>
      </c>
      <c r="AI819" s="37" t="n">
        <v>5</v>
      </c>
      <c r="AJ819" s="37" t="s">
        <v>323</v>
      </c>
    </row>
    <row r="820" customFormat="false" ht="15" hidden="false" customHeight="false" outlineLevel="0" collapsed="false">
      <c r="A820" s="37" t="n">
        <v>374077015</v>
      </c>
      <c r="B820" s="38" t="n">
        <v>46244.4009143519</v>
      </c>
      <c r="C820" s="37" t="s">
        <v>325</v>
      </c>
      <c r="D820" s="37" t="s">
        <v>1111</v>
      </c>
      <c r="E820" s="37" t="n">
        <v>21725180</v>
      </c>
      <c r="F820" s="37" t="s">
        <v>139</v>
      </c>
      <c r="G820" s="37" t="s">
        <v>198</v>
      </c>
      <c r="H820" s="37" t="s">
        <v>170</v>
      </c>
      <c r="I820" s="37" t="n">
        <v>48</v>
      </c>
      <c r="J820" s="39" t="n">
        <v>815.51</v>
      </c>
      <c r="K820" s="37" t="s">
        <v>322</v>
      </c>
      <c r="L820" s="39" t="n">
        <v>104.49</v>
      </c>
      <c r="M820" s="39" t="n">
        <v>71</v>
      </c>
      <c r="N820" s="39" t="n">
        <f aca="false">J820*Resumo!$C$7</f>
        <v>1.63102</v>
      </c>
      <c r="O820" s="39" t="n">
        <f aca="false">J820*Resumo!$C$8</f>
        <v>1.63102</v>
      </c>
      <c r="P820" s="39" t="n">
        <f aca="false">Resumo!$C$10*CEILING(I820/100,1)</f>
        <v>1</v>
      </c>
      <c r="Q820" s="39" t="n">
        <f aca="false">Resumo!$C$9</f>
        <v>11.9</v>
      </c>
      <c r="R820" s="39" t="n">
        <f aca="false">SUM(M820:Q820)*Resumo!$C$11</f>
        <v>4.7939122</v>
      </c>
      <c r="S820" s="39" t="n">
        <f aca="false">SUM(M820:R820)</f>
        <v>91.9559522</v>
      </c>
      <c r="T820" s="39" t="n">
        <f aca="false">S820/(1-Resumo!$C$5)</f>
        <v>104.495400227273</v>
      </c>
      <c r="U820" s="39" t="n">
        <v>93.97</v>
      </c>
      <c r="V820" s="39" t="n">
        <f aca="false">J820*Resumo!$B$6</f>
        <v>0.81551</v>
      </c>
      <c r="W820" s="39" t="n">
        <f aca="false">J820*Resumo!$B$7</f>
        <v>1.63102</v>
      </c>
      <c r="X820" s="39" t="n">
        <f aca="false">Resumo!$B$9</f>
        <v>1</v>
      </c>
      <c r="Y820" s="39" t="n">
        <f aca="false">Resumo!$B$10*CEILING(I820/100,1)</f>
        <v>4.5</v>
      </c>
      <c r="Z820" s="39" t="n">
        <f aca="false">Resumo!$B$12*CEILING(I820,1)</f>
        <v>2.88</v>
      </c>
      <c r="AA820" s="39" t="n">
        <f aca="false">Resumo!$B$13*CEILING(I820,1)</f>
        <v>21.6</v>
      </c>
      <c r="AB820" s="39" t="n">
        <f aca="false">SUM(U820:AA820)</f>
        <v>126.39653</v>
      </c>
      <c r="AC820" s="39" t="n">
        <f aca="false">AB820/(1-Resumo!$B$5)</f>
        <v>143.632420454545</v>
      </c>
      <c r="AD820" s="39" t="n">
        <f aca="false">(AB820-AA820)/(1-Resumo!$B$5)</f>
        <v>119.086965909091</v>
      </c>
      <c r="AE820" s="39" t="n">
        <f aca="false">AC820-T820</f>
        <v>39.1370202272727</v>
      </c>
      <c r="AF820" s="40" t="n">
        <f aca="false">AC820/T820-1</f>
        <v>0.374533425798184</v>
      </c>
      <c r="AG820" s="37" t="str">
        <f aca="false">IF(AC820&lt;T820,"SIM","NÃO")</f>
        <v>NÃO</v>
      </c>
      <c r="AH820" s="37" t="n">
        <v>8</v>
      </c>
      <c r="AI820" s="37" t="n">
        <v>5</v>
      </c>
      <c r="AJ820" s="37" t="s">
        <v>323</v>
      </c>
    </row>
    <row r="821" customFormat="false" ht="15" hidden="false" customHeight="false" outlineLevel="0" collapsed="false">
      <c r="A821" s="37" t="n">
        <v>374090622</v>
      </c>
      <c r="B821" s="38" t="n">
        <v>46244.4340740741</v>
      </c>
      <c r="C821" s="37" t="s">
        <v>320</v>
      </c>
      <c r="D821" s="37" t="s">
        <v>1112</v>
      </c>
      <c r="E821" s="37" t="n">
        <v>26278010</v>
      </c>
      <c r="F821" s="37" t="s">
        <v>142</v>
      </c>
      <c r="G821" s="37" t="s">
        <v>207</v>
      </c>
      <c r="H821" s="37" t="s">
        <v>168</v>
      </c>
      <c r="I821" s="37" t="n">
        <v>31</v>
      </c>
      <c r="J821" s="39" t="n">
        <v>329.99</v>
      </c>
      <c r="K821" s="37" t="s">
        <v>322</v>
      </c>
      <c r="L821" s="39" t="n">
        <v>100.97</v>
      </c>
      <c r="M821" s="39" t="n">
        <v>70</v>
      </c>
      <c r="N821" s="39" t="n">
        <f aca="false">J821*Resumo!$C$7</f>
        <v>0.65998</v>
      </c>
      <c r="O821" s="39" t="n">
        <f aca="false">J821*Resumo!$C$8</f>
        <v>0.65998</v>
      </c>
      <c r="P821" s="39" t="n">
        <f aca="false">Resumo!$C$10*CEILING(I821/100,1)</f>
        <v>1</v>
      </c>
      <c r="Q821" s="39" t="n">
        <f aca="false">Resumo!$C$9</f>
        <v>11.9</v>
      </c>
      <c r="R821" s="39" t="n">
        <f aca="false">SUM(M821:Q821)*Resumo!$C$11</f>
        <v>4.6320978</v>
      </c>
      <c r="S821" s="39" t="n">
        <f aca="false">SUM(M821:R821)</f>
        <v>88.8520578</v>
      </c>
      <c r="T821" s="39" t="n">
        <f aca="false">S821/(1-Resumo!$C$5)</f>
        <v>100.9682475</v>
      </c>
      <c r="U821" s="39" t="n">
        <v>82.21</v>
      </c>
      <c r="V821" s="39" t="n">
        <f aca="false">J821*Resumo!$B$6</f>
        <v>0.32999</v>
      </c>
      <c r="W821" s="39" t="n">
        <f aca="false">J821*Resumo!$B$7</f>
        <v>0.65998</v>
      </c>
      <c r="X821" s="39" t="n">
        <f aca="false">Resumo!$B$9</f>
        <v>1</v>
      </c>
      <c r="Y821" s="39" t="n">
        <f aca="false">Resumo!$B$10*CEILING(I821/100,1)</f>
        <v>4.5</v>
      </c>
      <c r="Z821" s="39" t="n">
        <f aca="false">Resumo!$B$12*CEILING(I821,1)</f>
        <v>1.86</v>
      </c>
      <c r="AA821" s="39" t="n">
        <f aca="false">Resumo!$B$13*CEILING(I821,1)</f>
        <v>13.95</v>
      </c>
      <c r="AB821" s="39" t="n">
        <f aca="false">SUM(U821:AA821)</f>
        <v>104.50997</v>
      </c>
      <c r="AC821" s="39" t="n">
        <f aca="false">AB821/(1-Resumo!$B$5)</f>
        <v>118.761329545455</v>
      </c>
      <c r="AD821" s="39" t="n">
        <f aca="false">(AB821-AA821)/(1-Resumo!$B$5)</f>
        <v>102.909056818182</v>
      </c>
      <c r="AE821" s="39" t="n">
        <f aca="false">AC821-T821</f>
        <v>17.7930820454546</v>
      </c>
      <c r="AF821" s="40" t="n">
        <f aca="false">AC821/T821-1</f>
        <v>0.176224530840298</v>
      </c>
      <c r="AG821" s="37" t="str">
        <f aca="false">IF(AC821&lt;T821,"SIM","NÃO")</f>
        <v>NÃO</v>
      </c>
      <c r="AH821" s="37" t="n">
        <v>10</v>
      </c>
      <c r="AI821" s="37" t="n">
        <v>5</v>
      </c>
      <c r="AJ821" s="37" t="s">
        <v>323</v>
      </c>
    </row>
    <row r="822" customFormat="false" ht="15" hidden="false" customHeight="false" outlineLevel="0" collapsed="false">
      <c r="A822" s="37" t="n">
        <v>374093161</v>
      </c>
      <c r="B822" s="38" t="n">
        <v>46244.4397685185</v>
      </c>
      <c r="C822" s="37" t="s">
        <v>320</v>
      </c>
      <c r="D822" s="37" t="s">
        <v>1113</v>
      </c>
      <c r="E822" s="37" t="n">
        <v>22641004</v>
      </c>
      <c r="F822" s="37" t="s">
        <v>139</v>
      </c>
      <c r="G822" s="37" t="s">
        <v>198</v>
      </c>
      <c r="H822" s="37" t="s">
        <v>171</v>
      </c>
      <c r="I822" s="37" t="n">
        <v>52.3</v>
      </c>
      <c r="J822" s="39" t="n">
        <v>685.88</v>
      </c>
      <c r="K822" s="37" t="s">
        <v>322</v>
      </c>
      <c r="L822" s="39" t="n">
        <v>114.43</v>
      </c>
      <c r="M822" s="39" t="n">
        <v>79.81</v>
      </c>
      <c r="N822" s="39" t="n">
        <f aca="false">J822*Resumo!$C$7</f>
        <v>1.37176</v>
      </c>
      <c r="O822" s="39" t="n">
        <f aca="false">J822*Resumo!$C$8</f>
        <v>1.37176</v>
      </c>
      <c r="P822" s="39" t="n">
        <f aca="false">Resumo!$C$10*CEILING(I822/100,1)</f>
        <v>1</v>
      </c>
      <c r="Q822" s="39" t="n">
        <f aca="false">Resumo!$C$9</f>
        <v>11.9</v>
      </c>
      <c r="R822" s="39" t="n">
        <f aca="false">SUM(M822:Q822)*Resumo!$C$11</f>
        <v>5.2499436</v>
      </c>
      <c r="S822" s="39" t="n">
        <f aca="false">SUM(M822:R822)</f>
        <v>100.7034636</v>
      </c>
      <c r="T822" s="39" t="n">
        <f aca="false">S822/(1-Resumo!$C$5)</f>
        <v>114.435754090909</v>
      </c>
      <c r="U822" s="39" t="n">
        <v>112.3</v>
      </c>
      <c r="V822" s="39" t="n">
        <f aca="false">J822*Resumo!$B$6</f>
        <v>0.68588</v>
      </c>
      <c r="W822" s="39" t="n">
        <f aca="false">J822*Resumo!$B$7</f>
        <v>1.37176</v>
      </c>
      <c r="X822" s="39" t="n">
        <f aca="false">Resumo!$B$9</f>
        <v>1</v>
      </c>
      <c r="Y822" s="39" t="n">
        <f aca="false">Resumo!$B$10*CEILING(I822/100,1)</f>
        <v>4.5</v>
      </c>
      <c r="Z822" s="39" t="n">
        <f aca="false">Resumo!$B$12*CEILING(I822,1)</f>
        <v>3.18</v>
      </c>
      <c r="AA822" s="39" t="n">
        <f aca="false">Resumo!$B$13*CEILING(I822,1)</f>
        <v>23.85</v>
      </c>
      <c r="AB822" s="39" t="n">
        <f aca="false">SUM(U822:AA822)</f>
        <v>146.88764</v>
      </c>
      <c r="AC822" s="39" t="n">
        <f aca="false">AB822/(1-Resumo!$B$5)</f>
        <v>166.917772727273</v>
      </c>
      <c r="AD822" s="39" t="n">
        <f aca="false">(AB822-AA822)/(1-Resumo!$B$5)</f>
        <v>139.8155</v>
      </c>
      <c r="AE822" s="39" t="n">
        <f aca="false">AC822-T822</f>
        <v>52.4820186363637</v>
      </c>
      <c r="AF822" s="40" t="n">
        <f aca="false">AC822/T822-1</f>
        <v>0.458615570398316</v>
      </c>
      <c r="AG822" s="37" t="str">
        <f aca="false">IF(AC822&lt;T822,"SIM","NÃO")</f>
        <v>NÃO</v>
      </c>
      <c r="AH822" s="37" t="n">
        <v>8</v>
      </c>
      <c r="AI822" s="37" t="n">
        <v>5</v>
      </c>
      <c r="AJ822" s="37" t="s">
        <v>323</v>
      </c>
    </row>
    <row r="823" customFormat="false" ht="15" hidden="false" customHeight="false" outlineLevel="0" collapsed="false">
      <c r="A823" s="37" t="n">
        <v>374108434</v>
      </c>
      <c r="B823" s="38" t="n">
        <v>46244.4745717593</v>
      </c>
      <c r="C823" s="37" t="s">
        <v>320</v>
      </c>
      <c r="D823" s="37" t="s">
        <v>1114</v>
      </c>
      <c r="E823" s="37" t="n">
        <v>25212610</v>
      </c>
      <c r="F823" s="37" t="s">
        <v>141</v>
      </c>
      <c r="G823" s="37" t="s">
        <v>207</v>
      </c>
      <c r="H823" s="37" t="s">
        <v>169</v>
      </c>
      <c r="I823" s="37" t="n">
        <v>39</v>
      </c>
      <c r="J823" s="39" t="n">
        <v>496.79</v>
      </c>
      <c r="K823" s="37" t="s">
        <v>322</v>
      </c>
      <c r="L823" s="39" t="n">
        <v>113.33</v>
      </c>
      <c r="M823" s="39" t="n">
        <v>79.65</v>
      </c>
      <c r="N823" s="39" t="n">
        <f aca="false">J823*Resumo!$C$7</f>
        <v>0.99358</v>
      </c>
      <c r="O823" s="39" t="n">
        <f aca="false">J823*Resumo!$C$8</f>
        <v>0.99358</v>
      </c>
      <c r="P823" s="39" t="n">
        <f aca="false">Resumo!$C$10*CEILING(I823/100,1)</f>
        <v>1</v>
      </c>
      <c r="Q823" s="39" t="n">
        <f aca="false">Resumo!$C$9</f>
        <v>11.9</v>
      </c>
      <c r="R823" s="39" t="n">
        <f aca="false">SUM(M823:Q823)*Resumo!$C$11</f>
        <v>5.1995438</v>
      </c>
      <c r="S823" s="39" t="n">
        <f aca="false">SUM(M823:R823)</f>
        <v>99.7367038</v>
      </c>
      <c r="T823" s="39" t="n">
        <f aca="false">S823/(1-Resumo!$C$5)</f>
        <v>113.337163409091</v>
      </c>
      <c r="U823" s="39" t="n">
        <v>93.97</v>
      </c>
      <c r="V823" s="39" t="n">
        <f aca="false">J823*Resumo!$B$6</f>
        <v>0.49679</v>
      </c>
      <c r="W823" s="39" t="n">
        <f aca="false">J823*Resumo!$B$7</f>
        <v>0.99358</v>
      </c>
      <c r="X823" s="39" t="n">
        <f aca="false">Resumo!$B$9</f>
        <v>1</v>
      </c>
      <c r="Y823" s="39" t="n">
        <f aca="false">Resumo!$B$10*CEILING(I823/100,1)</f>
        <v>4.5</v>
      </c>
      <c r="Z823" s="39" t="n">
        <f aca="false">Resumo!$B$12*CEILING(I823,1)</f>
        <v>2.34</v>
      </c>
      <c r="AA823" s="39" t="n">
        <f aca="false">Resumo!$B$13*CEILING(I823,1)</f>
        <v>17.55</v>
      </c>
      <c r="AB823" s="39" t="n">
        <f aca="false">SUM(U823:AA823)</f>
        <v>120.85037</v>
      </c>
      <c r="AC823" s="39" t="n">
        <f aca="false">AB823/(1-Resumo!$B$5)</f>
        <v>137.329965909091</v>
      </c>
      <c r="AD823" s="39" t="n">
        <f aca="false">(AB823-AA823)/(1-Resumo!$B$5)</f>
        <v>117.386784090909</v>
      </c>
      <c r="AE823" s="39" t="n">
        <f aca="false">AC823-T823</f>
        <v>23.9928025</v>
      </c>
      <c r="AF823" s="40" t="n">
        <f aca="false">AC823/T823-1</f>
        <v>0.211694044374464</v>
      </c>
      <c r="AG823" s="37" t="str">
        <f aca="false">IF(AC823&lt;T823,"SIM","NÃO")</f>
        <v>NÃO</v>
      </c>
      <c r="AH823" s="37" t="n">
        <v>10</v>
      </c>
      <c r="AI823" s="37" t="n">
        <v>5</v>
      </c>
      <c r="AJ823" s="37" t="s">
        <v>323</v>
      </c>
    </row>
    <row r="824" customFormat="false" ht="15" hidden="false" customHeight="false" outlineLevel="0" collapsed="false">
      <c r="A824" s="37" t="n">
        <v>374115700</v>
      </c>
      <c r="B824" s="38" t="n">
        <v>46244.4917708333</v>
      </c>
      <c r="C824" s="37" t="s">
        <v>320</v>
      </c>
      <c r="D824" s="37" t="s">
        <v>1115</v>
      </c>
      <c r="E824" s="37" t="n">
        <v>23025033</v>
      </c>
      <c r="F824" s="37" t="s">
        <v>139</v>
      </c>
      <c r="G824" s="37" t="s">
        <v>198</v>
      </c>
      <c r="H824" s="37" t="s">
        <v>170</v>
      </c>
      <c r="I824" s="37" t="n">
        <v>45</v>
      </c>
      <c r="J824" s="39" t="n">
        <v>531.42</v>
      </c>
      <c r="K824" s="37" t="s">
        <v>498</v>
      </c>
      <c r="L824" s="39" t="n">
        <v>103</v>
      </c>
      <c r="M824" s="39" t="n">
        <v>71</v>
      </c>
      <c r="N824" s="39" t="n">
        <f aca="false">J824*Resumo!$C$7</f>
        <v>1.06284</v>
      </c>
      <c r="O824" s="39" t="n">
        <f aca="false">J824*Resumo!$C$8</f>
        <v>1.06284</v>
      </c>
      <c r="P824" s="39" t="n">
        <f aca="false">Resumo!$C$10*CEILING(I824/100,1)</f>
        <v>1</v>
      </c>
      <c r="Q824" s="39" t="n">
        <f aca="false">Resumo!$C$9</f>
        <v>11.9</v>
      </c>
      <c r="R824" s="39" t="n">
        <f aca="false">SUM(M824:Q824)*Resumo!$C$11</f>
        <v>4.7314124</v>
      </c>
      <c r="S824" s="39" t="n">
        <f aca="false">SUM(M824:R824)</f>
        <v>90.7570924</v>
      </c>
      <c r="T824" s="39" t="n">
        <f aca="false">S824/(1-Resumo!$C$5)</f>
        <v>103.133059545455</v>
      </c>
      <c r="U824" s="39" t="n">
        <v>93.97</v>
      </c>
      <c r="V824" s="39" t="n">
        <f aca="false">J824*Resumo!$B$6</f>
        <v>0.53142</v>
      </c>
      <c r="W824" s="39" t="n">
        <f aca="false">J824*Resumo!$B$7</f>
        <v>1.06284</v>
      </c>
      <c r="X824" s="39" t="n">
        <f aca="false">Resumo!$B$9</f>
        <v>1</v>
      </c>
      <c r="Y824" s="39" t="n">
        <f aca="false">Resumo!$B$10*CEILING(I824/100,1)</f>
        <v>4.5</v>
      </c>
      <c r="Z824" s="39" t="n">
        <f aca="false">Resumo!$B$12*CEILING(I824,1)</f>
        <v>2.7</v>
      </c>
      <c r="AA824" s="39" t="n">
        <f aca="false">Resumo!$B$13*CEILING(I824,1)</f>
        <v>20.25</v>
      </c>
      <c r="AB824" s="39" t="n">
        <f aca="false">SUM(U824:AA824)</f>
        <v>124.01426</v>
      </c>
      <c r="AC824" s="39" t="n">
        <f aca="false">AB824/(1-Resumo!$B$5)</f>
        <v>140.925295454545</v>
      </c>
      <c r="AD824" s="39" t="n">
        <f aca="false">(AB824-AA824)/(1-Resumo!$B$5)</f>
        <v>117.913931818182</v>
      </c>
      <c r="AE824" s="39" t="n">
        <f aca="false">AC824-T824</f>
        <v>37.7922359090909</v>
      </c>
      <c r="AF824" s="40" t="n">
        <f aca="false">AC824/T824-1</f>
        <v>0.366441527824882</v>
      </c>
      <c r="AG824" s="37" t="str">
        <f aca="false">IF(AC824&lt;T824,"SIM","NÃO")</f>
        <v>NÃO</v>
      </c>
      <c r="AH824" s="37" t="n">
        <v>8</v>
      </c>
      <c r="AI824" s="37" t="n">
        <v>5</v>
      </c>
      <c r="AJ824" s="37" t="s">
        <v>323</v>
      </c>
    </row>
    <row r="825" customFormat="false" ht="15" hidden="false" customHeight="false" outlineLevel="0" collapsed="false">
      <c r="A825" s="37" t="n">
        <v>374122750</v>
      </c>
      <c r="B825" s="38" t="n">
        <v>46244.505462963</v>
      </c>
      <c r="C825" s="37" t="s">
        <v>325</v>
      </c>
      <c r="D825" s="37" t="s">
        <v>1116</v>
      </c>
      <c r="E825" s="37" t="n">
        <v>26030095</v>
      </c>
      <c r="F825" s="37" t="s">
        <v>142</v>
      </c>
      <c r="G825" s="37" t="s">
        <v>207</v>
      </c>
      <c r="H825" s="37" t="s">
        <v>168</v>
      </c>
      <c r="I825" s="37" t="n">
        <v>33.11</v>
      </c>
      <c r="J825" s="39" t="n">
        <v>392.24</v>
      </c>
      <c r="K825" s="37" t="s">
        <v>322</v>
      </c>
      <c r="L825" s="39" t="n">
        <v>101.26</v>
      </c>
      <c r="M825" s="39" t="n">
        <v>70</v>
      </c>
      <c r="N825" s="39" t="n">
        <f aca="false">J825*Resumo!$C$7</f>
        <v>0.78448</v>
      </c>
      <c r="O825" s="39" t="n">
        <f aca="false">J825*Resumo!$C$8</f>
        <v>0.78448</v>
      </c>
      <c r="P825" s="39" t="n">
        <f aca="false">Resumo!$C$10*CEILING(I825/100,1)</f>
        <v>1</v>
      </c>
      <c r="Q825" s="39" t="n">
        <f aca="false">Resumo!$C$9</f>
        <v>11.9</v>
      </c>
      <c r="R825" s="39" t="n">
        <f aca="false">SUM(M825:Q825)*Resumo!$C$11</f>
        <v>4.6457928</v>
      </c>
      <c r="S825" s="39" t="n">
        <f aca="false">SUM(M825:R825)</f>
        <v>89.1147528</v>
      </c>
      <c r="T825" s="39" t="n">
        <f aca="false">S825/(1-Resumo!$C$5)</f>
        <v>101.266764545455</v>
      </c>
      <c r="U825" s="39" t="n">
        <v>82.21</v>
      </c>
      <c r="V825" s="39" t="n">
        <f aca="false">J825*Resumo!$B$6</f>
        <v>0.39224</v>
      </c>
      <c r="W825" s="39" t="n">
        <f aca="false">J825*Resumo!$B$7</f>
        <v>0.78448</v>
      </c>
      <c r="X825" s="39" t="n">
        <f aca="false">Resumo!$B$9</f>
        <v>1</v>
      </c>
      <c r="Y825" s="39" t="n">
        <f aca="false">Resumo!$B$10*CEILING(I825/100,1)</f>
        <v>4.5</v>
      </c>
      <c r="Z825" s="39" t="n">
        <f aca="false">Resumo!$B$12*CEILING(I825,1)</f>
        <v>2.04</v>
      </c>
      <c r="AA825" s="39" t="n">
        <f aca="false">Resumo!$B$13*CEILING(I825,1)</f>
        <v>15.3</v>
      </c>
      <c r="AB825" s="39" t="n">
        <f aca="false">SUM(U825:AA825)</f>
        <v>106.22672</v>
      </c>
      <c r="AC825" s="39" t="n">
        <f aca="false">AB825/(1-Resumo!$B$5)</f>
        <v>120.712181818182</v>
      </c>
      <c r="AD825" s="39" t="n">
        <f aca="false">(AB825-AA825)/(1-Resumo!$B$5)</f>
        <v>103.325818181818</v>
      </c>
      <c r="AE825" s="39" t="n">
        <f aca="false">AC825-T825</f>
        <v>19.4454172727273</v>
      </c>
      <c r="AF825" s="40" t="n">
        <f aca="false">AC825/T825-1</f>
        <v>0.192021709788101</v>
      </c>
      <c r="AG825" s="37" t="str">
        <f aca="false">IF(AC825&lt;T825,"SIM","NÃO")</f>
        <v>NÃO</v>
      </c>
      <c r="AH825" s="37" t="n">
        <v>10</v>
      </c>
      <c r="AI825" s="37" t="n">
        <v>5</v>
      </c>
      <c r="AJ825" s="37" t="s">
        <v>323</v>
      </c>
    </row>
    <row r="826" customFormat="false" ht="15" hidden="false" customHeight="false" outlineLevel="0" collapsed="false">
      <c r="A826" s="37" t="n">
        <v>374124817</v>
      </c>
      <c r="B826" s="38" t="n">
        <v>46244.5103240741</v>
      </c>
      <c r="C826" s="37" t="s">
        <v>320</v>
      </c>
      <c r="D826" s="37" t="s">
        <v>1117</v>
      </c>
      <c r="E826" s="37" t="n">
        <v>26175240</v>
      </c>
      <c r="F826" s="37" t="s">
        <v>145</v>
      </c>
      <c r="G826" s="37" t="s">
        <v>207</v>
      </c>
      <c r="H826" s="37" t="s">
        <v>167</v>
      </c>
      <c r="I826" s="37" t="n">
        <v>19.5</v>
      </c>
      <c r="J826" s="39" t="n">
        <v>379.99</v>
      </c>
      <c r="K826" s="37" t="s">
        <v>498</v>
      </c>
      <c r="L826" s="39" t="n">
        <v>77.18</v>
      </c>
      <c r="M826" s="39" t="n">
        <v>48.69</v>
      </c>
      <c r="N826" s="39" t="n">
        <f aca="false">J826*Resumo!$C$7</f>
        <v>0.75998</v>
      </c>
      <c r="O826" s="39" t="n">
        <f aca="false">J826*Resumo!$C$8</f>
        <v>0.75998</v>
      </c>
      <c r="P826" s="39" t="n">
        <f aca="false">Resumo!$C$10*CEILING(I826/100,1)</f>
        <v>1</v>
      </c>
      <c r="Q826" s="39" t="n">
        <f aca="false">Resumo!$C$9</f>
        <v>11.9</v>
      </c>
      <c r="R826" s="39" t="n">
        <f aca="false">SUM(M826:Q826)*Resumo!$C$11</f>
        <v>3.4710478</v>
      </c>
      <c r="S826" s="39" t="n">
        <f aca="false">SUM(M826:R826)</f>
        <v>66.5810078</v>
      </c>
      <c r="T826" s="39" t="n">
        <f aca="false">S826/(1-Resumo!$C$5)</f>
        <v>75.6602361363636</v>
      </c>
      <c r="U826" s="39" t="n">
        <v>46.98</v>
      </c>
      <c r="V826" s="39" t="n">
        <f aca="false">J826*Resumo!$B$6</f>
        <v>0.37999</v>
      </c>
      <c r="W826" s="39" t="n">
        <f aca="false">J826*Resumo!$B$7</f>
        <v>0.75998</v>
      </c>
      <c r="X826" s="39" t="n">
        <f aca="false">Resumo!$B$9</f>
        <v>1</v>
      </c>
      <c r="Y826" s="39" t="n">
        <f aca="false">Resumo!$B$10*CEILING(I826/100,1)</f>
        <v>4.5</v>
      </c>
      <c r="Z826" s="39" t="n">
        <f aca="false">Resumo!$B$12*CEILING(I826,1)</f>
        <v>1.2</v>
      </c>
      <c r="AA826" s="39" t="n">
        <f aca="false">Resumo!$B$13*CEILING(I826,1)</f>
        <v>9</v>
      </c>
      <c r="AB826" s="39" t="n">
        <f aca="false">SUM(U826:AA826)</f>
        <v>63.81997</v>
      </c>
      <c r="AC826" s="39" t="n">
        <f aca="false">AB826/(1-Resumo!$B$5)</f>
        <v>72.5226931818182</v>
      </c>
      <c r="AD826" s="39" t="n">
        <f aca="false">(AB826-AA826)/(1-Resumo!$B$5)</f>
        <v>62.2954204545455</v>
      </c>
      <c r="AE826" s="39" t="n">
        <f aca="false">AC826-T826</f>
        <v>-3.13754295454545</v>
      </c>
      <c r="AF826" s="40" t="n">
        <f aca="false">AC826/T826-1</f>
        <v>-0.0414688496199062</v>
      </c>
      <c r="AG826" s="37" t="str">
        <f aca="false">IF(AC826&lt;T826,"SIM","NÃO")</f>
        <v>SIM</v>
      </c>
      <c r="AH826" s="37" t="n">
        <v>10</v>
      </c>
      <c r="AI826" s="37" t="n">
        <v>5</v>
      </c>
      <c r="AJ826" s="37" t="s">
        <v>323</v>
      </c>
    </row>
    <row r="827" customFormat="false" ht="15" hidden="false" customHeight="false" outlineLevel="0" collapsed="false">
      <c r="A827" s="37" t="n">
        <v>374141535</v>
      </c>
      <c r="B827" s="38" t="n">
        <v>46244.5465046296</v>
      </c>
      <c r="C827" s="37" t="s">
        <v>320</v>
      </c>
      <c r="D827" s="37" t="s">
        <v>1118</v>
      </c>
      <c r="E827" s="37" t="n">
        <v>21515070</v>
      </c>
      <c r="F827" s="37" t="s">
        <v>139</v>
      </c>
      <c r="G827" s="37" t="s">
        <v>198</v>
      </c>
      <c r="H827" s="37" t="s">
        <v>170</v>
      </c>
      <c r="I827" s="37" t="n">
        <v>48.3</v>
      </c>
      <c r="J827" s="39" t="n">
        <v>429.99</v>
      </c>
      <c r="K827" s="37" t="s">
        <v>322</v>
      </c>
      <c r="L827" s="39" t="n">
        <v>102.65</v>
      </c>
      <c r="M827" s="39" t="n">
        <v>71</v>
      </c>
      <c r="N827" s="39" t="n">
        <f aca="false">J827*Resumo!$C$7</f>
        <v>0.85998</v>
      </c>
      <c r="O827" s="39" t="n">
        <f aca="false">J827*Resumo!$C$8</f>
        <v>0.85998</v>
      </c>
      <c r="P827" s="39" t="n">
        <f aca="false">Resumo!$C$10*CEILING(I827/100,1)</f>
        <v>1</v>
      </c>
      <c r="Q827" s="39" t="n">
        <f aca="false">Resumo!$C$9</f>
        <v>11.9</v>
      </c>
      <c r="R827" s="39" t="n">
        <f aca="false">SUM(M827:Q827)*Resumo!$C$11</f>
        <v>4.7090978</v>
      </c>
      <c r="S827" s="39" t="n">
        <f aca="false">SUM(M827:R827)</f>
        <v>90.3290578</v>
      </c>
      <c r="T827" s="39" t="n">
        <f aca="false">S827/(1-Resumo!$C$5)</f>
        <v>102.646656590909</v>
      </c>
      <c r="U827" s="39" t="n">
        <v>93.97</v>
      </c>
      <c r="V827" s="39" t="n">
        <f aca="false">J827*Resumo!$B$6</f>
        <v>0.42999</v>
      </c>
      <c r="W827" s="39" t="n">
        <f aca="false">J827*Resumo!$B$7</f>
        <v>0.85998</v>
      </c>
      <c r="X827" s="39" t="n">
        <f aca="false">Resumo!$B$9</f>
        <v>1</v>
      </c>
      <c r="Y827" s="39" t="n">
        <f aca="false">Resumo!$B$10*CEILING(I827/100,1)</f>
        <v>4.5</v>
      </c>
      <c r="Z827" s="39" t="n">
        <f aca="false">Resumo!$B$12*CEILING(I827,1)</f>
        <v>2.94</v>
      </c>
      <c r="AA827" s="39" t="n">
        <f aca="false">Resumo!$B$13*CEILING(I827,1)</f>
        <v>22.05</v>
      </c>
      <c r="AB827" s="39" t="n">
        <f aca="false">SUM(U827:AA827)</f>
        <v>125.74997</v>
      </c>
      <c r="AC827" s="39" t="n">
        <f aca="false">AB827/(1-Resumo!$B$5)</f>
        <v>142.897693181818</v>
      </c>
      <c r="AD827" s="39" t="n">
        <f aca="false">(AB827-AA827)/(1-Resumo!$B$5)</f>
        <v>117.840875</v>
      </c>
      <c r="AE827" s="39" t="n">
        <f aca="false">AC827-T827</f>
        <v>40.2510365909091</v>
      </c>
      <c r="AF827" s="40" t="n">
        <f aca="false">AC827/T827-1</f>
        <v>0.392131979040747</v>
      </c>
      <c r="AG827" s="37" t="str">
        <f aca="false">IF(AC827&lt;T827,"SIM","NÃO")</f>
        <v>NÃO</v>
      </c>
      <c r="AH827" s="37" t="n">
        <v>8</v>
      </c>
      <c r="AI827" s="37" t="n">
        <v>5</v>
      </c>
      <c r="AJ827" s="37" t="s">
        <v>323</v>
      </c>
    </row>
    <row r="828" customFormat="false" ht="15" hidden="false" customHeight="false" outlineLevel="0" collapsed="false">
      <c r="A828" s="37" t="n">
        <v>374159788</v>
      </c>
      <c r="B828" s="38" t="n">
        <v>46244.5593287037</v>
      </c>
      <c r="C828" s="37" t="s">
        <v>517</v>
      </c>
      <c r="D828" s="37" t="s">
        <v>1119</v>
      </c>
      <c r="E828" s="37" t="n">
        <v>24020320</v>
      </c>
      <c r="F828" s="37" t="s">
        <v>143</v>
      </c>
      <c r="G828" s="37" t="s">
        <v>207</v>
      </c>
      <c r="H828" s="37" t="s">
        <v>169</v>
      </c>
      <c r="I828" s="37" t="n">
        <v>40</v>
      </c>
      <c r="J828" s="39" t="n">
        <v>510.39</v>
      </c>
      <c r="K828" s="37" t="s">
        <v>322</v>
      </c>
      <c r="L828" s="39" t="n">
        <v>113.4</v>
      </c>
      <c r="M828" s="39" t="n">
        <v>79.65</v>
      </c>
      <c r="N828" s="39" t="n">
        <f aca="false">J828*Resumo!$C$7</f>
        <v>1.02078</v>
      </c>
      <c r="O828" s="39" t="n">
        <f aca="false">J828*Resumo!$C$8</f>
        <v>1.02078</v>
      </c>
      <c r="P828" s="39" t="n">
        <f aca="false">Resumo!$C$10*CEILING(I828/100,1)</f>
        <v>1</v>
      </c>
      <c r="Q828" s="39" t="n">
        <f aca="false">Resumo!$C$9</f>
        <v>11.9</v>
      </c>
      <c r="R828" s="39" t="n">
        <f aca="false">SUM(M828:Q828)*Resumo!$C$11</f>
        <v>5.2025358</v>
      </c>
      <c r="S828" s="39" t="n">
        <f aca="false">SUM(M828:R828)</f>
        <v>99.7940958</v>
      </c>
      <c r="T828" s="39" t="n">
        <f aca="false">S828/(1-Resumo!$C$5)</f>
        <v>113.402381590909</v>
      </c>
      <c r="U828" s="39" t="n">
        <v>114.95</v>
      </c>
      <c r="V828" s="39" t="n">
        <f aca="false">J828*Resumo!$B$6</f>
        <v>0.51039</v>
      </c>
      <c r="W828" s="39" t="n">
        <f aca="false">J828*Resumo!$B$7</f>
        <v>1.02078</v>
      </c>
      <c r="X828" s="39" t="n">
        <f aca="false">Resumo!$B$9</f>
        <v>1</v>
      </c>
      <c r="Y828" s="39" t="n">
        <f aca="false">Resumo!$B$10*CEILING(I828/100,1)</f>
        <v>4.5</v>
      </c>
      <c r="Z828" s="39" t="n">
        <f aca="false">Resumo!$B$12*CEILING(I828,1)</f>
        <v>2.4</v>
      </c>
      <c r="AA828" s="39" t="n">
        <f aca="false">Resumo!$B$13*CEILING(I828,1)</f>
        <v>18</v>
      </c>
      <c r="AB828" s="39" t="n">
        <f aca="false">SUM(U828:AA828)</f>
        <v>142.38117</v>
      </c>
      <c r="AC828" s="39" t="n">
        <f aca="false">AB828/(1-Resumo!$B$5)</f>
        <v>161.796784090909</v>
      </c>
      <c r="AD828" s="39" t="n">
        <f aca="false">(AB828-AA828)/(1-Resumo!$B$5)</f>
        <v>141.342238636364</v>
      </c>
      <c r="AE828" s="39" t="n">
        <f aca="false">AC828-T828</f>
        <v>48.3944025</v>
      </c>
      <c r="AF828" s="40" t="n">
        <f aca="false">AC828/T828-1</f>
        <v>0.426749437014289</v>
      </c>
      <c r="AG828" s="37" t="str">
        <f aca="false">IF(AC828&lt;T828,"SIM","NÃO")</f>
        <v>NÃO</v>
      </c>
      <c r="AH828" s="37" t="n">
        <v>10</v>
      </c>
      <c r="AI828" s="37" t="n">
        <v>7</v>
      </c>
      <c r="AJ828" s="37" t="s">
        <v>323</v>
      </c>
    </row>
    <row r="829" customFormat="false" ht="15" hidden="false" customHeight="false" outlineLevel="0" collapsed="false">
      <c r="A829" s="37" t="n">
        <v>374148685</v>
      </c>
      <c r="B829" s="38" t="n">
        <v>46244.5619328704</v>
      </c>
      <c r="C829" s="37" t="s">
        <v>325</v>
      </c>
      <c r="D829" s="37" t="s">
        <v>1120</v>
      </c>
      <c r="E829" s="37" t="n">
        <v>21341370</v>
      </c>
      <c r="F829" s="37" t="s">
        <v>139</v>
      </c>
      <c r="G829" s="37" t="s">
        <v>198</v>
      </c>
      <c r="H829" s="37" t="s">
        <v>172</v>
      </c>
      <c r="I829" s="37" t="n">
        <v>69.15</v>
      </c>
      <c r="J829" s="39" t="n">
        <v>684</v>
      </c>
      <c r="K829" s="37" t="s">
        <v>322</v>
      </c>
      <c r="L829" s="39" t="n">
        <v>124.49</v>
      </c>
      <c r="M829" s="39" t="n">
        <v>88.2</v>
      </c>
      <c r="N829" s="39" t="n">
        <f aca="false">J829*Resumo!$C$7</f>
        <v>1.368</v>
      </c>
      <c r="O829" s="39" t="n">
        <f aca="false">J829*Resumo!$C$8</f>
        <v>1.368</v>
      </c>
      <c r="P829" s="39" t="n">
        <f aca="false">Resumo!$C$10*CEILING(I829/100,1)</f>
        <v>1</v>
      </c>
      <c r="Q829" s="39" t="n">
        <f aca="false">Resumo!$C$9</f>
        <v>11.9</v>
      </c>
      <c r="R829" s="39" t="n">
        <f aca="false">SUM(M829:Q829)*Resumo!$C$11</f>
        <v>5.71098</v>
      </c>
      <c r="S829" s="39" t="n">
        <f aca="false">SUM(M829:R829)</f>
        <v>109.54698</v>
      </c>
      <c r="T829" s="39" t="n">
        <f aca="false">S829/(1-Resumo!$C$5)</f>
        <v>124.485204545455</v>
      </c>
      <c r="U829" s="39" t="n">
        <v>131.02</v>
      </c>
      <c r="V829" s="39" t="n">
        <f aca="false">J829*Resumo!$B$6</f>
        <v>0.684</v>
      </c>
      <c r="W829" s="39" t="n">
        <f aca="false">J829*Resumo!$B$7</f>
        <v>1.368</v>
      </c>
      <c r="X829" s="39" t="n">
        <f aca="false">Resumo!$B$9</f>
        <v>1</v>
      </c>
      <c r="Y829" s="39" t="n">
        <f aca="false">Resumo!$B$10*CEILING(I829/100,1)</f>
        <v>4.5</v>
      </c>
      <c r="Z829" s="39" t="n">
        <f aca="false">Resumo!$B$12*CEILING(I829,1)</f>
        <v>4.2</v>
      </c>
      <c r="AA829" s="39" t="n">
        <f aca="false">Resumo!$B$13*CEILING(I829,1)</f>
        <v>31.5</v>
      </c>
      <c r="AB829" s="39" t="n">
        <f aca="false">SUM(U829:AA829)</f>
        <v>174.272</v>
      </c>
      <c r="AC829" s="39" t="n">
        <f aca="false">AB829/(1-Resumo!$B$5)</f>
        <v>198.036363636364</v>
      </c>
      <c r="AD829" s="39" t="n">
        <f aca="false">(AB829-AA829)/(1-Resumo!$B$5)</f>
        <v>162.240909090909</v>
      </c>
      <c r="AE829" s="39" t="n">
        <f aca="false">AC829-T829</f>
        <v>73.5511590909091</v>
      </c>
      <c r="AF829" s="40" t="n">
        <f aca="false">AC829/T829-1</f>
        <v>0.590842577312492</v>
      </c>
      <c r="AG829" s="37" t="str">
        <f aca="false">IF(AC829&lt;T829,"SIM","NÃO")</f>
        <v>NÃO</v>
      </c>
      <c r="AH829" s="37" t="n">
        <v>8</v>
      </c>
      <c r="AI829" s="37" t="n">
        <v>5</v>
      </c>
      <c r="AJ829" s="37" t="s">
        <v>323</v>
      </c>
    </row>
    <row r="830" customFormat="false" ht="15" hidden="false" customHeight="false" outlineLevel="0" collapsed="false">
      <c r="A830" s="37" t="n">
        <v>374150871</v>
      </c>
      <c r="B830" s="38" t="n">
        <v>46244.5662615741</v>
      </c>
      <c r="C830" s="37" t="s">
        <v>325</v>
      </c>
      <c r="D830" s="37" t="s">
        <v>1121</v>
      </c>
      <c r="E830" s="37" t="n">
        <v>23587460</v>
      </c>
      <c r="F830" s="37" t="s">
        <v>139</v>
      </c>
      <c r="G830" s="37" t="s">
        <v>198</v>
      </c>
      <c r="H830" s="37" t="s">
        <v>176</v>
      </c>
      <c r="I830" s="37" t="n">
        <v>124.2</v>
      </c>
      <c r="J830" s="39" t="n">
        <v>1699.99</v>
      </c>
      <c r="K830" s="37" t="s">
        <v>498</v>
      </c>
      <c r="L830" s="39" t="n">
        <v>226.85</v>
      </c>
      <c r="M830" s="39" t="n">
        <v>174.85</v>
      </c>
      <c r="N830" s="39" t="n">
        <f aca="false">J830*Resumo!$C$7</f>
        <v>3.39998</v>
      </c>
      <c r="O830" s="39" t="n">
        <f aca="false">J830*Resumo!$C$8</f>
        <v>3.39998</v>
      </c>
      <c r="P830" s="39" t="n">
        <f aca="false">Resumo!$C$10*CEILING(I830/100,1)</f>
        <v>2</v>
      </c>
      <c r="Q830" s="39" t="n">
        <f aca="false">Resumo!$C$9</f>
        <v>11.9</v>
      </c>
      <c r="R830" s="39" t="n">
        <f aca="false">SUM(M830:Q830)*Resumo!$C$11</f>
        <v>10.7552478</v>
      </c>
      <c r="S830" s="39" t="n">
        <f aca="false">SUM(M830:R830)</f>
        <v>206.3052078</v>
      </c>
      <c r="T830" s="39" t="n">
        <f aca="false">S830/(1-Resumo!$C$5)</f>
        <v>234.437736136364</v>
      </c>
      <c r="U830" s="39" t="n">
        <v>239.25</v>
      </c>
      <c r="V830" s="39" t="n">
        <f aca="false">J830*Resumo!$B$6</f>
        <v>1.69999</v>
      </c>
      <c r="W830" s="39" t="n">
        <f aca="false">J830*Resumo!$B$7</f>
        <v>3.39998</v>
      </c>
      <c r="X830" s="39" t="n">
        <f aca="false">Resumo!$B$9</f>
        <v>1</v>
      </c>
      <c r="Y830" s="39" t="n">
        <f aca="false">Resumo!$B$10*CEILING(I830/100,1)</f>
        <v>9</v>
      </c>
      <c r="Z830" s="39" t="n">
        <f aca="false">Resumo!$B$12*CEILING(I830,1)</f>
        <v>7.5</v>
      </c>
      <c r="AA830" s="39" t="n">
        <f aca="false">Resumo!$B$13*CEILING(I830,1)</f>
        <v>56.25</v>
      </c>
      <c r="AB830" s="39" t="n">
        <f aca="false">SUM(U830:AA830)</f>
        <v>318.09997</v>
      </c>
      <c r="AC830" s="39" t="n">
        <f aca="false">AB830/(1-Resumo!$B$5)</f>
        <v>361.477238636364</v>
      </c>
      <c r="AD830" s="39" t="n">
        <f aca="false">(AB830-AA830)/(1-Resumo!$B$5)</f>
        <v>297.556784090909</v>
      </c>
      <c r="AE830" s="39" t="n">
        <f aca="false">AC830-T830</f>
        <v>127.0395025</v>
      </c>
      <c r="AF830" s="40" t="n">
        <f aca="false">AC830/T830-1</f>
        <v>0.541890160661276</v>
      </c>
      <c r="AG830" s="37" t="str">
        <f aca="false">IF(AC830&lt;T830,"SIM","NÃO")</f>
        <v>NÃO</v>
      </c>
      <c r="AH830" s="37" t="n">
        <v>8</v>
      </c>
      <c r="AI830" s="37" t="n">
        <v>5</v>
      </c>
      <c r="AJ830" s="37" t="s">
        <v>323</v>
      </c>
    </row>
    <row r="831" customFormat="false" ht="15" hidden="false" customHeight="false" outlineLevel="0" collapsed="false">
      <c r="A831" s="37" t="n">
        <v>374164750</v>
      </c>
      <c r="B831" s="38" t="n">
        <v>46244.5896296296</v>
      </c>
      <c r="C831" s="37" t="s">
        <v>320</v>
      </c>
      <c r="D831" s="37" t="s">
        <v>1122</v>
      </c>
      <c r="E831" s="37" t="n">
        <v>21520280</v>
      </c>
      <c r="F831" s="37" t="s">
        <v>139</v>
      </c>
      <c r="G831" s="37" t="s">
        <v>198</v>
      </c>
      <c r="H831" s="37" t="s">
        <v>168</v>
      </c>
      <c r="I831" s="37" t="n">
        <v>21.75</v>
      </c>
      <c r="J831" s="39" t="n">
        <v>319.99</v>
      </c>
      <c r="K831" s="37" t="s">
        <v>322</v>
      </c>
      <c r="L831" s="39" t="n">
        <v>81.86</v>
      </c>
      <c r="M831" s="39" t="n">
        <v>54.1</v>
      </c>
      <c r="N831" s="39" t="n">
        <f aca="false">J831*Resumo!$C$7</f>
        <v>0.63998</v>
      </c>
      <c r="O831" s="39" t="n">
        <f aca="false">J831*Resumo!$C$8</f>
        <v>0.63998</v>
      </c>
      <c r="P831" s="39" t="n">
        <f aca="false">Resumo!$C$10*CEILING(I831/100,1)</f>
        <v>1</v>
      </c>
      <c r="Q831" s="39" t="n">
        <f aca="false">Resumo!$C$9</f>
        <v>11.9</v>
      </c>
      <c r="R831" s="39" t="n">
        <f aca="false">SUM(M831:Q831)*Resumo!$C$11</f>
        <v>3.7553978</v>
      </c>
      <c r="S831" s="39" t="n">
        <f aca="false">SUM(M831:R831)</f>
        <v>72.0353578</v>
      </c>
      <c r="T831" s="39" t="n">
        <f aca="false">S831/(1-Resumo!$C$5)</f>
        <v>81.8583611363636</v>
      </c>
      <c r="U831" s="39" t="n">
        <v>82.21</v>
      </c>
      <c r="V831" s="39" t="n">
        <f aca="false">J831*Resumo!$B$6</f>
        <v>0.31999</v>
      </c>
      <c r="W831" s="39" t="n">
        <f aca="false">J831*Resumo!$B$7</f>
        <v>0.63998</v>
      </c>
      <c r="X831" s="39" t="n">
        <f aca="false">Resumo!$B$9</f>
        <v>1</v>
      </c>
      <c r="Y831" s="39" t="n">
        <f aca="false">Resumo!$B$10*CEILING(I831/100,1)</f>
        <v>4.5</v>
      </c>
      <c r="Z831" s="39" t="n">
        <f aca="false">Resumo!$B$12*CEILING(I831,1)</f>
        <v>1.32</v>
      </c>
      <c r="AA831" s="39" t="n">
        <f aca="false">Resumo!$B$13*CEILING(I831,1)</f>
        <v>9.9</v>
      </c>
      <c r="AB831" s="39" t="n">
        <f aca="false">SUM(U831:AA831)</f>
        <v>99.88997</v>
      </c>
      <c r="AC831" s="39" t="n">
        <f aca="false">AB831/(1-Resumo!$B$5)</f>
        <v>113.511329545455</v>
      </c>
      <c r="AD831" s="39" t="n">
        <f aca="false">(AB831-AA831)/(1-Resumo!$B$5)</f>
        <v>102.261329545455</v>
      </c>
      <c r="AE831" s="39" t="n">
        <f aca="false">AC831-T831</f>
        <v>31.6529684090909</v>
      </c>
      <c r="AF831" s="40" t="n">
        <f aca="false">AC831/T831-1</f>
        <v>0.386679722995698</v>
      </c>
      <c r="AG831" s="37" t="str">
        <f aca="false">IF(AC831&lt;T831,"SIM","NÃO")</f>
        <v>NÃO</v>
      </c>
      <c r="AH831" s="37" t="n">
        <v>8</v>
      </c>
      <c r="AI831" s="37" t="n">
        <v>5</v>
      </c>
      <c r="AJ831" s="37" t="s">
        <v>323</v>
      </c>
    </row>
    <row r="832" customFormat="false" ht="15" hidden="false" customHeight="false" outlineLevel="0" collapsed="false">
      <c r="A832" s="37" t="n">
        <v>374174890</v>
      </c>
      <c r="B832" s="38" t="n">
        <v>46244.6097222222</v>
      </c>
      <c r="C832" s="37" t="s">
        <v>325</v>
      </c>
      <c r="D832" s="37" t="s">
        <v>1123</v>
      </c>
      <c r="E832" s="37" t="n">
        <v>28027040</v>
      </c>
      <c r="F832" s="37" t="s">
        <v>144</v>
      </c>
      <c r="G832" s="37" t="s">
        <v>201</v>
      </c>
      <c r="H832" s="37" t="s">
        <v>171</v>
      </c>
      <c r="I832" s="37" t="n">
        <v>52.3</v>
      </c>
      <c r="J832" s="39" t="n">
        <v>640.18</v>
      </c>
      <c r="K832" s="37" t="s">
        <v>498</v>
      </c>
      <c r="L832" s="39" t="n">
        <v>141.72</v>
      </c>
      <c r="M832" s="39" t="n">
        <v>103.6</v>
      </c>
      <c r="N832" s="39" t="n">
        <f aca="false">J832*Resumo!$C$7</f>
        <v>1.28036</v>
      </c>
      <c r="O832" s="39" t="n">
        <f aca="false">J832*Resumo!$C$8</f>
        <v>1.28036</v>
      </c>
      <c r="P832" s="39" t="n">
        <f aca="false">Resumo!$C$10*CEILING(I832/100,1)</f>
        <v>1</v>
      </c>
      <c r="Q832" s="39" t="n">
        <f aca="false">Resumo!$C$9</f>
        <v>11.9</v>
      </c>
      <c r="R832" s="39" t="n">
        <f aca="false">SUM(M832:Q832)*Resumo!$C$11</f>
        <v>6.5483396</v>
      </c>
      <c r="S832" s="39" t="n">
        <f aca="false">SUM(M832:R832)</f>
        <v>125.6090596</v>
      </c>
      <c r="T832" s="39" t="n">
        <f aca="false">S832/(1-Resumo!$C$5)</f>
        <v>142.737567727273</v>
      </c>
      <c r="U832" s="39" t="n">
        <v>162.04</v>
      </c>
      <c r="V832" s="39" t="n">
        <f aca="false">J832*Resumo!$B$6</f>
        <v>0.64018</v>
      </c>
      <c r="W832" s="39" t="n">
        <f aca="false">J832*Resumo!$B$7</f>
        <v>1.28036</v>
      </c>
      <c r="X832" s="39" t="n">
        <f aca="false">Resumo!$B$9</f>
        <v>1</v>
      </c>
      <c r="Y832" s="39" t="n">
        <f aca="false">Resumo!$B$10*CEILING(I832/100,1)</f>
        <v>4.5</v>
      </c>
      <c r="Z832" s="39" t="n">
        <f aca="false">Resumo!$B$12*CEILING(I832,1)</f>
        <v>3.18</v>
      </c>
      <c r="AA832" s="39" t="n">
        <f aca="false">Resumo!$B$13*CEILING(I832,1)</f>
        <v>23.85</v>
      </c>
      <c r="AB832" s="39" t="n">
        <f aca="false">SUM(U832:AA832)</f>
        <v>196.49054</v>
      </c>
      <c r="AC832" s="39" t="n">
        <f aca="false">AB832/(1-Resumo!$B$5)</f>
        <v>223.284704545455</v>
      </c>
      <c r="AD832" s="39" t="n">
        <f aca="false">(AB832-AA832)/(1-Resumo!$B$5)</f>
        <v>196.182431818182</v>
      </c>
      <c r="AE832" s="39" t="n">
        <f aca="false">AC832-T832</f>
        <v>80.5471368181818</v>
      </c>
      <c r="AF832" s="40" t="n">
        <f aca="false">AC832/T832-1</f>
        <v>0.564302293367381</v>
      </c>
      <c r="AG832" s="37" t="str">
        <f aca="false">IF(AC832&lt;T832,"SIM","NÃO")</f>
        <v>NÃO</v>
      </c>
      <c r="AH832" s="37" t="n">
        <v>13</v>
      </c>
      <c r="AI832" s="37" t="n">
        <v>11</v>
      </c>
      <c r="AJ832" s="37" t="s">
        <v>323</v>
      </c>
    </row>
    <row r="833" customFormat="false" ht="15" hidden="false" customHeight="false" outlineLevel="0" collapsed="false">
      <c r="A833" s="37" t="n">
        <v>374182920</v>
      </c>
      <c r="B833" s="38" t="n">
        <v>46244.6266435185</v>
      </c>
      <c r="C833" s="37" t="s">
        <v>325</v>
      </c>
      <c r="D833" s="37" t="s">
        <v>1124</v>
      </c>
      <c r="E833" s="37" t="n">
        <v>25071100</v>
      </c>
      <c r="F833" s="37" t="s">
        <v>141</v>
      </c>
      <c r="G833" s="37" t="s">
        <v>207</v>
      </c>
      <c r="H833" s="37" t="s">
        <v>171</v>
      </c>
      <c r="I833" s="37" t="n">
        <v>56.7</v>
      </c>
      <c r="J833" s="39" t="n">
        <v>663.52</v>
      </c>
      <c r="K833" s="37" t="s">
        <v>322</v>
      </c>
      <c r="L833" s="39" t="n">
        <v>128.47</v>
      </c>
      <c r="M833" s="39" t="n">
        <v>91.6</v>
      </c>
      <c r="N833" s="39" t="n">
        <f aca="false">J833*Resumo!$C$7</f>
        <v>1.32704</v>
      </c>
      <c r="O833" s="39" t="n">
        <f aca="false">J833*Resumo!$C$8</f>
        <v>1.32704</v>
      </c>
      <c r="P833" s="39" t="n">
        <f aca="false">Resumo!$C$10*CEILING(I833/100,1)</f>
        <v>1</v>
      </c>
      <c r="Q833" s="39" t="n">
        <f aca="false">Resumo!$C$9</f>
        <v>11.9</v>
      </c>
      <c r="R833" s="39" t="n">
        <f aca="false">SUM(M833:Q833)*Resumo!$C$11</f>
        <v>5.8934744</v>
      </c>
      <c r="S833" s="39" t="n">
        <f aca="false">SUM(M833:R833)</f>
        <v>113.0475544</v>
      </c>
      <c r="T833" s="39" t="n">
        <f aca="false">S833/(1-Resumo!$C$5)</f>
        <v>128.46313</v>
      </c>
      <c r="U833" s="39" t="n">
        <v>112.3</v>
      </c>
      <c r="V833" s="39" t="n">
        <f aca="false">J833*Resumo!$B$6</f>
        <v>0.66352</v>
      </c>
      <c r="W833" s="39" t="n">
        <f aca="false">J833*Resumo!$B$7</f>
        <v>1.32704</v>
      </c>
      <c r="X833" s="39" t="n">
        <f aca="false">Resumo!$B$9</f>
        <v>1</v>
      </c>
      <c r="Y833" s="39" t="n">
        <f aca="false">Resumo!$B$10*CEILING(I833/100,1)</f>
        <v>4.5</v>
      </c>
      <c r="Z833" s="39" t="n">
        <f aca="false">Resumo!$B$12*CEILING(I833,1)</f>
        <v>3.42</v>
      </c>
      <c r="AA833" s="39" t="n">
        <f aca="false">Resumo!$B$13*CEILING(I833,1)</f>
        <v>25.65</v>
      </c>
      <c r="AB833" s="39" t="n">
        <f aca="false">SUM(U833:AA833)</f>
        <v>148.86056</v>
      </c>
      <c r="AC833" s="39" t="n">
        <f aca="false">AB833/(1-Resumo!$B$5)</f>
        <v>169.159727272727</v>
      </c>
      <c r="AD833" s="39" t="n">
        <f aca="false">(AB833-AA833)/(1-Resumo!$B$5)</f>
        <v>140.012</v>
      </c>
      <c r="AE833" s="39" t="n">
        <f aca="false">AC833-T833</f>
        <v>40.6965972727272</v>
      </c>
      <c r="AF833" s="40" t="n">
        <f aca="false">AC833/T833-1</f>
        <v>0.316795934154237</v>
      </c>
      <c r="AG833" s="37" t="str">
        <f aca="false">IF(AC833&lt;T833,"SIM","NÃO")</f>
        <v>NÃO</v>
      </c>
      <c r="AH833" s="37" t="n">
        <v>10</v>
      </c>
      <c r="AI833" s="37" t="n">
        <v>5</v>
      </c>
      <c r="AJ833" s="37" t="s">
        <v>323</v>
      </c>
    </row>
    <row r="834" customFormat="false" ht="15" hidden="false" customHeight="false" outlineLevel="0" collapsed="false">
      <c r="A834" s="37" t="n">
        <v>374192532</v>
      </c>
      <c r="B834" s="38" t="n">
        <v>46244.6473726852</v>
      </c>
      <c r="C834" s="37" t="s">
        <v>359</v>
      </c>
      <c r="D834" s="37" t="s">
        <v>1125</v>
      </c>
      <c r="E834" s="37" t="n">
        <v>22452770</v>
      </c>
      <c r="F834" s="37" t="s">
        <v>139</v>
      </c>
      <c r="G834" s="37" t="s">
        <v>198</v>
      </c>
      <c r="H834" s="37" t="s">
        <v>167</v>
      </c>
      <c r="I834" s="37" t="n">
        <v>19.5</v>
      </c>
      <c r="J834" s="39" t="n">
        <v>389.99</v>
      </c>
      <c r="K834" s="37" t="s">
        <v>322</v>
      </c>
      <c r="L834" s="39" t="n">
        <v>65.09</v>
      </c>
      <c r="M834" s="39" t="n">
        <v>39.83</v>
      </c>
      <c r="N834" s="39" t="n">
        <f aca="false">J834*Resumo!$C$7</f>
        <v>0.77998</v>
      </c>
      <c r="O834" s="39" t="n">
        <f aca="false">J834*Resumo!$C$8</f>
        <v>0.77998</v>
      </c>
      <c r="P834" s="39" t="n">
        <f aca="false">Resumo!$C$10*CEILING(I834/100,1)</f>
        <v>1</v>
      </c>
      <c r="Q834" s="39" t="n">
        <f aca="false">Resumo!$C$9</f>
        <v>11.9</v>
      </c>
      <c r="R834" s="39" t="n">
        <f aca="false">SUM(M834:Q834)*Resumo!$C$11</f>
        <v>2.9859478</v>
      </c>
      <c r="S834" s="39" t="n">
        <f aca="false">SUM(M834:R834)</f>
        <v>57.2759078</v>
      </c>
      <c r="T834" s="39" t="n">
        <f aca="false">S834/(1-Resumo!$C$5)</f>
        <v>65.0862588636364</v>
      </c>
      <c r="U834" s="39" t="n">
        <v>46.98</v>
      </c>
      <c r="V834" s="39" t="n">
        <f aca="false">J834*Resumo!$B$6</f>
        <v>0.38999</v>
      </c>
      <c r="W834" s="39" t="n">
        <f aca="false">J834*Resumo!$B$7</f>
        <v>0.77998</v>
      </c>
      <c r="X834" s="39" t="n">
        <f aca="false">Resumo!$B$9</f>
        <v>1</v>
      </c>
      <c r="Y834" s="39" t="n">
        <f aca="false">Resumo!$B$10*CEILING(I834/100,1)</f>
        <v>4.5</v>
      </c>
      <c r="Z834" s="39" t="n">
        <f aca="false">Resumo!$B$12*CEILING(I834,1)</f>
        <v>1.2</v>
      </c>
      <c r="AA834" s="39" t="n">
        <f aca="false">Resumo!$B$13*CEILING(I834,1)</f>
        <v>9</v>
      </c>
      <c r="AB834" s="39" t="n">
        <f aca="false">SUM(U834:AA834)</f>
        <v>63.84997</v>
      </c>
      <c r="AC834" s="39" t="n">
        <f aca="false">AB834/(1-Resumo!$B$5)</f>
        <v>72.5567840909091</v>
      </c>
      <c r="AD834" s="39" t="n">
        <f aca="false">(AB834-AA834)/(1-Resumo!$B$5)</f>
        <v>62.3295113636364</v>
      </c>
      <c r="AE834" s="39" t="n">
        <f aca="false">AC834-T834</f>
        <v>7.47052522727273</v>
      </c>
      <c r="AF834" s="40" t="n">
        <f aca="false">AC834/T834-1</f>
        <v>0.114778839000785</v>
      </c>
      <c r="AG834" s="37" t="str">
        <f aca="false">IF(AC834&lt;T834,"SIM","NÃO")</f>
        <v>NÃO</v>
      </c>
      <c r="AH834" s="37" t="n">
        <v>8</v>
      </c>
      <c r="AI834" s="37" t="n">
        <v>5</v>
      </c>
      <c r="AJ834" s="37" t="s">
        <v>323</v>
      </c>
    </row>
    <row r="835" customFormat="false" ht="15" hidden="false" customHeight="false" outlineLevel="0" collapsed="false">
      <c r="A835" s="37" t="n">
        <v>374194474</v>
      </c>
      <c r="B835" s="38" t="n">
        <v>46244.6564814815</v>
      </c>
      <c r="C835" s="37" t="s">
        <v>355</v>
      </c>
      <c r="D835" s="37" t="s">
        <v>1126</v>
      </c>
      <c r="E835" s="37" t="n">
        <v>25010005</v>
      </c>
      <c r="F835" s="37" t="s">
        <v>141</v>
      </c>
      <c r="G835" s="37" t="s">
        <v>207</v>
      </c>
      <c r="H835" s="37" t="s">
        <v>170</v>
      </c>
      <c r="I835" s="37" t="n">
        <v>44.7</v>
      </c>
      <c r="J835" s="39" t="n">
        <v>551.99</v>
      </c>
      <c r="K835" s="37" t="s">
        <v>322</v>
      </c>
      <c r="L835" s="39" t="n">
        <v>116.7</v>
      </c>
      <c r="M835" s="39" t="n">
        <v>82.25</v>
      </c>
      <c r="N835" s="39" t="n">
        <f aca="false">J835*Resumo!$C$7</f>
        <v>1.10398</v>
      </c>
      <c r="O835" s="39" t="n">
        <f aca="false">J835*Resumo!$C$8</f>
        <v>1.10398</v>
      </c>
      <c r="P835" s="39" t="n">
        <f aca="false">Resumo!$C$10*CEILING(I835/100,1)</f>
        <v>1</v>
      </c>
      <c r="Q835" s="39" t="n">
        <f aca="false">Resumo!$C$9</f>
        <v>11.9</v>
      </c>
      <c r="R835" s="39" t="n">
        <f aca="false">SUM(M835:Q835)*Resumo!$C$11</f>
        <v>5.3546878</v>
      </c>
      <c r="S835" s="39" t="n">
        <f aca="false">SUM(M835:R835)</f>
        <v>102.7126478</v>
      </c>
      <c r="T835" s="39" t="n">
        <f aca="false">S835/(1-Resumo!$C$5)</f>
        <v>116.718917954545</v>
      </c>
      <c r="U835" s="39" t="n">
        <v>93.97</v>
      </c>
      <c r="V835" s="39" t="n">
        <f aca="false">J835*Resumo!$B$6</f>
        <v>0.55199</v>
      </c>
      <c r="W835" s="39" t="n">
        <f aca="false">J835*Resumo!$B$7</f>
        <v>1.10398</v>
      </c>
      <c r="X835" s="39" t="n">
        <f aca="false">Resumo!$B$9</f>
        <v>1</v>
      </c>
      <c r="Y835" s="39" t="n">
        <f aca="false">Resumo!$B$10*CEILING(I835/100,1)</f>
        <v>4.5</v>
      </c>
      <c r="Z835" s="39" t="n">
        <f aca="false">Resumo!$B$12*CEILING(I835,1)</f>
        <v>2.7</v>
      </c>
      <c r="AA835" s="39" t="n">
        <f aca="false">Resumo!$B$13*CEILING(I835,1)</f>
        <v>20.25</v>
      </c>
      <c r="AB835" s="39" t="n">
        <f aca="false">SUM(U835:AA835)</f>
        <v>124.07597</v>
      </c>
      <c r="AC835" s="39" t="n">
        <f aca="false">AB835/(1-Resumo!$B$5)</f>
        <v>140.995420454545</v>
      </c>
      <c r="AD835" s="39" t="n">
        <f aca="false">(AB835-AA835)/(1-Resumo!$B$5)</f>
        <v>117.984056818182</v>
      </c>
      <c r="AE835" s="39" t="n">
        <f aca="false">AC835-T835</f>
        <v>24.2765025</v>
      </c>
      <c r="AF835" s="40" t="n">
        <f aca="false">AC835/T835-1</f>
        <v>0.207991154522647</v>
      </c>
      <c r="AG835" s="37" t="str">
        <f aca="false">IF(AC835&lt;T835,"SIM","NÃO")</f>
        <v>NÃO</v>
      </c>
      <c r="AH835" s="37" t="n">
        <v>10</v>
      </c>
      <c r="AI835" s="37" t="n">
        <v>5</v>
      </c>
      <c r="AJ835" s="37" t="s">
        <v>323</v>
      </c>
    </row>
    <row r="836" customFormat="false" ht="15" hidden="false" customHeight="false" outlineLevel="0" collapsed="false">
      <c r="A836" s="37" t="n">
        <v>374215445</v>
      </c>
      <c r="B836" s="38" t="n">
        <v>46244.6898958333</v>
      </c>
      <c r="C836" s="37" t="s">
        <v>320</v>
      </c>
      <c r="D836" s="37" t="s">
        <v>1127</v>
      </c>
      <c r="E836" s="37" t="n">
        <v>25586030</v>
      </c>
      <c r="F836" s="37" t="s">
        <v>147</v>
      </c>
      <c r="G836" s="37" t="s">
        <v>207</v>
      </c>
      <c r="H836" s="37" t="s">
        <v>171</v>
      </c>
      <c r="I836" s="37" t="n">
        <v>59.9</v>
      </c>
      <c r="J836" s="39" t="n">
        <v>919.99</v>
      </c>
      <c r="K836" s="37" t="s">
        <v>498</v>
      </c>
      <c r="L836" s="39" t="n">
        <v>132.32</v>
      </c>
      <c r="M836" s="39" t="n">
        <v>91.6</v>
      </c>
      <c r="N836" s="39" t="n">
        <f aca="false">J836*Resumo!$C$7</f>
        <v>1.83998</v>
      </c>
      <c r="O836" s="39" t="n">
        <f aca="false">J836*Resumo!$C$8</f>
        <v>1.83998</v>
      </c>
      <c r="P836" s="39" t="n">
        <f aca="false">Resumo!$C$10*CEILING(I836/100,1)</f>
        <v>1</v>
      </c>
      <c r="Q836" s="39" t="n">
        <f aca="false">Resumo!$C$9</f>
        <v>11.9</v>
      </c>
      <c r="R836" s="39" t="n">
        <f aca="false">SUM(M836:Q836)*Resumo!$C$11</f>
        <v>5.9498978</v>
      </c>
      <c r="S836" s="39" t="n">
        <f aca="false">SUM(M836:R836)</f>
        <v>114.1298578</v>
      </c>
      <c r="T836" s="39" t="n">
        <f aca="false">S836/(1-Resumo!$C$5)</f>
        <v>129.693020227273</v>
      </c>
      <c r="U836" s="39" t="n">
        <v>112.3</v>
      </c>
      <c r="V836" s="39" t="n">
        <f aca="false">J836*Resumo!$B$6</f>
        <v>0.91999</v>
      </c>
      <c r="W836" s="39" t="n">
        <f aca="false">J836*Resumo!$B$7</f>
        <v>1.83998</v>
      </c>
      <c r="X836" s="39" t="n">
        <f aca="false">Resumo!$B$9</f>
        <v>1</v>
      </c>
      <c r="Y836" s="39" t="n">
        <f aca="false">Resumo!$B$10*CEILING(I836/100,1)</f>
        <v>4.5</v>
      </c>
      <c r="Z836" s="39" t="n">
        <f aca="false">Resumo!$B$12*CEILING(I836,1)</f>
        <v>3.6</v>
      </c>
      <c r="AA836" s="39" t="n">
        <f aca="false">Resumo!$B$13*CEILING(I836,1)</f>
        <v>27</v>
      </c>
      <c r="AB836" s="39" t="n">
        <f aca="false">SUM(U836:AA836)</f>
        <v>151.15997</v>
      </c>
      <c r="AC836" s="39" t="n">
        <f aca="false">AB836/(1-Resumo!$B$5)</f>
        <v>171.772693181818</v>
      </c>
      <c r="AD836" s="39" t="n">
        <f aca="false">(AB836-AA836)/(1-Resumo!$B$5)</f>
        <v>141.090875</v>
      </c>
      <c r="AE836" s="39" t="n">
        <f aca="false">AC836-T836</f>
        <v>42.0796729545455</v>
      </c>
      <c r="AF836" s="40" t="n">
        <f aca="false">AC836/T836-1</f>
        <v>0.324455956695322</v>
      </c>
      <c r="AG836" s="37" t="str">
        <f aca="false">IF(AC836&lt;T836,"SIM","NÃO")</f>
        <v>NÃO</v>
      </c>
      <c r="AH836" s="37" t="n">
        <v>10</v>
      </c>
      <c r="AI836" s="37" t="n">
        <v>5</v>
      </c>
      <c r="AJ836" s="37" t="s">
        <v>323</v>
      </c>
    </row>
    <row r="837" customFormat="false" ht="15" hidden="false" customHeight="false" outlineLevel="0" collapsed="false">
      <c r="A837" s="37" t="n">
        <v>374211099</v>
      </c>
      <c r="B837" s="38" t="n">
        <v>46244.691400463</v>
      </c>
      <c r="C837" s="37" t="s">
        <v>341</v>
      </c>
      <c r="D837" s="37" t="s">
        <v>1128</v>
      </c>
      <c r="E837" s="37" t="n">
        <v>26311240</v>
      </c>
      <c r="F837" s="37" t="s">
        <v>222</v>
      </c>
      <c r="G837" s="37" t="s">
        <v>207</v>
      </c>
      <c r="H837" s="37" t="s">
        <v>169</v>
      </c>
      <c r="I837" s="37" t="n">
        <v>36.9</v>
      </c>
      <c r="J837" s="39" t="n">
        <v>459.99</v>
      </c>
      <c r="K837" s="37" t="s">
        <v>498</v>
      </c>
      <c r="L837" s="39" t="n">
        <v>113.66</v>
      </c>
      <c r="M837" s="39" t="n">
        <v>79.65</v>
      </c>
      <c r="N837" s="39" t="n">
        <f aca="false">J837*Resumo!$C$7</f>
        <v>0.91998</v>
      </c>
      <c r="O837" s="39" t="n">
        <f aca="false">J837*Resumo!$C$8</f>
        <v>0.91998</v>
      </c>
      <c r="P837" s="39" t="n">
        <f aca="false">Resumo!$C$10*CEILING(I837/100,1)</f>
        <v>1</v>
      </c>
      <c r="Q837" s="39" t="n">
        <f aca="false">Resumo!$C$9</f>
        <v>11.9</v>
      </c>
      <c r="R837" s="39" t="n">
        <f aca="false">SUM(M837:Q837)*Resumo!$C$11</f>
        <v>5.1914478</v>
      </c>
      <c r="S837" s="39" t="n">
        <f aca="false">SUM(M837:R837)</f>
        <v>99.5814078</v>
      </c>
      <c r="T837" s="39" t="n">
        <f aca="false">S837/(1-Resumo!$C$5)</f>
        <v>113.160690681818</v>
      </c>
      <c r="U837" s="39" t="n">
        <v>93.97</v>
      </c>
      <c r="V837" s="39" t="n">
        <f aca="false">J837*Resumo!$B$6</f>
        <v>0.45999</v>
      </c>
      <c r="W837" s="39" t="n">
        <f aca="false">J837*Resumo!$B$7</f>
        <v>0.91998</v>
      </c>
      <c r="X837" s="39" t="n">
        <f aca="false">Resumo!$B$9</f>
        <v>1</v>
      </c>
      <c r="Y837" s="39" t="n">
        <f aca="false">Resumo!$B$10*CEILING(I837/100,1)</f>
        <v>4.5</v>
      </c>
      <c r="Z837" s="39" t="n">
        <f aca="false">Resumo!$B$12*CEILING(I837,1)</f>
        <v>2.22</v>
      </c>
      <c r="AA837" s="39" t="n">
        <f aca="false">Resumo!$B$13*CEILING(I837,1)</f>
        <v>16.65</v>
      </c>
      <c r="AB837" s="39" t="n">
        <f aca="false">SUM(U837:AA837)</f>
        <v>119.71997</v>
      </c>
      <c r="AC837" s="39" t="n">
        <f aca="false">AB837/(1-Resumo!$B$5)</f>
        <v>136.045420454545</v>
      </c>
      <c r="AD837" s="39" t="n">
        <f aca="false">(AB837-AA837)/(1-Resumo!$B$5)</f>
        <v>117.124965909091</v>
      </c>
      <c r="AE837" s="39" t="n">
        <f aca="false">AC837-T837</f>
        <v>22.8847297727273</v>
      </c>
      <c r="AF837" s="40" t="n">
        <f aca="false">AC837/T837-1</f>
        <v>0.202232150005816</v>
      </c>
      <c r="AG837" s="37" t="str">
        <f aca="false">IF(AC837&lt;T837,"SIM","NÃO")</f>
        <v>NÃO</v>
      </c>
      <c r="AH837" s="37" t="n">
        <v>10</v>
      </c>
      <c r="AI837" s="37" t="n">
        <v>5</v>
      </c>
      <c r="AJ837" s="37" t="s">
        <v>327</v>
      </c>
    </row>
    <row r="838" customFormat="false" ht="15" hidden="false" customHeight="false" outlineLevel="0" collapsed="false">
      <c r="A838" s="37" t="n">
        <v>374218447</v>
      </c>
      <c r="B838" s="38" t="n">
        <v>46244.6958680556</v>
      </c>
      <c r="C838" s="37" t="s">
        <v>320</v>
      </c>
      <c r="D838" s="37" t="s">
        <v>1129</v>
      </c>
      <c r="E838" s="37" t="n">
        <v>21321035</v>
      </c>
      <c r="F838" s="37" t="s">
        <v>139</v>
      </c>
      <c r="G838" s="37" t="s">
        <v>198</v>
      </c>
      <c r="H838" s="37" t="s">
        <v>167</v>
      </c>
      <c r="I838" s="37" t="n">
        <v>19.9</v>
      </c>
      <c r="J838" s="39" t="n">
        <v>299.99</v>
      </c>
      <c r="K838" s="37" t="s">
        <v>322</v>
      </c>
      <c r="L838" s="39" t="n">
        <v>64.66</v>
      </c>
      <c r="M838" s="39" t="n">
        <v>39.83</v>
      </c>
      <c r="N838" s="39" t="n">
        <f aca="false">J838*Resumo!$C$7</f>
        <v>0.59998</v>
      </c>
      <c r="O838" s="39" t="n">
        <f aca="false">J838*Resumo!$C$8</f>
        <v>0.59998</v>
      </c>
      <c r="P838" s="39" t="n">
        <f aca="false">Resumo!$C$10*CEILING(I838/100,1)</f>
        <v>1</v>
      </c>
      <c r="Q838" s="39" t="n">
        <f aca="false">Resumo!$C$9</f>
        <v>11.9</v>
      </c>
      <c r="R838" s="39" t="n">
        <f aca="false">SUM(M838:Q838)*Resumo!$C$11</f>
        <v>2.9661478</v>
      </c>
      <c r="S838" s="39" t="n">
        <f aca="false">SUM(M838:R838)</f>
        <v>56.8961078</v>
      </c>
      <c r="T838" s="39" t="n">
        <f aca="false">S838/(1-Resumo!$C$5)</f>
        <v>64.6546679545455</v>
      </c>
      <c r="U838" s="39" t="n">
        <v>46.98</v>
      </c>
      <c r="V838" s="39" t="n">
        <f aca="false">J838*Resumo!$B$6</f>
        <v>0.29999</v>
      </c>
      <c r="W838" s="39" t="n">
        <f aca="false">J838*Resumo!$B$7</f>
        <v>0.59998</v>
      </c>
      <c r="X838" s="39" t="n">
        <f aca="false">Resumo!$B$9</f>
        <v>1</v>
      </c>
      <c r="Y838" s="39" t="n">
        <f aca="false">Resumo!$B$10*CEILING(I838/100,1)</f>
        <v>4.5</v>
      </c>
      <c r="Z838" s="39" t="n">
        <f aca="false">Resumo!$B$12*CEILING(I838,1)</f>
        <v>1.2</v>
      </c>
      <c r="AA838" s="39" t="n">
        <f aca="false">Resumo!$B$13*CEILING(I838,1)</f>
        <v>9</v>
      </c>
      <c r="AB838" s="39" t="n">
        <f aca="false">SUM(U838:AA838)</f>
        <v>63.57997</v>
      </c>
      <c r="AC838" s="39" t="n">
        <f aca="false">AB838/(1-Resumo!$B$5)</f>
        <v>72.2499659090909</v>
      </c>
      <c r="AD838" s="39" t="n">
        <f aca="false">(AB838-AA838)/(1-Resumo!$B$5)</f>
        <v>62.0226931818182</v>
      </c>
      <c r="AE838" s="39" t="n">
        <f aca="false">AC838-T838</f>
        <v>7.59529795454544</v>
      </c>
      <c r="AF838" s="40" t="n">
        <f aca="false">AC838/T838-1</f>
        <v>0.117474858271412</v>
      </c>
      <c r="AG838" s="37" t="str">
        <f aca="false">IF(AC838&lt;T838,"SIM","NÃO")</f>
        <v>NÃO</v>
      </c>
      <c r="AH838" s="37" t="n">
        <v>8</v>
      </c>
      <c r="AI838" s="37" t="n">
        <v>5</v>
      </c>
      <c r="AJ838" s="37" t="s">
        <v>323</v>
      </c>
    </row>
    <row r="839" customFormat="false" ht="15" hidden="false" customHeight="false" outlineLevel="0" collapsed="false">
      <c r="A839" s="37" t="n">
        <v>374231679</v>
      </c>
      <c r="B839" s="38" t="n">
        <v>46244.7253356482</v>
      </c>
      <c r="C839" s="37" t="s">
        <v>320</v>
      </c>
      <c r="D839" s="37" t="s">
        <v>1130</v>
      </c>
      <c r="E839" s="37" t="n">
        <v>21545230</v>
      </c>
      <c r="F839" s="37" t="s">
        <v>139</v>
      </c>
      <c r="G839" s="37" t="s">
        <v>198</v>
      </c>
      <c r="H839" s="37" t="s">
        <v>173</v>
      </c>
      <c r="I839" s="37" t="n">
        <v>78.7</v>
      </c>
      <c r="J839" s="39" t="n">
        <v>1577.68</v>
      </c>
      <c r="K839" s="37" t="s">
        <v>322</v>
      </c>
      <c r="L839" s="39" t="n">
        <v>140.06</v>
      </c>
      <c r="M839" s="39" t="n">
        <v>97.6</v>
      </c>
      <c r="N839" s="39" t="n">
        <f aca="false">J839*Resumo!$C$7</f>
        <v>3.15536</v>
      </c>
      <c r="O839" s="39" t="n">
        <f aca="false">J839*Resumo!$C$8</f>
        <v>3.15536</v>
      </c>
      <c r="P839" s="39" t="n">
        <f aca="false">Resumo!$C$10*CEILING(I839/100,1)</f>
        <v>1</v>
      </c>
      <c r="Q839" s="39" t="n">
        <f aca="false">Resumo!$C$9</f>
        <v>11.9</v>
      </c>
      <c r="R839" s="39" t="n">
        <f aca="false">SUM(M839:Q839)*Resumo!$C$11</f>
        <v>6.4245896</v>
      </c>
      <c r="S839" s="39" t="n">
        <f aca="false">SUM(M839:R839)</f>
        <v>123.2353096</v>
      </c>
      <c r="T839" s="39" t="n">
        <f aca="false">S839/(1-Resumo!$C$5)</f>
        <v>140.040124545455</v>
      </c>
      <c r="U839" s="39" t="n">
        <v>134.39</v>
      </c>
      <c r="V839" s="39" t="n">
        <f aca="false">J839*Resumo!$B$6</f>
        <v>1.57768</v>
      </c>
      <c r="W839" s="39" t="n">
        <f aca="false">J839*Resumo!$B$7</f>
        <v>3.15536</v>
      </c>
      <c r="X839" s="39" t="n">
        <f aca="false">Resumo!$B$9</f>
        <v>1</v>
      </c>
      <c r="Y839" s="39" t="n">
        <f aca="false">Resumo!$B$10*CEILING(I839/100,1)</f>
        <v>4.5</v>
      </c>
      <c r="Z839" s="39" t="n">
        <f aca="false">Resumo!$B$12*CEILING(I839,1)</f>
        <v>4.74</v>
      </c>
      <c r="AA839" s="39" t="n">
        <f aca="false">Resumo!$B$13*CEILING(I839,1)</f>
        <v>35.55</v>
      </c>
      <c r="AB839" s="39" t="n">
        <f aca="false">SUM(U839:AA839)</f>
        <v>184.91304</v>
      </c>
      <c r="AC839" s="39" t="n">
        <f aca="false">AB839/(1-Resumo!$B$5)</f>
        <v>210.128454545455</v>
      </c>
      <c r="AD839" s="39" t="n">
        <f aca="false">(AB839-AA839)/(1-Resumo!$B$5)</f>
        <v>169.730727272727</v>
      </c>
      <c r="AE839" s="39" t="n">
        <f aca="false">AC839-T839</f>
        <v>70.08833</v>
      </c>
      <c r="AF839" s="40" t="n">
        <f aca="false">AC839/T839-1</f>
        <v>0.500487486907729</v>
      </c>
      <c r="AG839" s="37" t="str">
        <f aca="false">IF(AC839&lt;T839,"SIM","NÃO")</f>
        <v>NÃO</v>
      </c>
      <c r="AH839" s="37" t="n">
        <v>8</v>
      </c>
      <c r="AI839" s="37" t="n">
        <v>5</v>
      </c>
      <c r="AJ839" s="37" t="s">
        <v>323</v>
      </c>
    </row>
    <row r="840" customFormat="false" ht="15" hidden="false" customHeight="false" outlineLevel="0" collapsed="false">
      <c r="A840" s="37" t="n">
        <v>374246324</v>
      </c>
      <c r="B840" s="38" t="n">
        <v>46244.7535300926</v>
      </c>
      <c r="C840" s="37" t="s">
        <v>320</v>
      </c>
      <c r="D840" s="37" t="s">
        <v>1131</v>
      </c>
      <c r="E840" s="37" t="n">
        <v>28920050</v>
      </c>
      <c r="F840" s="37" t="s">
        <v>152</v>
      </c>
      <c r="G840" s="37" t="s">
        <v>201</v>
      </c>
      <c r="H840" s="37" t="s">
        <v>172</v>
      </c>
      <c r="I840" s="37" t="n">
        <v>69</v>
      </c>
      <c r="J840" s="39" t="n">
        <v>783.88</v>
      </c>
      <c r="K840" s="37" t="s">
        <v>498</v>
      </c>
      <c r="L840" s="39" t="n">
        <v>158.12</v>
      </c>
      <c r="M840" s="39" t="n">
        <v>113.9</v>
      </c>
      <c r="N840" s="39" t="n">
        <f aca="false">J840*Resumo!$C$7</f>
        <v>1.56776</v>
      </c>
      <c r="O840" s="39" t="n">
        <f aca="false">J840*Resumo!$C$8</f>
        <v>1.56776</v>
      </c>
      <c r="P840" s="39" t="n">
        <f aca="false">Resumo!$C$10*CEILING(I840/100,1)</f>
        <v>1</v>
      </c>
      <c r="Q840" s="39" t="n">
        <f aca="false">Resumo!$C$9</f>
        <v>11.9</v>
      </c>
      <c r="R840" s="39" t="n">
        <f aca="false">SUM(M840:Q840)*Resumo!$C$11</f>
        <v>7.1464536</v>
      </c>
      <c r="S840" s="39" t="n">
        <f aca="false">SUM(M840:R840)</f>
        <v>137.0819736</v>
      </c>
      <c r="T840" s="39" t="n">
        <f aca="false">S840/(1-Resumo!$C$5)</f>
        <v>155.77497</v>
      </c>
      <c r="U840" s="39" t="n">
        <v>166.05</v>
      </c>
      <c r="V840" s="39" t="n">
        <f aca="false">J840*Resumo!$B$6</f>
        <v>0.78388</v>
      </c>
      <c r="W840" s="39" t="n">
        <f aca="false">J840*Resumo!$B$7</f>
        <v>1.56776</v>
      </c>
      <c r="X840" s="39" t="n">
        <f aca="false">Resumo!$B$9</f>
        <v>1</v>
      </c>
      <c r="Y840" s="39" t="n">
        <f aca="false">Resumo!$B$10*CEILING(I840/100,1)</f>
        <v>4.5</v>
      </c>
      <c r="Z840" s="39" t="n">
        <f aca="false">Resumo!$B$12*CEILING(I840,1)</f>
        <v>4.14</v>
      </c>
      <c r="AA840" s="39" t="n">
        <f aca="false">Resumo!$B$13*CEILING(I840,1)</f>
        <v>31.05</v>
      </c>
      <c r="AB840" s="39" t="n">
        <f aca="false">SUM(U840:AA840)</f>
        <v>209.09164</v>
      </c>
      <c r="AC840" s="39" t="n">
        <f aca="false">AB840/(1-Resumo!$B$5)</f>
        <v>237.604136363636</v>
      </c>
      <c r="AD840" s="39" t="n">
        <f aca="false">(AB840-AA840)/(1-Resumo!$B$5)</f>
        <v>202.320045454545</v>
      </c>
      <c r="AE840" s="39" t="n">
        <f aca="false">AC840-T840</f>
        <v>81.8291663636364</v>
      </c>
      <c r="AF840" s="40" t="n">
        <f aca="false">AC840/T840-1</f>
        <v>0.525303688799532</v>
      </c>
      <c r="AG840" s="37" t="str">
        <f aca="false">IF(AC840&lt;T840,"SIM","NÃO")</f>
        <v>NÃO</v>
      </c>
      <c r="AH840" s="37" t="n">
        <v>13</v>
      </c>
      <c r="AI840" s="37" t="n">
        <v>10</v>
      </c>
      <c r="AJ840" s="37" t="s">
        <v>323</v>
      </c>
    </row>
    <row r="841" customFormat="false" ht="15" hidden="false" customHeight="false" outlineLevel="0" collapsed="false">
      <c r="A841" s="37" t="n">
        <v>374268278</v>
      </c>
      <c r="B841" s="38" t="n">
        <v>46244.7956597222</v>
      </c>
      <c r="C841" s="37" t="s">
        <v>325</v>
      </c>
      <c r="D841" s="37" t="s">
        <v>1132</v>
      </c>
      <c r="E841" s="37" t="n">
        <v>25070170</v>
      </c>
      <c r="F841" s="37" t="s">
        <v>141</v>
      </c>
      <c r="G841" s="37" t="s">
        <v>207</v>
      </c>
      <c r="H841" s="37" t="s">
        <v>176</v>
      </c>
      <c r="I841" s="37" t="n">
        <v>124.2</v>
      </c>
      <c r="J841" s="39" t="n">
        <v>1589.99</v>
      </c>
      <c r="K841" s="37" t="s">
        <v>322</v>
      </c>
      <c r="L841" s="39" t="n">
        <v>244.22</v>
      </c>
      <c r="M841" s="39" t="n">
        <v>183.45</v>
      </c>
      <c r="N841" s="39" t="n">
        <f aca="false">J841*Resumo!$C$7</f>
        <v>3.17998</v>
      </c>
      <c r="O841" s="39" t="n">
        <f aca="false">J841*Resumo!$C$8</f>
        <v>3.17998</v>
      </c>
      <c r="P841" s="39" t="n">
        <f aca="false">Resumo!$C$10*CEILING(I841/100,1)</f>
        <v>2</v>
      </c>
      <c r="Q841" s="39" t="n">
        <f aca="false">Resumo!$C$9</f>
        <v>11.9</v>
      </c>
      <c r="R841" s="39" t="n">
        <f aca="false">SUM(M841:Q841)*Resumo!$C$11</f>
        <v>11.2040478</v>
      </c>
      <c r="S841" s="39" t="n">
        <f aca="false">SUM(M841:R841)</f>
        <v>214.9140078</v>
      </c>
      <c r="T841" s="39" t="n">
        <f aca="false">S841/(1-Resumo!$C$5)</f>
        <v>244.220463409091</v>
      </c>
      <c r="U841" s="39" t="n">
        <v>239.25</v>
      </c>
      <c r="V841" s="39" t="n">
        <f aca="false">J841*Resumo!$B$6</f>
        <v>1.58999</v>
      </c>
      <c r="W841" s="39" t="n">
        <f aca="false">J841*Resumo!$B$7</f>
        <v>3.17998</v>
      </c>
      <c r="X841" s="39" t="n">
        <f aca="false">Resumo!$B$9</f>
        <v>1</v>
      </c>
      <c r="Y841" s="39" t="n">
        <f aca="false">Resumo!$B$10*CEILING(I841/100,1)</f>
        <v>9</v>
      </c>
      <c r="Z841" s="39" t="n">
        <f aca="false">Resumo!$B$12*CEILING(I841,1)</f>
        <v>7.5</v>
      </c>
      <c r="AA841" s="39" t="n">
        <f aca="false">Resumo!$B$13*CEILING(I841,1)</f>
        <v>56.25</v>
      </c>
      <c r="AB841" s="39" t="n">
        <f aca="false">SUM(U841:AA841)</f>
        <v>317.76997</v>
      </c>
      <c r="AC841" s="39" t="n">
        <f aca="false">AB841/(1-Resumo!$B$5)</f>
        <v>361.102238636364</v>
      </c>
      <c r="AD841" s="39" t="n">
        <f aca="false">(AB841-AA841)/(1-Resumo!$B$5)</f>
        <v>297.181784090909</v>
      </c>
      <c r="AE841" s="39" t="n">
        <f aca="false">AC841-T841</f>
        <v>116.881775227273</v>
      </c>
      <c r="AF841" s="40" t="n">
        <f aca="false">AC841/T841-1</f>
        <v>0.47859124332053</v>
      </c>
      <c r="AG841" s="37" t="str">
        <f aca="false">IF(AC841&lt;T841,"SIM","NÃO")</f>
        <v>NÃO</v>
      </c>
      <c r="AH841" s="37" t="n">
        <v>10</v>
      </c>
      <c r="AI841" s="37" t="n">
        <v>5</v>
      </c>
      <c r="AJ841" s="37" t="s">
        <v>323</v>
      </c>
    </row>
    <row r="842" customFormat="false" ht="15" hidden="false" customHeight="false" outlineLevel="0" collapsed="false">
      <c r="A842" s="37" t="n">
        <v>374295080</v>
      </c>
      <c r="B842" s="38" t="n">
        <v>46244.8473032407</v>
      </c>
      <c r="C842" s="37" t="s">
        <v>320</v>
      </c>
      <c r="D842" s="37" t="s">
        <v>1133</v>
      </c>
      <c r="E842" s="37" t="n">
        <v>22430070</v>
      </c>
      <c r="F842" s="37" t="s">
        <v>139</v>
      </c>
      <c r="G842" s="37" t="s">
        <v>198</v>
      </c>
      <c r="H842" s="37" t="s">
        <v>171</v>
      </c>
      <c r="I842" s="37" t="n">
        <v>52.3</v>
      </c>
      <c r="J842" s="39" t="n">
        <v>699.99</v>
      </c>
      <c r="K842" s="37" t="s">
        <v>322</v>
      </c>
      <c r="L842" s="39" t="n">
        <v>114.5</v>
      </c>
      <c r="M842" s="39" t="n">
        <v>79.81</v>
      </c>
      <c r="N842" s="39" t="n">
        <f aca="false">J842*Resumo!$C$7</f>
        <v>1.39998</v>
      </c>
      <c r="O842" s="39" t="n">
        <f aca="false">J842*Resumo!$C$8</f>
        <v>1.39998</v>
      </c>
      <c r="P842" s="39" t="n">
        <f aca="false">Resumo!$C$10*CEILING(I842/100,1)</f>
        <v>1</v>
      </c>
      <c r="Q842" s="39" t="n">
        <f aca="false">Resumo!$C$9</f>
        <v>11.9</v>
      </c>
      <c r="R842" s="39" t="n">
        <f aca="false">SUM(M842:Q842)*Resumo!$C$11</f>
        <v>5.2530478</v>
      </c>
      <c r="S842" s="39" t="n">
        <f aca="false">SUM(M842:R842)</f>
        <v>100.7630078</v>
      </c>
      <c r="T842" s="39" t="n">
        <f aca="false">S842/(1-Resumo!$C$5)</f>
        <v>114.503417954545</v>
      </c>
      <c r="U842" s="39" t="n">
        <v>112.3</v>
      </c>
      <c r="V842" s="39" t="n">
        <f aca="false">J842*Resumo!$B$6</f>
        <v>0.69999</v>
      </c>
      <c r="W842" s="39" t="n">
        <f aca="false">J842*Resumo!$B$7</f>
        <v>1.39998</v>
      </c>
      <c r="X842" s="39" t="n">
        <f aca="false">Resumo!$B$9</f>
        <v>1</v>
      </c>
      <c r="Y842" s="39" t="n">
        <f aca="false">Resumo!$B$10*CEILING(I842/100,1)</f>
        <v>4.5</v>
      </c>
      <c r="Z842" s="39" t="n">
        <f aca="false">Resumo!$B$12*CEILING(I842,1)</f>
        <v>3.18</v>
      </c>
      <c r="AA842" s="39" t="n">
        <f aca="false">Resumo!$B$13*CEILING(I842,1)</f>
        <v>23.85</v>
      </c>
      <c r="AB842" s="39" t="n">
        <f aca="false">SUM(U842:AA842)</f>
        <v>146.92997</v>
      </c>
      <c r="AC842" s="39" t="n">
        <f aca="false">AB842/(1-Resumo!$B$5)</f>
        <v>166.965875</v>
      </c>
      <c r="AD842" s="39" t="n">
        <f aca="false">(AB842-AA842)/(1-Resumo!$B$5)</f>
        <v>139.863602272727</v>
      </c>
      <c r="AE842" s="39" t="n">
        <f aca="false">AC842-T842</f>
        <v>52.4624570454545</v>
      </c>
      <c r="AF842" s="40" t="n">
        <f aca="false">AC842/T842-1</f>
        <v>0.458173720772952</v>
      </c>
      <c r="AG842" s="37" t="str">
        <f aca="false">IF(AC842&lt;T842,"SIM","NÃO")</f>
        <v>NÃO</v>
      </c>
      <c r="AH842" s="37" t="n">
        <v>8</v>
      </c>
      <c r="AI842" s="37" t="n">
        <v>5</v>
      </c>
      <c r="AJ842" s="37" t="s">
        <v>323</v>
      </c>
    </row>
    <row r="843" customFormat="false" ht="15" hidden="false" customHeight="false" outlineLevel="0" collapsed="false">
      <c r="A843" s="37" t="n">
        <v>374301216</v>
      </c>
      <c r="B843" s="38" t="n">
        <v>46244.8668402778</v>
      </c>
      <c r="C843" s="37" t="s">
        <v>352</v>
      </c>
      <c r="D843" s="37" t="s">
        <v>1134</v>
      </c>
      <c r="E843" s="37" t="n">
        <v>24744490</v>
      </c>
      <c r="F843" s="37" t="s">
        <v>140</v>
      </c>
      <c r="G843" s="37" t="s">
        <v>207</v>
      </c>
      <c r="H843" s="37" t="s">
        <v>169</v>
      </c>
      <c r="I843" s="37" t="n">
        <v>36.9</v>
      </c>
      <c r="J843" s="39" t="n">
        <v>439.99</v>
      </c>
      <c r="K843" s="37" t="s">
        <v>498</v>
      </c>
      <c r="L843" s="39" t="n">
        <v>113.55</v>
      </c>
      <c r="M843" s="39" t="n">
        <v>79.65</v>
      </c>
      <c r="N843" s="39" t="n">
        <f aca="false">J843*Resumo!$C$7</f>
        <v>0.87998</v>
      </c>
      <c r="O843" s="39" t="n">
        <f aca="false">J843*Resumo!$C$8</f>
        <v>0.87998</v>
      </c>
      <c r="P843" s="39" t="n">
        <f aca="false">Resumo!$C$10*CEILING(I843/100,1)</f>
        <v>1</v>
      </c>
      <c r="Q843" s="39" t="n">
        <f aca="false">Resumo!$C$9</f>
        <v>11.9</v>
      </c>
      <c r="R843" s="39" t="n">
        <f aca="false">SUM(M843:Q843)*Resumo!$C$11</f>
        <v>5.1870478</v>
      </c>
      <c r="S843" s="39" t="n">
        <f aca="false">SUM(M843:R843)</f>
        <v>99.4970078</v>
      </c>
      <c r="T843" s="39" t="n">
        <f aca="false">S843/(1-Resumo!$C$5)</f>
        <v>113.064781590909</v>
      </c>
      <c r="U843" s="39" t="n">
        <v>114.95</v>
      </c>
      <c r="V843" s="39" t="n">
        <f aca="false">J843*Resumo!$B$6</f>
        <v>0.43999</v>
      </c>
      <c r="W843" s="39" t="n">
        <f aca="false">J843*Resumo!$B$7</f>
        <v>0.87998</v>
      </c>
      <c r="X843" s="39" t="n">
        <f aca="false">Resumo!$B$9</f>
        <v>1</v>
      </c>
      <c r="Y843" s="39" t="n">
        <f aca="false">Resumo!$B$10*CEILING(I843/100,1)</f>
        <v>4.5</v>
      </c>
      <c r="Z843" s="39" t="n">
        <f aca="false">Resumo!$B$12*CEILING(I843,1)</f>
        <v>2.22</v>
      </c>
      <c r="AA843" s="39" t="n">
        <f aca="false">Resumo!$B$13*CEILING(I843,1)</f>
        <v>16.65</v>
      </c>
      <c r="AB843" s="39" t="n">
        <f aca="false">SUM(U843:AA843)</f>
        <v>140.63997</v>
      </c>
      <c r="AC843" s="39" t="n">
        <f aca="false">AB843/(1-Resumo!$B$5)</f>
        <v>159.818147727273</v>
      </c>
      <c r="AD843" s="39" t="n">
        <f aca="false">(AB843-AA843)/(1-Resumo!$B$5)</f>
        <v>140.897693181818</v>
      </c>
      <c r="AE843" s="39" t="n">
        <f aca="false">AC843-T843</f>
        <v>46.7533661363636</v>
      </c>
      <c r="AF843" s="40" t="n">
        <f aca="false">AC843/T843-1</f>
        <v>0.413509542746269</v>
      </c>
      <c r="AG843" s="37" t="str">
        <f aca="false">IF(AC843&lt;T843,"SIM","NÃO")</f>
        <v>NÃO</v>
      </c>
      <c r="AH843" s="37" t="n">
        <v>10</v>
      </c>
      <c r="AI843" s="37" t="n">
        <v>7</v>
      </c>
      <c r="AJ843" s="37" t="s">
        <v>323</v>
      </c>
    </row>
    <row r="844" customFormat="false" ht="15" hidden="false" customHeight="false" outlineLevel="0" collapsed="false">
      <c r="A844" s="37" t="n">
        <v>374309609</v>
      </c>
      <c r="B844" s="38" t="n">
        <v>46244.8765162037</v>
      </c>
      <c r="C844" s="37" t="s">
        <v>320</v>
      </c>
      <c r="D844" s="37" t="s">
        <v>1135</v>
      </c>
      <c r="E844" s="37" t="n">
        <v>20270231</v>
      </c>
      <c r="F844" s="37" t="s">
        <v>139</v>
      </c>
      <c r="G844" s="37" t="s">
        <v>198</v>
      </c>
      <c r="H844" s="37" t="s">
        <v>170</v>
      </c>
      <c r="I844" s="37" t="n">
        <v>43.5</v>
      </c>
      <c r="J844" s="39" t="n">
        <v>699.99</v>
      </c>
      <c r="K844" s="37" t="s">
        <v>322</v>
      </c>
      <c r="L844" s="39" t="n">
        <v>103.94</v>
      </c>
      <c r="M844" s="39" t="n">
        <v>71</v>
      </c>
      <c r="N844" s="39" t="n">
        <f aca="false">J844*Resumo!$C$7</f>
        <v>1.39998</v>
      </c>
      <c r="O844" s="39" t="n">
        <f aca="false">J844*Resumo!$C$8</f>
        <v>1.39998</v>
      </c>
      <c r="P844" s="39" t="n">
        <f aca="false">Resumo!$C$10*CEILING(I844/100,1)</f>
        <v>1</v>
      </c>
      <c r="Q844" s="39" t="n">
        <f aca="false">Resumo!$C$9</f>
        <v>11.9</v>
      </c>
      <c r="R844" s="39" t="n">
        <f aca="false">SUM(M844:Q844)*Resumo!$C$11</f>
        <v>4.7684978</v>
      </c>
      <c r="S844" s="39" t="n">
        <f aca="false">SUM(M844:R844)</f>
        <v>91.4684578</v>
      </c>
      <c r="T844" s="39" t="n">
        <f aca="false">S844/(1-Resumo!$C$5)</f>
        <v>103.941429318182</v>
      </c>
      <c r="U844" s="39" t="n">
        <v>93.97</v>
      </c>
      <c r="V844" s="39" t="n">
        <f aca="false">J844*Resumo!$B$6</f>
        <v>0.69999</v>
      </c>
      <c r="W844" s="39" t="n">
        <f aca="false">J844*Resumo!$B$7</f>
        <v>1.39998</v>
      </c>
      <c r="X844" s="39" t="n">
        <f aca="false">Resumo!$B$9</f>
        <v>1</v>
      </c>
      <c r="Y844" s="39" t="n">
        <f aca="false">Resumo!$B$10*CEILING(I844/100,1)</f>
        <v>4.5</v>
      </c>
      <c r="Z844" s="39" t="n">
        <f aca="false">Resumo!$B$12*CEILING(I844,1)</f>
        <v>2.64</v>
      </c>
      <c r="AA844" s="39" t="n">
        <f aca="false">Resumo!$B$13*CEILING(I844,1)</f>
        <v>19.8</v>
      </c>
      <c r="AB844" s="39" t="n">
        <f aca="false">SUM(U844:AA844)</f>
        <v>124.00997</v>
      </c>
      <c r="AC844" s="39" t="n">
        <f aca="false">AB844/(1-Resumo!$B$5)</f>
        <v>140.920420454545</v>
      </c>
      <c r="AD844" s="39" t="n">
        <f aca="false">(AB844-AA844)/(1-Resumo!$B$5)</f>
        <v>118.420420454545</v>
      </c>
      <c r="AE844" s="39" t="n">
        <f aca="false">AC844-T844</f>
        <v>36.9789911363636</v>
      </c>
      <c r="AF844" s="40" t="n">
        <f aca="false">AC844/T844-1</f>
        <v>0.355767583522109</v>
      </c>
      <c r="AG844" s="37" t="str">
        <f aca="false">IF(AC844&lt;T844,"SIM","NÃO")</f>
        <v>NÃO</v>
      </c>
      <c r="AH844" s="37" t="n">
        <v>8</v>
      </c>
      <c r="AI844" s="37" t="n">
        <v>5</v>
      </c>
      <c r="AJ844" s="37" t="s">
        <v>323</v>
      </c>
    </row>
    <row r="845" customFormat="false" ht="15" hidden="false" customHeight="false" outlineLevel="0" collapsed="false">
      <c r="A845" s="37" t="n">
        <v>374315053</v>
      </c>
      <c r="B845" s="38" t="n">
        <v>46244.8876041667</v>
      </c>
      <c r="C845" s="37" t="s">
        <v>320</v>
      </c>
      <c r="D845" s="37" t="s">
        <v>1136</v>
      </c>
      <c r="E845" s="37" t="n">
        <v>26294462</v>
      </c>
      <c r="F845" s="37" t="s">
        <v>142</v>
      </c>
      <c r="G845" s="37" t="s">
        <v>207</v>
      </c>
      <c r="H845" s="37" t="s">
        <v>170</v>
      </c>
      <c r="I845" s="37" t="n">
        <v>45.3</v>
      </c>
      <c r="J845" s="39" t="n">
        <v>699.99</v>
      </c>
      <c r="K845" s="37" t="s">
        <v>322</v>
      </c>
      <c r="L845" s="39" t="n">
        <v>117.43</v>
      </c>
      <c r="M845" s="39" t="n">
        <v>82.25</v>
      </c>
      <c r="N845" s="39" t="n">
        <f aca="false">J845*Resumo!$C$7</f>
        <v>1.39998</v>
      </c>
      <c r="O845" s="39" t="n">
        <f aca="false">J845*Resumo!$C$8</f>
        <v>1.39998</v>
      </c>
      <c r="P845" s="39" t="n">
        <f aca="false">Resumo!$C$10*CEILING(I845/100,1)</f>
        <v>1</v>
      </c>
      <c r="Q845" s="39" t="n">
        <f aca="false">Resumo!$C$9</f>
        <v>11.9</v>
      </c>
      <c r="R845" s="39" t="n">
        <f aca="false">SUM(M845:Q845)*Resumo!$C$11</f>
        <v>5.3872478</v>
      </c>
      <c r="S845" s="39" t="n">
        <f aca="false">SUM(M845:R845)</f>
        <v>103.3372078</v>
      </c>
      <c r="T845" s="39" t="n">
        <f aca="false">S845/(1-Resumo!$C$5)</f>
        <v>117.428645227273</v>
      </c>
      <c r="U845" s="39" t="n">
        <v>93.97</v>
      </c>
      <c r="V845" s="39" t="n">
        <f aca="false">J845*Resumo!$B$6</f>
        <v>0.69999</v>
      </c>
      <c r="W845" s="39" t="n">
        <f aca="false">J845*Resumo!$B$7</f>
        <v>1.39998</v>
      </c>
      <c r="X845" s="39" t="n">
        <f aca="false">Resumo!$B$9</f>
        <v>1</v>
      </c>
      <c r="Y845" s="39" t="n">
        <f aca="false">Resumo!$B$10*CEILING(I845/100,1)</f>
        <v>4.5</v>
      </c>
      <c r="Z845" s="39" t="n">
        <f aca="false">Resumo!$B$12*CEILING(I845,1)</f>
        <v>2.76</v>
      </c>
      <c r="AA845" s="39" t="n">
        <f aca="false">Resumo!$B$13*CEILING(I845,1)</f>
        <v>20.7</v>
      </c>
      <c r="AB845" s="39" t="n">
        <f aca="false">SUM(U845:AA845)</f>
        <v>125.02997</v>
      </c>
      <c r="AC845" s="39" t="n">
        <f aca="false">AB845/(1-Resumo!$B$5)</f>
        <v>142.079511363636</v>
      </c>
      <c r="AD845" s="39" t="n">
        <f aca="false">(AB845-AA845)/(1-Resumo!$B$5)</f>
        <v>118.556784090909</v>
      </c>
      <c r="AE845" s="39" t="n">
        <f aca="false">AC845-T845</f>
        <v>24.6508661363636</v>
      </c>
      <c r="AF845" s="40" t="n">
        <f aca="false">AC845/T845-1</f>
        <v>0.209922085779446</v>
      </c>
      <c r="AG845" s="37" t="str">
        <f aca="false">IF(AC845&lt;T845,"SIM","NÃO")</f>
        <v>NÃO</v>
      </c>
      <c r="AH845" s="37" t="n">
        <v>10</v>
      </c>
      <c r="AI845" s="37" t="n">
        <v>5</v>
      </c>
      <c r="AJ845" s="37" t="s">
        <v>323</v>
      </c>
    </row>
    <row r="846" customFormat="false" ht="15" hidden="false" customHeight="false" outlineLevel="0" collapsed="false">
      <c r="A846" s="37" t="n">
        <v>374315237</v>
      </c>
      <c r="B846" s="38" t="n">
        <v>46244.888125</v>
      </c>
      <c r="C846" s="37" t="s">
        <v>320</v>
      </c>
      <c r="D846" s="37" t="s">
        <v>1137</v>
      </c>
      <c r="E846" s="37" t="n">
        <v>25020085</v>
      </c>
      <c r="F846" s="37" t="s">
        <v>141</v>
      </c>
      <c r="G846" s="37" t="s">
        <v>207</v>
      </c>
      <c r="H846" s="37" t="s">
        <v>168</v>
      </c>
      <c r="I846" s="37" t="n">
        <v>27</v>
      </c>
      <c r="J846" s="39" t="n">
        <v>329.99</v>
      </c>
      <c r="K846" s="37" t="s">
        <v>322</v>
      </c>
      <c r="L846" s="39" t="n">
        <v>100.97</v>
      </c>
      <c r="M846" s="39" t="n">
        <v>70</v>
      </c>
      <c r="N846" s="39" t="n">
        <f aca="false">J846*Resumo!$C$7</f>
        <v>0.65998</v>
      </c>
      <c r="O846" s="39" t="n">
        <f aca="false">J846*Resumo!$C$8</f>
        <v>0.65998</v>
      </c>
      <c r="P846" s="39" t="n">
        <f aca="false">Resumo!$C$10*CEILING(I846/100,1)</f>
        <v>1</v>
      </c>
      <c r="Q846" s="39" t="n">
        <f aca="false">Resumo!$C$9</f>
        <v>11.9</v>
      </c>
      <c r="R846" s="39" t="n">
        <f aca="false">SUM(M846:Q846)*Resumo!$C$11</f>
        <v>4.6320978</v>
      </c>
      <c r="S846" s="39" t="n">
        <f aca="false">SUM(M846:R846)</f>
        <v>88.8520578</v>
      </c>
      <c r="T846" s="39" t="n">
        <f aca="false">S846/(1-Resumo!$C$5)</f>
        <v>100.9682475</v>
      </c>
      <c r="U846" s="39" t="n">
        <v>82.21</v>
      </c>
      <c r="V846" s="39" t="n">
        <f aca="false">J846*Resumo!$B$6</f>
        <v>0.32999</v>
      </c>
      <c r="W846" s="39" t="n">
        <f aca="false">J846*Resumo!$B$7</f>
        <v>0.65998</v>
      </c>
      <c r="X846" s="39" t="n">
        <f aca="false">Resumo!$B$9</f>
        <v>1</v>
      </c>
      <c r="Y846" s="39" t="n">
        <f aca="false">Resumo!$B$10*CEILING(I846/100,1)</f>
        <v>4.5</v>
      </c>
      <c r="Z846" s="39" t="n">
        <f aca="false">Resumo!$B$12*CEILING(I846,1)</f>
        <v>1.62</v>
      </c>
      <c r="AA846" s="39" t="n">
        <f aca="false">Resumo!$B$13*CEILING(I846,1)</f>
        <v>12.15</v>
      </c>
      <c r="AB846" s="39" t="n">
        <f aca="false">SUM(U846:AA846)</f>
        <v>102.46997</v>
      </c>
      <c r="AC846" s="39" t="n">
        <f aca="false">AB846/(1-Resumo!$B$5)</f>
        <v>116.443147727273</v>
      </c>
      <c r="AD846" s="39" t="n">
        <f aca="false">(AB846-AA846)/(1-Resumo!$B$5)</f>
        <v>102.636329545455</v>
      </c>
      <c r="AE846" s="39" t="n">
        <f aca="false">AC846-T846</f>
        <v>15.4749002272727</v>
      </c>
      <c r="AF846" s="40" t="n">
        <f aca="false">AC846/T846-1</f>
        <v>0.153265017571715</v>
      </c>
      <c r="AG846" s="37" t="str">
        <f aca="false">IF(AC846&lt;T846,"SIM","NÃO")</f>
        <v>NÃO</v>
      </c>
      <c r="AH846" s="37" t="n">
        <v>10</v>
      </c>
      <c r="AI846" s="37" t="n">
        <v>5</v>
      </c>
      <c r="AJ846" s="37" t="s">
        <v>323</v>
      </c>
    </row>
    <row r="847" customFormat="false" ht="15" hidden="false" customHeight="false" outlineLevel="0" collapsed="false">
      <c r="A847" s="37" t="n">
        <v>374314205</v>
      </c>
      <c r="B847" s="38" t="n">
        <v>46244.8924421296</v>
      </c>
      <c r="C847" s="37" t="s">
        <v>352</v>
      </c>
      <c r="D847" s="37" t="s">
        <v>1138</v>
      </c>
      <c r="E847" s="37" t="n">
        <v>20541018</v>
      </c>
      <c r="F847" s="37" t="s">
        <v>139</v>
      </c>
      <c r="G847" s="37" t="s">
        <v>198</v>
      </c>
      <c r="H847" s="37" t="s">
        <v>174</v>
      </c>
      <c r="I847" s="37" t="n">
        <v>97.2</v>
      </c>
      <c r="J847" s="39" t="n">
        <v>1349.99</v>
      </c>
      <c r="K847" s="37" t="s">
        <v>322</v>
      </c>
      <c r="L847" s="39" t="n">
        <v>165.57</v>
      </c>
      <c r="M847" s="39" t="n">
        <v>119.8</v>
      </c>
      <c r="N847" s="39" t="n">
        <f aca="false">J847*Resumo!$C$7</f>
        <v>2.69998</v>
      </c>
      <c r="O847" s="39" t="n">
        <f aca="false">J847*Resumo!$C$8</f>
        <v>2.69998</v>
      </c>
      <c r="P847" s="39" t="n">
        <f aca="false">Resumo!$C$10*CEILING(I847/100,1)</f>
        <v>1</v>
      </c>
      <c r="Q847" s="39" t="n">
        <f aca="false">Resumo!$C$9</f>
        <v>11.9</v>
      </c>
      <c r="R847" s="39" t="n">
        <f aca="false">SUM(M847:Q847)*Resumo!$C$11</f>
        <v>7.5954978</v>
      </c>
      <c r="S847" s="39" t="n">
        <f aca="false">SUM(M847:R847)</f>
        <v>145.6954578</v>
      </c>
      <c r="T847" s="39" t="n">
        <f aca="false">S847/(1-Resumo!$C$5)</f>
        <v>165.563020227273</v>
      </c>
      <c r="U847" s="39" t="n">
        <v>167.99</v>
      </c>
      <c r="V847" s="39" t="n">
        <f aca="false">J847*Resumo!$B$6</f>
        <v>1.34999</v>
      </c>
      <c r="W847" s="39" t="n">
        <f aca="false">J847*Resumo!$B$7</f>
        <v>2.69998</v>
      </c>
      <c r="X847" s="39" t="n">
        <f aca="false">Resumo!$B$9</f>
        <v>1</v>
      </c>
      <c r="Y847" s="39" t="n">
        <f aca="false">Resumo!$B$10*CEILING(I847/100,1)</f>
        <v>4.5</v>
      </c>
      <c r="Z847" s="39" t="n">
        <f aca="false">Resumo!$B$12*CEILING(I847,1)</f>
        <v>5.88</v>
      </c>
      <c r="AA847" s="39" t="n">
        <f aca="false">Resumo!$B$13*CEILING(I847,1)</f>
        <v>44.1</v>
      </c>
      <c r="AB847" s="39" t="n">
        <f aca="false">SUM(U847:AA847)</f>
        <v>227.51997</v>
      </c>
      <c r="AC847" s="39" t="n">
        <f aca="false">AB847/(1-Resumo!$B$5)</f>
        <v>258.545420454546</v>
      </c>
      <c r="AD847" s="39" t="n">
        <f aca="false">(AB847-AA847)/(1-Resumo!$B$5)</f>
        <v>208.431784090909</v>
      </c>
      <c r="AE847" s="39" t="n">
        <f aca="false">AC847-T847</f>
        <v>92.9824002272727</v>
      </c>
      <c r="AF847" s="40" t="n">
        <f aca="false">AC847/T847-1</f>
        <v>0.561613336719959</v>
      </c>
      <c r="AG847" s="37" t="str">
        <f aca="false">IF(AC847&lt;T847,"SIM","NÃO")</f>
        <v>NÃO</v>
      </c>
      <c r="AH847" s="37" t="n">
        <v>8</v>
      </c>
      <c r="AI847" s="37" t="n">
        <v>5</v>
      </c>
      <c r="AJ847" s="37" t="s">
        <v>323</v>
      </c>
    </row>
    <row r="848" customFormat="false" ht="15" hidden="false" customHeight="false" outlineLevel="0" collapsed="false">
      <c r="A848" s="37" t="n">
        <v>374318402</v>
      </c>
      <c r="B848" s="38" t="n">
        <v>46244.8946064815</v>
      </c>
      <c r="C848" s="37" t="s">
        <v>320</v>
      </c>
      <c r="D848" s="37" t="s">
        <v>915</v>
      </c>
      <c r="E848" s="37" t="n">
        <v>27330660</v>
      </c>
      <c r="F848" s="37" t="s">
        <v>233</v>
      </c>
      <c r="G848" s="37" t="s">
        <v>201</v>
      </c>
      <c r="H848" s="37" t="s">
        <v>169</v>
      </c>
      <c r="I848" s="37" t="n">
        <v>40</v>
      </c>
      <c r="J848" s="39" t="n">
        <v>569.99</v>
      </c>
      <c r="K848" s="37" t="s">
        <v>498</v>
      </c>
      <c r="L848" s="39" t="n">
        <v>124.97</v>
      </c>
      <c r="M848" s="39" t="n">
        <v>87.4</v>
      </c>
      <c r="N848" s="39" t="n">
        <f aca="false">J848*Resumo!$C$7</f>
        <v>1.13998</v>
      </c>
      <c r="O848" s="39" t="n">
        <f aca="false">J848*Resumo!$C$8</f>
        <v>1.13998</v>
      </c>
      <c r="P848" s="39" t="n">
        <f aca="false">Resumo!$C$10*CEILING(I848/100,1)</f>
        <v>1</v>
      </c>
      <c r="Q848" s="39" t="n">
        <f aca="false">Resumo!$C$9</f>
        <v>11.9</v>
      </c>
      <c r="R848" s="39" t="n">
        <f aca="false">SUM(M848:Q848)*Resumo!$C$11</f>
        <v>5.6418978</v>
      </c>
      <c r="S848" s="39" t="n">
        <f aca="false">SUM(M848:R848)</f>
        <v>108.2218578</v>
      </c>
      <c r="T848" s="39" t="n">
        <f aca="false">S848/(1-Resumo!$C$5)</f>
        <v>122.979383863636</v>
      </c>
      <c r="U848" s="39" t="n">
        <v>124.38</v>
      </c>
      <c r="V848" s="39" t="n">
        <f aca="false">J848*Resumo!$B$6</f>
        <v>0.56999</v>
      </c>
      <c r="W848" s="39" t="n">
        <f aca="false">J848*Resumo!$B$7</f>
        <v>1.13998</v>
      </c>
      <c r="X848" s="39" t="n">
        <f aca="false">Resumo!$B$9</f>
        <v>1</v>
      </c>
      <c r="Y848" s="39" t="n">
        <f aca="false">Resumo!$B$10*CEILING(I848/100,1)</f>
        <v>4.5</v>
      </c>
      <c r="Z848" s="39" t="n">
        <f aca="false">Resumo!$B$12*CEILING(I848,1)</f>
        <v>2.4</v>
      </c>
      <c r="AA848" s="39" t="n">
        <f aca="false">Resumo!$B$13*CEILING(I848,1)</f>
        <v>18</v>
      </c>
      <c r="AB848" s="39" t="n">
        <f aca="false">SUM(U848:AA848)</f>
        <v>151.98997</v>
      </c>
      <c r="AC848" s="39" t="n">
        <f aca="false">AB848/(1-Resumo!$B$5)</f>
        <v>172.715875</v>
      </c>
      <c r="AD848" s="39" t="n">
        <f aca="false">(AB848-AA848)/(1-Resumo!$B$5)</f>
        <v>152.261329545455</v>
      </c>
      <c r="AE848" s="39" t="n">
        <f aca="false">AC848-T848</f>
        <v>49.7364911363637</v>
      </c>
      <c r="AF848" s="40" t="n">
        <f aca="false">AC848/T848-1</f>
        <v>0.404429503334584</v>
      </c>
      <c r="AG848" s="37" t="str">
        <f aca="false">IF(AC848&lt;T848,"SIM","NÃO")</f>
        <v>NÃO</v>
      </c>
      <c r="AH848" s="37" t="n">
        <v>13</v>
      </c>
      <c r="AI848" s="37" t="n">
        <v>10</v>
      </c>
      <c r="AJ848" s="37" t="s">
        <v>327</v>
      </c>
    </row>
    <row r="849" customFormat="false" ht="15" hidden="false" customHeight="false" outlineLevel="0" collapsed="false">
      <c r="A849" s="37" t="n">
        <v>374330962</v>
      </c>
      <c r="B849" s="38" t="n">
        <v>46244.921712963</v>
      </c>
      <c r="C849" s="37" t="s">
        <v>320</v>
      </c>
      <c r="D849" s="37" t="s">
        <v>1139</v>
      </c>
      <c r="E849" s="37" t="n">
        <v>21843070</v>
      </c>
      <c r="F849" s="37" t="s">
        <v>139</v>
      </c>
      <c r="G849" s="37" t="s">
        <v>198</v>
      </c>
      <c r="H849" s="37" t="s">
        <v>169</v>
      </c>
      <c r="I849" s="37" t="n">
        <v>37.2</v>
      </c>
      <c r="J849" s="39" t="n">
        <v>419.99</v>
      </c>
      <c r="K849" s="37" t="s">
        <v>322</v>
      </c>
      <c r="L849" s="39" t="n">
        <v>91.86</v>
      </c>
      <c r="M849" s="39" t="n">
        <v>62.05</v>
      </c>
      <c r="N849" s="39" t="n">
        <f aca="false">J849*Resumo!$C$7</f>
        <v>0.83998</v>
      </c>
      <c r="O849" s="39" t="n">
        <f aca="false">J849*Resumo!$C$8</f>
        <v>0.83998</v>
      </c>
      <c r="P849" s="39" t="n">
        <f aca="false">Resumo!$C$10*CEILING(I849/100,1)</f>
        <v>1</v>
      </c>
      <c r="Q849" s="39" t="n">
        <f aca="false">Resumo!$C$9</f>
        <v>11.9</v>
      </c>
      <c r="R849" s="39" t="n">
        <f aca="false">SUM(M849:Q849)*Resumo!$C$11</f>
        <v>4.2146478</v>
      </c>
      <c r="S849" s="39" t="n">
        <f aca="false">SUM(M849:R849)</f>
        <v>80.8446078</v>
      </c>
      <c r="T849" s="39" t="n">
        <f aca="false">S849/(1-Resumo!$C$5)</f>
        <v>91.8688725</v>
      </c>
      <c r="U849" s="39" t="n">
        <v>93.97</v>
      </c>
      <c r="V849" s="39" t="n">
        <f aca="false">J849*Resumo!$B$6</f>
        <v>0.41999</v>
      </c>
      <c r="W849" s="39" t="n">
        <f aca="false">J849*Resumo!$B$7</f>
        <v>0.83998</v>
      </c>
      <c r="X849" s="39" t="n">
        <f aca="false">Resumo!$B$9</f>
        <v>1</v>
      </c>
      <c r="Y849" s="39" t="n">
        <f aca="false">Resumo!$B$10*CEILING(I849/100,1)</f>
        <v>4.5</v>
      </c>
      <c r="Z849" s="39" t="n">
        <f aca="false">Resumo!$B$12*CEILING(I849,1)</f>
        <v>2.28</v>
      </c>
      <c r="AA849" s="39" t="n">
        <f aca="false">Resumo!$B$13*CEILING(I849,1)</f>
        <v>17.1</v>
      </c>
      <c r="AB849" s="39" t="n">
        <f aca="false">SUM(U849:AA849)</f>
        <v>120.10997</v>
      </c>
      <c r="AC849" s="39" t="n">
        <f aca="false">AB849/(1-Resumo!$B$5)</f>
        <v>136.488602272727</v>
      </c>
      <c r="AD849" s="39" t="n">
        <f aca="false">(AB849-AA849)/(1-Resumo!$B$5)</f>
        <v>117.056784090909</v>
      </c>
      <c r="AE849" s="39" t="n">
        <f aca="false">AC849-T849</f>
        <v>44.6197297727273</v>
      </c>
      <c r="AF849" s="40" t="n">
        <f aca="false">AC849/T849-1</f>
        <v>0.485689315200067</v>
      </c>
      <c r="AG849" s="37" t="str">
        <f aca="false">IF(AC849&lt;T849,"SIM","NÃO")</f>
        <v>NÃO</v>
      </c>
      <c r="AH849" s="37" t="n">
        <v>8</v>
      </c>
      <c r="AI849" s="37" t="n">
        <v>5</v>
      </c>
      <c r="AJ849" s="37" t="s">
        <v>323</v>
      </c>
    </row>
    <row r="850" customFormat="false" ht="15" hidden="false" customHeight="false" outlineLevel="0" collapsed="false">
      <c r="A850" s="37" t="n">
        <v>374350069</v>
      </c>
      <c r="B850" s="38" t="n">
        <v>46244.9468402778</v>
      </c>
      <c r="C850" s="37" t="s">
        <v>320</v>
      </c>
      <c r="D850" s="37" t="s">
        <v>476</v>
      </c>
      <c r="E850" s="37" t="n">
        <v>23065006</v>
      </c>
      <c r="F850" s="37" t="s">
        <v>139</v>
      </c>
      <c r="G850" s="37" t="s">
        <v>198</v>
      </c>
      <c r="H850" s="37" t="s">
        <v>169</v>
      </c>
      <c r="I850" s="37" t="n">
        <v>36.9</v>
      </c>
      <c r="J850" s="39" t="n">
        <v>391.88</v>
      </c>
      <c r="K850" s="37" t="s">
        <v>498</v>
      </c>
      <c r="L850" s="39" t="n">
        <v>92.32</v>
      </c>
      <c r="M850" s="39" t="n">
        <v>62.05</v>
      </c>
      <c r="N850" s="39" t="n">
        <f aca="false">J850*Resumo!$C$7</f>
        <v>0.78376</v>
      </c>
      <c r="O850" s="39" t="n">
        <f aca="false">J850*Resumo!$C$8</f>
        <v>0.78376</v>
      </c>
      <c r="P850" s="39" t="n">
        <f aca="false">Resumo!$C$10*CEILING(I850/100,1)</f>
        <v>1</v>
      </c>
      <c r="Q850" s="39" t="n">
        <f aca="false">Resumo!$C$9</f>
        <v>11.9</v>
      </c>
      <c r="R850" s="39" t="n">
        <f aca="false">SUM(M850:Q850)*Resumo!$C$11</f>
        <v>4.2084636</v>
      </c>
      <c r="S850" s="39" t="n">
        <f aca="false">SUM(M850:R850)</f>
        <v>80.7259836</v>
      </c>
      <c r="T850" s="39" t="n">
        <f aca="false">S850/(1-Resumo!$C$5)</f>
        <v>91.7340722727273</v>
      </c>
      <c r="U850" s="39" t="n">
        <v>93.97</v>
      </c>
      <c r="V850" s="39" t="n">
        <f aca="false">J850*Resumo!$B$6</f>
        <v>0.39188</v>
      </c>
      <c r="W850" s="39" t="n">
        <f aca="false">J850*Resumo!$B$7</f>
        <v>0.78376</v>
      </c>
      <c r="X850" s="39" t="n">
        <f aca="false">Resumo!$B$9</f>
        <v>1</v>
      </c>
      <c r="Y850" s="39" t="n">
        <f aca="false">Resumo!$B$10*CEILING(I850/100,1)</f>
        <v>4.5</v>
      </c>
      <c r="Z850" s="39" t="n">
        <f aca="false">Resumo!$B$12*CEILING(I850,1)</f>
        <v>2.22</v>
      </c>
      <c r="AA850" s="39" t="n">
        <f aca="false">Resumo!$B$13*CEILING(I850,1)</f>
        <v>16.65</v>
      </c>
      <c r="AB850" s="39" t="n">
        <f aca="false">SUM(U850:AA850)</f>
        <v>119.51564</v>
      </c>
      <c r="AC850" s="39" t="n">
        <f aca="false">AB850/(1-Resumo!$B$5)</f>
        <v>135.813227272727</v>
      </c>
      <c r="AD850" s="39" t="n">
        <f aca="false">(AB850-AA850)/(1-Resumo!$B$5)</f>
        <v>116.892772727273</v>
      </c>
      <c r="AE850" s="39" t="n">
        <f aca="false">AC850-T850</f>
        <v>44.079155</v>
      </c>
      <c r="AF850" s="40" t="n">
        <f aca="false">AC850/T850-1</f>
        <v>0.480510173678454</v>
      </c>
      <c r="AG850" s="37" t="str">
        <f aca="false">IF(AC850&lt;T850,"SIM","NÃO")</f>
        <v>NÃO</v>
      </c>
      <c r="AH850" s="37" t="n">
        <v>8</v>
      </c>
      <c r="AI850" s="37" t="n">
        <v>5</v>
      </c>
      <c r="AJ850" s="37" t="s">
        <v>323</v>
      </c>
    </row>
    <row r="851" customFormat="false" ht="15" hidden="false" customHeight="false" outlineLevel="0" collapsed="false">
      <c r="A851" s="37" t="n">
        <v>374364326</v>
      </c>
      <c r="B851" s="38" t="n">
        <v>46244.9644328704</v>
      </c>
      <c r="C851" s="37" t="s">
        <v>320</v>
      </c>
      <c r="D851" s="37" t="s">
        <v>1140</v>
      </c>
      <c r="E851" s="37" t="n">
        <v>23547320</v>
      </c>
      <c r="F851" s="37" t="s">
        <v>139</v>
      </c>
      <c r="G851" s="37" t="s">
        <v>198</v>
      </c>
      <c r="H851" s="37" t="s">
        <v>169</v>
      </c>
      <c r="I851" s="37" t="n">
        <v>36.8</v>
      </c>
      <c r="J851" s="39" t="n">
        <v>459.99</v>
      </c>
      <c r="K851" s="37" t="s">
        <v>498</v>
      </c>
      <c r="L851" s="39" t="n">
        <v>92.66</v>
      </c>
      <c r="M851" s="39" t="n">
        <v>62.05</v>
      </c>
      <c r="N851" s="39" t="n">
        <f aca="false">J851*Resumo!$C$7</f>
        <v>0.91998</v>
      </c>
      <c r="O851" s="39" t="n">
        <f aca="false">J851*Resumo!$C$8</f>
        <v>0.91998</v>
      </c>
      <c r="P851" s="39" t="n">
        <f aca="false">Resumo!$C$10*CEILING(I851/100,1)</f>
        <v>1</v>
      </c>
      <c r="Q851" s="39" t="n">
        <f aca="false">Resumo!$C$9</f>
        <v>11.9</v>
      </c>
      <c r="R851" s="39" t="n">
        <f aca="false">SUM(M851:Q851)*Resumo!$C$11</f>
        <v>4.2234478</v>
      </c>
      <c r="S851" s="39" t="n">
        <f aca="false">SUM(M851:R851)</f>
        <v>81.0134078</v>
      </c>
      <c r="T851" s="39" t="n">
        <f aca="false">S851/(1-Resumo!$C$5)</f>
        <v>92.0606906818182</v>
      </c>
      <c r="U851" s="39" t="n">
        <v>93.97</v>
      </c>
      <c r="V851" s="39" t="n">
        <f aca="false">J851*Resumo!$B$6</f>
        <v>0.45999</v>
      </c>
      <c r="W851" s="39" t="n">
        <f aca="false">J851*Resumo!$B$7</f>
        <v>0.91998</v>
      </c>
      <c r="X851" s="39" t="n">
        <f aca="false">Resumo!$B$9</f>
        <v>1</v>
      </c>
      <c r="Y851" s="39" t="n">
        <f aca="false">Resumo!$B$10*CEILING(I851/100,1)</f>
        <v>4.5</v>
      </c>
      <c r="Z851" s="39" t="n">
        <f aca="false">Resumo!$B$12*CEILING(I851,1)</f>
        <v>2.22</v>
      </c>
      <c r="AA851" s="39" t="n">
        <f aca="false">Resumo!$B$13*CEILING(I851,1)</f>
        <v>16.65</v>
      </c>
      <c r="AB851" s="39" t="n">
        <f aca="false">SUM(U851:AA851)</f>
        <v>119.71997</v>
      </c>
      <c r="AC851" s="39" t="n">
        <f aca="false">AB851/(1-Resumo!$B$5)</f>
        <v>136.045420454545</v>
      </c>
      <c r="AD851" s="39" t="n">
        <f aca="false">(AB851-AA851)/(1-Resumo!$B$5)</f>
        <v>117.124965909091</v>
      </c>
      <c r="AE851" s="39" t="n">
        <f aca="false">AC851-T851</f>
        <v>43.9847297727273</v>
      </c>
      <c r="AF851" s="40" t="n">
        <f aca="false">AC851/T851-1</f>
        <v>0.477779706484585</v>
      </c>
      <c r="AG851" s="37" t="str">
        <f aca="false">IF(AC851&lt;T851,"SIM","NÃO")</f>
        <v>NÃO</v>
      </c>
      <c r="AH851" s="37" t="n">
        <v>8</v>
      </c>
      <c r="AI851" s="37" t="n">
        <v>5</v>
      </c>
      <c r="AJ851" s="37" t="s">
        <v>323</v>
      </c>
    </row>
    <row r="852" customFormat="false" ht="15" hidden="false" customHeight="false" outlineLevel="0" collapsed="false">
      <c r="A852" s="37" t="n">
        <v>374396618</v>
      </c>
      <c r="B852" s="38" t="n">
        <v>46245.0250694445</v>
      </c>
      <c r="C852" s="37" t="s">
        <v>359</v>
      </c>
      <c r="D852" s="37" t="s">
        <v>1141</v>
      </c>
      <c r="E852" s="37" t="n">
        <v>28898024</v>
      </c>
      <c r="F852" s="37" t="s">
        <v>158</v>
      </c>
      <c r="G852" s="37" t="s">
        <v>201</v>
      </c>
      <c r="H852" s="37" t="s">
        <v>168</v>
      </c>
      <c r="I852" s="37" t="n">
        <v>24.4</v>
      </c>
      <c r="J852" s="39" t="n">
        <v>349.99</v>
      </c>
      <c r="K852" s="37" t="s">
        <v>498</v>
      </c>
      <c r="L852" s="39" t="n">
        <v>105.61</v>
      </c>
      <c r="M852" s="39" t="n">
        <v>76.5</v>
      </c>
      <c r="N852" s="39" t="n">
        <f aca="false">J852*Resumo!$C$7</f>
        <v>0.69998</v>
      </c>
      <c r="O852" s="39" t="n">
        <f aca="false">J852*Resumo!$C$8</f>
        <v>0.69998</v>
      </c>
      <c r="P852" s="39" t="n">
        <f aca="false">Resumo!$C$10*CEILING(I852/100,1)</f>
        <v>1</v>
      </c>
      <c r="Q852" s="39" t="n">
        <f aca="false">Resumo!$C$9</f>
        <v>11.9</v>
      </c>
      <c r="R852" s="39" t="n">
        <f aca="false">SUM(M852:Q852)*Resumo!$C$11</f>
        <v>4.9939978</v>
      </c>
      <c r="S852" s="39" t="n">
        <f aca="false">SUM(M852:R852)</f>
        <v>95.7939578</v>
      </c>
      <c r="T852" s="39" t="n">
        <f aca="false">S852/(1-Resumo!$C$5)</f>
        <v>108.856770227273</v>
      </c>
      <c r="U852" s="39" t="n">
        <v>114.95</v>
      </c>
      <c r="V852" s="39" t="n">
        <f aca="false">J852*Resumo!$B$6</f>
        <v>0.34999</v>
      </c>
      <c r="W852" s="39" t="n">
        <f aca="false">J852*Resumo!$B$7</f>
        <v>0.69998</v>
      </c>
      <c r="X852" s="39" t="n">
        <f aca="false">Resumo!$B$9</f>
        <v>1</v>
      </c>
      <c r="Y852" s="39" t="n">
        <f aca="false">Resumo!$B$10*CEILING(I852/100,1)</f>
        <v>4.5</v>
      </c>
      <c r="Z852" s="39" t="n">
        <f aca="false">Resumo!$B$12*CEILING(I852,1)</f>
        <v>1.5</v>
      </c>
      <c r="AA852" s="39" t="n">
        <f aca="false">Resumo!$B$13*CEILING(I852,1)</f>
        <v>11.25</v>
      </c>
      <c r="AB852" s="39" t="n">
        <f aca="false">SUM(U852:AA852)</f>
        <v>134.24997</v>
      </c>
      <c r="AC852" s="39" t="n">
        <f aca="false">AB852/(1-Resumo!$B$5)</f>
        <v>152.556784090909</v>
      </c>
      <c r="AD852" s="39" t="n">
        <f aca="false">(AB852-AA852)/(1-Resumo!$B$5)</f>
        <v>139.772693181818</v>
      </c>
      <c r="AE852" s="39" t="n">
        <f aca="false">AC852-T852</f>
        <v>43.7000138636364</v>
      </c>
      <c r="AF852" s="40" t="n">
        <f aca="false">AC852/T852-1</f>
        <v>0.401445071100299</v>
      </c>
      <c r="AG852" s="37" t="str">
        <f aca="false">IF(AC852&lt;T852,"SIM","NÃO")</f>
        <v>NÃO</v>
      </c>
      <c r="AH852" s="37" t="n">
        <v>13</v>
      </c>
      <c r="AI852" s="37" t="n">
        <v>10</v>
      </c>
      <c r="AJ852" s="37" t="s">
        <v>323</v>
      </c>
    </row>
    <row r="853" customFormat="false" ht="15" hidden="false" customHeight="false" outlineLevel="0" collapsed="false">
      <c r="A853" s="37" t="n">
        <v>374446195</v>
      </c>
      <c r="B853" s="38" t="n">
        <v>46245.1247916667</v>
      </c>
      <c r="C853" s="37" t="s">
        <v>320</v>
      </c>
      <c r="D853" s="37" t="s">
        <v>1142</v>
      </c>
      <c r="E853" s="37" t="n">
        <v>25056100</v>
      </c>
      <c r="F853" s="37" t="s">
        <v>141</v>
      </c>
      <c r="G853" s="37" t="s">
        <v>207</v>
      </c>
      <c r="H853" s="37" t="s">
        <v>168</v>
      </c>
      <c r="I853" s="37" t="n">
        <v>22.4</v>
      </c>
      <c r="J853" s="39" t="n">
        <v>489.99</v>
      </c>
      <c r="K853" s="37" t="s">
        <v>322</v>
      </c>
      <c r="L853" s="39" t="n">
        <v>101.74</v>
      </c>
      <c r="M853" s="39" t="n">
        <v>70</v>
      </c>
      <c r="N853" s="39" t="n">
        <f aca="false">J853*Resumo!$C$7</f>
        <v>0.97998</v>
      </c>
      <c r="O853" s="39" t="n">
        <f aca="false">J853*Resumo!$C$8</f>
        <v>0.97998</v>
      </c>
      <c r="P853" s="39" t="n">
        <f aca="false">Resumo!$C$10*CEILING(I853/100,1)</f>
        <v>1</v>
      </c>
      <c r="Q853" s="39" t="n">
        <f aca="false">Resumo!$C$9</f>
        <v>11.9</v>
      </c>
      <c r="R853" s="39" t="n">
        <f aca="false">SUM(M853:Q853)*Resumo!$C$11</f>
        <v>4.6672978</v>
      </c>
      <c r="S853" s="39" t="n">
        <f aca="false">SUM(M853:R853)</f>
        <v>89.5272578</v>
      </c>
      <c r="T853" s="39" t="n">
        <f aca="false">S853/(1-Resumo!$C$5)</f>
        <v>101.735520227273</v>
      </c>
      <c r="U853" s="39" t="n">
        <v>82.21</v>
      </c>
      <c r="V853" s="39" t="n">
        <f aca="false">J853*Resumo!$B$6</f>
        <v>0.48999</v>
      </c>
      <c r="W853" s="39" t="n">
        <f aca="false">J853*Resumo!$B$7</f>
        <v>0.97998</v>
      </c>
      <c r="X853" s="39" t="n">
        <f aca="false">Resumo!$B$9</f>
        <v>1</v>
      </c>
      <c r="Y853" s="39" t="n">
        <f aca="false">Resumo!$B$10*CEILING(I853/100,1)</f>
        <v>4.5</v>
      </c>
      <c r="Z853" s="39" t="n">
        <f aca="false">Resumo!$B$12*CEILING(I853,1)</f>
        <v>1.38</v>
      </c>
      <c r="AA853" s="39" t="n">
        <f aca="false">Resumo!$B$13*CEILING(I853,1)</f>
        <v>10.35</v>
      </c>
      <c r="AB853" s="39" t="n">
        <f aca="false">SUM(U853:AA853)</f>
        <v>100.90997</v>
      </c>
      <c r="AC853" s="39" t="n">
        <f aca="false">AB853/(1-Resumo!$B$5)</f>
        <v>114.670420454545</v>
      </c>
      <c r="AD853" s="39" t="n">
        <f aca="false">(AB853-AA853)/(1-Resumo!$B$5)</f>
        <v>102.909056818182</v>
      </c>
      <c r="AE853" s="39" t="n">
        <f aca="false">AC853-T853</f>
        <v>12.9349002272727</v>
      </c>
      <c r="AF853" s="40" t="n">
        <f aca="false">AC853/T853-1</f>
        <v>0.127142419858636</v>
      </c>
      <c r="AG853" s="37" t="str">
        <f aca="false">IF(AC853&lt;T853,"SIM","NÃO")</f>
        <v>NÃO</v>
      </c>
      <c r="AH853" s="37" t="n">
        <v>10</v>
      </c>
      <c r="AI853" s="37" t="n">
        <v>5</v>
      </c>
      <c r="AJ853" s="37" t="s">
        <v>323</v>
      </c>
    </row>
    <row r="854" customFormat="false" ht="15" hidden="false" customHeight="false" outlineLevel="0" collapsed="false">
      <c r="A854" s="37" t="n">
        <v>374549238</v>
      </c>
      <c r="B854" s="38" t="n">
        <v>46245.332650463</v>
      </c>
      <c r="C854" s="37" t="s">
        <v>325</v>
      </c>
      <c r="D854" s="37" t="s">
        <v>1143</v>
      </c>
      <c r="E854" s="37" t="n">
        <v>26294300</v>
      </c>
      <c r="F854" s="37" t="s">
        <v>142</v>
      </c>
      <c r="G854" s="37" t="s">
        <v>207</v>
      </c>
      <c r="H854" s="37" t="s">
        <v>171</v>
      </c>
      <c r="I854" s="37" t="n">
        <v>52.3</v>
      </c>
      <c r="J854" s="39" t="n">
        <v>632.65</v>
      </c>
      <c r="K854" s="37" t="s">
        <v>322</v>
      </c>
      <c r="L854" s="39" t="n">
        <v>128.33</v>
      </c>
      <c r="M854" s="39" t="n">
        <v>91.6</v>
      </c>
      <c r="N854" s="39" t="n">
        <f aca="false">J854*Resumo!$C$7</f>
        <v>1.2653</v>
      </c>
      <c r="O854" s="39" t="n">
        <f aca="false">J854*Resumo!$C$8</f>
        <v>1.2653</v>
      </c>
      <c r="P854" s="39" t="n">
        <f aca="false">Resumo!$C$10*CEILING(I854/100,1)</f>
        <v>1</v>
      </c>
      <c r="Q854" s="39" t="n">
        <f aca="false">Resumo!$C$9</f>
        <v>11.9</v>
      </c>
      <c r="R854" s="39" t="n">
        <f aca="false">SUM(M854:Q854)*Resumo!$C$11</f>
        <v>5.886683</v>
      </c>
      <c r="S854" s="39" t="n">
        <f aca="false">SUM(M854:R854)</f>
        <v>112.917283</v>
      </c>
      <c r="T854" s="39" t="n">
        <f aca="false">S854/(1-Resumo!$C$5)</f>
        <v>128.315094318182</v>
      </c>
      <c r="U854" s="39" t="n">
        <v>112.3</v>
      </c>
      <c r="V854" s="39" t="n">
        <f aca="false">J854*Resumo!$B$6</f>
        <v>0.63265</v>
      </c>
      <c r="W854" s="39" t="n">
        <f aca="false">J854*Resumo!$B$7</f>
        <v>1.2653</v>
      </c>
      <c r="X854" s="39" t="n">
        <f aca="false">Resumo!$B$9</f>
        <v>1</v>
      </c>
      <c r="Y854" s="39" t="n">
        <f aca="false">Resumo!$B$10*CEILING(I854/100,1)</f>
        <v>4.5</v>
      </c>
      <c r="Z854" s="39" t="n">
        <f aca="false">Resumo!$B$12*CEILING(I854,1)</f>
        <v>3.18</v>
      </c>
      <c r="AA854" s="39" t="n">
        <f aca="false">Resumo!$B$13*CEILING(I854,1)</f>
        <v>23.85</v>
      </c>
      <c r="AB854" s="39" t="n">
        <f aca="false">SUM(U854:AA854)</f>
        <v>146.72795</v>
      </c>
      <c r="AC854" s="39" t="n">
        <f aca="false">AB854/(1-Resumo!$B$5)</f>
        <v>166.736306818182</v>
      </c>
      <c r="AD854" s="39" t="n">
        <f aca="false">(AB854-AA854)/(1-Resumo!$B$5)</f>
        <v>139.634034090909</v>
      </c>
      <c r="AE854" s="39" t="n">
        <f aca="false">AC854-T854</f>
        <v>38.4212125</v>
      </c>
      <c r="AF854" s="40" t="n">
        <f aca="false">AC854/T854-1</f>
        <v>0.299428626882565</v>
      </c>
      <c r="AG854" s="37" t="str">
        <f aca="false">IF(AC854&lt;T854,"SIM","NÃO")</f>
        <v>NÃO</v>
      </c>
      <c r="AH854" s="37" t="n">
        <v>10</v>
      </c>
      <c r="AI854" s="37" t="n">
        <v>5</v>
      </c>
      <c r="AJ854" s="37" t="s">
        <v>323</v>
      </c>
    </row>
    <row r="855" customFormat="false" ht="15" hidden="false" customHeight="false" outlineLevel="0" collapsed="false">
      <c r="A855" s="37" t="n">
        <v>374564111</v>
      </c>
      <c r="B855" s="38" t="n">
        <v>46245.3660416667</v>
      </c>
      <c r="C855" s="37" t="s">
        <v>325</v>
      </c>
      <c r="D855" s="37" t="s">
        <v>1144</v>
      </c>
      <c r="E855" s="37" t="n">
        <v>22723497</v>
      </c>
      <c r="F855" s="37" t="s">
        <v>139</v>
      </c>
      <c r="G855" s="37" t="s">
        <v>198</v>
      </c>
      <c r="H855" s="37" t="s">
        <v>170</v>
      </c>
      <c r="I855" s="37" t="n">
        <v>41.3</v>
      </c>
      <c r="J855" s="39" t="n">
        <v>509.5</v>
      </c>
      <c r="K855" s="37" t="s">
        <v>322</v>
      </c>
      <c r="L855" s="39" t="n">
        <v>103.03</v>
      </c>
      <c r="M855" s="39" t="n">
        <v>71</v>
      </c>
      <c r="N855" s="39" t="n">
        <f aca="false">J855*Resumo!$C$7</f>
        <v>1.019</v>
      </c>
      <c r="O855" s="39" t="n">
        <f aca="false">J855*Resumo!$C$8</f>
        <v>1.019</v>
      </c>
      <c r="P855" s="39" t="n">
        <f aca="false">Resumo!$C$10*CEILING(I855/100,1)</f>
        <v>1</v>
      </c>
      <c r="Q855" s="39" t="n">
        <f aca="false">Resumo!$C$9</f>
        <v>11.9</v>
      </c>
      <c r="R855" s="39" t="n">
        <f aca="false">SUM(M855:Q855)*Resumo!$C$11</f>
        <v>4.72659</v>
      </c>
      <c r="S855" s="39" t="n">
        <f aca="false">SUM(M855:R855)</f>
        <v>90.66459</v>
      </c>
      <c r="T855" s="39" t="n">
        <f aca="false">S855/(1-Resumo!$C$5)</f>
        <v>103.027943181818</v>
      </c>
      <c r="U855" s="39" t="n">
        <v>93.97</v>
      </c>
      <c r="V855" s="39" t="n">
        <f aca="false">J855*Resumo!$B$6</f>
        <v>0.5095</v>
      </c>
      <c r="W855" s="39" t="n">
        <f aca="false">J855*Resumo!$B$7</f>
        <v>1.019</v>
      </c>
      <c r="X855" s="39" t="n">
        <f aca="false">Resumo!$B$9</f>
        <v>1</v>
      </c>
      <c r="Y855" s="39" t="n">
        <f aca="false">Resumo!$B$10*CEILING(I855/100,1)</f>
        <v>4.5</v>
      </c>
      <c r="Z855" s="39" t="n">
        <f aca="false">Resumo!$B$12*CEILING(I855,1)</f>
        <v>2.52</v>
      </c>
      <c r="AA855" s="39" t="n">
        <f aca="false">Resumo!$B$13*CEILING(I855,1)</f>
        <v>18.9</v>
      </c>
      <c r="AB855" s="39" t="n">
        <f aca="false">SUM(U855:AA855)</f>
        <v>122.4185</v>
      </c>
      <c r="AC855" s="39" t="n">
        <f aca="false">AB855/(1-Resumo!$B$5)</f>
        <v>139.111931818182</v>
      </c>
      <c r="AD855" s="39" t="n">
        <f aca="false">(AB855-AA855)/(1-Resumo!$B$5)</f>
        <v>117.634659090909</v>
      </c>
      <c r="AE855" s="39" t="n">
        <f aca="false">AC855-T855</f>
        <v>36.0839886363636</v>
      </c>
      <c r="AF855" s="40" t="n">
        <f aca="false">AC855/T855-1</f>
        <v>0.35023497045539</v>
      </c>
      <c r="AG855" s="37" t="str">
        <f aca="false">IF(AC855&lt;T855,"SIM","NÃO")</f>
        <v>NÃO</v>
      </c>
      <c r="AH855" s="37" t="n">
        <v>8</v>
      </c>
      <c r="AI855" s="37" t="n">
        <v>5</v>
      </c>
      <c r="AJ855" s="37" t="s">
        <v>323</v>
      </c>
    </row>
    <row r="856" customFormat="false" ht="15" hidden="false" customHeight="false" outlineLevel="0" collapsed="false">
      <c r="A856" s="37" t="n">
        <v>373434853</v>
      </c>
      <c r="B856" s="38" t="n">
        <v>46245.3776388889</v>
      </c>
      <c r="C856" s="37" t="s">
        <v>352</v>
      </c>
      <c r="D856" s="37" t="s">
        <v>1145</v>
      </c>
      <c r="E856" s="37" t="n">
        <v>26260035</v>
      </c>
      <c r="F856" s="37" t="s">
        <v>142</v>
      </c>
      <c r="G856" s="37" t="s">
        <v>207</v>
      </c>
      <c r="H856" s="37" t="s">
        <v>170</v>
      </c>
      <c r="I856" s="37" t="n">
        <v>46.8</v>
      </c>
      <c r="J856" s="39" t="n">
        <v>587.49</v>
      </c>
      <c r="K856" s="37" t="s">
        <v>322</v>
      </c>
      <c r="L856" s="39" t="n">
        <v>116.88</v>
      </c>
      <c r="M856" s="39" t="n">
        <v>82.25</v>
      </c>
      <c r="N856" s="39" t="n">
        <f aca="false">J856*Resumo!$C$7</f>
        <v>1.17498</v>
      </c>
      <c r="O856" s="39" t="n">
        <f aca="false">J856*Resumo!$C$8</f>
        <v>1.17498</v>
      </c>
      <c r="P856" s="39" t="n">
        <f aca="false">Resumo!$C$10*CEILING(I856/100,1)</f>
        <v>1</v>
      </c>
      <c r="Q856" s="39" t="n">
        <f aca="false">Resumo!$C$9</f>
        <v>11.9</v>
      </c>
      <c r="R856" s="39" t="n">
        <f aca="false">SUM(M856:Q856)*Resumo!$C$11</f>
        <v>5.3624978</v>
      </c>
      <c r="S856" s="39" t="n">
        <f aca="false">SUM(M856:R856)</f>
        <v>102.8624578</v>
      </c>
      <c r="T856" s="39" t="n">
        <f aca="false">S856/(1-Resumo!$C$5)</f>
        <v>116.889156590909</v>
      </c>
      <c r="U856" s="39" t="n">
        <v>93.97</v>
      </c>
      <c r="V856" s="39" t="n">
        <f aca="false">J856*Resumo!$B$6</f>
        <v>0.58749</v>
      </c>
      <c r="W856" s="39" t="n">
        <f aca="false">J856*Resumo!$B$7</f>
        <v>1.17498</v>
      </c>
      <c r="X856" s="39" t="n">
        <f aca="false">Resumo!$B$9</f>
        <v>1</v>
      </c>
      <c r="Y856" s="39" t="n">
        <f aca="false">Resumo!$B$10*CEILING(I856/100,1)</f>
        <v>4.5</v>
      </c>
      <c r="Z856" s="39" t="n">
        <f aca="false">Resumo!$B$12*CEILING(I856,1)</f>
        <v>2.82</v>
      </c>
      <c r="AA856" s="39" t="n">
        <f aca="false">Resumo!$B$13*CEILING(I856,1)</f>
        <v>21.15</v>
      </c>
      <c r="AB856" s="39" t="n">
        <f aca="false">SUM(U856:AA856)</f>
        <v>125.20247</v>
      </c>
      <c r="AC856" s="39" t="n">
        <f aca="false">AB856/(1-Resumo!$B$5)</f>
        <v>142.275534090909</v>
      </c>
      <c r="AD856" s="39" t="n">
        <f aca="false">(AB856-AA856)/(1-Resumo!$B$5)</f>
        <v>118.241443181818</v>
      </c>
      <c r="AE856" s="39" t="n">
        <f aca="false">AC856-T856</f>
        <v>25.3863775</v>
      </c>
      <c r="AF856" s="40" t="n">
        <f aca="false">AC856/T856-1</f>
        <v>0.217183340528735</v>
      </c>
      <c r="AG856" s="37" t="str">
        <f aca="false">IF(AC856&lt;T856,"SIM","NÃO")</f>
        <v>NÃO</v>
      </c>
      <c r="AH856" s="37" t="n">
        <v>10</v>
      </c>
      <c r="AI856" s="37" t="n">
        <v>5</v>
      </c>
      <c r="AJ856" s="37" t="s">
        <v>323</v>
      </c>
    </row>
    <row r="857" customFormat="false" ht="15" hidden="false" customHeight="false" outlineLevel="0" collapsed="false">
      <c r="A857" s="37" t="n">
        <v>374571241</v>
      </c>
      <c r="B857" s="38" t="n">
        <v>46245.385462963</v>
      </c>
      <c r="C857" s="37" t="s">
        <v>320</v>
      </c>
      <c r="D857" s="37" t="s">
        <v>1146</v>
      </c>
      <c r="E857" s="37" t="n">
        <v>25035460</v>
      </c>
      <c r="F857" s="37" t="s">
        <v>141</v>
      </c>
      <c r="G857" s="37" t="s">
        <v>207</v>
      </c>
      <c r="H857" s="37" t="s">
        <v>168</v>
      </c>
      <c r="I857" s="37" t="n">
        <v>27.4</v>
      </c>
      <c r="J857" s="39" t="n">
        <v>315.99</v>
      </c>
      <c r="K857" s="37" t="s">
        <v>322</v>
      </c>
      <c r="L857" s="39" t="n">
        <v>100.9</v>
      </c>
      <c r="M857" s="39" t="n">
        <v>70</v>
      </c>
      <c r="N857" s="39" t="n">
        <f aca="false">J857*Resumo!$C$7</f>
        <v>0.63198</v>
      </c>
      <c r="O857" s="39" t="n">
        <f aca="false">J857*Resumo!$C$8</f>
        <v>0.63198</v>
      </c>
      <c r="P857" s="39" t="n">
        <f aca="false">Resumo!$C$10*CEILING(I857/100,1)</f>
        <v>1</v>
      </c>
      <c r="Q857" s="39" t="n">
        <f aca="false">Resumo!$C$9</f>
        <v>11.9</v>
      </c>
      <c r="R857" s="39" t="n">
        <f aca="false">SUM(M857:Q857)*Resumo!$C$11</f>
        <v>4.6290178</v>
      </c>
      <c r="S857" s="39" t="n">
        <f aca="false">SUM(M857:R857)</f>
        <v>88.7929778</v>
      </c>
      <c r="T857" s="39" t="n">
        <f aca="false">S857/(1-Resumo!$C$5)</f>
        <v>100.901111136364</v>
      </c>
      <c r="U857" s="39" t="n">
        <v>82.21</v>
      </c>
      <c r="V857" s="39" t="n">
        <f aca="false">J857*Resumo!$B$6</f>
        <v>0.31599</v>
      </c>
      <c r="W857" s="39" t="n">
        <f aca="false">J857*Resumo!$B$7</f>
        <v>0.63198</v>
      </c>
      <c r="X857" s="39" t="n">
        <f aca="false">Resumo!$B$9</f>
        <v>1</v>
      </c>
      <c r="Y857" s="39" t="n">
        <f aca="false">Resumo!$B$10*CEILING(I857/100,1)</f>
        <v>4.5</v>
      </c>
      <c r="Z857" s="39" t="n">
        <f aca="false">Resumo!$B$12*CEILING(I857,1)</f>
        <v>1.68</v>
      </c>
      <c r="AA857" s="39" t="n">
        <f aca="false">Resumo!$B$13*CEILING(I857,1)</f>
        <v>12.6</v>
      </c>
      <c r="AB857" s="39" t="n">
        <f aca="false">SUM(U857:AA857)</f>
        <v>102.93797</v>
      </c>
      <c r="AC857" s="39" t="n">
        <f aca="false">AB857/(1-Resumo!$B$5)</f>
        <v>116.974965909091</v>
      </c>
      <c r="AD857" s="39" t="n">
        <f aca="false">(AB857-AA857)/(1-Resumo!$B$5)</f>
        <v>102.656784090909</v>
      </c>
      <c r="AE857" s="39" t="n">
        <f aca="false">AC857-T857</f>
        <v>16.0738547727273</v>
      </c>
      <c r="AF857" s="40" t="n">
        <f aca="false">AC857/T857-1</f>
        <v>0.159303050201341</v>
      </c>
      <c r="AG857" s="37" t="str">
        <f aca="false">IF(AC857&lt;T857,"SIM","NÃO")</f>
        <v>NÃO</v>
      </c>
      <c r="AH857" s="37" t="n">
        <v>10</v>
      </c>
      <c r="AI857" s="37" t="n">
        <v>5</v>
      </c>
      <c r="AJ857" s="37" t="s">
        <v>323</v>
      </c>
    </row>
    <row r="858" customFormat="false" ht="15" hidden="false" customHeight="false" outlineLevel="0" collapsed="false">
      <c r="A858" s="37" t="n">
        <v>374574150</v>
      </c>
      <c r="B858" s="38" t="n">
        <v>46245.3896527778</v>
      </c>
      <c r="C858" s="37" t="s">
        <v>320</v>
      </c>
      <c r="D858" s="37" t="s">
        <v>1146</v>
      </c>
      <c r="E858" s="37" t="n">
        <v>25035460</v>
      </c>
      <c r="F858" s="37" t="s">
        <v>141</v>
      </c>
      <c r="G858" s="37" t="s">
        <v>207</v>
      </c>
      <c r="H858" s="37" t="s">
        <v>168</v>
      </c>
      <c r="I858" s="37" t="n">
        <v>27</v>
      </c>
      <c r="J858" s="39" t="n">
        <v>319.99</v>
      </c>
      <c r="K858" s="37" t="s">
        <v>322</v>
      </c>
      <c r="L858" s="39" t="n">
        <v>100.92</v>
      </c>
      <c r="M858" s="39" t="n">
        <v>70</v>
      </c>
      <c r="N858" s="39" t="n">
        <f aca="false">J858*Resumo!$C$7</f>
        <v>0.63998</v>
      </c>
      <c r="O858" s="39" t="n">
        <f aca="false">J858*Resumo!$C$8</f>
        <v>0.63998</v>
      </c>
      <c r="P858" s="39" t="n">
        <f aca="false">Resumo!$C$10*CEILING(I858/100,1)</f>
        <v>1</v>
      </c>
      <c r="Q858" s="39" t="n">
        <f aca="false">Resumo!$C$9</f>
        <v>11.9</v>
      </c>
      <c r="R858" s="39" t="n">
        <f aca="false">SUM(M858:Q858)*Resumo!$C$11</f>
        <v>4.6298978</v>
      </c>
      <c r="S858" s="39" t="n">
        <f aca="false">SUM(M858:R858)</f>
        <v>88.8098578</v>
      </c>
      <c r="T858" s="39" t="n">
        <f aca="false">S858/(1-Resumo!$C$5)</f>
        <v>100.920292954545</v>
      </c>
      <c r="U858" s="39" t="n">
        <v>82.21</v>
      </c>
      <c r="V858" s="39" t="n">
        <f aca="false">J858*Resumo!$B$6</f>
        <v>0.31999</v>
      </c>
      <c r="W858" s="39" t="n">
        <f aca="false">J858*Resumo!$B$7</f>
        <v>0.63998</v>
      </c>
      <c r="X858" s="39" t="n">
        <f aca="false">Resumo!$B$9</f>
        <v>1</v>
      </c>
      <c r="Y858" s="39" t="n">
        <f aca="false">Resumo!$B$10*CEILING(I858/100,1)</f>
        <v>4.5</v>
      </c>
      <c r="Z858" s="39" t="n">
        <f aca="false">Resumo!$B$12*CEILING(I858,1)</f>
        <v>1.62</v>
      </c>
      <c r="AA858" s="39" t="n">
        <f aca="false">Resumo!$B$13*CEILING(I858,1)</f>
        <v>12.15</v>
      </c>
      <c r="AB858" s="39" t="n">
        <f aca="false">SUM(U858:AA858)</f>
        <v>102.43997</v>
      </c>
      <c r="AC858" s="39" t="n">
        <f aca="false">AB858/(1-Resumo!$B$5)</f>
        <v>116.409056818182</v>
      </c>
      <c r="AD858" s="39" t="n">
        <f aca="false">(AB858-AA858)/(1-Resumo!$B$5)</f>
        <v>102.602238636364</v>
      </c>
      <c r="AE858" s="39" t="n">
        <f aca="false">AC858-T858</f>
        <v>15.4887638636364</v>
      </c>
      <c r="AF858" s="40" t="n">
        <f aca="false">AC858/T858-1</f>
        <v>0.15347521702709</v>
      </c>
      <c r="AG858" s="37" t="str">
        <f aca="false">IF(AC858&lt;T858,"SIM","NÃO")</f>
        <v>NÃO</v>
      </c>
      <c r="AH858" s="37" t="n">
        <v>10</v>
      </c>
      <c r="AI858" s="37" t="n">
        <v>5</v>
      </c>
      <c r="AJ858" s="37" t="s">
        <v>323</v>
      </c>
    </row>
    <row r="859" customFormat="false" ht="15" hidden="false" customHeight="false" outlineLevel="0" collapsed="false">
      <c r="A859" s="37" t="n">
        <v>374584999</v>
      </c>
      <c r="B859" s="38" t="n">
        <v>46245.4047337963</v>
      </c>
      <c r="C859" s="37" t="s">
        <v>325</v>
      </c>
      <c r="D859" s="37" t="s">
        <v>1147</v>
      </c>
      <c r="E859" s="37" t="n">
        <v>25720142</v>
      </c>
      <c r="F859" s="37" t="s">
        <v>150</v>
      </c>
      <c r="G859" s="37" t="s">
        <v>201</v>
      </c>
      <c r="H859" s="37" t="s">
        <v>172</v>
      </c>
      <c r="I859" s="37" t="n">
        <v>60.9</v>
      </c>
      <c r="J859" s="39" t="n">
        <v>999.99</v>
      </c>
      <c r="K859" s="37" t="s">
        <v>498</v>
      </c>
      <c r="L859" s="39" t="n">
        <v>155.06</v>
      </c>
      <c r="M859" s="39" t="n">
        <v>113.9</v>
      </c>
      <c r="N859" s="39" t="n">
        <f aca="false">J859*Resumo!$C$7</f>
        <v>1.99998</v>
      </c>
      <c r="O859" s="39" t="n">
        <f aca="false">J859*Resumo!$C$8</f>
        <v>1.99998</v>
      </c>
      <c r="P859" s="39" t="n">
        <f aca="false">Resumo!$C$10*CEILING(I859/100,1)</f>
        <v>1</v>
      </c>
      <c r="Q859" s="39" t="n">
        <f aca="false">Resumo!$C$9</f>
        <v>11.9</v>
      </c>
      <c r="R859" s="39" t="n">
        <f aca="false">SUM(M859:Q859)*Resumo!$C$11</f>
        <v>7.1939978</v>
      </c>
      <c r="S859" s="39" t="n">
        <f aca="false">SUM(M859:R859)</f>
        <v>137.9939578</v>
      </c>
      <c r="T859" s="39" t="n">
        <f aca="false">S859/(1-Resumo!$C$5)</f>
        <v>156.811315681818</v>
      </c>
      <c r="U859" s="39" t="n">
        <v>166.05</v>
      </c>
      <c r="V859" s="39" t="n">
        <f aca="false">J859*Resumo!$B$6</f>
        <v>0.99999</v>
      </c>
      <c r="W859" s="39" t="n">
        <f aca="false">J859*Resumo!$B$7</f>
        <v>1.99998</v>
      </c>
      <c r="X859" s="39" t="n">
        <f aca="false">Resumo!$B$9</f>
        <v>1</v>
      </c>
      <c r="Y859" s="39" t="n">
        <f aca="false">Resumo!$B$10*CEILING(I859/100,1)</f>
        <v>4.5</v>
      </c>
      <c r="Z859" s="39" t="n">
        <f aca="false">Resumo!$B$12*CEILING(I859,1)</f>
        <v>3.66</v>
      </c>
      <c r="AA859" s="39" t="n">
        <f aca="false">Resumo!$B$13*CEILING(I859,1)</f>
        <v>27.45</v>
      </c>
      <c r="AB859" s="39" t="n">
        <f aca="false">SUM(U859:AA859)</f>
        <v>205.65997</v>
      </c>
      <c r="AC859" s="39" t="n">
        <f aca="false">AB859/(1-Resumo!$B$5)</f>
        <v>233.704511363636</v>
      </c>
      <c r="AD859" s="39" t="n">
        <f aca="false">(AB859-AA859)/(1-Resumo!$B$5)</f>
        <v>202.511329545455</v>
      </c>
      <c r="AE859" s="39" t="n">
        <f aca="false">AC859-T859</f>
        <v>76.8931956818182</v>
      </c>
      <c r="AF859" s="40" t="n">
        <f aca="false">AC859/T859-1</f>
        <v>0.490354891466125</v>
      </c>
      <c r="AG859" s="37" t="str">
        <f aca="false">IF(AC859&lt;T859,"SIM","NÃO")</f>
        <v>NÃO</v>
      </c>
      <c r="AH859" s="37" t="n">
        <v>13</v>
      </c>
      <c r="AI859" s="37" t="n">
        <v>8</v>
      </c>
      <c r="AJ859" s="37" t="s">
        <v>323</v>
      </c>
    </row>
    <row r="860" customFormat="false" ht="15" hidden="false" customHeight="false" outlineLevel="0" collapsed="false">
      <c r="A860" s="37" t="n">
        <v>374588558</v>
      </c>
      <c r="B860" s="38" t="n">
        <v>46245.410787037</v>
      </c>
      <c r="C860" s="37" t="s">
        <v>320</v>
      </c>
      <c r="D860" s="37" t="s">
        <v>1148</v>
      </c>
      <c r="E860" s="37" t="n">
        <v>27276310</v>
      </c>
      <c r="F860" s="37" t="s">
        <v>148</v>
      </c>
      <c r="G860" s="37" t="s">
        <v>201</v>
      </c>
      <c r="H860" s="37" t="s">
        <v>168</v>
      </c>
      <c r="I860" s="37" t="n">
        <v>27.4</v>
      </c>
      <c r="J860" s="39" t="n">
        <v>315.99</v>
      </c>
      <c r="K860" s="37" t="s">
        <v>498</v>
      </c>
      <c r="L860" s="39" t="n">
        <v>106.99</v>
      </c>
      <c r="M860" s="39" t="n">
        <v>76.5</v>
      </c>
      <c r="N860" s="39" t="n">
        <f aca="false">J860*Resumo!$C$7</f>
        <v>0.63198</v>
      </c>
      <c r="O860" s="39" t="n">
        <f aca="false">J860*Resumo!$C$8</f>
        <v>0.63198</v>
      </c>
      <c r="P860" s="39" t="n">
        <f aca="false">Resumo!$C$10*CEILING(I860/100,1)</f>
        <v>1</v>
      </c>
      <c r="Q860" s="39" t="n">
        <f aca="false">Resumo!$C$9</f>
        <v>11.9</v>
      </c>
      <c r="R860" s="39" t="n">
        <f aca="false">SUM(M860:Q860)*Resumo!$C$11</f>
        <v>4.9865178</v>
      </c>
      <c r="S860" s="39" t="n">
        <f aca="false">SUM(M860:R860)</f>
        <v>95.6504778</v>
      </c>
      <c r="T860" s="39" t="n">
        <f aca="false">S860/(1-Resumo!$C$5)</f>
        <v>108.693724772727</v>
      </c>
      <c r="U860" s="39" t="n">
        <v>108.83</v>
      </c>
      <c r="V860" s="39" t="n">
        <f aca="false">J860*Resumo!$B$6</f>
        <v>0.31599</v>
      </c>
      <c r="W860" s="39" t="n">
        <f aca="false">J860*Resumo!$B$7</f>
        <v>0.63198</v>
      </c>
      <c r="X860" s="39" t="n">
        <f aca="false">Resumo!$B$9</f>
        <v>1</v>
      </c>
      <c r="Y860" s="39" t="n">
        <f aca="false">Resumo!$B$10*CEILING(I860/100,1)</f>
        <v>4.5</v>
      </c>
      <c r="Z860" s="39" t="n">
        <f aca="false">Resumo!$B$12*CEILING(I860,1)</f>
        <v>1.68</v>
      </c>
      <c r="AA860" s="39" t="n">
        <f aca="false">Resumo!$B$13*CEILING(I860,1)</f>
        <v>12.6</v>
      </c>
      <c r="AB860" s="39" t="n">
        <f aca="false">SUM(U860:AA860)</f>
        <v>129.55797</v>
      </c>
      <c r="AC860" s="39" t="n">
        <f aca="false">AB860/(1-Resumo!$B$5)</f>
        <v>147.224965909091</v>
      </c>
      <c r="AD860" s="39" t="n">
        <f aca="false">(AB860-AA860)/(1-Resumo!$B$5)</f>
        <v>132.906784090909</v>
      </c>
      <c r="AE860" s="39" t="n">
        <f aca="false">AC860-T860</f>
        <v>38.5312411363636</v>
      </c>
      <c r="AF860" s="40" t="n">
        <f aca="false">AC860/T860-1</f>
        <v>0.354493704369138</v>
      </c>
      <c r="AG860" s="37" t="str">
        <f aca="false">IF(AC860&lt;T860,"SIM","NÃO")</f>
        <v>NÃO</v>
      </c>
      <c r="AH860" s="37" t="n">
        <v>13</v>
      </c>
      <c r="AI860" s="37" t="n">
        <v>10</v>
      </c>
      <c r="AJ860" s="37" t="s">
        <v>323</v>
      </c>
    </row>
    <row r="861" customFormat="false" ht="15" hidden="false" customHeight="false" outlineLevel="0" collapsed="false">
      <c r="A861" s="37" t="n">
        <v>374603842</v>
      </c>
      <c r="B861" s="38" t="n">
        <v>46245.4386342593</v>
      </c>
      <c r="C861" s="37" t="s">
        <v>325</v>
      </c>
      <c r="D861" s="37" t="s">
        <v>1149</v>
      </c>
      <c r="E861" s="37" t="n">
        <v>28991406</v>
      </c>
      <c r="F861" s="37" t="s">
        <v>281</v>
      </c>
      <c r="G861" s="37" t="s">
        <v>201</v>
      </c>
      <c r="H861" s="37" t="s">
        <v>168</v>
      </c>
      <c r="I861" s="37" t="n">
        <v>27.5</v>
      </c>
      <c r="J861" s="39" t="n">
        <v>332</v>
      </c>
      <c r="K861" s="37" t="s">
        <v>498</v>
      </c>
      <c r="L861" s="39" t="n">
        <v>107.08</v>
      </c>
      <c r="M861" s="39" t="n">
        <v>76.5</v>
      </c>
      <c r="N861" s="39" t="n">
        <f aca="false">J861*Resumo!$C$7</f>
        <v>0.664</v>
      </c>
      <c r="O861" s="39" t="n">
        <f aca="false">J861*Resumo!$C$8</f>
        <v>0.664</v>
      </c>
      <c r="P861" s="39" t="n">
        <f aca="false">Resumo!$C$10*CEILING(I861/100,1)</f>
        <v>1</v>
      </c>
      <c r="Q861" s="39" t="n">
        <f aca="false">Resumo!$C$9</f>
        <v>11.9</v>
      </c>
      <c r="R861" s="39" t="n">
        <f aca="false">SUM(M861:Q861)*Resumo!$C$11</f>
        <v>4.99004</v>
      </c>
      <c r="S861" s="39" t="n">
        <f aca="false">SUM(M861:R861)</f>
        <v>95.71804</v>
      </c>
      <c r="T861" s="39" t="n">
        <f aca="false">S861/(1-Resumo!$C$5)</f>
        <v>108.7705</v>
      </c>
      <c r="U861" s="39" t="n">
        <v>114.95</v>
      </c>
      <c r="V861" s="39" t="n">
        <f aca="false">J861*Resumo!$B$6</f>
        <v>0.332</v>
      </c>
      <c r="W861" s="39" t="n">
        <f aca="false">J861*Resumo!$B$7</f>
        <v>0.664</v>
      </c>
      <c r="X861" s="39" t="n">
        <f aca="false">Resumo!$B$9</f>
        <v>1</v>
      </c>
      <c r="Y861" s="39" t="n">
        <f aca="false">Resumo!$B$10*CEILING(I861/100,1)</f>
        <v>4.5</v>
      </c>
      <c r="Z861" s="39" t="n">
        <f aca="false">Resumo!$B$12*CEILING(I861,1)</f>
        <v>1.68</v>
      </c>
      <c r="AA861" s="39" t="n">
        <f aca="false">Resumo!$B$13*CEILING(I861,1)</f>
        <v>12.6</v>
      </c>
      <c r="AB861" s="39" t="n">
        <f aca="false">SUM(U861:AA861)</f>
        <v>135.726</v>
      </c>
      <c r="AC861" s="39" t="n">
        <f aca="false">AB861/(1-Resumo!$B$5)</f>
        <v>154.234090909091</v>
      </c>
      <c r="AD861" s="39" t="n">
        <f aca="false">(AB861-AA861)/(1-Resumo!$B$5)</f>
        <v>139.915909090909</v>
      </c>
      <c r="AE861" s="39" t="n">
        <f aca="false">AC861-T861</f>
        <v>45.4635909090909</v>
      </c>
      <c r="AF861" s="40" t="n">
        <f aca="false">AC861/T861-1</f>
        <v>0.417977217251837</v>
      </c>
      <c r="AG861" s="37" t="str">
        <f aca="false">IF(AC861&lt;T861,"SIM","NÃO")</f>
        <v>NÃO</v>
      </c>
      <c r="AH861" s="37" t="n">
        <v>13</v>
      </c>
      <c r="AI861" s="37" t="n">
        <v>10</v>
      </c>
      <c r="AJ861" s="37" t="s">
        <v>327</v>
      </c>
    </row>
    <row r="862" customFormat="false" ht="15" hidden="false" customHeight="false" outlineLevel="0" collapsed="false">
      <c r="A862" s="37" t="n">
        <v>374611318</v>
      </c>
      <c r="B862" s="38" t="n">
        <v>46245.4518981482</v>
      </c>
      <c r="C862" s="37" t="s">
        <v>320</v>
      </c>
      <c r="D862" s="37" t="s">
        <v>1150</v>
      </c>
      <c r="E862" s="37" t="n">
        <v>25030058</v>
      </c>
      <c r="F862" s="37" t="s">
        <v>141</v>
      </c>
      <c r="G862" s="37" t="s">
        <v>207</v>
      </c>
      <c r="H862" s="37" t="s">
        <v>169</v>
      </c>
      <c r="I862" s="37" t="n">
        <v>37.6</v>
      </c>
      <c r="J862" s="39" t="n">
        <v>391.05</v>
      </c>
      <c r="K862" s="37" t="s">
        <v>322</v>
      </c>
      <c r="L862" s="39" t="n">
        <v>112.83</v>
      </c>
      <c r="M862" s="39" t="n">
        <v>79.65</v>
      </c>
      <c r="N862" s="39" t="n">
        <f aca="false">J862*Resumo!$C$7</f>
        <v>0.7821</v>
      </c>
      <c r="O862" s="39" t="n">
        <f aca="false">J862*Resumo!$C$8</f>
        <v>0.7821</v>
      </c>
      <c r="P862" s="39" t="n">
        <f aca="false">Resumo!$C$10*CEILING(I862/100,1)</f>
        <v>1</v>
      </c>
      <c r="Q862" s="39" t="n">
        <f aca="false">Resumo!$C$9</f>
        <v>11.9</v>
      </c>
      <c r="R862" s="39" t="n">
        <f aca="false">SUM(M862:Q862)*Resumo!$C$11</f>
        <v>5.176281</v>
      </c>
      <c r="S862" s="39" t="n">
        <f aca="false">SUM(M862:R862)</f>
        <v>99.290481</v>
      </c>
      <c r="T862" s="39" t="n">
        <f aca="false">S862/(1-Resumo!$C$5)</f>
        <v>112.830092045455</v>
      </c>
      <c r="U862" s="39" t="n">
        <v>93.97</v>
      </c>
      <c r="V862" s="39" t="n">
        <f aca="false">J862*Resumo!$B$6</f>
        <v>0.39105</v>
      </c>
      <c r="W862" s="39" t="n">
        <f aca="false">J862*Resumo!$B$7</f>
        <v>0.7821</v>
      </c>
      <c r="X862" s="39" t="n">
        <f aca="false">Resumo!$B$9</f>
        <v>1</v>
      </c>
      <c r="Y862" s="39" t="n">
        <f aca="false">Resumo!$B$10*CEILING(I862/100,1)</f>
        <v>4.5</v>
      </c>
      <c r="Z862" s="39" t="n">
        <f aca="false">Resumo!$B$12*CEILING(I862,1)</f>
        <v>2.28</v>
      </c>
      <c r="AA862" s="39" t="n">
        <f aca="false">Resumo!$B$13*CEILING(I862,1)</f>
        <v>17.1</v>
      </c>
      <c r="AB862" s="39" t="n">
        <f aca="false">SUM(U862:AA862)</f>
        <v>120.02315</v>
      </c>
      <c r="AC862" s="39" t="n">
        <f aca="false">AB862/(1-Resumo!$B$5)</f>
        <v>136.389943181818</v>
      </c>
      <c r="AD862" s="39" t="n">
        <f aca="false">(AB862-AA862)/(1-Resumo!$B$5)</f>
        <v>116.958125</v>
      </c>
      <c r="AE862" s="39" t="n">
        <f aca="false">AC862-T862</f>
        <v>23.5598511363636</v>
      </c>
      <c r="AF862" s="40" t="n">
        <f aca="false">AC862/T862-1</f>
        <v>0.208808224023005</v>
      </c>
      <c r="AG862" s="37" t="str">
        <f aca="false">IF(AC862&lt;T862,"SIM","NÃO")</f>
        <v>NÃO</v>
      </c>
      <c r="AH862" s="37" t="n">
        <v>10</v>
      </c>
      <c r="AI862" s="37" t="n">
        <v>5</v>
      </c>
      <c r="AJ862" s="37" t="s">
        <v>323</v>
      </c>
    </row>
    <row r="863" customFormat="false" ht="15" hidden="false" customHeight="false" outlineLevel="0" collapsed="false">
      <c r="A863" s="37" t="n">
        <v>374627293</v>
      </c>
      <c r="B863" s="38" t="n">
        <v>46245.4877083333</v>
      </c>
      <c r="C863" s="37" t="s">
        <v>320</v>
      </c>
      <c r="D863" s="37" t="s">
        <v>1151</v>
      </c>
      <c r="E863" s="37" t="n">
        <v>25035200</v>
      </c>
      <c r="F863" s="37" t="s">
        <v>141</v>
      </c>
      <c r="G863" s="37" t="s">
        <v>207</v>
      </c>
      <c r="H863" s="37" t="s">
        <v>176</v>
      </c>
      <c r="I863" s="37" t="n">
        <v>124.2</v>
      </c>
      <c r="J863" s="39" t="n">
        <v>1599.99</v>
      </c>
      <c r="K863" s="37" t="s">
        <v>322</v>
      </c>
      <c r="L863" s="39" t="n">
        <v>244.27</v>
      </c>
      <c r="M863" s="39" t="n">
        <v>183.45</v>
      </c>
      <c r="N863" s="39" t="n">
        <f aca="false">J863*Resumo!$C$7</f>
        <v>3.19998</v>
      </c>
      <c r="O863" s="39" t="n">
        <f aca="false">J863*Resumo!$C$8</f>
        <v>3.19998</v>
      </c>
      <c r="P863" s="39" t="n">
        <f aca="false">Resumo!$C$10*CEILING(I863/100,1)</f>
        <v>2</v>
      </c>
      <c r="Q863" s="39" t="n">
        <f aca="false">Resumo!$C$9</f>
        <v>11.9</v>
      </c>
      <c r="R863" s="39" t="n">
        <f aca="false">SUM(M863:Q863)*Resumo!$C$11</f>
        <v>11.2062478</v>
      </c>
      <c r="S863" s="39" t="n">
        <f aca="false">SUM(M863:R863)</f>
        <v>214.9562078</v>
      </c>
      <c r="T863" s="39" t="n">
        <f aca="false">S863/(1-Resumo!$C$5)</f>
        <v>244.268417954545</v>
      </c>
      <c r="U863" s="39" t="n">
        <v>239.25</v>
      </c>
      <c r="V863" s="39" t="n">
        <f aca="false">J863*Resumo!$B$6</f>
        <v>1.59999</v>
      </c>
      <c r="W863" s="39" t="n">
        <f aca="false">J863*Resumo!$B$7</f>
        <v>3.19998</v>
      </c>
      <c r="X863" s="39" t="n">
        <f aca="false">Resumo!$B$9</f>
        <v>1</v>
      </c>
      <c r="Y863" s="39" t="n">
        <f aca="false">Resumo!$B$10*CEILING(I863/100,1)</f>
        <v>9</v>
      </c>
      <c r="Z863" s="39" t="n">
        <f aca="false">Resumo!$B$12*CEILING(I863,1)</f>
        <v>7.5</v>
      </c>
      <c r="AA863" s="39" t="n">
        <f aca="false">Resumo!$B$13*CEILING(I863,1)</f>
        <v>56.25</v>
      </c>
      <c r="AB863" s="39" t="n">
        <f aca="false">SUM(U863:AA863)</f>
        <v>317.79997</v>
      </c>
      <c r="AC863" s="39" t="n">
        <f aca="false">AB863/(1-Resumo!$B$5)</f>
        <v>361.136329545455</v>
      </c>
      <c r="AD863" s="39" t="n">
        <f aca="false">(AB863-AA863)/(1-Resumo!$B$5)</f>
        <v>297.215875</v>
      </c>
      <c r="AE863" s="39" t="n">
        <f aca="false">AC863-T863</f>
        <v>116.867911590909</v>
      </c>
      <c r="AF863" s="40" t="n">
        <f aca="false">AC863/T863-1</f>
        <v>0.478440530992657</v>
      </c>
      <c r="AG863" s="37" t="str">
        <f aca="false">IF(AC863&lt;T863,"SIM","NÃO")</f>
        <v>NÃO</v>
      </c>
      <c r="AH863" s="37" t="n">
        <v>10</v>
      </c>
      <c r="AI863" s="37" t="n">
        <v>5</v>
      </c>
      <c r="AJ863" s="37" t="s">
        <v>323</v>
      </c>
    </row>
    <row r="864" customFormat="false" ht="15" hidden="false" customHeight="false" outlineLevel="0" collapsed="false">
      <c r="A864" s="37" t="n">
        <v>374628743</v>
      </c>
      <c r="B864" s="38" t="n">
        <v>46245.4909375</v>
      </c>
      <c r="C864" s="37" t="s">
        <v>320</v>
      </c>
      <c r="D864" s="37" t="s">
        <v>1152</v>
      </c>
      <c r="E864" s="37" t="n">
        <v>26040810</v>
      </c>
      <c r="F864" s="37" t="s">
        <v>142</v>
      </c>
      <c r="G864" s="37" t="s">
        <v>207</v>
      </c>
      <c r="H864" s="37" t="s">
        <v>171</v>
      </c>
      <c r="I864" s="37" t="n">
        <v>52.3</v>
      </c>
      <c r="J864" s="39" t="n">
        <v>616.99</v>
      </c>
      <c r="K864" s="37" t="s">
        <v>322</v>
      </c>
      <c r="L864" s="39" t="n">
        <v>128.23</v>
      </c>
      <c r="M864" s="39" t="n">
        <v>91.6</v>
      </c>
      <c r="N864" s="39" t="n">
        <f aca="false">J864*Resumo!$C$7</f>
        <v>1.23398</v>
      </c>
      <c r="O864" s="39" t="n">
        <f aca="false">J864*Resumo!$C$8</f>
        <v>1.23398</v>
      </c>
      <c r="P864" s="39" t="n">
        <f aca="false">Resumo!$C$10*CEILING(I864/100,1)</f>
        <v>1</v>
      </c>
      <c r="Q864" s="39" t="n">
        <f aca="false">Resumo!$C$9</f>
        <v>11.9</v>
      </c>
      <c r="R864" s="39" t="n">
        <f aca="false">SUM(M864:Q864)*Resumo!$C$11</f>
        <v>5.8832378</v>
      </c>
      <c r="S864" s="39" t="n">
        <f aca="false">SUM(M864:R864)</f>
        <v>112.8511978</v>
      </c>
      <c r="T864" s="39" t="n">
        <f aca="false">S864/(1-Resumo!$C$5)</f>
        <v>128.2399975</v>
      </c>
      <c r="U864" s="39" t="n">
        <v>112.3</v>
      </c>
      <c r="V864" s="39" t="n">
        <f aca="false">J864*Resumo!$B$6</f>
        <v>0.61699</v>
      </c>
      <c r="W864" s="39" t="n">
        <f aca="false">J864*Resumo!$B$7</f>
        <v>1.23398</v>
      </c>
      <c r="X864" s="39" t="n">
        <f aca="false">Resumo!$B$9</f>
        <v>1</v>
      </c>
      <c r="Y864" s="39" t="n">
        <f aca="false">Resumo!$B$10*CEILING(I864/100,1)</f>
        <v>4.5</v>
      </c>
      <c r="Z864" s="39" t="n">
        <f aca="false">Resumo!$B$12*CEILING(I864,1)</f>
        <v>3.18</v>
      </c>
      <c r="AA864" s="39" t="n">
        <f aca="false">Resumo!$B$13*CEILING(I864,1)</f>
        <v>23.85</v>
      </c>
      <c r="AB864" s="39" t="n">
        <f aca="false">SUM(U864:AA864)</f>
        <v>146.68097</v>
      </c>
      <c r="AC864" s="39" t="n">
        <f aca="false">AB864/(1-Resumo!$B$5)</f>
        <v>166.682920454545</v>
      </c>
      <c r="AD864" s="39" t="n">
        <f aca="false">(AB864-AA864)/(1-Resumo!$B$5)</f>
        <v>139.580647727273</v>
      </c>
      <c r="AE864" s="39" t="n">
        <f aca="false">AC864-T864</f>
        <v>38.4429229545455</v>
      </c>
      <c r="AF864" s="40" t="n">
        <f aca="false">AC864/T864-1</f>
        <v>0.299773266562529</v>
      </c>
      <c r="AG864" s="37" t="str">
        <f aca="false">IF(AC864&lt;T864,"SIM","NÃO")</f>
        <v>NÃO</v>
      </c>
      <c r="AH864" s="37" t="n">
        <v>10</v>
      </c>
      <c r="AI864" s="37" t="n">
        <v>5</v>
      </c>
      <c r="AJ864" s="37" t="s">
        <v>323</v>
      </c>
    </row>
    <row r="865" customFormat="false" ht="15" hidden="false" customHeight="false" outlineLevel="0" collapsed="false">
      <c r="A865" s="37" t="n">
        <v>374631351</v>
      </c>
      <c r="B865" s="38" t="n">
        <v>46245.4954976852</v>
      </c>
      <c r="C865" s="37" t="s">
        <v>325</v>
      </c>
      <c r="D865" s="37" t="s">
        <v>1153</v>
      </c>
      <c r="E865" s="37" t="n">
        <v>28934815</v>
      </c>
      <c r="F865" s="37" t="s">
        <v>277</v>
      </c>
      <c r="G865" s="37" t="s">
        <v>201</v>
      </c>
      <c r="H865" s="37" t="s">
        <v>170</v>
      </c>
      <c r="I865" s="37" t="n">
        <v>43.5</v>
      </c>
      <c r="J865" s="39" t="n">
        <v>687.21</v>
      </c>
      <c r="K865" s="37" t="s">
        <v>498</v>
      </c>
      <c r="L865" s="39" t="n">
        <v>130.66</v>
      </c>
      <c r="M865" s="39" t="n">
        <v>94</v>
      </c>
      <c r="N865" s="39" t="n">
        <f aca="false">J865*Resumo!$C$7</f>
        <v>1.37442</v>
      </c>
      <c r="O865" s="39" t="n">
        <f aca="false">J865*Resumo!$C$8</f>
        <v>1.37442</v>
      </c>
      <c r="P865" s="39" t="n">
        <f aca="false">Resumo!$C$10*CEILING(I865/100,1)</f>
        <v>1</v>
      </c>
      <c r="Q865" s="39" t="n">
        <f aca="false">Resumo!$C$9</f>
        <v>11.9</v>
      </c>
      <c r="R865" s="39" t="n">
        <f aca="false">SUM(M865:Q865)*Resumo!$C$11</f>
        <v>6.0306862</v>
      </c>
      <c r="S865" s="39" t="n">
        <f aca="false">SUM(M865:R865)</f>
        <v>115.6795262</v>
      </c>
      <c r="T865" s="39" t="n">
        <f aca="false">S865/(1-Resumo!$C$5)</f>
        <v>131.454007045455</v>
      </c>
      <c r="U865" s="39" t="n">
        <v>129.29</v>
      </c>
      <c r="V865" s="39" t="n">
        <f aca="false">J865*Resumo!$B$6</f>
        <v>0.68721</v>
      </c>
      <c r="W865" s="39" t="n">
        <f aca="false">J865*Resumo!$B$7</f>
        <v>1.37442</v>
      </c>
      <c r="X865" s="39" t="n">
        <f aca="false">Resumo!$B$9</f>
        <v>1</v>
      </c>
      <c r="Y865" s="39" t="n">
        <f aca="false">Resumo!$B$10*CEILING(I865/100,1)</f>
        <v>4.5</v>
      </c>
      <c r="Z865" s="39" t="n">
        <f aca="false">Resumo!$B$12*CEILING(I865,1)</f>
        <v>2.64</v>
      </c>
      <c r="AA865" s="39" t="n">
        <f aca="false">Resumo!$B$13*CEILING(I865,1)</f>
        <v>19.8</v>
      </c>
      <c r="AB865" s="39" t="n">
        <f aca="false">SUM(U865:AA865)</f>
        <v>159.29163</v>
      </c>
      <c r="AC865" s="39" t="n">
        <f aca="false">AB865/(1-Resumo!$B$5)</f>
        <v>181.013215909091</v>
      </c>
      <c r="AD865" s="39" t="n">
        <f aca="false">(AB865-AA865)/(1-Resumo!$B$5)</f>
        <v>158.513215909091</v>
      </c>
      <c r="AE865" s="39" t="n">
        <f aca="false">AC865-T865</f>
        <v>49.5592088636364</v>
      </c>
      <c r="AF865" s="40" t="n">
        <f aca="false">AC865/T865-1</f>
        <v>0.377007973948635</v>
      </c>
      <c r="AG865" s="37" t="str">
        <f aca="false">IF(AC865&lt;T865,"SIM","NÃO")</f>
        <v>NÃO</v>
      </c>
      <c r="AH865" s="37" t="n">
        <v>13</v>
      </c>
      <c r="AI865" s="37" t="n">
        <v>10</v>
      </c>
      <c r="AJ865" s="37" t="s">
        <v>327</v>
      </c>
    </row>
    <row r="866" customFormat="false" ht="15" hidden="false" customHeight="false" outlineLevel="0" collapsed="false">
      <c r="A866" s="37" t="n">
        <v>374644939</v>
      </c>
      <c r="B866" s="38" t="n">
        <v>46245.5137037037</v>
      </c>
      <c r="C866" s="37" t="s">
        <v>320</v>
      </c>
      <c r="D866" s="37" t="s">
        <v>1154</v>
      </c>
      <c r="E866" s="37" t="n">
        <v>24931115</v>
      </c>
      <c r="F866" s="37" t="s">
        <v>151</v>
      </c>
      <c r="G866" s="37" t="s">
        <v>201</v>
      </c>
      <c r="H866" s="37" t="s">
        <v>172</v>
      </c>
      <c r="I866" s="37" t="n">
        <v>63.9</v>
      </c>
      <c r="J866" s="39" t="n">
        <v>785.04</v>
      </c>
      <c r="K866" s="37" t="s">
        <v>498</v>
      </c>
      <c r="L866" s="39" t="n">
        <v>155.57</v>
      </c>
      <c r="M866" s="39" t="n">
        <v>113.9</v>
      </c>
      <c r="N866" s="39" t="n">
        <f aca="false">J866*Resumo!$C$7</f>
        <v>1.57008</v>
      </c>
      <c r="O866" s="39" t="n">
        <f aca="false">J866*Resumo!$C$8</f>
        <v>1.57008</v>
      </c>
      <c r="P866" s="39" t="n">
        <f aca="false">Resumo!$C$10*CEILING(I866/100,1)</f>
        <v>1</v>
      </c>
      <c r="Q866" s="39" t="n">
        <f aca="false">Resumo!$C$9</f>
        <v>11.9</v>
      </c>
      <c r="R866" s="39" t="n">
        <f aca="false">SUM(M866:Q866)*Resumo!$C$11</f>
        <v>7.1467088</v>
      </c>
      <c r="S866" s="39" t="n">
        <f aca="false">SUM(M866:R866)</f>
        <v>137.0868688</v>
      </c>
      <c r="T866" s="39" t="n">
        <f aca="false">S866/(1-Resumo!$C$5)</f>
        <v>155.780532727273</v>
      </c>
      <c r="U866" s="39" t="n">
        <v>149.5</v>
      </c>
      <c r="V866" s="39" t="n">
        <f aca="false">J866*Resumo!$B$6</f>
        <v>0.78504</v>
      </c>
      <c r="W866" s="39" t="n">
        <f aca="false">J866*Resumo!$B$7</f>
        <v>1.57008</v>
      </c>
      <c r="X866" s="39" t="n">
        <f aca="false">Resumo!$B$9</f>
        <v>1</v>
      </c>
      <c r="Y866" s="39" t="n">
        <f aca="false">Resumo!$B$10*CEILING(I866/100,1)</f>
        <v>4.5</v>
      </c>
      <c r="Z866" s="39" t="n">
        <f aca="false">Resumo!$B$12*CEILING(I866,1)</f>
        <v>3.84</v>
      </c>
      <c r="AA866" s="39" t="n">
        <f aca="false">Resumo!$B$13*CEILING(I866,1)</f>
        <v>28.8</v>
      </c>
      <c r="AB866" s="39" t="n">
        <f aca="false">SUM(U866:AA866)</f>
        <v>189.99512</v>
      </c>
      <c r="AC866" s="39" t="n">
        <f aca="false">AB866/(1-Resumo!$B$5)</f>
        <v>215.903545454545</v>
      </c>
      <c r="AD866" s="39" t="n">
        <f aca="false">(AB866-AA866)/(1-Resumo!$B$5)</f>
        <v>183.176272727273</v>
      </c>
      <c r="AE866" s="39" t="n">
        <f aca="false">AC866-T866</f>
        <v>60.1230127272728</v>
      </c>
      <c r="AF866" s="40" t="n">
        <f aca="false">AC866/T866-1</f>
        <v>0.385946893842833</v>
      </c>
      <c r="AG866" s="37" t="str">
        <f aca="false">IF(AC866&lt;T866,"SIM","NÃO")</f>
        <v>NÃO</v>
      </c>
      <c r="AH866" s="37" t="n">
        <v>13</v>
      </c>
      <c r="AI866" s="37" t="n">
        <v>7</v>
      </c>
      <c r="AJ866" s="37" t="s">
        <v>323</v>
      </c>
    </row>
    <row r="867" customFormat="false" ht="15" hidden="false" customHeight="false" outlineLevel="0" collapsed="false">
      <c r="A867" s="37" t="n">
        <v>374650235</v>
      </c>
      <c r="B867" s="38" t="n">
        <v>46245.525474537</v>
      </c>
      <c r="C867" s="37" t="s">
        <v>341</v>
      </c>
      <c r="D867" s="37" t="s">
        <v>1155</v>
      </c>
      <c r="E867" s="37" t="n">
        <v>21760140</v>
      </c>
      <c r="F867" s="37" t="s">
        <v>139</v>
      </c>
      <c r="G867" s="37" t="s">
        <v>198</v>
      </c>
      <c r="H867" s="37" t="s">
        <v>168</v>
      </c>
      <c r="I867" s="37" t="n">
        <v>22.4</v>
      </c>
      <c r="J867" s="39" t="n">
        <v>499.99</v>
      </c>
      <c r="K867" s="37" t="s">
        <v>322</v>
      </c>
      <c r="L867" s="39" t="n">
        <v>82.73</v>
      </c>
      <c r="M867" s="39" t="n">
        <v>54.1</v>
      </c>
      <c r="N867" s="39" t="n">
        <f aca="false">J867*Resumo!$C$7</f>
        <v>0.99998</v>
      </c>
      <c r="O867" s="39" t="n">
        <f aca="false">J867*Resumo!$C$8</f>
        <v>0.99998</v>
      </c>
      <c r="P867" s="39" t="n">
        <f aca="false">Resumo!$C$10*CEILING(I867/100,1)</f>
        <v>1</v>
      </c>
      <c r="Q867" s="39" t="n">
        <f aca="false">Resumo!$C$9</f>
        <v>11.9</v>
      </c>
      <c r="R867" s="39" t="n">
        <f aca="false">SUM(M867:Q867)*Resumo!$C$11</f>
        <v>3.7949978</v>
      </c>
      <c r="S867" s="39" t="n">
        <f aca="false">SUM(M867:R867)</f>
        <v>72.7949578</v>
      </c>
      <c r="T867" s="39" t="n">
        <f aca="false">S867/(1-Resumo!$C$5)</f>
        <v>82.7215429545455</v>
      </c>
      <c r="U867" s="39" t="n">
        <v>82.21</v>
      </c>
      <c r="V867" s="39" t="n">
        <f aca="false">J867*Resumo!$B$6</f>
        <v>0.49999</v>
      </c>
      <c r="W867" s="39" t="n">
        <f aca="false">J867*Resumo!$B$7</f>
        <v>0.99998</v>
      </c>
      <c r="X867" s="39" t="n">
        <f aca="false">Resumo!$B$9</f>
        <v>1</v>
      </c>
      <c r="Y867" s="39" t="n">
        <f aca="false">Resumo!$B$10*CEILING(I867/100,1)</f>
        <v>4.5</v>
      </c>
      <c r="Z867" s="39" t="n">
        <f aca="false">Resumo!$B$12*CEILING(I867,1)</f>
        <v>1.38</v>
      </c>
      <c r="AA867" s="39" t="n">
        <f aca="false">Resumo!$B$13*CEILING(I867,1)</f>
        <v>10.35</v>
      </c>
      <c r="AB867" s="39" t="n">
        <f aca="false">SUM(U867:AA867)</f>
        <v>100.93997</v>
      </c>
      <c r="AC867" s="39" t="n">
        <f aca="false">AB867/(1-Resumo!$B$5)</f>
        <v>114.704511363636</v>
      </c>
      <c r="AD867" s="39" t="n">
        <f aca="false">(AB867-AA867)/(1-Resumo!$B$5)</f>
        <v>102.943147727273</v>
      </c>
      <c r="AE867" s="39" t="n">
        <f aca="false">AC867-T867</f>
        <v>31.9829684090909</v>
      </c>
      <c r="AF867" s="40" t="n">
        <f aca="false">AC867/T867-1</f>
        <v>0.386634089098957</v>
      </c>
      <c r="AG867" s="37" t="str">
        <f aca="false">IF(AC867&lt;T867,"SIM","NÃO")</f>
        <v>NÃO</v>
      </c>
      <c r="AH867" s="37" t="n">
        <v>8</v>
      </c>
      <c r="AI867" s="37" t="n">
        <v>5</v>
      </c>
      <c r="AJ867" s="37" t="s">
        <v>323</v>
      </c>
    </row>
    <row r="868" customFormat="false" ht="15" hidden="false" customHeight="false" outlineLevel="0" collapsed="false">
      <c r="A868" s="37" t="n">
        <v>374660008</v>
      </c>
      <c r="B868" s="38" t="n">
        <v>46245.5399305556</v>
      </c>
      <c r="C868" s="37" t="s">
        <v>320</v>
      </c>
      <c r="D868" s="37" t="s">
        <v>1156</v>
      </c>
      <c r="E868" s="37" t="n">
        <v>25235074</v>
      </c>
      <c r="F868" s="37" t="s">
        <v>141</v>
      </c>
      <c r="G868" s="37" t="s">
        <v>207</v>
      </c>
      <c r="H868" s="37" t="s">
        <v>170</v>
      </c>
      <c r="I868" s="37" t="n">
        <v>45</v>
      </c>
      <c r="J868" s="39" t="n">
        <v>531.42</v>
      </c>
      <c r="K868" s="37" t="s">
        <v>322</v>
      </c>
      <c r="L868" s="39" t="n">
        <v>116.61</v>
      </c>
      <c r="M868" s="39" t="n">
        <v>82.25</v>
      </c>
      <c r="N868" s="39" t="n">
        <f aca="false">J868*Resumo!$C$7</f>
        <v>1.06284</v>
      </c>
      <c r="O868" s="39" t="n">
        <f aca="false">J868*Resumo!$C$8</f>
        <v>1.06284</v>
      </c>
      <c r="P868" s="39" t="n">
        <f aca="false">Resumo!$C$10*CEILING(I868/100,1)</f>
        <v>1</v>
      </c>
      <c r="Q868" s="39" t="n">
        <f aca="false">Resumo!$C$9</f>
        <v>11.9</v>
      </c>
      <c r="R868" s="39" t="n">
        <f aca="false">SUM(M868:Q868)*Resumo!$C$11</f>
        <v>5.3501624</v>
      </c>
      <c r="S868" s="39" t="n">
        <f aca="false">SUM(M868:R868)</f>
        <v>102.6258424</v>
      </c>
      <c r="T868" s="39" t="n">
        <f aca="false">S868/(1-Resumo!$C$5)</f>
        <v>116.620275454545</v>
      </c>
      <c r="U868" s="39" t="n">
        <v>93.97</v>
      </c>
      <c r="V868" s="39" t="n">
        <f aca="false">J868*Resumo!$B$6</f>
        <v>0.53142</v>
      </c>
      <c r="W868" s="39" t="n">
        <f aca="false">J868*Resumo!$B$7</f>
        <v>1.06284</v>
      </c>
      <c r="X868" s="39" t="n">
        <f aca="false">Resumo!$B$9</f>
        <v>1</v>
      </c>
      <c r="Y868" s="39" t="n">
        <f aca="false">Resumo!$B$10*CEILING(I868/100,1)</f>
        <v>4.5</v>
      </c>
      <c r="Z868" s="39" t="n">
        <f aca="false">Resumo!$B$12*CEILING(I868,1)</f>
        <v>2.7</v>
      </c>
      <c r="AA868" s="39" t="n">
        <f aca="false">Resumo!$B$13*CEILING(I868,1)</f>
        <v>20.25</v>
      </c>
      <c r="AB868" s="39" t="n">
        <f aca="false">SUM(U868:AA868)</f>
        <v>124.01426</v>
      </c>
      <c r="AC868" s="39" t="n">
        <f aca="false">AB868/(1-Resumo!$B$5)</f>
        <v>140.925295454545</v>
      </c>
      <c r="AD868" s="39" t="n">
        <f aca="false">(AB868-AA868)/(1-Resumo!$B$5)</f>
        <v>117.913931818182</v>
      </c>
      <c r="AE868" s="39" t="n">
        <f aca="false">AC868-T868</f>
        <v>24.30502</v>
      </c>
      <c r="AF868" s="40" t="n">
        <f aca="false">AC868/T868-1</f>
        <v>0.208411615435373</v>
      </c>
      <c r="AG868" s="37" t="str">
        <f aca="false">IF(AC868&lt;T868,"SIM","NÃO")</f>
        <v>NÃO</v>
      </c>
      <c r="AH868" s="37" t="n">
        <v>10</v>
      </c>
      <c r="AI868" s="37" t="n">
        <v>5</v>
      </c>
      <c r="AJ868" s="37" t="s">
        <v>323</v>
      </c>
    </row>
    <row r="869" customFormat="false" ht="15" hidden="false" customHeight="false" outlineLevel="0" collapsed="false">
      <c r="A869" s="37" t="n">
        <v>374566868</v>
      </c>
      <c r="B869" s="38" t="n">
        <v>46245.5879282407</v>
      </c>
      <c r="C869" s="37" t="s">
        <v>352</v>
      </c>
      <c r="D869" s="37" t="s">
        <v>1157</v>
      </c>
      <c r="E869" s="37" t="n">
        <v>28998320</v>
      </c>
      <c r="F869" s="37" t="s">
        <v>281</v>
      </c>
      <c r="G869" s="37" t="s">
        <v>201</v>
      </c>
      <c r="H869" s="37" t="s">
        <v>179</v>
      </c>
      <c r="I869" s="37" t="n">
        <v>224</v>
      </c>
      <c r="J869" s="39" t="n">
        <v>4959.9</v>
      </c>
      <c r="K869" s="37" t="s">
        <v>498</v>
      </c>
      <c r="L869" s="39" t="n">
        <v>401.39</v>
      </c>
      <c r="M869" s="39" t="n">
        <v>304.65</v>
      </c>
      <c r="N869" s="39" t="n">
        <f aca="false">J869*Resumo!$C$7</f>
        <v>9.9198</v>
      </c>
      <c r="O869" s="39" t="n">
        <f aca="false">J869*Resumo!$C$8</f>
        <v>9.9198</v>
      </c>
      <c r="P869" s="39" t="n">
        <f aca="false">Resumo!$C$10*CEILING(I869/100,1)</f>
        <v>3</v>
      </c>
      <c r="Q869" s="39" t="n">
        <f aca="false">Resumo!$C$9</f>
        <v>11.9</v>
      </c>
      <c r="R869" s="39" t="n">
        <f aca="false">SUM(M869:Q869)*Resumo!$C$11</f>
        <v>18.666428</v>
      </c>
      <c r="S869" s="39" t="n">
        <f aca="false">SUM(M869:R869)</f>
        <v>358.056028</v>
      </c>
      <c r="T869" s="39" t="n">
        <f aca="false">S869/(1-Resumo!$C$5)</f>
        <v>406.88185</v>
      </c>
      <c r="U869" s="39" t="n">
        <v>441.4</v>
      </c>
      <c r="V869" s="39" t="n">
        <f aca="false">J869*Resumo!$B$6</f>
        <v>4.9599</v>
      </c>
      <c r="W869" s="39" t="n">
        <f aca="false">J869*Resumo!$B$7</f>
        <v>9.9198</v>
      </c>
      <c r="X869" s="39" t="n">
        <f aca="false">Resumo!$B$9</f>
        <v>1</v>
      </c>
      <c r="Y869" s="39" t="n">
        <f aca="false">Resumo!$B$10*CEILING(I869/100,1)</f>
        <v>13.5</v>
      </c>
      <c r="Z869" s="39" t="n">
        <f aca="false">Resumo!$B$12*CEILING(I869,1)</f>
        <v>13.44</v>
      </c>
      <c r="AA869" s="39" t="n">
        <f aca="false">Resumo!$B$13*CEILING(I869,1)</f>
        <v>100.8</v>
      </c>
      <c r="AB869" s="39" t="n">
        <f aca="false">SUM(U869:AA869)</f>
        <v>585.0197</v>
      </c>
      <c r="AC869" s="39" t="n">
        <f aca="false">AB869/(1-Resumo!$B$5)</f>
        <v>664.795113636364</v>
      </c>
      <c r="AD869" s="39" t="n">
        <f aca="false">(AB869-AA869)/(1-Resumo!$B$5)</f>
        <v>550.249659090909</v>
      </c>
      <c r="AE869" s="39" t="n">
        <f aca="false">AC869-T869</f>
        <v>257.913263636364</v>
      </c>
      <c r="AF869" s="40" t="n">
        <f aca="false">AC869/T869-1</f>
        <v>0.633877533825516</v>
      </c>
      <c r="AG869" s="37" t="str">
        <f aca="false">IF(AC869&lt;T869,"SIM","NÃO")</f>
        <v>NÃO</v>
      </c>
      <c r="AH869" s="37" t="n">
        <v>13</v>
      </c>
      <c r="AI869" s="37" t="n">
        <v>10</v>
      </c>
      <c r="AJ869" s="37" t="s">
        <v>327</v>
      </c>
    </row>
    <row r="870" customFormat="false" ht="15" hidden="false" customHeight="false" outlineLevel="0" collapsed="false">
      <c r="A870" s="37" t="n">
        <v>374689862</v>
      </c>
      <c r="B870" s="38" t="n">
        <v>46245.5937962963</v>
      </c>
      <c r="C870" s="37" t="s">
        <v>320</v>
      </c>
      <c r="D870" s="37" t="s">
        <v>1158</v>
      </c>
      <c r="E870" s="37" t="n">
        <v>21215395</v>
      </c>
      <c r="F870" s="37" t="s">
        <v>139</v>
      </c>
      <c r="G870" s="37" t="s">
        <v>198</v>
      </c>
      <c r="H870" s="37" t="s">
        <v>168</v>
      </c>
      <c r="I870" s="37" t="n">
        <v>27.4</v>
      </c>
      <c r="J870" s="39" t="n">
        <v>315.99</v>
      </c>
      <c r="K870" s="37" t="s">
        <v>322</v>
      </c>
      <c r="L870" s="39" t="n">
        <v>81.83</v>
      </c>
      <c r="M870" s="39" t="n">
        <v>54.1</v>
      </c>
      <c r="N870" s="39" t="n">
        <f aca="false">J870*Resumo!$C$7</f>
        <v>0.63198</v>
      </c>
      <c r="O870" s="39" t="n">
        <f aca="false">J870*Resumo!$C$8</f>
        <v>0.63198</v>
      </c>
      <c r="P870" s="39" t="n">
        <f aca="false">Resumo!$C$10*CEILING(I870/100,1)</f>
        <v>1</v>
      </c>
      <c r="Q870" s="39" t="n">
        <f aca="false">Resumo!$C$9</f>
        <v>11.9</v>
      </c>
      <c r="R870" s="39" t="n">
        <f aca="false">SUM(M870:Q870)*Resumo!$C$11</f>
        <v>3.7545178</v>
      </c>
      <c r="S870" s="39" t="n">
        <f aca="false">SUM(M870:R870)</f>
        <v>72.0184778</v>
      </c>
      <c r="T870" s="39" t="n">
        <f aca="false">S870/(1-Resumo!$C$5)</f>
        <v>81.8391793181818</v>
      </c>
      <c r="U870" s="39" t="n">
        <v>82.21</v>
      </c>
      <c r="V870" s="39" t="n">
        <f aca="false">J870*Resumo!$B$6</f>
        <v>0.31599</v>
      </c>
      <c r="W870" s="39" t="n">
        <f aca="false">J870*Resumo!$B$7</f>
        <v>0.63198</v>
      </c>
      <c r="X870" s="39" t="n">
        <f aca="false">Resumo!$B$9</f>
        <v>1</v>
      </c>
      <c r="Y870" s="39" t="n">
        <f aca="false">Resumo!$B$10*CEILING(I870/100,1)</f>
        <v>4.5</v>
      </c>
      <c r="Z870" s="39" t="n">
        <f aca="false">Resumo!$B$12*CEILING(I870,1)</f>
        <v>1.68</v>
      </c>
      <c r="AA870" s="39" t="n">
        <f aca="false">Resumo!$B$13*CEILING(I870,1)</f>
        <v>12.6</v>
      </c>
      <c r="AB870" s="39" t="n">
        <f aca="false">SUM(U870:AA870)</f>
        <v>102.93797</v>
      </c>
      <c r="AC870" s="39" t="n">
        <f aca="false">AB870/(1-Resumo!$B$5)</f>
        <v>116.974965909091</v>
      </c>
      <c r="AD870" s="39" t="n">
        <f aca="false">(AB870-AA870)/(1-Resumo!$B$5)</f>
        <v>102.656784090909</v>
      </c>
      <c r="AE870" s="39" t="n">
        <f aca="false">AC870-T870</f>
        <v>35.1357865909091</v>
      </c>
      <c r="AF870" s="40" t="n">
        <f aca="false">AC870/T870-1</f>
        <v>0.429327210800892</v>
      </c>
      <c r="AG870" s="37" t="str">
        <f aca="false">IF(AC870&lt;T870,"SIM","NÃO")</f>
        <v>NÃO</v>
      </c>
      <c r="AH870" s="37" t="n">
        <v>8</v>
      </c>
      <c r="AI870" s="37" t="n">
        <v>5</v>
      </c>
      <c r="AJ870" s="37" t="s">
        <v>323</v>
      </c>
    </row>
    <row r="871" customFormat="false" ht="15" hidden="false" customHeight="false" outlineLevel="0" collapsed="false">
      <c r="A871" s="37" t="n">
        <v>374695526</v>
      </c>
      <c r="B871" s="38" t="n">
        <v>46245.6079513889</v>
      </c>
      <c r="C871" s="37" t="s">
        <v>1159</v>
      </c>
      <c r="D871" s="37" t="s">
        <v>1160</v>
      </c>
      <c r="E871" s="37" t="n">
        <v>27516240</v>
      </c>
      <c r="F871" s="37" t="s">
        <v>236</v>
      </c>
      <c r="G871" s="37" t="s">
        <v>201</v>
      </c>
      <c r="H871" s="37" t="s">
        <v>168</v>
      </c>
      <c r="I871" s="37" t="n">
        <v>35</v>
      </c>
      <c r="J871" s="39" t="n">
        <v>499.99</v>
      </c>
      <c r="K871" s="37" t="s">
        <v>498</v>
      </c>
      <c r="L871" s="39" t="n">
        <v>111.45</v>
      </c>
      <c r="M871" s="39" t="n">
        <v>76.5</v>
      </c>
      <c r="N871" s="39" t="n">
        <f aca="false">J871*Resumo!$C$7</f>
        <v>0.99998</v>
      </c>
      <c r="O871" s="39" t="n">
        <f aca="false">J871*Resumo!$C$8</f>
        <v>0.99998</v>
      </c>
      <c r="P871" s="39" t="n">
        <f aca="false">Resumo!$C$10*CEILING(I871/100,1)</f>
        <v>1</v>
      </c>
      <c r="Q871" s="39" t="n">
        <f aca="false">Resumo!$C$9</f>
        <v>11.9</v>
      </c>
      <c r="R871" s="39" t="n">
        <f aca="false">SUM(M871:Q871)*Resumo!$C$11</f>
        <v>5.0269978</v>
      </c>
      <c r="S871" s="39" t="n">
        <f aca="false">SUM(M871:R871)</f>
        <v>96.4269578</v>
      </c>
      <c r="T871" s="39" t="n">
        <f aca="false">S871/(1-Resumo!$C$5)</f>
        <v>109.576088409091</v>
      </c>
      <c r="U871" s="39" t="n">
        <v>108.83</v>
      </c>
      <c r="V871" s="39" t="n">
        <f aca="false">J871*Resumo!$B$6</f>
        <v>0.49999</v>
      </c>
      <c r="W871" s="39" t="n">
        <f aca="false">J871*Resumo!$B$7</f>
        <v>0.99998</v>
      </c>
      <c r="X871" s="39" t="n">
        <f aca="false">Resumo!$B$9</f>
        <v>1</v>
      </c>
      <c r="Y871" s="39" t="n">
        <f aca="false">Resumo!$B$10*CEILING(I871/100,1)</f>
        <v>4.5</v>
      </c>
      <c r="Z871" s="39" t="n">
        <f aca="false">Resumo!$B$12*CEILING(I871,1)</f>
        <v>2.1</v>
      </c>
      <c r="AA871" s="39" t="n">
        <f aca="false">Resumo!$B$13*CEILING(I871,1)</f>
        <v>15.75</v>
      </c>
      <c r="AB871" s="39" t="n">
        <f aca="false">SUM(U871:AA871)</f>
        <v>133.67997</v>
      </c>
      <c r="AC871" s="39" t="n">
        <f aca="false">AB871/(1-Resumo!$B$5)</f>
        <v>151.909056818182</v>
      </c>
      <c r="AD871" s="39" t="n">
        <f aca="false">(AB871-AA871)/(1-Resumo!$B$5)</f>
        <v>134.011329545455</v>
      </c>
      <c r="AE871" s="39" t="n">
        <f aca="false">AC871-T871</f>
        <v>42.3329684090909</v>
      </c>
      <c r="AF871" s="40" t="n">
        <f aca="false">AC871/T871-1</f>
        <v>0.386333998810445</v>
      </c>
      <c r="AG871" s="37" t="str">
        <f aca="false">IF(AC871&lt;T871,"SIM","NÃO")</f>
        <v>NÃO</v>
      </c>
      <c r="AH871" s="37" t="n">
        <v>13</v>
      </c>
      <c r="AI871" s="37" t="n">
        <v>10</v>
      </c>
      <c r="AJ871" s="37" t="s">
        <v>327</v>
      </c>
    </row>
    <row r="872" customFormat="false" ht="15" hidden="false" customHeight="false" outlineLevel="0" collapsed="false">
      <c r="A872" s="37" t="n">
        <v>374708676</v>
      </c>
      <c r="B872" s="38" t="n">
        <v>46245.637337963</v>
      </c>
      <c r="C872" s="37" t="s">
        <v>320</v>
      </c>
      <c r="D872" s="37" t="s">
        <v>1161</v>
      </c>
      <c r="E872" s="37" t="n">
        <v>22793400</v>
      </c>
      <c r="F872" s="37" t="s">
        <v>139</v>
      </c>
      <c r="G872" s="37" t="s">
        <v>198</v>
      </c>
      <c r="H872" s="37" t="s">
        <v>171</v>
      </c>
      <c r="I872" s="37" t="n">
        <v>52.3</v>
      </c>
      <c r="J872" s="39" t="n">
        <v>616.99</v>
      </c>
      <c r="K872" s="37" t="s">
        <v>322</v>
      </c>
      <c r="L872" s="39" t="n">
        <v>114.09</v>
      </c>
      <c r="M872" s="39" t="n">
        <v>79.81</v>
      </c>
      <c r="N872" s="39" t="n">
        <f aca="false">J872*Resumo!$C$7</f>
        <v>1.23398</v>
      </c>
      <c r="O872" s="39" t="n">
        <f aca="false">J872*Resumo!$C$8</f>
        <v>1.23398</v>
      </c>
      <c r="P872" s="39" t="n">
        <f aca="false">Resumo!$C$10*CEILING(I872/100,1)</f>
        <v>1</v>
      </c>
      <c r="Q872" s="39" t="n">
        <f aca="false">Resumo!$C$9</f>
        <v>11.9</v>
      </c>
      <c r="R872" s="39" t="n">
        <f aca="false">SUM(M872:Q872)*Resumo!$C$11</f>
        <v>5.2347878</v>
      </c>
      <c r="S872" s="39" t="n">
        <f aca="false">SUM(M872:R872)</f>
        <v>100.4127478</v>
      </c>
      <c r="T872" s="39" t="n">
        <f aca="false">S872/(1-Resumo!$C$5)</f>
        <v>114.105395227273</v>
      </c>
      <c r="U872" s="39" t="n">
        <v>112.3</v>
      </c>
      <c r="V872" s="39" t="n">
        <f aca="false">J872*Resumo!$B$6</f>
        <v>0.61699</v>
      </c>
      <c r="W872" s="39" t="n">
        <f aca="false">J872*Resumo!$B$7</f>
        <v>1.23398</v>
      </c>
      <c r="X872" s="39" t="n">
        <f aca="false">Resumo!$B$9</f>
        <v>1</v>
      </c>
      <c r="Y872" s="39" t="n">
        <f aca="false">Resumo!$B$10*CEILING(I872/100,1)</f>
        <v>4.5</v>
      </c>
      <c r="Z872" s="39" t="n">
        <f aca="false">Resumo!$B$12*CEILING(I872,1)</f>
        <v>3.18</v>
      </c>
      <c r="AA872" s="39" t="n">
        <f aca="false">Resumo!$B$13*CEILING(I872,1)</f>
        <v>23.85</v>
      </c>
      <c r="AB872" s="39" t="n">
        <f aca="false">SUM(U872:AA872)</f>
        <v>146.68097</v>
      </c>
      <c r="AC872" s="39" t="n">
        <f aca="false">AB872/(1-Resumo!$B$5)</f>
        <v>166.682920454545</v>
      </c>
      <c r="AD872" s="39" t="n">
        <f aca="false">(AB872-AA872)/(1-Resumo!$B$5)</f>
        <v>139.580647727273</v>
      </c>
      <c r="AE872" s="39" t="n">
        <f aca="false">AC872-T872</f>
        <v>52.5775252272727</v>
      </c>
      <c r="AF872" s="40" t="n">
        <f aca="false">AC872/T872-1</f>
        <v>0.46078036119633</v>
      </c>
      <c r="AG872" s="37" t="str">
        <f aca="false">IF(AC872&lt;T872,"SIM","NÃO")</f>
        <v>NÃO</v>
      </c>
      <c r="AH872" s="37" t="n">
        <v>8</v>
      </c>
      <c r="AI872" s="37" t="n">
        <v>5</v>
      </c>
      <c r="AJ872" s="37" t="s">
        <v>323</v>
      </c>
    </row>
    <row r="873" customFormat="false" ht="15" hidden="false" customHeight="false" outlineLevel="0" collapsed="false">
      <c r="A873" s="37" t="n">
        <v>374711837</v>
      </c>
      <c r="B873" s="38" t="n">
        <v>46245.6432060185</v>
      </c>
      <c r="C873" s="37" t="s">
        <v>325</v>
      </c>
      <c r="D873" s="37" t="s">
        <v>1162</v>
      </c>
      <c r="E873" s="37" t="n">
        <v>23575093</v>
      </c>
      <c r="F873" s="37" t="s">
        <v>139</v>
      </c>
      <c r="G873" s="37" t="s">
        <v>198</v>
      </c>
      <c r="H873" s="37" t="s">
        <v>169</v>
      </c>
      <c r="I873" s="37" t="n">
        <v>37.58</v>
      </c>
      <c r="J873" s="39" t="n">
        <v>427.92</v>
      </c>
      <c r="K873" s="37" t="s">
        <v>498</v>
      </c>
      <c r="L873" s="39" t="n">
        <v>93.01</v>
      </c>
      <c r="M873" s="39" t="n">
        <v>62.05</v>
      </c>
      <c r="N873" s="39" t="n">
        <f aca="false">J873*Resumo!$C$7</f>
        <v>0.85584</v>
      </c>
      <c r="O873" s="39" t="n">
        <f aca="false">J873*Resumo!$C$8</f>
        <v>0.85584</v>
      </c>
      <c r="P873" s="39" t="n">
        <f aca="false">Resumo!$C$10*CEILING(I873/100,1)</f>
        <v>1</v>
      </c>
      <c r="Q873" s="39" t="n">
        <f aca="false">Resumo!$C$9</f>
        <v>11.9</v>
      </c>
      <c r="R873" s="39" t="n">
        <f aca="false">SUM(M873:Q873)*Resumo!$C$11</f>
        <v>4.2163924</v>
      </c>
      <c r="S873" s="39" t="n">
        <f aca="false">SUM(M873:R873)</f>
        <v>80.8780724</v>
      </c>
      <c r="T873" s="39" t="n">
        <f aca="false">S873/(1-Resumo!$C$5)</f>
        <v>91.9069004545455</v>
      </c>
      <c r="U873" s="39" t="n">
        <v>93.97</v>
      </c>
      <c r="V873" s="39" t="n">
        <f aca="false">J873*Resumo!$B$6</f>
        <v>0.42792</v>
      </c>
      <c r="W873" s="39" t="n">
        <f aca="false">J873*Resumo!$B$7</f>
        <v>0.85584</v>
      </c>
      <c r="X873" s="39" t="n">
        <f aca="false">Resumo!$B$9</f>
        <v>1</v>
      </c>
      <c r="Y873" s="39" t="n">
        <f aca="false">Resumo!$B$10*CEILING(I873/100,1)</f>
        <v>4.5</v>
      </c>
      <c r="Z873" s="39" t="n">
        <f aca="false">Resumo!$B$12*CEILING(I873,1)</f>
        <v>2.28</v>
      </c>
      <c r="AA873" s="39" t="n">
        <f aca="false">Resumo!$B$13*CEILING(I873,1)</f>
        <v>17.1</v>
      </c>
      <c r="AB873" s="39" t="n">
        <f aca="false">SUM(U873:AA873)</f>
        <v>120.13376</v>
      </c>
      <c r="AC873" s="39" t="n">
        <f aca="false">AB873/(1-Resumo!$B$5)</f>
        <v>136.515636363636</v>
      </c>
      <c r="AD873" s="39" t="n">
        <f aca="false">(AB873-AA873)/(1-Resumo!$B$5)</f>
        <v>117.083818181818</v>
      </c>
      <c r="AE873" s="39" t="n">
        <f aca="false">AC873-T873</f>
        <v>44.6087359090909</v>
      </c>
      <c r="AF873" s="40" t="n">
        <f aca="false">AC873/T873-1</f>
        <v>0.485368733886887</v>
      </c>
      <c r="AG873" s="37" t="str">
        <f aca="false">IF(AC873&lt;T873,"SIM","NÃO")</f>
        <v>NÃO</v>
      </c>
      <c r="AH873" s="37" t="n">
        <v>8</v>
      </c>
      <c r="AI873" s="37" t="n">
        <v>5</v>
      </c>
      <c r="AJ873" s="37" t="s">
        <v>323</v>
      </c>
    </row>
    <row r="874" customFormat="false" ht="15" hidden="false" customHeight="false" outlineLevel="0" collapsed="false">
      <c r="A874" s="37" t="n">
        <v>374715378</v>
      </c>
      <c r="B874" s="38" t="n">
        <v>46245.6574189815</v>
      </c>
      <c r="C874" s="37" t="s">
        <v>341</v>
      </c>
      <c r="D874" s="37" t="s">
        <v>1163</v>
      </c>
      <c r="E874" s="37" t="n">
        <v>21830005</v>
      </c>
      <c r="F874" s="37" t="s">
        <v>139</v>
      </c>
      <c r="G874" s="37" t="s">
        <v>198</v>
      </c>
      <c r="H874" s="37" t="s">
        <v>170</v>
      </c>
      <c r="I874" s="37" t="n">
        <v>41.69</v>
      </c>
      <c r="J874" s="39" t="n">
        <v>659.99</v>
      </c>
      <c r="K874" s="37" t="s">
        <v>322</v>
      </c>
      <c r="L874" s="39" t="n">
        <v>103.75</v>
      </c>
      <c r="M874" s="39" t="n">
        <v>71</v>
      </c>
      <c r="N874" s="39" t="n">
        <f aca="false">J874*Resumo!$C$7</f>
        <v>1.31998</v>
      </c>
      <c r="O874" s="39" t="n">
        <f aca="false">J874*Resumo!$C$8</f>
        <v>1.31998</v>
      </c>
      <c r="P874" s="39" t="n">
        <f aca="false">Resumo!$C$10*CEILING(I874/100,1)</f>
        <v>1</v>
      </c>
      <c r="Q874" s="39" t="n">
        <f aca="false">Resumo!$C$9</f>
        <v>11.9</v>
      </c>
      <c r="R874" s="39" t="n">
        <f aca="false">SUM(M874:Q874)*Resumo!$C$11</f>
        <v>4.7596978</v>
      </c>
      <c r="S874" s="39" t="n">
        <f aca="false">SUM(M874:R874)</f>
        <v>91.2996578</v>
      </c>
      <c r="T874" s="39" t="n">
        <f aca="false">S874/(1-Resumo!$C$5)</f>
        <v>103.749611136364</v>
      </c>
      <c r="U874" s="39" t="n">
        <v>93.97</v>
      </c>
      <c r="V874" s="39" t="n">
        <f aca="false">J874*Resumo!$B$6</f>
        <v>0.65999</v>
      </c>
      <c r="W874" s="39" t="n">
        <f aca="false">J874*Resumo!$B$7</f>
        <v>1.31998</v>
      </c>
      <c r="X874" s="39" t="n">
        <f aca="false">Resumo!$B$9</f>
        <v>1</v>
      </c>
      <c r="Y874" s="39" t="n">
        <f aca="false">Resumo!$B$10*CEILING(I874/100,1)</f>
        <v>4.5</v>
      </c>
      <c r="Z874" s="39" t="n">
        <f aca="false">Resumo!$B$12*CEILING(I874,1)</f>
        <v>2.52</v>
      </c>
      <c r="AA874" s="39" t="n">
        <f aca="false">Resumo!$B$13*CEILING(I874,1)</f>
        <v>18.9</v>
      </c>
      <c r="AB874" s="39" t="n">
        <f aca="false">SUM(U874:AA874)</f>
        <v>122.86997</v>
      </c>
      <c r="AC874" s="39" t="n">
        <f aca="false">AB874/(1-Resumo!$B$5)</f>
        <v>139.624965909091</v>
      </c>
      <c r="AD874" s="39" t="n">
        <f aca="false">(AB874-AA874)/(1-Resumo!$B$5)</f>
        <v>118.147693181818</v>
      </c>
      <c r="AE874" s="39" t="n">
        <f aca="false">AC874-T874</f>
        <v>35.8753547727273</v>
      </c>
      <c r="AF874" s="40" t="n">
        <f aca="false">AC874/T874-1</f>
        <v>0.345787848067926</v>
      </c>
      <c r="AG874" s="37" t="str">
        <f aca="false">IF(AC874&lt;T874,"SIM","NÃO")</f>
        <v>NÃO</v>
      </c>
      <c r="AH874" s="37" t="n">
        <v>8</v>
      </c>
      <c r="AI874" s="37" t="n">
        <v>5</v>
      </c>
      <c r="AJ874" s="37" t="s">
        <v>323</v>
      </c>
    </row>
    <row r="875" customFormat="false" ht="15" hidden="false" customHeight="false" outlineLevel="0" collapsed="false">
      <c r="A875" s="37" t="n">
        <v>374728048</v>
      </c>
      <c r="B875" s="38" t="n">
        <v>46245.6720023148</v>
      </c>
      <c r="C875" s="37" t="s">
        <v>325</v>
      </c>
      <c r="D875" s="37" t="s">
        <v>1164</v>
      </c>
      <c r="E875" s="37" t="n">
        <v>25565370</v>
      </c>
      <c r="F875" s="37" t="s">
        <v>147</v>
      </c>
      <c r="G875" s="37" t="s">
        <v>207</v>
      </c>
      <c r="H875" s="37" t="s">
        <v>176</v>
      </c>
      <c r="I875" s="37" t="n">
        <v>124.2</v>
      </c>
      <c r="J875" s="39" t="n">
        <v>1649.99</v>
      </c>
      <c r="K875" s="37" t="s">
        <v>498</v>
      </c>
      <c r="L875" s="39" t="n">
        <v>236.86</v>
      </c>
      <c r="M875" s="39" t="n">
        <v>183.45</v>
      </c>
      <c r="N875" s="39" t="n">
        <f aca="false">J875*Resumo!$C$7</f>
        <v>3.29998</v>
      </c>
      <c r="O875" s="39" t="n">
        <f aca="false">J875*Resumo!$C$8</f>
        <v>3.29998</v>
      </c>
      <c r="P875" s="39" t="n">
        <f aca="false">Resumo!$C$10*CEILING(I875/100,1)</f>
        <v>2</v>
      </c>
      <c r="Q875" s="39" t="n">
        <f aca="false">Resumo!$C$9</f>
        <v>11.9</v>
      </c>
      <c r="R875" s="39" t="n">
        <f aca="false">SUM(M875:Q875)*Resumo!$C$11</f>
        <v>11.2172478</v>
      </c>
      <c r="S875" s="39" t="n">
        <f aca="false">SUM(M875:R875)</f>
        <v>215.1672078</v>
      </c>
      <c r="T875" s="39" t="n">
        <f aca="false">S875/(1-Resumo!$C$5)</f>
        <v>244.508190681818</v>
      </c>
      <c r="U875" s="39" t="n">
        <v>239.25</v>
      </c>
      <c r="V875" s="39" t="n">
        <f aca="false">J875*Resumo!$B$6</f>
        <v>1.64999</v>
      </c>
      <c r="W875" s="39" t="n">
        <f aca="false">J875*Resumo!$B$7</f>
        <v>3.29998</v>
      </c>
      <c r="X875" s="39" t="n">
        <f aca="false">Resumo!$B$9</f>
        <v>1</v>
      </c>
      <c r="Y875" s="39" t="n">
        <f aca="false">Resumo!$B$10*CEILING(I875/100,1)</f>
        <v>9</v>
      </c>
      <c r="Z875" s="39" t="n">
        <f aca="false">Resumo!$B$12*CEILING(I875,1)</f>
        <v>7.5</v>
      </c>
      <c r="AA875" s="39" t="n">
        <f aca="false">Resumo!$B$13*CEILING(I875,1)</f>
        <v>56.25</v>
      </c>
      <c r="AB875" s="39" t="n">
        <f aca="false">SUM(U875:AA875)</f>
        <v>317.94997</v>
      </c>
      <c r="AC875" s="39" t="n">
        <f aca="false">AB875/(1-Resumo!$B$5)</f>
        <v>361.306784090909</v>
      </c>
      <c r="AD875" s="39" t="n">
        <f aca="false">(AB875-AA875)/(1-Resumo!$B$5)</f>
        <v>297.386329545455</v>
      </c>
      <c r="AE875" s="39" t="n">
        <f aca="false">AC875-T875</f>
        <v>116.798593409091</v>
      </c>
      <c r="AF875" s="40" t="n">
        <f aca="false">AC875/T875-1</f>
        <v>0.477687856113919</v>
      </c>
      <c r="AG875" s="37" t="str">
        <f aca="false">IF(AC875&lt;T875,"SIM","NÃO")</f>
        <v>NÃO</v>
      </c>
      <c r="AH875" s="37" t="n">
        <v>10</v>
      </c>
      <c r="AI875" s="37" t="n">
        <v>5</v>
      </c>
      <c r="AJ875" s="37" t="s">
        <v>323</v>
      </c>
    </row>
    <row r="876" customFormat="false" ht="15" hidden="false" customHeight="false" outlineLevel="0" collapsed="false">
      <c r="A876" s="37" t="n">
        <v>374731766</v>
      </c>
      <c r="B876" s="38" t="n">
        <v>46245.6788078704</v>
      </c>
      <c r="C876" s="37" t="s">
        <v>320</v>
      </c>
      <c r="D876" s="37" t="s">
        <v>1165</v>
      </c>
      <c r="E876" s="37" t="n">
        <v>25943377</v>
      </c>
      <c r="F876" s="37" t="s">
        <v>220</v>
      </c>
      <c r="G876" s="37" t="s">
        <v>201</v>
      </c>
      <c r="H876" s="37" t="s">
        <v>168</v>
      </c>
      <c r="I876" s="37" t="n">
        <v>31.9</v>
      </c>
      <c r="J876" s="39" t="n">
        <v>578.18</v>
      </c>
      <c r="K876" s="37" t="s">
        <v>498</v>
      </c>
      <c r="L876" s="39" t="n">
        <v>110.28</v>
      </c>
      <c r="M876" s="39" t="n">
        <v>76.5</v>
      </c>
      <c r="N876" s="39" t="n">
        <f aca="false">J876*Resumo!$C$7</f>
        <v>1.15636</v>
      </c>
      <c r="O876" s="39" t="n">
        <f aca="false">J876*Resumo!$C$8</f>
        <v>1.15636</v>
      </c>
      <c r="P876" s="39" t="n">
        <f aca="false">Resumo!$C$10*CEILING(I876/100,1)</f>
        <v>1</v>
      </c>
      <c r="Q876" s="39" t="n">
        <f aca="false">Resumo!$C$9</f>
        <v>11.9</v>
      </c>
      <c r="R876" s="39" t="n">
        <f aca="false">SUM(M876:Q876)*Resumo!$C$11</f>
        <v>5.0441996</v>
      </c>
      <c r="S876" s="39" t="n">
        <f aca="false">SUM(M876:R876)</f>
        <v>96.7569196</v>
      </c>
      <c r="T876" s="39" t="n">
        <f aca="false">S876/(1-Resumo!$C$5)</f>
        <v>109.951045</v>
      </c>
      <c r="U876" s="39" t="n">
        <v>103.28</v>
      </c>
      <c r="V876" s="39" t="n">
        <f aca="false">J876*Resumo!$B$6</f>
        <v>0.57818</v>
      </c>
      <c r="W876" s="39" t="n">
        <f aca="false">J876*Resumo!$B$7</f>
        <v>1.15636</v>
      </c>
      <c r="X876" s="39" t="n">
        <f aca="false">Resumo!$B$9</f>
        <v>1</v>
      </c>
      <c r="Y876" s="39" t="n">
        <f aca="false">Resumo!$B$10*CEILING(I876/100,1)</f>
        <v>4.5</v>
      </c>
      <c r="Z876" s="39" t="n">
        <f aca="false">Resumo!$B$12*CEILING(I876,1)</f>
        <v>1.92</v>
      </c>
      <c r="AA876" s="39" t="n">
        <f aca="false">Resumo!$B$13*CEILING(I876,1)</f>
        <v>14.4</v>
      </c>
      <c r="AB876" s="39" t="n">
        <f aca="false">SUM(U876:AA876)</f>
        <v>126.83454</v>
      </c>
      <c r="AC876" s="39" t="n">
        <f aca="false">AB876/(1-Resumo!$B$5)</f>
        <v>144.130159090909</v>
      </c>
      <c r="AD876" s="39" t="n">
        <f aca="false">(AB876-AA876)/(1-Resumo!$B$5)</f>
        <v>127.766522727273</v>
      </c>
      <c r="AE876" s="39" t="n">
        <f aca="false">AC876-T876</f>
        <v>34.1791140909091</v>
      </c>
      <c r="AF876" s="40" t="n">
        <f aca="false">AC876/T876-1</f>
        <v>0.31085756475447</v>
      </c>
      <c r="AG876" s="37" t="str">
        <f aca="false">IF(AC876&lt;T876,"SIM","NÃO")</f>
        <v>NÃO</v>
      </c>
      <c r="AH876" s="37" t="n">
        <v>13</v>
      </c>
      <c r="AI876" s="37" t="n">
        <v>6</v>
      </c>
      <c r="AJ876" s="37" t="s">
        <v>327</v>
      </c>
    </row>
    <row r="877" customFormat="false" ht="15" hidden="false" customHeight="false" outlineLevel="0" collapsed="false">
      <c r="A877" s="37" t="n">
        <v>374745578</v>
      </c>
      <c r="B877" s="38" t="n">
        <v>46245.7019097222</v>
      </c>
      <c r="C877" s="37" t="s">
        <v>320</v>
      </c>
      <c r="D877" s="37" t="s">
        <v>1166</v>
      </c>
      <c r="E877" s="37" t="n">
        <v>21043280</v>
      </c>
      <c r="F877" s="37" t="s">
        <v>139</v>
      </c>
      <c r="G877" s="37" t="s">
        <v>198</v>
      </c>
      <c r="H877" s="37" t="s">
        <v>170</v>
      </c>
      <c r="I877" s="37" t="n">
        <v>40.1</v>
      </c>
      <c r="J877" s="39" t="n">
        <v>549.99</v>
      </c>
      <c r="K877" s="37" t="s">
        <v>322</v>
      </c>
      <c r="L877" s="39" t="n">
        <v>103.23</v>
      </c>
      <c r="M877" s="39" t="n">
        <v>71</v>
      </c>
      <c r="N877" s="39" t="n">
        <f aca="false">J877*Resumo!$C$7</f>
        <v>1.09998</v>
      </c>
      <c r="O877" s="39" t="n">
        <f aca="false">J877*Resumo!$C$8</f>
        <v>1.09998</v>
      </c>
      <c r="P877" s="39" t="n">
        <f aca="false">Resumo!$C$10*CEILING(I877/100,1)</f>
        <v>1</v>
      </c>
      <c r="Q877" s="39" t="n">
        <f aca="false">Resumo!$C$9</f>
        <v>11.9</v>
      </c>
      <c r="R877" s="39" t="n">
        <f aca="false">SUM(M877:Q877)*Resumo!$C$11</f>
        <v>4.7354978</v>
      </c>
      <c r="S877" s="39" t="n">
        <f aca="false">SUM(M877:R877)</f>
        <v>90.8354578</v>
      </c>
      <c r="T877" s="39" t="n">
        <f aca="false">S877/(1-Resumo!$C$5)</f>
        <v>103.222111136364</v>
      </c>
      <c r="U877" s="39" t="n">
        <v>93.97</v>
      </c>
      <c r="V877" s="39" t="n">
        <f aca="false">J877*Resumo!$B$6</f>
        <v>0.54999</v>
      </c>
      <c r="W877" s="39" t="n">
        <f aca="false">J877*Resumo!$B$7</f>
        <v>1.09998</v>
      </c>
      <c r="X877" s="39" t="n">
        <f aca="false">Resumo!$B$9</f>
        <v>1</v>
      </c>
      <c r="Y877" s="39" t="n">
        <f aca="false">Resumo!$B$10*CEILING(I877/100,1)</f>
        <v>4.5</v>
      </c>
      <c r="Z877" s="39" t="n">
        <f aca="false">Resumo!$B$12*CEILING(I877,1)</f>
        <v>2.46</v>
      </c>
      <c r="AA877" s="39" t="n">
        <f aca="false">Resumo!$B$13*CEILING(I877,1)</f>
        <v>18.45</v>
      </c>
      <c r="AB877" s="39" t="n">
        <f aca="false">SUM(U877:AA877)</f>
        <v>122.02997</v>
      </c>
      <c r="AC877" s="39" t="n">
        <f aca="false">AB877/(1-Resumo!$B$5)</f>
        <v>138.670420454545</v>
      </c>
      <c r="AD877" s="39" t="n">
        <f aca="false">(AB877-AA877)/(1-Resumo!$B$5)</f>
        <v>117.704511363636</v>
      </c>
      <c r="AE877" s="39" t="n">
        <f aca="false">AC877-T877</f>
        <v>35.4483093181818</v>
      </c>
      <c r="AF877" s="40" t="n">
        <f aca="false">AC877/T877-1</f>
        <v>0.343417790315799</v>
      </c>
      <c r="AG877" s="37" t="str">
        <f aca="false">IF(AC877&lt;T877,"SIM","NÃO")</f>
        <v>NÃO</v>
      </c>
      <c r="AH877" s="37" t="n">
        <v>8</v>
      </c>
      <c r="AI877" s="37" t="n">
        <v>5</v>
      </c>
      <c r="AJ877" s="37" t="s">
        <v>323</v>
      </c>
    </row>
    <row r="878" customFormat="false" ht="15" hidden="false" customHeight="false" outlineLevel="0" collapsed="false">
      <c r="A878" s="37" t="n">
        <v>374746941</v>
      </c>
      <c r="B878" s="38" t="n">
        <v>46245.7044675926</v>
      </c>
      <c r="C878" s="37" t="s">
        <v>325</v>
      </c>
      <c r="D878" s="37" t="s">
        <v>1167</v>
      </c>
      <c r="E878" s="37" t="n">
        <v>24430460</v>
      </c>
      <c r="F878" s="37" t="s">
        <v>140</v>
      </c>
      <c r="G878" s="37" t="s">
        <v>207</v>
      </c>
      <c r="H878" s="37" t="s">
        <v>172</v>
      </c>
      <c r="I878" s="37" t="n">
        <v>69</v>
      </c>
      <c r="J878" s="39" t="n">
        <v>782.21</v>
      </c>
      <c r="K878" s="37" t="s">
        <v>498</v>
      </c>
      <c r="L878" s="39" t="n">
        <v>142.59</v>
      </c>
      <c r="M878" s="39" t="n">
        <v>100.9</v>
      </c>
      <c r="N878" s="39" t="n">
        <f aca="false">J878*Resumo!$C$7</f>
        <v>1.56442</v>
      </c>
      <c r="O878" s="39" t="n">
        <f aca="false">J878*Resumo!$C$8</f>
        <v>1.56442</v>
      </c>
      <c r="P878" s="39" t="n">
        <f aca="false">Resumo!$C$10*CEILING(I878/100,1)</f>
        <v>1</v>
      </c>
      <c r="Q878" s="39" t="n">
        <f aca="false">Resumo!$C$9</f>
        <v>11.9</v>
      </c>
      <c r="R878" s="39" t="n">
        <f aca="false">SUM(M878:Q878)*Resumo!$C$11</f>
        <v>6.4310862</v>
      </c>
      <c r="S878" s="39" t="n">
        <f aca="false">SUM(M878:R878)</f>
        <v>123.3599262</v>
      </c>
      <c r="T878" s="39" t="n">
        <f aca="false">S878/(1-Resumo!$C$5)</f>
        <v>140.181734318182</v>
      </c>
      <c r="U878" s="39" t="n">
        <v>149.5</v>
      </c>
      <c r="V878" s="39" t="n">
        <f aca="false">J878*Resumo!$B$6</f>
        <v>0.78221</v>
      </c>
      <c r="W878" s="39" t="n">
        <f aca="false">J878*Resumo!$B$7</f>
        <v>1.56442</v>
      </c>
      <c r="X878" s="39" t="n">
        <f aca="false">Resumo!$B$9</f>
        <v>1</v>
      </c>
      <c r="Y878" s="39" t="n">
        <f aca="false">Resumo!$B$10*CEILING(I878/100,1)</f>
        <v>4.5</v>
      </c>
      <c r="Z878" s="39" t="n">
        <f aca="false">Resumo!$B$12*CEILING(I878,1)</f>
        <v>4.14</v>
      </c>
      <c r="AA878" s="39" t="n">
        <f aca="false">Resumo!$B$13*CEILING(I878,1)</f>
        <v>31.05</v>
      </c>
      <c r="AB878" s="39" t="n">
        <f aca="false">SUM(U878:AA878)</f>
        <v>192.53663</v>
      </c>
      <c r="AC878" s="39" t="n">
        <f aca="false">AB878/(1-Resumo!$B$5)</f>
        <v>218.791625</v>
      </c>
      <c r="AD878" s="39" t="n">
        <f aca="false">(AB878-AA878)/(1-Resumo!$B$5)</f>
        <v>183.507534090909</v>
      </c>
      <c r="AE878" s="39" t="n">
        <f aca="false">AC878-T878</f>
        <v>78.6098906818182</v>
      </c>
      <c r="AF878" s="40" t="n">
        <f aca="false">AC878/T878-1</f>
        <v>0.560771280681911</v>
      </c>
      <c r="AG878" s="37" t="str">
        <f aca="false">IF(AC878&lt;T878,"SIM","NÃO")</f>
        <v>NÃO</v>
      </c>
      <c r="AH878" s="37" t="n">
        <v>10</v>
      </c>
      <c r="AI878" s="37" t="n">
        <v>7</v>
      </c>
      <c r="AJ878" s="37" t="s">
        <v>323</v>
      </c>
    </row>
    <row r="879" customFormat="false" ht="15" hidden="false" customHeight="false" outlineLevel="0" collapsed="false">
      <c r="A879" s="37" t="n">
        <v>374740622</v>
      </c>
      <c r="B879" s="38" t="n">
        <v>46245.7049305556</v>
      </c>
      <c r="C879" s="37" t="s">
        <v>355</v>
      </c>
      <c r="D879" s="37" t="s">
        <v>1168</v>
      </c>
      <c r="E879" s="37" t="n">
        <v>23530550</v>
      </c>
      <c r="F879" s="37" t="s">
        <v>139</v>
      </c>
      <c r="G879" s="37" t="s">
        <v>198</v>
      </c>
      <c r="H879" s="37" t="s">
        <v>172</v>
      </c>
      <c r="I879" s="37" t="n">
        <v>69</v>
      </c>
      <c r="J879" s="39" t="n">
        <v>791.99</v>
      </c>
      <c r="K879" s="37" t="s">
        <v>498</v>
      </c>
      <c r="L879" s="39" t="n">
        <v>127.48</v>
      </c>
      <c r="M879" s="39" t="n">
        <v>88.2</v>
      </c>
      <c r="N879" s="39" t="n">
        <f aca="false">J879*Resumo!$C$7</f>
        <v>1.58398</v>
      </c>
      <c r="O879" s="39" t="n">
        <f aca="false">J879*Resumo!$C$8</f>
        <v>1.58398</v>
      </c>
      <c r="P879" s="39" t="n">
        <f aca="false">Resumo!$C$10*CEILING(I879/100,1)</f>
        <v>1</v>
      </c>
      <c r="Q879" s="39" t="n">
        <f aca="false">Resumo!$C$9</f>
        <v>11.9</v>
      </c>
      <c r="R879" s="39" t="n">
        <f aca="false">SUM(M879:Q879)*Resumo!$C$11</f>
        <v>5.7347378</v>
      </c>
      <c r="S879" s="39" t="n">
        <f aca="false">SUM(M879:R879)</f>
        <v>110.0026978</v>
      </c>
      <c r="T879" s="39" t="n">
        <f aca="false">S879/(1-Resumo!$C$5)</f>
        <v>125.003065681818</v>
      </c>
      <c r="U879" s="39" t="n">
        <v>131.02</v>
      </c>
      <c r="V879" s="39" t="n">
        <f aca="false">J879*Resumo!$B$6</f>
        <v>0.79199</v>
      </c>
      <c r="W879" s="39" t="n">
        <f aca="false">J879*Resumo!$B$7</f>
        <v>1.58398</v>
      </c>
      <c r="X879" s="39" t="n">
        <f aca="false">Resumo!$B$9</f>
        <v>1</v>
      </c>
      <c r="Y879" s="39" t="n">
        <f aca="false">Resumo!$B$10*CEILING(I879/100,1)</f>
        <v>4.5</v>
      </c>
      <c r="Z879" s="39" t="n">
        <f aca="false">Resumo!$B$12*CEILING(I879,1)</f>
        <v>4.14</v>
      </c>
      <c r="AA879" s="39" t="n">
        <f aca="false">Resumo!$B$13*CEILING(I879,1)</f>
        <v>31.05</v>
      </c>
      <c r="AB879" s="39" t="n">
        <f aca="false">SUM(U879:AA879)</f>
        <v>174.08597</v>
      </c>
      <c r="AC879" s="39" t="n">
        <f aca="false">AB879/(1-Resumo!$B$5)</f>
        <v>197.824965909091</v>
      </c>
      <c r="AD879" s="39" t="n">
        <f aca="false">(AB879-AA879)/(1-Resumo!$B$5)</f>
        <v>162.540875</v>
      </c>
      <c r="AE879" s="39" t="n">
        <f aca="false">AC879-T879</f>
        <v>72.8219002272728</v>
      </c>
      <c r="AF879" s="40" t="n">
        <f aca="false">AC879/T879-1</f>
        <v>0.58256091424696</v>
      </c>
      <c r="AG879" s="37" t="str">
        <f aca="false">IF(AC879&lt;T879,"SIM","NÃO")</f>
        <v>NÃO</v>
      </c>
      <c r="AH879" s="37" t="n">
        <v>8</v>
      </c>
      <c r="AI879" s="37" t="n">
        <v>5</v>
      </c>
      <c r="AJ879" s="37" t="s">
        <v>323</v>
      </c>
    </row>
    <row r="880" customFormat="false" ht="15" hidden="false" customHeight="false" outlineLevel="0" collapsed="false">
      <c r="A880" s="37" t="n">
        <v>374747229</v>
      </c>
      <c r="B880" s="38" t="n">
        <v>46245.7050694445</v>
      </c>
      <c r="C880" s="37" t="s">
        <v>320</v>
      </c>
      <c r="D880" s="37" t="s">
        <v>1169</v>
      </c>
      <c r="E880" s="37" t="n">
        <v>21555480</v>
      </c>
      <c r="F880" s="37" t="s">
        <v>139</v>
      </c>
      <c r="G880" s="37" t="s">
        <v>198</v>
      </c>
      <c r="H880" s="37" t="s">
        <v>168</v>
      </c>
      <c r="I880" s="37" t="n">
        <v>27.5</v>
      </c>
      <c r="J880" s="39" t="n">
        <v>369.99</v>
      </c>
      <c r="K880" s="37" t="s">
        <v>322</v>
      </c>
      <c r="L880" s="39" t="n">
        <v>82.1</v>
      </c>
      <c r="M880" s="39" t="n">
        <v>54.1</v>
      </c>
      <c r="N880" s="39" t="n">
        <f aca="false">J880*Resumo!$C$7</f>
        <v>0.73998</v>
      </c>
      <c r="O880" s="39" t="n">
        <f aca="false">J880*Resumo!$C$8</f>
        <v>0.73998</v>
      </c>
      <c r="P880" s="39" t="n">
        <f aca="false">Resumo!$C$10*CEILING(I880/100,1)</f>
        <v>1</v>
      </c>
      <c r="Q880" s="39" t="n">
        <f aca="false">Resumo!$C$9</f>
        <v>11.9</v>
      </c>
      <c r="R880" s="39" t="n">
        <f aca="false">SUM(M880:Q880)*Resumo!$C$11</f>
        <v>3.7663978</v>
      </c>
      <c r="S880" s="39" t="n">
        <f aca="false">SUM(M880:R880)</f>
        <v>72.2463578</v>
      </c>
      <c r="T880" s="39" t="n">
        <f aca="false">S880/(1-Resumo!$C$5)</f>
        <v>82.0981338636364</v>
      </c>
      <c r="U880" s="39" t="n">
        <v>82.21</v>
      </c>
      <c r="V880" s="39" t="n">
        <f aca="false">J880*Resumo!$B$6</f>
        <v>0.36999</v>
      </c>
      <c r="W880" s="39" t="n">
        <f aca="false">J880*Resumo!$B$7</f>
        <v>0.73998</v>
      </c>
      <c r="X880" s="39" t="n">
        <f aca="false">Resumo!$B$9</f>
        <v>1</v>
      </c>
      <c r="Y880" s="39" t="n">
        <f aca="false">Resumo!$B$10*CEILING(I880/100,1)</f>
        <v>4.5</v>
      </c>
      <c r="Z880" s="39" t="n">
        <f aca="false">Resumo!$B$12*CEILING(I880,1)</f>
        <v>1.68</v>
      </c>
      <c r="AA880" s="39" t="n">
        <f aca="false">Resumo!$B$13*CEILING(I880,1)</f>
        <v>12.6</v>
      </c>
      <c r="AB880" s="39" t="n">
        <f aca="false">SUM(U880:AA880)</f>
        <v>103.09997</v>
      </c>
      <c r="AC880" s="39" t="n">
        <f aca="false">AB880/(1-Resumo!$B$5)</f>
        <v>117.159056818182</v>
      </c>
      <c r="AD880" s="39" t="n">
        <f aca="false">(AB880-AA880)/(1-Resumo!$B$5)</f>
        <v>102.840875</v>
      </c>
      <c r="AE880" s="39" t="n">
        <f aca="false">AC880-T880</f>
        <v>35.0609229545454</v>
      </c>
      <c r="AF880" s="40" t="n">
        <f aca="false">AC880/T880-1</f>
        <v>0.427061143835267</v>
      </c>
      <c r="AG880" s="37" t="str">
        <f aca="false">IF(AC880&lt;T880,"SIM","NÃO")</f>
        <v>NÃO</v>
      </c>
      <c r="AH880" s="37" t="n">
        <v>8</v>
      </c>
      <c r="AI880" s="37" t="n">
        <v>5</v>
      </c>
      <c r="AJ880" s="37" t="s">
        <v>323</v>
      </c>
    </row>
    <row r="881" customFormat="false" ht="15" hidden="false" customHeight="false" outlineLevel="0" collapsed="false">
      <c r="A881" s="37" t="n">
        <v>374747050</v>
      </c>
      <c r="B881" s="38" t="n">
        <v>46245.7068518519</v>
      </c>
      <c r="C881" s="37" t="s">
        <v>352</v>
      </c>
      <c r="D881" s="37" t="s">
        <v>1170</v>
      </c>
      <c r="E881" s="37" t="n">
        <v>22250060</v>
      </c>
      <c r="F881" s="37" t="s">
        <v>139</v>
      </c>
      <c r="G881" s="37" t="s">
        <v>198</v>
      </c>
      <c r="H881" s="37" t="s">
        <v>169</v>
      </c>
      <c r="I881" s="37" t="n">
        <v>37.58</v>
      </c>
      <c r="J881" s="39" t="n">
        <v>499.99</v>
      </c>
      <c r="K881" s="37" t="s">
        <v>322</v>
      </c>
      <c r="L881" s="39" t="n">
        <v>92.25</v>
      </c>
      <c r="M881" s="39" t="n">
        <v>62.05</v>
      </c>
      <c r="N881" s="39" t="n">
        <f aca="false">J881*Resumo!$C$7</f>
        <v>0.99998</v>
      </c>
      <c r="O881" s="39" t="n">
        <f aca="false">J881*Resumo!$C$8</f>
        <v>0.99998</v>
      </c>
      <c r="P881" s="39" t="n">
        <f aca="false">Resumo!$C$10*CEILING(I881/100,1)</f>
        <v>1</v>
      </c>
      <c r="Q881" s="39" t="n">
        <f aca="false">Resumo!$C$9</f>
        <v>11.9</v>
      </c>
      <c r="R881" s="39" t="n">
        <f aca="false">SUM(M881:Q881)*Resumo!$C$11</f>
        <v>4.2322478</v>
      </c>
      <c r="S881" s="39" t="n">
        <f aca="false">SUM(M881:R881)</f>
        <v>81.1822078</v>
      </c>
      <c r="T881" s="39" t="n">
        <f aca="false">S881/(1-Resumo!$C$5)</f>
        <v>92.2525088636364</v>
      </c>
      <c r="U881" s="39" t="n">
        <v>93.97</v>
      </c>
      <c r="V881" s="39" t="n">
        <f aca="false">J881*Resumo!$B$6</f>
        <v>0.49999</v>
      </c>
      <c r="W881" s="39" t="n">
        <f aca="false">J881*Resumo!$B$7</f>
        <v>0.99998</v>
      </c>
      <c r="X881" s="39" t="n">
        <f aca="false">Resumo!$B$9</f>
        <v>1</v>
      </c>
      <c r="Y881" s="39" t="n">
        <f aca="false">Resumo!$B$10*CEILING(I881/100,1)</f>
        <v>4.5</v>
      </c>
      <c r="Z881" s="39" t="n">
        <f aca="false">Resumo!$B$12*CEILING(I881,1)</f>
        <v>2.28</v>
      </c>
      <c r="AA881" s="39" t="n">
        <f aca="false">Resumo!$B$13*CEILING(I881,1)</f>
        <v>17.1</v>
      </c>
      <c r="AB881" s="39" t="n">
        <f aca="false">SUM(U881:AA881)</f>
        <v>120.34997</v>
      </c>
      <c r="AC881" s="39" t="n">
        <f aca="false">AB881/(1-Resumo!$B$5)</f>
        <v>136.761329545455</v>
      </c>
      <c r="AD881" s="39" t="n">
        <f aca="false">(AB881-AA881)/(1-Resumo!$B$5)</f>
        <v>117.329511363636</v>
      </c>
      <c r="AE881" s="39" t="n">
        <f aca="false">AC881-T881</f>
        <v>44.5088206818182</v>
      </c>
      <c r="AF881" s="40" t="n">
        <f aca="false">AC881/T881-1</f>
        <v>0.482467319643406</v>
      </c>
      <c r="AG881" s="37" t="str">
        <f aca="false">IF(AC881&lt;T881,"SIM","NÃO")</f>
        <v>NÃO</v>
      </c>
      <c r="AH881" s="37" t="n">
        <v>8</v>
      </c>
      <c r="AI881" s="37" t="n">
        <v>5</v>
      </c>
      <c r="AJ881" s="37" t="s">
        <v>323</v>
      </c>
    </row>
    <row r="882" customFormat="false" ht="15" hidden="false" customHeight="false" outlineLevel="0" collapsed="false">
      <c r="A882" s="37" t="n">
        <v>374755832</v>
      </c>
      <c r="B882" s="38" t="n">
        <v>46245.721400463</v>
      </c>
      <c r="C882" s="37" t="s">
        <v>325</v>
      </c>
      <c r="D882" s="37" t="s">
        <v>1171</v>
      </c>
      <c r="E882" s="37" t="n">
        <v>23870000</v>
      </c>
      <c r="F882" s="37" t="s">
        <v>203</v>
      </c>
      <c r="G882" s="37" t="s">
        <v>201</v>
      </c>
      <c r="H882" s="37" t="s">
        <v>168</v>
      </c>
      <c r="I882" s="37" t="n">
        <v>33</v>
      </c>
      <c r="J882" s="39" t="n">
        <v>468.7</v>
      </c>
      <c r="K882" s="37" t="s">
        <v>498</v>
      </c>
      <c r="L882" s="39" t="n">
        <v>110.27</v>
      </c>
      <c r="M882" s="39" t="n">
        <v>76.5</v>
      </c>
      <c r="N882" s="39" t="n">
        <f aca="false">J882*Resumo!$C$7</f>
        <v>0.9374</v>
      </c>
      <c r="O882" s="39" t="n">
        <f aca="false">J882*Resumo!$C$8</f>
        <v>0.9374</v>
      </c>
      <c r="P882" s="39" t="n">
        <f aca="false">Resumo!$C$10*CEILING(I882/100,1)</f>
        <v>1</v>
      </c>
      <c r="Q882" s="39" t="n">
        <f aca="false">Resumo!$C$9</f>
        <v>11.9</v>
      </c>
      <c r="R882" s="39" t="n">
        <f aca="false">SUM(M882:Q882)*Resumo!$C$11</f>
        <v>5.020114</v>
      </c>
      <c r="S882" s="39" t="n">
        <f aca="false">SUM(M882:R882)</f>
        <v>96.294914</v>
      </c>
      <c r="T882" s="39" t="n">
        <f aca="false">S882/(1-Resumo!$C$5)</f>
        <v>109.426038636364</v>
      </c>
      <c r="U882" s="39" t="n">
        <v>108.83</v>
      </c>
      <c r="V882" s="39" t="n">
        <f aca="false">J882*Resumo!$B$6</f>
        <v>0.4687</v>
      </c>
      <c r="W882" s="39" t="n">
        <f aca="false">J882*Resumo!$B$7</f>
        <v>0.9374</v>
      </c>
      <c r="X882" s="39" t="n">
        <f aca="false">Resumo!$B$9</f>
        <v>1</v>
      </c>
      <c r="Y882" s="39" t="n">
        <f aca="false">Resumo!$B$10*CEILING(I882/100,1)</f>
        <v>4.5</v>
      </c>
      <c r="Z882" s="39" t="n">
        <f aca="false">Resumo!$B$12*CEILING(I882,1)</f>
        <v>1.98</v>
      </c>
      <c r="AA882" s="39" t="n">
        <f aca="false">Resumo!$B$13*CEILING(I882,1)</f>
        <v>14.85</v>
      </c>
      <c r="AB882" s="39" t="n">
        <f aca="false">SUM(U882:AA882)</f>
        <v>132.5661</v>
      </c>
      <c r="AC882" s="39" t="n">
        <f aca="false">AB882/(1-Resumo!$B$5)</f>
        <v>150.643295454545</v>
      </c>
      <c r="AD882" s="39" t="n">
        <f aca="false">(AB882-AA882)/(1-Resumo!$B$5)</f>
        <v>133.768295454545</v>
      </c>
      <c r="AE882" s="39" t="n">
        <f aca="false">AC882-T882</f>
        <v>41.2172568181818</v>
      </c>
      <c r="AF882" s="40" t="n">
        <f aca="false">AC882/T882-1</f>
        <v>0.376667723074139</v>
      </c>
      <c r="AG882" s="37" t="str">
        <f aca="false">IF(AC882&lt;T882,"SIM","NÃO")</f>
        <v>NÃO</v>
      </c>
      <c r="AH882" s="37" t="n">
        <v>13</v>
      </c>
      <c r="AI882" s="37" t="n">
        <v>10</v>
      </c>
      <c r="AJ882" s="37" t="s">
        <v>327</v>
      </c>
    </row>
    <row r="883" customFormat="false" ht="15" hidden="false" customHeight="false" outlineLevel="0" collapsed="false">
      <c r="A883" s="37" t="n">
        <v>374756541</v>
      </c>
      <c r="B883" s="38" t="n">
        <v>46245.7228125</v>
      </c>
      <c r="C883" s="37" t="s">
        <v>320</v>
      </c>
      <c r="D883" s="37" t="s">
        <v>1172</v>
      </c>
      <c r="E883" s="37" t="n">
        <v>23040550</v>
      </c>
      <c r="F883" s="37" t="s">
        <v>139</v>
      </c>
      <c r="G883" s="37" t="s">
        <v>198</v>
      </c>
      <c r="H883" s="37" t="s">
        <v>167</v>
      </c>
      <c r="I883" s="37" t="n">
        <v>17.2</v>
      </c>
      <c r="J883" s="39" t="n">
        <v>236.28</v>
      </c>
      <c r="K883" s="37" t="s">
        <v>498</v>
      </c>
      <c r="L883" s="39" t="n">
        <v>64.91</v>
      </c>
      <c r="M883" s="39" t="n">
        <v>39.83</v>
      </c>
      <c r="N883" s="39" t="n">
        <f aca="false">J883*Resumo!$C$7</f>
        <v>0.47256</v>
      </c>
      <c r="O883" s="39" t="n">
        <f aca="false">J883*Resumo!$C$8</f>
        <v>0.47256</v>
      </c>
      <c r="P883" s="39" t="n">
        <f aca="false">Resumo!$C$10*CEILING(I883/100,1)</f>
        <v>1</v>
      </c>
      <c r="Q883" s="39" t="n">
        <f aca="false">Resumo!$C$9</f>
        <v>11.9</v>
      </c>
      <c r="R883" s="39" t="n">
        <f aca="false">SUM(M883:Q883)*Resumo!$C$11</f>
        <v>2.9521316</v>
      </c>
      <c r="S883" s="39" t="n">
        <f aca="false">SUM(M883:R883)</f>
        <v>56.6272516</v>
      </c>
      <c r="T883" s="39" t="n">
        <f aca="false">S883/(1-Resumo!$C$5)</f>
        <v>64.3491495454546</v>
      </c>
      <c r="U883" s="39" t="n">
        <v>46.98</v>
      </c>
      <c r="V883" s="39" t="n">
        <f aca="false">J883*Resumo!$B$6</f>
        <v>0.23628</v>
      </c>
      <c r="W883" s="39" t="n">
        <f aca="false">J883*Resumo!$B$7</f>
        <v>0.47256</v>
      </c>
      <c r="X883" s="39" t="n">
        <f aca="false">Resumo!$B$9</f>
        <v>1</v>
      </c>
      <c r="Y883" s="39" t="n">
        <f aca="false">Resumo!$B$10*CEILING(I883/100,1)</f>
        <v>4.5</v>
      </c>
      <c r="Z883" s="39" t="n">
        <f aca="false">Resumo!$B$12*CEILING(I883,1)</f>
        <v>1.08</v>
      </c>
      <c r="AA883" s="39" t="n">
        <f aca="false">Resumo!$B$13*CEILING(I883,1)</f>
        <v>8.1</v>
      </c>
      <c r="AB883" s="39" t="n">
        <f aca="false">SUM(U883:AA883)</f>
        <v>62.36884</v>
      </c>
      <c r="AC883" s="39" t="n">
        <f aca="false">AB883/(1-Resumo!$B$5)</f>
        <v>70.8736818181818</v>
      </c>
      <c r="AD883" s="39" t="n">
        <f aca="false">(AB883-AA883)/(1-Resumo!$B$5)</f>
        <v>61.6691363636364</v>
      </c>
      <c r="AE883" s="39" t="n">
        <f aca="false">AC883-T883</f>
        <v>6.52453227272727</v>
      </c>
      <c r="AF883" s="40" t="n">
        <f aca="false">AC883/T883-1</f>
        <v>0.101392672922872</v>
      </c>
      <c r="AG883" s="37" t="str">
        <f aca="false">IF(AC883&lt;T883,"SIM","NÃO")</f>
        <v>NÃO</v>
      </c>
      <c r="AH883" s="37" t="n">
        <v>8</v>
      </c>
      <c r="AI883" s="37" t="n">
        <v>5</v>
      </c>
      <c r="AJ883" s="37" t="s">
        <v>323</v>
      </c>
    </row>
    <row r="884" customFormat="false" ht="15" hidden="false" customHeight="false" outlineLevel="0" collapsed="false">
      <c r="A884" s="37" t="n">
        <v>374763651</v>
      </c>
      <c r="B884" s="38" t="n">
        <v>46245.7363773148</v>
      </c>
      <c r="C884" s="37" t="s">
        <v>320</v>
      </c>
      <c r="D884" s="37" t="s">
        <v>1173</v>
      </c>
      <c r="E884" s="37" t="n">
        <v>28925071</v>
      </c>
      <c r="F884" s="37" t="s">
        <v>152</v>
      </c>
      <c r="G884" s="37" t="s">
        <v>201</v>
      </c>
      <c r="H884" s="37" t="s">
        <v>170</v>
      </c>
      <c r="I884" s="37" t="n">
        <v>46.8</v>
      </c>
      <c r="J884" s="39" t="n">
        <v>559.99</v>
      </c>
      <c r="K884" s="37" t="s">
        <v>498</v>
      </c>
      <c r="L884" s="39" t="n">
        <v>131.6</v>
      </c>
      <c r="M884" s="39" t="n">
        <v>94</v>
      </c>
      <c r="N884" s="39" t="n">
        <f aca="false">J884*Resumo!$C$7</f>
        <v>1.11998</v>
      </c>
      <c r="O884" s="39" t="n">
        <f aca="false">J884*Resumo!$C$8</f>
        <v>1.11998</v>
      </c>
      <c r="P884" s="39" t="n">
        <f aca="false">Resumo!$C$10*CEILING(I884/100,1)</f>
        <v>1</v>
      </c>
      <c r="Q884" s="39" t="n">
        <f aca="false">Resumo!$C$9</f>
        <v>11.9</v>
      </c>
      <c r="R884" s="39" t="n">
        <f aca="false">SUM(M884:Q884)*Resumo!$C$11</f>
        <v>6.0026978</v>
      </c>
      <c r="S884" s="39" t="n">
        <f aca="false">SUM(M884:R884)</f>
        <v>115.1426578</v>
      </c>
      <c r="T884" s="39" t="n">
        <f aca="false">S884/(1-Resumo!$C$5)</f>
        <v>130.843929318182</v>
      </c>
      <c r="U884" s="39" t="n">
        <v>129.29</v>
      </c>
      <c r="V884" s="39" t="n">
        <f aca="false">J884*Resumo!$B$6</f>
        <v>0.55999</v>
      </c>
      <c r="W884" s="39" t="n">
        <f aca="false">J884*Resumo!$B$7</f>
        <v>1.11998</v>
      </c>
      <c r="X884" s="39" t="n">
        <f aca="false">Resumo!$B$9</f>
        <v>1</v>
      </c>
      <c r="Y884" s="39" t="n">
        <f aca="false">Resumo!$B$10*CEILING(I884/100,1)</f>
        <v>4.5</v>
      </c>
      <c r="Z884" s="39" t="n">
        <f aca="false">Resumo!$B$12*CEILING(I884,1)</f>
        <v>2.82</v>
      </c>
      <c r="AA884" s="39" t="n">
        <f aca="false">Resumo!$B$13*CEILING(I884,1)</f>
        <v>21.15</v>
      </c>
      <c r="AB884" s="39" t="n">
        <f aca="false">SUM(U884:AA884)</f>
        <v>160.43997</v>
      </c>
      <c r="AC884" s="39" t="n">
        <f aca="false">AB884/(1-Resumo!$B$5)</f>
        <v>182.318147727273</v>
      </c>
      <c r="AD884" s="39" t="n">
        <f aca="false">(AB884-AA884)/(1-Resumo!$B$5)</f>
        <v>158.284056818182</v>
      </c>
      <c r="AE884" s="39" t="n">
        <f aca="false">AC884-T884</f>
        <v>51.4742184090909</v>
      </c>
      <c r="AF884" s="40" t="n">
        <f aca="false">AC884/T884-1</f>
        <v>0.393401655524405</v>
      </c>
      <c r="AG884" s="37" t="str">
        <f aca="false">IF(AC884&lt;T884,"SIM","NÃO")</f>
        <v>NÃO</v>
      </c>
      <c r="AH884" s="37" t="n">
        <v>13</v>
      </c>
      <c r="AI884" s="37" t="n">
        <v>10</v>
      </c>
      <c r="AJ884" s="37" t="s">
        <v>323</v>
      </c>
    </row>
    <row r="885" customFormat="false" ht="15" hidden="false" customHeight="false" outlineLevel="0" collapsed="false">
      <c r="A885" s="37" t="n">
        <v>374767171</v>
      </c>
      <c r="B885" s="38" t="n">
        <v>46245.7506712963</v>
      </c>
      <c r="C885" s="37" t="s">
        <v>352</v>
      </c>
      <c r="D885" s="37" t="s">
        <v>1174</v>
      </c>
      <c r="E885" s="37" t="n">
        <v>23520241</v>
      </c>
      <c r="F885" s="37" t="s">
        <v>139</v>
      </c>
      <c r="G885" s="37" t="s">
        <v>198</v>
      </c>
      <c r="H885" s="37" t="s">
        <v>170</v>
      </c>
      <c r="I885" s="37" t="n">
        <v>46.8</v>
      </c>
      <c r="J885" s="39" t="n">
        <v>587.49</v>
      </c>
      <c r="K885" s="37" t="s">
        <v>498</v>
      </c>
      <c r="L885" s="39" t="n">
        <v>104.27</v>
      </c>
      <c r="M885" s="39" t="n">
        <v>71</v>
      </c>
      <c r="N885" s="39" t="n">
        <f aca="false">J885*Resumo!$C$7</f>
        <v>1.17498</v>
      </c>
      <c r="O885" s="39" t="n">
        <f aca="false">J885*Resumo!$C$8</f>
        <v>1.17498</v>
      </c>
      <c r="P885" s="39" t="n">
        <f aca="false">Resumo!$C$10*CEILING(I885/100,1)</f>
        <v>1</v>
      </c>
      <c r="Q885" s="39" t="n">
        <f aca="false">Resumo!$C$9</f>
        <v>11.9</v>
      </c>
      <c r="R885" s="39" t="n">
        <f aca="false">SUM(M885:Q885)*Resumo!$C$11</f>
        <v>4.7437478</v>
      </c>
      <c r="S885" s="39" t="n">
        <f aca="false">SUM(M885:R885)</f>
        <v>90.9937078</v>
      </c>
      <c r="T885" s="39" t="n">
        <f aca="false">S885/(1-Resumo!$C$5)</f>
        <v>103.401940681818</v>
      </c>
      <c r="U885" s="39" t="n">
        <v>93.97</v>
      </c>
      <c r="V885" s="39" t="n">
        <f aca="false">J885*Resumo!$B$6</f>
        <v>0.58749</v>
      </c>
      <c r="W885" s="39" t="n">
        <f aca="false">J885*Resumo!$B$7</f>
        <v>1.17498</v>
      </c>
      <c r="X885" s="39" t="n">
        <f aca="false">Resumo!$B$9</f>
        <v>1</v>
      </c>
      <c r="Y885" s="39" t="n">
        <f aca="false">Resumo!$B$10*CEILING(I885/100,1)</f>
        <v>4.5</v>
      </c>
      <c r="Z885" s="39" t="n">
        <f aca="false">Resumo!$B$12*CEILING(I885,1)</f>
        <v>2.82</v>
      </c>
      <c r="AA885" s="39" t="n">
        <f aca="false">Resumo!$B$13*CEILING(I885,1)</f>
        <v>21.15</v>
      </c>
      <c r="AB885" s="39" t="n">
        <f aca="false">SUM(U885:AA885)</f>
        <v>125.20247</v>
      </c>
      <c r="AC885" s="39" t="n">
        <f aca="false">AB885/(1-Resumo!$B$5)</f>
        <v>142.275534090909</v>
      </c>
      <c r="AD885" s="39" t="n">
        <f aca="false">(AB885-AA885)/(1-Resumo!$B$5)</f>
        <v>118.241443181818</v>
      </c>
      <c r="AE885" s="39" t="n">
        <f aca="false">AC885-T885</f>
        <v>38.8735934090909</v>
      </c>
      <c r="AF885" s="40" t="n">
        <f aca="false">AC885/T885-1</f>
        <v>0.375946458574798</v>
      </c>
      <c r="AG885" s="37" t="str">
        <f aca="false">IF(AC885&lt;T885,"SIM","NÃO")</f>
        <v>NÃO</v>
      </c>
      <c r="AH885" s="37" t="n">
        <v>8</v>
      </c>
      <c r="AI885" s="37" t="n">
        <v>5</v>
      </c>
      <c r="AJ885" s="37" t="s">
        <v>323</v>
      </c>
    </row>
    <row r="886" customFormat="false" ht="15" hidden="false" customHeight="false" outlineLevel="0" collapsed="false">
      <c r="A886" s="37" t="n">
        <v>374770287</v>
      </c>
      <c r="B886" s="38" t="n">
        <v>46245.7525810185</v>
      </c>
      <c r="C886" s="37" t="s">
        <v>320</v>
      </c>
      <c r="D886" s="37" t="s">
        <v>1175</v>
      </c>
      <c r="E886" s="37" t="n">
        <v>22730150</v>
      </c>
      <c r="F886" s="37" t="s">
        <v>139</v>
      </c>
      <c r="G886" s="37" t="s">
        <v>198</v>
      </c>
      <c r="H886" s="37" t="s">
        <v>170</v>
      </c>
      <c r="I886" s="37" t="n">
        <v>48.3</v>
      </c>
      <c r="J886" s="39" t="n">
        <v>449.99</v>
      </c>
      <c r="K886" s="37" t="s">
        <v>322</v>
      </c>
      <c r="L886" s="39" t="n">
        <v>102.74</v>
      </c>
      <c r="M886" s="39" t="n">
        <v>71</v>
      </c>
      <c r="N886" s="39" t="n">
        <f aca="false">J886*Resumo!$C$7</f>
        <v>0.89998</v>
      </c>
      <c r="O886" s="39" t="n">
        <f aca="false">J886*Resumo!$C$8</f>
        <v>0.89998</v>
      </c>
      <c r="P886" s="39" t="n">
        <f aca="false">Resumo!$C$10*CEILING(I886/100,1)</f>
        <v>1</v>
      </c>
      <c r="Q886" s="39" t="n">
        <f aca="false">Resumo!$C$9</f>
        <v>11.9</v>
      </c>
      <c r="R886" s="39" t="n">
        <f aca="false">SUM(M886:Q886)*Resumo!$C$11</f>
        <v>4.7134978</v>
      </c>
      <c r="S886" s="39" t="n">
        <f aca="false">SUM(M886:R886)</f>
        <v>90.4134578</v>
      </c>
      <c r="T886" s="39" t="n">
        <f aca="false">S886/(1-Resumo!$C$5)</f>
        <v>102.742565681818</v>
      </c>
      <c r="U886" s="39" t="n">
        <v>93.97</v>
      </c>
      <c r="V886" s="39" t="n">
        <f aca="false">J886*Resumo!$B$6</f>
        <v>0.44999</v>
      </c>
      <c r="W886" s="39" t="n">
        <f aca="false">J886*Resumo!$B$7</f>
        <v>0.89998</v>
      </c>
      <c r="X886" s="39" t="n">
        <f aca="false">Resumo!$B$9</f>
        <v>1</v>
      </c>
      <c r="Y886" s="39" t="n">
        <f aca="false">Resumo!$B$10*CEILING(I886/100,1)</f>
        <v>4.5</v>
      </c>
      <c r="Z886" s="39" t="n">
        <f aca="false">Resumo!$B$12*CEILING(I886,1)</f>
        <v>2.94</v>
      </c>
      <c r="AA886" s="39" t="n">
        <f aca="false">Resumo!$B$13*CEILING(I886,1)</f>
        <v>22.05</v>
      </c>
      <c r="AB886" s="39" t="n">
        <f aca="false">SUM(U886:AA886)</f>
        <v>125.80997</v>
      </c>
      <c r="AC886" s="39" t="n">
        <f aca="false">AB886/(1-Resumo!$B$5)</f>
        <v>142.965875</v>
      </c>
      <c r="AD886" s="39" t="n">
        <f aca="false">(AB886-AA886)/(1-Resumo!$B$5)</f>
        <v>117.909056818182</v>
      </c>
      <c r="AE886" s="39" t="n">
        <f aca="false">AC886-T886</f>
        <v>40.2233093181818</v>
      </c>
      <c r="AF886" s="40" t="n">
        <f aca="false">AC886/T886-1</f>
        <v>0.39149605668549</v>
      </c>
      <c r="AG886" s="37" t="str">
        <f aca="false">IF(AC886&lt;T886,"SIM","NÃO")</f>
        <v>NÃO</v>
      </c>
      <c r="AH886" s="37" t="n">
        <v>8</v>
      </c>
      <c r="AI886" s="37" t="n">
        <v>5</v>
      </c>
      <c r="AJ886" s="37" t="s">
        <v>323</v>
      </c>
    </row>
    <row r="887" customFormat="false" ht="15" hidden="false" customHeight="false" outlineLevel="0" collapsed="false">
      <c r="A887" s="37" t="n">
        <v>374772576</v>
      </c>
      <c r="B887" s="38" t="n">
        <v>46245.7574189815</v>
      </c>
      <c r="C887" s="37" t="s">
        <v>320</v>
      </c>
      <c r="D887" s="37" t="s">
        <v>1176</v>
      </c>
      <c r="E887" s="37" t="n">
        <v>26087335</v>
      </c>
      <c r="F887" s="37" t="s">
        <v>142</v>
      </c>
      <c r="G887" s="37" t="s">
        <v>207</v>
      </c>
      <c r="H887" s="37" t="s">
        <v>175</v>
      </c>
      <c r="I887" s="37" t="n">
        <v>106.5</v>
      </c>
      <c r="J887" s="39" t="n">
        <v>1249.99</v>
      </c>
      <c r="K887" s="37" t="s">
        <v>322</v>
      </c>
      <c r="L887" s="39" t="n">
        <v>195.82</v>
      </c>
      <c r="M887" s="39" t="n">
        <v>144.44</v>
      </c>
      <c r="N887" s="39" t="n">
        <f aca="false">J887*Resumo!$C$7</f>
        <v>2.49998</v>
      </c>
      <c r="O887" s="39" t="n">
        <f aca="false">J887*Resumo!$C$8</f>
        <v>2.49998</v>
      </c>
      <c r="P887" s="39" t="n">
        <f aca="false">Resumo!$C$10*CEILING(I887/100,1)</f>
        <v>2</v>
      </c>
      <c r="Q887" s="39" t="n">
        <f aca="false">Resumo!$C$9</f>
        <v>11.9</v>
      </c>
      <c r="R887" s="39" t="n">
        <f aca="false">SUM(M887:Q887)*Resumo!$C$11</f>
        <v>8.9836978</v>
      </c>
      <c r="S887" s="39" t="n">
        <f aca="false">SUM(M887:R887)</f>
        <v>172.3236578</v>
      </c>
      <c r="T887" s="39" t="n">
        <f aca="false">S887/(1-Resumo!$C$5)</f>
        <v>195.822338409091</v>
      </c>
      <c r="U887" s="39" t="n">
        <v>201.59</v>
      </c>
      <c r="V887" s="39" t="n">
        <f aca="false">J887*Resumo!$B$6</f>
        <v>1.24999</v>
      </c>
      <c r="W887" s="39" t="n">
        <f aca="false">J887*Resumo!$B$7</f>
        <v>2.49998</v>
      </c>
      <c r="X887" s="39" t="n">
        <f aca="false">Resumo!$B$9</f>
        <v>1</v>
      </c>
      <c r="Y887" s="39" t="n">
        <f aca="false">Resumo!$B$10*CEILING(I887/100,1)</f>
        <v>9</v>
      </c>
      <c r="Z887" s="39" t="n">
        <f aca="false">Resumo!$B$12*CEILING(I887,1)</f>
        <v>6.42</v>
      </c>
      <c r="AA887" s="39" t="n">
        <f aca="false">Resumo!$B$13*CEILING(I887,1)</f>
        <v>48.15</v>
      </c>
      <c r="AB887" s="39" t="n">
        <f aca="false">SUM(U887:AA887)</f>
        <v>269.90997</v>
      </c>
      <c r="AC887" s="39" t="n">
        <f aca="false">AB887/(1-Resumo!$B$5)</f>
        <v>306.715875</v>
      </c>
      <c r="AD887" s="39" t="n">
        <f aca="false">(AB887-AA887)/(1-Resumo!$B$5)</f>
        <v>251.999965909091</v>
      </c>
      <c r="AE887" s="39" t="n">
        <f aca="false">AC887-T887</f>
        <v>110.893536590909</v>
      </c>
      <c r="AF887" s="40" t="n">
        <f aca="false">AC887/T887-1</f>
        <v>0.566296662024545</v>
      </c>
      <c r="AG887" s="37" t="str">
        <f aca="false">IF(AC887&lt;T887,"SIM","NÃO")</f>
        <v>NÃO</v>
      </c>
      <c r="AH887" s="37" t="n">
        <v>10</v>
      </c>
      <c r="AI887" s="37" t="n">
        <v>5</v>
      </c>
      <c r="AJ887" s="37" t="s">
        <v>323</v>
      </c>
    </row>
    <row r="888" customFormat="false" ht="15" hidden="false" customHeight="false" outlineLevel="0" collapsed="false">
      <c r="A888" s="37" t="n">
        <v>374784209</v>
      </c>
      <c r="B888" s="38" t="n">
        <v>46245.780462963</v>
      </c>
      <c r="C888" s="37" t="s">
        <v>325</v>
      </c>
      <c r="D888" s="37" t="s">
        <v>1177</v>
      </c>
      <c r="E888" s="37" t="n">
        <v>21815030</v>
      </c>
      <c r="F888" s="37" t="s">
        <v>139</v>
      </c>
      <c r="G888" s="37" t="s">
        <v>198</v>
      </c>
      <c r="H888" s="37" t="s">
        <v>168</v>
      </c>
      <c r="I888" s="37" t="n">
        <v>31.9</v>
      </c>
      <c r="J888" s="39" t="n">
        <v>589</v>
      </c>
      <c r="K888" s="37" t="s">
        <v>322</v>
      </c>
      <c r="L888" s="39" t="n">
        <v>83.15</v>
      </c>
      <c r="M888" s="39" t="n">
        <v>54.1</v>
      </c>
      <c r="N888" s="39" t="n">
        <f aca="false">J888*Resumo!$C$7</f>
        <v>1.178</v>
      </c>
      <c r="O888" s="39" t="n">
        <f aca="false">J888*Resumo!$C$8</f>
        <v>1.178</v>
      </c>
      <c r="P888" s="39" t="n">
        <f aca="false">Resumo!$C$10*CEILING(I888/100,1)</f>
        <v>1</v>
      </c>
      <c r="Q888" s="39" t="n">
        <f aca="false">Resumo!$C$9</f>
        <v>11.9</v>
      </c>
      <c r="R888" s="39" t="n">
        <f aca="false">SUM(M888:Q888)*Resumo!$C$11</f>
        <v>3.81458</v>
      </c>
      <c r="S888" s="39" t="n">
        <f aca="false">SUM(M888:R888)</f>
        <v>73.17058</v>
      </c>
      <c r="T888" s="39" t="n">
        <f aca="false">S888/(1-Resumo!$C$5)</f>
        <v>83.1483863636364</v>
      </c>
      <c r="U888" s="39" t="n">
        <v>82.21</v>
      </c>
      <c r="V888" s="39" t="n">
        <f aca="false">J888*Resumo!$B$6</f>
        <v>0.589</v>
      </c>
      <c r="W888" s="39" t="n">
        <f aca="false">J888*Resumo!$B$7</f>
        <v>1.178</v>
      </c>
      <c r="X888" s="39" t="n">
        <f aca="false">Resumo!$B$9</f>
        <v>1</v>
      </c>
      <c r="Y888" s="39" t="n">
        <f aca="false">Resumo!$B$10*CEILING(I888/100,1)</f>
        <v>4.5</v>
      </c>
      <c r="Z888" s="39" t="n">
        <f aca="false">Resumo!$B$12*CEILING(I888,1)</f>
        <v>1.92</v>
      </c>
      <c r="AA888" s="39" t="n">
        <f aca="false">Resumo!$B$13*CEILING(I888,1)</f>
        <v>14.4</v>
      </c>
      <c r="AB888" s="39" t="n">
        <f aca="false">SUM(U888:AA888)</f>
        <v>105.797</v>
      </c>
      <c r="AC888" s="39" t="n">
        <f aca="false">AB888/(1-Resumo!$B$5)</f>
        <v>120.223863636364</v>
      </c>
      <c r="AD888" s="39" t="n">
        <f aca="false">(AB888-AA888)/(1-Resumo!$B$5)</f>
        <v>103.860227272727</v>
      </c>
      <c r="AE888" s="39" t="n">
        <f aca="false">AC888-T888</f>
        <v>37.0754772727273</v>
      </c>
      <c r="AF888" s="40" t="n">
        <f aca="false">AC888/T888-1</f>
        <v>0.44589533115632</v>
      </c>
      <c r="AG888" s="37" t="str">
        <f aca="false">IF(AC888&lt;T888,"SIM","NÃO")</f>
        <v>NÃO</v>
      </c>
      <c r="AH888" s="37" t="n">
        <v>8</v>
      </c>
      <c r="AI888" s="37" t="n">
        <v>5</v>
      </c>
      <c r="AJ888" s="37" t="s">
        <v>323</v>
      </c>
    </row>
    <row r="889" customFormat="false" ht="15" hidden="false" customHeight="false" outlineLevel="0" collapsed="false">
      <c r="A889" s="37" t="n">
        <v>374950220</v>
      </c>
      <c r="B889" s="38" t="n">
        <v>46245.787962963</v>
      </c>
      <c r="C889" s="37" t="s">
        <v>320</v>
      </c>
      <c r="D889" s="37" t="s">
        <v>1178</v>
      </c>
      <c r="E889" s="37" t="n">
        <v>21755270</v>
      </c>
      <c r="F889" s="37" t="s">
        <v>139</v>
      </c>
      <c r="G889" s="37" t="s">
        <v>198</v>
      </c>
      <c r="H889" s="37" t="s">
        <v>172</v>
      </c>
      <c r="I889" s="37" t="n">
        <v>66</v>
      </c>
      <c r="J889" s="39" t="n">
        <v>901.98</v>
      </c>
      <c r="K889" s="37" t="s">
        <v>322</v>
      </c>
      <c r="L889" s="39" t="n">
        <v>125.52</v>
      </c>
      <c r="M889" s="39" t="n">
        <v>88.2</v>
      </c>
      <c r="N889" s="39" t="n">
        <f aca="false">J889*Resumo!$C$7</f>
        <v>1.80396</v>
      </c>
      <c r="O889" s="39" t="n">
        <f aca="false">J889*Resumo!$C$8</f>
        <v>1.80396</v>
      </c>
      <c r="P889" s="39" t="n">
        <f aca="false">Resumo!$C$10*CEILING(I889/100,1)</f>
        <v>1</v>
      </c>
      <c r="Q889" s="39" t="n">
        <f aca="false">Resumo!$C$9</f>
        <v>11.9</v>
      </c>
      <c r="R889" s="39" t="n">
        <f aca="false">SUM(M889:Q889)*Resumo!$C$11</f>
        <v>5.7589356</v>
      </c>
      <c r="S889" s="39" t="n">
        <f aca="false">SUM(M889:R889)</f>
        <v>110.4668556</v>
      </c>
      <c r="T889" s="39" t="n">
        <f aca="false">S889/(1-Resumo!$C$5)</f>
        <v>125.530517727273</v>
      </c>
      <c r="U889" s="39" t="n">
        <v>131.02</v>
      </c>
      <c r="V889" s="39" t="n">
        <f aca="false">J889*Resumo!$B$6</f>
        <v>0.90198</v>
      </c>
      <c r="W889" s="39" t="n">
        <f aca="false">J889*Resumo!$B$7</f>
        <v>1.80396</v>
      </c>
      <c r="X889" s="39" t="n">
        <f aca="false">Resumo!$B$9</f>
        <v>1</v>
      </c>
      <c r="Y889" s="39" t="n">
        <f aca="false">Resumo!$B$10*CEILING(I889/100,1)</f>
        <v>4.5</v>
      </c>
      <c r="Z889" s="39" t="n">
        <f aca="false">Resumo!$B$12*CEILING(I889,1)</f>
        <v>3.96</v>
      </c>
      <c r="AA889" s="39" t="n">
        <f aca="false">Resumo!$B$13*CEILING(I889,1)</f>
        <v>29.7</v>
      </c>
      <c r="AB889" s="39" t="n">
        <f aca="false">SUM(U889:AA889)</f>
        <v>172.88594</v>
      </c>
      <c r="AC889" s="39" t="n">
        <f aca="false">AB889/(1-Resumo!$B$5)</f>
        <v>196.461295454545</v>
      </c>
      <c r="AD889" s="39" t="n">
        <f aca="false">(AB889-AA889)/(1-Resumo!$B$5)</f>
        <v>162.711295454545</v>
      </c>
      <c r="AE889" s="39" t="n">
        <f aca="false">AC889-T889</f>
        <v>70.9307777272727</v>
      </c>
      <c r="AF889" s="40" t="n">
        <f aca="false">AC889/T889-1</f>
        <v>0.565048077642576</v>
      </c>
      <c r="AG889" s="37" t="str">
        <f aca="false">IF(AC889&lt;T889,"SIM","NÃO")</f>
        <v>NÃO</v>
      </c>
      <c r="AH889" s="37" t="n">
        <v>8</v>
      </c>
      <c r="AI889" s="37" t="n">
        <v>5</v>
      </c>
      <c r="AJ889" s="37" t="s">
        <v>323</v>
      </c>
    </row>
    <row r="890" customFormat="false" ht="15" hidden="false" customHeight="false" outlineLevel="0" collapsed="false">
      <c r="A890" s="37" t="n">
        <v>374790833</v>
      </c>
      <c r="B890" s="38" t="n">
        <v>46245.7890162037</v>
      </c>
      <c r="C890" s="37" t="s">
        <v>320</v>
      </c>
      <c r="D890" s="37" t="s">
        <v>1179</v>
      </c>
      <c r="E890" s="37" t="n">
        <v>22765455</v>
      </c>
      <c r="F890" s="37" t="s">
        <v>139</v>
      </c>
      <c r="G890" s="37" t="s">
        <v>198</v>
      </c>
      <c r="H890" s="37" t="s">
        <v>169</v>
      </c>
      <c r="I890" s="37" t="n">
        <v>36.8</v>
      </c>
      <c r="J890" s="39" t="n">
        <v>439.99</v>
      </c>
      <c r="K890" s="37" t="s">
        <v>322</v>
      </c>
      <c r="L890" s="39" t="n">
        <v>91.97</v>
      </c>
      <c r="M890" s="39" t="n">
        <v>62.05</v>
      </c>
      <c r="N890" s="39" t="n">
        <f aca="false">J890*Resumo!$C$7</f>
        <v>0.87998</v>
      </c>
      <c r="O890" s="39" t="n">
        <f aca="false">J890*Resumo!$C$8</f>
        <v>0.87998</v>
      </c>
      <c r="P890" s="39" t="n">
        <f aca="false">Resumo!$C$10*CEILING(I890/100,1)</f>
        <v>1</v>
      </c>
      <c r="Q890" s="39" t="n">
        <f aca="false">Resumo!$C$9</f>
        <v>11.9</v>
      </c>
      <c r="R890" s="39" t="n">
        <f aca="false">SUM(M890:Q890)*Resumo!$C$11</f>
        <v>4.2190478</v>
      </c>
      <c r="S890" s="39" t="n">
        <f aca="false">SUM(M890:R890)</f>
        <v>80.9290078</v>
      </c>
      <c r="T890" s="39" t="n">
        <f aca="false">S890/(1-Resumo!$C$5)</f>
        <v>91.9647815909091</v>
      </c>
      <c r="U890" s="39" t="n">
        <v>93.97</v>
      </c>
      <c r="V890" s="39" t="n">
        <f aca="false">J890*Resumo!$B$6</f>
        <v>0.43999</v>
      </c>
      <c r="W890" s="39" t="n">
        <f aca="false">J890*Resumo!$B$7</f>
        <v>0.87998</v>
      </c>
      <c r="X890" s="39" t="n">
        <f aca="false">Resumo!$B$9</f>
        <v>1</v>
      </c>
      <c r="Y890" s="39" t="n">
        <f aca="false">Resumo!$B$10*CEILING(I890/100,1)</f>
        <v>4.5</v>
      </c>
      <c r="Z890" s="39" t="n">
        <f aca="false">Resumo!$B$12*CEILING(I890,1)</f>
        <v>2.22</v>
      </c>
      <c r="AA890" s="39" t="n">
        <f aca="false">Resumo!$B$13*CEILING(I890,1)</f>
        <v>16.65</v>
      </c>
      <c r="AB890" s="39" t="n">
        <f aca="false">SUM(U890:AA890)</f>
        <v>119.65997</v>
      </c>
      <c r="AC890" s="39" t="n">
        <f aca="false">AB890/(1-Resumo!$B$5)</f>
        <v>135.977238636364</v>
      </c>
      <c r="AD890" s="39" t="n">
        <f aca="false">(AB890-AA890)/(1-Resumo!$B$5)</f>
        <v>117.056784090909</v>
      </c>
      <c r="AE890" s="39" t="n">
        <f aca="false">AC890-T890</f>
        <v>44.0124570454546</v>
      </c>
      <c r="AF890" s="40" t="n">
        <f aca="false">AC890/T890-1</f>
        <v>0.478579476665721</v>
      </c>
      <c r="AG890" s="37" t="str">
        <f aca="false">IF(AC890&lt;T890,"SIM","NÃO")</f>
        <v>NÃO</v>
      </c>
      <c r="AH890" s="37" t="n">
        <v>8</v>
      </c>
      <c r="AI890" s="37" t="n">
        <v>5</v>
      </c>
      <c r="AJ890" s="37" t="s">
        <v>323</v>
      </c>
    </row>
    <row r="891" customFormat="false" ht="15" hidden="false" customHeight="false" outlineLevel="0" collapsed="false">
      <c r="A891" s="37" t="n">
        <v>374800625</v>
      </c>
      <c r="B891" s="38" t="n">
        <v>46245.8042361111</v>
      </c>
      <c r="C891" s="37" t="s">
        <v>320</v>
      </c>
      <c r="D891" s="37" t="s">
        <v>1180</v>
      </c>
      <c r="E891" s="37" t="n">
        <v>21833050</v>
      </c>
      <c r="F891" s="37" t="s">
        <v>139</v>
      </c>
      <c r="G891" s="37" t="s">
        <v>198</v>
      </c>
      <c r="H891" s="37" t="s">
        <v>176</v>
      </c>
      <c r="I891" s="37" t="n">
        <v>127.8</v>
      </c>
      <c r="J891" s="39" t="n">
        <v>1429.99</v>
      </c>
      <c r="K891" s="37" t="s">
        <v>322</v>
      </c>
      <c r="L891" s="39" t="n">
        <v>233.15</v>
      </c>
      <c r="M891" s="39" t="n">
        <v>174.85</v>
      </c>
      <c r="N891" s="39" t="n">
        <f aca="false">J891*Resumo!$C$7</f>
        <v>2.85998</v>
      </c>
      <c r="O891" s="39" t="n">
        <f aca="false">J891*Resumo!$C$8</f>
        <v>2.85998</v>
      </c>
      <c r="P891" s="39" t="n">
        <f aca="false">Resumo!$C$10*CEILING(I891/100,1)</f>
        <v>2</v>
      </c>
      <c r="Q891" s="39" t="n">
        <f aca="false">Resumo!$C$9</f>
        <v>11.9</v>
      </c>
      <c r="R891" s="39" t="n">
        <f aca="false">SUM(M891:Q891)*Resumo!$C$11</f>
        <v>10.6958478</v>
      </c>
      <c r="S891" s="39" t="n">
        <f aca="false">SUM(M891:R891)</f>
        <v>205.1658078</v>
      </c>
      <c r="T891" s="39" t="n">
        <f aca="false">S891/(1-Resumo!$C$5)</f>
        <v>233.142963409091</v>
      </c>
      <c r="U891" s="39" t="n">
        <v>239.25</v>
      </c>
      <c r="V891" s="39" t="n">
        <f aca="false">J891*Resumo!$B$6</f>
        <v>1.42999</v>
      </c>
      <c r="W891" s="39" t="n">
        <f aca="false">J891*Resumo!$B$7</f>
        <v>2.85998</v>
      </c>
      <c r="X891" s="39" t="n">
        <f aca="false">Resumo!$B$9</f>
        <v>1</v>
      </c>
      <c r="Y891" s="39" t="n">
        <f aca="false">Resumo!$B$10*CEILING(I891/100,1)</f>
        <v>9</v>
      </c>
      <c r="Z891" s="39" t="n">
        <f aca="false">Resumo!$B$12*CEILING(I891,1)</f>
        <v>7.68</v>
      </c>
      <c r="AA891" s="39" t="n">
        <f aca="false">Resumo!$B$13*CEILING(I891,1)</f>
        <v>57.6</v>
      </c>
      <c r="AB891" s="39" t="n">
        <f aca="false">SUM(U891:AA891)</f>
        <v>318.81997</v>
      </c>
      <c r="AC891" s="39" t="n">
        <f aca="false">AB891/(1-Resumo!$B$5)</f>
        <v>362.295420454546</v>
      </c>
      <c r="AD891" s="39" t="n">
        <f aca="false">(AB891-AA891)/(1-Resumo!$B$5)</f>
        <v>296.840875</v>
      </c>
      <c r="AE891" s="39" t="n">
        <f aca="false">AC891-T891</f>
        <v>129.152457045455</v>
      </c>
      <c r="AF891" s="40" t="n">
        <f aca="false">AC891/T891-1</f>
        <v>0.553962492184821</v>
      </c>
      <c r="AG891" s="37" t="str">
        <f aca="false">IF(AC891&lt;T891,"SIM","NÃO")</f>
        <v>NÃO</v>
      </c>
      <c r="AH891" s="37" t="n">
        <v>8</v>
      </c>
      <c r="AI891" s="37" t="n">
        <v>5</v>
      </c>
      <c r="AJ891" s="37" t="s">
        <v>323</v>
      </c>
    </row>
    <row r="892" customFormat="false" ht="15" hidden="false" customHeight="false" outlineLevel="0" collapsed="false">
      <c r="A892" s="37" t="n">
        <v>374809160</v>
      </c>
      <c r="B892" s="38" t="n">
        <v>46245.8224189815</v>
      </c>
      <c r="C892" s="37" t="s">
        <v>325</v>
      </c>
      <c r="D892" s="37" t="s">
        <v>1181</v>
      </c>
      <c r="E892" s="37" t="n">
        <v>22783116</v>
      </c>
      <c r="F892" s="37" t="s">
        <v>139</v>
      </c>
      <c r="G892" s="37" t="s">
        <v>198</v>
      </c>
      <c r="H892" s="37" t="s">
        <v>171</v>
      </c>
      <c r="I892" s="37" t="n">
        <v>56.7</v>
      </c>
      <c r="J892" s="39" t="n">
        <v>698.39</v>
      </c>
      <c r="K892" s="37" t="s">
        <v>322</v>
      </c>
      <c r="L892" s="39" t="n">
        <v>114.5</v>
      </c>
      <c r="M892" s="39" t="n">
        <v>79.81</v>
      </c>
      <c r="N892" s="39" t="n">
        <f aca="false">J892*Resumo!$C$7</f>
        <v>1.39678</v>
      </c>
      <c r="O892" s="39" t="n">
        <f aca="false">J892*Resumo!$C$8</f>
        <v>1.39678</v>
      </c>
      <c r="P892" s="39" t="n">
        <f aca="false">Resumo!$C$10*CEILING(I892/100,1)</f>
        <v>1</v>
      </c>
      <c r="Q892" s="39" t="n">
        <f aca="false">Resumo!$C$9</f>
        <v>11.9</v>
      </c>
      <c r="R892" s="39" t="n">
        <f aca="false">SUM(M892:Q892)*Resumo!$C$11</f>
        <v>5.2526958</v>
      </c>
      <c r="S892" s="39" t="n">
        <f aca="false">SUM(M892:R892)</f>
        <v>100.7562558</v>
      </c>
      <c r="T892" s="39" t="n">
        <f aca="false">S892/(1-Resumo!$C$5)</f>
        <v>114.495745227273</v>
      </c>
      <c r="U892" s="39" t="n">
        <v>112.3</v>
      </c>
      <c r="V892" s="39" t="n">
        <f aca="false">J892*Resumo!$B$6</f>
        <v>0.69839</v>
      </c>
      <c r="W892" s="39" t="n">
        <f aca="false">J892*Resumo!$B$7</f>
        <v>1.39678</v>
      </c>
      <c r="X892" s="39" t="n">
        <f aca="false">Resumo!$B$9</f>
        <v>1</v>
      </c>
      <c r="Y892" s="39" t="n">
        <f aca="false">Resumo!$B$10*CEILING(I892/100,1)</f>
        <v>4.5</v>
      </c>
      <c r="Z892" s="39" t="n">
        <f aca="false">Resumo!$B$12*CEILING(I892,1)</f>
        <v>3.42</v>
      </c>
      <c r="AA892" s="39" t="n">
        <f aca="false">Resumo!$B$13*CEILING(I892,1)</f>
        <v>25.65</v>
      </c>
      <c r="AB892" s="39" t="n">
        <f aca="false">SUM(U892:AA892)</f>
        <v>148.96517</v>
      </c>
      <c r="AC892" s="39" t="n">
        <f aca="false">AB892/(1-Resumo!$B$5)</f>
        <v>169.278602272727</v>
      </c>
      <c r="AD892" s="39" t="n">
        <f aca="false">(AB892-AA892)/(1-Resumo!$B$5)</f>
        <v>140.130875</v>
      </c>
      <c r="AE892" s="39" t="n">
        <f aca="false">AC892-T892</f>
        <v>54.7828570454546</v>
      </c>
      <c r="AF892" s="40" t="n">
        <f aca="false">AC892/T892-1</f>
        <v>0.478470679733218</v>
      </c>
      <c r="AG892" s="37" t="str">
        <f aca="false">IF(AC892&lt;T892,"SIM","NÃO")</f>
        <v>NÃO</v>
      </c>
      <c r="AH892" s="37" t="n">
        <v>8</v>
      </c>
      <c r="AI892" s="37" t="n">
        <v>5</v>
      </c>
      <c r="AJ892" s="37" t="s">
        <v>323</v>
      </c>
    </row>
    <row r="893" customFormat="false" ht="15" hidden="false" customHeight="false" outlineLevel="0" collapsed="false">
      <c r="A893" s="37" t="n">
        <v>374823827</v>
      </c>
      <c r="B893" s="38" t="n">
        <v>46245.8471875</v>
      </c>
      <c r="C893" s="37" t="s">
        <v>320</v>
      </c>
      <c r="D893" s="37" t="s">
        <v>1182</v>
      </c>
      <c r="E893" s="37" t="n">
        <v>23093146</v>
      </c>
      <c r="F893" s="37" t="s">
        <v>139</v>
      </c>
      <c r="G893" s="37" t="s">
        <v>198</v>
      </c>
      <c r="H893" s="37" t="s">
        <v>169</v>
      </c>
      <c r="I893" s="37" t="n">
        <v>37.6</v>
      </c>
      <c r="J893" s="39" t="n">
        <v>391.05</v>
      </c>
      <c r="K893" s="37" t="s">
        <v>498</v>
      </c>
      <c r="L893" s="39" t="n">
        <v>92.83</v>
      </c>
      <c r="M893" s="39" t="n">
        <v>62.05</v>
      </c>
      <c r="N893" s="39" t="n">
        <f aca="false">J893*Resumo!$C$7</f>
        <v>0.7821</v>
      </c>
      <c r="O893" s="39" t="n">
        <f aca="false">J893*Resumo!$C$8</f>
        <v>0.7821</v>
      </c>
      <c r="P893" s="39" t="n">
        <f aca="false">Resumo!$C$10*CEILING(I893/100,1)</f>
        <v>1</v>
      </c>
      <c r="Q893" s="39" t="n">
        <f aca="false">Resumo!$C$9</f>
        <v>11.9</v>
      </c>
      <c r="R893" s="39" t="n">
        <f aca="false">SUM(M893:Q893)*Resumo!$C$11</f>
        <v>4.208281</v>
      </c>
      <c r="S893" s="39" t="n">
        <f aca="false">SUM(M893:R893)</f>
        <v>80.722481</v>
      </c>
      <c r="T893" s="39" t="n">
        <f aca="false">S893/(1-Resumo!$C$5)</f>
        <v>91.7300920454545</v>
      </c>
      <c r="U893" s="39" t="n">
        <v>93.97</v>
      </c>
      <c r="V893" s="39" t="n">
        <f aca="false">J893*Resumo!$B$6</f>
        <v>0.39105</v>
      </c>
      <c r="W893" s="39" t="n">
        <f aca="false">J893*Resumo!$B$7</f>
        <v>0.7821</v>
      </c>
      <c r="X893" s="39" t="n">
        <f aca="false">Resumo!$B$9</f>
        <v>1</v>
      </c>
      <c r="Y893" s="39" t="n">
        <f aca="false">Resumo!$B$10*CEILING(I893/100,1)</f>
        <v>4.5</v>
      </c>
      <c r="Z893" s="39" t="n">
        <f aca="false">Resumo!$B$12*CEILING(I893,1)</f>
        <v>2.28</v>
      </c>
      <c r="AA893" s="39" t="n">
        <f aca="false">Resumo!$B$13*CEILING(I893,1)</f>
        <v>17.1</v>
      </c>
      <c r="AB893" s="39" t="n">
        <f aca="false">SUM(U893:AA893)</f>
        <v>120.02315</v>
      </c>
      <c r="AC893" s="39" t="n">
        <f aca="false">AB893/(1-Resumo!$B$5)</f>
        <v>136.389943181818</v>
      </c>
      <c r="AD893" s="39" t="n">
        <f aca="false">(AB893-AA893)/(1-Resumo!$B$5)</f>
        <v>116.958125</v>
      </c>
      <c r="AE893" s="39" t="n">
        <f aca="false">AC893-T893</f>
        <v>44.6598511363636</v>
      </c>
      <c r="AF893" s="40" t="n">
        <f aca="false">AC893/T893-1</f>
        <v>0.48686151011637</v>
      </c>
      <c r="AG893" s="37" t="str">
        <f aca="false">IF(AC893&lt;T893,"SIM","NÃO")</f>
        <v>NÃO</v>
      </c>
      <c r="AH893" s="37" t="n">
        <v>8</v>
      </c>
      <c r="AI893" s="37" t="n">
        <v>5</v>
      </c>
      <c r="AJ893" s="37" t="s">
        <v>323</v>
      </c>
    </row>
    <row r="894" customFormat="false" ht="15" hidden="false" customHeight="false" outlineLevel="0" collapsed="false">
      <c r="A894" s="37" t="n">
        <v>374836618</v>
      </c>
      <c r="B894" s="38" t="n">
        <v>46245.8625</v>
      </c>
      <c r="C894" s="37" t="s">
        <v>320</v>
      </c>
      <c r="D894" s="37" t="s">
        <v>532</v>
      </c>
      <c r="E894" s="37" t="n">
        <v>28540000</v>
      </c>
      <c r="F894" s="37" t="s">
        <v>261</v>
      </c>
      <c r="G894" s="37" t="s">
        <v>201</v>
      </c>
      <c r="H894" s="37" t="s">
        <v>171</v>
      </c>
      <c r="I894" s="37" t="n">
        <v>52.3</v>
      </c>
      <c r="J894" s="39" t="n">
        <v>616.99</v>
      </c>
      <c r="K894" s="37" t="s">
        <v>498</v>
      </c>
      <c r="L894" s="39" t="n">
        <v>141.63</v>
      </c>
      <c r="M894" s="39" t="n">
        <v>103.6</v>
      </c>
      <c r="N894" s="39" t="n">
        <f aca="false">J894*Resumo!$C$7</f>
        <v>1.23398</v>
      </c>
      <c r="O894" s="39" t="n">
        <f aca="false">J894*Resumo!$C$8</f>
        <v>1.23398</v>
      </c>
      <c r="P894" s="39" t="n">
        <f aca="false">Resumo!$C$10*CEILING(I894/100,1)</f>
        <v>1</v>
      </c>
      <c r="Q894" s="39" t="n">
        <f aca="false">Resumo!$C$9</f>
        <v>11.9</v>
      </c>
      <c r="R894" s="39" t="n">
        <f aca="false">SUM(M894:Q894)*Resumo!$C$11</f>
        <v>6.5432378</v>
      </c>
      <c r="S894" s="39" t="n">
        <f aca="false">SUM(M894:R894)</f>
        <v>125.5111978</v>
      </c>
      <c r="T894" s="39" t="n">
        <f aca="false">S894/(1-Resumo!$C$5)</f>
        <v>142.626361136364</v>
      </c>
      <c r="U894" s="39" t="n">
        <v>144.53</v>
      </c>
      <c r="V894" s="39" t="n">
        <f aca="false">J894*Resumo!$B$6</f>
        <v>0.61699</v>
      </c>
      <c r="W894" s="39" t="n">
        <f aca="false">J894*Resumo!$B$7</f>
        <v>1.23398</v>
      </c>
      <c r="X894" s="39" t="n">
        <f aca="false">Resumo!$B$9</f>
        <v>1</v>
      </c>
      <c r="Y894" s="39" t="n">
        <f aca="false">Resumo!$B$10*CEILING(I894/100,1)</f>
        <v>4.5</v>
      </c>
      <c r="Z894" s="39" t="n">
        <f aca="false">Resumo!$B$12*CEILING(I894,1)</f>
        <v>3.18</v>
      </c>
      <c r="AA894" s="39" t="n">
        <f aca="false">Resumo!$B$13*CEILING(I894,1)</f>
        <v>23.85</v>
      </c>
      <c r="AB894" s="39" t="n">
        <f aca="false">SUM(U894:AA894)</f>
        <v>178.91097</v>
      </c>
      <c r="AC894" s="39" t="n">
        <f aca="false">AB894/(1-Resumo!$B$5)</f>
        <v>203.307920454545</v>
      </c>
      <c r="AD894" s="39" t="n">
        <f aca="false">(AB894-AA894)/(1-Resumo!$B$5)</f>
        <v>176.205647727273</v>
      </c>
      <c r="AE894" s="39" t="n">
        <f aca="false">AC894-T894</f>
        <v>60.6815593181818</v>
      </c>
      <c r="AF894" s="40" t="n">
        <f aca="false">AC894/T894-1</f>
        <v>0.425458231106133</v>
      </c>
      <c r="AG894" s="37" t="str">
        <f aca="false">IF(AC894&lt;T894,"SIM","NÃO")</f>
        <v>NÃO</v>
      </c>
      <c r="AH894" s="37" t="n">
        <v>13</v>
      </c>
      <c r="AI894" s="37" t="n">
        <v>10</v>
      </c>
      <c r="AJ894" s="37" t="s">
        <v>327</v>
      </c>
    </row>
    <row r="895" customFormat="false" ht="15" hidden="false" customHeight="false" outlineLevel="0" collapsed="false">
      <c r="A895" s="37" t="n">
        <v>374839975</v>
      </c>
      <c r="B895" s="38" t="n">
        <v>46245.8667824074</v>
      </c>
      <c r="C895" s="37" t="s">
        <v>320</v>
      </c>
      <c r="D895" s="37" t="s">
        <v>1183</v>
      </c>
      <c r="E895" s="37" t="n">
        <v>22750300</v>
      </c>
      <c r="F895" s="37" t="s">
        <v>139</v>
      </c>
      <c r="G895" s="37" t="s">
        <v>198</v>
      </c>
      <c r="H895" s="37" t="s">
        <v>171</v>
      </c>
      <c r="I895" s="37" t="n">
        <v>52.3</v>
      </c>
      <c r="J895" s="39" t="n">
        <v>643.99</v>
      </c>
      <c r="K895" s="37" t="s">
        <v>322</v>
      </c>
      <c r="L895" s="39" t="n">
        <v>114.24</v>
      </c>
      <c r="M895" s="39" t="n">
        <v>79.81</v>
      </c>
      <c r="N895" s="39" t="n">
        <f aca="false">J895*Resumo!$C$7</f>
        <v>1.28798</v>
      </c>
      <c r="O895" s="39" t="n">
        <f aca="false">J895*Resumo!$C$8</f>
        <v>1.28798</v>
      </c>
      <c r="P895" s="39" t="n">
        <f aca="false">Resumo!$C$10*CEILING(I895/100,1)</f>
        <v>1</v>
      </c>
      <c r="Q895" s="39" t="n">
        <f aca="false">Resumo!$C$9</f>
        <v>11.9</v>
      </c>
      <c r="R895" s="39" t="n">
        <f aca="false">SUM(M895:Q895)*Resumo!$C$11</f>
        <v>5.2407278</v>
      </c>
      <c r="S895" s="39" t="n">
        <f aca="false">SUM(M895:R895)</f>
        <v>100.5266878</v>
      </c>
      <c r="T895" s="39" t="n">
        <f aca="false">S895/(1-Resumo!$C$5)</f>
        <v>114.2348725</v>
      </c>
      <c r="U895" s="39" t="n">
        <v>112.3</v>
      </c>
      <c r="V895" s="39" t="n">
        <f aca="false">J895*Resumo!$B$6</f>
        <v>0.64399</v>
      </c>
      <c r="W895" s="39" t="n">
        <f aca="false">J895*Resumo!$B$7</f>
        <v>1.28798</v>
      </c>
      <c r="X895" s="39" t="n">
        <f aca="false">Resumo!$B$9</f>
        <v>1</v>
      </c>
      <c r="Y895" s="39" t="n">
        <f aca="false">Resumo!$B$10*CEILING(I895/100,1)</f>
        <v>4.5</v>
      </c>
      <c r="Z895" s="39" t="n">
        <f aca="false">Resumo!$B$12*CEILING(I895,1)</f>
        <v>3.18</v>
      </c>
      <c r="AA895" s="39" t="n">
        <f aca="false">Resumo!$B$13*CEILING(I895,1)</f>
        <v>23.85</v>
      </c>
      <c r="AB895" s="39" t="n">
        <f aca="false">SUM(U895:AA895)</f>
        <v>146.76197</v>
      </c>
      <c r="AC895" s="39" t="n">
        <f aca="false">AB895/(1-Resumo!$B$5)</f>
        <v>166.774965909091</v>
      </c>
      <c r="AD895" s="39" t="n">
        <f aca="false">(AB895-AA895)/(1-Resumo!$B$5)</f>
        <v>139.672693181818</v>
      </c>
      <c r="AE895" s="39" t="n">
        <f aca="false">AC895-T895</f>
        <v>52.5400934090909</v>
      </c>
      <c r="AF895" s="40" t="n">
        <f aca="false">AC895/T895-1</f>
        <v>0.459930424565326</v>
      </c>
      <c r="AG895" s="37" t="str">
        <f aca="false">IF(AC895&lt;T895,"SIM","NÃO")</f>
        <v>NÃO</v>
      </c>
      <c r="AH895" s="37" t="n">
        <v>8</v>
      </c>
      <c r="AI895" s="37" t="n">
        <v>5</v>
      </c>
      <c r="AJ895" s="37" t="s">
        <v>323</v>
      </c>
    </row>
    <row r="896" customFormat="false" ht="15" hidden="false" customHeight="false" outlineLevel="0" collapsed="false">
      <c r="A896" s="37" t="n">
        <v>374857412</v>
      </c>
      <c r="B896" s="38" t="n">
        <v>46245.8897337963</v>
      </c>
      <c r="C896" s="37" t="s">
        <v>325</v>
      </c>
      <c r="D896" s="37" t="s">
        <v>1184</v>
      </c>
      <c r="E896" s="37" t="n">
        <v>21236020</v>
      </c>
      <c r="F896" s="37" t="s">
        <v>139</v>
      </c>
      <c r="G896" s="37" t="s">
        <v>198</v>
      </c>
      <c r="H896" s="37" t="s">
        <v>171</v>
      </c>
      <c r="I896" s="37" t="n">
        <v>52.3</v>
      </c>
      <c r="J896" s="39" t="n">
        <v>640.18</v>
      </c>
      <c r="K896" s="37" t="s">
        <v>322</v>
      </c>
      <c r="L896" s="39" t="n">
        <v>114.22</v>
      </c>
      <c r="M896" s="39" t="n">
        <v>79.81</v>
      </c>
      <c r="N896" s="39" t="n">
        <f aca="false">J896*Resumo!$C$7</f>
        <v>1.28036</v>
      </c>
      <c r="O896" s="39" t="n">
        <f aca="false">J896*Resumo!$C$8</f>
        <v>1.28036</v>
      </c>
      <c r="P896" s="39" t="n">
        <f aca="false">Resumo!$C$10*CEILING(I896/100,1)</f>
        <v>1</v>
      </c>
      <c r="Q896" s="39" t="n">
        <f aca="false">Resumo!$C$9</f>
        <v>11.9</v>
      </c>
      <c r="R896" s="39" t="n">
        <f aca="false">SUM(M896:Q896)*Resumo!$C$11</f>
        <v>5.2398896</v>
      </c>
      <c r="S896" s="39" t="n">
        <f aca="false">SUM(M896:R896)</f>
        <v>100.5106096</v>
      </c>
      <c r="T896" s="39" t="n">
        <f aca="false">S896/(1-Resumo!$C$5)</f>
        <v>114.216601818182</v>
      </c>
      <c r="U896" s="39" t="n">
        <v>112.3</v>
      </c>
      <c r="V896" s="39" t="n">
        <f aca="false">J896*Resumo!$B$6</f>
        <v>0.64018</v>
      </c>
      <c r="W896" s="39" t="n">
        <f aca="false">J896*Resumo!$B$7</f>
        <v>1.28036</v>
      </c>
      <c r="X896" s="39" t="n">
        <f aca="false">Resumo!$B$9</f>
        <v>1</v>
      </c>
      <c r="Y896" s="39" t="n">
        <f aca="false">Resumo!$B$10*CEILING(I896/100,1)</f>
        <v>4.5</v>
      </c>
      <c r="Z896" s="39" t="n">
        <f aca="false">Resumo!$B$12*CEILING(I896,1)</f>
        <v>3.18</v>
      </c>
      <c r="AA896" s="39" t="n">
        <f aca="false">Resumo!$B$13*CEILING(I896,1)</f>
        <v>23.85</v>
      </c>
      <c r="AB896" s="39" t="n">
        <f aca="false">SUM(U896:AA896)</f>
        <v>146.75054</v>
      </c>
      <c r="AC896" s="39" t="n">
        <f aca="false">AB896/(1-Resumo!$B$5)</f>
        <v>166.761977272727</v>
      </c>
      <c r="AD896" s="39" t="n">
        <f aca="false">(AB896-AA896)/(1-Resumo!$B$5)</f>
        <v>139.659704545455</v>
      </c>
      <c r="AE896" s="39" t="n">
        <f aca="false">AC896-T896</f>
        <v>52.5453754545455</v>
      </c>
      <c r="AF896" s="40" t="n">
        <f aca="false">AC896/T896-1</f>
        <v>0.460050243292923</v>
      </c>
      <c r="AG896" s="37" t="str">
        <f aca="false">IF(AC896&lt;T896,"SIM","NÃO")</f>
        <v>NÃO</v>
      </c>
      <c r="AH896" s="37" t="n">
        <v>8</v>
      </c>
      <c r="AI896" s="37" t="n">
        <v>5</v>
      </c>
      <c r="AJ896" s="37" t="s">
        <v>323</v>
      </c>
    </row>
    <row r="897" customFormat="false" ht="15" hidden="false" customHeight="false" outlineLevel="0" collapsed="false">
      <c r="A897" s="37" t="n">
        <v>374862950</v>
      </c>
      <c r="B897" s="38" t="n">
        <v>46245.8984490741</v>
      </c>
      <c r="C897" s="37" t="s">
        <v>325</v>
      </c>
      <c r="D897" s="37" t="s">
        <v>1185</v>
      </c>
      <c r="E897" s="37" t="n">
        <v>23032310</v>
      </c>
      <c r="F897" s="37" t="s">
        <v>139</v>
      </c>
      <c r="G897" s="37" t="s">
        <v>198</v>
      </c>
      <c r="H897" s="37" t="s">
        <v>169</v>
      </c>
      <c r="I897" s="37" t="n">
        <v>36.8</v>
      </c>
      <c r="J897" s="39" t="n">
        <v>444.99</v>
      </c>
      <c r="K897" s="37" t="s">
        <v>498</v>
      </c>
      <c r="L897" s="39" t="n">
        <v>92.57</v>
      </c>
      <c r="M897" s="39" t="n">
        <v>62.05</v>
      </c>
      <c r="N897" s="39" t="n">
        <f aca="false">J897*Resumo!$C$7</f>
        <v>0.88998</v>
      </c>
      <c r="O897" s="39" t="n">
        <f aca="false">J897*Resumo!$C$8</f>
        <v>0.88998</v>
      </c>
      <c r="P897" s="39" t="n">
        <f aca="false">Resumo!$C$10*CEILING(I897/100,1)</f>
        <v>1</v>
      </c>
      <c r="Q897" s="39" t="n">
        <f aca="false">Resumo!$C$9</f>
        <v>11.9</v>
      </c>
      <c r="R897" s="39" t="n">
        <f aca="false">SUM(M897:Q897)*Resumo!$C$11</f>
        <v>4.2201478</v>
      </c>
      <c r="S897" s="39" t="n">
        <f aca="false">SUM(M897:R897)</f>
        <v>80.9501078</v>
      </c>
      <c r="T897" s="39" t="n">
        <f aca="false">S897/(1-Resumo!$C$5)</f>
        <v>91.9887588636364</v>
      </c>
      <c r="U897" s="39" t="n">
        <v>93.97</v>
      </c>
      <c r="V897" s="39" t="n">
        <f aca="false">J897*Resumo!$B$6</f>
        <v>0.44499</v>
      </c>
      <c r="W897" s="39" t="n">
        <f aca="false">J897*Resumo!$B$7</f>
        <v>0.88998</v>
      </c>
      <c r="X897" s="39" t="n">
        <f aca="false">Resumo!$B$9</f>
        <v>1</v>
      </c>
      <c r="Y897" s="39" t="n">
        <f aca="false">Resumo!$B$10*CEILING(I897/100,1)</f>
        <v>4.5</v>
      </c>
      <c r="Z897" s="39" t="n">
        <f aca="false">Resumo!$B$12*CEILING(I897,1)</f>
        <v>2.22</v>
      </c>
      <c r="AA897" s="39" t="n">
        <f aca="false">Resumo!$B$13*CEILING(I897,1)</f>
        <v>16.65</v>
      </c>
      <c r="AB897" s="39" t="n">
        <f aca="false">SUM(U897:AA897)</f>
        <v>119.67497</v>
      </c>
      <c r="AC897" s="39" t="n">
        <f aca="false">AB897/(1-Resumo!$B$5)</f>
        <v>135.994284090909</v>
      </c>
      <c r="AD897" s="39" t="n">
        <f aca="false">(AB897-AA897)/(1-Resumo!$B$5)</f>
        <v>117.073829545455</v>
      </c>
      <c r="AE897" s="39" t="n">
        <f aca="false">AC897-T897</f>
        <v>44.0055252272727</v>
      </c>
      <c r="AF897" s="40" t="n">
        <f aca="false">AC897/T897-1</f>
        <v>0.478379377772737</v>
      </c>
      <c r="AG897" s="37" t="str">
        <f aca="false">IF(AC897&lt;T897,"SIM","NÃO")</f>
        <v>NÃO</v>
      </c>
      <c r="AH897" s="37" t="n">
        <v>8</v>
      </c>
      <c r="AI897" s="37" t="n">
        <v>5</v>
      </c>
      <c r="AJ897" s="37" t="s">
        <v>323</v>
      </c>
    </row>
    <row r="898" customFormat="false" ht="15" hidden="false" customHeight="false" outlineLevel="0" collapsed="false">
      <c r="A898" s="37" t="n">
        <v>374863275</v>
      </c>
      <c r="B898" s="38" t="n">
        <v>46245.8988078704</v>
      </c>
      <c r="C898" s="37" t="s">
        <v>320</v>
      </c>
      <c r="D898" s="37" t="s">
        <v>1186</v>
      </c>
      <c r="E898" s="37" t="n">
        <v>26562040</v>
      </c>
      <c r="F898" s="37" t="s">
        <v>155</v>
      </c>
      <c r="G898" s="37" t="s">
        <v>207</v>
      </c>
      <c r="H898" s="37" t="s">
        <v>168</v>
      </c>
      <c r="I898" s="37" t="n">
        <v>33.3</v>
      </c>
      <c r="J898" s="39" t="n">
        <v>389.99</v>
      </c>
      <c r="K898" s="37" t="s">
        <v>498</v>
      </c>
      <c r="L898" s="39" t="n">
        <v>102.66</v>
      </c>
      <c r="M898" s="39" t="n">
        <v>70</v>
      </c>
      <c r="N898" s="39" t="n">
        <f aca="false">J898*Resumo!$C$7</f>
        <v>0.77998</v>
      </c>
      <c r="O898" s="39" t="n">
        <f aca="false">J898*Resumo!$C$8</f>
        <v>0.77998</v>
      </c>
      <c r="P898" s="39" t="n">
        <f aca="false">Resumo!$C$10*CEILING(I898/100,1)</f>
        <v>1</v>
      </c>
      <c r="Q898" s="39" t="n">
        <f aca="false">Resumo!$C$9</f>
        <v>11.9</v>
      </c>
      <c r="R898" s="39" t="n">
        <f aca="false">SUM(M898:Q898)*Resumo!$C$11</f>
        <v>4.6452978</v>
      </c>
      <c r="S898" s="39" t="n">
        <f aca="false">SUM(M898:R898)</f>
        <v>89.1052578</v>
      </c>
      <c r="T898" s="39" t="n">
        <f aca="false">S898/(1-Resumo!$C$5)</f>
        <v>101.255974772727</v>
      </c>
      <c r="U898" s="39" t="n">
        <v>82.21</v>
      </c>
      <c r="V898" s="39" t="n">
        <f aca="false">J898*Resumo!$B$6</f>
        <v>0.38999</v>
      </c>
      <c r="W898" s="39" t="n">
        <f aca="false">J898*Resumo!$B$7</f>
        <v>0.77998</v>
      </c>
      <c r="X898" s="39" t="n">
        <f aca="false">Resumo!$B$9</f>
        <v>1</v>
      </c>
      <c r="Y898" s="39" t="n">
        <f aca="false">Resumo!$B$10*CEILING(I898/100,1)</f>
        <v>4.5</v>
      </c>
      <c r="Z898" s="39" t="n">
        <f aca="false">Resumo!$B$12*CEILING(I898,1)</f>
        <v>2.04</v>
      </c>
      <c r="AA898" s="39" t="n">
        <f aca="false">Resumo!$B$13*CEILING(I898,1)</f>
        <v>15.3</v>
      </c>
      <c r="AB898" s="39" t="n">
        <f aca="false">SUM(U898:AA898)</f>
        <v>106.21997</v>
      </c>
      <c r="AC898" s="39" t="n">
        <f aca="false">AB898/(1-Resumo!$B$5)</f>
        <v>120.704511363636</v>
      </c>
      <c r="AD898" s="39" t="n">
        <f aca="false">(AB898-AA898)/(1-Resumo!$B$5)</f>
        <v>103.318147727273</v>
      </c>
      <c r="AE898" s="39" t="n">
        <f aca="false">AC898-T898</f>
        <v>19.4485365909091</v>
      </c>
      <c r="AF898" s="40" t="n">
        <f aca="false">AC898/T898-1</f>
        <v>0.19207297776316</v>
      </c>
      <c r="AG898" s="37" t="str">
        <f aca="false">IF(AC898&lt;T898,"SIM","NÃO")</f>
        <v>NÃO</v>
      </c>
      <c r="AH898" s="37" t="n">
        <v>10</v>
      </c>
      <c r="AI898" s="37" t="n">
        <v>5</v>
      </c>
      <c r="AJ898" s="37" t="s">
        <v>323</v>
      </c>
    </row>
    <row r="899" customFormat="false" ht="15" hidden="false" customHeight="false" outlineLevel="0" collapsed="false">
      <c r="A899" s="37" t="n">
        <v>374880207</v>
      </c>
      <c r="B899" s="38" t="n">
        <v>46245.9190277778</v>
      </c>
      <c r="C899" s="37" t="s">
        <v>325</v>
      </c>
      <c r="D899" s="37" t="s">
        <v>1187</v>
      </c>
      <c r="E899" s="37" t="n">
        <v>20785342</v>
      </c>
      <c r="F899" s="37" t="s">
        <v>139</v>
      </c>
      <c r="G899" s="37" t="s">
        <v>198</v>
      </c>
      <c r="H899" s="37" t="s">
        <v>171</v>
      </c>
      <c r="I899" s="37" t="n">
        <v>54.1</v>
      </c>
      <c r="J899" s="39" t="n">
        <v>1023.68</v>
      </c>
      <c r="K899" s="37" t="s">
        <v>322</v>
      </c>
      <c r="L899" s="39" t="n">
        <v>116.06</v>
      </c>
      <c r="M899" s="39" t="n">
        <v>79.81</v>
      </c>
      <c r="N899" s="39" t="n">
        <f aca="false">J899*Resumo!$C$7</f>
        <v>2.04736</v>
      </c>
      <c r="O899" s="39" t="n">
        <f aca="false">J899*Resumo!$C$8</f>
        <v>2.04736</v>
      </c>
      <c r="P899" s="39" t="n">
        <f aca="false">Resumo!$C$10*CEILING(I899/100,1)</f>
        <v>1</v>
      </c>
      <c r="Q899" s="39" t="n">
        <f aca="false">Resumo!$C$9</f>
        <v>11.9</v>
      </c>
      <c r="R899" s="39" t="n">
        <f aca="false">SUM(M899:Q899)*Resumo!$C$11</f>
        <v>5.3242596</v>
      </c>
      <c r="S899" s="39" t="n">
        <f aca="false">SUM(M899:R899)</f>
        <v>102.1289796</v>
      </c>
      <c r="T899" s="39" t="n">
        <f aca="false">S899/(1-Resumo!$C$5)</f>
        <v>116.055658636364</v>
      </c>
      <c r="U899" s="39" t="n">
        <v>112.3</v>
      </c>
      <c r="V899" s="39" t="n">
        <f aca="false">J899*Resumo!$B$6</f>
        <v>1.02368</v>
      </c>
      <c r="W899" s="39" t="n">
        <f aca="false">J899*Resumo!$B$7</f>
        <v>2.04736</v>
      </c>
      <c r="X899" s="39" t="n">
        <f aca="false">Resumo!$B$9</f>
        <v>1</v>
      </c>
      <c r="Y899" s="39" t="n">
        <f aca="false">Resumo!$B$10*CEILING(I899/100,1)</f>
        <v>4.5</v>
      </c>
      <c r="Z899" s="39" t="n">
        <f aca="false">Resumo!$B$12*CEILING(I899,1)</f>
        <v>3.3</v>
      </c>
      <c r="AA899" s="39" t="n">
        <f aca="false">Resumo!$B$13*CEILING(I899,1)</f>
        <v>24.75</v>
      </c>
      <c r="AB899" s="39" t="n">
        <f aca="false">SUM(U899:AA899)</f>
        <v>148.92104</v>
      </c>
      <c r="AC899" s="39" t="n">
        <f aca="false">AB899/(1-Resumo!$B$5)</f>
        <v>169.228454545455</v>
      </c>
      <c r="AD899" s="39" t="n">
        <f aca="false">(AB899-AA899)/(1-Resumo!$B$5)</f>
        <v>141.103454545455</v>
      </c>
      <c r="AE899" s="39" t="n">
        <f aca="false">AC899-T899</f>
        <v>53.1727959090909</v>
      </c>
      <c r="AF899" s="40" t="n">
        <f aca="false">AC899/T899-1</f>
        <v>0.458166336168897</v>
      </c>
      <c r="AG899" s="37" t="str">
        <f aca="false">IF(AC899&lt;T899,"SIM","NÃO")</f>
        <v>NÃO</v>
      </c>
      <c r="AH899" s="37" t="n">
        <v>8</v>
      </c>
      <c r="AI899" s="37" t="n">
        <v>5</v>
      </c>
      <c r="AJ899" s="37" t="s">
        <v>323</v>
      </c>
    </row>
    <row r="900" customFormat="false" ht="15" hidden="false" customHeight="false" outlineLevel="0" collapsed="false">
      <c r="A900" s="37" t="n">
        <v>374881560</v>
      </c>
      <c r="B900" s="38" t="n">
        <v>46245.9232407407</v>
      </c>
      <c r="C900" s="37" t="s">
        <v>352</v>
      </c>
      <c r="D900" s="37" t="s">
        <v>1000</v>
      </c>
      <c r="E900" s="37" t="n">
        <v>23092002</v>
      </c>
      <c r="F900" s="37" t="s">
        <v>139</v>
      </c>
      <c r="G900" s="37" t="s">
        <v>198</v>
      </c>
      <c r="H900" s="37" t="s">
        <v>172</v>
      </c>
      <c r="I900" s="37" t="n">
        <v>63</v>
      </c>
      <c r="J900" s="39" t="n">
        <v>671.99</v>
      </c>
      <c r="K900" s="37" t="s">
        <v>498</v>
      </c>
      <c r="L900" s="39" t="n">
        <v>123.84</v>
      </c>
      <c r="M900" s="39" t="n">
        <v>88.2</v>
      </c>
      <c r="N900" s="39" t="n">
        <f aca="false">J900*Resumo!$C$7</f>
        <v>1.34398</v>
      </c>
      <c r="O900" s="39" t="n">
        <f aca="false">J900*Resumo!$C$8</f>
        <v>1.34398</v>
      </c>
      <c r="P900" s="39" t="n">
        <f aca="false">Resumo!$C$10*CEILING(I900/100,1)</f>
        <v>1</v>
      </c>
      <c r="Q900" s="39" t="n">
        <f aca="false">Resumo!$C$9</f>
        <v>11.9</v>
      </c>
      <c r="R900" s="39" t="n">
        <f aca="false">SUM(M900:Q900)*Resumo!$C$11</f>
        <v>5.7083378</v>
      </c>
      <c r="S900" s="39" t="n">
        <f aca="false">SUM(M900:R900)</f>
        <v>109.4962978</v>
      </c>
      <c r="T900" s="39" t="n">
        <f aca="false">S900/(1-Resumo!$C$5)</f>
        <v>124.427611136364</v>
      </c>
      <c r="U900" s="39" t="n">
        <v>131.02</v>
      </c>
      <c r="V900" s="39" t="n">
        <f aca="false">J900*Resumo!$B$6</f>
        <v>0.67199</v>
      </c>
      <c r="W900" s="39" t="n">
        <f aca="false">J900*Resumo!$B$7</f>
        <v>1.34398</v>
      </c>
      <c r="X900" s="39" t="n">
        <f aca="false">Resumo!$B$9</f>
        <v>1</v>
      </c>
      <c r="Y900" s="39" t="n">
        <f aca="false">Resumo!$B$10*CEILING(I900/100,1)</f>
        <v>4.5</v>
      </c>
      <c r="Z900" s="39" t="n">
        <f aca="false">Resumo!$B$12*CEILING(I900,1)</f>
        <v>3.78</v>
      </c>
      <c r="AA900" s="39" t="n">
        <f aca="false">Resumo!$B$13*CEILING(I900,1)</f>
        <v>28.35</v>
      </c>
      <c r="AB900" s="39" t="n">
        <f aca="false">SUM(U900:AA900)</f>
        <v>170.66597</v>
      </c>
      <c r="AC900" s="39" t="n">
        <f aca="false">AB900/(1-Resumo!$B$5)</f>
        <v>193.938602272727</v>
      </c>
      <c r="AD900" s="39" t="n">
        <f aca="false">(AB900-AA900)/(1-Resumo!$B$5)</f>
        <v>161.722693181818</v>
      </c>
      <c r="AE900" s="39" t="n">
        <f aca="false">AC900-T900</f>
        <v>69.5109911363637</v>
      </c>
      <c r="AF900" s="40" t="n">
        <f aca="false">AC900/T900-1</f>
        <v>0.55864603122682</v>
      </c>
      <c r="AG900" s="37" t="str">
        <f aca="false">IF(AC900&lt;T900,"SIM","NÃO")</f>
        <v>NÃO</v>
      </c>
      <c r="AH900" s="37" t="n">
        <v>8</v>
      </c>
      <c r="AI900" s="37" t="n">
        <v>5</v>
      </c>
      <c r="AJ900" s="37" t="s">
        <v>323</v>
      </c>
    </row>
    <row r="901" customFormat="false" ht="15" hidden="false" customHeight="false" outlineLevel="0" collapsed="false">
      <c r="A901" s="37" t="n">
        <v>374889704</v>
      </c>
      <c r="B901" s="38" t="n">
        <v>46245.9305324074</v>
      </c>
      <c r="C901" s="37" t="s">
        <v>325</v>
      </c>
      <c r="D901" s="37" t="s">
        <v>1188</v>
      </c>
      <c r="E901" s="37" t="n">
        <v>23585081</v>
      </c>
      <c r="F901" s="37" t="s">
        <v>139</v>
      </c>
      <c r="G901" s="37" t="s">
        <v>198</v>
      </c>
      <c r="H901" s="37" t="s">
        <v>170</v>
      </c>
      <c r="I901" s="37" t="n">
        <v>48</v>
      </c>
      <c r="J901" s="39" t="n">
        <v>815.51</v>
      </c>
      <c r="K901" s="37" t="s">
        <v>498</v>
      </c>
      <c r="L901" s="39" t="n">
        <v>105.87</v>
      </c>
      <c r="M901" s="39" t="n">
        <v>71</v>
      </c>
      <c r="N901" s="39" t="n">
        <f aca="false">J901*Resumo!$C$7</f>
        <v>1.63102</v>
      </c>
      <c r="O901" s="39" t="n">
        <f aca="false">J901*Resumo!$C$8</f>
        <v>1.63102</v>
      </c>
      <c r="P901" s="39" t="n">
        <f aca="false">Resumo!$C$10*CEILING(I901/100,1)</f>
        <v>1</v>
      </c>
      <c r="Q901" s="39" t="n">
        <f aca="false">Resumo!$C$9</f>
        <v>11.9</v>
      </c>
      <c r="R901" s="39" t="n">
        <f aca="false">SUM(M901:Q901)*Resumo!$C$11</f>
        <v>4.7939122</v>
      </c>
      <c r="S901" s="39" t="n">
        <f aca="false">SUM(M901:R901)</f>
        <v>91.9559522</v>
      </c>
      <c r="T901" s="39" t="n">
        <f aca="false">S901/(1-Resumo!$C$5)</f>
        <v>104.495400227273</v>
      </c>
      <c r="U901" s="39" t="n">
        <v>93.97</v>
      </c>
      <c r="V901" s="39" t="n">
        <f aca="false">J901*Resumo!$B$6</f>
        <v>0.81551</v>
      </c>
      <c r="W901" s="39" t="n">
        <f aca="false">J901*Resumo!$B$7</f>
        <v>1.63102</v>
      </c>
      <c r="X901" s="39" t="n">
        <f aca="false">Resumo!$B$9</f>
        <v>1</v>
      </c>
      <c r="Y901" s="39" t="n">
        <f aca="false">Resumo!$B$10*CEILING(I901/100,1)</f>
        <v>4.5</v>
      </c>
      <c r="Z901" s="39" t="n">
        <f aca="false">Resumo!$B$12*CEILING(I901,1)</f>
        <v>2.88</v>
      </c>
      <c r="AA901" s="39" t="n">
        <f aca="false">Resumo!$B$13*CEILING(I901,1)</f>
        <v>21.6</v>
      </c>
      <c r="AB901" s="39" t="n">
        <f aca="false">SUM(U901:AA901)</f>
        <v>126.39653</v>
      </c>
      <c r="AC901" s="39" t="n">
        <f aca="false">AB901/(1-Resumo!$B$5)</f>
        <v>143.632420454545</v>
      </c>
      <c r="AD901" s="39" t="n">
        <f aca="false">(AB901-AA901)/(1-Resumo!$B$5)</f>
        <v>119.086965909091</v>
      </c>
      <c r="AE901" s="39" t="n">
        <f aca="false">AC901-T901</f>
        <v>39.1370202272727</v>
      </c>
      <c r="AF901" s="40" t="n">
        <f aca="false">AC901/T901-1</f>
        <v>0.374533425798184</v>
      </c>
      <c r="AG901" s="37" t="str">
        <f aca="false">IF(AC901&lt;T901,"SIM","NÃO")</f>
        <v>NÃO</v>
      </c>
      <c r="AH901" s="37" t="n">
        <v>8</v>
      </c>
      <c r="AI901" s="37" t="n">
        <v>5</v>
      </c>
      <c r="AJ901" s="37" t="s">
        <v>323</v>
      </c>
    </row>
    <row r="902" customFormat="false" ht="15" hidden="false" customHeight="false" outlineLevel="0" collapsed="false">
      <c r="A902" s="37" t="n">
        <v>374891612</v>
      </c>
      <c r="B902" s="38" t="n">
        <v>46245.9332060185</v>
      </c>
      <c r="C902" s="37" t="s">
        <v>325</v>
      </c>
      <c r="D902" s="37" t="s">
        <v>1189</v>
      </c>
      <c r="E902" s="37" t="n">
        <v>27525847</v>
      </c>
      <c r="F902" s="37" t="s">
        <v>236</v>
      </c>
      <c r="G902" s="37" t="s">
        <v>201</v>
      </c>
      <c r="H902" s="37" t="s">
        <v>176</v>
      </c>
      <c r="I902" s="37" t="n">
        <v>124.2</v>
      </c>
      <c r="J902" s="39" t="n">
        <v>1589.99</v>
      </c>
      <c r="K902" s="37" t="s">
        <v>498</v>
      </c>
      <c r="L902" s="39" t="n">
        <v>253.2</v>
      </c>
      <c r="M902" s="39" t="n">
        <v>197.37</v>
      </c>
      <c r="N902" s="39" t="n">
        <f aca="false">J902*Resumo!$C$7</f>
        <v>3.17998</v>
      </c>
      <c r="O902" s="39" t="n">
        <f aca="false">J902*Resumo!$C$8</f>
        <v>3.17998</v>
      </c>
      <c r="P902" s="39" t="n">
        <f aca="false">Resumo!$C$10*CEILING(I902/100,1)</f>
        <v>2</v>
      </c>
      <c r="Q902" s="39" t="n">
        <f aca="false">Resumo!$C$9</f>
        <v>11.9</v>
      </c>
      <c r="R902" s="39" t="n">
        <f aca="false">SUM(M902:Q902)*Resumo!$C$11</f>
        <v>11.9696478</v>
      </c>
      <c r="S902" s="39" t="n">
        <f aca="false">SUM(M902:R902)</f>
        <v>229.5996078</v>
      </c>
      <c r="T902" s="39" t="n">
        <f aca="false">S902/(1-Resumo!$C$5)</f>
        <v>260.908645227273</v>
      </c>
      <c r="U902" s="39" t="n">
        <v>264.84</v>
      </c>
      <c r="V902" s="39" t="n">
        <f aca="false">J902*Resumo!$B$6</f>
        <v>1.58999</v>
      </c>
      <c r="W902" s="39" t="n">
        <f aca="false">J902*Resumo!$B$7</f>
        <v>3.17998</v>
      </c>
      <c r="X902" s="39" t="n">
        <f aca="false">Resumo!$B$9</f>
        <v>1</v>
      </c>
      <c r="Y902" s="39" t="n">
        <f aca="false">Resumo!$B$10*CEILING(I902/100,1)</f>
        <v>9</v>
      </c>
      <c r="Z902" s="39" t="n">
        <f aca="false">Resumo!$B$12*CEILING(I902,1)</f>
        <v>7.5</v>
      </c>
      <c r="AA902" s="39" t="n">
        <f aca="false">Resumo!$B$13*CEILING(I902,1)</f>
        <v>56.25</v>
      </c>
      <c r="AB902" s="39" t="n">
        <f aca="false">SUM(U902:AA902)</f>
        <v>343.35997</v>
      </c>
      <c r="AC902" s="39" t="n">
        <f aca="false">AB902/(1-Resumo!$B$5)</f>
        <v>390.181784090909</v>
      </c>
      <c r="AD902" s="39" t="n">
        <f aca="false">(AB902-AA902)/(1-Resumo!$B$5)</f>
        <v>326.261329545455</v>
      </c>
      <c r="AE902" s="39" t="n">
        <f aca="false">AC902-T902</f>
        <v>129.273138863636</v>
      </c>
      <c r="AF902" s="40" t="n">
        <f aca="false">AC902/T902-1</f>
        <v>0.495472807162173</v>
      </c>
      <c r="AG902" s="37" t="str">
        <f aca="false">IF(AC902&lt;T902,"SIM","NÃO")</f>
        <v>NÃO</v>
      </c>
      <c r="AH902" s="37" t="n">
        <v>13</v>
      </c>
      <c r="AI902" s="37" t="n">
        <v>10</v>
      </c>
      <c r="AJ902" s="37" t="s">
        <v>327</v>
      </c>
    </row>
    <row r="903" customFormat="false" ht="15" hidden="false" customHeight="false" outlineLevel="0" collapsed="false">
      <c r="A903" s="37" t="n">
        <v>374898233</v>
      </c>
      <c r="B903" s="38" t="n">
        <v>46245.9411805556</v>
      </c>
      <c r="C903" s="37" t="s">
        <v>320</v>
      </c>
      <c r="D903" s="37" t="s">
        <v>1190</v>
      </c>
      <c r="E903" s="37" t="n">
        <v>23935080</v>
      </c>
      <c r="F903" s="37" t="s">
        <v>149</v>
      </c>
      <c r="G903" s="37" t="s">
        <v>201</v>
      </c>
      <c r="H903" s="37" t="s">
        <v>170</v>
      </c>
      <c r="I903" s="37" t="n">
        <v>44.5</v>
      </c>
      <c r="J903" s="39" t="n">
        <v>726.99</v>
      </c>
      <c r="K903" s="37" t="s">
        <v>498</v>
      </c>
      <c r="L903" s="39" t="n">
        <v>131.38</v>
      </c>
      <c r="M903" s="39" t="n">
        <v>94</v>
      </c>
      <c r="N903" s="39" t="n">
        <f aca="false">J903*Resumo!$C$7</f>
        <v>1.45398</v>
      </c>
      <c r="O903" s="39" t="n">
        <f aca="false">J903*Resumo!$C$8</f>
        <v>1.45398</v>
      </c>
      <c r="P903" s="39" t="n">
        <f aca="false">Resumo!$C$10*CEILING(I903/100,1)</f>
        <v>1</v>
      </c>
      <c r="Q903" s="39" t="n">
        <f aca="false">Resumo!$C$9</f>
        <v>11.9</v>
      </c>
      <c r="R903" s="39" t="n">
        <f aca="false">SUM(M903:Q903)*Resumo!$C$11</f>
        <v>6.0394378</v>
      </c>
      <c r="S903" s="39" t="n">
        <f aca="false">SUM(M903:R903)</f>
        <v>115.8473978</v>
      </c>
      <c r="T903" s="39" t="n">
        <f aca="false">S903/(1-Resumo!$C$5)</f>
        <v>131.644770227273</v>
      </c>
      <c r="U903" s="39" t="n">
        <v>124.38</v>
      </c>
      <c r="V903" s="39" t="n">
        <f aca="false">J903*Resumo!$B$6</f>
        <v>0.72699</v>
      </c>
      <c r="W903" s="39" t="n">
        <f aca="false">J903*Resumo!$B$7</f>
        <v>1.45398</v>
      </c>
      <c r="X903" s="39" t="n">
        <f aca="false">Resumo!$B$9</f>
        <v>1</v>
      </c>
      <c r="Y903" s="39" t="n">
        <f aca="false">Resumo!$B$10*CEILING(I903/100,1)</f>
        <v>4.5</v>
      </c>
      <c r="Z903" s="39" t="n">
        <f aca="false">Resumo!$B$12*CEILING(I903,1)</f>
        <v>2.7</v>
      </c>
      <c r="AA903" s="39" t="n">
        <f aca="false">Resumo!$B$13*CEILING(I903,1)</f>
        <v>20.25</v>
      </c>
      <c r="AB903" s="39" t="n">
        <f aca="false">SUM(U903:AA903)</f>
        <v>155.01097</v>
      </c>
      <c r="AC903" s="39" t="n">
        <f aca="false">AB903/(1-Resumo!$B$5)</f>
        <v>176.148829545455</v>
      </c>
      <c r="AD903" s="39" t="n">
        <f aca="false">(AB903-AA903)/(1-Resumo!$B$5)</f>
        <v>153.137465909091</v>
      </c>
      <c r="AE903" s="39" t="n">
        <f aca="false">AC903-T903</f>
        <v>44.5040593181818</v>
      </c>
      <c r="AF903" s="40" t="n">
        <f aca="false">AC903/T903-1</f>
        <v>0.338061734175612</v>
      </c>
      <c r="AG903" s="37" t="str">
        <f aca="false">IF(AC903&lt;T903,"SIM","NÃO")</f>
        <v>NÃO</v>
      </c>
      <c r="AH903" s="37" t="n">
        <v>13</v>
      </c>
      <c r="AI903" s="37" t="n">
        <v>10</v>
      </c>
      <c r="AJ903" s="37" t="s">
        <v>323</v>
      </c>
    </row>
    <row r="904" customFormat="false" ht="15" hidden="false" customHeight="false" outlineLevel="0" collapsed="false">
      <c r="A904" s="37" t="n">
        <v>374899469</v>
      </c>
      <c r="B904" s="38" t="n">
        <v>46245.9437847222</v>
      </c>
      <c r="C904" s="37" t="s">
        <v>320</v>
      </c>
      <c r="D904" s="37" t="s">
        <v>1191</v>
      </c>
      <c r="E904" s="37" t="n">
        <v>24856232</v>
      </c>
      <c r="F904" s="37" t="s">
        <v>154</v>
      </c>
      <c r="G904" s="37" t="s">
        <v>201</v>
      </c>
      <c r="H904" s="37" t="s">
        <v>170</v>
      </c>
      <c r="I904" s="37" t="n">
        <v>44.5</v>
      </c>
      <c r="J904" s="39" t="n">
        <v>726.99</v>
      </c>
      <c r="K904" s="37" t="s">
        <v>498</v>
      </c>
      <c r="L904" s="39" t="n">
        <v>131.38</v>
      </c>
      <c r="M904" s="39" t="n">
        <v>94</v>
      </c>
      <c r="N904" s="39" t="n">
        <f aca="false">J904*Resumo!$C$7</f>
        <v>1.45398</v>
      </c>
      <c r="O904" s="39" t="n">
        <f aca="false">J904*Resumo!$C$8</f>
        <v>1.45398</v>
      </c>
      <c r="P904" s="39" t="n">
        <f aca="false">Resumo!$C$10*CEILING(I904/100,1)</f>
        <v>1</v>
      </c>
      <c r="Q904" s="39" t="n">
        <f aca="false">Resumo!$C$9</f>
        <v>11.9</v>
      </c>
      <c r="R904" s="39" t="n">
        <f aca="false">SUM(M904:Q904)*Resumo!$C$11</f>
        <v>6.0394378</v>
      </c>
      <c r="S904" s="39" t="n">
        <f aca="false">SUM(M904:R904)</f>
        <v>115.8473978</v>
      </c>
      <c r="T904" s="39" t="n">
        <f aca="false">S904/(1-Resumo!$C$5)</f>
        <v>131.644770227273</v>
      </c>
      <c r="U904" s="39" t="n">
        <v>114.95</v>
      </c>
      <c r="V904" s="39" t="n">
        <f aca="false">J904*Resumo!$B$6</f>
        <v>0.72699</v>
      </c>
      <c r="W904" s="39" t="n">
        <f aca="false">J904*Resumo!$B$7</f>
        <v>1.45398</v>
      </c>
      <c r="X904" s="39" t="n">
        <f aca="false">Resumo!$B$9</f>
        <v>1</v>
      </c>
      <c r="Y904" s="39" t="n">
        <f aca="false">Resumo!$B$10*CEILING(I904/100,1)</f>
        <v>4.5</v>
      </c>
      <c r="Z904" s="39" t="n">
        <f aca="false">Resumo!$B$12*CEILING(I904,1)</f>
        <v>2.7</v>
      </c>
      <c r="AA904" s="39" t="n">
        <f aca="false">Resumo!$B$13*CEILING(I904,1)</f>
        <v>20.25</v>
      </c>
      <c r="AB904" s="39" t="n">
        <f aca="false">SUM(U904:AA904)</f>
        <v>145.58097</v>
      </c>
      <c r="AC904" s="39" t="n">
        <f aca="false">AB904/(1-Resumo!$B$5)</f>
        <v>165.432920454545</v>
      </c>
      <c r="AD904" s="39" t="n">
        <f aca="false">(AB904-AA904)/(1-Resumo!$B$5)</f>
        <v>142.421556818182</v>
      </c>
      <c r="AE904" s="39" t="n">
        <f aca="false">AC904-T904</f>
        <v>33.7881502272728</v>
      </c>
      <c r="AF904" s="40" t="n">
        <f aca="false">AC904/T904-1</f>
        <v>0.256661545832323</v>
      </c>
      <c r="AG904" s="37" t="str">
        <f aca="false">IF(AC904&lt;T904,"SIM","NÃO")</f>
        <v>NÃO</v>
      </c>
      <c r="AH904" s="37" t="n">
        <v>13</v>
      </c>
      <c r="AI904" s="37" t="n">
        <v>7</v>
      </c>
      <c r="AJ904" s="37" t="s">
        <v>323</v>
      </c>
    </row>
    <row r="905" customFormat="false" ht="15" hidden="false" customHeight="false" outlineLevel="0" collapsed="false">
      <c r="A905" s="37" t="n">
        <v>374916394</v>
      </c>
      <c r="B905" s="38" t="n">
        <v>46245.9862615741</v>
      </c>
      <c r="C905" s="37" t="s">
        <v>320</v>
      </c>
      <c r="D905" s="37" t="s">
        <v>1192</v>
      </c>
      <c r="E905" s="37" t="n">
        <v>25620002</v>
      </c>
      <c r="F905" s="37" t="s">
        <v>150</v>
      </c>
      <c r="G905" s="37" t="s">
        <v>201</v>
      </c>
      <c r="H905" s="37" t="s">
        <v>172</v>
      </c>
      <c r="I905" s="37" t="n">
        <v>69</v>
      </c>
      <c r="J905" s="39" t="n">
        <v>779.99</v>
      </c>
      <c r="K905" s="37" t="s">
        <v>498</v>
      </c>
      <c r="L905" s="39" t="n">
        <v>158.1</v>
      </c>
      <c r="M905" s="39" t="n">
        <v>113.9</v>
      </c>
      <c r="N905" s="39" t="n">
        <f aca="false">J905*Resumo!$C$7</f>
        <v>1.55998</v>
      </c>
      <c r="O905" s="39" t="n">
        <f aca="false">J905*Resumo!$C$8</f>
        <v>1.55998</v>
      </c>
      <c r="P905" s="39" t="n">
        <f aca="false">Resumo!$C$10*CEILING(I905/100,1)</f>
        <v>1</v>
      </c>
      <c r="Q905" s="39" t="n">
        <f aca="false">Resumo!$C$9</f>
        <v>11.9</v>
      </c>
      <c r="R905" s="39" t="n">
        <f aca="false">SUM(M905:Q905)*Resumo!$C$11</f>
        <v>7.1455978</v>
      </c>
      <c r="S905" s="39" t="n">
        <f aca="false">SUM(M905:R905)</f>
        <v>137.0655578</v>
      </c>
      <c r="T905" s="39" t="n">
        <f aca="false">S905/(1-Resumo!$C$5)</f>
        <v>155.756315681818</v>
      </c>
      <c r="U905" s="39" t="n">
        <v>166.05</v>
      </c>
      <c r="V905" s="39" t="n">
        <f aca="false">J905*Resumo!$B$6</f>
        <v>0.77999</v>
      </c>
      <c r="W905" s="39" t="n">
        <f aca="false">J905*Resumo!$B$7</f>
        <v>1.55998</v>
      </c>
      <c r="X905" s="39" t="n">
        <f aca="false">Resumo!$B$9</f>
        <v>1</v>
      </c>
      <c r="Y905" s="39" t="n">
        <f aca="false">Resumo!$B$10*CEILING(I905/100,1)</f>
        <v>4.5</v>
      </c>
      <c r="Z905" s="39" t="n">
        <f aca="false">Resumo!$B$12*CEILING(I905,1)</f>
        <v>4.14</v>
      </c>
      <c r="AA905" s="39" t="n">
        <f aca="false">Resumo!$B$13*CEILING(I905,1)</f>
        <v>31.05</v>
      </c>
      <c r="AB905" s="39" t="n">
        <f aca="false">SUM(U905:AA905)</f>
        <v>209.07997</v>
      </c>
      <c r="AC905" s="39" t="n">
        <f aca="false">AB905/(1-Resumo!$B$5)</f>
        <v>237.590875</v>
      </c>
      <c r="AD905" s="39" t="n">
        <f aca="false">(AB905-AA905)/(1-Resumo!$B$5)</f>
        <v>202.306784090909</v>
      </c>
      <c r="AE905" s="39" t="n">
        <f aca="false">AC905-T905</f>
        <v>81.8345593181819</v>
      </c>
      <c r="AF905" s="40" t="n">
        <f aca="false">AC905/T905-1</f>
        <v>0.525401226653018</v>
      </c>
      <c r="AG905" s="37" t="str">
        <f aca="false">IF(AC905&lt;T905,"SIM","NÃO")</f>
        <v>NÃO</v>
      </c>
      <c r="AH905" s="37" t="n">
        <v>13</v>
      </c>
      <c r="AI905" s="37" t="n">
        <v>8</v>
      </c>
      <c r="AJ905" s="37" t="s">
        <v>323</v>
      </c>
    </row>
    <row r="906" customFormat="false" ht="15" hidden="false" customHeight="false" outlineLevel="0" collapsed="false">
      <c r="A906" s="37" t="n">
        <v>374932798</v>
      </c>
      <c r="B906" s="38" t="n">
        <v>46246.0246296296</v>
      </c>
      <c r="C906" s="37" t="s">
        <v>320</v>
      </c>
      <c r="D906" s="37" t="s">
        <v>1193</v>
      </c>
      <c r="E906" s="37" t="n">
        <v>22763550</v>
      </c>
      <c r="F906" s="37" t="s">
        <v>139</v>
      </c>
      <c r="G906" s="37" t="s">
        <v>198</v>
      </c>
      <c r="H906" s="37" t="s">
        <v>167</v>
      </c>
      <c r="I906" s="37" t="n">
        <v>19.5</v>
      </c>
      <c r="J906" s="39" t="n">
        <v>379.99</v>
      </c>
      <c r="K906" s="37" t="s">
        <v>322</v>
      </c>
      <c r="L906" s="39" t="n">
        <v>65.03</v>
      </c>
      <c r="M906" s="39" t="n">
        <v>39.83</v>
      </c>
      <c r="N906" s="39" t="n">
        <f aca="false">J906*Resumo!$C$7</f>
        <v>0.75998</v>
      </c>
      <c r="O906" s="39" t="n">
        <f aca="false">J906*Resumo!$C$8</f>
        <v>0.75998</v>
      </c>
      <c r="P906" s="39" t="n">
        <f aca="false">Resumo!$C$10*CEILING(I906/100,1)</f>
        <v>1</v>
      </c>
      <c r="Q906" s="39" t="n">
        <f aca="false">Resumo!$C$9</f>
        <v>11.9</v>
      </c>
      <c r="R906" s="39" t="n">
        <f aca="false">SUM(M906:Q906)*Resumo!$C$11</f>
        <v>2.9837478</v>
      </c>
      <c r="S906" s="39" t="n">
        <f aca="false">SUM(M906:R906)</f>
        <v>57.2337078</v>
      </c>
      <c r="T906" s="39" t="n">
        <f aca="false">S906/(1-Resumo!$C$5)</f>
        <v>65.0383043181818</v>
      </c>
      <c r="U906" s="39" t="n">
        <v>46.98</v>
      </c>
      <c r="V906" s="39" t="n">
        <f aca="false">J906*Resumo!$B$6</f>
        <v>0.37999</v>
      </c>
      <c r="W906" s="39" t="n">
        <f aca="false">J906*Resumo!$B$7</f>
        <v>0.75998</v>
      </c>
      <c r="X906" s="39" t="n">
        <f aca="false">Resumo!$B$9</f>
        <v>1</v>
      </c>
      <c r="Y906" s="39" t="n">
        <f aca="false">Resumo!$B$10*CEILING(I906/100,1)</f>
        <v>4.5</v>
      </c>
      <c r="Z906" s="39" t="n">
        <f aca="false">Resumo!$B$12*CEILING(I906,1)</f>
        <v>1.2</v>
      </c>
      <c r="AA906" s="39" t="n">
        <f aca="false">Resumo!$B$13*CEILING(I906,1)</f>
        <v>9</v>
      </c>
      <c r="AB906" s="39" t="n">
        <f aca="false">SUM(U906:AA906)</f>
        <v>63.81997</v>
      </c>
      <c r="AC906" s="39" t="n">
        <f aca="false">AB906/(1-Resumo!$B$5)</f>
        <v>72.5226931818182</v>
      </c>
      <c r="AD906" s="39" t="n">
        <f aca="false">(AB906-AA906)/(1-Resumo!$B$5)</f>
        <v>62.2954204545455</v>
      </c>
      <c r="AE906" s="39" t="n">
        <f aca="false">AC906-T906</f>
        <v>7.48438886363635</v>
      </c>
      <c r="AF906" s="40" t="n">
        <f aca="false">AC906/T906-1</f>
        <v>0.115076629719943</v>
      </c>
      <c r="AG906" s="37" t="str">
        <f aca="false">IF(AC906&lt;T906,"SIM","NÃO")</f>
        <v>NÃO</v>
      </c>
      <c r="AH906" s="37" t="n">
        <v>8</v>
      </c>
      <c r="AI906" s="37" t="n">
        <v>5</v>
      </c>
      <c r="AJ906" s="37" t="s">
        <v>323</v>
      </c>
    </row>
    <row r="907" customFormat="false" ht="15" hidden="false" customHeight="false" outlineLevel="0" collapsed="false">
      <c r="A907" s="37" t="n">
        <v>374941905</v>
      </c>
      <c r="B907" s="38" t="n">
        <v>46246.0421296296</v>
      </c>
      <c r="C907" s="37" t="s">
        <v>320</v>
      </c>
      <c r="D907" s="37" t="s">
        <v>1194</v>
      </c>
      <c r="E907" s="37" t="n">
        <v>22753340</v>
      </c>
      <c r="F907" s="37" t="s">
        <v>139</v>
      </c>
      <c r="G907" s="37" t="s">
        <v>198</v>
      </c>
      <c r="H907" s="37" t="s">
        <v>169</v>
      </c>
      <c r="I907" s="37" t="n">
        <v>36.8</v>
      </c>
      <c r="J907" s="39" t="n">
        <v>439.99</v>
      </c>
      <c r="K907" s="37" t="s">
        <v>322</v>
      </c>
      <c r="L907" s="39" t="n">
        <v>91.97</v>
      </c>
      <c r="M907" s="39" t="n">
        <v>62.05</v>
      </c>
      <c r="N907" s="39" t="n">
        <f aca="false">J907*Resumo!$C$7</f>
        <v>0.87998</v>
      </c>
      <c r="O907" s="39" t="n">
        <f aca="false">J907*Resumo!$C$8</f>
        <v>0.87998</v>
      </c>
      <c r="P907" s="39" t="n">
        <f aca="false">Resumo!$C$10*CEILING(I907/100,1)</f>
        <v>1</v>
      </c>
      <c r="Q907" s="39" t="n">
        <f aca="false">Resumo!$C$9</f>
        <v>11.9</v>
      </c>
      <c r="R907" s="39" t="n">
        <f aca="false">SUM(M907:Q907)*Resumo!$C$11</f>
        <v>4.2190478</v>
      </c>
      <c r="S907" s="39" t="n">
        <f aca="false">SUM(M907:R907)</f>
        <v>80.9290078</v>
      </c>
      <c r="T907" s="39" t="n">
        <f aca="false">S907/(1-Resumo!$C$5)</f>
        <v>91.9647815909091</v>
      </c>
      <c r="U907" s="39" t="n">
        <v>93.97</v>
      </c>
      <c r="V907" s="39" t="n">
        <f aca="false">J907*Resumo!$B$6</f>
        <v>0.43999</v>
      </c>
      <c r="W907" s="39" t="n">
        <f aca="false">J907*Resumo!$B$7</f>
        <v>0.87998</v>
      </c>
      <c r="X907" s="39" t="n">
        <f aca="false">Resumo!$B$9</f>
        <v>1</v>
      </c>
      <c r="Y907" s="39" t="n">
        <f aca="false">Resumo!$B$10*CEILING(I907/100,1)</f>
        <v>4.5</v>
      </c>
      <c r="Z907" s="39" t="n">
        <f aca="false">Resumo!$B$12*CEILING(I907,1)</f>
        <v>2.22</v>
      </c>
      <c r="AA907" s="39" t="n">
        <f aca="false">Resumo!$B$13*CEILING(I907,1)</f>
        <v>16.65</v>
      </c>
      <c r="AB907" s="39" t="n">
        <f aca="false">SUM(U907:AA907)</f>
        <v>119.65997</v>
      </c>
      <c r="AC907" s="39" t="n">
        <f aca="false">AB907/(1-Resumo!$B$5)</f>
        <v>135.977238636364</v>
      </c>
      <c r="AD907" s="39" t="n">
        <f aca="false">(AB907-AA907)/(1-Resumo!$B$5)</f>
        <v>117.056784090909</v>
      </c>
      <c r="AE907" s="39" t="n">
        <f aca="false">AC907-T907</f>
        <v>44.0124570454546</v>
      </c>
      <c r="AF907" s="40" t="n">
        <f aca="false">AC907/T907-1</f>
        <v>0.478579476665721</v>
      </c>
      <c r="AG907" s="37" t="str">
        <f aca="false">IF(AC907&lt;T907,"SIM","NÃO")</f>
        <v>NÃO</v>
      </c>
      <c r="AH907" s="37" t="n">
        <v>8</v>
      </c>
      <c r="AI907" s="37" t="n">
        <v>5</v>
      </c>
      <c r="AJ907" s="37" t="s">
        <v>323</v>
      </c>
    </row>
    <row r="908" customFormat="false" ht="15" hidden="false" customHeight="false" outlineLevel="0" collapsed="false">
      <c r="A908" s="37" t="n">
        <v>375088655</v>
      </c>
      <c r="B908" s="38" t="n">
        <v>46246.3245138889</v>
      </c>
      <c r="C908" s="37" t="s">
        <v>320</v>
      </c>
      <c r="D908" s="37" t="s">
        <v>1195</v>
      </c>
      <c r="E908" s="37" t="n">
        <v>21670450</v>
      </c>
      <c r="F908" s="37" t="s">
        <v>139</v>
      </c>
      <c r="G908" s="37" t="s">
        <v>198</v>
      </c>
      <c r="H908" s="37" t="s">
        <v>172</v>
      </c>
      <c r="I908" s="37" t="n">
        <v>66.8</v>
      </c>
      <c r="J908" s="39" t="n">
        <v>699.99</v>
      </c>
      <c r="K908" s="37" t="s">
        <v>322</v>
      </c>
      <c r="L908" s="39" t="n">
        <v>124.56</v>
      </c>
      <c r="M908" s="39" t="n">
        <v>88.2</v>
      </c>
      <c r="N908" s="39" t="n">
        <f aca="false">J908*Resumo!$C$7</f>
        <v>1.39998</v>
      </c>
      <c r="O908" s="39" t="n">
        <f aca="false">J908*Resumo!$C$8</f>
        <v>1.39998</v>
      </c>
      <c r="P908" s="39" t="n">
        <f aca="false">Resumo!$C$10*CEILING(I908/100,1)</f>
        <v>1</v>
      </c>
      <c r="Q908" s="39" t="n">
        <f aca="false">Resumo!$C$9</f>
        <v>11.9</v>
      </c>
      <c r="R908" s="39" t="n">
        <f aca="false">SUM(M908:Q908)*Resumo!$C$11</f>
        <v>5.7144978</v>
      </c>
      <c r="S908" s="39" t="n">
        <f aca="false">SUM(M908:R908)</f>
        <v>109.6144578</v>
      </c>
      <c r="T908" s="39" t="n">
        <f aca="false">S908/(1-Resumo!$C$5)</f>
        <v>124.561883863636</v>
      </c>
      <c r="U908" s="39" t="n">
        <v>131.02</v>
      </c>
      <c r="V908" s="39" t="n">
        <f aca="false">J908*Resumo!$B$6</f>
        <v>0.69999</v>
      </c>
      <c r="W908" s="39" t="n">
        <f aca="false">J908*Resumo!$B$7</f>
        <v>1.39998</v>
      </c>
      <c r="X908" s="39" t="n">
        <f aca="false">Resumo!$B$9</f>
        <v>1</v>
      </c>
      <c r="Y908" s="39" t="n">
        <f aca="false">Resumo!$B$10*CEILING(I908/100,1)</f>
        <v>4.5</v>
      </c>
      <c r="Z908" s="39" t="n">
        <f aca="false">Resumo!$B$12*CEILING(I908,1)</f>
        <v>4.02</v>
      </c>
      <c r="AA908" s="39" t="n">
        <f aca="false">Resumo!$B$13*CEILING(I908,1)</f>
        <v>30.15</v>
      </c>
      <c r="AB908" s="39" t="n">
        <f aca="false">SUM(U908:AA908)</f>
        <v>172.78997</v>
      </c>
      <c r="AC908" s="39" t="n">
        <f aca="false">AB908/(1-Resumo!$B$5)</f>
        <v>196.352238636364</v>
      </c>
      <c r="AD908" s="39" t="n">
        <f aca="false">(AB908-AA908)/(1-Resumo!$B$5)</f>
        <v>162.090875</v>
      </c>
      <c r="AE908" s="39" t="n">
        <f aca="false">AC908-T908</f>
        <v>71.7903547727273</v>
      </c>
      <c r="AF908" s="40" t="n">
        <f aca="false">AC908/T908-1</f>
        <v>0.576342879105132</v>
      </c>
      <c r="AG908" s="37" t="str">
        <f aca="false">IF(AC908&lt;T908,"SIM","NÃO")</f>
        <v>NÃO</v>
      </c>
      <c r="AH908" s="37" t="n">
        <v>8</v>
      </c>
      <c r="AI908" s="37" t="n">
        <v>5</v>
      </c>
      <c r="AJ908" s="37" t="s">
        <v>323</v>
      </c>
    </row>
    <row r="909" customFormat="false" ht="15" hidden="false" customHeight="false" outlineLevel="0" collapsed="false">
      <c r="A909" s="37" t="n">
        <v>375099383</v>
      </c>
      <c r="B909" s="38" t="n">
        <v>46246.3423032407</v>
      </c>
      <c r="C909" s="37" t="s">
        <v>320</v>
      </c>
      <c r="D909" s="37" t="s">
        <v>1196</v>
      </c>
      <c r="E909" s="37" t="n">
        <v>26587310</v>
      </c>
      <c r="F909" s="37" t="s">
        <v>155</v>
      </c>
      <c r="G909" s="37" t="s">
        <v>207</v>
      </c>
      <c r="H909" s="37" t="s">
        <v>170</v>
      </c>
      <c r="I909" s="37" t="n">
        <v>45</v>
      </c>
      <c r="J909" s="39" t="n">
        <v>531.42</v>
      </c>
      <c r="K909" s="37" t="s">
        <v>498</v>
      </c>
      <c r="L909" s="39" t="n">
        <v>116.42</v>
      </c>
      <c r="M909" s="39" t="n">
        <v>82.25</v>
      </c>
      <c r="N909" s="39" t="n">
        <f aca="false">J909*Resumo!$C$7</f>
        <v>1.06284</v>
      </c>
      <c r="O909" s="39" t="n">
        <f aca="false">J909*Resumo!$C$8</f>
        <v>1.06284</v>
      </c>
      <c r="P909" s="39" t="n">
        <f aca="false">Resumo!$C$10*CEILING(I909/100,1)</f>
        <v>1</v>
      </c>
      <c r="Q909" s="39" t="n">
        <f aca="false">Resumo!$C$9</f>
        <v>11.9</v>
      </c>
      <c r="R909" s="39" t="n">
        <f aca="false">SUM(M909:Q909)*Resumo!$C$11</f>
        <v>5.3501624</v>
      </c>
      <c r="S909" s="39" t="n">
        <f aca="false">SUM(M909:R909)</f>
        <v>102.6258424</v>
      </c>
      <c r="T909" s="39" t="n">
        <f aca="false">S909/(1-Resumo!$C$5)</f>
        <v>116.620275454545</v>
      </c>
      <c r="U909" s="39" t="n">
        <v>93.97</v>
      </c>
      <c r="V909" s="39" t="n">
        <f aca="false">J909*Resumo!$B$6</f>
        <v>0.53142</v>
      </c>
      <c r="W909" s="39" t="n">
        <f aca="false">J909*Resumo!$B$7</f>
        <v>1.06284</v>
      </c>
      <c r="X909" s="39" t="n">
        <f aca="false">Resumo!$B$9</f>
        <v>1</v>
      </c>
      <c r="Y909" s="39" t="n">
        <f aca="false">Resumo!$B$10*CEILING(I909/100,1)</f>
        <v>4.5</v>
      </c>
      <c r="Z909" s="39" t="n">
        <f aca="false">Resumo!$B$12*CEILING(I909,1)</f>
        <v>2.7</v>
      </c>
      <c r="AA909" s="39" t="n">
        <f aca="false">Resumo!$B$13*CEILING(I909,1)</f>
        <v>20.25</v>
      </c>
      <c r="AB909" s="39" t="n">
        <f aca="false">SUM(U909:AA909)</f>
        <v>124.01426</v>
      </c>
      <c r="AC909" s="39" t="n">
        <f aca="false">AB909/(1-Resumo!$B$5)</f>
        <v>140.925295454545</v>
      </c>
      <c r="AD909" s="39" t="n">
        <f aca="false">(AB909-AA909)/(1-Resumo!$B$5)</f>
        <v>117.913931818182</v>
      </c>
      <c r="AE909" s="39" t="n">
        <f aca="false">AC909-T909</f>
        <v>24.30502</v>
      </c>
      <c r="AF909" s="40" t="n">
        <f aca="false">AC909/T909-1</f>
        <v>0.208411615435373</v>
      </c>
      <c r="AG909" s="37" t="str">
        <f aca="false">IF(AC909&lt;T909,"SIM","NÃO")</f>
        <v>NÃO</v>
      </c>
      <c r="AH909" s="37" t="n">
        <v>10</v>
      </c>
      <c r="AI909" s="37" t="n">
        <v>5</v>
      </c>
      <c r="AJ909" s="37" t="s">
        <v>323</v>
      </c>
    </row>
    <row r="910" customFormat="false" ht="15" hidden="false" customHeight="false" outlineLevel="0" collapsed="false">
      <c r="A910" s="37" t="n">
        <v>375100630</v>
      </c>
      <c r="B910" s="38" t="n">
        <v>46246.3446527778</v>
      </c>
      <c r="C910" s="37" t="s">
        <v>320</v>
      </c>
      <c r="D910" s="37" t="s">
        <v>1197</v>
      </c>
      <c r="E910" s="37" t="n">
        <v>23058070</v>
      </c>
      <c r="F910" s="37" t="s">
        <v>139</v>
      </c>
      <c r="G910" s="37" t="s">
        <v>198</v>
      </c>
      <c r="H910" s="37" t="s">
        <v>168</v>
      </c>
      <c r="I910" s="37" t="n">
        <v>30.5</v>
      </c>
      <c r="J910" s="39" t="n">
        <v>439.99</v>
      </c>
      <c r="K910" s="37" t="s">
        <v>498</v>
      </c>
      <c r="L910" s="39" t="n">
        <v>82.39</v>
      </c>
      <c r="M910" s="39" t="n">
        <v>54.1</v>
      </c>
      <c r="N910" s="39" t="n">
        <f aca="false">J910*Resumo!$C$7</f>
        <v>0.87998</v>
      </c>
      <c r="O910" s="39" t="n">
        <f aca="false">J910*Resumo!$C$8</f>
        <v>0.87998</v>
      </c>
      <c r="P910" s="39" t="n">
        <f aca="false">Resumo!$C$10*CEILING(I910/100,1)</f>
        <v>1</v>
      </c>
      <c r="Q910" s="39" t="n">
        <f aca="false">Resumo!$C$9</f>
        <v>11.9</v>
      </c>
      <c r="R910" s="39" t="n">
        <f aca="false">SUM(M910:Q910)*Resumo!$C$11</f>
        <v>3.7817978</v>
      </c>
      <c r="S910" s="39" t="n">
        <f aca="false">SUM(M910:R910)</f>
        <v>72.5417578</v>
      </c>
      <c r="T910" s="39" t="n">
        <f aca="false">S910/(1-Resumo!$C$5)</f>
        <v>82.4338156818182</v>
      </c>
      <c r="U910" s="39" t="n">
        <v>82.21</v>
      </c>
      <c r="V910" s="39" t="n">
        <f aca="false">J910*Resumo!$B$6</f>
        <v>0.43999</v>
      </c>
      <c r="W910" s="39" t="n">
        <f aca="false">J910*Resumo!$B$7</f>
        <v>0.87998</v>
      </c>
      <c r="X910" s="39" t="n">
        <f aca="false">Resumo!$B$9</f>
        <v>1</v>
      </c>
      <c r="Y910" s="39" t="n">
        <f aca="false">Resumo!$B$10*CEILING(I910/100,1)</f>
        <v>4.5</v>
      </c>
      <c r="Z910" s="39" t="n">
        <f aca="false">Resumo!$B$12*CEILING(I910,1)</f>
        <v>1.86</v>
      </c>
      <c r="AA910" s="39" t="n">
        <f aca="false">Resumo!$B$13*CEILING(I910,1)</f>
        <v>13.95</v>
      </c>
      <c r="AB910" s="39" t="n">
        <f aca="false">SUM(U910:AA910)</f>
        <v>104.83997</v>
      </c>
      <c r="AC910" s="39" t="n">
        <f aca="false">AB910/(1-Resumo!$B$5)</f>
        <v>119.136329545455</v>
      </c>
      <c r="AD910" s="39" t="n">
        <f aca="false">(AB910-AA910)/(1-Resumo!$B$5)</f>
        <v>103.284056818182</v>
      </c>
      <c r="AE910" s="39" t="n">
        <f aca="false">AC910-T910</f>
        <v>36.7025138636363</v>
      </c>
      <c r="AF910" s="40" t="n">
        <f aca="false">AC910/T910-1</f>
        <v>0.445236139563191</v>
      </c>
      <c r="AG910" s="37" t="str">
        <f aca="false">IF(AC910&lt;T910,"SIM","NÃO")</f>
        <v>NÃO</v>
      </c>
      <c r="AH910" s="37" t="n">
        <v>8</v>
      </c>
      <c r="AI910" s="37" t="n">
        <v>5</v>
      </c>
      <c r="AJ910" s="37" t="s">
        <v>323</v>
      </c>
    </row>
    <row r="911" customFormat="false" ht="15" hidden="false" customHeight="false" outlineLevel="0" collapsed="false">
      <c r="A911" s="37" t="n">
        <v>375145828</v>
      </c>
      <c r="B911" s="38" t="n">
        <v>46246.4223263889</v>
      </c>
      <c r="C911" s="37" t="s">
        <v>320</v>
      </c>
      <c r="D911" s="37" t="s">
        <v>1198</v>
      </c>
      <c r="E911" s="37" t="n">
        <v>22793395</v>
      </c>
      <c r="F911" s="37" t="s">
        <v>139</v>
      </c>
      <c r="G911" s="37" t="s">
        <v>198</v>
      </c>
      <c r="H911" s="37" t="s">
        <v>170</v>
      </c>
      <c r="I911" s="37" t="n">
        <v>44.6</v>
      </c>
      <c r="J911" s="39" t="n">
        <v>549.99</v>
      </c>
      <c r="K911" s="37" t="s">
        <v>322</v>
      </c>
      <c r="L911" s="39" t="n">
        <v>103.23</v>
      </c>
      <c r="M911" s="39" t="n">
        <v>71</v>
      </c>
      <c r="N911" s="39" t="n">
        <f aca="false">J911*Resumo!$C$7</f>
        <v>1.09998</v>
      </c>
      <c r="O911" s="39" t="n">
        <f aca="false">J911*Resumo!$C$8</f>
        <v>1.09998</v>
      </c>
      <c r="P911" s="39" t="n">
        <f aca="false">Resumo!$C$10*CEILING(I911/100,1)</f>
        <v>1</v>
      </c>
      <c r="Q911" s="39" t="n">
        <f aca="false">Resumo!$C$9</f>
        <v>11.9</v>
      </c>
      <c r="R911" s="39" t="n">
        <f aca="false">SUM(M911:Q911)*Resumo!$C$11</f>
        <v>4.7354978</v>
      </c>
      <c r="S911" s="39" t="n">
        <f aca="false">SUM(M911:R911)</f>
        <v>90.8354578</v>
      </c>
      <c r="T911" s="39" t="n">
        <f aca="false">S911/(1-Resumo!$C$5)</f>
        <v>103.222111136364</v>
      </c>
      <c r="U911" s="39" t="n">
        <v>93.97</v>
      </c>
      <c r="V911" s="39" t="n">
        <f aca="false">J911*Resumo!$B$6</f>
        <v>0.54999</v>
      </c>
      <c r="W911" s="39" t="n">
        <f aca="false">J911*Resumo!$B$7</f>
        <v>1.09998</v>
      </c>
      <c r="X911" s="39" t="n">
        <f aca="false">Resumo!$B$9</f>
        <v>1</v>
      </c>
      <c r="Y911" s="39" t="n">
        <f aca="false">Resumo!$B$10*CEILING(I911/100,1)</f>
        <v>4.5</v>
      </c>
      <c r="Z911" s="39" t="n">
        <f aca="false">Resumo!$B$12*CEILING(I911,1)</f>
        <v>2.7</v>
      </c>
      <c r="AA911" s="39" t="n">
        <f aca="false">Resumo!$B$13*CEILING(I911,1)</f>
        <v>20.25</v>
      </c>
      <c r="AB911" s="39" t="n">
        <f aca="false">SUM(U911:AA911)</f>
        <v>124.06997</v>
      </c>
      <c r="AC911" s="39" t="n">
        <f aca="false">AB911/(1-Resumo!$B$5)</f>
        <v>140.988602272727</v>
      </c>
      <c r="AD911" s="39" t="n">
        <f aca="false">(AB911-AA911)/(1-Resumo!$B$5)</f>
        <v>117.977238636364</v>
      </c>
      <c r="AE911" s="39" t="n">
        <f aca="false">AC911-T911</f>
        <v>37.7664911363636</v>
      </c>
      <c r="AF911" s="40" t="n">
        <f aca="false">AC911/T911-1</f>
        <v>0.365875980645963</v>
      </c>
      <c r="AG911" s="37" t="str">
        <f aca="false">IF(AC911&lt;T911,"SIM","NÃO")</f>
        <v>NÃO</v>
      </c>
      <c r="AH911" s="37" t="n">
        <v>8</v>
      </c>
      <c r="AI911" s="37" t="n">
        <v>5</v>
      </c>
      <c r="AJ911" s="37" t="s">
        <v>323</v>
      </c>
    </row>
    <row r="912" customFormat="false" ht="15" hidden="false" customHeight="false" outlineLevel="0" collapsed="false">
      <c r="A912" s="37" t="n">
        <v>375165178</v>
      </c>
      <c r="B912" s="38" t="n">
        <v>46246.4470717593</v>
      </c>
      <c r="C912" s="37" t="s">
        <v>320</v>
      </c>
      <c r="D912" s="37" t="s">
        <v>1199</v>
      </c>
      <c r="E912" s="37" t="n">
        <v>28995211</v>
      </c>
      <c r="F912" s="37" t="s">
        <v>281</v>
      </c>
      <c r="G912" s="37" t="s">
        <v>201</v>
      </c>
      <c r="H912" s="37" t="s">
        <v>169</v>
      </c>
      <c r="I912" s="37" t="n">
        <v>37.2</v>
      </c>
      <c r="J912" s="39" t="n">
        <v>360.99</v>
      </c>
      <c r="K912" s="37" t="s">
        <v>498</v>
      </c>
      <c r="L912" s="39" t="n">
        <v>122.94</v>
      </c>
      <c r="M912" s="39" t="n">
        <v>87.4</v>
      </c>
      <c r="N912" s="39" t="n">
        <f aca="false">J912*Resumo!$C$7</f>
        <v>0.72198</v>
      </c>
      <c r="O912" s="39" t="n">
        <f aca="false">J912*Resumo!$C$8</f>
        <v>0.72198</v>
      </c>
      <c r="P912" s="39" t="n">
        <f aca="false">Resumo!$C$10*CEILING(I912/100,1)</f>
        <v>1</v>
      </c>
      <c r="Q912" s="39" t="n">
        <f aca="false">Resumo!$C$9</f>
        <v>11.9</v>
      </c>
      <c r="R912" s="39" t="n">
        <f aca="false">SUM(M912:Q912)*Resumo!$C$11</f>
        <v>5.5959178</v>
      </c>
      <c r="S912" s="39" t="n">
        <f aca="false">SUM(M912:R912)</f>
        <v>107.3398778</v>
      </c>
      <c r="T912" s="39" t="n">
        <f aca="false">S912/(1-Resumo!$C$5)</f>
        <v>121.977133863636</v>
      </c>
      <c r="U912" s="39" t="n">
        <v>124.38</v>
      </c>
      <c r="V912" s="39" t="n">
        <f aca="false">J912*Resumo!$B$6</f>
        <v>0.36099</v>
      </c>
      <c r="W912" s="39" t="n">
        <f aca="false">J912*Resumo!$B$7</f>
        <v>0.72198</v>
      </c>
      <c r="X912" s="39" t="n">
        <f aca="false">Resumo!$B$9</f>
        <v>1</v>
      </c>
      <c r="Y912" s="39" t="n">
        <f aca="false">Resumo!$B$10*CEILING(I912/100,1)</f>
        <v>4.5</v>
      </c>
      <c r="Z912" s="39" t="n">
        <f aca="false">Resumo!$B$12*CEILING(I912,1)</f>
        <v>2.28</v>
      </c>
      <c r="AA912" s="39" t="n">
        <f aca="false">Resumo!$B$13*CEILING(I912,1)</f>
        <v>17.1</v>
      </c>
      <c r="AB912" s="39" t="n">
        <f aca="false">SUM(U912:AA912)</f>
        <v>150.34297</v>
      </c>
      <c r="AC912" s="39" t="n">
        <f aca="false">AB912/(1-Resumo!$B$5)</f>
        <v>170.844284090909</v>
      </c>
      <c r="AD912" s="39" t="n">
        <f aca="false">(AB912-AA912)/(1-Resumo!$B$5)</f>
        <v>151.412465909091</v>
      </c>
      <c r="AE912" s="39" t="n">
        <f aca="false">AC912-T912</f>
        <v>48.8671502272727</v>
      </c>
      <c r="AF912" s="40" t="n">
        <f aca="false">AC912/T912-1</f>
        <v>0.400625499873636</v>
      </c>
      <c r="AG912" s="37" t="str">
        <f aca="false">IF(AC912&lt;T912,"SIM","NÃO")</f>
        <v>NÃO</v>
      </c>
      <c r="AH912" s="37" t="n">
        <v>13</v>
      </c>
      <c r="AI912" s="37" t="n">
        <v>10</v>
      </c>
      <c r="AJ912" s="37" t="s">
        <v>327</v>
      </c>
    </row>
    <row r="913" customFormat="false" ht="15" hidden="false" customHeight="false" outlineLevel="0" collapsed="false">
      <c r="A913" s="37" t="n">
        <v>375180731</v>
      </c>
      <c r="B913" s="38" t="n">
        <v>46246.4704976852</v>
      </c>
      <c r="C913" s="37" t="s">
        <v>355</v>
      </c>
      <c r="D913" s="37" t="s">
        <v>1200</v>
      </c>
      <c r="E913" s="37" t="n">
        <v>26535380</v>
      </c>
      <c r="F913" s="37" t="s">
        <v>224</v>
      </c>
      <c r="G913" s="37" t="s">
        <v>207</v>
      </c>
      <c r="H913" s="37" t="s">
        <v>172</v>
      </c>
      <c r="I913" s="37" t="n">
        <v>67.3</v>
      </c>
      <c r="J913" s="39" t="n">
        <v>702.92</v>
      </c>
      <c r="K913" s="37" t="s">
        <v>498</v>
      </c>
      <c r="L913" s="39" t="n">
        <v>141.72</v>
      </c>
      <c r="M913" s="39" t="n">
        <v>100.9</v>
      </c>
      <c r="N913" s="39" t="n">
        <f aca="false">J913*Resumo!$C$7</f>
        <v>1.40584</v>
      </c>
      <c r="O913" s="39" t="n">
        <f aca="false">J913*Resumo!$C$8</f>
        <v>1.40584</v>
      </c>
      <c r="P913" s="39" t="n">
        <f aca="false">Resumo!$C$10*CEILING(I913/100,1)</f>
        <v>1</v>
      </c>
      <c r="Q913" s="39" t="n">
        <f aca="false">Resumo!$C$9</f>
        <v>11.9</v>
      </c>
      <c r="R913" s="39" t="n">
        <f aca="false">SUM(M913:Q913)*Resumo!$C$11</f>
        <v>6.4136424</v>
      </c>
      <c r="S913" s="39" t="n">
        <f aca="false">SUM(M913:R913)</f>
        <v>123.0253224</v>
      </c>
      <c r="T913" s="39" t="n">
        <f aca="false">S913/(1-Resumo!$C$5)</f>
        <v>139.801502727273</v>
      </c>
      <c r="U913" s="39" t="n">
        <v>131.02</v>
      </c>
      <c r="V913" s="39" t="n">
        <f aca="false">J913*Resumo!$B$6</f>
        <v>0.70292</v>
      </c>
      <c r="W913" s="39" t="n">
        <f aca="false">J913*Resumo!$B$7</f>
        <v>1.40584</v>
      </c>
      <c r="X913" s="39" t="n">
        <f aca="false">Resumo!$B$9</f>
        <v>1</v>
      </c>
      <c r="Y913" s="39" t="n">
        <f aca="false">Resumo!$B$10*CEILING(I913/100,1)</f>
        <v>4.5</v>
      </c>
      <c r="Z913" s="39" t="n">
        <f aca="false">Resumo!$B$12*CEILING(I913,1)</f>
        <v>4.08</v>
      </c>
      <c r="AA913" s="39" t="n">
        <f aca="false">Resumo!$B$13*CEILING(I913,1)</f>
        <v>30.6</v>
      </c>
      <c r="AB913" s="39" t="n">
        <f aca="false">SUM(U913:AA913)</f>
        <v>173.30876</v>
      </c>
      <c r="AC913" s="39" t="n">
        <f aca="false">AB913/(1-Resumo!$B$5)</f>
        <v>196.941772727273</v>
      </c>
      <c r="AD913" s="39" t="n">
        <f aca="false">(AB913-AA913)/(1-Resumo!$B$5)</f>
        <v>162.169045454545</v>
      </c>
      <c r="AE913" s="39" t="n">
        <f aca="false">AC913-T913</f>
        <v>57.14027</v>
      </c>
      <c r="AF913" s="40" t="n">
        <f aca="false">AC913/T913-1</f>
        <v>0.408724290406737</v>
      </c>
      <c r="AG913" s="37" t="str">
        <f aca="false">IF(AC913&lt;T913,"SIM","NÃO")</f>
        <v>NÃO</v>
      </c>
      <c r="AH913" s="37" t="n">
        <v>10</v>
      </c>
      <c r="AI913" s="37" t="n">
        <v>5</v>
      </c>
      <c r="AJ913" s="37" t="s">
        <v>327</v>
      </c>
    </row>
    <row r="914" customFormat="false" ht="15" hidden="false" customHeight="false" outlineLevel="0" collapsed="false">
      <c r="A914" s="37" t="n">
        <v>375207141</v>
      </c>
      <c r="B914" s="38" t="n">
        <v>46246.5179976852</v>
      </c>
      <c r="C914" s="37" t="s">
        <v>320</v>
      </c>
      <c r="D914" s="37" t="s">
        <v>1201</v>
      </c>
      <c r="E914" s="37" t="n">
        <v>24445210</v>
      </c>
      <c r="F914" s="37" t="s">
        <v>140</v>
      </c>
      <c r="G914" s="37" t="s">
        <v>207</v>
      </c>
      <c r="H914" s="37" t="s">
        <v>176</v>
      </c>
      <c r="I914" s="37" t="n">
        <v>124.2</v>
      </c>
      <c r="J914" s="39" t="n">
        <v>1699.99</v>
      </c>
      <c r="K914" s="37" t="s">
        <v>498</v>
      </c>
      <c r="L914" s="39" t="n">
        <v>237.11</v>
      </c>
      <c r="M914" s="39" t="n">
        <v>183.45</v>
      </c>
      <c r="N914" s="39" t="n">
        <f aca="false">J914*Resumo!$C$7</f>
        <v>3.39998</v>
      </c>
      <c r="O914" s="39" t="n">
        <f aca="false">J914*Resumo!$C$8</f>
        <v>3.39998</v>
      </c>
      <c r="P914" s="39" t="n">
        <f aca="false">Resumo!$C$10*CEILING(I914/100,1)</f>
        <v>2</v>
      </c>
      <c r="Q914" s="39" t="n">
        <f aca="false">Resumo!$C$9</f>
        <v>11.9</v>
      </c>
      <c r="R914" s="39" t="n">
        <f aca="false">SUM(M914:Q914)*Resumo!$C$11</f>
        <v>11.2282478</v>
      </c>
      <c r="S914" s="39" t="n">
        <f aca="false">SUM(M914:R914)</f>
        <v>215.3782078</v>
      </c>
      <c r="T914" s="39" t="n">
        <f aca="false">S914/(1-Resumo!$C$5)</f>
        <v>244.747963409091</v>
      </c>
      <c r="U914" s="39" t="n">
        <v>249.03</v>
      </c>
      <c r="V914" s="39" t="n">
        <f aca="false">J914*Resumo!$B$6</f>
        <v>1.69999</v>
      </c>
      <c r="W914" s="39" t="n">
        <f aca="false">J914*Resumo!$B$7</f>
        <v>3.39998</v>
      </c>
      <c r="X914" s="39" t="n">
        <f aca="false">Resumo!$B$9</f>
        <v>1</v>
      </c>
      <c r="Y914" s="39" t="n">
        <f aca="false">Resumo!$B$10*CEILING(I914/100,1)</f>
        <v>9</v>
      </c>
      <c r="Z914" s="39" t="n">
        <f aca="false">Resumo!$B$12*CEILING(I914,1)</f>
        <v>7.5</v>
      </c>
      <c r="AA914" s="39" t="n">
        <f aca="false">Resumo!$B$13*CEILING(I914,1)</f>
        <v>56.25</v>
      </c>
      <c r="AB914" s="39" t="n">
        <f aca="false">SUM(U914:AA914)</f>
        <v>327.87997</v>
      </c>
      <c r="AC914" s="39" t="n">
        <f aca="false">AB914/(1-Resumo!$B$5)</f>
        <v>372.590875</v>
      </c>
      <c r="AD914" s="39" t="n">
        <f aca="false">(AB914-AA914)/(1-Resumo!$B$5)</f>
        <v>308.670420454546</v>
      </c>
      <c r="AE914" s="39" t="n">
        <f aca="false">AC914-T914</f>
        <v>127.842911590909</v>
      </c>
      <c r="AF914" s="40" t="n">
        <f aca="false">AC914/T914-1</f>
        <v>0.522345149721318</v>
      </c>
      <c r="AG914" s="37" t="str">
        <f aca="false">IF(AC914&lt;T914,"SIM","NÃO")</f>
        <v>NÃO</v>
      </c>
      <c r="AH914" s="37" t="n">
        <v>10</v>
      </c>
      <c r="AI914" s="37" t="n">
        <v>7</v>
      </c>
      <c r="AJ914" s="37" t="s">
        <v>323</v>
      </c>
    </row>
    <row r="915" customFormat="false" ht="15" hidden="false" customHeight="false" outlineLevel="0" collapsed="false">
      <c r="A915" s="37" t="n">
        <v>375245480</v>
      </c>
      <c r="B915" s="38" t="n">
        <v>46246.5649421296</v>
      </c>
      <c r="C915" s="37" t="s">
        <v>325</v>
      </c>
      <c r="D915" s="37" t="s">
        <v>1202</v>
      </c>
      <c r="E915" s="37" t="n">
        <v>22793366</v>
      </c>
      <c r="F915" s="37" t="s">
        <v>139</v>
      </c>
      <c r="G915" s="37" t="s">
        <v>198</v>
      </c>
      <c r="H915" s="37" t="s">
        <v>174</v>
      </c>
      <c r="I915" s="37" t="n">
        <v>97.2</v>
      </c>
      <c r="J915" s="39" t="n">
        <v>1164.49</v>
      </c>
      <c r="K915" s="37" t="s">
        <v>322</v>
      </c>
      <c r="L915" s="39" t="n">
        <v>164.67</v>
      </c>
      <c r="M915" s="39" t="n">
        <v>119.8</v>
      </c>
      <c r="N915" s="39" t="n">
        <f aca="false">J915*Resumo!$C$7</f>
        <v>2.32898</v>
      </c>
      <c r="O915" s="39" t="n">
        <f aca="false">J915*Resumo!$C$8</f>
        <v>2.32898</v>
      </c>
      <c r="P915" s="39" t="n">
        <f aca="false">Resumo!$C$10*CEILING(I915/100,1)</f>
        <v>1</v>
      </c>
      <c r="Q915" s="39" t="n">
        <f aca="false">Resumo!$C$9</f>
        <v>11.9</v>
      </c>
      <c r="R915" s="39" t="n">
        <f aca="false">SUM(M915:Q915)*Resumo!$C$11</f>
        <v>7.5546878</v>
      </c>
      <c r="S915" s="39" t="n">
        <f aca="false">SUM(M915:R915)</f>
        <v>144.9126478</v>
      </c>
      <c r="T915" s="39" t="n">
        <f aca="false">S915/(1-Resumo!$C$5)</f>
        <v>164.673463409091</v>
      </c>
      <c r="U915" s="39" t="n">
        <v>167.99</v>
      </c>
      <c r="V915" s="39" t="n">
        <f aca="false">J915*Resumo!$B$6</f>
        <v>1.16449</v>
      </c>
      <c r="W915" s="39" t="n">
        <f aca="false">J915*Resumo!$B$7</f>
        <v>2.32898</v>
      </c>
      <c r="X915" s="39" t="n">
        <f aca="false">Resumo!$B$9</f>
        <v>1</v>
      </c>
      <c r="Y915" s="39" t="n">
        <f aca="false">Resumo!$B$10*CEILING(I915/100,1)</f>
        <v>4.5</v>
      </c>
      <c r="Z915" s="39" t="n">
        <f aca="false">Resumo!$B$12*CEILING(I915,1)</f>
        <v>5.88</v>
      </c>
      <c r="AA915" s="39" t="n">
        <f aca="false">Resumo!$B$13*CEILING(I915,1)</f>
        <v>44.1</v>
      </c>
      <c r="AB915" s="39" t="n">
        <f aca="false">SUM(U915:AA915)</f>
        <v>226.96347</v>
      </c>
      <c r="AC915" s="39" t="n">
        <f aca="false">AB915/(1-Resumo!$B$5)</f>
        <v>257.913034090909</v>
      </c>
      <c r="AD915" s="39" t="n">
        <f aca="false">(AB915-AA915)/(1-Resumo!$B$5)</f>
        <v>207.799397727273</v>
      </c>
      <c r="AE915" s="39" t="n">
        <f aca="false">AC915-T915</f>
        <v>93.2395706818182</v>
      </c>
      <c r="AF915" s="40" t="n">
        <f aca="false">AC915/T915-1</f>
        <v>0.566208839916042</v>
      </c>
      <c r="AG915" s="37" t="str">
        <f aca="false">IF(AC915&lt;T915,"SIM","NÃO")</f>
        <v>NÃO</v>
      </c>
      <c r="AH915" s="37" t="n">
        <v>8</v>
      </c>
      <c r="AI915" s="37" t="n">
        <v>5</v>
      </c>
      <c r="AJ915" s="37" t="s">
        <v>323</v>
      </c>
    </row>
    <row r="916" customFormat="false" ht="15" hidden="false" customHeight="false" outlineLevel="0" collapsed="false">
      <c r="A916" s="37" t="n">
        <v>375259828</v>
      </c>
      <c r="B916" s="38" t="n">
        <v>46246.5870138889</v>
      </c>
      <c r="C916" s="37" t="s">
        <v>320</v>
      </c>
      <c r="D916" s="37" t="s">
        <v>368</v>
      </c>
      <c r="E916" s="37" t="n">
        <v>21380090</v>
      </c>
      <c r="F916" s="37" t="s">
        <v>139</v>
      </c>
      <c r="G916" s="37" t="s">
        <v>198</v>
      </c>
      <c r="H916" s="37" t="s">
        <v>172</v>
      </c>
      <c r="I916" s="37" t="n">
        <v>63.9</v>
      </c>
      <c r="J916" s="39" t="n">
        <v>785.04</v>
      </c>
      <c r="K916" s="37" t="s">
        <v>322</v>
      </c>
      <c r="L916" s="39" t="n">
        <v>124.97</v>
      </c>
      <c r="M916" s="39" t="n">
        <v>88.2</v>
      </c>
      <c r="N916" s="39" t="n">
        <f aca="false">J916*Resumo!$C$7</f>
        <v>1.57008</v>
      </c>
      <c r="O916" s="39" t="n">
        <f aca="false">J916*Resumo!$C$8</f>
        <v>1.57008</v>
      </c>
      <c r="P916" s="39" t="n">
        <f aca="false">Resumo!$C$10*CEILING(I916/100,1)</f>
        <v>1</v>
      </c>
      <c r="Q916" s="39" t="n">
        <f aca="false">Resumo!$C$9</f>
        <v>11.9</v>
      </c>
      <c r="R916" s="39" t="n">
        <f aca="false">SUM(M916:Q916)*Resumo!$C$11</f>
        <v>5.7332088</v>
      </c>
      <c r="S916" s="39" t="n">
        <f aca="false">SUM(M916:R916)</f>
        <v>109.9733688</v>
      </c>
      <c r="T916" s="39" t="n">
        <f aca="false">S916/(1-Resumo!$C$5)</f>
        <v>124.969737272727</v>
      </c>
      <c r="U916" s="39" t="n">
        <v>131.02</v>
      </c>
      <c r="V916" s="39" t="n">
        <f aca="false">J916*Resumo!$B$6</f>
        <v>0.78504</v>
      </c>
      <c r="W916" s="39" t="n">
        <f aca="false">J916*Resumo!$B$7</f>
        <v>1.57008</v>
      </c>
      <c r="X916" s="39" t="n">
        <f aca="false">Resumo!$B$9</f>
        <v>1</v>
      </c>
      <c r="Y916" s="39" t="n">
        <f aca="false">Resumo!$B$10*CEILING(I916/100,1)</f>
        <v>4.5</v>
      </c>
      <c r="Z916" s="39" t="n">
        <f aca="false">Resumo!$B$12*CEILING(I916,1)</f>
        <v>3.84</v>
      </c>
      <c r="AA916" s="39" t="n">
        <f aca="false">Resumo!$B$13*CEILING(I916,1)</f>
        <v>28.8</v>
      </c>
      <c r="AB916" s="39" t="n">
        <f aca="false">SUM(U916:AA916)</f>
        <v>171.51512</v>
      </c>
      <c r="AC916" s="39" t="n">
        <f aca="false">AB916/(1-Resumo!$B$5)</f>
        <v>194.903545454545</v>
      </c>
      <c r="AD916" s="39" t="n">
        <f aca="false">(AB916-AA916)/(1-Resumo!$B$5)</f>
        <v>162.176272727273</v>
      </c>
      <c r="AE916" s="39" t="n">
        <f aca="false">AC916-T916</f>
        <v>69.9338081818182</v>
      </c>
      <c r="AF916" s="40" t="n">
        <f aca="false">AC916/T916-1</f>
        <v>0.559605947071797</v>
      </c>
      <c r="AG916" s="37" t="str">
        <f aca="false">IF(AC916&lt;T916,"SIM","NÃO")</f>
        <v>NÃO</v>
      </c>
      <c r="AH916" s="37" t="n">
        <v>8</v>
      </c>
      <c r="AI916" s="37" t="n">
        <v>5</v>
      </c>
      <c r="AJ916" s="37" t="s">
        <v>323</v>
      </c>
    </row>
    <row r="917" customFormat="false" ht="15" hidden="false" customHeight="false" outlineLevel="0" collapsed="false">
      <c r="A917" s="37" t="n">
        <v>375268269</v>
      </c>
      <c r="B917" s="38" t="n">
        <v>46246.6023726852</v>
      </c>
      <c r="C917" s="37" t="s">
        <v>325</v>
      </c>
      <c r="D917" s="37" t="s">
        <v>1203</v>
      </c>
      <c r="E917" s="37" t="n">
        <v>27213050</v>
      </c>
      <c r="F917" s="37" t="s">
        <v>148</v>
      </c>
      <c r="G917" s="37" t="s">
        <v>201</v>
      </c>
      <c r="H917" s="37" t="s">
        <v>172</v>
      </c>
      <c r="I917" s="37" t="n">
        <v>63.1</v>
      </c>
      <c r="J917" s="39" t="n">
        <v>732</v>
      </c>
      <c r="K917" s="37" t="s">
        <v>498</v>
      </c>
      <c r="L917" s="39" t="n">
        <v>155.32</v>
      </c>
      <c r="M917" s="39" t="n">
        <v>113.9</v>
      </c>
      <c r="N917" s="39" t="n">
        <f aca="false">J917*Resumo!$C$7</f>
        <v>1.464</v>
      </c>
      <c r="O917" s="39" t="n">
        <f aca="false">J917*Resumo!$C$8</f>
        <v>1.464</v>
      </c>
      <c r="P917" s="39" t="n">
        <f aca="false">Resumo!$C$10*CEILING(I917/100,1)</f>
        <v>1</v>
      </c>
      <c r="Q917" s="39" t="n">
        <f aca="false">Resumo!$C$9</f>
        <v>11.9</v>
      </c>
      <c r="R917" s="39" t="n">
        <f aca="false">SUM(M917:Q917)*Resumo!$C$11</f>
        <v>7.13504</v>
      </c>
      <c r="S917" s="39" t="n">
        <f aca="false">SUM(M917:R917)</f>
        <v>136.86304</v>
      </c>
      <c r="T917" s="39" t="n">
        <f aca="false">S917/(1-Resumo!$C$5)</f>
        <v>155.526181818182</v>
      </c>
      <c r="U917" s="39" t="n">
        <v>166.05</v>
      </c>
      <c r="V917" s="39" t="n">
        <f aca="false">J917*Resumo!$B$6</f>
        <v>0.732</v>
      </c>
      <c r="W917" s="39" t="n">
        <f aca="false">J917*Resumo!$B$7</f>
        <v>1.464</v>
      </c>
      <c r="X917" s="39" t="n">
        <f aca="false">Resumo!$B$9</f>
        <v>1</v>
      </c>
      <c r="Y917" s="39" t="n">
        <f aca="false">Resumo!$B$10*CEILING(I917/100,1)</f>
        <v>4.5</v>
      </c>
      <c r="Z917" s="39" t="n">
        <f aca="false">Resumo!$B$12*CEILING(I917,1)</f>
        <v>3.84</v>
      </c>
      <c r="AA917" s="39" t="n">
        <f aca="false">Resumo!$B$13*CEILING(I917,1)</f>
        <v>28.8</v>
      </c>
      <c r="AB917" s="39" t="n">
        <f aca="false">SUM(U917:AA917)</f>
        <v>206.386</v>
      </c>
      <c r="AC917" s="39" t="n">
        <f aca="false">AB917/(1-Resumo!$B$5)</f>
        <v>234.529545454545</v>
      </c>
      <c r="AD917" s="39" t="n">
        <f aca="false">(AB917-AA917)/(1-Resumo!$B$5)</f>
        <v>201.802272727273</v>
      </c>
      <c r="AE917" s="39" t="n">
        <f aca="false">AC917-T917</f>
        <v>79.0033636363636</v>
      </c>
      <c r="AF917" s="40" t="n">
        <f aca="false">AC917/T917-1</f>
        <v>0.507974687687779</v>
      </c>
      <c r="AG917" s="37" t="str">
        <f aca="false">IF(AC917&lt;T917,"SIM","NÃO")</f>
        <v>NÃO</v>
      </c>
      <c r="AH917" s="37" t="n">
        <v>13</v>
      </c>
      <c r="AI917" s="37" t="n">
        <v>10</v>
      </c>
      <c r="AJ917" s="37" t="s">
        <v>323</v>
      </c>
    </row>
    <row r="918" customFormat="false" ht="15" hidden="false" customHeight="false" outlineLevel="0" collapsed="false">
      <c r="A918" s="37" t="n">
        <v>375273173</v>
      </c>
      <c r="B918" s="38" t="n">
        <v>46246.61</v>
      </c>
      <c r="C918" s="37" t="s">
        <v>320</v>
      </c>
      <c r="D918" s="37" t="s">
        <v>1204</v>
      </c>
      <c r="E918" s="37" t="n">
        <v>23061010</v>
      </c>
      <c r="F918" s="37" t="s">
        <v>139</v>
      </c>
      <c r="G918" s="37" t="s">
        <v>198</v>
      </c>
      <c r="H918" s="37" t="s">
        <v>168</v>
      </c>
      <c r="I918" s="37" t="n">
        <v>22.4</v>
      </c>
      <c r="J918" s="39" t="n">
        <v>489.99</v>
      </c>
      <c r="K918" s="37" t="s">
        <v>498</v>
      </c>
      <c r="L918" s="39" t="n">
        <v>78.55</v>
      </c>
      <c r="M918" s="39" t="n">
        <v>54.1</v>
      </c>
      <c r="N918" s="39" t="n">
        <f aca="false">J918*Resumo!$C$7</f>
        <v>0.97998</v>
      </c>
      <c r="O918" s="39" t="n">
        <f aca="false">J918*Resumo!$C$8</f>
        <v>0.97998</v>
      </c>
      <c r="P918" s="39" t="n">
        <f aca="false">Resumo!$C$10*CEILING(I918/100,1)</f>
        <v>1</v>
      </c>
      <c r="Q918" s="39" t="n">
        <f aca="false">Resumo!$C$9</f>
        <v>11.9</v>
      </c>
      <c r="R918" s="39" t="n">
        <f aca="false">SUM(M918:Q918)*Resumo!$C$11</f>
        <v>3.7927978</v>
      </c>
      <c r="S918" s="39" t="n">
        <f aca="false">SUM(M918:R918)</f>
        <v>72.7527578</v>
      </c>
      <c r="T918" s="39" t="n">
        <f aca="false">S918/(1-Resumo!$C$5)</f>
        <v>82.6735884090909</v>
      </c>
      <c r="U918" s="39" t="n">
        <v>82.21</v>
      </c>
      <c r="V918" s="39" t="n">
        <f aca="false">J918*Resumo!$B$6</f>
        <v>0.48999</v>
      </c>
      <c r="W918" s="39" t="n">
        <f aca="false">J918*Resumo!$B$7</f>
        <v>0.97998</v>
      </c>
      <c r="X918" s="39" t="n">
        <f aca="false">Resumo!$B$9</f>
        <v>1</v>
      </c>
      <c r="Y918" s="39" t="n">
        <f aca="false">Resumo!$B$10*CEILING(I918/100,1)</f>
        <v>4.5</v>
      </c>
      <c r="Z918" s="39" t="n">
        <f aca="false">Resumo!$B$12*CEILING(I918,1)</f>
        <v>1.38</v>
      </c>
      <c r="AA918" s="39" t="n">
        <f aca="false">Resumo!$B$13*CEILING(I918,1)</f>
        <v>10.35</v>
      </c>
      <c r="AB918" s="39" t="n">
        <f aca="false">SUM(U918:AA918)</f>
        <v>100.90997</v>
      </c>
      <c r="AC918" s="39" t="n">
        <f aca="false">AB918/(1-Resumo!$B$5)</f>
        <v>114.670420454545</v>
      </c>
      <c r="AD918" s="39" t="n">
        <f aca="false">(AB918-AA918)/(1-Resumo!$B$5)</f>
        <v>102.909056818182</v>
      </c>
      <c r="AE918" s="39" t="n">
        <f aca="false">AC918-T918</f>
        <v>31.9968320454545</v>
      </c>
      <c r="AF918" s="40" t="n">
        <f aca="false">AC918/T918-1</f>
        <v>0.387026046179654</v>
      </c>
      <c r="AG918" s="37" t="str">
        <f aca="false">IF(AC918&lt;T918,"SIM","NÃO")</f>
        <v>NÃO</v>
      </c>
      <c r="AH918" s="37" t="n">
        <v>8</v>
      </c>
      <c r="AI918" s="37" t="n">
        <v>5</v>
      </c>
      <c r="AJ918" s="37" t="s">
        <v>323</v>
      </c>
    </row>
    <row r="919" customFormat="false" ht="15" hidden="false" customHeight="false" outlineLevel="0" collapsed="false">
      <c r="A919" s="37" t="n">
        <v>375274213</v>
      </c>
      <c r="B919" s="38" t="n">
        <v>46246.6116435185</v>
      </c>
      <c r="C919" s="37" t="s">
        <v>320</v>
      </c>
      <c r="D919" s="37" t="s">
        <v>1205</v>
      </c>
      <c r="E919" s="37" t="n">
        <v>24474295</v>
      </c>
      <c r="F919" s="37" t="s">
        <v>140</v>
      </c>
      <c r="G919" s="37" t="s">
        <v>207</v>
      </c>
      <c r="H919" s="37" t="s">
        <v>168</v>
      </c>
      <c r="I919" s="37" t="n">
        <v>33</v>
      </c>
      <c r="J919" s="39" t="n">
        <v>450.99</v>
      </c>
      <c r="K919" s="37" t="s">
        <v>498</v>
      </c>
      <c r="L919" s="39" t="n">
        <v>102.44</v>
      </c>
      <c r="M919" s="39" t="n">
        <v>70</v>
      </c>
      <c r="N919" s="39" t="n">
        <f aca="false">J919*Resumo!$C$7</f>
        <v>0.90198</v>
      </c>
      <c r="O919" s="39" t="n">
        <f aca="false">J919*Resumo!$C$8</f>
        <v>0.90198</v>
      </c>
      <c r="P919" s="39" t="n">
        <f aca="false">Resumo!$C$10*CEILING(I919/100,1)</f>
        <v>1</v>
      </c>
      <c r="Q919" s="39" t="n">
        <f aca="false">Resumo!$C$9</f>
        <v>11.9</v>
      </c>
      <c r="R919" s="39" t="n">
        <f aca="false">SUM(M919:Q919)*Resumo!$C$11</f>
        <v>4.6587178</v>
      </c>
      <c r="S919" s="39" t="n">
        <f aca="false">SUM(M919:R919)</f>
        <v>89.3626778</v>
      </c>
      <c r="T919" s="39" t="n">
        <f aca="false">S919/(1-Resumo!$C$5)</f>
        <v>101.5484975</v>
      </c>
      <c r="U919" s="39" t="n">
        <v>100.58</v>
      </c>
      <c r="V919" s="39" t="n">
        <f aca="false">J919*Resumo!$B$6</f>
        <v>0.45099</v>
      </c>
      <c r="W919" s="39" t="n">
        <f aca="false">J919*Resumo!$B$7</f>
        <v>0.90198</v>
      </c>
      <c r="X919" s="39" t="n">
        <f aca="false">Resumo!$B$9</f>
        <v>1</v>
      </c>
      <c r="Y919" s="39" t="n">
        <f aca="false">Resumo!$B$10*CEILING(I919/100,1)</f>
        <v>4.5</v>
      </c>
      <c r="Z919" s="39" t="n">
        <f aca="false">Resumo!$B$12*CEILING(I919,1)</f>
        <v>1.98</v>
      </c>
      <c r="AA919" s="39" t="n">
        <f aca="false">Resumo!$B$13*CEILING(I919,1)</f>
        <v>14.85</v>
      </c>
      <c r="AB919" s="39" t="n">
        <f aca="false">SUM(U919:AA919)</f>
        <v>124.26297</v>
      </c>
      <c r="AC919" s="39" t="n">
        <f aca="false">AB919/(1-Resumo!$B$5)</f>
        <v>141.207920454545</v>
      </c>
      <c r="AD919" s="39" t="n">
        <f aca="false">(AB919-AA919)/(1-Resumo!$B$5)</f>
        <v>124.332920454545</v>
      </c>
      <c r="AE919" s="39" t="n">
        <f aca="false">AC919-T919</f>
        <v>39.6594229545455</v>
      </c>
      <c r="AF919" s="40" t="n">
        <f aca="false">AC919/T919-1</f>
        <v>0.390546624823725</v>
      </c>
      <c r="AG919" s="37" t="str">
        <f aca="false">IF(AC919&lt;T919,"SIM","NÃO")</f>
        <v>NÃO</v>
      </c>
      <c r="AH919" s="37" t="n">
        <v>10</v>
      </c>
      <c r="AI919" s="37" t="n">
        <v>7</v>
      </c>
      <c r="AJ919" s="37" t="s">
        <v>323</v>
      </c>
    </row>
    <row r="920" customFormat="false" ht="15" hidden="false" customHeight="false" outlineLevel="0" collapsed="false">
      <c r="A920" s="37" t="n">
        <v>375285772</v>
      </c>
      <c r="B920" s="38" t="n">
        <v>46246.6279398148</v>
      </c>
      <c r="C920" s="37" t="s">
        <v>320</v>
      </c>
      <c r="D920" s="37" t="s">
        <v>1206</v>
      </c>
      <c r="E920" s="37" t="n">
        <v>21210270</v>
      </c>
      <c r="F920" s="37" t="s">
        <v>139</v>
      </c>
      <c r="G920" s="37" t="s">
        <v>198</v>
      </c>
      <c r="H920" s="37" t="s">
        <v>169</v>
      </c>
      <c r="I920" s="37" t="n">
        <v>37.2</v>
      </c>
      <c r="J920" s="39" t="n">
        <v>360.99</v>
      </c>
      <c r="K920" s="37" t="s">
        <v>322</v>
      </c>
      <c r="L920" s="39" t="n">
        <v>91.58</v>
      </c>
      <c r="M920" s="39" t="n">
        <v>62.05</v>
      </c>
      <c r="N920" s="39" t="n">
        <f aca="false">J920*Resumo!$C$7</f>
        <v>0.72198</v>
      </c>
      <c r="O920" s="39" t="n">
        <f aca="false">J920*Resumo!$C$8</f>
        <v>0.72198</v>
      </c>
      <c r="P920" s="39" t="n">
        <f aca="false">Resumo!$C$10*CEILING(I920/100,1)</f>
        <v>1</v>
      </c>
      <c r="Q920" s="39" t="n">
        <f aca="false">Resumo!$C$9</f>
        <v>11.9</v>
      </c>
      <c r="R920" s="39" t="n">
        <f aca="false">SUM(M920:Q920)*Resumo!$C$11</f>
        <v>4.2016678</v>
      </c>
      <c r="S920" s="39" t="n">
        <f aca="false">SUM(M920:R920)</f>
        <v>80.5956278</v>
      </c>
      <c r="T920" s="39" t="n">
        <f aca="false">S920/(1-Resumo!$C$5)</f>
        <v>91.5859406818182</v>
      </c>
      <c r="U920" s="39" t="n">
        <v>93.97</v>
      </c>
      <c r="V920" s="39" t="n">
        <f aca="false">J920*Resumo!$B$6</f>
        <v>0.36099</v>
      </c>
      <c r="W920" s="39" t="n">
        <f aca="false">J920*Resumo!$B$7</f>
        <v>0.72198</v>
      </c>
      <c r="X920" s="39" t="n">
        <f aca="false">Resumo!$B$9</f>
        <v>1</v>
      </c>
      <c r="Y920" s="39" t="n">
        <f aca="false">Resumo!$B$10*CEILING(I920/100,1)</f>
        <v>4.5</v>
      </c>
      <c r="Z920" s="39" t="n">
        <f aca="false">Resumo!$B$12*CEILING(I920,1)</f>
        <v>2.28</v>
      </c>
      <c r="AA920" s="39" t="n">
        <f aca="false">Resumo!$B$13*CEILING(I920,1)</f>
        <v>17.1</v>
      </c>
      <c r="AB920" s="39" t="n">
        <f aca="false">SUM(U920:AA920)</f>
        <v>119.93297</v>
      </c>
      <c r="AC920" s="39" t="n">
        <f aca="false">AB920/(1-Resumo!$B$5)</f>
        <v>136.287465909091</v>
      </c>
      <c r="AD920" s="39" t="n">
        <f aca="false">(AB920-AA920)/(1-Resumo!$B$5)</f>
        <v>116.855647727273</v>
      </c>
      <c r="AE920" s="39" t="n">
        <f aca="false">AC920-T920</f>
        <v>44.7015252272727</v>
      </c>
      <c r="AF920" s="40" t="n">
        <f aca="false">AC920/T920-1</f>
        <v>0.488082831212837</v>
      </c>
      <c r="AG920" s="37" t="str">
        <f aca="false">IF(AC920&lt;T920,"SIM","NÃO")</f>
        <v>NÃO</v>
      </c>
      <c r="AH920" s="37" t="n">
        <v>8</v>
      </c>
      <c r="AI920" s="37" t="n">
        <v>5</v>
      </c>
      <c r="AJ920" s="37" t="s">
        <v>323</v>
      </c>
    </row>
    <row r="921" customFormat="false" ht="15" hidden="false" customHeight="false" outlineLevel="0" collapsed="false">
      <c r="A921" s="37" t="n">
        <v>375296391</v>
      </c>
      <c r="B921" s="38" t="n">
        <v>46246.6416898148</v>
      </c>
      <c r="C921" s="37" t="s">
        <v>320</v>
      </c>
      <c r="D921" s="37" t="s">
        <v>1207</v>
      </c>
      <c r="E921" s="37" t="n">
        <v>23907205</v>
      </c>
      <c r="F921" s="37" t="s">
        <v>149</v>
      </c>
      <c r="G921" s="37" t="s">
        <v>201</v>
      </c>
      <c r="H921" s="37" t="s">
        <v>168</v>
      </c>
      <c r="I921" s="37" t="n">
        <v>34.4</v>
      </c>
      <c r="J921" s="39" t="n">
        <v>539.98</v>
      </c>
      <c r="K921" s="37" t="s">
        <v>498</v>
      </c>
      <c r="L921" s="39" t="n">
        <v>111.64</v>
      </c>
      <c r="M921" s="39" t="n">
        <v>76.5</v>
      </c>
      <c r="N921" s="39" t="n">
        <f aca="false">J921*Resumo!$C$7</f>
        <v>1.07996</v>
      </c>
      <c r="O921" s="39" t="n">
        <f aca="false">J921*Resumo!$C$8</f>
        <v>1.07996</v>
      </c>
      <c r="P921" s="39" t="n">
        <f aca="false">Resumo!$C$10*CEILING(I921/100,1)</f>
        <v>1</v>
      </c>
      <c r="Q921" s="39" t="n">
        <f aca="false">Resumo!$C$9</f>
        <v>11.9</v>
      </c>
      <c r="R921" s="39" t="n">
        <f aca="false">SUM(M921:Q921)*Resumo!$C$11</f>
        <v>5.0357956</v>
      </c>
      <c r="S921" s="39" t="n">
        <f aca="false">SUM(M921:R921)</f>
        <v>96.5957156</v>
      </c>
      <c r="T921" s="39" t="n">
        <f aca="false">S921/(1-Resumo!$C$5)</f>
        <v>109.767858636364</v>
      </c>
      <c r="U921" s="39" t="n">
        <v>108.83</v>
      </c>
      <c r="V921" s="39" t="n">
        <f aca="false">J921*Resumo!$B$6</f>
        <v>0.53998</v>
      </c>
      <c r="W921" s="39" t="n">
        <f aca="false">J921*Resumo!$B$7</f>
        <v>1.07996</v>
      </c>
      <c r="X921" s="39" t="n">
        <f aca="false">Resumo!$B$9</f>
        <v>1</v>
      </c>
      <c r="Y921" s="39" t="n">
        <f aca="false">Resumo!$B$10*CEILING(I921/100,1)</f>
        <v>4.5</v>
      </c>
      <c r="Z921" s="39" t="n">
        <f aca="false">Resumo!$B$12*CEILING(I921,1)</f>
        <v>2.1</v>
      </c>
      <c r="AA921" s="39" t="n">
        <f aca="false">Resumo!$B$13*CEILING(I921,1)</f>
        <v>15.75</v>
      </c>
      <c r="AB921" s="39" t="n">
        <f aca="false">SUM(U921:AA921)</f>
        <v>133.79994</v>
      </c>
      <c r="AC921" s="39" t="n">
        <f aca="false">AB921/(1-Resumo!$B$5)</f>
        <v>152.045386363636</v>
      </c>
      <c r="AD921" s="39" t="n">
        <f aca="false">(AB921-AA921)/(1-Resumo!$B$5)</f>
        <v>134.147659090909</v>
      </c>
      <c r="AE921" s="39" t="n">
        <f aca="false">AC921-T921</f>
        <v>42.2775277272727</v>
      </c>
      <c r="AF921" s="40" t="n">
        <f aca="false">AC921/T921-1</f>
        <v>0.385153980887326</v>
      </c>
      <c r="AG921" s="37" t="str">
        <f aca="false">IF(AC921&lt;T921,"SIM","NÃO")</f>
        <v>NÃO</v>
      </c>
      <c r="AH921" s="37" t="n">
        <v>13</v>
      </c>
      <c r="AI921" s="37" t="n">
        <v>10</v>
      </c>
      <c r="AJ921" s="37" t="s">
        <v>323</v>
      </c>
    </row>
    <row r="922" customFormat="false" ht="15" hidden="false" customHeight="false" outlineLevel="0" collapsed="false">
      <c r="A922" s="37" t="n">
        <v>375297964</v>
      </c>
      <c r="B922" s="38" t="n">
        <v>46246.6432407407</v>
      </c>
      <c r="C922" s="37" t="s">
        <v>325</v>
      </c>
      <c r="D922" s="37" t="s">
        <v>1208</v>
      </c>
      <c r="E922" s="37" t="n">
        <v>23082410</v>
      </c>
      <c r="F922" s="37" t="s">
        <v>139</v>
      </c>
      <c r="G922" s="37" t="s">
        <v>198</v>
      </c>
      <c r="H922" s="37" t="s">
        <v>175</v>
      </c>
      <c r="I922" s="37" t="n">
        <v>117</v>
      </c>
      <c r="J922" s="39" t="n">
        <v>1167</v>
      </c>
      <c r="K922" s="37" t="s">
        <v>498</v>
      </c>
      <c r="L922" s="39" t="n">
        <v>188.11</v>
      </c>
      <c r="M922" s="39" t="n">
        <v>135.94</v>
      </c>
      <c r="N922" s="39" t="n">
        <f aca="false">J922*Resumo!$C$7</f>
        <v>2.334</v>
      </c>
      <c r="O922" s="39" t="n">
        <f aca="false">J922*Resumo!$C$8</f>
        <v>2.334</v>
      </c>
      <c r="P922" s="39" t="n">
        <f aca="false">Resumo!$C$10*CEILING(I922/100,1)</f>
        <v>2</v>
      </c>
      <c r="Q922" s="39" t="n">
        <f aca="false">Resumo!$C$9</f>
        <v>11.9</v>
      </c>
      <c r="R922" s="39" t="n">
        <f aca="false">SUM(M922:Q922)*Resumo!$C$11</f>
        <v>8.49794</v>
      </c>
      <c r="S922" s="39" t="n">
        <f aca="false">SUM(M922:R922)</f>
        <v>163.00594</v>
      </c>
      <c r="T922" s="39" t="n">
        <f aca="false">S922/(1-Resumo!$C$5)</f>
        <v>185.234022727273</v>
      </c>
      <c r="U922" s="39" t="n">
        <v>201.59</v>
      </c>
      <c r="V922" s="39" t="n">
        <f aca="false">J922*Resumo!$B$6</f>
        <v>1.167</v>
      </c>
      <c r="W922" s="39" t="n">
        <f aca="false">J922*Resumo!$B$7</f>
        <v>2.334</v>
      </c>
      <c r="X922" s="39" t="n">
        <f aca="false">Resumo!$B$9</f>
        <v>1</v>
      </c>
      <c r="Y922" s="39" t="n">
        <f aca="false">Resumo!$B$10*CEILING(I922/100,1)</f>
        <v>9</v>
      </c>
      <c r="Z922" s="39" t="n">
        <f aca="false">Resumo!$B$12*CEILING(I922,1)</f>
        <v>7.02</v>
      </c>
      <c r="AA922" s="39" t="n">
        <f aca="false">Resumo!$B$13*CEILING(I922,1)</f>
        <v>52.65</v>
      </c>
      <c r="AB922" s="39" t="n">
        <f aca="false">SUM(U922:AA922)</f>
        <v>274.761</v>
      </c>
      <c r="AC922" s="39" t="n">
        <f aca="false">AB922/(1-Resumo!$B$5)</f>
        <v>312.228409090909</v>
      </c>
      <c r="AD922" s="39" t="n">
        <f aca="false">(AB922-AA922)/(1-Resumo!$B$5)</f>
        <v>252.398863636364</v>
      </c>
      <c r="AE922" s="39" t="n">
        <f aca="false">AC922-T922</f>
        <v>126.994386363636</v>
      </c>
      <c r="AF922" s="40" t="n">
        <f aca="false">AC922/T922-1</f>
        <v>0.685588880994153</v>
      </c>
      <c r="AG922" s="37" t="str">
        <f aca="false">IF(AC922&lt;T922,"SIM","NÃO")</f>
        <v>NÃO</v>
      </c>
      <c r="AH922" s="37" t="n">
        <v>8</v>
      </c>
      <c r="AI922" s="37" t="n">
        <v>5</v>
      </c>
      <c r="AJ922" s="37" t="s">
        <v>323</v>
      </c>
    </row>
    <row r="923" customFormat="false" ht="15" hidden="false" customHeight="false" outlineLevel="0" collapsed="false">
      <c r="A923" s="37" t="n">
        <v>375307606</v>
      </c>
      <c r="B923" s="38" t="n">
        <v>46246.6555324074</v>
      </c>
      <c r="C923" s="37" t="s">
        <v>320</v>
      </c>
      <c r="D923" s="37" t="s">
        <v>1209</v>
      </c>
      <c r="E923" s="37" t="n">
        <v>25550500</v>
      </c>
      <c r="F923" s="37" t="s">
        <v>147</v>
      </c>
      <c r="G923" s="37" t="s">
        <v>207</v>
      </c>
      <c r="H923" s="37" t="s">
        <v>169</v>
      </c>
      <c r="I923" s="37" t="n">
        <v>36.8</v>
      </c>
      <c r="J923" s="39" t="n">
        <v>439.99</v>
      </c>
      <c r="K923" s="37" t="s">
        <v>498</v>
      </c>
      <c r="L923" s="39" t="n">
        <v>113.55</v>
      </c>
      <c r="M923" s="39" t="n">
        <v>79.65</v>
      </c>
      <c r="N923" s="39" t="n">
        <f aca="false">J923*Resumo!$C$7</f>
        <v>0.87998</v>
      </c>
      <c r="O923" s="39" t="n">
        <f aca="false">J923*Resumo!$C$8</f>
        <v>0.87998</v>
      </c>
      <c r="P923" s="39" t="n">
        <f aca="false">Resumo!$C$10*CEILING(I923/100,1)</f>
        <v>1</v>
      </c>
      <c r="Q923" s="39" t="n">
        <f aca="false">Resumo!$C$9</f>
        <v>11.9</v>
      </c>
      <c r="R923" s="39" t="n">
        <f aca="false">SUM(M923:Q923)*Resumo!$C$11</f>
        <v>5.1870478</v>
      </c>
      <c r="S923" s="39" t="n">
        <f aca="false">SUM(M923:R923)</f>
        <v>99.4970078</v>
      </c>
      <c r="T923" s="39" t="n">
        <f aca="false">S923/(1-Resumo!$C$5)</f>
        <v>113.064781590909</v>
      </c>
      <c r="U923" s="39" t="n">
        <v>93.97</v>
      </c>
      <c r="V923" s="39" t="n">
        <f aca="false">J923*Resumo!$B$6</f>
        <v>0.43999</v>
      </c>
      <c r="W923" s="39" t="n">
        <f aca="false">J923*Resumo!$B$7</f>
        <v>0.87998</v>
      </c>
      <c r="X923" s="39" t="n">
        <f aca="false">Resumo!$B$9</f>
        <v>1</v>
      </c>
      <c r="Y923" s="39" t="n">
        <f aca="false">Resumo!$B$10*CEILING(I923/100,1)</f>
        <v>4.5</v>
      </c>
      <c r="Z923" s="39" t="n">
        <f aca="false">Resumo!$B$12*CEILING(I923,1)</f>
        <v>2.22</v>
      </c>
      <c r="AA923" s="39" t="n">
        <f aca="false">Resumo!$B$13*CEILING(I923,1)</f>
        <v>16.65</v>
      </c>
      <c r="AB923" s="39" t="n">
        <f aca="false">SUM(U923:AA923)</f>
        <v>119.65997</v>
      </c>
      <c r="AC923" s="39" t="n">
        <f aca="false">AB923/(1-Resumo!$B$5)</f>
        <v>135.977238636364</v>
      </c>
      <c r="AD923" s="39" t="n">
        <f aca="false">(AB923-AA923)/(1-Resumo!$B$5)</f>
        <v>117.056784090909</v>
      </c>
      <c r="AE923" s="39" t="n">
        <f aca="false">AC923-T923</f>
        <v>22.9124570454545</v>
      </c>
      <c r="AF923" s="40" t="n">
        <f aca="false">AC923/T923-1</f>
        <v>0.202648930312857</v>
      </c>
      <c r="AG923" s="37" t="str">
        <f aca="false">IF(AC923&lt;T923,"SIM","NÃO")</f>
        <v>NÃO</v>
      </c>
      <c r="AH923" s="37" t="n">
        <v>10</v>
      </c>
      <c r="AI923" s="37" t="n">
        <v>5</v>
      </c>
      <c r="AJ923" s="37" t="s">
        <v>323</v>
      </c>
    </row>
    <row r="924" customFormat="false" ht="15" hidden="false" customHeight="false" outlineLevel="0" collapsed="false">
      <c r="A924" s="37" t="n">
        <v>375312716</v>
      </c>
      <c r="B924" s="38" t="n">
        <v>46246.6626041667</v>
      </c>
      <c r="C924" s="37" t="s">
        <v>359</v>
      </c>
      <c r="D924" s="37" t="s">
        <v>1210</v>
      </c>
      <c r="E924" s="37" t="n">
        <v>25555201</v>
      </c>
      <c r="F924" s="37" t="s">
        <v>147</v>
      </c>
      <c r="G924" s="37" t="s">
        <v>207</v>
      </c>
      <c r="H924" s="37" t="s">
        <v>176</v>
      </c>
      <c r="I924" s="37" t="n">
        <v>135</v>
      </c>
      <c r="J924" s="39" t="n">
        <v>1599.99</v>
      </c>
      <c r="K924" s="37" t="s">
        <v>498</v>
      </c>
      <c r="L924" s="39" t="n">
        <v>241.75</v>
      </c>
      <c r="M924" s="39" t="n">
        <v>183.45</v>
      </c>
      <c r="N924" s="39" t="n">
        <f aca="false">J924*Resumo!$C$7</f>
        <v>3.19998</v>
      </c>
      <c r="O924" s="39" t="n">
        <f aca="false">J924*Resumo!$C$8</f>
        <v>3.19998</v>
      </c>
      <c r="P924" s="39" t="n">
        <f aca="false">Resumo!$C$10*CEILING(I924/100,1)</f>
        <v>2</v>
      </c>
      <c r="Q924" s="39" t="n">
        <f aca="false">Resumo!$C$9</f>
        <v>11.9</v>
      </c>
      <c r="R924" s="39" t="n">
        <f aca="false">SUM(M924:Q924)*Resumo!$C$11</f>
        <v>11.2062478</v>
      </c>
      <c r="S924" s="39" t="n">
        <f aca="false">SUM(M924:R924)</f>
        <v>214.9562078</v>
      </c>
      <c r="T924" s="39" t="n">
        <f aca="false">S924/(1-Resumo!$C$5)</f>
        <v>244.268417954545</v>
      </c>
      <c r="U924" s="39" t="n">
        <v>239.25</v>
      </c>
      <c r="V924" s="39" t="n">
        <f aca="false">J924*Resumo!$B$6</f>
        <v>1.59999</v>
      </c>
      <c r="W924" s="39" t="n">
        <f aca="false">J924*Resumo!$B$7</f>
        <v>3.19998</v>
      </c>
      <c r="X924" s="39" t="n">
        <f aca="false">Resumo!$B$9</f>
        <v>1</v>
      </c>
      <c r="Y924" s="39" t="n">
        <f aca="false">Resumo!$B$10*CEILING(I924/100,1)</f>
        <v>9</v>
      </c>
      <c r="Z924" s="39" t="n">
        <f aca="false">Resumo!$B$12*CEILING(I924,1)</f>
        <v>8.1</v>
      </c>
      <c r="AA924" s="39" t="n">
        <f aca="false">Resumo!$B$13*CEILING(I924,1)</f>
        <v>60.75</v>
      </c>
      <c r="AB924" s="39" t="n">
        <f aca="false">SUM(U924:AA924)</f>
        <v>322.89997</v>
      </c>
      <c r="AC924" s="39" t="n">
        <f aca="false">AB924/(1-Resumo!$B$5)</f>
        <v>366.931784090909</v>
      </c>
      <c r="AD924" s="39" t="n">
        <f aca="false">(AB924-AA924)/(1-Resumo!$B$5)</f>
        <v>297.897693181818</v>
      </c>
      <c r="AE924" s="39" t="n">
        <f aca="false">AC924-T924</f>
        <v>122.663366136364</v>
      </c>
      <c r="AF924" s="40" t="n">
        <f aca="false">AC924/T924-1</f>
        <v>0.502166293798936</v>
      </c>
      <c r="AG924" s="37" t="str">
        <f aca="false">IF(AC924&lt;T924,"SIM","NÃO")</f>
        <v>NÃO</v>
      </c>
      <c r="AH924" s="37" t="n">
        <v>10</v>
      </c>
      <c r="AI924" s="37" t="n">
        <v>5</v>
      </c>
      <c r="AJ924" s="37" t="s">
        <v>323</v>
      </c>
    </row>
    <row r="925" customFormat="false" ht="15" hidden="false" customHeight="false" outlineLevel="0" collapsed="false">
      <c r="A925" s="37" t="n">
        <v>375286549</v>
      </c>
      <c r="B925" s="38" t="n">
        <v>46246.7041203704</v>
      </c>
      <c r="C925" s="37" t="s">
        <v>352</v>
      </c>
      <c r="D925" s="37" t="s">
        <v>1211</v>
      </c>
      <c r="E925" s="37" t="n">
        <v>24745120</v>
      </c>
      <c r="F925" s="37" t="s">
        <v>140</v>
      </c>
      <c r="G925" s="37" t="s">
        <v>207</v>
      </c>
      <c r="H925" s="37" t="s">
        <v>171</v>
      </c>
      <c r="I925" s="37" t="n">
        <v>60</v>
      </c>
      <c r="J925" s="39" t="n">
        <v>969.99</v>
      </c>
      <c r="K925" s="37" t="s">
        <v>498</v>
      </c>
      <c r="L925" s="39" t="n">
        <v>132.57</v>
      </c>
      <c r="M925" s="39" t="n">
        <v>91.6</v>
      </c>
      <c r="N925" s="39" t="n">
        <f aca="false">J925*Resumo!$C$7</f>
        <v>1.93998</v>
      </c>
      <c r="O925" s="39" t="n">
        <f aca="false">J925*Resumo!$C$8</f>
        <v>1.93998</v>
      </c>
      <c r="P925" s="39" t="n">
        <f aca="false">Resumo!$C$10*CEILING(I925/100,1)</f>
        <v>1</v>
      </c>
      <c r="Q925" s="39" t="n">
        <f aca="false">Resumo!$C$9</f>
        <v>11.9</v>
      </c>
      <c r="R925" s="39" t="n">
        <f aca="false">SUM(M925:Q925)*Resumo!$C$11</f>
        <v>5.9608978</v>
      </c>
      <c r="S925" s="39" t="n">
        <f aca="false">SUM(M925:R925)</f>
        <v>114.3408578</v>
      </c>
      <c r="T925" s="39" t="n">
        <f aca="false">S925/(1-Resumo!$C$5)</f>
        <v>129.932792954545</v>
      </c>
      <c r="U925" s="39" t="n">
        <v>128.14</v>
      </c>
      <c r="V925" s="39" t="n">
        <f aca="false">J925*Resumo!$B$6</f>
        <v>0.96999</v>
      </c>
      <c r="W925" s="39" t="n">
        <f aca="false">J925*Resumo!$B$7</f>
        <v>1.93998</v>
      </c>
      <c r="X925" s="39" t="n">
        <f aca="false">Resumo!$B$9</f>
        <v>1</v>
      </c>
      <c r="Y925" s="39" t="n">
        <f aca="false">Resumo!$B$10*CEILING(I925/100,1)</f>
        <v>4.5</v>
      </c>
      <c r="Z925" s="39" t="n">
        <f aca="false">Resumo!$B$12*CEILING(I925,1)</f>
        <v>3.6</v>
      </c>
      <c r="AA925" s="39" t="n">
        <f aca="false">Resumo!$B$13*CEILING(I925,1)</f>
        <v>27</v>
      </c>
      <c r="AB925" s="39" t="n">
        <f aca="false">SUM(U925:AA925)</f>
        <v>167.14997</v>
      </c>
      <c r="AC925" s="39" t="n">
        <f aca="false">AB925/(1-Resumo!$B$5)</f>
        <v>189.943147727273</v>
      </c>
      <c r="AD925" s="39" t="n">
        <f aca="false">(AB925-AA925)/(1-Resumo!$B$5)</f>
        <v>159.261329545455</v>
      </c>
      <c r="AE925" s="39" t="n">
        <f aca="false">AC925-T925</f>
        <v>60.0103547727273</v>
      </c>
      <c r="AF925" s="40" t="n">
        <f aca="false">AC925/T925-1</f>
        <v>0.461856883148204</v>
      </c>
      <c r="AG925" s="37" t="str">
        <f aca="false">IF(AC925&lt;T925,"SIM","NÃO")</f>
        <v>NÃO</v>
      </c>
      <c r="AH925" s="37" t="n">
        <v>10</v>
      </c>
      <c r="AI925" s="37" t="n">
        <v>7</v>
      </c>
      <c r="AJ925" s="37" t="s">
        <v>323</v>
      </c>
    </row>
    <row r="926" customFormat="false" ht="15" hidden="false" customHeight="false" outlineLevel="0" collapsed="false">
      <c r="A926" s="37" t="n">
        <v>375342295</v>
      </c>
      <c r="B926" s="38" t="n">
        <v>46246.7088888889</v>
      </c>
      <c r="C926" s="37" t="s">
        <v>320</v>
      </c>
      <c r="D926" s="37" t="s">
        <v>1212</v>
      </c>
      <c r="E926" s="37" t="n">
        <v>25272660</v>
      </c>
      <c r="F926" s="37" t="s">
        <v>141</v>
      </c>
      <c r="G926" s="37" t="s">
        <v>207</v>
      </c>
      <c r="H926" s="37" t="s">
        <v>172</v>
      </c>
      <c r="I926" s="37" t="n">
        <v>66.8</v>
      </c>
      <c r="J926" s="39" t="n">
        <v>699.99</v>
      </c>
      <c r="K926" s="37" t="s">
        <v>322</v>
      </c>
      <c r="L926" s="39" t="n">
        <v>139.78</v>
      </c>
      <c r="M926" s="39" t="n">
        <v>100.9</v>
      </c>
      <c r="N926" s="39" t="n">
        <f aca="false">J926*Resumo!$C$7</f>
        <v>1.39998</v>
      </c>
      <c r="O926" s="39" t="n">
        <f aca="false">J926*Resumo!$C$8</f>
        <v>1.39998</v>
      </c>
      <c r="P926" s="39" t="n">
        <f aca="false">Resumo!$C$10*CEILING(I926/100,1)</f>
        <v>1</v>
      </c>
      <c r="Q926" s="39" t="n">
        <f aca="false">Resumo!$C$9</f>
        <v>11.9</v>
      </c>
      <c r="R926" s="39" t="n">
        <f aca="false">SUM(M926:Q926)*Resumo!$C$11</f>
        <v>6.4129978</v>
      </c>
      <c r="S926" s="39" t="n">
        <f aca="false">SUM(M926:R926)</f>
        <v>123.0129578</v>
      </c>
      <c r="T926" s="39" t="n">
        <f aca="false">S926/(1-Resumo!$C$5)</f>
        <v>139.787452045455</v>
      </c>
      <c r="U926" s="39" t="n">
        <v>131.02</v>
      </c>
      <c r="V926" s="39" t="n">
        <f aca="false">J926*Resumo!$B$6</f>
        <v>0.69999</v>
      </c>
      <c r="W926" s="39" t="n">
        <f aca="false">J926*Resumo!$B$7</f>
        <v>1.39998</v>
      </c>
      <c r="X926" s="39" t="n">
        <f aca="false">Resumo!$B$9</f>
        <v>1</v>
      </c>
      <c r="Y926" s="39" t="n">
        <f aca="false">Resumo!$B$10*CEILING(I926/100,1)</f>
        <v>4.5</v>
      </c>
      <c r="Z926" s="39" t="n">
        <f aca="false">Resumo!$B$12*CEILING(I926,1)</f>
        <v>4.02</v>
      </c>
      <c r="AA926" s="39" t="n">
        <f aca="false">Resumo!$B$13*CEILING(I926,1)</f>
        <v>30.15</v>
      </c>
      <c r="AB926" s="39" t="n">
        <f aca="false">SUM(U926:AA926)</f>
        <v>172.78997</v>
      </c>
      <c r="AC926" s="39" t="n">
        <f aca="false">AB926/(1-Resumo!$B$5)</f>
        <v>196.352238636364</v>
      </c>
      <c r="AD926" s="39" t="n">
        <f aca="false">(AB926-AA926)/(1-Resumo!$B$5)</f>
        <v>162.090875</v>
      </c>
      <c r="AE926" s="39" t="n">
        <f aca="false">AC926-T926</f>
        <v>56.5647865909091</v>
      </c>
      <c r="AF926" s="40" t="n">
        <f aca="false">AC926/T926-1</f>
        <v>0.404648527197677</v>
      </c>
      <c r="AG926" s="37" t="str">
        <f aca="false">IF(AC926&lt;T926,"SIM","NÃO")</f>
        <v>NÃO</v>
      </c>
      <c r="AH926" s="37" t="n">
        <v>10</v>
      </c>
      <c r="AI926" s="37" t="n">
        <v>5</v>
      </c>
      <c r="AJ926" s="37" t="s">
        <v>323</v>
      </c>
    </row>
    <row r="927" customFormat="false" ht="15" hidden="false" customHeight="false" outlineLevel="0" collapsed="false">
      <c r="A927" s="37" t="n">
        <v>375346285</v>
      </c>
      <c r="B927" s="38" t="n">
        <v>46246.7187152778</v>
      </c>
      <c r="C927" s="37" t="s">
        <v>320</v>
      </c>
      <c r="D927" s="37" t="s">
        <v>1213</v>
      </c>
      <c r="E927" s="37" t="n">
        <v>24340105</v>
      </c>
      <c r="F927" s="37" t="s">
        <v>143</v>
      </c>
      <c r="G927" s="37" t="s">
        <v>207</v>
      </c>
      <c r="H927" s="37" t="s">
        <v>172</v>
      </c>
      <c r="I927" s="37" t="n">
        <v>69</v>
      </c>
      <c r="J927" s="39" t="n">
        <v>839.99</v>
      </c>
      <c r="K927" s="37" t="s">
        <v>322</v>
      </c>
      <c r="L927" s="39" t="n">
        <v>140.45</v>
      </c>
      <c r="M927" s="39" t="n">
        <v>100.9</v>
      </c>
      <c r="N927" s="39" t="n">
        <f aca="false">J927*Resumo!$C$7</f>
        <v>1.67998</v>
      </c>
      <c r="O927" s="39" t="n">
        <f aca="false">J927*Resumo!$C$8</f>
        <v>1.67998</v>
      </c>
      <c r="P927" s="39" t="n">
        <f aca="false">Resumo!$C$10*CEILING(I927/100,1)</f>
        <v>1</v>
      </c>
      <c r="Q927" s="39" t="n">
        <f aca="false">Resumo!$C$9</f>
        <v>11.9</v>
      </c>
      <c r="R927" s="39" t="n">
        <f aca="false">SUM(M927:Q927)*Resumo!$C$11</f>
        <v>6.4437978</v>
      </c>
      <c r="S927" s="39" t="n">
        <f aca="false">SUM(M927:R927)</f>
        <v>123.6037578</v>
      </c>
      <c r="T927" s="39" t="n">
        <f aca="false">S927/(1-Resumo!$C$5)</f>
        <v>140.458815681818</v>
      </c>
      <c r="U927" s="39" t="n">
        <v>149.5</v>
      </c>
      <c r="V927" s="39" t="n">
        <f aca="false">J927*Resumo!$B$6</f>
        <v>0.83999</v>
      </c>
      <c r="W927" s="39" t="n">
        <f aca="false">J927*Resumo!$B$7</f>
        <v>1.67998</v>
      </c>
      <c r="X927" s="39" t="n">
        <f aca="false">Resumo!$B$9</f>
        <v>1</v>
      </c>
      <c r="Y927" s="39" t="n">
        <f aca="false">Resumo!$B$10*CEILING(I927/100,1)</f>
        <v>4.5</v>
      </c>
      <c r="Z927" s="39" t="n">
        <f aca="false">Resumo!$B$12*CEILING(I927,1)</f>
        <v>4.14</v>
      </c>
      <c r="AA927" s="39" t="n">
        <f aca="false">Resumo!$B$13*CEILING(I927,1)</f>
        <v>31.05</v>
      </c>
      <c r="AB927" s="39" t="n">
        <f aca="false">SUM(U927:AA927)</f>
        <v>192.70997</v>
      </c>
      <c r="AC927" s="39" t="n">
        <f aca="false">AB927/(1-Resumo!$B$5)</f>
        <v>218.988602272727</v>
      </c>
      <c r="AD927" s="39" t="n">
        <f aca="false">(AB927-AA927)/(1-Resumo!$B$5)</f>
        <v>183.704511363636</v>
      </c>
      <c r="AE927" s="39" t="n">
        <f aca="false">AC927-T927</f>
        <v>78.5297865909091</v>
      </c>
      <c r="AF927" s="40" t="n">
        <f aca="false">AC927/T927-1</f>
        <v>0.559094751082074</v>
      </c>
      <c r="AG927" s="37" t="str">
        <f aca="false">IF(AC927&lt;T927,"SIM","NÃO")</f>
        <v>NÃO</v>
      </c>
      <c r="AH927" s="37" t="n">
        <v>10</v>
      </c>
      <c r="AI927" s="37" t="n">
        <v>7</v>
      </c>
      <c r="AJ927" s="37" t="s">
        <v>323</v>
      </c>
    </row>
    <row r="928" customFormat="false" ht="15" hidden="false" customHeight="false" outlineLevel="0" collapsed="false">
      <c r="A928" s="37" t="n">
        <v>375352277</v>
      </c>
      <c r="B928" s="38" t="n">
        <v>46246.7330208333</v>
      </c>
      <c r="C928" s="37" t="s">
        <v>320</v>
      </c>
      <c r="D928" s="37" t="s">
        <v>1214</v>
      </c>
      <c r="E928" s="37" t="n">
        <v>28990760</v>
      </c>
      <c r="F928" s="37" t="s">
        <v>281</v>
      </c>
      <c r="G928" s="37" t="s">
        <v>201</v>
      </c>
      <c r="H928" s="37" t="s">
        <v>169</v>
      </c>
      <c r="I928" s="37" t="n">
        <v>37.2</v>
      </c>
      <c r="J928" s="39" t="n">
        <v>360.99</v>
      </c>
      <c r="K928" s="37" t="s">
        <v>498</v>
      </c>
      <c r="L928" s="39" t="n">
        <v>122.94</v>
      </c>
      <c r="M928" s="39" t="n">
        <v>87.4</v>
      </c>
      <c r="N928" s="39" t="n">
        <f aca="false">J928*Resumo!$C$7</f>
        <v>0.72198</v>
      </c>
      <c r="O928" s="39" t="n">
        <f aca="false">J928*Resumo!$C$8</f>
        <v>0.72198</v>
      </c>
      <c r="P928" s="39" t="n">
        <f aca="false">Resumo!$C$10*CEILING(I928/100,1)</f>
        <v>1</v>
      </c>
      <c r="Q928" s="39" t="n">
        <f aca="false">Resumo!$C$9</f>
        <v>11.9</v>
      </c>
      <c r="R928" s="39" t="n">
        <f aca="false">SUM(M928:Q928)*Resumo!$C$11</f>
        <v>5.5959178</v>
      </c>
      <c r="S928" s="39" t="n">
        <f aca="false">SUM(M928:R928)</f>
        <v>107.3398778</v>
      </c>
      <c r="T928" s="39" t="n">
        <f aca="false">S928/(1-Resumo!$C$5)</f>
        <v>121.977133863636</v>
      </c>
      <c r="U928" s="39" t="n">
        <v>124.38</v>
      </c>
      <c r="V928" s="39" t="n">
        <f aca="false">J928*Resumo!$B$6</f>
        <v>0.36099</v>
      </c>
      <c r="W928" s="39" t="n">
        <f aca="false">J928*Resumo!$B$7</f>
        <v>0.72198</v>
      </c>
      <c r="X928" s="39" t="n">
        <f aca="false">Resumo!$B$9</f>
        <v>1</v>
      </c>
      <c r="Y928" s="39" t="n">
        <f aca="false">Resumo!$B$10*CEILING(I928/100,1)</f>
        <v>4.5</v>
      </c>
      <c r="Z928" s="39" t="n">
        <f aca="false">Resumo!$B$12*CEILING(I928,1)</f>
        <v>2.28</v>
      </c>
      <c r="AA928" s="39" t="n">
        <f aca="false">Resumo!$B$13*CEILING(I928,1)</f>
        <v>17.1</v>
      </c>
      <c r="AB928" s="39" t="n">
        <f aca="false">SUM(U928:AA928)</f>
        <v>150.34297</v>
      </c>
      <c r="AC928" s="39" t="n">
        <f aca="false">AB928/(1-Resumo!$B$5)</f>
        <v>170.844284090909</v>
      </c>
      <c r="AD928" s="39" t="n">
        <f aca="false">(AB928-AA928)/(1-Resumo!$B$5)</f>
        <v>151.412465909091</v>
      </c>
      <c r="AE928" s="39" t="n">
        <f aca="false">AC928-T928</f>
        <v>48.8671502272727</v>
      </c>
      <c r="AF928" s="40" t="n">
        <f aca="false">AC928/T928-1</f>
        <v>0.400625499873636</v>
      </c>
      <c r="AG928" s="37" t="str">
        <f aca="false">IF(AC928&lt;T928,"SIM","NÃO")</f>
        <v>NÃO</v>
      </c>
      <c r="AH928" s="37" t="n">
        <v>13</v>
      </c>
      <c r="AI928" s="37" t="n">
        <v>10</v>
      </c>
      <c r="AJ928" s="37" t="s">
        <v>327</v>
      </c>
    </row>
    <row r="929" customFormat="false" ht="15" hidden="false" customHeight="false" outlineLevel="0" collapsed="false">
      <c r="A929" s="37" t="n">
        <v>375352666</v>
      </c>
      <c r="B929" s="38" t="n">
        <v>46246.7342013889</v>
      </c>
      <c r="C929" s="37" t="s">
        <v>355</v>
      </c>
      <c r="D929" s="37" t="s">
        <v>1206</v>
      </c>
      <c r="E929" s="37" t="n">
        <v>21210270</v>
      </c>
      <c r="F929" s="37" t="s">
        <v>139</v>
      </c>
      <c r="G929" s="37" t="s">
        <v>198</v>
      </c>
      <c r="H929" s="37" t="s">
        <v>168</v>
      </c>
      <c r="I929" s="37" t="n">
        <v>22.04</v>
      </c>
      <c r="J929" s="39" t="n">
        <v>271.43</v>
      </c>
      <c r="K929" s="37" t="s">
        <v>322</v>
      </c>
      <c r="L929" s="39" t="n">
        <v>81.61</v>
      </c>
      <c r="M929" s="39" t="n">
        <v>54.1</v>
      </c>
      <c r="N929" s="39" t="n">
        <f aca="false">J929*Resumo!$C$7</f>
        <v>0.54286</v>
      </c>
      <c r="O929" s="39" t="n">
        <f aca="false">J929*Resumo!$C$8</f>
        <v>0.54286</v>
      </c>
      <c r="P929" s="39" t="n">
        <f aca="false">Resumo!$C$10*CEILING(I929/100,1)</f>
        <v>1</v>
      </c>
      <c r="Q929" s="39" t="n">
        <f aca="false">Resumo!$C$9</f>
        <v>11.9</v>
      </c>
      <c r="R929" s="39" t="n">
        <f aca="false">SUM(M929:Q929)*Resumo!$C$11</f>
        <v>3.7447146</v>
      </c>
      <c r="S929" s="39" t="n">
        <f aca="false">SUM(M929:R929)</f>
        <v>71.8304346</v>
      </c>
      <c r="T929" s="39" t="n">
        <f aca="false">S929/(1-Resumo!$C$5)</f>
        <v>81.6254938636364</v>
      </c>
      <c r="U929" s="39" t="n">
        <v>82.21</v>
      </c>
      <c r="V929" s="39" t="n">
        <f aca="false">J929*Resumo!$B$6</f>
        <v>0.27143</v>
      </c>
      <c r="W929" s="39" t="n">
        <f aca="false">J929*Resumo!$B$7</f>
        <v>0.54286</v>
      </c>
      <c r="X929" s="39" t="n">
        <f aca="false">Resumo!$B$9</f>
        <v>1</v>
      </c>
      <c r="Y929" s="39" t="n">
        <f aca="false">Resumo!$B$10*CEILING(I929/100,1)</f>
        <v>4.5</v>
      </c>
      <c r="Z929" s="39" t="n">
        <f aca="false">Resumo!$B$12*CEILING(I929,1)</f>
        <v>1.38</v>
      </c>
      <c r="AA929" s="39" t="n">
        <f aca="false">Resumo!$B$13*CEILING(I929,1)</f>
        <v>10.35</v>
      </c>
      <c r="AB929" s="39" t="n">
        <f aca="false">SUM(U929:AA929)</f>
        <v>100.25429</v>
      </c>
      <c r="AC929" s="39" t="n">
        <f aca="false">AB929/(1-Resumo!$B$5)</f>
        <v>113.925329545455</v>
      </c>
      <c r="AD929" s="39" t="n">
        <f aca="false">(AB929-AA929)/(1-Resumo!$B$5)</f>
        <v>102.163965909091</v>
      </c>
      <c r="AE929" s="39" t="n">
        <f aca="false">AC929-T929</f>
        <v>32.2998356818182</v>
      </c>
      <c r="AF929" s="40" t="n">
        <f aca="false">AC929/T929-1</f>
        <v>0.3957076907342</v>
      </c>
      <c r="AG929" s="37" t="str">
        <f aca="false">IF(AC929&lt;T929,"SIM","NÃO")</f>
        <v>NÃO</v>
      </c>
      <c r="AH929" s="37" t="n">
        <v>8</v>
      </c>
      <c r="AI929" s="37" t="n">
        <v>5</v>
      </c>
      <c r="AJ929" s="37" t="s">
        <v>323</v>
      </c>
    </row>
    <row r="930" customFormat="false" ht="15" hidden="false" customHeight="false" outlineLevel="0" collapsed="false">
      <c r="A930" s="37" t="n">
        <v>375353973</v>
      </c>
      <c r="B930" s="38" t="n">
        <v>46246.7470486111</v>
      </c>
      <c r="C930" s="37" t="s">
        <v>341</v>
      </c>
      <c r="D930" s="37" t="s">
        <v>1215</v>
      </c>
      <c r="E930" s="37" t="n">
        <v>26475040</v>
      </c>
      <c r="F930" s="37" t="s">
        <v>223</v>
      </c>
      <c r="G930" s="37" t="s">
        <v>201</v>
      </c>
      <c r="H930" s="37" t="s">
        <v>168</v>
      </c>
      <c r="I930" s="37" t="n">
        <v>31.9</v>
      </c>
      <c r="J930" s="39" t="n">
        <v>659.99</v>
      </c>
      <c r="K930" s="37" t="s">
        <v>498</v>
      </c>
      <c r="L930" s="39" t="n">
        <v>110.69</v>
      </c>
      <c r="M930" s="39" t="n">
        <v>76.5</v>
      </c>
      <c r="N930" s="39" t="n">
        <f aca="false">J930*Resumo!$C$7</f>
        <v>1.31998</v>
      </c>
      <c r="O930" s="39" t="n">
        <f aca="false">J930*Resumo!$C$8</f>
        <v>1.31998</v>
      </c>
      <c r="P930" s="39" t="n">
        <f aca="false">Resumo!$C$10*CEILING(I930/100,1)</f>
        <v>1</v>
      </c>
      <c r="Q930" s="39" t="n">
        <f aca="false">Resumo!$C$9</f>
        <v>11.9</v>
      </c>
      <c r="R930" s="39" t="n">
        <f aca="false">SUM(M930:Q930)*Resumo!$C$11</f>
        <v>5.0621978</v>
      </c>
      <c r="S930" s="39" t="n">
        <f aca="false">SUM(M930:R930)</f>
        <v>97.1021578</v>
      </c>
      <c r="T930" s="39" t="n">
        <f aca="false">S930/(1-Resumo!$C$5)</f>
        <v>110.343361136364</v>
      </c>
      <c r="U930" s="39" t="n">
        <v>82.21</v>
      </c>
      <c r="V930" s="39" t="n">
        <f aca="false">J930*Resumo!$B$6</f>
        <v>0.65999</v>
      </c>
      <c r="W930" s="39" t="n">
        <f aca="false">J930*Resumo!$B$7</f>
        <v>1.31998</v>
      </c>
      <c r="X930" s="39" t="n">
        <f aca="false">Resumo!$B$9</f>
        <v>1</v>
      </c>
      <c r="Y930" s="39" t="n">
        <f aca="false">Resumo!$B$10*CEILING(I930/100,1)</f>
        <v>4.5</v>
      </c>
      <c r="Z930" s="39" t="n">
        <f aca="false">Resumo!$B$12*CEILING(I930,1)</f>
        <v>1.92</v>
      </c>
      <c r="AA930" s="39" t="n">
        <f aca="false">Resumo!$B$13*CEILING(I930,1)</f>
        <v>14.4</v>
      </c>
      <c r="AB930" s="39" t="n">
        <f aca="false">SUM(U930:AA930)</f>
        <v>106.00997</v>
      </c>
      <c r="AC930" s="39" t="n">
        <f aca="false">AB930/(1-Resumo!$B$5)</f>
        <v>120.465875</v>
      </c>
      <c r="AD930" s="39" t="n">
        <f aca="false">(AB930-AA930)/(1-Resumo!$B$5)</f>
        <v>104.102238636364</v>
      </c>
      <c r="AE930" s="39" t="n">
        <f aca="false">AC930-T930</f>
        <v>10.1225138636363</v>
      </c>
      <c r="AF930" s="40" t="n">
        <f aca="false">AC930/T930-1</f>
        <v>0.0917365010399387</v>
      </c>
      <c r="AG930" s="37" t="str">
        <f aca="false">IF(AC930&lt;T930,"SIM","NÃO")</f>
        <v>NÃO</v>
      </c>
      <c r="AH930" s="37" t="n">
        <v>13</v>
      </c>
      <c r="AI930" s="37" t="n">
        <v>5</v>
      </c>
      <c r="AJ930" s="37" t="s">
        <v>327</v>
      </c>
    </row>
    <row r="931" customFormat="false" ht="15" hidden="false" customHeight="false" outlineLevel="0" collapsed="false">
      <c r="A931" s="37" t="n">
        <v>375387267</v>
      </c>
      <c r="B931" s="38" t="n">
        <v>46246.7806365741</v>
      </c>
      <c r="C931" s="37" t="s">
        <v>320</v>
      </c>
      <c r="D931" s="37" t="s">
        <v>1216</v>
      </c>
      <c r="E931" s="37" t="n">
        <v>26525046</v>
      </c>
      <c r="F931" s="37" t="s">
        <v>224</v>
      </c>
      <c r="G931" s="37" t="s">
        <v>207</v>
      </c>
      <c r="H931" s="37" t="s">
        <v>168</v>
      </c>
      <c r="I931" s="37" t="n">
        <v>33</v>
      </c>
      <c r="J931" s="39" t="n">
        <v>599.99</v>
      </c>
      <c r="K931" s="37" t="s">
        <v>498</v>
      </c>
      <c r="L931" s="39" t="n">
        <v>103.15</v>
      </c>
      <c r="M931" s="39" t="n">
        <v>70</v>
      </c>
      <c r="N931" s="39" t="n">
        <f aca="false">J931*Resumo!$C$7</f>
        <v>1.19998</v>
      </c>
      <c r="O931" s="39" t="n">
        <f aca="false">J931*Resumo!$C$8</f>
        <v>1.19998</v>
      </c>
      <c r="P931" s="39" t="n">
        <f aca="false">Resumo!$C$10*CEILING(I931/100,1)</f>
        <v>1</v>
      </c>
      <c r="Q931" s="39" t="n">
        <f aca="false">Resumo!$C$9</f>
        <v>11.9</v>
      </c>
      <c r="R931" s="39" t="n">
        <f aca="false">SUM(M931:Q931)*Resumo!$C$11</f>
        <v>4.6914978</v>
      </c>
      <c r="S931" s="39" t="n">
        <f aca="false">SUM(M931:R931)</f>
        <v>89.9914578</v>
      </c>
      <c r="T931" s="39" t="n">
        <f aca="false">S931/(1-Resumo!$C$5)</f>
        <v>102.263020227273</v>
      </c>
      <c r="U931" s="39" t="n">
        <v>82.21</v>
      </c>
      <c r="V931" s="39" t="n">
        <f aca="false">J931*Resumo!$B$6</f>
        <v>0.59999</v>
      </c>
      <c r="W931" s="39" t="n">
        <f aca="false">J931*Resumo!$B$7</f>
        <v>1.19998</v>
      </c>
      <c r="X931" s="39" t="n">
        <f aca="false">Resumo!$B$9</f>
        <v>1</v>
      </c>
      <c r="Y931" s="39" t="n">
        <f aca="false">Resumo!$B$10*CEILING(I931/100,1)</f>
        <v>4.5</v>
      </c>
      <c r="Z931" s="39" t="n">
        <f aca="false">Resumo!$B$12*CEILING(I931,1)</f>
        <v>1.98</v>
      </c>
      <c r="AA931" s="39" t="n">
        <f aca="false">Resumo!$B$13*CEILING(I931,1)</f>
        <v>14.85</v>
      </c>
      <c r="AB931" s="39" t="n">
        <f aca="false">SUM(U931:AA931)</f>
        <v>106.33997</v>
      </c>
      <c r="AC931" s="39" t="n">
        <f aca="false">AB931/(1-Resumo!$B$5)</f>
        <v>120.840875</v>
      </c>
      <c r="AD931" s="39" t="n">
        <f aca="false">(AB931-AA931)/(1-Resumo!$B$5)</f>
        <v>103.965875</v>
      </c>
      <c r="AE931" s="39" t="n">
        <f aca="false">AC931-T931</f>
        <v>18.5778547727273</v>
      </c>
      <c r="AF931" s="40" t="n">
        <f aca="false">AC931/T931-1</f>
        <v>0.18166737821198</v>
      </c>
      <c r="AG931" s="37" t="str">
        <f aca="false">IF(AC931&lt;T931,"SIM","NÃO")</f>
        <v>NÃO</v>
      </c>
      <c r="AH931" s="37" t="n">
        <v>10</v>
      </c>
      <c r="AI931" s="37" t="n">
        <v>5</v>
      </c>
      <c r="AJ931" s="37" t="s">
        <v>327</v>
      </c>
    </row>
    <row r="932" customFormat="false" ht="15" hidden="false" customHeight="false" outlineLevel="0" collapsed="false">
      <c r="A932" s="37" t="n">
        <v>375401937</v>
      </c>
      <c r="B932" s="38" t="n">
        <v>46246.8162384259</v>
      </c>
      <c r="C932" s="37" t="s">
        <v>320</v>
      </c>
      <c r="D932" s="37" t="s">
        <v>1217</v>
      </c>
      <c r="E932" s="37" t="n">
        <v>26587390</v>
      </c>
      <c r="F932" s="37" t="s">
        <v>155</v>
      </c>
      <c r="G932" s="37" t="s">
        <v>207</v>
      </c>
      <c r="H932" s="37" t="s">
        <v>172</v>
      </c>
      <c r="I932" s="37" t="n">
        <v>69.15</v>
      </c>
      <c r="J932" s="39" t="n">
        <v>829.99</v>
      </c>
      <c r="K932" s="37" t="s">
        <v>498</v>
      </c>
      <c r="L932" s="39" t="n">
        <v>143.33</v>
      </c>
      <c r="M932" s="39" t="n">
        <v>100.9</v>
      </c>
      <c r="N932" s="39" t="n">
        <f aca="false">J932*Resumo!$C$7</f>
        <v>1.65998</v>
      </c>
      <c r="O932" s="39" t="n">
        <f aca="false">J932*Resumo!$C$8</f>
        <v>1.65998</v>
      </c>
      <c r="P932" s="39" t="n">
        <f aca="false">Resumo!$C$10*CEILING(I932/100,1)</f>
        <v>1</v>
      </c>
      <c r="Q932" s="39" t="n">
        <f aca="false">Resumo!$C$9</f>
        <v>11.9</v>
      </c>
      <c r="R932" s="39" t="n">
        <f aca="false">SUM(M932:Q932)*Resumo!$C$11</f>
        <v>6.4415978</v>
      </c>
      <c r="S932" s="39" t="n">
        <f aca="false">SUM(M932:R932)</f>
        <v>123.5615578</v>
      </c>
      <c r="T932" s="39" t="n">
        <f aca="false">S932/(1-Resumo!$C$5)</f>
        <v>140.410861136364</v>
      </c>
      <c r="U932" s="39" t="n">
        <v>131.02</v>
      </c>
      <c r="V932" s="39" t="n">
        <f aca="false">J932*Resumo!$B$6</f>
        <v>0.82999</v>
      </c>
      <c r="W932" s="39" t="n">
        <f aca="false">J932*Resumo!$B$7</f>
        <v>1.65998</v>
      </c>
      <c r="X932" s="39" t="n">
        <f aca="false">Resumo!$B$9</f>
        <v>1</v>
      </c>
      <c r="Y932" s="39" t="n">
        <f aca="false">Resumo!$B$10*CEILING(I932/100,1)</f>
        <v>4.5</v>
      </c>
      <c r="Z932" s="39" t="n">
        <f aca="false">Resumo!$B$12*CEILING(I932,1)</f>
        <v>4.2</v>
      </c>
      <c r="AA932" s="39" t="n">
        <f aca="false">Resumo!$B$13*CEILING(I932,1)</f>
        <v>31.5</v>
      </c>
      <c r="AB932" s="39" t="n">
        <f aca="false">SUM(U932:AA932)</f>
        <v>174.70997</v>
      </c>
      <c r="AC932" s="39" t="n">
        <f aca="false">AB932/(1-Resumo!$B$5)</f>
        <v>198.534056818182</v>
      </c>
      <c r="AD932" s="39" t="n">
        <f aca="false">(AB932-AA932)/(1-Resumo!$B$5)</f>
        <v>162.738602272727</v>
      </c>
      <c r="AE932" s="39" t="n">
        <f aca="false">AC932-T932</f>
        <v>58.1231956818182</v>
      </c>
      <c r="AF932" s="40" t="n">
        <f aca="false">AC932/T932-1</f>
        <v>0.413950852600856</v>
      </c>
      <c r="AG932" s="37" t="str">
        <f aca="false">IF(AC932&lt;T932,"SIM","NÃO")</f>
        <v>NÃO</v>
      </c>
      <c r="AH932" s="37" t="n">
        <v>10</v>
      </c>
      <c r="AI932" s="37" t="n">
        <v>5</v>
      </c>
      <c r="AJ932" s="37" t="s">
        <v>323</v>
      </c>
    </row>
    <row r="933" customFormat="false" ht="15" hidden="false" customHeight="false" outlineLevel="0" collapsed="false">
      <c r="A933" s="37" t="n">
        <v>375403060</v>
      </c>
      <c r="B933" s="38" t="n">
        <v>46246.8178472222</v>
      </c>
      <c r="C933" s="37" t="s">
        <v>320</v>
      </c>
      <c r="D933" s="37" t="s">
        <v>1218</v>
      </c>
      <c r="E933" s="37" t="n">
        <v>24800770</v>
      </c>
      <c r="F933" s="37" t="s">
        <v>154</v>
      </c>
      <c r="G933" s="37" t="s">
        <v>201</v>
      </c>
      <c r="H933" s="37" t="s">
        <v>167</v>
      </c>
      <c r="I933" s="37" t="n">
        <v>17</v>
      </c>
      <c r="J933" s="39" t="n">
        <v>249.99</v>
      </c>
      <c r="K933" s="37" t="s">
        <v>498</v>
      </c>
      <c r="L933" s="39" t="n">
        <v>79.82</v>
      </c>
      <c r="M933" s="39" t="n">
        <v>52.71</v>
      </c>
      <c r="N933" s="39" t="n">
        <f aca="false">J933*Resumo!$C$7</f>
        <v>0.49998</v>
      </c>
      <c r="O933" s="39" t="n">
        <f aca="false">J933*Resumo!$C$8</f>
        <v>0.49998</v>
      </c>
      <c r="P933" s="39" t="n">
        <f aca="false">Resumo!$C$10*CEILING(I933/100,1)</f>
        <v>1</v>
      </c>
      <c r="Q933" s="39" t="n">
        <f aca="false">Resumo!$C$9</f>
        <v>11.9</v>
      </c>
      <c r="R933" s="39" t="n">
        <f aca="false">SUM(M933:Q933)*Resumo!$C$11</f>
        <v>3.6635478</v>
      </c>
      <c r="S933" s="39" t="n">
        <f aca="false">SUM(M933:R933)</f>
        <v>70.2735078</v>
      </c>
      <c r="T933" s="39" t="n">
        <f aca="false">S933/(1-Resumo!$C$5)</f>
        <v>79.8562588636364</v>
      </c>
      <c r="U933" s="39" t="n">
        <v>57.47</v>
      </c>
      <c r="V933" s="39" t="n">
        <f aca="false">J933*Resumo!$B$6</f>
        <v>0.24999</v>
      </c>
      <c r="W933" s="39" t="n">
        <f aca="false">J933*Resumo!$B$7</f>
        <v>0.49998</v>
      </c>
      <c r="X933" s="39" t="n">
        <f aca="false">Resumo!$B$9</f>
        <v>1</v>
      </c>
      <c r="Y933" s="39" t="n">
        <f aca="false">Resumo!$B$10*CEILING(I933/100,1)</f>
        <v>4.5</v>
      </c>
      <c r="Z933" s="39" t="n">
        <f aca="false">Resumo!$B$12*CEILING(I933,1)</f>
        <v>1.02</v>
      </c>
      <c r="AA933" s="39" t="n">
        <f aca="false">Resumo!$B$13*CEILING(I933,1)</f>
        <v>7.65</v>
      </c>
      <c r="AB933" s="39" t="n">
        <f aca="false">SUM(U933:AA933)</f>
        <v>72.38997</v>
      </c>
      <c r="AC933" s="39" t="n">
        <f aca="false">AB933/(1-Resumo!$B$5)</f>
        <v>82.2613295454546</v>
      </c>
      <c r="AD933" s="39" t="n">
        <f aca="false">(AB933-AA933)/(1-Resumo!$B$5)</f>
        <v>73.5681477272727</v>
      </c>
      <c r="AE933" s="39" t="n">
        <f aca="false">AC933-T933</f>
        <v>2.40507068181819</v>
      </c>
      <c r="AF933" s="40" t="n">
        <f aca="false">AC933/T933-1</f>
        <v>0.0301174975642813</v>
      </c>
      <c r="AG933" s="37" t="str">
        <f aca="false">IF(AC933&lt;T933,"SIM","NÃO")</f>
        <v>NÃO</v>
      </c>
      <c r="AH933" s="37" t="n">
        <v>13</v>
      </c>
      <c r="AI933" s="37" t="n">
        <v>7</v>
      </c>
      <c r="AJ933" s="37" t="s">
        <v>323</v>
      </c>
    </row>
    <row r="934" customFormat="false" ht="15" hidden="false" customHeight="false" outlineLevel="0" collapsed="false">
      <c r="A934" s="37" t="n">
        <v>375417244</v>
      </c>
      <c r="B934" s="38" t="n">
        <v>46246.8444097222</v>
      </c>
      <c r="C934" s="37" t="s">
        <v>320</v>
      </c>
      <c r="D934" s="37" t="s">
        <v>1219</v>
      </c>
      <c r="E934" s="37" t="n">
        <v>28990542</v>
      </c>
      <c r="F934" s="37" t="s">
        <v>281</v>
      </c>
      <c r="G934" s="37" t="s">
        <v>201</v>
      </c>
      <c r="H934" s="37" t="s">
        <v>170</v>
      </c>
      <c r="I934" s="37" t="n">
        <v>44.5</v>
      </c>
      <c r="J934" s="39" t="n">
        <v>726.99</v>
      </c>
      <c r="K934" s="37" t="s">
        <v>498</v>
      </c>
      <c r="L934" s="39" t="n">
        <v>131.38</v>
      </c>
      <c r="M934" s="39" t="n">
        <v>94</v>
      </c>
      <c r="N934" s="39" t="n">
        <f aca="false">J934*Resumo!$C$7</f>
        <v>1.45398</v>
      </c>
      <c r="O934" s="39" t="n">
        <f aca="false">J934*Resumo!$C$8</f>
        <v>1.45398</v>
      </c>
      <c r="P934" s="39" t="n">
        <f aca="false">Resumo!$C$10*CEILING(I934/100,1)</f>
        <v>1</v>
      </c>
      <c r="Q934" s="39" t="n">
        <f aca="false">Resumo!$C$9</f>
        <v>11.9</v>
      </c>
      <c r="R934" s="39" t="n">
        <f aca="false">SUM(M934:Q934)*Resumo!$C$11</f>
        <v>6.0394378</v>
      </c>
      <c r="S934" s="39" t="n">
        <f aca="false">SUM(M934:R934)</f>
        <v>115.8473978</v>
      </c>
      <c r="T934" s="39" t="n">
        <f aca="false">S934/(1-Resumo!$C$5)</f>
        <v>131.644770227273</v>
      </c>
      <c r="U934" s="39" t="n">
        <v>129.29</v>
      </c>
      <c r="V934" s="39" t="n">
        <f aca="false">J934*Resumo!$B$6</f>
        <v>0.72699</v>
      </c>
      <c r="W934" s="39" t="n">
        <f aca="false">J934*Resumo!$B$7</f>
        <v>1.45398</v>
      </c>
      <c r="X934" s="39" t="n">
        <f aca="false">Resumo!$B$9</f>
        <v>1</v>
      </c>
      <c r="Y934" s="39" t="n">
        <f aca="false">Resumo!$B$10*CEILING(I934/100,1)</f>
        <v>4.5</v>
      </c>
      <c r="Z934" s="39" t="n">
        <f aca="false">Resumo!$B$12*CEILING(I934,1)</f>
        <v>2.7</v>
      </c>
      <c r="AA934" s="39" t="n">
        <f aca="false">Resumo!$B$13*CEILING(I934,1)</f>
        <v>20.25</v>
      </c>
      <c r="AB934" s="39" t="n">
        <f aca="false">SUM(U934:AA934)</f>
        <v>159.92097</v>
      </c>
      <c r="AC934" s="39" t="n">
        <f aca="false">AB934/(1-Resumo!$B$5)</f>
        <v>181.728375</v>
      </c>
      <c r="AD934" s="39" t="n">
        <f aca="false">(AB934-AA934)/(1-Resumo!$B$5)</f>
        <v>158.717011363636</v>
      </c>
      <c r="AE934" s="39" t="n">
        <f aca="false">AC934-T934</f>
        <v>50.0836047727273</v>
      </c>
      <c r="AF934" s="40" t="n">
        <f aca="false">AC934/T934-1</f>
        <v>0.380445077204833</v>
      </c>
      <c r="AG934" s="37" t="str">
        <f aca="false">IF(AC934&lt;T934,"SIM","NÃO")</f>
        <v>NÃO</v>
      </c>
      <c r="AH934" s="37" t="n">
        <v>13</v>
      </c>
      <c r="AI934" s="37" t="n">
        <v>10</v>
      </c>
      <c r="AJ934" s="37" t="s">
        <v>327</v>
      </c>
    </row>
    <row r="935" customFormat="false" ht="15" hidden="false" customHeight="false" outlineLevel="0" collapsed="false">
      <c r="A935" s="37" t="n">
        <v>375432759</v>
      </c>
      <c r="B935" s="38" t="n">
        <v>46246.8766319445</v>
      </c>
      <c r="C935" s="37" t="s">
        <v>475</v>
      </c>
      <c r="D935" s="37" t="s">
        <v>1220</v>
      </c>
      <c r="E935" s="37" t="n">
        <v>23040150</v>
      </c>
      <c r="F935" s="37" t="s">
        <v>139</v>
      </c>
      <c r="G935" s="37" t="s">
        <v>198</v>
      </c>
      <c r="H935" s="37" t="s">
        <v>168</v>
      </c>
      <c r="I935" s="37" t="n">
        <v>28.1</v>
      </c>
      <c r="J935" s="39" t="n">
        <v>348.47</v>
      </c>
      <c r="K935" s="37" t="s">
        <v>498</v>
      </c>
      <c r="L935" s="39" t="n">
        <v>80.93</v>
      </c>
      <c r="M935" s="39" t="n">
        <v>54.1</v>
      </c>
      <c r="N935" s="39" t="n">
        <f aca="false">J935*Resumo!$C$7</f>
        <v>0.69694</v>
      </c>
      <c r="O935" s="39" t="n">
        <f aca="false">J935*Resumo!$C$8</f>
        <v>0.69694</v>
      </c>
      <c r="P935" s="39" t="n">
        <f aca="false">Resumo!$C$10*CEILING(I935/100,1)</f>
        <v>1</v>
      </c>
      <c r="Q935" s="39" t="n">
        <f aca="false">Resumo!$C$9</f>
        <v>11.9</v>
      </c>
      <c r="R935" s="39" t="n">
        <f aca="false">SUM(M935:Q935)*Resumo!$C$11</f>
        <v>3.7616634</v>
      </c>
      <c r="S935" s="39" t="n">
        <f aca="false">SUM(M935:R935)</f>
        <v>72.1555434</v>
      </c>
      <c r="T935" s="39" t="n">
        <f aca="false">S935/(1-Resumo!$C$5)</f>
        <v>81.9949356818182</v>
      </c>
      <c r="U935" s="39" t="n">
        <v>82.21</v>
      </c>
      <c r="V935" s="39" t="n">
        <f aca="false">J935*Resumo!$B$6</f>
        <v>0.34847</v>
      </c>
      <c r="W935" s="39" t="n">
        <f aca="false">J935*Resumo!$B$7</f>
        <v>0.69694</v>
      </c>
      <c r="X935" s="39" t="n">
        <f aca="false">Resumo!$B$9</f>
        <v>1</v>
      </c>
      <c r="Y935" s="39" t="n">
        <f aca="false">Resumo!$B$10*CEILING(I935/100,1)</f>
        <v>4.5</v>
      </c>
      <c r="Z935" s="39" t="n">
        <f aca="false">Resumo!$B$12*CEILING(I935,1)</f>
        <v>1.74</v>
      </c>
      <c r="AA935" s="39" t="n">
        <f aca="false">Resumo!$B$13*CEILING(I935,1)</f>
        <v>13.05</v>
      </c>
      <c r="AB935" s="39" t="n">
        <f aca="false">SUM(U935:AA935)</f>
        <v>103.54541</v>
      </c>
      <c r="AC935" s="39" t="n">
        <f aca="false">AB935/(1-Resumo!$B$5)</f>
        <v>117.665238636364</v>
      </c>
      <c r="AD935" s="39" t="n">
        <f aca="false">(AB935-AA935)/(1-Resumo!$B$5)</f>
        <v>102.835693181818</v>
      </c>
      <c r="AE935" s="39" t="n">
        <f aca="false">AC935-T935</f>
        <v>35.6703029545455</v>
      </c>
      <c r="AF935" s="40" t="n">
        <f aca="false">AC935/T935-1</f>
        <v>0.435030562045494</v>
      </c>
      <c r="AG935" s="37" t="str">
        <f aca="false">IF(AC935&lt;T935,"SIM","NÃO")</f>
        <v>NÃO</v>
      </c>
      <c r="AH935" s="37" t="n">
        <v>8</v>
      </c>
      <c r="AI935" s="37" t="n">
        <v>5</v>
      </c>
      <c r="AJ935" s="37" t="s">
        <v>323</v>
      </c>
    </row>
    <row r="936" customFormat="false" ht="15" hidden="false" customHeight="false" outlineLevel="0" collapsed="false">
      <c r="A936" s="37" t="n">
        <v>375438317</v>
      </c>
      <c r="B936" s="38" t="n">
        <v>46246.8840393519</v>
      </c>
      <c r="C936" s="37" t="s">
        <v>320</v>
      </c>
      <c r="D936" s="37" t="s">
        <v>1221</v>
      </c>
      <c r="E936" s="37" t="n">
        <v>26376070</v>
      </c>
      <c r="F936" s="37" t="s">
        <v>222</v>
      </c>
      <c r="G936" s="37" t="s">
        <v>207</v>
      </c>
      <c r="H936" s="37" t="s">
        <v>169</v>
      </c>
      <c r="I936" s="37" t="n">
        <v>37.2</v>
      </c>
      <c r="J936" s="39" t="n">
        <v>360.99</v>
      </c>
      <c r="K936" s="37" t="s">
        <v>498</v>
      </c>
      <c r="L936" s="39" t="n">
        <v>113.69</v>
      </c>
      <c r="M936" s="39" t="n">
        <v>79.65</v>
      </c>
      <c r="N936" s="39" t="n">
        <f aca="false">J936*Resumo!$C$7</f>
        <v>0.72198</v>
      </c>
      <c r="O936" s="39" t="n">
        <f aca="false">J936*Resumo!$C$8</f>
        <v>0.72198</v>
      </c>
      <c r="P936" s="39" t="n">
        <f aca="false">Resumo!$C$10*CEILING(I936/100,1)</f>
        <v>1</v>
      </c>
      <c r="Q936" s="39" t="n">
        <f aca="false">Resumo!$C$9</f>
        <v>11.9</v>
      </c>
      <c r="R936" s="39" t="n">
        <f aca="false">SUM(M936:Q936)*Resumo!$C$11</f>
        <v>5.1696678</v>
      </c>
      <c r="S936" s="39" t="n">
        <f aca="false">SUM(M936:R936)</f>
        <v>99.1636278</v>
      </c>
      <c r="T936" s="39" t="n">
        <f aca="false">S936/(1-Resumo!$C$5)</f>
        <v>112.685940681818</v>
      </c>
      <c r="U936" s="39" t="n">
        <v>93.97</v>
      </c>
      <c r="V936" s="39" t="n">
        <f aca="false">J936*Resumo!$B$6</f>
        <v>0.36099</v>
      </c>
      <c r="W936" s="39" t="n">
        <f aca="false">J936*Resumo!$B$7</f>
        <v>0.72198</v>
      </c>
      <c r="X936" s="39" t="n">
        <f aca="false">Resumo!$B$9</f>
        <v>1</v>
      </c>
      <c r="Y936" s="39" t="n">
        <f aca="false">Resumo!$B$10*CEILING(I936/100,1)</f>
        <v>4.5</v>
      </c>
      <c r="Z936" s="39" t="n">
        <f aca="false">Resumo!$B$12*CEILING(I936,1)</f>
        <v>2.28</v>
      </c>
      <c r="AA936" s="39" t="n">
        <f aca="false">Resumo!$B$13*CEILING(I936,1)</f>
        <v>17.1</v>
      </c>
      <c r="AB936" s="39" t="n">
        <f aca="false">SUM(U936:AA936)</f>
        <v>119.93297</v>
      </c>
      <c r="AC936" s="39" t="n">
        <f aca="false">AB936/(1-Resumo!$B$5)</f>
        <v>136.287465909091</v>
      </c>
      <c r="AD936" s="39" t="n">
        <f aca="false">(AB936-AA936)/(1-Resumo!$B$5)</f>
        <v>116.855647727273</v>
      </c>
      <c r="AE936" s="39" t="n">
        <f aca="false">AC936-T936</f>
        <v>23.6015252272727</v>
      </c>
      <c r="AF936" s="40" t="n">
        <f aca="false">AC936/T936-1</f>
        <v>0.209445163118568</v>
      </c>
      <c r="AG936" s="37" t="str">
        <f aca="false">IF(AC936&lt;T936,"SIM","NÃO")</f>
        <v>NÃO</v>
      </c>
      <c r="AH936" s="37" t="n">
        <v>10</v>
      </c>
      <c r="AI936" s="37" t="n">
        <v>5</v>
      </c>
      <c r="AJ936" s="37" t="s">
        <v>327</v>
      </c>
    </row>
    <row r="937" customFormat="false" ht="15" hidden="false" customHeight="false" outlineLevel="0" collapsed="false">
      <c r="A937" s="37" t="n">
        <v>375437054</v>
      </c>
      <c r="B937" s="38" t="n">
        <v>46246.8916087963</v>
      </c>
      <c r="C937" s="37" t="s">
        <v>341</v>
      </c>
      <c r="D937" s="37" t="s">
        <v>1222</v>
      </c>
      <c r="E937" s="37" t="n">
        <v>22753155</v>
      </c>
      <c r="F937" s="37" t="s">
        <v>139</v>
      </c>
      <c r="G937" s="37" t="s">
        <v>198</v>
      </c>
      <c r="H937" s="37" t="s">
        <v>169</v>
      </c>
      <c r="I937" s="37" t="n">
        <v>36.8</v>
      </c>
      <c r="J937" s="39" t="n">
        <v>424.99</v>
      </c>
      <c r="K937" s="37" t="s">
        <v>322</v>
      </c>
      <c r="L937" s="39" t="n">
        <v>91.9</v>
      </c>
      <c r="M937" s="39" t="n">
        <v>62.05</v>
      </c>
      <c r="N937" s="39" t="n">
        <f aca="false">J937*Resumo!$C$7</f>
        <v>0.84998</v>
      </c>
      <c r="O937" s="39" t="n">
        <f aca="false">J937*Resumo!$C$8</f>
        <v>0.84998</v>
      </c>
      <c r="P937" s="39" t="n">
        <f aca="false">Resumo!$C$10*CEILING(I937/100,1)</f>
        <v>1</v>
      </c>
      <c r="Q937" s="39" t="n">
        <f aca="false">Resumo!$C$9</f>
        <v>11.9</v>
      </c>
      <c r="R937" s="39" t="n">
        <f aca="false">SUM(M937:Q937)*Resumo!$C$11</f>
        <v>4.2157478</v>
      </c>
      <c r="S937" s="39" t="n">
        <f aca="false">SUM(M937:R937)</f>
        <v>80.8657078</v>
      </c>
      <c r="T937" s="39" t="n">
        <f aca="false">S937/(1-Resumo!$C$5)</f>
        <v>91.8928497727273</v>
      </c>
      <c r="U937" s="39" t="n">
        <v>93.97</v>
      </c>
      <c r="V937" s="39" t="n">
        <f aca="false">J937*Resumo!$B$6</f>
        <v>0.42499</v>
      </c>
      <c r="W937" s="39" t="n">
        <f aca="false">J937*Resumo!$B$7</f>
        <v>0.84998</v>
      </c>
      <c r="X937" s="39" t="n">
        <f aca="false">Resumo!$B$9</f>
        <v>1</v>
      </c>
      <c r="Y937" s="39" t="n">
        <f aca="false">Resumo!$B$10*CEILING(I937/100,1)</f>
        <v>4.5</v>
      </c>
      <c r="Z937" s="39" t="n">
        <f aca="false">Resumo!$B$12*CEILING(I937,1)</f>
        <v>2.22</v>
      </c>
      <c r="AA937" s="39" t="n">
        <f aca="false">Resumo!$B$13*CEILING(I937,1)</f>
        <v>16.65</v>
      </c>
      <c r="AB937" s="39" t="n">
        <f aca="false">SUM(U937:AA937)</f>
        <v>119.61497</v>
      </c>
      <c r="AC937" s="39" t="n">
        <f aca="false">AB937/(1-Resumo!$B$5)</f>
        <v>135.926102272727</v>
      </c>
      <c r="AD937" s="39" t="n">
        <f aca="false">(AB937-AA937)/(1-Resumo!$B$5)</f>
        <v>117.005647727273</v>
      </c>
      <c r="AE937" s="39" t="n">
        <f aca="false">AC937-T937</f>
        <v>44.0332525</v>
      </c>
      <c r="AF937" s="40" t="n">
        <f aca="false">AC937/T937-1</f>
        <v>0.479180399877734</v>
      </c>
      <c r="AG937" s="37" t="str">
        <f aca="false">IF(AC937&lt;T937,"SIM","NÃO")</f>
        <v>NÃO</v>
      </c>
      <c r="AH937" s="37" t="n">
        <v>8</v>
      </c>
      <c r="AI937" s="37" t="n">
        <v>5</v>
      </c>
      <c r="AJ937" s="37" t="s">
        <v>323</v>
      </c>
    </row>
    <row r="938" customFormat="false" ht="15" hidden="false" customHeight="false" outlineLevel="0" collapsed="false">
      <c r="A938" s="37" t="n">
        <v>375474705</v>
      </c>
      <c r="B938" s="38" t="n">
        <v>46246.943587963</v>
      </c>
      <c r="C938" s="37" t="s">
        <v>320</v>
      </c>
      <c r="D938" s="37" t="s">
        <v>1223</v>
      </c>
      <c r="E938" s="37" t="n">
        <v>20550220</v>
      </c>
      <c r="F938" s="37" t="s">
        <v>139</v>
      </c>
      <c r="G938" s="37" t="s">
        <v>198</v>
      </c>
      <c r="H938" s="37" t="s">
        <v>169</v>
      </c>
      <c r="I938" s="37" t="n">
        <v>37.2</v>
      </c>
      <c r="J938" s="39" t="n">
        <v>360.99</v>
      </c>
      <c r="K938" s="37" t="s">
        <v>322</v>
      </c>
      <c r="L938" s="39" t="n">
        <v>91.58</v>
      </c>
      <c r="M938" s="39" t="n">
        <v>62.05</v>
      </c>
      <c r="N938" s="39" t="n">
        <f aca="false">J938*Resumo!$C$7</f>
        <v>0.72198</v>
      </c>
      <c r="O938" s="39" t="n">
        <f aca="false">J938*Resumo!$C$8</f>
        <v>0.72198</v>
      </c>
      <c r="P938" s="39" t="n">
        <f aca="false">Resumo!$C$10*CEILING(I938/100,1)</f>
        <v>1</v>
      </c>
      <c r="Q938" s="39" t="n">
        <f aca="false">Resumo!$C$9</f>
        <v>11.9</v>
      </c>
      <c r="R938" s="39" t="n">
        <f aca="false">SUM(M938:Q938)*Resumo!$C$11</f>
        <v>4.2016678</v>
      </c>
      <c r="S938" s="39" t="n">
        <f aca="false">SUM(M938:R938)</f>
        <v>80.5956278</v>
      </c>
      <c r="T938" s="39" t="n">
        <f aca="false">S938/(1-Resumo!$C$5)</f>
        <v>91.5859406818182</v>
      </c>
      <c r="U938" s="39" t="n">
        <v>93.97</v>
      </c>
      <c r="V938" s="39" t="n">
        <f aca="false">J938*Resumo!$B$6</f>
        <v>0.36099</v>
      </c>
      <c r="W938" s="39" t="n">
        <f aca="false">J938*Resumo!$B$7</f>
        <v>0.72198</v>
      </c>
      <c r="X938" s="39" t="n">
        <f aca="false">Resumo!$B$9</f>
        <v>1</v>
      </c>
      <c r="Y938" s="39" t="n">
        <f aca="false">Resumo!$B$10*CEILING(I938/100,1)</f>
        <v>4.5</v>
      </c>
      <c r="Z938" s="39" t="n">
        <f aca="false">Resumo!$B$12*CEILING(I938,1)</f>
        <v>2.28</v>
      </c>
      <c r="AA938" s="39" t="n">
        <f aca="false">Resumo!$B$13*CEILING(I938,1)</f>
        <v>17.1</v>
      </c>
      <c r="AB938" s="39" t="n">
        <f aca="false">SUM(U938:AA938)</f>
        <v>119.93297</v>
      </c>
      <c r="AC938" s="39" t="n">
        <f aca="false">AB938/(1-Resumo!$B$5)</f>
        <v>136.287465909091</v>
      </c>
      <c r="AD938" s="39" t="n">
        <f aca="false">(AB938-AA938)/(1-Resumo!$B$5)</f>
        <v>116.855647727273</v>
      </c>
      <c r="AE938" s="39" t="n">
        <f aca="false">AC938-T938</f>
        <v>44.7015252272727</v>
      </c>
      <c r="AF938" s="40" t="n">
        <f aca="false">AC938/T938-1</f>
        <v>0.488082831212837</v>
      </c>
      <c r="AG938" s="37" t="str">
        <f aca="false">IF(AC938&lt;T938,"SIM","NÃO")</f>
        <v>NÃO</v>
      </c>
      <c r="AH938" s="37" t="n">
        <v>8</v>
      </c>
      <c r="AI938" s="37" t="n">
        <v>5</v>
      </c>
      <c r="AJ938" s="37" t="s">
        <v>323</v>
      </c>
    </row>
    <row r="939" customFormat="false" ht="15" hidden="false" customHeight="false" outlineLevel="0" collapsed="false">
      <c r="A939" s="37" t="n">
        <v>375492024</v>
      </c>
      <c r="B939" s="38" t="n">
        <v>46246.9739814815</v>
      </c>
      <c r="C939" s="37" t="s">
        <v>475</v>
      </c>
      <c r="D939" s="37" t="s">
        <v>426</v>
      </c>
      <c r="E939" s="37" t="n">
        <v>22790587</v>
      </c>
      <c r="F939" s="37" t="s">
        <v>139</v>
      </c>
      <c r="G939" s="37" t="s">
        <v>198</v>
      </c>
      <c r="H939" s="37" t="s">
        <v>168</v>
      </c>
      <c r="I939" s="37" t="n">
        <v>27</v>
      </c>
      <c r="J939" s="39" t="n">
        <v>316.79</v>
      </c>
      <c r="K939" s="37" t="s">
        <v>322</v>
      </c>
      <c r="L939" s="39" t="n">
        <v>81.83</v>
      </c>
      <c r="M939" s="39" t="n">
        <v>54.1</v>
      </c>
      <c r="N939" s="39" t="n">
        <f aca="false">J939*Resumo!$C$7</f>
        <v>0.63358</v>
      </c>
      <c r="O939" s="39" t="n">
        <f aca="false">J939*Resumo!$C$8</f>
        <v>0.63358</v>
      </c>
      <c r="P939" s="39" t="n">
        <f aca="false">Resumo!$C$10*CEILING(I939/100,1)</f>
        <v>1</v>
      </c>
      <c r="Q939" s="39" t="n">
        <f aca="false">Resumo!$C$9</f>
        <v>11.9</v>
      </c>
      <c r="R939" s="39" t="n">
        <f aca="false">SUM(M939:Q939)*Resumo!$C$11</f>
        <v>3.7546938</v>
      </c>
      <c r="S939" s="39" t="n">
        <f aca="false">SUM(M939:R939)</f>
        <v>72.0218538</v>
      </c>
      <c r="T939" s="39" t="n">
        <f aca="false">S939/(1-Resumo!$C$5)</f>
        <v>81.8430156818182</v>
      </c>
      <c r="U939" s="39" t="n">
        <v>82.21</v>
      </c>
      <c r="V939" s="39" t="n">
        <f aca="false">J939*Resumo!$B$6</f>
        <v>0.31679</v>
      </c>
      <c r="W939" s="39" t="n">
        <f aca="false">J939*Resumo!$B$7</f>
        <v>0.63358</v>
      </c>
      <c r="X939" s="39" t="n">
        <f aca="false">Resumo!$B$9</f>
        <v>1</v>
      </c>
      <c r="Y939" s="39" t="n">
        <f aca="false">Resumo!$B$10*CEILING(I939/100,1)</f>
        <v>4.5</v>
      </c>
      <c r="Z939" s="39" t="n">
        <f aca="false">Resumo!$B$12*CEILING(I939,1)</f>
        <v>1.62</v>
      </c>
      <c r="AA939" s="39" t="n">
        <f aca="false">Resumo!$B$13*CEILING(I939,1)</f>
        <v>12.15</v>
      </c>
      <c r="AB939" s="39" t="n">
        <f aca="false">SUM(U939:AA939)</f>
        <v>102.43037</v>
      </c>
      <c r="AC939" s="39" t="n">
        <f aca="false">AB939/(1-Resumo!$B$5)</f>
        <v>116.398147727273</v>
      </c>
      <c r="AD939" s="39" t="n">
        <f aca="false">(AB939-AA939)/(1-Resumo!$B$5)</f>
        <v>102.591329545455</v>
      </c>
      <c r="AE939" s="39" t="n">
        <f aca="false">AC939-T939</f>
        <v>34.5551320454545</v>
      </c>
      <c r="AF939" s="40" t="n">
        <f aca="false">AC939/T939-1</f>
        <v>0.422212350774009</v>
      </c>
      <c r="AG939" s="37" t="str">
        <f aca="false">IF(AC939&lt;T939,"SIM","NÃO")</f>
        <v>NÃO</v>
      </c>
      <c r="AH939" s="37" t="n">
        <v>8</v>
      </c>
      <c r="AI939" s="37" t="n">
        <v>5</v>
      </c>
      <c r="AJ939" s="37" t="s">
        <v>323</v>
      </c>
    </row>
    <row r="940" customFormat="false" ht="15" hidden="false" customHeight="false" outlineLevel="0" collapsed="false">
      <c r="A940" s="37" t="n">
        <v>375495487</v>
      </c>
      <c r="B940" s="38" t="n">
        <v>46246.98375</v>
      </c>
      <c r="C940" s="37" t="s">
        <v>320</v>
      </c>
      <c r="D940" s="37" t="s">
        <v>1224</v>
      </c>
      <c r="E940" s="37" t="n">
        <v>20211020</v>
      </c>
      <c r="F940" s="37" t="s">
        <v>139</v>
      </c>
      <c r="G940" s="37" t="s">
        <v>198</v>
      </c>
      <c r="H940" s="37" t="s">
        <v>167</v>
      </c>
      <c r="I940" s="37" t="n">
        <v>15</v>
      </c>
      <c r="J940" s="39" t="n">
        <v>216.99</v>
      </c>
      <c r="K940" s="37" t="s">
        <v>322</v>
      </c>
      <c r="L940" s="39" t="n">
        <v>64.25</v>
      </c>
      <c r="M940" s="39" t="n">
        <v>39.83</v>
      </c>
      <c r="N940" s="39" t="n">
        <f aca="false">J940*Resumo!$C$7</f>
        <v>0.43398</v>
      </c>
      <c r="O940" s="39" t="n">
        <f aca="false">J940*Resumo!$C$8</f>
        <v>0.43398</v>
      </c>
      <c r="P940" s="39" t="n">
        <f aca="false">Resumo!$C$10*CEILING(I940/100,1)</f>
        <v>1</v>
      </c>
      <c r="Q940" s="39" t="n">
        <f aca="false">Resumo!$C$9</f>
        <v>11.9</v>
      </c>
      <c r="R940" s="39" t="n">
        <f aca="false">SUM(M940:Q940)*Resumo!$C$11</f>
        <v>2.9478878</v>
      </c>
      <c r="S940" s="39" t="n">
        <f aca="false">SUM(M940:R940)</f>
        <v>56.5458478</v>
      </c>
      <c r="T940" s="39" t="n">
        <f aca="false">S940/(1-Resumo!$C$5)</f>
        <v>64.2566452272727</v>
      </c>
      <c r="U940" s="39" t="n">
        <v>46.98</v>
      </c>
      <c r="V940" s="39" t="n">
        <f aca="false">J940*Resumo!$B$6</f>
        <v>0.21699</v>
      </c>
      <c r="W940" s="39" t="n">
        <f aca="false">J940*Resumo!$B$7</f>
        <v>0.43398</v>
      </c>
      <c r="X940" s="39" t="n">
        <f aca="false">Resumo!$B$9</f>
        <v>1</v>
      </c>
      <c r="Y940" s="39" t="n">
        <f aca="false">Resumo!$B$10*CEILING(I940/100,1)</f>
        <v>4.5</v>
      </c>
      <c r="Z940" s="39" t="n">
        <f aca="false">Resumo!$B$12*CEILING(I940,1)</f>
        <v>0.9</v>
      </c>
      <c r="AA940" s="39" t="n">
        <f aca="false">Resumo!$B$13*CEILING(I940,1)</f>
        <v>6.75</v>
      </c>
      <c r="AB940" s="39" t="n">
        <f aca="false">SUM(U940:AA940)</f>
        <v>60.78097</v>
      </c>
      <c r="AC940" s="39" t="n">
        <f aca="false">AB940/(1-Resumo!$B$5)</f>
        <v>69.0692840909091</v>
      </c>
      <c r="AD940" s="39" t="n">
        <f aca="false">(AB940-AA940)/(1-Resumo!$B$5)</f>
        <v>61.3988295454545</v>
      </c>
      <c r="AE940" s="39" t="n">
        <f aca="false">AC940-T940</f>
        <v>4.81263886363637</v>
      </c>
      <c r="AF940" s="40" t="n">
        <f aca="false">AC940/T940-1</f>
        <v>0.0748971386012185</v>
      </c>
      <c r="AG940" s="37" t="str">
        <f aca="false">IF(AC940&lt;T940,"SIM","NÃO")</f>
        <v>NÃO</v>
      </c>
      <c r="AH940" s="37" t="n">
        <v>8</v>
      </c>
      <c r="AI940" s="37" t="n">
        <v>5</v>
      </c>
      <c r="AJ940" s="37" t="s">
        <v>323</v>
      </c>
    </row>
    <row r="941" customFormat="false" ht="15" hidden="false" customHeight="false" outlineLevel="0" collapsed="false">
      <c r="A941" s="37" t="n">
        <v>375619995</v>
      </c>
      <c r="B941" s="38" t="n">
        <v>46247.3481597222</v>
      </c>
      <c r="C941" s="37" t="s">
        <v>320</v>
      </c>
      <c r="D941" s="37" t="s">
        <v>1225</v>
      </c>
      <c r="E941" s="37" t="n">
        <v>28013025</v>
      </c>
      <c r="F941" s="37" t="s">
        <v>144</v>
      </c>
      <c r="G941" s="37" t="s">
        <v>201</v>
      </c>
      <c r="H941" s="37" t="s">
        <v>168</v>
      </c>
      <c r="I941" s="37" t="n">
        <v>27</v>
      </c>
      <c r="J941" s="39" t="n">
        <v>297.99</v>
      </c>
      <c r="K941" s="37" t="s">
        <v>498</v>
      </c>
      <c r="L941" s="39" t="n">
        <v>106.41</v>
      </c>
      <c r="M941" s="39" t="n">
        <v>76.5</v>
      </c>
      <c r="N941" s="39" t="n">
        <f aca="false">J941*Resumo!$C$7</f>
        <v>0.59598</v>
      </c>
      <c r="O941" s="39" t="n">
        <f aca="false">J941*Resumo!$C$8</f>
        <v>0.59598</v>
      </c>
      <c r="P941" s="39" t="n">
        <f aca="false">Resumo!$C$10*CEILING(I941/100,1)</f>
        <v>1</v>
      </c>
      <c r="Q941" s="39" t="n">
        <f aca="false">Resumo!$C$9</f>
        <v>11.9</v>
      </c>
      <c r="R941" s="39" t="n">
        <f aca="false">SUM(M941:Q941)*Resumo!$C$11</f>
        <v>4.9825578</v>
      </c>
      <c r="S941" s="39" t="n">
        <f aca="false">SUM(M941:R941)</f>
        <v>95.5745178</v>
      </c>
      <c r="T941" s="39" t="n">
        <f aca="false">S941/(1-Resumo!$C$5)</f>
        <v>108.607406590909</v>
      </c>
      <c r="U941" s="39" t="n">
        <v>138.29</v>
      </c>
      <c r="V941" s="39" t="n">
        <f aca="false">J941*Resumo!$B$6</f>
        <v>0.29799</v>
      </c>
      <c r="W941" s="39" t="n">
        <f aca="false">J941*Resumo!$B$7</f>
        <v>0.59598</v>
      </c>
      <c r="X941" s="39" t="n">
        <f aca="false">Resumo!$B$9</f>
        <v>1</v>
      </c>
      <c r="Y941" s="39" t="n">
        <f aca="false">Resumo!$B$10*CEILING(I941/100,1)</f>
        <v>4.5</v>
      </c>
      <c r="Z941" s="39" t="n">
        <f aca="false">Resumo!$B$12*CEILING(I941,1)</f>
        <v>1.62</v>
      </c>
      <c r="AA941" s="39" t="n">
        <f aca="false">Resumo!$B$13*CEILING(I941,1)</f>
        <v>12.15</v>
      </c>
      <c r="AB941" s="39" t="n">
        <f aca="false">SUM(U941:AA941)</f>
        <v>158.45397</v>
      </c>
      <c r="AC941" s="39" t="n">
        <f aca="false">AB941/(1-Resumo!$B$5)</f>
        <v>180.061329545455</v>
      </c>
      <c r="AD941" s="39" t="n">
        <f aca="false">(AB941-AA941)/(1-Resumo!$B$5)</f>
        <v>166.254511363636</v>
      </c>
      <c r="AE941" s="39" t="n">
        <f aca="false">AC941-T941</f>
        <v>71.4539229545455</v>
      </c>
      <c r="AF941" s="40" t="n">
        <f aca="false">AC941/T941-1</f>
        <v>0.657910221755783</v>
      </c>
      <c r="AG941" s="37" t="str">
        <f aca="false">IF(AC941&lt;T941,"SIM","NÃO")</f>
        <v>NÃO</v>
      </c>
      <c r="AH941" s="37" t="n">
        <v>13</v>
      </c>
      <c r="AI941" s="37" t="n">
        <v>11</v>
      </c>
      <c r="AJ941" s="37" t="s">
        <v>323</v>
      </c>
    </row>
    <row r="942" customFormat="false" ht="15" hidden="false" customHeight="false" outlineLevel="0" collapsed="false">
      <c r="A942" s="37" t="n">
        <v>375655215</v>
      </c>
      <c r="B942" s="38" t="n">
        <v>46247.4041782407</v>
      </c>
      <c r="C942" s="37" t="s">
        <v>320</v>
      </c>
      <c r="D942" s="37" t="s">
        <v>1226</v>
      </c>
      <c r="E942" s="37" t="n">
        <v>28890603</v>
      </c>
      <c r="F942" s="37" t="s">
        <v>158</v>
      </c>
      <c r="G942" s="37" t="s">
        <v>201</v>
      </c>
      <c r="H942" s="37" t="s">
        <v>171</v>
      </c>
      <c r="I942" s="37" t="n">
        <v>59.9</v>
      </c>
      <c r="J942" s="39" t="n">
        <v>919.99</v>
      </c>
      <c r="K942" s="37" t="s">
        <v>498</v>
      </c>
      <c r="L942" s="39" t="n">
        <v>146.64</v>
      </c>
      <c r="M942" s="39" t="n">
        <v>103.6</v>
      </c>
      <c r="N942" s="39" t="n">
        <f aca="false">J942*Resumo!$C$7</f>
        <v>1.83998</v>
      </c>
      <c r="O942" s="39" t="n">
        <f aca="false">J942*Resumo!$C$8</f>
        <v>1.83998</v>
      </c>
      <c r="P942" s="39" t="n">
        <f aca="false">Resumo!$C$10*CEILING(I942/100,1)</f>
        <v>1</v>
      </c>
      <c r="Q942" s="39" t="n">
        <f aca="false">Resumo!$C$9</f>
        <v>11.9</v>
      </c>
      <c r="R942" s="39" t="n">
        <f aca="false">SUM(M942:Q942)*Resumo!$C$11</f>
        <v>6.6098978</v>
      </c>
      <c r="S942" s="39" t="n">
        <f aca="false">SUM(M942:R942)</f>
        <v>126.7898578</v>
      </c>
      <c r="T942" s="39" t="n">
        <f aca="false">S942/(1-Resumo!$C$5)</f>
        <v>144.079383863636</v>
      </c>
      <c r="U942" s="39" t="n">
        <v>142.32</v>
      </c>
      <c r="V942" s="39" t="n">
        <f aca="false">J942*Resumo!$B$6</f>
        <v>0.91999</v>
      </c>
      <c r="W942" s="39" t="n">
        <f aca="false">J942*Resumo!$B$7</f>
        <v>1.83998</v>
      </c>
      <c r="X942" s="39" t="n">
        <f aca="false">Resumo!$B$9</f>
        <v>1</v>
      </c>
      <c r="Y942" s="39" t="n">
        <f aca="false">Resumo!$B$10*CEILING(I942/100,1)</f>
        <v>4.5</v>
      </c>
      <c r="Z942" s="39" t="n">
        <f aca="false">Resumo!$B$12*CEILING(I942,1)</f>
        <v>3.6</v>
      </c>
      <c r="AA942" s="39" t="n">
        <f aca="false">Resumo!$B$13*CEILING(I942,1)</f>
        <v>27</v>
      </c>
      <c r="AB942" s="39" t="n">
        <f aca="false">SUM(U942:AA942)</f>
        <v>181.17997</v>
      </c>
      <c r="AC942" s="39" t="n">
        <f aca="false">AB942/(1-Resumo!$B$5)</f>
        <v>205.886329545455</v>
      </c>
      <c r="AD942" s="39" t="n">
        <f aca="false">(AB942-AA942)/(1-Resumo!$B$5)</f>
        <v>175.204511363636</v>
      </c>
      <c r="AE942" s="39" t="n">
        <f aca="false">AC942-T942</f>
        <v>61.8069456818182</v>
      </c>
      <c r="AF942" s="40" t="n">
        <f aca="false">AC942/T942-1</f>
        <v>0.428978414707237</v>
      </c>
      <c r="AG942" s="37" t="str">
        <f aca="false">IF(AC942&lt;T942,"SIM","NÃO")</f>
        <v>NÃO</v>
      </c>
      <c r="AH942" s="37" t="n">
        <v>13</v>
      </c>
      <c r="AI942" s="37" t="n">
        <v>10</v>
      </c>
      <c r="AJ942" s="37" t="s">
        <v>323</v>
      </c>
    </row>
    <row r="943" customFormat="false" ht="15" hidden="false" customHeight="false" outlineLevel="0" collapsed="false">
      <c r="A943" s="37" t="n">
        <v>375682640</v>
      </c>
      <c r="B943" s="38" t="n">
        <v>46247.4541782407</v>
      </c>
      <c r="C943" s="37" t="s">
        <v>352</v>
      </c>
      <c r="D943" s="37" t="s">
        <v>1227</v>
      </c>
      <c r="E943" s="37" t="n">
        <v>28024492</v>
      </c>
      <c r="F943" s="37" t="s">
        <v>144</v>
      </c>
      <c r="G943" s="37" t="s">
        <v>201</v>
      </c>
      <c r="H943" s="37" t="s">
        <v>169</v>
      </c>
      <c r="I943" s="37" t="n">
        <v>39.9</v>
      </c>
      <c r="J943" s="39" t="n">
        <v>619.99</v>
      </c>
      <c r="K943" s="37" t="s">
        <v>498</v>
      </c>
      <c r="L943" s="39" t="n">
        <v>125.19</v>
      </c>
      <c r="M943" s="39" t="n">
        <v>87.4</v>
      </c>
      <c r="N943" s="39" t="n">
        <f aca="false">J943*Resumo!$C$7</f>
        <v>1.23998</v>
      </c>
      <c r="O943" s="39" t="n">
        <f aca="false">J943*Resumo!$C$8</f>
        <v>1.23998</v>
      </c>
      <c r="P943" s="39" t="n">
        <f aca="false">Resumo!$C$10*CEILING(I943/100,1)</f>
        <v>1</v>
      </c>
      <c r="Q943" s="39" t="n">
        <f aca="false">Resumo!$C$9</f>
        <v>11.9</v>
      </c>
      <c r="R943" s="39" t="n">
        <f aca="false">SUM(M943:Q943)*Resumo!$C$11</f>
        <v>5.6528978</v>
      </c>
      <c r="S943" s="39" t="n">
        <f aca="false">SUM(M943:R943)</f>
        <v>108.4328578</v>
      </c>
      <c r="T943" s="39" t="n">
        <f aca="false">S943/(1-Resumo!$C$5)</f>
        <v>123.219156590909</v>
      </c>
      <c r="U943" s="39" t="n">
        <v>143.04</v>
      </c>
      <c r="V943" s="39" t="n">
        <f aca="false">J943*Resumo!$B$6</f>
        <v>0.61999</v>
      </c>
      <c r="W943" s="39" t="n">
        <f aca="false">J943*Resumo!$B$7</f>
        <v>1.23998</v>
      </c>
      <c r="X943" s="39" t="n">
        <f aca="false">Resumo!$B$9</f>
        <v>1</v>
      </c>
      <c r="Y943" s="39" t="n">
        <f aca="false">Resumo!$B$10*CEILING(I943/100,1)</f>
        <v>4.5</v>
      </c>
      <c r="Z943" s="39" t="n">
        <f aca="false">Resumo!$B$12*CEILING(I943,1)</f>
        <v>2.4</v>
      </c>
      <c r="AA943" s="39" t="n">
        <f aca="false">Resumo!$B$13*CEILING(I943,1)</f>
        <v>18</v>
      </c>
      <c r="AB943" s="39" t="n">
        <f aca="false">SUM(U943:AA943)</f>
        <v>170.79997</v>
      </c>
      <c r="AC943" s="39" t="n">
        <f aca="false">AB943/(1-Resumo!$B$5)</f>
        <v>194.090875</v>
      </c>
      <c r="AD943" s="39" t="n">
        <f aca="false">(AB943-AA943)/(1-Resumo!$B$5)</f>
        <v>173.636329545455</v>
      </c>
      <c r="AE943" s="39" t="n">
        <f aca="false">AC943-T943</f>
        <v>70.8717184090909</v>
      </c>
      <c r="AF943" s="40" t="n">
        <f aca="false">AC943/T943-1</f>
        <v>0.575168020703038</v>
      </c>
      <c r="AG943" s="37" t="str">
        <f aca="false">IF(AC943&lt;T943,"SIM","NÃO")</f>
        <v>NÃO</v>
      </c>
      <c r="AH943" s="37" t="n">
        <v>13</v>
      </c>
      <c r="AI943" s="37" t="n">
        <v>11</v>
      </c>
      <c r="AJ943" s="37" t="s">
        <v>323</v>
      </c>
    </row>
    <row r="944" customFormat="false" ht="15" hidden="false" customHeight="false" outlineLevel="0" collapsed="false">
      <c r="A944" s="37" t="n">
        <v>375690607</v>
      </c>
      <c r="B944" s="38" t="n">
        <v>46247.459849537</v>
      </c>
      <c r="C944" s="37" t="s">
        <v>325</v>
      </c>
      <c r="D944" s="37" t="s">
        <v>1228</v>
      </c>
      <c r="E944" s="37" t="n">
        <v>25935075</v>
      </c>
      <c r="F944" s="37" t="s">
        <v>156</v>
      </c>
      <c r="G944" s="37" t="s">
        <v>201</v>
      </c>
      <c r="H944" s="37" t="s">
        <v>168</v>
      </c>
      <c r="I944" s="37" t="n">
        <v>31.4</v>
      </c>
      <c r="J944" s="39" t="n">
        <v>369.52</v>
      </c>
      <c r="K944" s="37" t="s">
        <v>498</v>
      </c>
      <c r="L944" s="39" t="n">
        <v>109.31</v>
      </c>
      <c r="M944" s="39" t="n">
        <v>76.5</v>
      </c>
      <c r="N944" s="39" t="n">
        <f aca="false">J944*Resumo!$C$7</f>
        <v>0.73904</v>
      </c>
      <c r="O944" s="39" t="n">
        <f aca="false">J944*Resumo!$C$8</f>
        <v>0.73904</v>
      </c>
      <c r="P944" s="39" t="n">
        <f aca="false">Resumo!$C$10*CEILING(I944/100,1)</f>
        <v>1</v>
      </c>
      <c r="Q944" s="39" t="n">
        <f aca="false">Resumo!$C$9</f>
        <v>11.9</v>
      </c>
      <c r="R944" s="39" t="n">
        <f aca="false">SUM(M944:Q944)*Resumo!$C$11</f>
        <v>4.9982944</v>
      </c>
      <c r="S944" s="39" t="n">
        <f aca="false">SUM(M944:R944)</f>
        <v>95.8763744</v>
      </c>
      <c r="T944" s="39" t="n">
        <f aca="false">S944/(1-Resumo!$C$5)</f>
        <v>108.950425454545</v>
      </c>
      <c r="U944" s="39" t="n">
        <v>103.28</v>
      </c>
      <c r="V944" s="39" t="n">
        <f aca="false">J944*Resumo!$B$6</f>
        <v>0.36952</v>
      </c>
      <c r="W944" s="39" t="n">
        <f aca="false">J944*Resumo!$B$7</f>
        <v>0.73904</v>
      </c>
      <c r="X944" s="39" t="n">
        <f aca="false">Resumo!$B$9</f>
        <v>1</v>
      </c>
      <c r="Y944" s="39" t="n">
        <f aca="false">Resumo!$B$10*CEILING(I944/100,1)</f>
        <v>4.5</v>
      </c>
      <c r="Z944" s="39" t="n">
        <f aca="false">Resumo!$B$12*CEILING(I944,1)</f>
        <v>1.92</v>
      </c>
      <c r="AA944" s="39" t="n">
        <f aca="false">Resumo!$B$13*CEILING(I944,1)</f>
        <v>14.4</v>
      </c>
      <c r="AB944" s="39" t="n">
        <f aca="false">SUM(U944:AA944)</f>
        <v>126.20856</v>
      </c>
      <c r="AC944" s="39" t="n">
        <f aca="false">AB944/(1-Resumo!$B$5)</f>
        <v>143.418818181818</v>
      </c>
      <c r="AD944" s="39" t="n">
        <f aca="false">(AB944-AA944)/(1-Resumo!$B$5)</f>
        <v>127.055181818182</v>
      </c>
      <c r="AE944" s="39" t="n">
        <f aca="false">AC944-T944</f>
        <v>34.4683927272727</v>
      </c>
      <c r="AF944" s="40" t="n">
        <f aca="false">AC944/T944-1</f>
        <v>0.316367674412186</v>
      </c>
      <c r="AG944" s="37" t="str">
        <f aca="false">IF(AC944&lt;T944,"SIM","NÃO")</f>
        <v>NÃO</v>
      </c>
      <c r="AH944" s="37" t="n">
        <v>13</v>
      </c>
      <c r="AI944" s="37" t="n">
        <v>6</v>
      </c>
      <c r="AJ944" s="37" t="s">
        <v>323</v>
      </c>
    </row>
    <row r="945" customFormat="false" ht="15" hidden="false" customHeight="false" outlineLevel="0" collapsed="false">
      <c r="A945" s="37" t="n">
        <v>375691228</v>
      </c>
      <c r="B945" s="38" t="n">
        <v>46247.4607291667</v>
      </c>
      <c r="C945" s="37" t="s">
        <v>325</v>
      </c>
      <c r="D945" s="37" t="s">
        <v>1229</v>
      </c>
      <c r="E945" s="37" t="n">
        <v>22753200</v>
      </c>
      <c r="F945" s="37" t="s">
        <v>139</v>
      </c>
      <c r="G945" s="37" t="s">
        <v>198</v>
      </c>
      <c r="H945" s="37" t="s">
        <v>168</v>
      </c>
      <c r="I945" s="37" t="n">
        <v>27.5</v>
      </c>
      <c r="J945" s="39" t="n">
        <v>336.59</v>
      </c>
      <c r="K945" s="37" t="s">
        <v>322</v>
      </c>
      <c r="L945" s="39" t="n">
        <v>81.93</v>
      </c>
      <c r="M945" s="39" t="n">
        <v>54.1</v>
      </c>
      <c r="N945" s="39" t="n">
        <f aca="false">J945*Resumo!$C$7</f>
        <v>0.67318</v>
      </c>
      <c r="O945" s="39" t="n">
        <f aca="false">J945*Resumo!$C$8</f>
        <v>0.67318</v>
      </c>
      <c r="P945" s="39" t="n">
        <f aca="false">Resumo!$C$10*CEILING(I945/100,1)</f>
        <v>1</v>
      </c>
      <c r="Q945" s="39" t="n">
        <f aca="false">Resumo!$C$9</f>
        <v>11.9</v>
      </c>
      <c r="R945" s="39" t="n">
        <f aca="false">SUM(M945:Q945)*Resumo!$C$11</f>
        <v>3.7590498</v>
      </c>
      <c r="S945" s="39" t="n">
        <f aca="false">SUM(M945:R945)</f>
        <v>72.1054098</v>
      </c>
      <c r="T945" s="39" t="n">
        <f aca="false">S945/(1-Resumo!$C$5)</f>
        <v>81.9379656818182</v>
      </c>
      <c r="U945" s="39" t="n">
        <v>82.21</v>
      </c>
      <c r="V945" s="39" t="n">
        <f aca="false">J945*Resumo!$B$6</f>
        <v>0.33659</v>
      </c>
      <c r="W945" s="39" t="n">
        <f aca="false">J945*Resumo!$B$7</f>
        <v>0.67318</v>
      </c>
      <c r="X945" s="39" t="n">
        <f aca="false">Resumo!$B$9</f>
        <v>1</v>
      </c>
      <c r="Y945" s="39" t="n">
        <f aca="false">Resumo!$B$10*CEILING(I945/100,1)</f>
        <v>4.5</v>
      </c>
      <c r="Z945" s="39" t="n">
        <f aca="false">Resumo!$B$12*CEILING(I945,1)</f>
        <v>1.68</v>
      </c>
      <c r="AA945" s="39" t="n">
        <f aca="false">Resumo!$B$13*CEILING(I945,1)</f>
        <v>12.6</v>
      </c>
      <c r="AB945" s="39" t="n">
        <f aca="false">SUM(U945:AA945)</f>
        <v>102.99977</v>
      </c>
      <c r="AC945" s="39" t="n">
        <f aca="false">AB945/(1-Resumo!$B$5)</f>
        <v>117.045193181818</v>
      </c>
      <c r="AD945" s="39" t="n">
        <f aca="false">(AB945-AA945)/(1-Resumo!$B$5)</f>
        <v>102.727011363636</v>
      </c>
      <c r="AE945" s="39" t="n">
        <f aca="false">AC945-T945</f>
        <v>35.1072275</v>
      </c>
      <c r="AF945" s="40" t="n">
        <f aca="false">AC945/T945-1</f>
        <v>0.428461058410072</v>
      </c>
      <c r="AG945" s="37" t="str">
        <f aca="false">IF(AC945&lt;T945,"SIM","NÃO")</f>
        <v>NÃO</v>
      </c>
      <c r="AH945" s="37" t="n">
        <v>8</v>
      </c>
      <c r="AI945" s="37" t="n">
        <v>5</v>
      </c>
      <c r="AJ945" s="37" t="s">
        <v>323</v>
      </c>
    </row>
    <row r="946" customFormat="false" ht="15" hidden="false" customHeight="false" outlineLevel="0" collapsed="false">
      <c r="A946" s="37" t="n">
        <v>375720720</v>
      </c>
      <c r="B946" s="38" t="n">
        <v>46247.4883564815</v>
      </c>
      <c r="C946" s="37" t="s">
        <v>517</v>
      </c>
      <c r="D946" s="37" t="s">
        <v>1230</v>
      </c>
      <c r="E946" s="37" t="n">
        <v>20751010</v>
      </c>
      <c r="F946" s="37" t="s">
        <v>139</v>
      </c>
      <c r="G946" s="37" t="s">
        <v>198</v>
      </c>
      <c r="H946" s="37" t="s">
        <v>168</v>
      </c>
      <c r="I946" s="37" t="n">
        <v>35</v>
      </c>
      <c r="J946" s="39" t="n">
        <v>459.99</v>
      </c>
      <c r="K946" s="37" t="s">
        <v>322</v>
      </c>
      <c r="L946" s="39" t="n">
        <v>82.53</v>
      </c>
      <c r="M946" s="39" t="n">
        <v>54.1</v>
      </c>
      <c r="N946" s="39" t="n">
        <f aca="false">J946*Resumo!$C$7</f>
        <v>0.91998</v>
      </c>
      <c r="O946" s="39" t="n">
        <f aca="false">J946*Resumo!$C$8</f>
        <v>0.91998</v>
      </c>
      <c r="P946" s="39" t="n">
        <f aca="false">Resumo!$C$10*CEILING(I946/100,1)</f>
        <v>1</v>
      </c>
      <c r="Q946" s="39" t="n">
        <f aca="false">Resumo!$C$9</f>
        <v>11.9</v>
      </c>
      <c r="R946" s="39" t="n">
        <f aca="false">SUM(M946:Q946)*Resumo!$C$11</f>
        <v>3.7861978</v>
      </c>
      <c r="S946" s="39" t="n">
        <f aca="false">SUM(M946:R946)</f>
        <v>72.6261578</v>
      </c>
      <c r="T946" s="39" t="n">
        <f aca="false">S946/(1-Resumo!$C$5)</f>
        <v>82.5297247727273</v>
      </c>
      <c r="U946" s="39" t="n">
        <v>82.21</v>
      </c>
      <c r="V946" s="39" t="n">
        <f aca="false">J946*Resumo!$B$6</f>
        <v>0.45999</v>
      </c>
      <c r="W946" s="39" t="n">
        <f aca="false">J946*Resumo!$B$7</f>
        <v>0.91998</v>
      </c>
      <c r="X946" s="39" t="n">
        <f aca="false">Resumo!$B$9</f>
        <v>1</v>
      </c>
      <c r="Y946" s="39" t="n">
        <f aca="false">Resumo!$B$10*CEILING(I946/100,1)</f>
        <v>4.5</v>
      </c>
      <c r="Z946" s="39" t="n">
        <f aca="false">Resumo!$B$12*CEILING(I946,1)</f>
        <v>2.1</v>
      </c>
      <c r="AA946" s="39" t="n">
        <f aca="false">Resumo!$B$13*CEILING(I946,1)</f>
        <v>15.75</v>
      </c>
      <c r="AB946" s="39" t="n">
        <f aca="false">SUM(U946:AA946)</f>
        <v>106.93997</v>
      </c>
      <c r="AC946" s="39" t="n">
        <f aca="false">AB946/(1-Resumo!$B$5)</f>
        <v>121.522693181818</v>
      </c>
      <c r="AD946" s="39" t="n">
        <f aca="false">(AB946-AA946)/(1-Resumo!$B$5)</f>
        <v>103.624965909091</v>
      </c>
      <c r="AE946" s="39" t="n">
        <f aca="false">AC946-T946</f>
        <v>38.9929684090909</v>
      </c>
      <c r="AF946" s="40" t="n">
        <f aca="false">AC946/T946-1</f>
        <v>0.472471809599158</v>
      </c>
      <c r="AG946" s="37" t="str">
        <f aca="false">IF(AC946&lt;T946,"SIM","NÃO")</f>
        <v>NÃO</v>
      </c>
      <c r="AH946" s="37" t="n">
        <v>8</v>
      </c>
      <c r="AI946" s="37" t="n">
        <v>5</v>
      </c>
      <c r="AJ946" s="37" t="s">
        <v>323</v>
      </c>
    </row>
    <row r="947" customFormat="false" ht="15" hidden="false" customHeight="false" outlineLevel="0" collapsed="false">
      <c r="A947" s="37" t="n">
        <v>375720188</v>
      </c>
      <c r="B947" s="38" t="n">
        <v>46247.5072453704</v>
      </c>
      <c r="C947" s="37" t="s">
        <v>320</v>
      </c>
      <c r="D947" s="37" t="s">
        <v>1231</v>
      </c>
      <c r="E947" s="37" t="n">
        <v>21615410</v>
      </c>
      <c r="F947" s="37" t="s">
        <v>139</v>
      </c>
      <c r="G947" s="37" t="s">
        <v>198</v>
      </c>
      <c r="H947" s="37" t="s">
        <v>169</v>
      </c>
      <c r="I947" s="37" t="n">
        <v>40</v>
      </c>
      <c r="J947" s="39" t="n">
        <v>599.99</v>
      </c>
      <c r="K947" s="37" t="s">
        <v>322</v>
      </c>
      <c r="L947" s="39" t="n">
        <v>92.73</v>
      </c>
      <c r="M947" s="39" t="n">
        <v>62.05</v>
      </c>
      <c r="N947" s="39" t="n">
        <f aca="false">J947*Resumo!$C$7</f>
        <v>1.19998</v>
      </c>
      <c r="O947" s="39" t="n">
        <f aca="false">J947*Resumo!$C$8</f>
        <v>1.19998</v>
      </c>
      <c r="P947" s="39" t="n">
        <f aca="false">Resumo!$C$10*CEILING(I947/100,1)</f>
        <v>1</v>
      </c>
      <c r="Q947" s="39" t="n">
        <f aca="false">Resumo!$C$9</f>
        <v>11.9</v>
      </c>
      <c r="R947" s="39" t="n">
        <f aca="false">SUM(M947:Q947)*Resumo!$C$11</f>
        <v>4.2542478</v>
      </c>
      <c r="S947" s="39" t="n">
        <f aca="false">SUM(M947:R947)</f>
        <v>81.6042078</v>
      </c>
      <c r="T947" s="39" t="n">
        <f aca="false">S947/(1-Resumo!$C$5)</f>
        <v>92.7320543181818</v>
      </c>
      <c r="U947" s="39" t="n">
        <v>93.97</v>
      </c>
      <c r="V947" s="39" t="n">
        <f aca="false">J947*Resumo!$B$6</f>
        <v>0.59999</v>
      </c>
      <c r="W947" s="39" t="n">
        <f aca="false">J947*Resumo!$B$7</f>
        <v>1.19998</v>
      </c>
      <c r="X947" s="39" t="n">
        <f aca="false">Resumo!$B$9</f>
        <v>1</v>
      </c>
      <c r="Y947" s="39" t="n">
        <f aca="false">Resumo!$B$10*CEILING(I947/100,1)</f>
        <v>4.5</v>
      </c>
      <c r="Z947" s="39" t="n">
        <f aca="false">Resumo!$B$12*CEILING(I947,1)</f>
        <v>2.4</v>
      </c>
      <c r="AA947" s="39" t="n">
        <f aca="false">Resumo!$B$13*CEILING(I947,1)</f>
        <v>18</v>
      </c>
      <c r="AB947" s="39" t="n">
        <f aca="false">SUM(U947:AA947)</f>
        <v>121.66997</v>
      </c>
      <c r="AC947" s="39" t="n">
        <f aca="false">AB947/(1-Resumo!$B$5)</f>
        <v>138.261329545455</v>
      </c>
      <c r="AD947" s="39" t="n">
        <f aca="false">(AB947-AA947)/(1-Resumo!$B$5)</f>
        <v>117.806784090909</v>
      </c>
      <c r="AE947" s="39" t="n">
        <f aca="false">AC947-T947</f>
        <v>45.5292752272727</v>
      </c>
      <c r="AF947" s="40" t="n">
        <f aca="false">AC947/T947-1</f>
        <v>0.490976669955492</v>
      </c>
      <c r="AG947" s="37" t="str">
        <f aca="false">IF(AC947&lt;T947,"SIM","NÃO")</f>
        <v>NÃO</v>
      </c>
      <c r="AH947" s="37" t="n">
        <v>8</v>
      </c>
      <c r="AI947" s="37" t="n">
        <v>5</v>
      </c>
      <c r="AJ947" s="37" t="s">
        <v>323</v>
      </c>
    </row>
    <row r="948" customFormat="false" ht="15" hidden="false" customHeight="false" outlineLevel="0" collapsed="false">
      <c r="A948" s="37" t="n">
        <v>375737534</v>
      </c>
      <c r="B948" s="38" t="n">
        <v>46247.5566435185</v>
      </c>
      <c r="C948" s="37" t="s">
        <v>341</v>
      </c>
      <c r="D948" s="37" t="s">
        <v>1232</v>
      </c>
      <c r="E948" s="37" t="n">
        <v>28925732</v>
      </c>
      <c r="F948" s="37" t="s">
        <v>152</v>
      </c>
      <c r="G948" s="37" t="s">
        <v>201</v>
      </c>
      <c r="H948" s="37" t="s">
        <v>169</v>
      </c>
      <c r="I948" s="37" t="n">
        <v>36.9</v>
      </c>
      <c r="J948" s="39" t="n">
        <v>390.99</v>
      </c>
      <c r="K948" s="37" t="s">
        <v>498</v>
      </c>
      <c r="L948" s="39" t="n">
        <v>122.57</v>
      </c>
      <c r="M948" s="39" t="n">
        <v>87.4</v>
      </c>
      <c r="N948" s="39" t="n">
        <f aca="false">J948*Resumo!$C$7</f>
        <v>0.78198</v>
      </c>
      <c r="O948" s="39" t="n">
        <f aca="false">J948*Resumo!$C$8</f>
        <v>0.78198</v>
      </c>
      <c r="P948" s="39" t="n">
        <f aca="false">Resumo!$C$10*CEILING(I948/100,1)</f>
        <v>1</v>
      </c>
      <c r="Q948" s="39" t="n">
        <f aca="false">Resumo!$C$9</f>
        <v>11.9</v>
      </c>
      <c r="R948" s="39" t="n">
        <f aca="false">SUM(M948:Q948)*Resumo!$C$11</f>
        <v>5.6025178</v>
      </c>
      <c r="S948" s="39" t="n">
        <f aca="false">SUM(M948:R948)</f>
        <v>107.4664778</v>
      </c>
      <c r="T948" s="39" t="n">
        <f aca="false">S948/(1-Resumo!$C$5)</f>
        <v>122.1209975</v>
      </c>
      <c r="U948" s="39" t="n">
        <v>124.38</v>
      </c>
      <c r="V948" s="39" t="n">
        <f aca="false">J948*Resumo!$B$6</f>
        <v>0.39099</v>
      </c>
      <c r="W948" s="39" t="n">
        <f aca="false">J948*Resumo!$B$7</f>
        <v>0.78198</v>
      </c>
      <c r="X948" s="39" t="n">
        <f aca="false">Resumo!$B$9</f>
        <v>1</v>
      </c>
      <c r="Y948" s="39" t="n">
        <f aca="false">Resumo!$B$10*CEILING(I948/100,1)</f>
        <v>4.5</v>
      </c>
      <c r="Z948" s="39" t="n">
        <f aca="false">Resumo!$B$12*CEILING(I948,1)</f>
        <v>2.22</v>
      </c>
      <c r="AA948" s="39" t="n">
        <f aca="false">Resumo!$B$13*CEILING(I948,1)</f>
        <v>16.65</v>
      </c>
      <c r="AB948" s="39" t="n">
        <f aca="false">SUM(U948:AA948)</f>
        <v>149.92297</v>
      </c>
      <c r="AC948" s="39" t="n">
        <f aca="false">AB948/(1-Resumo!$B$5)</f>
        <v>170.367011363636</v>
      </c>
      <c r="AD948" s="39" t="n">
        <f aca="false">(AB948-AA948)/(1-Resumo!$B$5)</f>
        <v>151.446556818182</v>
      </c>
      <c r="AE948" s="39" t="n">
        <f aca="false">AC948-T948</f>
        <v>48.2460138636364</v>
      </c>
      <c r="AF948" s="40" t="n">
        <f aca="false">AC948/T948-1</f>
        <v>0.395067309073006</v>
      </c>
      <c r="AG948" s="37" t="str">
        <f aca="false">IF(AC948&lt;T948,"SIM","NÃO")</f>
        <v>NÃO</v>
      </c>
      <c r="AH948" s="37" t="n">
        <v>13</v>
      </c>
      <c r="AI948" s="37" t="n">
        <v>10</v>
      </c>
      <c r="AJ948" s="37" t="s">
        <v>323</v>
      </c>
    </row>
    <row r="949" customFormat="false" ht="15" hidden="false" customHeight="false" outlineLevel="0" collapsed="false">
      <c r="A949" s="37" t="n">
        <v>375747703</v>
      </c>
      <c r="B949" s="38" t="n">
        <v>46247.5631597222</v>
      </c>
      <c r="C949" s="37" t="s">
        <v>320</v>
      </c>
      <c r="D949" s="37" t="s">
        <v>1181</v>
      </c>
      <c r="E949" s="37" t="n">
        <v>22783116</v>
      </c>
      <c r="F949" s="37" t="s">
        <v>139</v>
      </c>
      <c r="G949" s="37" t="s">
        <v>198</v>
      </c>
      <c r="H949" s="37" t="s">
        <v>172</v>
      </c>
      <c r="I949" s="37" t="n">
        <v>66.8</v>
      </c>
      <c r="J949" s="39" t="n">
        <v>629.99</v>
      </c>
      <c r="K949" s="37" t="s">
        <v>322</v>
      </c>
      <c r="L949" s="39" t="n">
        <v>124.23</v>
      </c>
      <c r="M949" s="39" t="n">
        <v>88.2</v>
      </c>
      <c r="N949" s="39" t="n">
        <f aca="false">J949*Resumo!$C$7</f>
        <v>1.25998</v>
      </c>
      <c r="O949" s="39" t="n">
        <f aca="false">J949*Resumo!$C$8</f>
        <v>1.25998</v>
      </c>
      <c r="P949" s="39" t="n">
        <f aca="false">Resumo!$C$10*CEILING(I949/100,1)</f>
        <v>1</v>
      </c>
      <c r="Q949" s="39" t="n">
        <f aca="false">Resumo!$C$9</f>
        <v>11.9</v>
      </c>
      <c r="R949" s="39" t="n">
        <f aca="false">SUM(M949:Q949)*Resumo!$C$11</f>
        <v>5.6990978</v>
      </c>
      <c r="S949" s="39" t="n">
        <f aca="false">SUM(M949:R949)</f>
        <v>109.3190578</v>
      </c>
      <c r="T949" s="39" t="n">
        <f aca="false">S949/(1-Resumo!$C$5)</f>
        <v>124.226202045455</v>
      </c>
      <c r="U949" s="39" t="n">
        <v>131.02</v>
      </c>
      <c r="V949" s="39" t="n">
        <f aca="false">J949*Resumo!$B$6</f>
        <v>0.62999</v>
      </c>
      <c r="W949" s="39" t="n">
        <f aca="false">J949*Resumo!$B$7</f>
        <v>1.25998</v>
      </c>
      <c r="X949" s="39" t="n">
        <f aca="false">Resumo!$B$9</f>
        <v>1</v>
      </c>
      <c r="Y949" s="39" t="n">
        <f aca="false">Resumo!$B$10*CEILING(I949/100,1)</f>
        <v>4.5</v>
      </c>
      <c r="Z949" s="39" t="n">
        <f aca="false">Resumo!$B$12*CEILING(I949,1)</f>
        <v>4.02</v>
      </c>
      <c r="AA949" s="39" t="n">
        <f aca="false">Resumo!$B$13*CEILING(I949,1)</f>
        <v>30.15</v>
      </c>
      <c r="AB949" s="39" t="n">
        <f aca="false">SUM(U949:AA949)</f>
        <v>172.57997</v>
      </c>
      <c r="AC949" s="39" t="n">
        <f aca="false">AB949/(1-Resumo!$B$5)</f>
        <v>196.113602272727</v>
      </c>
      <c r="AD949" s="39" t="n">
        <f aca="false">(AB949-AA949)/(1-Resumo!$B$5)</f>
        <v>161.852238636364</v>
      </c>
      <c r="AE949" s="39" t="n">
        <f aca="false">AC949-T949</f>
        <v>71.8874002272727</v>
      </c>
      <c r="AF949" s="40" t="n">
        <f aca="false">AC949/T949-1</f>
        <v>0.578681462071657</v>
      </c>
      <c r="AG949" s="37" t="str">
        <f aca="false">IF(AC949&lt;T949,"SIM","NÃO")</f>
        <v>NÃO</v>
      </c>
      <c r="AH949" s="37" t="n">
        <v>8</v>
      </c>
      <c r="AI949" s="37" t="n">
        <v>5</v>
      </c>
      <c r="AJ949" s="37" t="s">
        <v>323</v>
      </c>
    </row>
    <row r="950" customFormat="false" ht="15" hidden="false" customHeight="false" outlineLevel="0" collapsed="false">
      <c r="A950" s="37" t="n">
        <v>375760304</v>
      </c>
      <c r="B950" s="38" t="n">
        <v>46247.5811921296</v>
      </c>
      <c r="C950" s="37" t="s">
        <v>320</v>
      </c>
      <c r="D950" s="37" t="s">
        <v>1233</v>
      </c>
      <c r="E950" s="37" t="n">
        <v>25071220</v>
      </c>
      <c r="F950" s="37" t="s">
        <v>141</v>
      </c>
      <c r="G950" s="37" t="s">
        <v>207</v>
      </c>
      <c r="H950" s="37" t="s">
        <v>168</v>
      </c>
      <c r="I950" s="37" t="n">
        <v>27</v>
      </c>
      <c r="J950" s="39" t="n">
        <v>329.99</v>
      </c>
      <c r="K950" s="37" t="s">
        <v>322</v>
      </c>
      <c r="L950" s="39" t="n">
        <v>100.97</v>
      </c>
      <c r="M950" s="39" t="n">
        <v>70</v>
      </c>
      <c r="N950" s="39" t="n">
        <f aca="false">J950*Resumo!$C$7</f>
        <v>0.65998</v>
      </c>
      <c r="O950" s="39" t="n">
        <f aca="false">J950*Resumo!$C$8</f>
        <v>0.65998</v>
      </c>
      <c r="P950" s="39" t="n">
        <f aca="false">Resumo!$C$10*CEILING(I950/100,1)</f>
        <v>1</v>
      </c>
      <c r="Q950" s="39" t="n">
        <f aca="false">Resumo!$C$9</f>
        <v>11.9</v>
      </c>
      <c r="R950" s="39" t="n">
        <f aca="false">SUM(M950:Q950)*Resumo!$C$11</f>
        <v>4.6320978</v>
      </c>
      <c r="S950" s="39" t="n">
        <f aca="false">SUM(M950:R950)</f>
        <v>88.8520578</v>
      </c>
      <c r="T950" s="39" t="n">
        <f aca="false">S950/(1-Resumo!$C$5)</f>
        <v>100.9682475</v>
      </c>
      <c r="U950" s="39" t="n">
        <v>82.21</v>
      </c>
      <c r="V950" s="39" t="n">
        <f aca="false">J950*Resumo!$B$6</f>
        <v>0.32999</v>
      </c>
      <c r="W950" s="39" t="n">
        <f aca="false">J950*Resumo!$B$7</f>
        <v>0.65998</v>
      </c>
      <c r="X950" s="39" t="n">
        <f aca="false">Resumo!$B$9</f>
        <v>1</v>
      </c>
      <c r="Y950" s="39" t="n">
        <f aca="false">Resumo!$B$10*CEILING(I950/100,1)</f>
        <v>4.5</v>
      </c>
      <c r="Z950" s="39" t="n">
        <f aca="false">Resumo!$B$12*CEILING(I950,1)</f>
        <v>1.62</v>
      </c>
      <c r="AA950" s="39" t="n">
        <f aca="false">Resumo!$B$13*CEILING(I950,1)</f>
        <v>12.15</v>
      </c>
      <c r="AB950" s="39" t="n">
        <f aca="false">SUM(U950:AA950)</f>
        <v>102.46997</v>
      </c>
      <c r="AC950" s="39" t="n">
        <f aca="false">AB950/(1-Resumo!$B$5)</f>
        <v>116.443147727273</v>
      </c>
      <c r="AD950" s="39" t="n">
        <f aca="false">(AB950-AA950)/(1-Resumo!$B$5)</f>
        <v>102.636329545455</v>
      </c>
      <c r="AE950" s="39" t="n">
        <f aca="false">AC950-T950</f>
        <v>15.4749002272727</v>
      </c>
      <c r="AF950" s="40" t="n">
        <f aca="false">AC950/T950-1</f>
        <v>0.153265017571715</v>
      </c>
      <c r="AG950" s="37" t="str">
        <f aca="false">IF(AC950&lt;T950,"SIM","NÃO")</f>
        <v>NÃO</v>
      </c>
      <c r="AH950" s="37" t="n">
        <v>10</v>
      </c>
      <c r="AI950" s="37" t="n">
        <v>5</v>
      </c>
      <c r="AJ950" s="37" t="s">
        <v>323</v>
      </c>
    </row>
    <row r="951" customFormat="false" ht="15" hidden="false" customHeight="false" outlineLevel="0" collapsed="false">
      <c r="A951" s="37" t="n">
        <v>375767251</v>
      </c>
      <c r="B951" s="38" t="n">
        <v>46247.5911921296</v>
      </c>
      <c r="C951" s="37" t="s">
        <v>320</v>
      </c>
      <c r="D951" s="37" t="s">
        <v>1234</v>
      </c>
      <c r="E951" s="37" t="n">
        <v>24724100</v>
      </c>
      <c r="F951" s="37" t="s">
        <v>140</v>
      </c>
      <c r="G951" s="37" t="s">
        <v>207</v>
      </c>
      <c r="H951" s="37" t="s">
        <v>172</v>
      </c>
      <c r="I951" s="37" t="n">
        <v>66.8</v>
      </c>
      <c r="J951" s="39" t="n">
        <v>629.99</v>
      </c>
      <c r="K951" s="37" t="s">
        <v>498</v>
      </c>
      <c r="L951" s="39" t="n">
        <v>140.84</v>
      </c>
      <c r="M951" s="39" t="n">
        <v>100.9</v>
      </c>
      <c r="N951" s="39" t="n">
        <f aca="false">J951*Resumo!$C$7</f>
        <v>1.25998</v>
      </c>
      <c r="O951" s="39" t="n">
        <f aca="false">J951*Resumo!$C$8</f>
        <v>1.25998</v>
      </c>
      <c r="P951" s="39" t="n">
        <f aca="false">Resumo!$C$10*CEILING(I951/100,1)</f>
        <v>1</v>
      </c>
      <c r="Q951" s="39" t="n">
        <f aca="false">Resumo!$C$9</f>
        <v>11.9</v>
      </c>
      <c r="R951" s="39" t="n">
        <f aca="false">SUM(M951:Q951)*Resumo!$C$11</f>
        <v>6.3975978</v>
      </c>
      <c r="S951" s="39" t="n">
        <f aca="false">SUM(M951:R951)</f>
        <v>122.7175578</v>
      </c>
      <c r="T951" s="39" t="n">
        <f aca="false">S951/(1-Resumo!$C$5)</f>
        <v>139.451770227273</v>
      </c>
      <c r="U951" s="39" t="n">
        <v>149.5</v>
      </c>
      <c r="V951" s="39" t="n">
        <f aca="false">J951*Resumo!$B$6</f>
        <v>0.62999</v>
      </c>
      <c r="W951" s="39" t="n">
        <f aca="false">J951*Resumo!$B$7</f>
        <v>1.25998</v>
      </c>
      <c r="X951" s="39" t="n">
        <f aca="false">Resumo!$B$9</f>
        <v>1</v>
      </c>
      <c r="Y951" s="39" t="n">
        <f aca="false">Resumo!$B$10*CEILING(I951/100,1)</f>
        <v>4.5</v>
      </c>
      <c r="Z951" s="39" t="n">
        <f aca="false">Resumo!$B$12*CEILING(I951,1)</f>
        <v>4.02</v>
      </c>
      <c r="AA951" s="39" t="n">
        <f aca="false">Resumo!$B$13*CEILING(I951,1)</f>
        <v>30.15</v>
      </c>
      <c r="AB951" s="39" t="n">
        <f aca="false">SUM(U951:AA951)</f>
        <v>191.05997</v>
      </c>
      <c r="AC951" s="39" t="n">
        <f aca="false">AB951/(1-Resumo!$B$5)</f>
        <v>217.113602272727</v>
      </c>
      <c r="AD951" s="39" t="n">
        <f aca="false">(AB951-AA951)/(1-Resumo!$B$5)</f>
        <v>182.852238636364</v>
      </c>
      <c r="AE951" s="39" t="n">
        <f aca="false">AC951-T951</f>
        <v>77.6618320454545</v>
      </c>
      <c r="AF951" s="40" t="n">
        <f aca="false">AC951/T951-1</f>
        <v>0.55690818351667</v>
      </c>
      <c r="AG951" s="37" t="str">
        <f aca="false">IF(AC951&lt;T951,"SIM","NÃO")</f>
        <v>NÃO</v>
      </c>
      <c r="AH951" s="37" t="n">
        <v>10</v>
      </c>
      <c r="AI951" s="37" t="n">
        <v>7</v>
      </c>
      <c r="AJ951" s="37" t="s">
        <v>323</v>
      </c>
    </row>
    <row r="952" customFormat="false" ht="15" hidden="false" customHeight="false" outlineLevel="0" collapsed="false">
      <c r="A952" s="37" t="n">
        <v>375782386</v>
      </c>
      <c r="B952" s="38" t="n">
        <v>46247.6115162037</v>
      </c>
      <c r="C952" s="37" t="s">
        <v>320</v>
      </c>
      <c r="D952" s="37" t="s">
        <v>1235</v>
      </c>
      <c r="E952" s="37" t="n">
        <v>21050060</v>
      </c>
      <c r="F952" s="37" t="s">
        <v>139</v>
      </c>
      <c r="G952" s="37" t="s">
        <v>198</v>
      </c>
      <c r="H952" s="37" t="s">
        <v>172</v>
      </c>
      <c r="I952" s="37" t="n">
        <v>66.8</v>
      </c>
      <c r="J952" s="39" t="n">
        <v>629.99</v>
      </c>
      <c r="K952" s="37" t="s">
        <v>322</v>
      </c>
      <c r="L952" s="39" t="n">
        <v>124.23</v>
      </c>
      <c r="M952" s="39" t="n">
        <v>88.2</v>
      </c>
      <c r="N952" s="39" t="n">
        <f aca="false">J952*Resumo!$C$7</f>
        <v>1.25998</v>
      </c>
      <c r="O952" s="39" t="n">
        <f aca="false">J952*Resumo!$C$8</f>
        <v>1.25998</v>
      </c>
      <c r="P952" s="39" t="n">
        <f aca="false">Resumo!$C$10*CEILING(I952/100,1)</f>
        <v>1</v>
      </c>
      <c r="Q952" s="39" t="n">
        <f aca="false">Resumo!$C$9</f>
        <v>11.9</v>
      </c>
      <c r="R952" s="39" t="n">
        <f aca="false">SUM(M952:Q952)*Resumo!$C$11</f>
        <v>5.6990978</v>
      </c>
      <c r="S952" s="39" t="n">
        <f aca="false">SUM(M952:R952)</f>
        <v>109.3190578</v>
      </c>
      <c r="T952" s="39" t="n">
        <f aca="false">S952/(1-Resumo!$C$5)</f>
        <v>124.226202045455</v>
      </c>
      <c r="U952" s="39" t="n">
        <v>131.02</v>
      </c>
      <c r="V952" s="39" t="n">
        <f aca="false">J952*Resumo!$B$6</f>
        <v>0.62999</v>
      </c>
      <c r="W952" s="39" t="n">
        <f aca="false">J952*Resumo!$B$7</f>
        <v>1.25998</v>
      </c>
      <c r="X952" s="39" t="n">
        <f aca="false">Resumo!$B$9</f>
        <v>1</v>
      </c>
      <c r="Y952" s="39" t="n">
        <f aca="false">Resumo!$B$10*CEILING(I952/100,1)</f>
        <v>4.5</v>
      </c>
      <c r="Z952" s="39" t="n">
        <f aca="false">Resumo!$B$12*CEILING(I952,1)</f>
        <v>4.02</v>
      </c>
      <c r="AA952" s="39" t="n">
        <f aca="false">Resumo!$B$13*CEILING(I952,1)</f>
        <v>30.15</v>
      </c>
      <c r="AB952" s="39" t="n">
        <f aca="false">SUM(U952:AA952)</f>
        <v>172.57997</v>
      </c>
      <c r="AC952" s="39" t="n">
        <f aca="false">AB952/(1-Resumo!$B$5)</f>
        <v>196.113602272727</v>
      </c>
      <c r="AD952" s="39" t="n">
        <f aca="false">(AB952-AA952)/(1-Resumo!$B$5)</f>
        <v>161.852238636364</v>
      </c>
      <c r="AE952" s="39" t="n">
        <f aca="false">AC952-T952</f>
        <v>71.8874002272727</v>
      </c>
      <c r="AF952" s="40" t="n">
        <f aca="false">AC952/T952-1</f>
        <v>0.578681462071657</v>
      </c>
      <c r="AG952" s="37" t="str">
        <f aca="false">IF(AC952&lt;T952,"SIM","NÃO")</f>
        <v>NÃO</v>
      </c>
      <c r="AH952" s="37" t="n">
        <v>8</v>
      </c>
      <c r="AI952" s="37" t="n">
        <v>5</v>
      </c>
      <c r="AJ952" s="37" t="s">
        <v>323</v>
      </c>
    </row>
    <row r="953" customFormat="false" ht="15" hidden="false" customHeight="false" outlineLevel="0" collapsed="false">
      <c r="A953" s="37" t="n">
        <v>375784299</v>
      </c>
      <c r="B953" s="38" t="n">
        <v>46247.6138078704</v>
      </c>
      <c r="C953" s="37" t="s">
        <v>320</v>
      </c>
      <c r="D953" s="37" t="s">
        <v>1236</v>
      </c>
      <c r="E953" s="37" t="n">
        <v>21330430</v>
      </c>
      <c r="F953" s="37" t="s">
        <v>139</v>
      </c>
      <c r="G953" s="37" t="s">
        <v>198</v>
      </c>
      <c r="H953" s="37" t="s">
        <v>167</v>
      </c>
      <c r="I953" s="37" t="n">
        <v>17</v>
      </c>
      <c r="J953" s="39" t="n">
        <v>225.99</v>
      </c>
      <c r="K953" s="37" t="s">
        <v>322</v>
      </c>
      <c r="L953" s="39" t="n">
        <v>64.3</v>
      </c>
      <c r="M953" s="39" t="n">
        <v>39.83</v>
      </c>
      <c r="N953" s="39" t="n">
        <f aca="false">J953*Resumo!$C$7</f>
        <v>0.45198</v>
      </c>
      <c r="O953" s="39" t="n">
        <f aca="false">J953*Resumo!$C$8</f>
        <v>0.45198</v>
      </c>
      <c r="P953" s="39" t="n">
        <f aca="false">Resumo!$C$10*CEILING(I953/100,1)</f>
        <v>1</v>
      </c>
      <c r="Q953" s="39" t="n">
        <f aca="false">Resumo!$C$9</f>
        <v>11.9</v>
      </c>
      <c r="R953" s="39" t="n">
        <f aca="false">SUM(M953:Q953)*Resumo!$C$11</f>
        <v>2.9498678</v>
      </c>
      <c r="S953" s="39" t="n">
        <f aca="false">SUM(M953:R953)</f>
        <v>56.5838278</v>
      </c>
      <c r="T953" s="39" t="n">
        <f aca="false">S953/(1-Resumo!$C$5)</f>
        <v>64.2998043181818</v>
      </c>
      <c r="U953" s="39" t="n">
        <v>46.98</v>
      </c>
      <c r="V953" s="39" t="n">
        <f aca="false">J953*Resumo!$B$6</f>
        <v>0.22599</v>
      </c>
      <c r="W953" s="39" t="n">
        <f aca="false">J953*Resumo!$B$7</f>
        <v>0.45198</v>
      </c>
      <c r="X953" s="39" t="n">
        <f aca="false">Resumo!$B$9</f>
        <v>1</v>
      </c>
      <c r="Y953" s="39" t="n">
        <f aca="false">Resumo!$B$10*CEILING(I953/100,1)</f>
        <v>4.5</v>
      </c>
      <c r="Z953" s="39" t="n">
        <f aca="false">Resumo!$B$12*CEILING(I953,1)</f>
        <v>1.02</v>
      </c>
      <c r="AA953" s="39" t="n">
        <f aca="false">Resumo!$B$13*CEILING(I953,1)</f>
        <v>7.65</v>
      </c>
      <c r="AB953" s="39" t="n">
        <f aca="false">SUM(U953:AA953)</f>
        <v>61.82797</v>
      </c>
      <c r="AC953" s="39" t="n">
        <f aca="false">AB953/(1-Resumo!$B$5)</f>
        <v>70.2590568181818</v>
      </c>
      <c r="AD953" s="39" t="n">
        <f aca="false">(AB953-AA953)/(1-Resumo!$B$5)</f>
        <v>61.565875</v>
      </c>
      <c r="AE953" s="39" t="n">
        <f aca="false">AC953-T953</f>
        <v>5.95925249999999</v>
      </c>
      <c r="AF953" s="40" t="n">
        <f aca="false">AC953/T953-1</f>
        <v>0.0926791700719829</v>
      </c>
      <c r="AG953" s="37" t="str">
        <f aca="false">IF(AC953&lt;T953,"SIM","NÃO")</f>
        <v>NÃO</v>
      </c>
      <c r="AH953" s="37" t="n">
        <v>8</v>
      </c>
      <c r="AI953" s="37" t="n">
        <v>5</v>
      </c>
      <c r="AJ953" s="37" t="s">
        <v>323</v>
      </c>
    </row>
    <row r="954" customFormat="false" ht="15" hidden="false" customHeight="false" outlineLevel="0" collapsed="false">
      <c r="A954" s="37" t="n">
        <v>375862314</v>
      </c>
      <c r="B954" s="38" t="n">
        <v>46247.6197685185</v>
      </c>
      <c r="C954" s="37" t="s">
        <v>325</v>
      </c>
      <c r="D954" s="37" t="s">
        <v>1237</v>
      </c>
      <c r="E954" s="37" t="n">
        <v>26155070</v>
      </c>
      <c r="F954" s="37" t="s">
        <v>145</v>
      </c>
      <c r="G954" s="37" t="s">
        <v>207</v>
      </c>
      <c r="H954" s="37" t="s">
        <v>170</v>
      </c>
      <c r="I954" s="37" t="n">
        <v>48</v>
      </c>
      <c r="J954" s="39" t="n">
        <v>798</v>
      </c>
      <c r="K954" s="37" t="s">
        <v>498</v>
      </c>
      <c r="L954" s="39" t="n">
        <v>119.23</v>
      </c>
      <c r="M954" s="39" t="n">
        <v>82.25</v>
      </c>
      <c r="N954" s="39" t="n">
        <f aca="false">J954*Resumo!$C$7</f>
        <v>1.596</v>
      </c>
      <c r="O954" s="39" t="n">
        <f aca="false">J954*Resumo!$C$8</f>
        <v>1.596</v>
      </c>
      <c r="P954" s="39" t="n">
        <f aca="false">Resumo!$C$10*CEILING(I954/100,1)</f>
        <v>1</v>
      </c>
      <c r="Q954" s="39" t="n">
        <f aca="false">Resumo!$C$9</f>
        <v>11.9</v>
      </c>
      <c r="R954" s="39" t="n">
        <f aca="false">SUM(M954:Q954)*Resumo!$C$11</f>
        <v>5.40881</v>
      </c>
      <c r="S954" s="39" t="n">
        <f aca="false">SUM(M954:R954)</f>
        <v>103.75081</v>
      </c>
      <c r="T954" s="39" t="n">
        <f aca="false">S954/(1-Resumo!$C$5)</f>
        <v>117.898647727273</v>
      </c>
      <c r="U954" s="39" t="n">
        <v>93.97</v>
      </c>
      <c r="V954" s="39" t="n">
        <f aca="false">J954*Resumo!$B$6</f>
        <v>0.798</v>
      </c>
      <c r="W954" s="39" t="n">
        <f aca="false">J954*Resumo!$B$7</f>
        <v>1.596</v>
      </c>
      <c r="X954" s="39" t="n">
        <f aca="false">Resumo!$B$9</f>
        <v>1</v>
      </c>
      <c r="Y954" s="39" t="n">
        <f aca="false">Resumo!$B$10*CEILING(I954/100,1)</f>
        <v>4.5</v>
      </c>
      <c r="Z954" s="39" t="n">
        <f aca="false">Resumo!$B$12*CEILING(I954,1)</f>
        <v>2.88</v>
      </c>
      <c r="AA954" s="39" t="n">
        <f aca="false">Resumo!$B$13*CEILING(I954,1)</f>
        <v>21.6</v>
      </c>
      <c r="AB954" s="39" t="n">
        <f aca="false">SUM(U954:AA954)</f>
        <v>126.344</v>
      </c>
      <c r="AC954" s="39" t="n">
        <f aca="false">AB954/(1-Resumo!$B$5)</f>
        <v>143.572727272727</v>
      </c>
      <c r="AD954" s="39" t="n">
        <f aca="false">(AB954-AA954)/(1-Resumo!$B$5)</f>
        <v>119.027272727273</v>
      </c>
      <c r="AE954" s="39" t="n">
        <f aca="false">AC954-T954</f>
        <v>25.6740795454545</v>
      </c>
      <c r="AF954" s="40" t="n">
        <f aca="false">AC954/T954-1</f>
        <v>0.217763986613695</v>
      </c>
      <c r="AG954" s="37" t="str">
        <f aca="false">IF(AC954&lt;T954,"SIM","NÃO")</f>
        <v>NÃO</v>
      </c>
      <c r="AH954" s="37" t="n">
        <v>10</v>
      </c>
      <c r="AI954" s="37" t="n">
        <v>5</v>
      </c>
      <c r="AJ954" s="37" t="s">
        <v>323</v>
      </c>
    </row>
    <row r="955" customFormat="false" ht="15" hidden="false" customHeight="false" outlineLevel="0" collapsed="false">
      <c r="A955" s="37" t="n">
        <v>375806355</v>
      </c>
      <c r="B955" s="38" t="n">
        <v>46247.6457638889</v>
      </c>
      <c r="C955" s="37" t="s">
        <v>320</v>
      </c>
      <c r="D955" s="37" t="s">
        <v>1238</v>
      </c>
      <c r="E955" s="37" t="n">
        <v>24457340</v>
      </c>
      <c r="F955" s="37" t="s">
        <v>140</v>
      </c>
      <c r="G955" s="37" t="s">
        <v>207</v>
      </c>
      <c r="H955" s="37" t="s">
        <v>171</v>
      </c>
      <c r="I955" s="37" t="n">
        <v>59.9</v>
      </c>
      <c r="J955" s="39" t="n">
        <v>919.99</v>
      </c>
      <c r="K955" s="37" t="s">
        <v>498</v>
      </c>
      <c r="L955" s="39" t="n">
        <v>132.32</v>
      </c>
      <c r="M955" s="39" t="n">
        <v>91.6</v>
      </c>
      <c r="N955" s="39" t="n">
        <f aca="false">J955*Resumo!$C$7</f>
        <v>1.83998</v>
      </c>
      <c r="O955" s="39" t="n">
        <f aca="false">J955*Resumo!$C$8</f>
        <v>1.83998</v>
      </c>
      <c r="P955" s="39" t="n">
        <f aca="false">Resumo!$C$10*CEILING(I955/100,1)</f>
        <v>1</v>
      </c>
      <c r="Q955" s="39" t="n">
        <f aca="false">Resumo!$C$9</f>
        <v>11.9</v>
      </c>
      <c r="R955" s="39" t="n">
        <f aca="false">SUM(M955:Q955)*Resumo!$C$11</f>
        <v>5.9498978</v>
      </c>
      <c r="S955" s="39" t="n">
        <f aca="false">SUM(M955:R955)</f>
        <v>114.1298578</v>
      </c>
      <c r="T955" s="39" t="n">
        <f aca="false">S955/(1-Resumo!$C$5)</f>
        <v>129.693020227273</v>
      </c>
      <c r="U955" s="39" t="n">
        <v>128.14</v>
      </c>
      <c r="V955" s="39" t="n">
        <f aca="false">J955*Resumo!$B$6</f>
        <v>0.91999</v>
      </c>
      <c r="W955" s="39" t="n">
        <f aca="false">J955*Resumo!$B$7</f>
        <v>1.83998</v>
      </c>
      <c r="X955" s="39" t="n">
        <f aca="false">Resumo!$B$9</f>
        <v>1</v>
      </c>
      <c r="Y955" s="39" t="n">
        <f aca="false">Resumo!$B$10*CEILING(I955/100,1)</f>
        <v>4.5</v>
      </c>
      <c r="Z955" s="39" t="n">
        <f aca="false">Resumo!$B$12*CEILING(I955,1)</f>
        <v>3.6</v>
      </c>
      <c r="AA955" s="39" t="n">
        <f aca="false">Resumo!$B$13*CEILING(I955,1)</f>
        <v>27</v>
      </c>
      <c r="AB955" s="39" t="n">
        <f aca="false">SUM(U955:AA955)</f>
        <v>166.99997</v>
      </c>
      <c r="AC955" s="39" t="n">
        <f aca="false">AB955/(1-Resumo!$B$5)</f>
        <v>189.772693181818</v>
      </c>
      <c r="AD955" s="39" t="n">
        <f aca="false">(AB955-AA955)/(1-Resumo!$B$5)</f>
        <v>159.090875</v>
      </c>
      <c r="AE955" s="39" t="n">
        <f aca="false">AC955-T955</f>
        <v>60.0796729545455</v>
      </c>
      <c r="AF955" s="40" t="n">
        <f aca="false">AC955/T955-1</f>
        <v>0.463245229768437</v>
      </c>
      <c r="AG955" s="37" t="str">
        <f aca="false">IF(AC955&lt;T955,"SIM","NÃO")</f>
        <v>NÃO</v>
      </c>
      <c r="AH955" s="37" t="n">
        <v>10</v>
      </c>
      <c r="AI955" s="37" t="n">
        <v>7</v>
      </c>
      <c r="AJ955" s="37" t="s">
        <v>323</v>
      </c>
    </row>
    <row r="956" customFormat="false" ht="15" hidden="false" customHeight="false" outlineLevel="0" collapsed="false">
      <c r="A956" s="37" t="n">
        <v>375816499</v>
      </c>
      <c r="B956" s="38" t="n">
        <v>46247.6703356481</v>
      </c>
      <c r="C956" s="37" t="s">
        <v>320</v>
      </c>
      <c r="D956" s="37" t="s">
        <v>1239</v>
      </c>
      <c r="E956" s="37" t="n">
        <v>28890868</v>
      </c>
      <c r="F956" s="37" t="s">
        <v>158</v>
      </c>
      <c r="G956" s="37" t="s">
        <v>201</v>
      </c>
      <c r="H956" s="37" t="s">
        <v>171</v>
      </c>
      <c r="I956" s="37" t="n">
        <v>59.9</v>
      </c>
      <c r="J956" s="39" t="n">
        <v>919.99</v>
      </c>
      <c r="K956" s="37" t="s">
        <v>498</v>
      </c>
      <c r="L956" s="39" t="n">
        <v>146.64</v>
      </c>
      <c r="M956" s="39" t="n">
        <v>103.6</v>
      </c>
      <c r="N956" s="39" t="n">
        <f aca="false">J956*Resumo!$C$7</f>
        <v>1.83998</v>
      </c>
      <c r="O956" s="39" t="n">
        <f aca="false">J956*Resumo!$C$8</f>
        <v>1.83998</v>
      </c>
      <c r="P956" s="39" t="n">
        <f aca="false">Resumo!$C$10*CEILING(I956/100,1)</f>
        <v>1</v>
      </c>
      <c r="Q956" s="39" t="n">
        <f aca="false">Resumo!$C$9</f>
        <v>11.9</v>
      </c>
      <c r="R956" s="39" t="n">
        <f aca="false">SUM(M956:Q956)*Resumo!$C$11</f>
        <v>6.6098978</v>
      </c>
      <c r="S956" s="39" t="n">
        <f aca="false">SUM(M956:R956)</f>
        <v>126.7898578</v>
      </c>
      <c r="T956" s="39" t="n">
        <f aca="false">S956/(1-Resumo!$C$5)</f>
        <v>144.079383863636</v>
      </c>
      <c r="U956" s="39" t="n">
        <v>142.32</v>
      </c>
      <c r="V956" s="39" t="n">
        <f aca="false">J956*Resumo!$B$6</f>
        <v>0.91999</v>
      </c>
      <c r="W956" s="39" t="n">
        <f aca="false">J956*Resumo!$B$7</f>
        <v>1.83998</v>
      </c>
      <c r="X956" s="39" t="n">
        <f aca="false">Resumo!$B$9</f>
        <v>1</v>
      </c>
      <c r="Y956" s="39" t="n">
        <f aca="false">Resumo!$B$10*CEILING(I956/100,1)</f>
        <v>4.5</v>
      </c>
      <c r="Z956" s="39" t="n">
        <f aca="false">Resumo!$B$12*CEILING(I956,1)</f>
        <v>3.6</v>
      </c>
      <c r="AA956" s="39" t="n">
        <f aca="false">Resumo!$B$13*CEILING(I956,1)</f>
        <v>27</v>
      </c>
      <c r="AB956" s="39" t="n">
        <f aca="false">SUM(U956:AA956)</f>
        <v>181.17997</v>
      </c>
      <c r="AC956" s="39" t="n">
        <f aca="false">AB956/(1-Resumo!$B$5)</f>
        <v>205.886329545455</v>
      </c>
      <c r="AD956" s="39" t="n">
        <f aca="false">(AB956-AA956)/(1-Resumo!$B$5)</f>
        <v>175.204511363636</v>
      </c>
      <c r="AE956" s="39" t="n">
        <f aca="false">AC956-T956</f>
        <v>61.8069456818182</v>
      </c>
      <c r="AF956" s="40" t="n">
        <f aca="false">AC956/T956-1</f>
        <v>0.428978414707237</v>
      </c>
      <c r="AG956" s="37" t="str">
        <f aca="false">IF(AC956&lt;T956,"SIM","NÃO")</f>
        <v>NÃO</v>
      </c>
      <c r="AH956" s="37" t="n">
        <v>13</v>
      </c>
      <c r="AI956" s="37" t="n">
        <v>10</v>
      </c>
      <c r="AJ956" s="37" t="s">
        <v>323</v>
      </c>
    </row>
    <row r="957" customFormat="false" ht="15" hidden="false" customHeight="false" outlineLevel="0" collapsed="false">
      <c r="A957" s="37" t="n">
        <v>375817760</v>
      </c>
      <c r="B957" s="38" t="n">
        <v>46247.6729050926</v>
      </c>
      <c r="C957" s="37" t="s">
        <v>320</v>
      </c>
      <c r="D957" s="37" t="s">
        <v>973</v>
      </c>
      <c r="E957" s="37" t="n">
        <v>28030350</v>
      </c>
      <c r="F957" s="37" t="s">
        <v>144</v>
      </c>
      <c r="G957" s="37" t="s">
        <v>201</v>
      </c>
      <c r="H957" s="37" t="s">
        <v>171</v>
      </c>
      <c r="I957" s="37" t="n">
        <v>52.3</v>
      </c>
      <c r="J957" s="39" t="n">
        <v>616.99</v>
      </c>
      <c r="K957" s="37" t="s">
        <v>498</v>
      </c>
      <c r="L957" s="39" t="n">
        <v>141.63</v>
      </c>
      <c r="M957" s="39" t="n">
        <v>103.6</v>
      </c>
      <c r="N957" s="39" t="n">
        <f aca="false">J957*Resumo!$C$7</f>
        <v>1.23398</v>
      </c>
      <c r="O957" s="39" t="n">
        <f aca="false">J957*Resumo!$C$8</f>
        <v>1.23398</v>
      </c>
      <c r="P957" s="39" t="n">
        <f aca="false">Resumo!$C$10*CEILING(I957/100,1)</f>
        <v>1</v>
      </c>
      <c r="Q957" s="39" t="n">
        <f aca="false">Resumo!$C$9</f>
        <v>11.9</v>
      </c>
      <c r="R957" s="39" t="n">
        <f aca="false">SUM(M957:Q957)*Resumo!$C$11</f>
        <v>6.5432378</v>
      </c>
      <c r="S957" s="39" t="n">
        <f aca="false">SUM(M957:R957)</f>
        <v>125.5111978</v>
      </c>
      <c r="T957" s="39" t="n">
        <f aca="false">S957/(1-Resumo!$C$5)</f>
        <v>142.626361136364</v>
      </c>
      <c r="U957" s="39" t="n">
        <v>162.04</v>
      </c>
      <c r="V957" s="39" t="n">
        <f aca="false">J957*Resumo!$B$6</f>
        <v>0.61699</v>
      </c>
      <c r="W957" s="39" t="n">
        <f aca="false">J957*Resumo!$B$7</f>
        <v>1.23398</v>
      </c>
      <c r="X957" s="39" t="n">
        <f aca="false">Resumo!$B$9</f>
        <v>1</v>
      </c>
      <c r="Y957" s="39" t="n">
        <f aca="false">Resumo!$B$10*CEILING(I957/100,1)</f>
        <v>4.5</v>
      </c>
      <c r="Z957" s="39" t="n">
        <f aca="false">Resumo!$B$12*CEILING(I957,1)</f>
        <v>3.18</v>
      </c>
      <c r="AA957" s="39" t="n">
        <f aca="false">Resumo!$B$13*CEILING(I957,1)</f>
        <v>23.85</v>
      </c>
      <c r="AB957" s="39" t="n">
        <f aca="false">SUM(U957:AA957)</f>
        <v>196.42097</v>
      </c>
      <c r="AC957" s="39" t="n">
        <f aca="false">AB957/(1-Resumo!$B$5)</f>
        <v>223.205647727273</v>
      </c>
      <c r="AD957" s="39" t="n">
        <f aca="false">(AB957-AA957)/(1-Resumo!$B$5)</f>
        <v>196.103375</v>
      </c>
      <c r="AE957" s="39" t="n">
        <f aca="false">AC957-T957</f>
        <v>80.5792865909091</v>
      </c>
      <c r="AF957" s="40" t="n">
        <f aca="false">AC957/T957-1</f>
        <v>0.56496769565528</v>
      </c>
      <c r="AG957" s="37" t="str">
        <f aca="false">IF(AC957&lt;T957,"SIM","NÃO")</f>
        <v>NÃO</v>
      </c>
      <c r="AH957" s="37" t="n">
        <v>13</v>
      </c>
      <c r="AI957" s="37" t="n">
        <v>11</v>
      </c>
      <c r="AJ957" s="37" t="s">
        <v>323</v>
      </c>
    </row>
    <row r="958" customFormat="false" ht="15" hidden="false" customHeight="false" outlineLevel="0" collapsed="false">
      <c r="A958" s="37" t="n">
        <v>375852651</v>
      </c>
      <c r="B958" s="38" t="n">
        <v>46247.7295486111</v>
      </c>
      <c r="C958" s="37" t="s">
        <v>320</v>
      </c>
      <c r="D958" s="37" t="s">
        <v>1240</v>
      </c>
      <c r="E958" s="37" t="n">
        <v>23515680</v>
      </c>
      <c r="F958" s="37" t="s">
        <v>139</v>
      </c>
      <c r="G958" s="37" t="s">
        <v>198</v>
      </c>
      <c r="H958" s="37" t="s">
        <v>176</v>
      </c>
      <c r="I958" s="37" t="n">
        <v>134.6</v>
      </c>
      <c r="J958" s="39" t="n">
        <v>1579.98</v>
      </c>
      <c r="K958" s="37" t="s">
        <v>498</v>
      </c>
      <c r="L958" s="39" t="n">
        <v>231.4</v>
      </c>
      <c r="M958" s="39" t="n">
        <v>174.85</v>
      </c>
      <c r="N958" s="39" t="n">
        <f aca="false">J958*Resumo!$C$7</f>
        <v>3.15996</v>
      </c>
      <c r="O958" s="39" t="n">
        <f aca="false">J958*Resumo!$C$8</f>
        <v>3.15996</v>
      </c>
      <c r="P958" s="39" t="n">
        <f aca="false">Resumo!$C$10*CEILING(I958/100,1)</f>
        <v>2</v>
      </c>
      <c r="Q958" s="39" t="n">
        <f aca="false">Resumo!$C$9</f>
        <v>11.9</v>
      </c>
      <c r="R958" s="39" t="n">
        <f aca="false">SUM(M958:Q958)*Resumo!$C$11</f>
        <v>10.7288456</v>
      </c>
      <c r="S958" s="39" t="n">
        <f aca="false">SUM(M958:R958)</f>
        <v>205.7987656</v>
      </c>
      <c r="T958" s="39" t="n">
        <f aca="false">S958/(1-Resumo!$C$5)</f>
        <v>233.862233636364</v>
      </c>
      <c r="U958" s="39" t="n">
        <v>239.25</v>
      </c>
      <c r="V958" s="39" t="n">
        <f aca="false">J958*Resumo!$B$6</f>
        <v>1.57998</v>
      </c>
      <c r="W958" s="39" t="n">
        <f aca="false">J958*Resumo!$B$7</f>
        <v>3.15996</v>
      </c>
      <c r="X958" s="39" t="n">
        <f aca="false">Resumo!$B$9</f>
        <v>1</v>
      </c>
      <c r="Y958" s="39" t="n">
        <f aca="false">Resumo!$B$10*CEILING(I958/100,1)</f>
        <v>9</v>
      </c>
      <c r="Z958" s="39" t="n">
        <f aca="false">Resumo!$B$12*CEILING(I958,1)</f>
        <v>8.1</v>
      </c>
      <c r="AA958" s="39" t="n">
        <f aca="false">Resumo!$B$13*CEILING(I958,1)</f>
        <v>60.75</v>
      </c>
      <c r="AB958" s="39" t="n">
        <f aca="false">SUM(U958:AA958)</f>
        <v>322.83994</v>
      </c>
      <c r="AC958" s="39" t="n">
        <f aca="false">AB958/(1-Resumo!$B$5)</f>
        <v>366.863568181818</v>
      </c>
      <c r="AD958" s="39" t="n">
        <f aca="false">(AB958-AA958)/(1-Resumo!$B$5)</f>
        <v>297.829477272727</v>
      </c>
      <c r="AE958" s="39" t="n">
        <f aca="false">AC958-T958</f>
        <v>133.001334545455</v>
      </c>
      <c r="AF958" s="40" t="n">
        <f aca="false">AC958/T958-1</f>
        <v>0.5687166006986</v>
      </c>
      <c r="AG958" s="37" t="str">
        <f aca="false">IF(AC958&lt;T958,"SIM","NÃO")</f>
        <v>NÃO</v>
      </c>
      <c r="AH958" s="37" t="n">
        <v>8</v>
      </c>
      <c r="AI958" s="37" t="n">
        <v>5</v>
      </c>
      <c r="AJ958" s="37" t="s">
        <v>323</v>
      </c>
    </row>
    <row r="959" customFormat="false" ht="15" hidden="false" customHeight="false" outlineLevel="0" collapsed="false">
      <c r="A959" s="37" t="n">
        <v>375854637</v>
      </c>
      <c r="B959" s="38" t="n">
        <v>46247.7455208333</v>
      </c>
      <c r="C959" s="37" t="s">
        <v>341</v>
      </c>
      <c r="D959" s="37" t="s">
        <v>1241</v>
      </c>
      <c r="E959" s="37" t="n">
        <v>26220060</v>
      </c>
      <c r="F959" s="37" t="s">
        <v>142</v>
      </c>
      <c r="G959" s="37" t="s">
        <v>207</v>
      </c>
      <c r="H959" s="37" t="s">
        <v>172</v>
      </c>
      <c r="I959" s="37" t="n">
        <v>69</v>
      </c>
      <c r="J959" s="39" t="n">
        <v>859.99</v>
      </c>
      <c r="K959" s="37" t="s">
        <v>322</v>
      </c>
      <c r="L959" s="39" t="n">
        <v>140.56</v>
      </c>
      <c r="M959" s="39" t="n">
        <v>100.9</v>
      </c>
      <c r="N959" s="39" t="n">
        <f aca="false">J959*Resumo!$C$7</f>
        <v>1.71998</v>
      </c>
      <c r="O959" s="39" t="n">
        <f aca="false">J959*Resumo!$C$8</f>
        <v>1.71998</v>
      </c>
      <c r="P959" s="39" t="n">
        <f aca="false">Resumo!$C$10*CEILING(I959/100,1)</f>
        <v>1</v>
      </c>
      <c r="Q959" s="39" t="n">
        <f aca="false">Resumo!$C$9</f>
        <v>11.9</v>
      </c>
      <c r="R959" s="39" t="n">
        <f aca="false">SUM(M959:Q959)*Resumo!$C$11</f>
        <v>6.4481978</v>
      </c>
      <c r="S959" s="39" t="n">
        <f aca="false">SUM(M959:R959)</f>
        <v>123.6881578</v>
      </c>
      <c r="T959" s="39" t="n">
        <f aca="false">S959/(1-Resumo!$C$5)</f>
        <v>140.554724772727</v>
      </c>
      <c r="U959" s="39" t="n">
        <v>131.02</v>
      </c>
      <c r="V959" s="39" t="n">
        <f aca="false">J959*Resumo!$B$6</f>
        <v>0.85999</v>
      </c>
      <c r="W959" s="39" t="n">
        <f aca="false">J959*Resumo!$B$7</f>
        <v>1.71998</v>
      </c>
      <c r="X959" s="39" t="n">
        <f aca="false">Resumo!$B$9</f>
        <v>1</v>
      </c>
      <c r="Y959" s="39" t="n">
        <f aca="false">Resumo!$B$10*CEILING(I959/100,1)</f>
        <v>4.5</v>
      </c>
      <c r="Z959" s="39" t="n">
        <f aca="false">Resumo!$B$12*CEILING(I959,1)</f>
        <v>4.14</v>
      </c>
      <c r="AA959" s="39" t="n">
        <f aca="false">Resumo!$B$13*CEILING(I959,1)</f>
        <v>31.05</v>
      </c>
      <c r="AB959" s="39" t="n">
        <f aca="false">SUM(U959:AA959)</f>
        <v>174.28997</v>
      </c>
      <c r="AC959" s="39" t="n">
        <f aca="false">AB959/(1-Resumo!$B$5)</f>
        <v>198.056784090909</v>
      </c>
      <c r="AD959" s="39" t="n">
        <f aca="false">(AB959-AA959)/(1-Resumo!$B$5)</f>
        <v>162.772693181818</v>
      </c>
      <c r="AE959" s="39" t="n">
        <f aca="false">AC959-T959</f>
        <v>57.5020593181818</v>
      </c>
      <c r="AF959" s="40" t="n">
        <f aca="false">AC959/T959-1</f>
        <v>0.409107978484259</v>
      </c>
      <c r="AG959" s="37" t="str">
        <f aca="false">IF(AC959&lt;T959,"SIM","NÃO")</f>
        <v>NÃO</v>
      </c>
      <c r="AH959" s="37" t="n">
        <v>10</v>
      </c>
      <c r="AI959" s="37" t="n">
        <v>5</v>
      </c>
      <c r="AJ959" s="37" t="s">
        <v>323</v>
      </c>
    </row>
    <row r="960" customFormat="false" ht="15" hidden="false" customHeight="false" outlineLevel="0" collapsed="false">
      <c r="A960" s="37" t="n">
        <v>375955295</v>
      </c>
      <c r="B960" s="38" t="n">
        <v>46247.750162037</v>
      </c>
      <c r="C960" s="37" t="s">
        <v>325</v>
      </c>
      <c r="D960" s="37" t="s">
        <v>1242</v>
      </c>
      <c r="E960" s="37" t="n">
        <v>28983332</v>
      </c>
      <c r="F960" s="37" t="s">
        <v>153</v>
      </c>
      <c r="G960" s="37" t="s">
        <v>201</v>
      </c>
      <c r="H960" s="37" t="s">
        <v>169</v>
      </c>
      <c r="I960" s="37" t="n">
        <v>37.6</v>
      </c>
      <c r="J960" s="39" t="n">
        <v>403.94</v>
      </c>
      <c r="K960" s="37" t="s">
        <v>498</v>
      </c>
      <c r="L960" s="39" t="n">
        <v>123.15</v>
      </c>
      <c r="M960" s="39" t="n">
        <v>87.4</v>
      </c>
      <c r="N960" s="39" t="n">
        <f aca="false">J960*Resumo!$C$7</f>
        <v>0.80788</v>
      </c>
      <c r="O960" s="39" t="n">
        <f aca="false">J960*Resumo!$C$8</f>
        <v>0.80788</v>
      </c>
      <c r="P960" s="39" t="n">
        <f aca="false">Resumo!$C$10*CEILING(I960/100,1)</f>
        <v>1</v>
      </c>
      <c r="Q960" s="39" t="n">
        <f aca="false">Resumo!$C$9</f>
        <v>11.9</v>
      </c>
      <c r="R960" s="39" t="n">
        <f aca="false">SUM(M960:Q960)*Resumo!$C$11</f>
        <v>5.6053668</v>
      </c>
      <c r="S960" s="39" t="n">
        <f aca="false">SUM(M960:R960)</f>
        <v>107.5211268</v>
      </c>
      <c r="T960" s="39" t="n">
        <f aca="false">S960/(1-Resumo!$C$5)</f>
        <v>122.183098636364</v>
      </c>
      <c r="U960" s="39" t="n">
        <v>124.38</v>
      </c>
      <c r="V960" s="39" t="n">
        <f aca="false">J960*Resumo!$B$6</f>
        <v>0.40394</v>
      </c>
      <c r="W960" s="39" t="n">
        <f aca="false">J960*Resumo!$B$7</f>
        <v>0.80788</v>
      </c>
      <c r="X960" s="39" t="n">
        <f aca="false">Resumo!$B$9</f>
        <v>1</v>
      </c>
      <c r="Y960" s="39" t="n">
        <f aca="false">Resumo!$B$10*CEILING(I960/100,1)</f>
        <v>4.5</v>
      </c>
      <c r="Z960" s="39" t="n">
        <f aca="false">Resumo!$B$12*CEILING(I960,1)</f>
        <v>2.28</v>
      </c>
      <c r="AA960" s="39" t="n">
        <f aca="false">Resumo!$B$13*CEILING(I960,1)</f>
        <v>17.1</v>
      </c>
      <c r="AB960" s="39" t="n">
        <f aca="false">SUM(U960:AA960)</f>
        <v>150.47182</v>
      </c>
      <c r="AC960" s="39" t="n">
        <f aca="false">AB960/(1-Resumo!$B$5)</f>
        <v>170.990704545455</v>
      </c>
      <c r="AD960" s="39" t="n">
        <f aca="false">(AB960-AA960)/(1-Resumo!$B$5)</f>
        <v>151.558886363636</v>
      </c>
      <c r="AE960" s="39" t="n">
        <f aca="false">AC960-T960</f>
        <v>48.8076059090909</v>
      </c>
      <c r="AF960" s="40" t="n">
        <f aca="false">AC960/T960-1</f>
        <v>0.399462826314056</v>
      </c>
      <c r="AG960" s="37" t="str">
        <f aca="false">IF(AC960&lt;T960,"SIM","NÃO")</f>
        <v>NÃO</v>
      </c>
      <c r="AH960" s="37" t="n">
        <v>13</v>
      </c>
      <c r="AI960" s="37" t="n">
        <v>10</v>
      </c>
      <c r="AJ960" s="37" t="s">
        <v>323</v>
      </c>
    </row>
    <row r="961" customFormat="false" ht="15" hidden="false" customHeight="false" outlineLevel="0" collapsed="false">
      <c r="A961" s="37" t="n">
        <v>375860747</v>
      </c>
      <c r="B961" s="38" t="n">
        <v>46247.751400463</v>
      </c>
      <c r="C961" s="37" t="s">
        <v>341</v>
      </c>
      <c r="D961" s="37" t="s">
        <v>1243</v>
      </c>
      <c r="E961" s="37" t="n">
        <v>24330180</v>
      </c>
      <c r="F961" s="37" t="s">
        <v>143</v>
      </c>
      <c r="G961" s="37" t="s">
        <v>207</v>
      </c>
      <c r="H961" s="37" t="s">
        <v>169</v>
      </c>
      <c r="I961" s="37" t="n">
        <v>37.2</v>
      </c>
      <c r="J961" s="39" t="n">
        <v>390.99</v>
      </c>
      <c r="K961" s="37" t="s">
        <v>322</v>
      </c>
      <c r="L961" s="39" t="n">
        <v>112.83</v>
      </c>
      <c r="M961" s="39" t="n">
        <v>79.65</v>
      </c>
      <c r="N961" s="39" t="n">
        <f aca="false">J961*Resumo!$C$7</f>
        <v>0.78198</v>
      </c>
      <c r="O961" s="39" t="n">
        <f aca="false">J961*Resumo!$C$8</f>
        <v>0.78198</v>
      </c>
      <c r="P961" s="39" t="n">
        <f aca="false">Resumo!$C$10*CEILING(I961/100,1)</f>
        <v>1</v>
      </c>
      <c r="Q961" s="39" t="n">
        <f aca="false">Resumo!$C$9</f>
        <v>11.9</v>
      </c>
      <c r="R961" s="39" t="n">
        <f aca="false">SUM(M961:Q961)*Resumo!$C$11</f>
        <v>5.1762678</v>
      </c>
      <c r="S961" s="39" t="n">
        <f aca="false">SUM(M961:R961)</f>
        <v>99.2902278</v>
      </c>
      <c r="T961" s="39" t="n">
        <f aca="false">S961/(1-Resumo!$C$5)</f>
        <v>112.829804318182</v>
      </c>
      <c r="U961" s="39" t="n">
        <v>114.95</v>
      </c>
      <c r="V961" s="39" t="n">
        <f aca="false">J961*Resumo!$B$6</f>
        <v>0.39099</v>
      </c>
      <c r="W961" s="39" t="n">
        <f aca="false">J961*Resumo!$B$7</f>
        <v>0.78198</v>
      </c>
      <c r="X961" s="39" t="n">
        <f aca="false">Resumo!$B$9</f>
        <v>1</v>
      </c>
      <c r="Y961" s="39" t="n">
        <f aca="false">Resumo!$B$10*CEILING(I961/100,1)</f>
        <v>4.5</v>
      </c>
      <c r="Z961" s="39" t="n">
        <f aca="false">Resumo!$B$12*CEILING(I961,1)</f>
        <v>2.28</v>
      </c>
      <c r="AA961" s="39" t="n">
        <f aca="false">Resumo!$B$13*CEILING(I961,1)</f>
        <v>17.1</v>
      </c>
      <c r="AB961" s="39" t="n">
        <f aca="false">SUM(U961:AA961)</f>
        <v>141.00297</v>
      </c>
      <c r="AC961" s="39" t="n">
        <f aca="false">AB961/(1-Resumo!$B$5)</f>
        <v>160.230647727273</v>
      </c>
      <c r="AD961" s="39" t="n">
        <f aca="false">(AB961-AA961)/(1-Resumo!$B$5)</f>
        <v>140.798829545455</v>
      </c>
      <c r="AE961" s="39" t="n">
        <f aca="false">AC961-T961</f>
        <v>47.4008434090909</v>
      </c>
      <c r="AF961" s="40" t="n">
        <f aca="false">AC961/T961-1</f>
        <v>0.420109240599406</v>
      </c>
      <c r="AG961" s="37" t="str">
        <f aca="false">IF(AC961&lt;T961,"SIM","NÃO")</f>
        <v>NÃO</v>
      </c>
      <c r="AH961" s="37" t="n">
        <v>10</v>
      </c>
      <c r="AI961" s="37" t="n">
        <v>7</v>
      </c>
      <c r="AJ961" s="37" t="s">
        <v>323</v>
      </c>
    </row>
    <row r="962" customFormat="false" ht="15" hidden="false" customHeight="false" outlineLevel="0" collapsed="false">
      <c r="A962" s="37" t="n">
        <v>375890921</v>
      </c>
      <c r="B962" s="38" t="n">
        <v>46247.7818171296</v>
      </c>
      <c r="C962" s="37" t="s">
        <v>320</v>
      </c>
      <c r="D962" s="37" t="s">
        <v>1244</v>
      </c>
      <c r="E962" s="37" t="n">
        <v>28699899</v>
      </c>
      <c r="F962" s="37" t="s">
        <v>269</v>
      </c>
      <c r="G962" s="37" t="s">
        <v>201</v>
      </c>
      <c r="H962" s="37" t="s">
        <v>171</v>
      </c>
      <c r="I962" s="37" t="n">
        <v>52.3</v>
      </c>
      <c r="J962" s="39" t="n">
        <v>685.88</v>
      </c>
      <c r="K962" s="37" t="s">
        <v>498</v>
      </c>
      <c r="L962" s="39" t="n">
        <v>141.94</v>
      </c>
      <c r="M962" s="39" t="n">
        <v>103.6</v>
      </c>
      <c r="N962" s="39" t="n">
        <f aca="false">J962*Resumo!$C$7</f>
        <v>1.37176</v>
      </c>
      <c r="O962" s="39" t="n">
        <f aca="false">J962*Resumo!$C$8</f>
        <v>1.37176</v>
      </c>
      <c r="P962" s="39" t="n">
        <f aca="false">Resumo!$C$10*CEILING(I962/100,1)</f>
        <v>1</v>
      </c>
      <c r="Q962" s="39" t="n">
        <f aca="false">Resumo!$C$9</f>
        <v>11.9</v>
      </c>
      <c r="R962" s="39" t="n">
        <f aca="false">SUM(M962:Q962)*Resumo!$C$11</f>
        <v>6.5583936</v>
      </c>
      <c r="S962" s="39" t="n">
        <f aca="false">SUM(M962:R962)</f>
        <v>125.8019136</v>
      </c>
      <c r="T962" s="39" t="n">
        <f aca="false">S962/(1-Resumo!$C$5)</f>
        <v>142.95672</v>
      </c>
      <c r="U962" s="39" t="n">
        <v>144.53</v>
      </c>
      <c r="V962" s="39" t="n">
        <f aca="false">J962*Resumo!$B$6</f>
        <v>0.68588</v>
      </c>
      <c r="W962" s="39" t="n">
        <f aca="false">J962*Resumo!$B$7</f>
        <v>1.37176</v>
      </c>
      <c r="X962" s="39" t="n">
        <f aca="false">Resumo!$B$9</f>
        <v>1</v>
      </c>
      <c r="Y962" s="39" t="n">
        <f aca="false">Resumo!$B$10*CEILING(I962/100,1)</f>
        <v>4.5</v>
      </c>
      <c r="Z962" s="39" t="n">
        <f aca="false">Resumo!$B$12*CEILING(I962,1)</f>
        <v>3.18</v>
      </c>
      <c r="AA962" s="39" t="n">
        <f aca="false">Resumo!$B$13*CEILING(I962,1)</f>
        <v>23.85</v>
      </c>
      <c r="AB962" s="39" t="n">
        <f aca="false">SUM(U962:AA962)</f>
        <v>179.11764</v>
      </c>
      <c r="AC962" s="39" t="n">
        <f aca="false">AB962/(1-Resumo!$B$5)</f>
        <v>203.542772727273</v>
      </c>
      <c r="AD962" s="39" t="n">
        <f aca="false">(AB962-AA962)/(1-Resumo!$B$5)</f>
        <v>176.4405</v>
      </c>
      <c r="AE962" s="39" t="n">
        <f aca="false">AC962-T962</f>
        <v>60.5860527272727</v>
      </c>
      <c r="AF962" s="40" t="n">
        <f aca="false">AC962/T962-1</f>
        <v>0.423806958688425</v>
      </c>
      <c r="AG962" s="37" t="str">
        <f aca="false">IF(AC962&lt;T962,"SIM","NÃO")</f>
        <v>NÃO</v>
      </c>
      <c r="AH962" s="37" t="n">
        <v>13</v>
      </c>
      <c r="AI962" s="37" t="n">
        <v>10</v>
      </c>
      <c r="AJ962" s="37" t="s">
        <v>327</v>
      </c>
    </row>
    <row r="963" customFormat="false" ht="15" hidden="false" customHeight="false" outlineLevel="0" collapsed="false">
      <c r="A963" s="37" t="n">
        <v>375910187</v>
      </c>
      <c r="B963" s="38" t="n">
        <v>46247.8030671296</v>
      </c>
      <c r="C963" s="37" t="s">
        <v>320</v>
      </c>
      <c r="D963" s="37" t="s">
        <v>1245</v>
      </c>
      <c r="E963" s="37" t="n">
        <v>26061810</v>
      </c>
      <c r="F963" s="37" t="s">
        <v>142</v>
      </c>
      <c r="G963" s="37" t="s">
        <v>207</v>
      </c>
      <c r="H963" s="37" t="s">
        <v>172</v>
      </c>
      <c r="I963" s="37" t="n">
        <v>66.8</v>
      </c>
      <c r="J963" s="39" t="n">
        <v>629.99</v>
      </c>
      <c r="K963" s="37" t="s">
        <v>322</v>
      </c>
      <c r="L963" s="39" t="n">
        <v>139.45</v>
      </c>
      <c r="M963" s="39" t="n">
        <v>100.9</v>
      </c>
      <c r="N963" s="39" t="n">
        <f aca="false">J963*Resumo!$C$7</f>
        <v>1.25998</v>
      </c>
      <c r="O963" s="39" t="n">
        <f aca="false">J963*Resumo!$C$8</f>
        <v>1.25998</v>
      </c>
      <c r="P963" s="39" t="n">
        <f aca="false">Resumo!$C$10*CEILING(I963/100,1)</f>
        <v>1</v>
      </c>
      <c r="Q963" s="39" t="n">
        <f aca="false">Resumo!$C$9</f>
        <v>11.9</v>
      </c>
      <c r="R963" s="39" t="n">
        <f aca="false">SUM(M963:Q963)*Resumo!$C$11</f>
        <v>6.3975978</v>
      </c>
      <c r="S963" s="39" t="n">
        <f aca="false">SUM(M963:R963)</f>
        <v>122.7175578</v>
      </c>
      <c r="T963" s="39" t="n">
        <f aca="false">S963/(1-Resumo!$C$5)</f>
        <v>139.451770227273</v>
      </c>
      <c r="U963" s="39" t="n">
        <v>131.02</v>
      </c>
      <c r="V963" s="39" t="n">
        <f aca="false">J963*Resumo!$B$6</f>
        <v>0.62999</v>
      </c>
      <c r="W963" s="39" t="n">
        <f aca="false">J963*Resumo!$B$7</f>
        <v>1.25998</v>
      </c>
      <c r="X963" s="39" t="n">
        <f aca="false">Resumo!$B$9</f>
        <v>1</v>
      </c>
      <c r="Y963" s="39" t="n">
        <f aca="false">Resumo!$B$10*CEILING(I963/100,1)</f>
        <v>4.5</v>
      </c>
      <c r="Z963" s="39" t="n">
        <f aca="false">Resumo!$B$12*CEILING(I963,1)</f>
        <v>4.02</v>
      </c>
      <c r="AA963" s="39" t="n">
        <f aca="false">Resumo!$B$13*CEILING(I963,1)</f>
        <v>30.15</v>
      </c>
      <c r="AB963" s="39" t="n">
        <f aca="false">SUM(U963:AA963)</f>
        <v>172.57997</v>
      </c>
      <c r="AC963" s="39" t="n">
        <f aca="false">AB963/(1-Resumo!$B$5)</f>
        <v>196.113602272727</v>
      </c>
      <c r="AD963" s="39" t="n">
        <f aca="false">(AB963-AA963)/(1-Resumo!$B$5)</f>
        <v>161.852238636364</v>
      </c>
      <c r="AE963" s="39" t="n">
        <f aca="false">AC963-T963</f>
        <v>56.6618320454545</v>
      </c>
      <c r="AF963" s="40" t="n">
        <f aca="false">AC963/T963-1</f>
        <v>0.406318485259165</v>
      </c>
      <c r="AG963" s="37" t="str">
        <f aca="false">IF(AC963&lt;T963,"SIM","NÃO")</f>
        <v>NÃO</v>
      </c>
      <c r="AH963" s="37" t="n">
        <v>10</v>
      </c>
      <c r="AI963" s="37" t="n">
        <v>5</v>
      </c>
      <c r="AJ963" s="37" t="s">
        <v>323</v>
      </c>
    </row>
    <row r="964" customFormat="false" ht="15" hidden="false" customHeight="false" outlineLevel="0" collapsed="false">
      <c r="A964" s="37" t="n">
        <v>375913461</v>
      </c>
      <c r="B964" s="38" t="n">
        <v>46247.8067361111</v>
      </c>
      <c r="C964" s="37" t="s">
        <v>320</v>
      </c>
      <c r="D964" s="37" t="s">
        <v>1246</v>
      </c>
      <c r="E964" s="37" t="n">
        <v>21630250</v>
      </c>
      <c r="F964" s="37" t="s">
        <v>139</v>
      </c>
      <c r="G964" s="37" t="s">
        <v>198</v>
      </c>
      <c r="H964" s="37" t="s">
        <v>170</v>
      </c>
      <c r="I964" s="37" t="n">
        <v>45.3</v>
      </c>
      <c r="J964" s="39" t="n">
        <v>679.99</v>
      </c>
      <c r="K964" s="37" t="s">
        <v>322</v>
      </c>
      <c r="L964" s="39" t="n">
        <v>103.84</v>
      </c>
      <c r="M964" s="39" t="n">
        <v>71</v>
      </c>
      <c r="N964" s="39" t="n">
        <f aca="false">J964*Resumo!$C$7</f>
        <v>1.35998</v>
      </c>
      <c r="O964" s="39" t="n">
        <f aca="false">J964*Resumo!$C$8</f>
        <v>1.35998</v>
      </c>
      <c r="P964" s="39" t="n">
        <f aca="false">Resumo!$C$10*CEILING(I964/100,1)</f>
        <v>1</v>
      </c>
      <c r="Q964" s="39" t="n">
        <f aca="false">Resumo!$C$9</f>
        <v>11.9</v>
      </c>
      <c r="R964" s="39" t="n">
        <f aca="false">SUM(M964:Q964)*Resumo!$C$11</f>
        <v>4.7640978</v>
      </c>
      <c r="S964" s="39" t="n">
        <f aca="false">SUM(M964:R964)</f>
        <v>91.3840578</v>
      </c>
      <c r="T964" s="39" t="n">
        <f aca="false">S964/(1-Resumo!$C$5)</f>
        <v>103.845520227273</v>
      </c>
      <c r="U964" s="39" t="n">
        <v>93.97</v>
      </c>
      <c r="V964" s="39" t="n">
        <f aca="false">J964*Resumo!$B$6</f>
        <v>0.67999</v>
      </c>
      <c r="W964" s="39" t="n">
        <f aca="false">J964*Resumo!$B$7</f>
        <v>1.35998</v>
      </c>
      <c r="X964" s="39" t="n">
        <f aca="false">Resumo!$B$9</f>
        <v>1</v>
      </c>
      <c r="Y964" s="39" t="n">
        <f aca="false">Resumo!$B$10*CEILING(I964/100,1)</f>
        <v>4.5</v>
      </c>
      <c r="Z964" s="39" t="n">
        <f aca="false">Resumo!$B$12*CEILING(I964,1)</f>
        <v>2.76</v>
      </c>
      <c r="AA964" s="39" t="n">
        <f aca="false">Resumo!$B$13*CEILING(I964,1)</f>
        <v>20.7</v>
      </c>
      <c r="AB964" s="39" t="n">
        <f aca="false">SUM(U964:AA964)</f>
        <v>124.96997</v>
      </c>
      <c r="AC964" s="39" t="n">
        <f aca="false">AB964/(1-Resumo!$B$5)</f>
        <v>142.011329545455</v>
      </c>
      <c r="AD964" s="39" t="n">
        <f aca="false">(AB964-AA964)/(1-Resumo!$B$5)</f>
        <v>118.488602272727</v>
      </c>
      <c r="AE964" s="39" t="n">
        <f aca="false">AC964-T964</f>
        <v>38.1658093181818</v>
      </c>
      <c r="AF964" s="40" t="n">
        <f aca="false">AC964/T964-1</f>
        <v>0.367524850707603</v>
      </c>
      <c r="AG964" s="37" t="str">
        <f aca="false">IF(AC964&lt;T964,"SIM","NÃO")</f>
        <v>NÃO</v>
      </c>
      <c r="AH964" s="37" t="n">
        <v>8</v>
      </c>
      <c r="AI964" s="37" t="n">
        <v>5</v>
      </c>
      <c r="AJ964" s="37" t="s">
        <v>323</v>
      </c>
    </row>
    <row r="965" customFormat="false" ht="15" hidden="false" customHeight="false" outlineLevel="0" collapsed="false">
      <c r="A965" s="37" t="n">
        <v>375993113</v>
      </c>
      <c r="B965" s="38" t="n">
        <v>46247.8256018519</v>
      </c>
      <c r="C965" s="37" t="s">
        <v>325</v>
      </c>
      <c r="D965" s="37" t="s">
        <v>1247</v>
      </c>
      <c r="E965" s="37" t="n">
        <v>22725031</v>
      </c>
      <c r="F965" s="37" t="s">
        <v>139</v>
      </c>
      <c r="G965" s="37" t="s">
        <v>198</v>
      </c>
      <c r="H965" s="37" t="s">
        <v>176</v>
      </c>
      <c r="I965" s="37" t="n">
        <v>137</v>
      </c>
      <c r="J965" s="39" t="n">
        <v>1600.45</v>
      </c>
      <c r="K965" s="37" t="s">
        <v>322</v>
      </c>
      <c r="L965" s="39" t="n">
        <v>233.95</v>
      </c>
      <c r="M965" s="39" t="n">
        <v>174.85</v>
      </c>
      <c r="N965" s="39" t="n">
        <f aca="false">J965*Resumo!$C$7</f>
        <v>3.2009</v>
      </c>
      <c r="O965" s="39" t="n">
        <f aca="false">J965*Resumo!$C$8</f>
        <v>3.2009</v>
      </c>
      <c r="P965" s="39" t="n">
        <f aca="false">Resumo!$C$10*CEILING(I965/100,1)</f>
        <v>2</v>
      </c>
      <c r="Q965" s="39" t="n">
        <f aca="false">Resumo!$C$9</f>
        <v>11.9</v>
      </c>
      <c r="R965" s="39" t="n">
        <f aca="false">SUM(M965:Q965)*Resumo!$C$11</f>
        <v>10.733349</v>
      </c>
      <c r="S965" s="39" t="n">
        <f aca="false">SUM(M965:R965)</f>
        <v>205.885149</v>
      </c>
      <c r="T965" s="39" t="n">
        <f aca="false">S965/(1-Resumo!$C$5)</f>
        <v>233.960396590909</v>
      </c>
      <c r="U965" s="39" t="n">
        <v>239.25</v>
      </c>
      <c r="V965" s="39" t="n">
        <f aca="false">J965*Resumo!$B$6</f>
        <v>1.60045</v>
      </c>
      <c r="W965" s="39" t="n">
        <f aca="false">J965*Resumo!$B$7</f>
        <v>3.2009</v>
      </c>
      <c r="X965" s="39" t="n">
        <f aca="false">Resumo!$B$9</f>
        <v>1</v>
      </c>
      <c r="Y965" s="39" t="n">
        <f aca="false">Resumo!$B$10*CEILING(I965/100,1)</f>
        <v>9</v>
      </c>
      <c r="Z965" s="39" t="n">
        <f aca="false">Resumo!$B$12*CEILING(I965,1)</f>
        <v>8.22</v>
      </c>
      <c r="AA965" s="39" t="n">
        <f aca="false">Resumo!$B$13*CEILING(I965,1)</f>
        <v>61.65</v>
      </c>
      <c r="AB965" s="39" t="n">
        <f aca="false">SUM(U965:AA965)</f>
        <v>323.92135</v>
      </c>
      <c r="AC965" s="39" t="n">
        <f aca="false">AB965/(1-Resumo!$B$5)</f>
        <v>368.092443181818</v>
      </c>
      <c r="AD965" s="39" t="n">
        <f aca="false">(AB965-AA965)/(1-Resumo!$B$5)</f>
        <v>298.035625</v>
      </c>
      <c r="AE965" s="39" t="n">
        <f aca="false">AC965-T965</f>
        <v>134.132046590909</v>
      </c>
      <c r="AF965" s="40" t="n">
        <f aca="false">AC965/T965-1</f>
        <v>0.573310904517935</v>
      </c>
      <c r="AG965" s="37" t="str">
        <f aca="false">IF(AC965&lt;T965,"SIM","NÃO")</f>
        <v>NÃO</v>
      </c>
      <c r="AH965" s="37" t="n">
        <v>8</v>
      </c>
      <c r="AI965" s="37" t="n">
        <v>5</v>
      </c>
      <c r="AJ965" s="37" t="s">
        <v>323</v>
      </c>
    </row>
    <row r="966" customFormat="false" ht="15" hidden="false" customHeight="false" outlineLevel="0" collapsed="false">
      <c r="A966" s="37" t="n">
        <v>375931914</v>
      </c>
      <c r="B966" s="38" t="n">
        <v>46247.8397106482</v>
      </c>
      <c r="C966" s="37" t="s">
        <v>320</v>
      </c>
      <c r="D966" s="37" t="s">
        <v>1000</v>
      </c>
      <c r="E966" s="37" t="n">
        <v>23092002</v>
      </c>
      <c r="F966" s="37" t="s">
        <v>139</v>
      </c>
      <c r="G966" s="37" t="s">
        <v>198</v>
      </c>
      <c r="H966" s="37" t="s">
        <v>168</v>
      </c>
      <c r="I966" s="37" t="n">
        <v>29.2</v>
      </c>
      <c r="J966" s="39" t="n">
        <v>449.99</v>
      </c>
      <c r="K966" s="37" t="s">
        <v>498</v>
      </c>
      <c r="L966" s="39" t="n">
        <v>81.92</v>
      </c>
      <c r="M966" s="39" t="n">
        <v>54.1</v>
      </c>
      <c r="N966" s="39" t="n">
        <f aca="false">J966*Resumo!$C$7</f>
        <v>0.89998</v>
      </c>
      <c r="O966" s="39" t="n">
        <f aca="false">J966*Resumo!$C$8</f>
        <v>0.89998</v>
      </c>
      <c r="P966" s="39" t="n">
        <f aca="false">Resumo!$C$10*CEILING(I966/100,1)</f>
        <v>1</v>
      </c>
      <c r="Q966" s="39" t="n">
        <f aca="false">Resumo!$C$9</f>
        <v>11.9</v>
      </c>
      <c r="R966" s="39" t="n">
        <f aca="false">SUM(M966:Q966)*Resumo!$C$11</f>
        <v>3.7839978</v>
      </c>
      <c r="S966" s="39" t="n">
        <f aca="false">SUM(M966:R966)</f>
        <v>72.5839578</v>
      </c>
      <c r="T966" s="39" t="n">
        <f aca="false">S966/(1-Resumo!$C$5)</f>
        <v>82.4817702272727</v>
      </c>
      <c r="U966" s="39" t="n">
        <v>82.21</v>
      </c>
      <c r="V966" s="39" t="n">
        <f aca="false">J966*Resumo!$B$6</f>
        <v>0.44999</v>
      </c>
      <c r="W966" s="39" t="n">
        <f aca="false">J966*Resumo!$B$7</f>
        <v>0.89998</v>
      </c>
      <c r="X966" s="39" t="n">
        <f aca="false">Resumo!$B$9</f>
        <v>1</v>
      </c>
      <c r="Y966" s="39" t="n">
        <f aca="false">Resumo!$B$10*CEILING(I966/100,1)</f>
        <v>4.5</v>
      </c>
      <c r="Z966" s="39" t="n">
        <f aca="false">Resumo!$B$12*CEILING(I966,1)</f>
        <v>1.8</v>
      </c>
      <c r="AA966" s="39" t="n">
        <f aca="false">Resumo!$B$13*CEILING(I966,1)</f>
        <v>13.5</v>
      </c>
      <c r="AB966" s="39" t="n">
        <f aca="false">SUM(U966:AA966)</f>
        <v>104.35997</v>
      </c>
      <c r="AC966" s="39" t="n">
        <f aca="false">AB966/(1-Resumo!$B$5)</f>
        <v>118.590875</v>
      </c>
      <c r="AD966" s="39" t="n">
        <f aca="false">(AB966-AA966)/(1-Resumo!$B$5)</f>
        <v>103.249965909091</v>
      </c>
      <c r="AE966" s="39" t="n">
        <f aca="false">AC966-T966</f>
        <v>36.1091047727273</v>
      </c>
      <c r="AF966" s="40" t="n">
        <f aca="false">AC966/T966-1</f>
        <v>0.437782853995873</v>
      </c>
      <c r="AG966" s="37" t="str">
        <f aca="false">IF(AC966&lt;T966,"SIM","NÃO")</f>
        <v>NÃO</v>
      </c>
      <c r="AH966" s="37" t="n">
        <v>8</v>
      </c>
      <c r="AI966" s="37" t="n">
        <v>5</v>
      </c>
      <c r="AJ966" s="37" t="s">
        <v>323</v>
      </c>
    </row>
    <row r="967" customFormat="false" ht="15" hidden="false" customHeight="false" outlineLevel="0" collapsed="false">
      <c r="A967" s="37" t="n">
        <v>375946102</v>
      </c>
      <c r="B967" s="38" t="n">
        <v>46247.8641666667</v>
      </c>
      <c r="C967" s="37" t="s">
        <v>320</v>
      </c>
      <c r="D967" s="37" t="s">
        <v>389</v>
      </c>
      <c r="E967" s="37" t="n">
        <v>22733010</v>
      </c>
      <c r="F967" s="37" t="s">
        <v>139</v>
      </c>
      <c r="G967" s="37" t="s">
        <v>198</v>
      </c>
      <c r="H967" s="37" t="s">
        <v>168</v>
      </c>
      <c r="I967" s="37" t="n">
        <v>22.4</v>
      </c>
      <c r="J967" s="39" t="n">
        <v>489.99</v>
      </c>
      <c r="K967" s="37" t="s">
        <v>322</v>
      </c>
      <c r="L967" s="39" t="n">
        <v>82.67</v>
      </c>
      <c r="M967" s="39" t="n">
        <v>54.1</v>
      </c>
      <c r="N967" s="39" t="n">
        <f aca="false">J967*Resumo!$C$7</f>
        <v>0.97998</v>
      </c>
      <c r="O967" s="39" t="n">
        <f aca="false">J967*Resumo!$C$8</f>
        <v>0.97998</v>
      </c>
      <c r="P967" s="39" t="n">
        <f aca="false">Resumo!$C$10*CEILING(I967/100,1)</f>
        <v>1</v>
      </c>
      <c r="Q967" s="39" t="n">
        <f aca="false">Resumo!$C$9</f>
        <v>11.9</v>
      </c>
      <c r="R967" s="39" t="n">
        <f aca="false">SUM(M967:Q967)*Resumo!$C$11</f>
        <v>3.7927978</v>
      </c>
      <c r="S967" s="39" t="n">
        <f aca="false">SUM(M967:R967)</f>
        <v>72.7527578</v>
      </c>
      <c r="T967" s="39" t="n">
        <f aca="false">S967/(1-Resumo!$C$5)</f>
        <v>82.6735884090909</v>
      </c>
      <c r="U967" s="39" t="n">
        <v>82.21</v>
      </c>
      <c r="V967" s="39" t="n">
        <f aca="false">J967*Resumo!$B$6</f>
        <v>0.48999</v>
      </c>
      <c r="W967" s="39" t="n">
        <f aca="false">J967*Resumo!$B$7</f>
        <v>0.97998</v>
      </c>
      <c r="X967" s="39" t="n">
        <f aca="false">Resumo!$B$9</f>
        <v>1</v>
      </c>
      <c r="Y967" s="39" t="n">
        <f aca="false">Resumo!$B$10*CEILING(I967/100,1)</f>
        <v>4.5</v>
      </c>
      <c r="Z967" s="39" t="n">
        <f aca="false">Resumo!$B$12*CEILING(I967,1)</f>
        <v>1.38</v>
      </c>
      <c r="AA967" s="39" t="n">
        <f aca="false">Resumo!$B$13*CEILING(I967,1)</f>
        <v>10.35</v>
      </c>
      <c r="AB967" s="39" t="n">
        <f aca="false">SUM(U967:AA967)</f>
        <v>100.90997</v>
      </c>
      <c r="AC967" s="39" t="n">
        <f aca="false">AB967/(1-Resumo!$B$5)</f>
        <v>114.670420454545</v>
      </c>
      <c r="AD967" s="39" t="n">
        <f aca="false">(AB967-AA967)/(1-Resumo!$B$5)</f>
        <v>102.909056818182</v>
      </c>
      <c r="AE967" s="39" t="n">
        <f aca="false">AC967-T967</f>
        <v>31.9968320454545</v>
      </c>
      <c r="AF967" s="40" t="n">
        <f aca="false">AC967/T967-1</f>
        <v>0.387026046179654</v>
      </c>
      <c r="AG967" s="37" t="str">
        <f aca="false">IF(AC967&lt;T967,"SIM","NÃO")</f>
        <v>NÃO</v>
      </c>
      <c r="AH967" s="37" t="n">
        <v>8</v>
      </c>
      <c r="AI967" s="37" t="n">
        <v>5</v>
      </c>
      <c r="AJ967" s="37" t="s">
        <v>323</v>
      </c>
    </row>
    <row r="968" customFormat="false" ht="15" hidden="false" customHeight="false" outlineLevel="0" collapsed="false">
      <c r="A968" s="37" t="n">
        <v>375955275</v>
      </c>
      <c r="B968" s="38" t="n">
        <v>46247.8751041667</v>
      </c>
      <c r="C968" s="37" t="s">
        <v>325</v>
      </c>
      <c r="D968" s="37" t="s">
        <v>1242</v>
      </c>
      <c r="E968" s="37" t="n">
        <v>28983332</v>
      </c>
      <c r="F968" s="37" t="s">
        <v>153</v>
      </c>
      <c r="G968" s="37" t="s">
        <v>201</v>
      </c>
      <c r="H968" s="37" t="s">
        <v>170</v>
      </c>
      <c r="I968" s="37" t="n">
        <v>40.1</v>
      </c>
      <c r="J968" s="39" t="n">
        <v>475.48</v>
      </c>
      <c r="K968" s="37" t="s">
        <v>498</v>
      </c>
      <c r="L968" s="39" t="n">
        <v>128.13</v>
      </c>
      <c r="M968" s="39" t="n">
        <v>94</v>
      </c>
      <c r="N968" s="39" t="n">
        <f aca="false">J968*Resumo!$C$7</f>
        <v>0.95096</v>
      </c>
      <c r="O968" s="39" t="n">
        <f aca="false">J968*Resumo!$C$8</f>
        <v>0.95096</v>
      </c>
      <c r="P968" s="39" t="n">
        <f aca="false">Resumo!$C$10*CEILING(I968/100,1)</f>
        <v>1</v>
      </c>
      <c r="Q968" s="39" t="n">
        <f aca="false">Resumo!$C$9</f>
        <v>11.9</v>
      </c>
      <c r="R968" s="39" t="n">
        <f aca="false">SUM(M968:Q968)*Resumo!$C$11</f>
        <v>5.9841056</v>
      </c>
      <c r="S968" s="39" t="n">
        <f aca="false">SUM(M968:R968)</f>
        <v>114.7860256</v>
      </c>
      <c r="T968" s="39" t="n">
        <f aca="false">S968/(1-Resumo!$C$5)</f>
        <v>130.438665454545</v>
      </c>
      <c r="U968" s="39" t="n">
        <v>129.29</v>
      </c>
      <c r="V968" s="39" t="n">
        <f aca="false">J968*Resumo!$B$6</f>
        <v>0.47548</v>
      </c>
      <c r="W968" s="39" t="n">
        <f aca="false">J968*Resumo!$B$7</f>
        <v>0.95096</v>
      </c>
      <c r="X968" s="39" t="n">
        <f aca="false">Resumo!$B$9</f>
        <v>1</v>
      </c>
      <c r="Y968" s="39" t="n">
        <f aca="false">Resumo!$B$10*CEILING(I968/100,1)</f>
        <v>4.5</v>
      </c>
      <c r="Z968" s="39" t="n">
        <f aca="false">Resumo!$B$12*CEILING(I968,1)</f>
        <v>2.46</v>
      </c>
      <c r="AA968" s="39" t="n">
        <f aca="false">Resumo!$B$13*CEILING(I968,1)</f>
        <v>18.45</v>
      </c>
      <c r="AB968" s="39" t="n">
        <f aca="false">SUM(U968:AA968)</f>
        <v>157.12644</v>
      </c>
      <c r="AC968" s="39" t="n">
        <f aca="false">AB968/(1-Resumo!$B$5)</f>
        <v>178.552772727273</v>
      </c>
      <c r="AD968" s="39" t="n">
        <f aca="false">(AB968-AA968)/(1-Resumo!$B$5)</f>
        <v>157.586863636364</v>
      </c>
      <c r="AE968" s="39" t="n">
        <f aca="false">AC968-T968</f>
        <v>48.1141072727272</v>
      </c>
      <c r="AF968" s="40" t="n">
        <f aca="false">AC968/T968-1</f>
        <v>0.368863841906553</v>
      </c>
      <c r="AG968" s="37" t="str">
        <f aca="false">IF(AC968&lt;T968,"SIM","NÃO")</f>
        <v>NÃO</v>
      </c>
      <c r="AH968" s="37" t="n">
        <v>13</v>
      </c>
      <c r="AI968" s="37" t="n">
        <v>10</v>
      </c>
      <c r="AJ968" s="37" t="s">
        <v>323</v>
      </c>
    </row>
    <row r="969" customFormat="false" ht="15" hidden="false" customHeight="false" outlineLevel="0" collapsed="false">
      <c r="A969" s="37" t="n">
        <v>375966390</v>
      </c>
      <c r="B969" s="38" t="n">
        <v>46247.9019212963</v>
      </c>
      <c r="C969" s="37" t="s">
        <v>320</v>
      </c>
      <c r="D969" s="37" t="s">
        <v>1248</v>
      </c>
      <c r="E969" s="37" t="n">
        <v>23032305</v>
      </c>
      <c r="F969" s="37" t="s">
        <v>139</v>
      </c>
      <c r="G969" s="37" t="s">
        <v>198</v>
      </c>
      <c r="H969" s="37" t="s">
        <v>169</v>
      </c>
      <c r="I969" s="37" t="n">
        <v>36.8</v>
      </c>
      <c r="J969" s="39" t="n">
        <v>439.99</v>
      </c>
      <c r="K969" s="37" t="s">
        <v>498</v>
      </c>
      <c r="L969" s="39" t="n">
        <v>92.55</v>
      </c>
      <c r="M969" s="39" t="n">
        <v>62.05</v>
      </c>
      <c r="N969" s="39" t="n">
        <f aca="false">J969*Resumo!$C$7</f>
        <v>0.87998</v>
      </c>
      <c r="O969" s="39" t="n">
        <f aca="false">J969*Resumo!$C$8</f>
        <v>0.87998</v>
      </c>
      <c r="P969" s="39" t="n">
        <f aca="false">Resumo!$C$10*CEILING(I969/100,1)</f>
        <v>1</v>
      </c>
      <c r="Q969" s="39" t="n">
        <f aca="false">Resumo!$C$9</f>
        <v>11.9</v>
      </c>
      <c r="R969" s="39" t="n">
        <f aca="false">SUM(M969:Q969)*Resumo!$C$11</f>
        <v>4.2190478</v>
      </c>
      <c r="S969" s="39" t="n">
        <f aca="false">SUM(M969:R969)</f>
        <v>80.9290078</v>
      </c>
      <c r="T969" s="39" t="n">
        <f aca="false">S969/(1-Resumo!$C$5)</f>
        <v>91.9647815909091</v>
      </c>
      <c r="U969" s="39" t="n">
        <v>93.97</v>
      </c>
      <c r="V969" s="39" t="n">
        <f aca="false">J969*Resumo!$B$6</f>
        <v>0.43999</v>
      </c>
      <c r="W969" s="39" t="n">
        <f aca="false">J969*Resumo!$B$7</f>
        <v>0.87998</v>
      </c>
      <c r="X969" s="39" t="n">
        <f aca="false">Resumo!$B$9</f>
        <v>1</v>
      </c>
      <c r="Y969" s="39" t="n">
        <f aca="false">Resumo!$B$10*CEILING(I969/100,1)</f>
        <v>4.5</v>
      </c>
      <c r="Z969" s="39" t="n">
        <f aca="false">Resumo!$B$12*CEILING(I969,1)</f>
        <v>2.22</v>
      </c>
      <c r="AA969" s="39" t="n">
        <f aca="false">Resumo!$B$13*CEILING(I969,1)</f>
        <v>16.65</v>
      </c>
      <c r="AB969" s="39" t="n">
        <f aca="false">SUM(U969:AA969)</f>
        <v>119.65997</v>
      </c>
      <c r="AC969" s="39" t="n">
        <f aca="false">AB969/(1-Resumo!$B$5)</f>
        <v>135.977238636364</v>
      </c>
      <c r="AD969" s="39" t="n">
        <f aca="false">(AB969-AA969)/(1-Resumo!$B$5)</f>
        <v>117.056784090909</v>
      </c>
      <c r="AE969" s="39" t="n">
        <f aca="false">AC969-T969</f>
        <v>44.0124570454546</v>
      </c>
      <c r="AF969" s="40" t="n">
        <f aca="false">AC969/T969-1</f>
        <v>0.478579476665721</v>
      </c>
      <c r="AG969" s="37" t="str">
        <f aca="false">IF(AC969&lt;T969,"SIM","NÃO")</f>
        <v>NÃO</v>
      </c>
      <c r="AH969" s="37" t="n">
        <v>8</v>
      </c>
      <c r="AI969" s="37" t="n">
        <v>5</v>
      </c>
      <c r="AJ969" s="37" t="s">
        <v>323</v>
      </c>
    </row>
    <row r="970" customFormat="false" ht="15" hidden="false" customHeight="false" outlineLevel="0" collapsed="false">
      <c r="A970" s="37" t="n">
        <v>375967194</v>
      </c>
      <c r="B970" s="38" t="n">
        <v>46247.9041666667</v>
      </c>
      <c r="C970" s="37" t="s">
        <v>320</v>
      </c>
      <c r="D970" s="37" t="s">
        <v>1249</v>
      </c>
      <c r="E970" s="37" t="n">
        <v>25214300</v>
      </c>
      <c r="F970" s="37" t="s">
        <v>141</v>
      </c>
      <c r="G970" s="37" t="s">
        <v>207</v>
      </c>
      <c r="H970" s="37" t="s">
        <v>169</v>
      </c>
      <c r="I970" s="37" t="n">
        <v>39</v>
      </c>
      <c r="J970" s="39" t="n">
        <v>539.99</v>
      </c>
      <c r="K970" s="37" t="s">
        <v>322</v>
      </c>
      <c r="L970" s="39" t="n">
        <v>113.55</v>
      </c>
      <c r="M970" s="39" t="n">
        <v>79.65</v>
      </c>
      <c r="N970" s="39" t="n">
        <f aca="false">J970*Resumo!$C$7</f>
        <v>1.07998</v>
      </c>
      <c r="O970" s="39" t="n">
        <f aca="false">J970*Resumo!$C$8</f>
        <v>1.07998</v>
      </c>
      <c r="P970" s="39" t="n">
        <f aca="false">Resumo!$C$10*CEILING(I970/100,1)</f>
        <v>1</v>
      </c>
      <c r="Q970" s="39" t="n">
        <f aca="false">Resumo!$C$9</f>
        <v>11.9</v>
      </c>
      <c r="R970" s="39" t="n">
        <f aca="false">SUM(M970:Q970)*Resumo!$C$11</f>
        <v>5.2090478</v>
      </c>
      <c r="S970" s="39" t="n">
        <f aca="false">SUM(M970:R970)</f>
        <v>99.9190078</v>
      </c>
      <c r="T970" s="39" t="n">
        <f aca="false">S970/(1-Resumo!$C$5)</f>
        <v>113.544327045455</v>
      </c>
      <c r="U970" s="39" t="n">
        <v>93.97</v>
      </c>
      <c r="V970" s="39" t="n">
        <f aca="false">J970*Resumo!$B$6</f>
        <v>0.53999</v>
      </c>
      <c r="W970" s="39" t="n">
        <f aca="false">J970*Resumo!$B$7</f>
        <v>1.07998</v>
      </c>
      <c r="X970" s="39" t="n">
        <f aca="false">Resumo!$B$9</f>
        <v>1</v>
      </c>
      <c r="Y970" s="39" t="n">
        <f aca="false">Resumo!$B$10*CEILING(I970/100,1)</f>
        <v>4.5</v>
      </c>
      <c r="Z970" s="39" t="n">
        <f aca="false">Resumo!$B$12*CEILING(I970,1)</f>
        <v>2.34</v>
      </c>
      <c r="AA970" s="39" t="n">
        <f aca="false">Resumo!$B$13*CEILING(I970,1)</f>
        <v>17.55</v>
      </c>
      <c r="AB970" s="39" t="n">
        <f aca="false">SUM(U970:AA970)</f>
        <v>120.97997</v>
      </c>
      <c r="AC970" s="39" t="n">
        <f aca="false">AB970/(1-Resumo!$B$5)</f>
        <v>137.477238636364</v>
      </c>
      <c r="AD970" s="39" t="n">
        <f aca="false">(AB970-AA970)/(1-Resumo!$B$5)</f>
        <v>117.534056818182</v>
      </c>
      <c r="AE970" s="39" t="n">
        <f aca="false">AC970-T970</f>
        <v>23.9329115909091</v>
      </c>
      <c r="AF970" s="40" t="n">
        <f aca="false">AC970/T970-1</f>
        <v>0.210780337632616</v>
      </c>
      <c r="AG970" s="37" t="str">
        <f aca="false">IF(AC970&lt;T970,"SIM","NÃO")</f>
        <v>NÃO</v>
      </c>
      <c r="AH970" s="37" t="n">
        <v>10</v>
      </c>
      <c r="AI970" s="37" t="n">
        <v>5</v>
      </c>
      <c r="AJ970" s="37" t="s">
        <v>323</v>
      </c>
    </row>
    <row r="971" customFormat="false" ht="15" hidden="false" customHeight="false" outlineLevel="0" collapsed="false">
      <c r="A971" s="37" t="n">
        <v>375994642</v>
      </c>
      <c r="B971" s="38" t="n">
        <v>46247.9552430556</v>
      </c>
      <c r="C971" s="37" t="s">
        <v>320</v>
      </c>
      <c r="D971" s="37" t="s">
        <v>1250</v>
      </c>
      <c r="E971" s="37" t="n">
        <v>28060480</v>
      </c>
      <c r="F971" s="37" t="s">
        <v>144</v>
      </c>
      <c r="G971" s="37" t="s">
        <v>201</v>
      </c>
      <c r="H971" s="37" t="s">
        <v>169</v>
      </c>
      <c r="I971" s="37" t="n">
        <v>37.6</v>
      </c>
      <c r="J971" s="39" t="n">
        <v>391.05</v>
      </c>
      <c r="K971" s="37" t="s">
        <v>498</v>
      </c>
      <c r="L971" s="39" t="n">
        <v>123.08</v>
      </c>
      <c r="M971" s="39" t="n">
        <v>87.4</v>
      </c>
      <c r="N971" s="39" t="n">
        <f aca="false">J971*Resumo!$C$7</f>
        <v>0.7821</v>
      </c>
      <c r="O971" s="39" t="n">
        <f aca="false">J971*Resumo!$C$8</f>
        <v>0.7821</v>
      </c>
      <c r="P971" s="39" t="n">
        <f aca="false">Resumo!$C$10*CEILING(I971/100,1)</f>
        <v>1</v>
      </c>
      <c r="Q971" s="39" t="n">
        <f aca="false">Resumo!$C$9</f>
        <v>11.9</v>
      </c>
      <c r="R971" s="39" t="n">
        <f aca="false">SUM(M971:Q971)*Resumo!$C$11</f>
        <v>5.602531</v>
      </c>
      <c r="S971" s="39" t="n">
        <f aca="false">SUM(M971:R971)</f>
        <v>107.466731</v>
      </c>
      <c r="T971" s="39" t="n">
        <f aca="false">S971/(1-Resumo!$C$5)</f>
        <v>122.121285227273</v>
      </c>
      <c r="U971" s="39" t="n">
        <v>143.04</v>
      </c>
      <c r="V971" s="39" t="n">
        <f aca="false">J971*Resumo!$B$6</f>
        <v>0.39105</v>
      </c>
      <c r="W971" s="39" t="n">
        <f aca="false">J971*Resumo!$B$7</f>
        <v>0.7821</v>
      </c>
      <c r="X971" s="39" t="n">
        <f aca="false">Resumo!$B$9</f>
        <v>1</v>
      </c>
      <c r="Y971" s="39" t="n">
        <f aca="false">Resumo!$B$10*CEILING(I971/100,1)</f>
        <v>4.5</v>
      </c>
      <c r="Z971" s="39" t="n">
        <f aca="false">Resumo!$B$12*CEILING(I971,1)</f>
        <v>2.28</v>
      </c>
      <c r="AA971" s="39" t="n">
        <f aca="false">Resumo!$B$13*CEILING(I971,1)</f>
        <v>17.1</v>
      </c>
      <c r="AB971" s="39" t="n">
        <f aca="false">SUM(U971:AA971)</f>
        <v>169.09315</v>
      </c>
      <c r="AC971" s="39" t="n">
        <f aca="false">AB971/(1-Resumo!$B$5)</f>
        <v>192.151306818182</v>
      </c>
      <c r="AD971" s="39" t="n">
        <f aca="false">(AB971-AA971)/(1-Resumo!$B$5)</f>
        <v>172.719488636364</v>
      </c>
      <c r="AE971" s="39" t="n">
        <f aca="false">AC971-T971</f>
        <v>70.0300215909091</v>
      </c>
      <c r="AF971" s="40" t="n">
        <f aca="false">AC971/T971-1</f>
        <v>0.573446483637806</v>
      </c>
      <c r="AG971" s="37" t="str">
        <f aca="false">IF(AC971&lt;T971,"SIM","NÃO")</f>
        <v>NÃO</v>
      </c>
      <c r="AH971" s="37" t="n">
        <v>13</v>
      </c>
      <c r="AI971" s="37" t="n">
        <v>11</v>
      </c>
      <c r="AJ971" s="37" t="s">
        <v>323</v>
      </c>
    </row>
    <row r="972" customFormat="false" ht="15" hidden="false" customHeight="false" outlineLevel="0" collapsed="false">
      <c r="A972" s="37" t="n">
        <v>376000267</v>
      </c>
      <c r="B972" s="38" t="n">
        <v>46247.9709259259</v>
      </c>
      <c r="C972" s="37" t="s">
        <v>320</v>
      </c>
      <c r="D972" s="37" t="s">
        <v>1251</v>
      </c>
      <c r="E972" s="37" t="n">
        <v>24737540</v>
      </c>
      <c r="F972" s="37" t="s">
        <v>140</v>
      </c>
      <c r="G972" s="37" t="s">
        <v>207</v>
      </c>
      <c r="H972" s="37" t="s">
        <v>168</v>
      </c>
      <c r="I972" s="37" t="n">
        <v>30.5</v>
      </c>
      <c r="J972" s="39" t="n">
        <v>439.99</v>
      </c>
      <c r="K972" s="37" t="s">
        <v>498</v>
      </c>
      <c r="L972" s="39" t="n">
        <v>101.35</v>
      </c>
      <c r="M972" s="39" t="n">
        <v>70</v>
      </c>
      <c r="N972" s="39" t="n">
        <f aca="false">J972*Resumo!$C$7</f>
        <v>0.87998</v>
      </c>
      <c r="O972" s="39" t="n">
        <f aca="false">J972*Resumo!$C$8</f>
        <v>0.87998</v>
      </c>
      <c r="P972" s="39" t="n">
        <f aca="false">Resumo!$C$10*CEILING(I972/100,1)</f>
        <v>1</v>
      </c>
      <c r="Q972" s="39" t="n">
        <f aca="false">Resumo!$C$9</f>
        <v>11.9</v>
      </c>
      <c r="R972" s="39" t="n">
        <f aca="false">SUM(M972:Q972)*Resumo!$C$11</f>
        <v>4.6562978</v>
      </c>
      <c r="S972" s="39" t="n">
        <f aca="false">SUM(M972:R972)</f>
        <v>89.3162578</v>
      </c>
      <c r="T972" s="39" t="n">
        <f aca="false">S972/(1-Resumo!$C$5)</f>
        <v>101.4957475</v>
      </c>
      <c r="U972" s="39" t="n">
        <v>100.58</v>
      </c>
      <c r="V972" s="39" t="n">
        <f aca="false">J972*Resumo!$B$6</f>
        <v>0.43999</v>
      </c>
      <c r="W972" s="39" t="n">
        <f aca="false">J972*Resumo!$B$7</f>
        <v>0.87998</v>
      </c>
      <c r="X972" s="39" t="n">
        <f aca="false">Resumo!$B$9</f>
        <v>1</v>
      </c>
      <c r="Y972" s="39" t="n">
        <f aca="false">Resumo!$B$10*CEILING(I972/100,1)</f>
        <v>4.5</v>
      </c>
      <c r="Z972" s="39" t="n">
        <f aca="false">Resumo!$B$12*CEILING(I972,1)</f>
        <v>1.86</v>
      </c>
      <c r="AA972" s="39" t="n">
        <f aca="false">Resumo!$B$13*CEILING(I972,1)</f>
        <v>13.95</v>
      </c>
      <c r="AB972" s="39" t="n">
        <f aca="false">SUM(U972:AA972)</f>
        <v>123.20997</v>
      </c>
      <c r="AC972" s="39" t="n">
        <f aca="false">AB972/(1-Resumo!$B$5)</f>
        <v>140.011329545455</v>
      </c>
      <c r="AD972" s="39" t="n">
        <f aca="false">(AB972-AA972)/(1-Resumo!$B$5)</f>
        <v>124.159056818182</v>
      </c>
      <c r="AE972" s="39" t="n">
        <f aca="false">AC972-T972</f>
        <v>38.5155820454545</v>
      </c>
      <c r="AF972" s="40" t="n">
        <f aca="false">AC972/T972-1</f>
        <v>0.379479761410246</v>
      </c>
      <c r="AG972" s="37" t="str">
        <f aca="false">IF(AC972&lt;T972,"SIM","NÃO")</f>
        <v>NÃO</v>
      </c>
      <c r="AH972" s="37" t="n">
        <v>10</v>
      </c>
      <c r="AI972" s="37" t="n">
        <v>7</v>
      </c>
      <c r="AJ972" s="37" t="s">
        <v>323</v>
      </c>
    </row>
    <row r="973" customFormat="false" ht="15" hidden="false" customHeight="false" outlineLevel="0" collapsed="false">
      <c r="A973" s="37" t="n">
        <v>376003876</v>
      </c>
      <c r="B973" s="38" t="n">
        <v>46247.9777546296</v>
      </c>
      <c r="C973" s="37" t="s">
        <v>325</v>
      </c>
      <c r="D973" s="37" t="s">
        <v>1252</v>
      </c>
      <c r="E973" s="37" t="n">
        <v>23898030</v>
      </c>
      <c r="F973" s="37" t="s">
        <v>205</v>
      </c>
      <c r="G973" s="37" t="s">
        <v>201</v>
      </c>
      <c r="H973" s="37" t="s">
        <v>174</v>
      </c>
      <c r="I973" s="37" t="n">
        <v>81.7</v>
      </c>
      <c r="J973" s="39" t="n">
        <v>646.16</v>
      </c>
      <c r="K973" s="37" t="s">
        <v>498</v>
      </c>
      <c r="L973" s="39" t="n">
        <v>186.19</v>
      </c>
      <c r="M973" s="39" t="n">
        <v>144.41</v>
      </c>
      <c r="N973" s="39" t="n">
        <f aca="false">J973*Resumo!$C$7</f>
        <v>1.29232</v>
      </c>
      <c r="O973" s="39" t="n">
        <f aca="false">J973*Resumo!$C$8</f>
        <v>1.29232</v>
      </c>
      <c r="P973" s="39" t="n">
        <f aca="false">Resumo!$C$10*CEILING(I973/100,1)</f>
        <v>1</v>
      </c>
      <c r="Q973" s="39" t="n">
        <f aca="false">Resumo!$C$9</f>
        <v>11.9</v>
      </c>
      <c r="R973" s="39" t="n">
        <f aca="false">SUM(M973:Q973)*Resumo!$C$11</f>
        <v>8.7942052</v>
      </c>
      <c r="S973" s="39" t="n">
        <f aca="false">SUM(M973:R973)</f>
        <v>168.6888452</v>
      </c>
      <c r="T973" s="39" t="n">
        <f aca="false">S973/(1-Resumo!$C$5)</f>
        <v>191.691869545455</v>
      </c>
      <c r="U973" s="39" t="n">
        <v>177.99</v>
      </c>
      <c r="V973" s="39" t="n">
        <f aca="false">J973*Resumo!$B$6</f>
        <v>0.64616</v>
      </c>
      <c r="W973" s="39" t="n">
        <f aca="false">J973*Resumo!$B$7</f>
        <v>1.29232</v>
      </c>
      <c r="X973" s="39" t="n">
        <f aca="false">Resumo!$B$9</f>
        <v>1</v>
      </c>
      <c r="Y973" s="39" t="n">
        <f aca="false">Resumo!$B$10*CEILING(I973/100,1)</f>
        <v>4.5</v>
      </c>
      <c r="Z973" s="39" t="n">
        <f aca="false">Resumo!$B$12*CEILING(I973,1)</f>
        <v>4.92</v>
      </c>
      <c r="AA973" s="39" t="n">
        <f aca="false">Resumo!$B$13*CEILING(I973,1)</f>
        <v>36.9</v>
      </c>
      <c r="AB973" s="39" t="n">
        <f aca="false">SUM(U973:AA973)</f>
        <v>227.24848</v>
      </c>
      <c r="AC973" s="39" t="n">
        <f aca="false">AB973/(1-Resumo!$B$5)</f>
        <v>258.236909090909</v>
      </c>
      <c r="AD973" s="39" t="n">
        <f aca="false">(AB973-AA973)/(1-Resumo!$B$5)</f>
        <v>216.305090909091</v>
      </c>
      <c r="AE973" s="39" t="n">
        <f aca="false">AC973-T973</f>
        <v>66.5450395454545</v>
      </c>
      <c r="AF973" s="40" t="n">
        <f aca="false">AC973/T973-1</f>
        <v>0.34714586332351</v>
      </c>
      <c r="AG973" s="37" t="str">
        <f aca="false">IF(AC973&lt;T973,"SIM","NÃO")</f>
        <v>NÃO</v>
      </c>
      <c r="AH973" s="37" t="n">
        <v>13</v>
      </c>
      <c r="AI973" s="37" t="n">
        <v>5</v>
      </c>
      <c r="AJ973" s="37" t="s">
        <v>327</v>
      </c>
    </row>
    <row r="974" customFormat="false" ht="15" hidden="false" customHeight="false" outlineLevel="0" collapsed="false">
      <c r="A974" s="37" t="n">
        <v>376009577</v>
      </c>
      <c r="B974" s="38" t="n">
        <v>46247.9888310185</v>
      </c>
      <c r="C974" s="37" t="s">
        <v>320</v>
      </c>
      <c r="D974" s="37" t="s">
        <v>1253</v>
      </c>
      <c r="E974" s="37" t="n">
        <v>20961050</v>
      </c>
      <c r="F974" s="37" t="s">
        <v>139</v>
      </c>
      <c r="G974" s="37" t="s">
        <v>198</v>
      </c>
      <c r="H974" s="37" t="s">
        <v>167</v>
      </c>
      <c r="I974" s="37" t="n">
        <v>19.9</v>
      </c>
      <c r="J974" s="39" t="n">
        <v>279.99</v>
      </c>
      <c r="K974" s="37" t="s">
        <v>322</v>
      </c>
      <c r="L974" s="39" t="n">
        <v>64.56</v>
      </c>
      <c r="M974" s="39" t="n">
        <v>39.83</v>
      </c>
      <c r="N974" s="39" t="n">
        <f aca="false">J974*Resumo!$C$7</f>
        <v>0.55998</v>
      </c>
      <c r="O974" s="39" t="n">
        <f aca="false">J974*Resumo!$C$8</f>
        <v>0.55998</v>
      </c>
      <c r="P974" s="39" t="n">
        <f aca="false">Resumo!$C$10*CEILING(I974/100,1)</f>
        <v>1</v>
      </c>
      <c r="Q974" s="39" t="n">
        <f aca="false">Resumo!$C$9</f>
        <v>11.9</v>
      </c>
      <c r="R974" s="39" t="n">
        <f aca="false">SUM(M974:Q974)*Resumo!$C$11</f>
        <v>2.9617478</v>
      </c>
      <c r="S974" s="39" t="n">
        <f aca="false">SUM(M974:R974)</f>
        <v>56.8117078</v>
      </c>
      <c r="T974" s="39" t="n">
        <f aca="false">S974/(1-Resumo!$C$5)</f>
        <v>64.5587588636364</v>
      </c>
      <c r="U974" s="39" t="n">
        <v>46.98</v>
      </c>
      <c r="V974" s="39" t="n">
        <f aca="false">J974*Resumo!$B$6</f>
        <v>0.27999</v>
      </c>
      <c r="W974" s="39" t="n">
        <f aca="false">J974*Resumo!$B$7</f>
        <v>0.55998</v>
      </c>
      <c r="X974" s="39" t="n">
        <f aca="false">Resumo!$B$9</f>
        <v>1</v>
      </c>
      <c r="Y974" s="39" t="n">
        <f aca="false">Resumo!$B$10*CEILING(I974/100,1)</f>
        <v>4.5</v>
      </c>
      <c r="Z974" s="39" t="n">
        <f aca="false">Resumo!$B$12*CEILING(I974,1)</f>
        <v>1.2</v>
      </c>
      <c r="AA974" s="39" t="n">
        <f aca="false">Resumo!$B$13*CEILING(I974,1)</f>
        <v>9</v>
      </c>
      <c r="AB974" s="39" t="n">
        <f aca="false">SUM(U974:AA974)</f>
        <v>63.51997</v>
      </c>
      <c r="AC974" s="39" t="n">
        <f aca="false">AB974/(1-Resumo!$B$5)</f>
        <v>72.1817840909091</v>
      </c>
      <c r="AD974" s="39" t="n">
        <f aca="false">(AB974-AA974)/(1-Resumo!$B$5)</f>
        <v>61.9545113636364</v>
      </c>
      <c r="AE974" s="39" t="n">
        <f aca="false">AC974-T974</f>
        <v>7.62302522727272</v>
      </c>
      <c r="AF974" s="40" t="n">
        <f aca="false">AC974/T974-1</f>
        <v>0.118078868947502</v>
      </c>
      <c r="AG974" s="37" t="str">
        <f aca="false">IF(AC974&lt;T974,"SIM","NÃO")</f>
        <v>NÃO</v>
      </c>
      <c r="AH974" s="37" t="n">
        <v>8</v>
      </c>
      <c r="AI974" s="37" t="n">
        <v>5</v>
      </c>
      <c r="AJ974" s="37" t="s">
        <v>323</v>
      </c>
    </row>
    <row r="975" customFormat="false" ht="15" hidden="false" customHeight="false" outlineLevel="0" collapsed="false">
      <c r="A975" s="37" t="n">
        <v>376218354</v>
      </c>
      <c r="B975" s="38" t="n">
        <v>46248.3380324074</v>
      </c>
      <c r="C975" s="37" t="s">
        <v>320</v>
      </c>
      <c r="D975" s="37" t="s">
        <v>1254</v>
      </c>
      <c r="E975" s="37" t="n">
        <v>23510570</v>
      </c>
      <c r="F975" s="37" t="s">
        <v>139</v>
      </c>
      <c r="G975" s="37" t="s">
        <v>198</v>
      </c>
      <c r="H975" s="37" t="s">
        <v>168</v>
      </c>
      <c r="I975" s="37" t="n">
        <v>30.5</v>
      </c>
      <c r="J975" s="39" t="n">
        <v>413.55</v>
      </c>
      <c r="K975" s="37" t="s">
        <v>498</v>
      </c>
      <c r="L975" s="39" t="n">
        <v>82.27</v>
      </c>
      <c r="M975" s="39" t="n">
        <v>54.1</v>
      </c>
      <c r="N975" s="39" t="n">
        <f aca="false">J975*Resumo!$C$7</f>
        <v>0.8271</v>
      </c>
      <c r="O975" s="39" t="n">
        <f aca="false">J975*Resumo!$C$8</f>
        <v>0.8271</v>
      </c>
      <c r="P975" s="39" t="n">
        <f aca="false">Resumo!$C$10*CEILING(I975/100,1)</f>
        <v>1</v>
      </c>
      <c r="Q975" s="39" t="n">
        <f aca="false">Resumo!$C$9</f>
        <v>11.9</v>
      </c>
      <c r="R975" s="39" t="n">
        <f aca="false">SUM(M975:Q975)*Resumo!$C$11</f>
        <v>3.775981</v>
      </c>
      <c r="S975" s="39" t="n">
        <f aca="false">SUM(M975:R975)</f>
        <v>72.430181</v>
      </c>
      <c r="T975" s="39" t="n">
        <f aca="false">S975/(1-Resumo!$C$5)</f>
        <v>82.3070238636364</v>
      </c>
      <c r="U975" s="39" t="n">
        <v>82.21</v>
      </c>
      <c r="V975" s="39" t="n">
        <f aca="false">J975*Resumo!$B$6</f>
        <v>0.41355</v>
      </c>
      <c r="W975" s="39" t="n">
        <f aca="false">J975*Resumo!$B$7</f>
        <v>0.8271</v>
      </c>
      <c r="X975" s="39" t="n">
        <f aca="false">Resumo!$B$9</f>
        <v>1</v>
      </c>
      <c r="Y975" s="39" t="n">
        <f aca="false">Resumo!$B$10*CEILING(I975/100,1)</f>
        <v>4.5</v>
      </c>
      <c r="Z975" s="39" t="n">
        <f aca="false">Resumo!$B$12*CEILING(I975,1)</f>
        <v>1.86</v>
      </c>
      <c r="AA975" s="39" t="n">
        <f aca="false">Resumo!$B$13*CEILING(I975,1)</f>
        <v>13.95</v>
      </c>
      <c r="AB975" s="39" t="n">
        <f aca="false">SUM(U975:AA975)</f>
        <v>104.76065</v>
      </c>
      <c r="AC975" s="39" t="n">
        <f aca="false">AB975/(1-Resumo!$B$5)</f>
        <v>119.046193181818</v>
      </c>
      <c r="AD975" s="39" t="n">
        <f aca="false">(AB975-AA975)/(1-Resumo!$B$5)</f>
        <v>103.193920454545</v>
      </c>
      <c r="AE975" s="39" t="n">
        <f aca="false">AC975-T975</f>
        <v>36.7391693181818</v>
      </c>
      <c r="AF975" s="40" t="n">
        <f aca="false">AC975/T975-1</f>
        <v>0.446367364455433</v>
      </c>
      <c r="AG975" s="37" t="str">
        <f aca="false">IF(AC975&lt;T975,"SIM","NÃO")</f>
        <v>NÃO</v>
      </c>
      <c r="AH975" s="37" t="n">
        <v>8</v>
      </c>
      <c r="AI975" s="37" t="n">
        <v>5</v>
      </c>
      <c r="AJ975" s="37" t="s">
        <v>323</v>
      </c>
    </row>
    <row r="976" customFormat="false" ht="15" hidden="false" customHeight="false" outlineLevel="0" collapsed="false">
      <c r="A976" s="37" t="n">
        <v>376220084</v>
      </c>
      <c r="B976" s="38" t="n">
        <v>46248.3404050926</v>
      </c>
      <c r="C976" s="37" t="s">
        <v>320</v>
      </c>
      <c r="D976" s="37" t="s">
        <v>1255</v>
      </c>
      <c r="E976" s="37" t="n">
        <v>25253554</v>
      </c>
      <c r="F976" s="37" t="s">
        <v>141</v>
      </c>
      <c r="G976" s="37" t="s">
        <v>207</v>
      </c>
      <c r="H976" s="37" t="s">
        <v>167</v>
      </c>
      <c r="I976" s="37" t="n">
        <v>19.5</v>
      </c>
      <c r="J976" s="39" t="n">
        <v>399.99</v>
      </c>
      <c r="K976" s="37" t="s">
        <v>322</v>
      </c>
      <c r="L976" s="39" t="n">
        <v>75.76</v>
      </c>
      <c r="M976" s="39" t="n">
        <v>48.69</v>
      </c>
      <c r="N976" s="39" t="n">
        <f aca="false">J976*Resumo!$C$7</f>
        <v>0.79998</v>
      </c>
      <c r="O976" s="39" t="n">
        <f aca="false">J976*Resumo!$C$8</f>
        <v>0.79998</v>
      </c>
      <c r="P976" s="39" t="n">
        <f aca="false">Resumo!$C$10*CEILING(I976/100,1)</f>
        <v>1</v>
      </c>
      <c r="Q976" s="39" t="n">
        <f aca="false">Resumo!$C$9</f>
        <v>11.9</v>
      </c>
      <c r="R976" s="39" t="n">
        <f aca="false">SUM(M976:Q976)*Resumo!$C$11</f>
        <v>3.4754478</v>
      </c>
      <c r="S976" s="39" t="n">
        <f aca="false">SUM(M976:R976)</f>
        <v>66.6654078</v>
      </c>
      <c r="T976" s="39" t="n">
        <f aca="false">S976/(1-Resumo!$C$5)</f>
        <v>75.7561452272727</v>
      </c>
      <c r="U976" s="39" t="n">
        <v>46.98</v>
      </c>
      <c r="V976" s="39" t="n">
        <f aca="false">J976*Resumo!$B$6</f>
        <v>0.39999</v>
      </c>
      <c r="W976" s="39" t="n">
        <f aca="false">J976*Resumo!$B$7</f>
        <v>0.79998</v>
      </c>
      <c r="X976" s="39" t="n">
        <f aca="false">Resumo!$B$9</f>
        <v>1</v>
      </c>
      <c r="Y976" s="39" t="n">
        <f aca="false">Resumo!$B$10*CEILING(I976/100,1)</f>
        <v>4.5</v>
      </c>
      <c r="Z976" s="39" t="n">
        <f aca="false">Resumo!$B$12*CEILING(I976,1)</f>
        <v>1.2</v>
      </c>
      <c r="AA976" s="39" t="n">
        <f aca="false">Resumo!$B$13*CEILING(I976,1)</f>
        <v>9</v>
      </c>
      <c r="AB976" s="39" t="n">
        <f aca="false">SUM(U976:AA976)</f>
        <v>63.87997</v>
      </c>
      <c r="AC976" s="39" t="n">
        <f aca="false">AB976/(1-Resumo!$B$5)</f>
        <v>72.590875</v>
      </c>
      <c r="AD976" s="39" t="n">
        <f aca="false">(AB976-AA976)/(1-Resumo!$B$5)</f>
        <v>62.3636022727273</v>
      </c>
      <c r="AE976" s="39" t="n">
        <f aca="false">AC976-T976</f>
        <v>-3.16527022727273</v>
      </c>
      <c r="AF976" s="40" t="n">
        <f aca="false">AC976/T976-1</f>
        <v>-0.0417823559762279</v>
      </c>
      <c r="AG976" s="37" t="str">
        <f aca="false">IF(AC976&lt;T976,"SIM","NÃO")</f>
        <v>SIM</v>
      </c>
      <c r="AH976" s="37" t="n">
        <v>10</v>
      </c>
      <c r="AI976" s="37" t="n">
        <v>5</v>
      </c>
      <c r="AJ976" s="37" t="s">
        <v>323</v>
      </c>
    </row>
    <row r="977" customFormat="false" ht="15" hidden="false" customHeight="false" outlineLevel="0" collapsed="false">
      <c r="A977" s="37" t="n">
        <v>376224969</v>
      </c>
      <c r="B977" s="38" t="n">
        <v>46248.3481018519</v>
      </c>
      <c r="C977" s="37" t="s">
        <v>320</v>
      </c>
      <c r="D977" s="37" t="s">
        <v>1256</v>
      </c>
      <c r="E977" s="37" t="n">
        <v>25645250</v>
      </c>
      <c r="F977" s="37" t="s">
        <v>150</v>
      </c>
      <c r="G977" s="37" t="s">
        <v>201</v>
      </c>
      <c r="H977" s="37" t="s">
        <v>169</v>
      </c>
      <c r="I977" s="37" t="n">
        <v>36.9</v>
      </c>
      <c r="J977" s="39" t="n">
        <v>391.88</v>
      </c>
      <c r="K977" s="37" t="s">
        <v>498</v>
      </c>
      <c r="L977" s="39" t="n">
        <v>122.57</v>
      </c>
      <c r="M977" s="39" t="n">
        <v>87.4</v>
      </c>
      <c r="N977" s="39" t="n">
        <f aca="false">J977*Resumo!$C$7</f>
        <v>0.78376</v>
      </c>
      <c r="O977" s="39" t="n">
        <f aca="false">J977*Resumo!$C$8</f>
        <v>0.78376</v>
      </c>
      <c r="P977" s="39" t="n">
        <f aca="false">Resumo!$C$10*CEILING(I977/100,1)</f>
        <v>1</v>
      </c>
      <c r="Q977" s="39" t="n">
        <f aca="false">Resumo!$C$9</f>
        <v>11.9</v>
      </c>
      <c r="R977" s="39" t="n">
        <f aca="false">SUM(M977:Q977)*Resumo!$C$11</f>
        <v>5.6027136</v>
      </c>
      <c r="S977" s="39" t="n">
        <f aca="false">SUM(M977:R977)</f>
        <v>107.4702336</v>
      </c>
      <c r="T977" s="39" t="n">
        <f aca="false">S977/(1-Resumo!$C$5)</f>
        <v>122.125265454545</v>
      </c>
      <c r="U977" s="39" t="n">
        <v>124.38</v>
      </c>
      <c r="V977" s="39" t="n">
        <f aca="false">J977*Resumo!$B$6</f>
        <v>0.39188</v>
      </c>
      <c r="W977" s="39" t="n">
        <f aca="false">J977*Resumo!$B$7</f>
        <v>0.78376</v>
      </c>
      <c r="X977" s="39" t="n">
        <f aca="false">Resumo!$B$9</f>
        <v>1</v>
      </c>
      <c r="Y977" s="39" t="n">
        <f aca="false">Resumo!$B$10*CEILING(I977/100,1)</f>
        <v>4.5</v>
      </c>
      <c r="Z977" s="39" t="n">
        <f aca="false">Resumo!$B$12*CEILING(I977,1)</f>
        <v>2.22</v>
      </c>
      <c r="AA977" s="39" t="n">
        <f aca="false">Resumo!$B$13*CEILING(I977,1)</f>
        <v>16.65</v>
      </c>
      <c r="AB977" s="39" t="n">
        <f aca="false">SUM(U977:AA977)</f>
        <v>149.92564</v>
      </c>
      <c r="AC977" s="39" t="n">
        <f aca="false">AB977/(1-Resumo!$B$5)</f>
        <v>170.370045454545</v>
      </c>
      <c r="AD977" s="39" t="n">
        <f aca="false">(AB977-AA977)/(1-Resumo!$B$5)</f>
        <v>151.449590909091</v>
      </c>
      <c r="AE977" s="39" t="n">
        <f aca="false">AC977-T977</f>
        <v>48.24478</v>
      </c>
      <c r="AF977" s="40" t="n">
        <f aca="false">AC977/T977-1</f>
        <v>0.395043399254321</v>
      </c>
      <c r="AG977" s="37" t="str">
        <f aca="false">IF(AC977&lt;T977,"SIM","NÃO")</f>
        <v>NÃO</v>
      </c>
      <c r="AH977" s="37" t="n">
        <v>13</v>
      </c>
      <c r="AI977" s="37" t="n">
        <v>8</v>
      </c>
      <c r="AJ977" s="37" t="s">
        <v>323</v>
      </c>
    </row>
    <row r="978" customFormat="false" ht="15" hidden="false" customHeight="false" outlineLevel="0" collapsed="false">
      <c r="A978" s="37" t="n">
        <v>376225688</v>
      </c>
      <c r="B978" s="38" t="n">
        <v>46248.3489583333</v>
      </c>
      <c r="C978" s="37" t="s">
        <v>320</v>
      </c>
      <c r="D978" s="37" t="s">
        <v>444</v>
      </c>
      <c r="E978" s="37" t="n">
        <v>21041030</v>
      </c>
      <c r="F978" s="37" t="s">
        <v>139</v>
      </c>
      <c r="G978" s="37" t="s">
        <v>198</v>
      </c>
      <c r="H978" s="37" t="s">
        <v>168</v>
      </c>
      <c r="I978" s="37" t="n">
        <v>22.4</v>
      </c>
      <c r="J978" s="39" t="n">
        <v>489.99</v>
      </c>
      <c r="K978" s="37" t="s">
        <v>322</v>
      </c>
      <c r="L978" s="39" t="n">
        <v>82.67</v>
      </c>
      <c r="M978" s="39" t="n">
        <v>54.1</v>
      </c>
      <c r="N978" s="39" t="n">
        <f aca="false">J978*Resumo!$C$7</f>
        <v>0.97998</v>
      </c>
      <c r="O978" s="39" t="n">
        <f aca="false">J978*Resumo!$C$8</f>
        <v>0.97998</v>
      </c>
      <c r="P978" s="39" t="n">
        <f aca="false">Resumo!$C$10*CEILING(I978/100,1)</f>
        <v>1</v>
      </c>
      <c r="Q978" s="39" t="n">
        <f aca="false">Resumo!$C$9</f>
        <v>11.9</v>
      </c>
      <c r="R978" s="39" t="n">
        <f aca="false">SUM(M978:Q978)*Resumo!$C$11</f>
        <v>3.7927978</v>
      </c>
      <c r="S978" s="39" t="n">
        <f aca="false">SUM(M978:R978)</f>
        <v>72.7527578</v>
      </c>
      <c r="T978" s="39" t="n">
        <f aca="false">S978/(1-Resumo!$C$5)</f>
        <v>82.6735884090909</v>
      </c>
      <c r="U978" s="39" t="n">
        <v>82.21</v>
      </c>
      <c r="V978" s="39" t="n">
        <f aca="false">J978*Resumo!$B$6</f>
        <v>0.48999</v>
      </c>
      <c r="W978" s="39" t="n">
        <f aca="false">J978*Resumo!$B$7</f>
        <v>0.97998</v>
      </c>
      <c r="X978" s="39" t="n">
        <f aca="false">Resumo!$B$9</f>
        <v>1</v>
      </c>
      <c r="Y978" s="39" t="n">
        <f aca="false">Resumo!$B$10*CEILING(I978/100,1)</f>
        <v>4.5</v>
      </c>
      <c r="Z978" s="39" t="n">
        <f aca="false">Resumo!$B$12*CEILING(I978,1)</f>
        <v>1.38</v>
      </c>
      <c r="AA978" s="39" t="n">
        <f aca="false">Resumo!$B$13*CEILING(I978,1)</f>
        <v>10.35</v>
      </c>
      <c r="AB978" s="39" t="n">
        <f aca="false">SUM(U978:AA978)</f>
        <v>100.90997</v>
      </c>
      <c r="AC978" s="39" t="n">
        <f aca="false">AB978/(1-Resumo!$B$5)</f>
        <v>114.670420454545</v>
      </c>
      <c r="AD978" s="39" t="n">
        <f aca="false">(AB978-AA978)/(1-Resumo!$B$5)</f>
        <v>102.909056818182</v>
      </c>
      <c r="AE978" s="39" t="n">
        <f aca="false">AC978-T978</f>
        <v>31.9968320454545</v>
      </c>
      <c r="AF978" s="40" t="n">
        <f aca="false">AC978/T978-1</f>
        <v>0.387026046179654</v>
      </c>
      <c r="AG978" s="37" t="str">
        <f aca="false">IF(AC978&lt;T978,"SIM","NÃO")</f>
        <v>NÃO</v>
      </c>
      <c r="AH978" s="37" t="n">
        <v>8</v>
      </c>
      <c r="AI978" s="37" t="n">
        <v>5</v>
      </c>
      <c r="AJ978" s="37" t="s">
        <v>323</v>
      </c>
    </row>
    <row r="979" customFormat="false" ht="15" hidden="false" customHeight="false" outlineLevel="0" collapsed="false">
      <c r="A979" s="37" t="n">
        <v>376238500</v>
      </c>
      <c r="B979" s="38" t="n">
        <v>46248.3683912037</v>
      </c>
      <c r="C979" s="37" t="s">
        <v>320</v>
      </c>
      <c r="D979" s="37" t="s">
        <v>1257</v>
      </c>
      <c r="E979" s="37" t="n">
        <v>28909460</v>
      </c>
      <c r="F979" s="37" t="s">
        <v>152</v>
      </c>
      <c r="G979" s="37" t="s">
        <v>201</v>
      </c>
      <c r="H979" s="37" t="s">
        <v>170</v>
      </c>
      <c r="I979" s="37" t="n">
        <v>41.4</v>
      </c>
      <c r="J979" s="39" t="n">
        <v>449.99</v>
      </c>
      <c r="K979" s="37" t="s">
        <v>498</v>
      </c>
      <c r="L979" s="39" t="n">
        <v>128.5</v>
      </c>
      <c r="M979" s="39" t="n">
        <v>94</v>
      </c>
      <c r="N979" s="39" t="n">
        <f aca="false">J979*Resumo!$C$7</f>
        <v>0.89998</v>
      </c>
      <c r="O979" s="39" t="n">
        <f aca="false">J979*Resumo!$C$8</f>
        <v>0.89998</v>
      </c>
      <c r="P979" s="39" t="n">
        <f aca="false">Resumo!$C$10*CEILING(I979/100,1)</f>
        <v>1</v>
      </c>
      <c r="Q979" s="39" t="n">
        <f aca="false">Resumo!$C$9</f>
        <v>11.9</v>
      </c>
      <c r="R979" s="39" t="n">
        <f aca="false">SUM(M979:Q979)*Resumo!$C$11</f>
        <v>5.9784978</v>
      </c>
      <c r="S979" s="39" t="n">
        <f aca="false">SUM(M979:R979)</f>
        <v>114.6784578</v>
      </c>
      <c r="T979" s="39" t="n">
        <f aca="false">S979/(1-Resumo!$C$5)</f>
        <v>130.316429318182</v>
      </c>
      <c r="U979" s="39" t="n">
        <v>129.29</v>
      </c>
      <c r="V979" s="39" t="n">
        <f aca="false">J979*Resumo!$B$6</f>
        <v>0.44999</v>
      </c>
      <c r="W979" s="39" t="n">
        <f aca="false">J979*Resumo!$B$7</f>
        <v>0.89998</v>
      </c>
      <c r="X979" s="39" t="n">
        <f aca="false">Resumo!$B$9</f>
        <v>1</v>
      </c>
      <c r="Y979" s="39" t="n">
        <f aca="false">Resumo!$B$10*CEILING(I979/100,1)</f>
        <v>4.5</v>
      </c>
      <c r="Z979" s="39" t="n">
        <f aca="false">Resumo!$B$12*CEILING(I979,1)</f>
        <v>2.52</v>
      </c>
      <c r="AA979" s="39" t="n">
        <f aca="false">Resumo!$B$13*CEILING(I979,1)</f>
        <v>18.9</v>
      </c>
      <c r="AB979" s="39" t="n">
        <f aca="false">SUM(U979:AA979)</f>
        <v>157.55997</v>
      </c>
      <c r="AC979" s="39" t="n">
        <f aca="false">AB979/(1-Resumo!$B$5)</f>
        <v>179.045420454545</v>
      </c>
      <c r="AD979" s="39" t="n">
        <f aca="false">(AB979-AA979)/(1-Resumo!$B$5)</f>
        <v>157.568147727273</v>
      </c>
      <c r="AE979" s="39" t="n">
        <f aca="false">AC979-T979</f>
        <v>48.7289911363636</v>
      </c>
      <c r="AF979" s="40" t="n">
        <f aca="false">AC979/T979-1</f>
        <v>0.373928225253828</v>
      </c>
      <c r="AG979" s="37" t="str">
        <f aca="false">IF(AC979&lt;T979,"SIM","NÃO")</f>
        <v>NÃO</v>
      </c>
      <c r="AH979" s="37" t="n">
        <v>13</v>
      </c>
      <c r="AI979" s="37" t="n">
        <v>10</v>
      </c>
      <c r="AJ979" s="37" t="s">
        <v>323</v>
      </c>
    </row>
    <row r="980" customFormat="false" ht="15" hidden="false" customHeight="false" outlineLevel="0" collapsed="false">
      <c r="A980" s="37" t="n">
        <v>376256435</v>
      </c>
      <c r="B980" s="38" t="n">
        <v>46248.3989467593</v>
      </c>
      <c r="C980" s="37" t="s">
        <v>320</v>
      </c>
      <c r="D980" s="37" t="s">
        <v>1258</v>
      </c>
      <c r="E980" s="37" t="n">
        <v>26510040</v>
      </c>
      <c r="F980" s="37" t="s">
        <v>224</v>
      </c>
      <c r="G980" s="37" t="s">
        <v>207</v>
      </c>
      <c r="H980" s="37" t="s">
        <v>169</v>
      </c>
      <c r="I980" s="37" t="n">
        <v>37.6</v>
      </c>
      <c r="J980" s="39" t="n">
        <v>391.05</v>
      </c>
      <c r="K980" s="37" t="s">
        <v>498</v>
      </c>
      <c r="L980" s="39" t="n">
        <v>113.83</v>
      </c>
      <c r="M980" s="39" t="n">
        <v>79.65</v>
      </c>
      <c r="N980" s="39" t="n">
        <f aca="false">J980*Resumo!$C$7</f>
        <v>0.7821</v>
      </c>
      <c r="O980" s="39" t="n">
        <f aca="false">J980*Resumo!$C$8</f>
        <v>0.7821</v>
      </c>
      <c r="P980" s="39" t="n">
        <f aca="false">Resumo!$C$10*CEILING(I980/100,1)</f>
        <v>1</v>
      </c>
      <c r="Q980" s="39" t="n">
        <f aca="false">Resumo!$C$9</f>
        <v>11.9</v>
      </c>
      <c r="R980" s="39" t="n">
        <f aca="false">SUM(M980:Q980)*Resumo!$C$11</f>
        <v>5.176281</v>
      </c>
      <c r="S980" s="39" t="n">
        <f aca="false">SUM(M980:R980)</f>
        <v>99.290481</v>
      </c>
      <c r="T980" s="39" t="n">
        <f aca="false">S980/(1-Resumo!$C$5)</f>
        <v>112.830092045455</v>
      </c>
      <c r="U980" s="39" t="n">
        <v>93.97</v>
      </c>
      <c r="V980" s="39" t="n">
        <f aca="false">J980*Resumo!$B$6</f>
        <v>0.39105</v>
      </c>
      <c r="W980" s="39" t="n">
        <f aca="false">J980*Resumo!$B$7</f>
        <v>0.7821</v>
      </c>
      <c r="X980" s="39" t="n">
        <f aca="false">Resumo!$B$9</f>
        <v>1</v>
      </c>
      <c r="Y980" s="39" t="n">
        <f aca="false">Resumo!$B$10*CEILING(I980/100,1)</f>
        <v>4.5</v>
      </c>
      <c r="Z980" s="39" t="n">
        <f aca="false">Resumo!$B$12*CEILING(I980,1)</f>
        <v>2.28</v>
      </c>
      <c r="AA980" s="39" t="n">
        <f aca="false">Resumo!$B$13*CEILING(I980,1)</f>
        <v>17.1</v>
      </c>
      <c r="AB980" s="39" t="n">
        <f aca="false">SUM(U980:AA980)</f>
        <v>120.02315</v>
      </c>
      <c r="AC980" s="39" t="n">
        <f aca="false">AB980/(1-Resumo!$B$5)</f>
        <v>136.389943181818</v>
      </c>
      <c r="AD980" s="39" t="n">
        <f aca="false">(AB980-AA980)/(1-Resumo!$B$5)</f>
        <v>116.958125</v>
      </c>
      <c r="AE980" s="39" t="n">
        <f aca="false">AC980-T980</f>
        <v>23.5598511363636</v>
      </c>
      <c r="AF980" s="40" t="n">
        <f aca="false">AC980/T980-1</f>
        <v>0.208808224023005</v>
      </c>
      <c r="AG980" s="37" t="str">
        <f aca="false">IF(AC980&lt;T980,"SIM","NÃO")</f>
        <v>NÃO</v>
      </c>
      <c r="AH980" s="37" t="n">
        <v>10</v>
      </c>
      <c r="AI980" s="37" t="n">
        <v>5</v>
      </c>
      <c r="AJ980" s="37" t="s">
        <v>327</v>
      </c>
    </row>
    <row r="981" customFormat="false" ht="15" hidden="false" customHeight="false" outlineLevel="0" collapsed="false">
      <c r="A981" s="37" t="n">
        <v>376269648</v>
      </c>
      <c r="B981" s="38" t="n">
        <v>46248.4164351852</v>
      </c>
      <c r="C981" s="37" t="s">
        <v>320</v>
      </c>
      <c r="D981" s="37" t="s">
        <v>1006</v>
      </c>
      <c r="E981" s="37" t="n">
        <v>22783124</v>
      </c>
      <c r="F981" s="37" t="s">
        <v>139</v>
      </c>
      <c r="G981" s="37" t="s">
        <v>198</v>
      </c>
      <c r="H981" s="37" t="s">
        <v>171</v>
      </c>
      <c r="I981" s="37" t="n">
        <v>52.3</v>
      </c>
      <c r="J981" s="39" t="n">
        <v>699.99</v>
      </c>
      <c r="K981" s="37" t="s">
        <v>322</v>
      </c>
      <c r="L981" s="39" t="n">
        <v>114.5</v>
      </c>
      <c r="M981" s="39" t="n">
        <v>79.81</v>
      </c>
      <c r="N981" s="39" t="n">
        <f aca="false">J981*Resumo!$C$7</f>
        <v>1.39998</v>
      </c>
      <c r="O981" s="39" t="n">
        <f aca="false">J981*Resumo!$C$8</f>
        <v>1.39998</v>
      </c>
      <c r="P981" s="39" t="n">
        <f aca="false">Resumo!$C$10*CEILING(I981/100,1)</f>
        <v>1</v>
      </c>
      <c r="Q981" s="39" t="n">
        <f aca="false">Resumo!$C$9</f>
        <v>11.9</v>
      </c>
      <c r="R981" s="39" t="n">
        <f aca="false">SUM(M981:Q981)*Resumo!$C$11</f>
        <v>5.2530478</v>
      </c>
      <c r="S981" s="39" t="n">
        <f aca="false">SUM(M981:R981)</f>
        <v>100.7630078</v>
      </c>
      <c r="T981" s="39" t="n">
        <f aca="false">S981/(1-Resumo!$C$5)</f>
        <v>114.503417954545</v>
      </c>
      <c r="U981" s="39" t="n">
        <v>112.3</v>
      </c>
      <c r="V981" s="39" t="n">
        <f aca="false">J981*Resumo!$B$6</f>
        <v>0.69999</v>
      </c>
      <c r="W981" s="39" t="n">
        <f aca="false">J981*Resumo!$B$7</f>
        <v>1.39998</v>
      </c>
      <c r="X981" s="39" t="n">
        <f aca="false">Resumo!$B$9</f>
        <v>1</v>
      </c>
      <c r="Y981" s="39" t="n">
        <f aca="false">Resumo!$B$10*CEILING(I981/100,1)</f>
        <v>4.5</v>
      </c>
      <c r="Z981" s="39" t="n">
        <f aca="false">Resumo!$B$12*CEILING(I981,1)</f>
        <v>3.18</v>
      </c>
      <c r="AA981" s="39" t="n">
        <f aca="false">Resumo!$B$13*CEILING(I981,1)</f>
        <v>23.85</v>
      </c>
      <c r="AB981" s="39" t="n">
        <f aca="false">SUM(U981:AA981)</f>
        <v>146.92997</v>
      </c>
      <c r="AC981" s="39" t="n">
        <f aca="false">AB981/(1-Resumo!$B$5)</f>
        <v>166.965875</v>
      </c>
      <c r="AD981" s="39" t="n">
        <f aca="false">(AB981-AA981)/(1-Resumo!$B$5)</f>
        <v>139.863602272727</v>
      </c>
      <c r="AE981" s="39" t="n">
        <f aca="false">AC981-T981</f>
        <v>52.4624570454545</v>
      </c>
      <c r="AF981" s="40" t="n">
        <f aca="false">AC981/T981-1</f>
        <v>0.458173720772952</v>
      </c>
      <c r="AG981" s="37" t="str">
        <f aca="false">IF(AC981&lt;T981,"SIM","NÃO")</f>
        <v>NÃO</v>
      </c>
      <c r="AH981" s="37" t="n">
        <v>8</v>
      </c>
      <c r="AI981" s="37" t="n">
        <v>5</v>
      </c>
      <c r="AJ981" s="37" t="s">
        <v>323</v>
      </c>
    </row>
    <row r="982" customFormat="false" ht="15" hidden="false" customHeight="false" outlineLevel="0" collapsed="false">
      <c r="A982" s="37" t="n">
        <v>376270939</v>
      </c>
      <c r="B982" s="38" t="n">
        <v>46248.4182523148</v>
      </c>
      <c r="C982" s="37" t="s">
        <v>320</v>
      </c>
      <c r="D982" s="37" t="s">
        <v>1259</v>
      </c>
      <c r="E982" s="37" t="n">
        <v>26087095</v>
      </c>
      <c r="F982" s="37" t="s">
        <v>142</v>
      </c>
      <c r="G982" s="37" t="s">
        <v>207</v>
      </c>
      <c r="H982" s="37" t="s">
        <v>172</v>
      </c>
      <c r="I982" s="37" t="n">
        <v>63.9</v>
      </c>
      <c r="J982" s="39" t="n">
        <v>753.78</v>
      </c>
      <c r="K982" s="37" t="s">
        <v>322</v>
      </c>
      <c r="L982" s="39" t="n">
        <v>140.06</v>
      </c>
      <c r="M982" s="39" t="n">
        <v>100.9</v>
      </c>
      <c r="N982" s="39" t="n">
        <f aca="false">J982*Resumo!$C$7</f>
        <v>1.50756</v>
      </c>
      <c r="O982" s="39" t="n">
        <f aca="false">J982*Resumo!$C$8</f>
        <v>1.50756</v>
      </c>
      <c r="P982" s="39" t="n">
        <f aca="false">Resumo!$C$10*CEILING(I982/100,1)</f>
        <v>1</v>
      </c>
      <c r="Q982" s="39" t="n">
        <f aca="false">Resumo!$C$9</f>
        <v>11.9</v>
      </c>
      <c r="R982" s="39" t="n">
        <f aca="false">SUM(M982:Q982)*Resumo!$C$11</f>
        <v>6.4248316</v>
      </c>
      <c r="S982" s="39" t="n">
        <f aca="false">SUM(M982:R982)</f>
        <v>123.2399516</v>
      </c>
      <c r="T982" s="39" t="n">
        <f aca="false">S982/(1-Resumo!$C$5)</f>
        <v>140.045399545455</v>
      </c>
      <c r="U982" s="39" t="n">
        <v>131.02</v>
      </c>
      <c r="V982" s="39" t="n">
        <f aca="false">J982*Resumo!$B$6</f>
        <v>0.75378</v>
      </c>
      <c r="W982" s="39" t="n">
        <f aca="false">J982*Resumo!$B$7</f>
        <v>1.50756</v>
      </c>
      <c r="X982" s="39" t="n">
        <f aca="false">Resumo!$B$9</f>
        <v>1</v>
      </c>
      <c r="Y982" s="39" t="n">
        <f aca="false">Resumo!$B$10*CEILING(I982/100,1)</f>
        <v>4.5</v>
      </c>
      <c r="Z982" s="39" t="n">
        <f aca="false">Resumo!$B$12*CEILING(I982,1)</f>
        <v>3.84</v>
      </c>
      <c r="AA982" s="39" t="n">
        <f aca="false">Resumo!$B$13*CEILING(I982,1)</f>
        <v>28.8</v>
      </c>
      <c r="AB982" s="39" t="n">
        <f aca="false">SUM(U982:AA982)</f>
        <v>171.42134</v>
      </c>
      <c r="AC982" s="39" t="n">
        <f aca="false">AB982/(1-Resumo!$B$5)</f>
        <v>194.796977272727</v>
      </c>
      <c r="AD982" s="39" t="n">
        <f aca="false">(AB982-AA982)/(1-Resumo!$B$5)</f>
        <v>162.069704545455</v>
      </c>
      <c r="AE982" s="39" t="n">
        <f aca="false">AC982-T982</f>
        <v>54.7515777272727</v>
      </c>
      <c r="AF982" s="40" t="n">
        <f aca="false">AC982/T982-1</f>
        <v>0.390955917902194</v>
      </c>
      <c r="AG982" s="37" t="str">
        <f aca="false">IF(AC982&lt;T982,"SIM","NÃO")</f>
        <v>NÃO</v>
      </c>
      <c r="AH982" s="37" t="n">
        <v>10</v>
      </c>
      <c r="AI982" s="37" t="n">
        <v>5</v>
      </c>
      <c r="AJ982" s="37" t="s">
        <v>323</v>
      </c>
    </row>
    <row r="983" customFormat="false" ht="15" hidden="false" customHeight="false" outlineLevel="0" collapsed="false">
      <c r="A983" s="37" t="n">
        <v>376291149</v>
      </c>
      <c r="B983" s="38" t="n">
        <v>46248.4437152778</v>
      </c>
      <c r="C983" s="37" t="s">
        <v>320</v>
      </c>
      <c r="D983" s="37" t="s">
        <v>1260</v>
      </c>
      <c r="E983" s="37" t="n">
        <v>23595290</v>
      </c>
      <c r="F983" s="37" t="s">
        <v>139</v>
      </c>
      <c r="G983" s="37" t="s">
        <v>198</v>
      </c>
      <c r="H983" s="37" t="s">
        <v>171</v>
      </c>
      <c r="I983" s="37" t="n">
        <v>52.3</v>
      </c>
      <c r="J983" s="39" t="n">
        <v>699.99</v>
      </c>
      <c r="K983" s="37" t="s">
        <v>498</v>
      </c>
      <c r="L983" s="39" t="n">
        <v>113.63</v>
      </c>
      <c r="M983" s="39" t="n">
        <v>79.81</v>
      </c>
      <c r="N983" s="39" t="n">
        <f aca="false">J983*Resumo!$C$7</f>
        <v>1.39998</v>
      </c>
      <c r="O983" s="39" t="n">
        <f aca="false">J983*Resumo!$C$8</f>
        <v>1.39998</v>
      </c>
      <c r="P983" s="39" t="n">
        <f aca="false">Resumo!$C$10*CEILING(I983/100,1)</f>
        <v>1</v>
      </c>
      <c r="Q983" s="39" t="n">
        <f aca="false">Resumo!$C$9</f>
        <v>11.9</v>
      </c>
      <c r="R983" s="39" t="n">
        <f aca="false">SUM(M983:Q983)*Resumo!$C$11</f>
        <v>5.2530478</v>
      </c>
      <c r="S983" s="39" t="n">
        <f aca="false">SUM(M983:R983)</f>
        <v>100.7630078</v>
      </c>
      <c r="T983" s="39" t="n">
        <f aca="false">S983/(1-Resumo!$C$5)</f>
        <v>114.503417954545</v>
      </c>
      <c r="U983" s="39" t="n">
        <v>112.3</v>
      </c>
      <c r="V983" s="39" t="n">
        <f aca="false">J983*Resumo!$B$6</f>
        <v>0.69999</v>
      </c>
      <c r="W983" s="39" t="n">
        <f aca="false">J983*Resumo!$B$7</f>
        <v>1.39998</v>
      </c>
      <c r="X983" s="39" t="n">
        <f aca="false">Resumo!$B$9</f>
        <v>1</v>
      </c>
      <c r="Y983" s="39" t="n">
        <f aca="false">Resumo!$B$10*CEILING(I983/100,1)</f>
        <v>4.5</v>
      </c>
      <c r="Z983" s="39" t="n">
        <f aca="false">Resumo!$B$12*CEILING(I983,1)</f>
        <v>3.18</v>
      </c>
      <c r="AA983" s="39" t="n">
        <f aca="false">Resumo!$B$13*CEILING(I983,1)</f>
        <v>23.85</v>
      </c>
      <c r="AB983" s="39" t="n">
        <f aca="false">SUM(U983:AA983)</f>
        <v>146.92997</v>
      </c>
      <c r="AC983" s="39" t="n">
        <f aca="false">AB983/(1-Resumo!$B$5)</f>
        <v>166.965875</v>
      </c>
      <c r="AD983" s="39" t="n">
        <f aca="false">(AB983-AA983)/(1-Resumo!$B$5)</f>
        <v>139.863602272727</v>
      </c>
      <c r="AE983" s="39" t="n">
        <f aca="false">AC983-T983</f>
        <v>52.4624570454545</v>
      </c>
      <c r="AF983" s="40" t="n">
        <f aca="false">AC983/T983-1</f>
        <v>0.458173720772952</v>
      </c>
      <c r="AG983" s="37" t="str">
        <f aca="false">IF(AC983&lt;T983,"SIM","NÃO")</f>
        <v>NÃO</v>
      </c>
      <c r="AH983" s="37" t="n">
        <v>8</v>
      </c>
      <c r="AI983" s="37" t="n">
        <v>5</v>
      </c>
      <c r="AJ983" s="37" t="s">
        <v>323</v>
      </c>
    </row>
    <row r="984" customFormat="false" ht="15" hidden="false" customHeight="false" outlineLevel="0" collapsed="false">
      <c r="A984" s="37" t="n">
        <v>376322708</v>
      </c>
      <c r="B984" s="38" t="n">
        <v>46248.4835532407</v>
      </c>
      <c r="C984" s="37" t="s">
        <v>325</v>
      </c>
      <c r="D984" s="37" t="s">
        <v>1261</v>
      </c>
      <c r="E984" s="37" t="n">
        <v>21210002</v>
      </c>
      <c r="F984" s="37" t="s">
        <v>139</v>
      </c>
      <c r="G984" s="37" t="s">
        <v>198</v>
      </c>
      <c r="H984" s="37" t="s">
        <v>171</v>
      </c>
      <c r="I984" s="37" t="n">
        <v>53.5</v>
      </c>
      <c r="J984" s="39" t="n">
        <v>582.96</v>
      </c>
      <c r="K984" s="37" t="s">
        <v>322</v>
      </c>
      <c r="L984" s="39" t="n">
        <v>113.95</v>
      </c>
      <c r="M984" s="39" t="n">
        <v>79.81</v>
      </c>
      <c r="N984" s="39" t="n">
        <f aca="false">J984*Resumo!$C$7</f>
        <v>1.16592</v>
      </c>
      <c r="O984" s="39" t="n">
        <f aca="false">J984*Resumo!$C$8</f>
        <v>1.16592</v>
      </c>
      <c r="P984" s="39" t="n">
        <f aca="false">Resumo!$C$10*CEILING(I984/100,1)</f>
        <v>1</v>
      </c>
      <c r="Q984" s="39" t="n">
        <f aca="false">Resumo!$C$9</f>
        <v>11.9</v>
      </c>
      <c r="R984" s="39" t="n">
        <f aca="false">SUM(M984:Q984)*Resumo!$C$11</f>
        <v>5.2273012</v>
      </c>
      <c r="S984" s="39" t="n">
        <f aca="false">SUM(M984:R984)</f>
        <v>100.2691412</v>
      </c>
      <c r="T984" s="39" t="n">
        <f aca="false">S984/(1-Resumo!$C$5)</f>
        <v>113.942205909091</v>
      </c>
      <c r="U984" s="39" t="n">
        <v>112.3</v>
      </c>
      <c r="V984" s="39" t="n">
        <f aca="false">J984*Resumo!$B$6</f>
        <v>0.58296</v>
      </c>
      <c r="W984" s="39" t="n">
        <f aca="false">J984*Resumo!$B$7</f>
        <v>1.16592</v>
      </c>
      <c r="X984" s="39" t="n">
        <f aca="false">Resumo!$B$9</f>
        <v>1</v>
      </c>
      <c r="Y984" s="39" t="n">
        <f aca="false">Resumo!$B$10*CEILING(I984/100,1)</f>
        <v>4.5</v>
      </c>
      <c r="Z984" s="39" t="n">
        <f aca="false">Resumo!$B$12*CEILING(I984,1)</f>
        <v>3.24</v>
      </c>
      <c r="AA984" s="39" t="n">
        <f aca="false">Resumo!$B$13*CEILING(I984,1)</f>
        <v>24.3</v>
      </c>
      <c r="AB984" s="39" t="n">
        <f aca="false">SUM(U984:AA984)</f>
        <v>147.08888</v>
      </c>
      <c r="AC984" s="39" t="n">
        <f aca="false">AB984/(1-Resumo!$B$5)</f>
        <v>167.146454545455</v>
      </c>
      <c r="AD984" s="39" t="n">
        <f aca="false">(AB984-AA984)/(1-Resumo!$B$5)</f>
        <v>139.532818181818</v>
      </c>
      <c r="AE984" s="39" t="n">
        <f aca="false">AC984-T984</f>
        <v>53.2042486363636</v>
      </c>
      <c r="AF984" s="40" t="n">
        <f aca="false">AC984/T984-1</f>
        <v>0.466940658308939</v>
      </c>
      <c r="AG984" s="37" t="str">
        <f aca="false">IF(AC984&lt;T984,"SIM","NÃO")</f>
        <v>NÃO</v>
      </c>
      <c r="AH984" s="37" t="n">
        <v>8</v>
      </c>
      <c r="AI984" s="37" t="n">
        <v>5</v>
      </c>
      <c r="AJ984" s="37" t="s">
        <v>323</v>
      </c>
    </row>
    <row r="985" customFormat="false" ht="15" hidden="false" customHeight="false" outlineLevel="0" collapsed="false">
      <c r="A985" s="37" t="n">
        <v>376329870</v>
      </c>
      <c r="B985" s="38" t="n">
        <v>46248.4919212963</v>
      </c>
      <c r="C985" s="37" t="s">
        <v>320</v>
      </c>
      <c r="D985" s="37" t="s">
        <v>1262</v>
      </c>
      <c r="E985" s="37" t="n">
        <v>27580180</v>
      </c>
      <c r="F985" s="37" t="s">
        <v>238</v>
      </c>
      <c r="G985" s="37" t="s">
        <v>201</v>
      </c>
      <c r="H985" s="37" t="s">
        <v>172</v>
      </c>
      <c r="I985" s="37" t="n">
        <v>69.45</v>
      </c>
      <c r="J985" s="39" t="n">
        <v>859.99</v>
      </c>
      <c r="K985" s="37" t="s">
        <v>498</v>
      </c>
      <c r="L985" s="39" t="n">
        <v>159</v>
      </c>
      <c r="M985" s="39" t="n">
        <v>113.9</v>
      </c>
      <c r="N985" s="39" t="n">
        <f aca="false">J985*Resumo!$C$7</f>
        <v>1.71998</v>
      </c>
      <c r="O985" s="39" t="n">
        <f aca="false">J985*Resumo!$C$8</f>
        <v>1.71998</v>
      </c>
      <c r="P985" s="39" t="n">
        <f aca="false">Resumo!$C$10*CEILING(I985/100,1)</f>
        <v>1</v>
      </c>
      <c r="Q985" s="39" t="n">
        <f aca="false">Resumo!$C$9</f>
        <v>11.9</v>
      </c>
      <c r="R985" s="39" t="n">
        <f aca="false">SUM(M985:Q985)*Resumo!$C$11</f>
        <v>7.1631978</v>
      </c>
      <c r="S985" s="39" t="n">
        <f aca="false">SUM(M985:R985)</f>
        <v>137.4031578</v>
      </c>
      <c r="T985" s="39" t="n">
        <f aca="false">S985/(1-Resumo!$C$5)</f>
        <v>156.139952045455</v>
      </c>
      <c r="U985" s="39" t="n">
        <v>166.05</v>
      </c>
      <c r="V985" s="39" t="n">
        <f aca="false">J985*Resumo!$B$6</f>
        <v>0.85999</v>
      </c>
      <c r="W985" s="39" t="n">
        <f aca="false">J985*Resumo!$B$7</f>
        <v>1.71998</v>
      </c>
      <c r="X985" s="39" t="n">
        <f aca="false">Resumo!$B$9</f>
        <v>1</v>
      </c>
      <c r="Y985" s="39" t="n">
        <f aca="false">Resumo!$B$10*CEILING(I985/100,1)</f>
        <v>4.5</v>
      </c>
      <c r="Z985" s="39" t="n">
        <f aca="false">Resumo!$B$12*CEILING(I985,1)</f>
        <v>4.2</v>
      </c>
      <c r="AA985" s="39" t="n">
        <f aca="false">Resumo!$B$13*CEILING(I985,1)</f>
        <v>31.5</v>
      </c>
      <c r="AB985" s="39" t="n">
        <f aca="false">SUM(U985:AA985)</f>
        <v>209.82997</v>
      </c>
      <c r="AC985" s="39" t="n">
        <f aca="false">AB985/(1-Resumo!$B$5)</f>
        <v>238.443147727273</v>
      </c>
      <c r="AD985" s="39" t="n">
        <f aca="false">(AB985-AA985)/(1-Resumo!$B$5)</f>
        <v>202.647693181818</v>
      </c>
      <c r="AE985" s="39" t="n">
        <f aca="false">AC985-T985</f>
        <v>82.3031956818182</v>
      </c>
      <c r="AF985" s="40" t="n">
        <f aca="false">AC985/T985-1</f>
        <v>0.527111700776356</v>
      </c>
      <c r="AG985" s="37" t="str">
        <f aca="false">IF(AC985&lt;T985,"SIM","NÃO")</f>
        <v>NÃO</v>
      </c>
      <c r="AH985" s="37" t="n">
        <v>13</v>
      </c>
      <c r="AI985" s="37" t="n">
        <v>10</v>
      </c>
      <c r="AJ985" s="37" t="s">
        <v>327</v>
      </c>
    </row>
    <row r="986" customFormat="false" ht="15" hidden="false" customHeight="false" outlineLevel="0" collapsed="false">
      <c r="A986" s="37" t="n">
        <v>376329163</v>
      </c>
      <c r="B986" s="38" t="n">
        <v>46248.4941319445</v>
      </c>
      <c r="C986" s="37" t="s">
        <v>341</v>
      </c>
      <c r="D986" s="37" t="s">
        <v>1263</v>
      </c>
      <c r="E986" s="37" t="n">
        <v>21020160</v>
      </c>
      <c r="F986" s="37" t="s">
        <v>139</v>
      </c>
      <c r="G986" s="37" t="s">
        <v>198</v>
      </c>
      <c r="H986" s="37" t="s">
        <v>168</v>
      </c>
      <c r="I986" s="37" t="n">
        <v>33</v>
      </c>
      <c r="J986" s="39" t="n">
        <v>459.99</v>
      </c>
      <c r="K986" s="37" t="s">
        <v>322</v>
      </c>
      <c r="L986" s="39" t="n">
        <v>82.53</v>
      </c>
      <c r="M986" s="39" t="n">
        <v>54.1</v>
      </c>
      <c r="N986" s="39" t="n">
        <f aca="false">J986*Resumo!$C$7</f>
        <v>0.91998</v>
      </c>
      <c r="O986" s="39" t="n">
        <f aca="false">J986*Resumo!$C$8</f>
        <v>0.91998</v>
      </c>
      <c r="P986" s="39" t="n">
        <f aca="false">Resumo!$C$10*CEILING(I986/100,1)</f>
        <v>1</v>
      </c>
      <c r="Q986" s="39" t="n">
        <f aca="false">Resumo!$C$9</f>
        <v>11.9</v>
      </c>
      <c r="R986" s="39" t="n">
        <f aca="false">SUM(M986:Q986)*Resumo!$C$11</f>
        <v>3.7861978</v>
      </c>
      <c r="S986" s="39" t="n">
        <f aca="false">SUM(M986:R986)</f>
        <v>72.6261578</v>
      </c>
      <c r="T986" s="39" t="n">
        <f aca="false">S986/(1-Resumo!$C$5)</f>
        <v>82.5297247727273</v>
      </c>
      <c r="U986" s="39" t="n">
        <v>82.21</v>
      </c>
      <c r="V986" s="39" t="n">
        <f aca="false">J986*Resumo!$B$6</f>
        <v>0.45999</v>
      </c>
      <c r="W986" s="39" t="n">
        <f aca="false">J986*Resumo!$B$7</f>
        <v>0.91998</v>
      </c>
      <c r="X986" s="39" t="n">
        <f aca="false">Resumo!$B$9</f>
        <v>1</v>
      </c>
      <c r="Y986" s="39" t="n">
        <f aca="false">Resumo!$B$10*CEILING(I986/100,1)</f>
        <v>4.5</v>
      </c>
      <c r="Z986" s="39" t="n">
        <f aca="false">Resumo!$B$12*CEILING(I986,1)</f>
        <v>1.98</v>
      </c>
      <c r="AA986" s="39" t="n">
        <f aca="false">Resumo!$B$13*CEILING(I986,1)</f>
        <v>14.85</v>
      </c>
      <c r="AB986" s="39" t="n">
        <f aca="false">SUM(U986:AA986)</f>
        <v>105.91997</v>
      </c>
      <c r="AC986" s="39" t="n">
        <f aca="false">AB986/(1-Resumo!$B$5)</f>
        <v>120.363602272727</v>
      </c>
      <c r="AD986" s="39" t="n">
        <f aca="false">(AB986-AA986)/(1-Resumo!$B$5)</f>
        <v>103.488602272727</v>
      </c>
      <c r="AE986" s="39" t="n">
        <f aca="false">AC986-T986</f>
        <v>37.8338775</v>
      </c>
      <c r="AF986" s="40" t="n">
        <f aca="false">AC986/T986-1</f>
        <v>0.458427283069076</v>
      </c>
      <c r="AG986" s="37" t="str">
        <f aca="false">IF(AC986&lt;T986,"SIM","NÃO")</f>
        <v>NÃO</v>
      </c>
      <c r="AH986" s="37" t="n">
        <v>8</v>
      </c>
      <c r="AI986" s="37" t="n">
        <v>5</v>
      </c>
      <c r="AJ986" s="37" t="s">
        <v>323</v>
      </c>
    </row>
    <row r="987" customFormat="false" ht="15" hidden="false" customHeight="false" outlineLevel="0" collapsed="false">
      <c r="A987" s="37" t="n">
        <v>376335434</v>
      </c>
      <c r="B987" s="38" t="n">
        <v>46248.49875</v>
      </c>
      <c r="C987" s="37" t="s">
        <v>320</v>
      </c>
      <c r="D987" s="37" t="s">
        <v>1002</v>
      </c>
      <c r="E987" s="37" t="n">
        <v>23025150</v>
      </c>
      <c r="F987" s="37" t="s">
        <v>139</v>
      </c>
      <c r="G987" s="37" t="s">
        <v>198</v>
      </c>
      <c r="H987" s="37" t="s">
        <v>169</v>
      </c>
      <c r="I987" s="37" t="n">
        <v>38.15</v>
      </c>
      <c r="J987" s="39" t="n">
        <v>459.99</v>
      </c>
      <c r="K987" s="37" t="s">
        <v>498</v>
      </c>
      <c r="L987" s="39" t="n">
        <v>93.68</v>
      </c>
      <c r="M987" s="39" t="n">
        <v>62.05</v>
      </c>
      <c r="N987" s="39" t="n">
        <f aca="false">J987*Resumo!$C$7</f>
        <v>0.91998</v>
      </c>
      <c r="O987" s="39" t="n">
        <f aca="false">J987*Resumo!$C$8</f>
        <v>0.91998</v>
      </c>
      <c r="P987" s="39" t="n">
        <f aca="false">Resumo!$C$10*CEILING(I987/100,1)</f>
        <v>1</v>
      </c>
      <c r="Q987" s="39" t="n">
        <f aca="false">Resumo!$C$9</f>
        <v>11.9</v>
      </c>
      <c r="R987" s="39" t="n">
        <f aca="false">SUM(M987:Q987)*Resumo!$C$11</f>
        <v>4.2234478</v>
      </c>
      <c r="S987" s="39" t="n">
        <f aca="false">SUM(M987:R987)</f>
        <v>81.0134078</v>
      </c>
      <c r="T987" s="39" t="n">
        <f aca="false">S987/(1-Resumo!$C$5)</f>
        <v>92.0606906818182</v>
      </c>
      <c r="U987" s="39" t="n">
        <v>93.97</v>
      </c>
      <c r="V987" s="39" t="n">
        <f aca="false">J987*Resumo!$B$6</f>
        <v>0.45999</v>
      </c>
      <c r="W987" s="39" t="n">
        <f aca="false">J987*Resumo!$B$7</f>
        <v>0.91998</v>
      </c>
      <c r="X987" s="39" t="n">
        <f aca="false">Resumo!$B$9</f>
        <v>1</v>
      </c>
      <c r="Y987" s="39" t="n">
        <f aca="false">Resumo!$B$10*CEILING(I987/100,1)</f>
        <v>4.5</v>
      </c>
      <c r="Z987" s="39" t="n">
        <f aca="false">Resumo!$B$12*CEILING(I987,1)</f>
        <v>2.34</v>
      </c>
      <c r="AA987" s="39" t="n">
        <f aca="false">Resumo!$B$13*CEILING(I987,1)</f>
        <v>17.55</v>
      </c>
      <c r="AB987" s="39" t="n">
        <f aca="false">SUM(U987:AA987)</f>
        <v>120.73997</v>
      </c>
      <c r="AC987" s="39" t="n">
        <f aca="false">AB987/(1-Resumo!$B$5)</f>
        <v>137.204511363636</v>
      </c>
      <c r="AD987" s="39" t="n">
        <f aca="false">(AB987-AA987)/(1-Resumo!$B$5)</f>
        <v>117.261329545455</v>
      </c>
      <c r="AE987" s="39" t="n">
        <f aca="false">AC987-T987</f>
        <v>45.1438206818182</v>
      </c>
      <c r="AF987" s="40" t="n">
        <f aca="false">AC987/T987-1</f>
        <v>0.490370214990512</v>
      </c>
      <c r="AG987" s="37" t="str">
        <f aca="false">IF(AC987&lt;T987,"SIM","NÃO")</f>
        <v>NÃO</v>
      </c>
      <c r="AH987" s="37" t="n">
        <v>8</v>
      </c>
      <c r="AI987" s="37" t="n">
        <v>5</v>
      </c>
      <c r="AJ987" s="37" t="s">
        <v>323</v>
      </c>
    </row>
    <row r="988" customFormat="false" ht="15" hidden="false" customHeight="false" outlineLevel="0" collapsed="false">
      <c r="A988" s="37" t="n">
        <v>376350101</v>
      </c>
      <c r="B988" s="38" t="n">
        <v>46248.5171064815</v>
      </c>
      <c r="C988" s="37" t="s">
        <v>320</v>
      </c>
      <c r="D988" s="37" t="s">
        <v>1264</v>
      </c>
      <c r="E988" s="37" t="n">
        <v>23066550</v>
      </c>
      <c r="F988" s="37" t="s">
        <v>139</v>
      </c>
      <c r="G988" s="37" t="s">
        <v>198</v>
      </c>
      <c r="H988" s="37" t="s">
        <v>172</v>
      </c>
      <c r="I988" s="37" t="n">
        <v>63.9</v>
      </c>
      <c r="J988" s="39" t="n">
        <v>730.98</v>
      </c>
      <c r="K988" s="37" t="s">
        <v>498</v>
      </c>
      <c r="L988" s="39" t="n">
        <v>124.65</v>
      </c>
      <c r="M988" s="39" t="n">
        <v>88.2</v>
      </c>
      <c r="N988" s="39" t="n">
        <f aca="false">J988*Resumo!$C$7</f>
        <v>1.46196</v>
      </c>
      <c r="O988" s="39" t="n">
        <f aca="false">J988*Resumo!$C$8</f>
        <v>1.46196</v>
      </c>
      <c r="P988" s="39" t="n">
        <f aca="false">Resumo!$C$10*CEILING(I988/100,1)</f>
        <v>1</v>
      </c>
      <c r="Q988" s="39" t="n">
        <f aca="false">Resumo!$C$9</f>
        <v>11.9</v>
      </c>
      <c r="R988" s="39" t="n">
        <f aca="false">SUM(M988:Q988)*Resumo!$C$11</f>
        <v>5.7213156</v>
      </c>
      <c r="S988" s="39" t="n">
        <f aca="false">SUM(M988:R988)</f>
        <v>109.7452356</v>
      </c>
      <c r="T988" s="39" t="n">
        <f aca="false">S988/(1-Resumo!$C$5)</f>
        <v>124.710495</v>
      </c>
      <c r="U988" s="39" t="n">
        <v>131.02</v>
      </c>
      <c r="V988" s="39" t="n">
        <f aca="false">J988*Resumo!$B$6</f>
        <v>0.73098</v>
      </c>
      <c r="W988" s="39" t="n">
        <f aca="false">J988*Resumo!$B$7</f>
        <v>1.46196</v>
      </c>
      <c r="X988" s="39" t="n">
        <f aca="false">Resumo!$B$9</f>
        <v>1</v>
      </c>
      <c r="Y988" s="39" t="n">
        <f aca="false">Resumo!$B$10*CEILING(I988/100,1)</f>
        <v>4.5</v>
      </c>
      <c r="Z988" s="39" t="n">
        <f aca="false">Resumo!$B$12*CEILING(I988,1)</f>
        <v>3.84</v>
      </c>
      <c r="AA988" s="39" t="n">
        <f aca="false">Resumo!$B$13*CEILING(I988,1)</f>
        <v>28.8</v>
      </c>
      <c r="AB988" s="39" t="n">
        <f aca="false">SUM(U988:AA988)</f>
        <v>171.35294</v>
      </c>
      <c r="AC988" s="39" t="n">
        <f aca="false">AB988/(1-Resumo!$B$5)</f>
        <v>194.71925</v>
      </c>
      <c r="AD988" s="39" t="n">
        <f aca="false">(AB988-AA988)/(1-Resumo!$B$5)</f>
        <v>161.991977272727</v>
      </c>
      <c r="AE988" s="39" t="n">
        <f aca="false">AC988-T988</f>
        <v>70.008755</v>
      </c>
      <c r="AF988" s="40" t="n">
        <f aca="false">AC988/T988-1</f>
        <v>0.561370195828347</v>
      </c>
      <c r="AG988" s="37" t="str">
        <f aca="false">IF(AC988&lt;T988,"SIM","NÃO")</f>
        <v>NÃO</v>
      </c>
      <c r="AH988" s="37" t="n">
        <v>8</v>
      </c>
      <c r="AI988" s="37" t="n">
        <v>5</v>
      </c>
      <c r="AJ988" s="37" t="s">
        <v>323</v>
      </c>
    </row>
    <row r="989" customFormat="false" ht="15" hidden="false" customHeight="false" outlineLevel="0" collapsed="false">
      <c r="A989" s="37" t="n">
        <v>376351218</v>
      </c>
      <c r="B989" s="38" t="n">
        <v>46248.5183449074</v>
      </c>
      <c r="C989" s="37" t="s">
        <v>325</v>
      </c>
      <c r="D989" s="37" t="s">
        <v>1265</v>
      </c>
      <c r="E989" s="37" t="n">
        <v>24908780</v>
      </c>
      <c r="F989" s="37" t="s">
        <v>151</v>
      </c>
      <c r="G989" s="37" t="s">
        <v>201</v>
      </c>
      <c r="H989" s="37" t="s">
        <v>171</v>
      </c>
      <c r="I989" s="37" t="n">
        <v>58.5</v>
      </c>
      <c r="J989" s="39" t="n">
        <v>863.2</v>
      </c>
      <c r="K989" s="37" t="s">
        <v>498</v>
      </c>
      <c r="L989" s="39" t="n">
        <v>145.85</v>
      </c>
      <c r="M989" s="39" t="n">
        <v>103.6</v>
      </c>
      <c r="N989" s="39" t="n">
        <f aca="false">J989*Resumo!$C$7</f>
        <v>1.7264</v>
      </c>
      <c r="O989" s="39" t="n">
        <f aca="false">J989*Resumo!$C$8</f>
        <v>1.7264</v>
      </c>
      <c r="P989" s="39" t="n">
        <f aca="false">Resumo!$C$10*CEILING(I989/100,1)</f>
        <v>1</v>
      </c>
      <c r="Q989" s="39" t="n">
        <f aca="false">Resumo!$C$9</f>
        <v>11.9</v>
      </c>
      <c r="R989" s="39" t="n">
        <f aca="false">SUM(M989:Q989)*Resumo!$C$11</f>
        <v>6.597404</v>
      </c>
      <c r="S989" s="39" t="n">
        <f aca="false">SUM(M989:R989)</f>
        <v>126.550204</v>
      </c>
      <c r="T989" s="39" t="n">
        <f aca="false">S989/(1-Resumo!$C$5)</f>
        <v>143.80705</v>
      </c>
      <c r="U989" s="39" t="n">
        <v>128.14</v>
      </c>
      <c r="V989" s="39" t="n">
        <f aca="false">J989*Resumo!$B$6</f>
        <v>0.8632</v>
      </c>
      <c r="W989" s="39" t="n">
        <f aca="false">J989*Resumo!$B$7</f>
        <v>1.7264</v>
      </c>
      <c r="X989" s="39" t="n">
        <f aca="false">Resumo!$B$9</f>
        <v>1</v>
      </c>
      <c r="Y989" s="39" t="n">
        <f aca="false">Resumo!$B$10*CEILING(I989/100,1)</f>
        <v>4.5</v>
      </c>
      <c r="Z989" s="39" t="n">
        <f aca="false">Resumo!$B$12*CEILING(I989,1)</f>
        <v>3.54</v>
      </c>
      <c r="AA989" s="39" t="n">
        <f aca="false">Resumo!$B$13*CEILING(I989,1)</f>
        <v>26.55</v>
      </c>
      <c r="AB989" s="39" t="n">
        <f aca="false">SUM(U989:AA989)</f>
        <v>166.3196</v>
      </c>
      <c r="AC989" s="39" t="n">
        <f aca="false">AB989/(1-Resumo!$B$5)</f>
        <v>188.999545454545</v>
      </c>
      <c r="AD989" s="39" t="n">
        <f aca="false">(AB989-AA989)/(1-Resumo!$B$5)</f>
        <v>158.829090909091</v>
      </c>
      <c r="AE989" s="39" t="n">
        <f aca="false">AC989-T989</f>
        <v>45.1924954545455</v>
      </c>
      <c r="AF989" s="40" t="n">
        <f aca="false">AC989/T989-1</f>
        <v>0.314257857695749</v>
      </c>
      <c r="AG989" s="37" t="str">
        <f aca="false">IF(AC989&lt;T989,"SIM","NÃO")</f>
        <v>NÃO</v>
      </c>
      <c r="AH989" s="37" t="n">
        <v>13</v>
      </c>
      <c r="AI989" s="37" t="n">
        <v>7</v>
      </c>
      <c r="AJ989" s="37" t="s">
        <v>323</v>
      </c>
    </row>
    <row r="990" customFormat="false" ht="15" hidden="false" customHeight="false" outlineLevel="0" collapsed="false">
      <c r="A990" s="37" t="n">
        <v>376363880</v>
      </c>
      <c r="B990" s="38" t="n">
        <v>46248.5362962963</v>
      </c>
      <c r="C990" s="37" t="s">
        <v>352</v>
      </c>
      <c r="D990" s="37" t="s">
        <v>1266</v>
      </c>
      <c r="E990" s="37" t="n">
        <v>23098393</v>
      </c>
      <c r="F990" s="37" t="s">
        <v>139</v>
      </c>
      <c r="G990" s="37" t="s">
        <v>198</v>
      </c>
      <c r="H990" s="37" t="s">
        <v>170</v>
      </c>
      <c r="I990" s="37" t="n">
        <v>48.3</v>
      </c>
      <c r="J990" s="39" t="n">
        <v>399.99</v>
      </c>
      <c r="K990" s="37" t="s">
        <v>498</v>
      </c>
      <c r="L990" s="39" t="n">
        <v>104.41</v>
      </c>
      <c r="M990" s="39" t="n">
        <v>71</v>
      </c>
      <c r="N990" s="39" t="n">
        <f aca="false">J990*Resumo!$C$7</f>
        <v>0.79998</v>
      </c>
      <c r="O990" s="39" t="n">
        <f aca="false">J990*Resumo!$C$8</f>
        <v>0.79998</v>
      </c>
      <c r="P990" s="39" t="n">
        <f aca="false">Resumo!$C$10*CEILING(I990/100,1)</f>
        <v>1</v>
      </c>
      <c r="Q990" s="39" t="n">
        <f aca="false">Resumo!$C$9</f>
        <v>11.9</v>
      </c>
      <c r="R990" s="39" t="n">
        <f aca="false">SUM(M990:Q990)*Resumo!$C$11</f>
        <v>4.7024978</v>
      </c>
      <c r="S990" s="39" t="n">
        <f aca="false">SUM(M990:R990)</f>
        <v>90.2024578</v>
      </c>
      <c r="T990" s="39" t="n">
        <f aca="false">S990/(1-Resumo!$C$5)</f>
        <v>102.502792954545</v>
      </c>
      <c r="U990" s="39" t="n">
        <v>93.97</v>
      </c>
      <c r="V990" s="39" t="n">
        <f aca="false">J990*Resumo!$B$6</f>
        <v>0.39999</v>
      </c>
      <c r="W990" s="39" t="n">
        <f aca="false">J990*Resumo!$B$7</f>
        <v>0.79998</v>
      </c>
      <c r="X990" s="39" t="n">
        <f aca="false">Resumo!$B$9</f>
        <v>1</v>
      </c>
      <c r="Y990" s="39" t="n">
        <f aca="false">Resumo!$B$10*CEILING(I990/100,1)</f>
        <v>4.5</v>
      </c>
      <c r="Z990" s="39" t="n">
        <f aca="false">Resumo!$B$12*CEILING(I990,1)</f>
        <v>2.94</v>
      </c>
      <c r="AA990" s="39" t="n">
        <f aca="false">Resumo!$B$13*CEILING(I990,1)</f>
        <v>22.05</v>
      </c>
      <c r="AB990" s="39" t="n">
        <f aca="false">SUM(U990:AA990)</f>
        <v>125.65997</v>
      </c>
      <c r="AC990" s="39" t="n">
        <f aca="false">AB990/(1-Resumo!$B$5)</f>
        <v>142.795420454545</v>
      </c>
      <c r="AD990" s="39" t="n">
        <f aca="false">(AB990-AA990)/(1-Resumo!$B$5)</f>
        <v>117.738602272727</v>
      </c>
      <c r="AE990" s="39" t="n">
        <f aca="false">AC990-T990</f>
        <v>40.2926275</v>
      </c>
      <c r="AF990" s="40" t="n">
        <f aca="false">AC990/T990-1</f>
        <v>0.393088093881185</v>
      </c>
      <c r="AG990" s="37" t="str">
        <f aca="false">IF(AC990&lt;T990,"SIM","NÃO")</f>
        <v>NÃO</v>
      </c>
      <c r="AH990" s="37" t="n">
        <v>8</v>
      </c>
      <c r="AI990" s="37" t="n">
        <v>5</v>
      </c>
      <c r="AJ990" s="37" t="s">
        <v>323</v>
      </c>
    </row>
    <row r="991" customFormat="false" ht="15" hidden="false" customHeight="false" outlineLevel="0" collapsed="false">
      <c r="A991" s="37" t="n">
        <v>376388715</v>
      </c>
      <c r="B991" s="38" t="n">
        <v>46248.5650347222</v>
      </c>
      <c r="C991" s="37" t="s">
        <v>320</v>
      </c>
      <c r="D991" s="37" t="s">
        <v>1267</v>
      </c>
      <c r="E991" s="37" t="n">
        <v>22795355</v>
      </c>
      <c r="F991" s="37" t="s">
        <v>139</v>
      </c>
      <c r="G991" s="37" t="s">
        <v>198</v>
      </c>
      <c r="H991" s="37" t="s">
        <v>170</v>
      </c>
      <c r="I991" s="37" t="n">
        <v>41</v>
      </c>
      <c r="J991" s="39" t="n">
        <v>559.99</v>
      </c>
      <c r="K991" s="37" t="s">
        <v>322</v>
      </c>
      <c r="L991" s="39" t="n">
        <v>103.27</v>
      </c>
      <c r="M991" s="39" t="n">
        <v>71</v>
      </c>
      <c r="N991" s="39" t="n">
        <f aca="false">J991*Resumo!$C$7</f>
        <v>1.11998</v>
      </c>
      <c r="O991" s="39" t="n">
        <f aca="false">J991*Resumo!$C$8</f>
        <v>1.11998</v>
      </c>
      <c r="P991" s="39" t="n">
        <f aca="false">Resumo!$C$10*CEILING(I991/100,1)</f>
        <v>1</v>
      </c>
      <c r="Q991" s="39" t="n">
        <f aca="false">Resumo!$C$9</f>
        <v>11.9</v>
      </c>
      <c r="R991" s="39" t="n">
        <f aca="false">SUM(M991:Q991)*Resumo!$C$11</f>
        <v>4.7376978</v>
      </c>
      <c r="S991" s="39" t="n">
        <f aca="false">SUM(M991:R991)</f>
        <v>90.8776578</v>
      </c>
      <c r="T991" s="39" t="n">
        <f aca="false">S991/(1-Resumo!$C$5)</f>
        <v>103.270065681818</v>
      </c>
      <c r="U991" s="39" t="n">
        <v>93.97</v>
      </c>
      <c r="V991" s="39" t="n">
        <f aca="false">J991*Resumo!$B$6</f>
        <v>0.55999</v>
      </c>
      <c r="W991" s="39" t="n">
        <f aca="false">J991*Resumo!$B$7</f>
        <v>1.11998</v>
      </c>
      <c r="X991" s="39" t="n">
        <f aca="false">Resumo!$B$9</f>
        <v>1</v>
      </c>
      <c r="Y991" s="39" t="n">
        <f aca="false">Resumo!$B$10*CEILING(I991/100,1)</f>
        <v>4.5</v>
      </c>
      <c r="Z991" s="39" t="n">
        <f aca="false">Resumo!$B$12*CEILING(I991,1)</f>
        <v>2.46</v>
      </c>
      <c r="AA991" s="39" t="n">
        <f aca="false">Resumo!$B$13*CEILING(I991,1)</f>
        <v>18.45</v>
      </c>
      <c r="AB991" s="39" t="n">
        <f aca="false">SUM(U991:AA991)</f>
        <v>122.05997</v>
      </c>
      <c r="AC991" s="39" t="n">
        <f aca="false">AB991/(1-Resumo!$B$5)</f>
        <v>138.704511363636</v>
      </c>
      <c r="AD991" s="39" t="n">
        <f aca="false">(AB991-AA991)/(1-Resumo!$B$5)</f>
        <v>117.738602272727</v>
      </c>
      <c r="AE991" s="39" t="n">
        <f aca="false">AC991-T991</f>
        <v>35.4344456818182</v>
      </c>
      <c r="AF991" s="40" t="n">
        <f aca="false">AC991/T991-1</f>
        <v>0.343124074221024</v>
      </c>
      <c r="AG991" s="37" t="str">
        <f aca="false">IF(AC991&lt;T991,"SIM","NÃO")</f>
        <v>NÃO</v>
      </c>
      <c r="AH991" s="37" t="n">
        <v>8</v>
      </c>
      <c r="AI991" s="37" t="n">
        <v>5</v>
      </c>
      <c r="AJ991" s="37" t="s">
        <v>323</v>
      </c>
    </row>
    <row r="992" customFormat="false" ht="15" hidden="false" customHeight="false" outlineLevel="0" collapsed="false">
      <c r="A992" s="37" t="n">
        <v>376400563</v>
      </c>
      <c r="B992" s="38" t="n">
        <v>46248.5833680556</v>
      </c>
      <c r="C992" s="37" t="s">
        <v>320</v>
      </c>
      <c r="D992" s="37" t="s">
        <v>1268</v>
      </c>
      <c r="E992" s="37" t="n">
        <v>21020123</v>
      </c>
      <c r="F992" s="37" t="s">
        <v>139</v>
      </c>
      <c r="G992" s="37" t="s">
        <v>198</v>
      </c>
      <c r="H992" s="37" t="s">
        <v>171</v>
      </c>
      <c r="I992" s="37" t="n">
        <v>52.3</v>
      </c>
      <c r="J992" s="39" t="n">
        <v>577.12</v>
      </c>
      <c r="K992" s="37" t="s">
        <v>322</v>
      </c>
      <c r="L992" s="39" t="n">
        <v>113.91</v>
      </c>
      <c r="M992" s="39" t="n">
        <v>79.81</v>
      </c>
      <c r="N992" s="39" t="n">
        <f aca="false">J992*Resumo!$C$7</f>
        <v>1.15424</v>
      </c>
      <c r="O992" s="39" t="n">
        <f aca="false">J992*Resumo!$C$8</f>
        <v>1.15424</v>
      </c>
      <c r="P992" s="39" t="n">
        <f aca="false">Resumo!$C$10*CEILING(I992/100,1)</f>
        <v>1</v>
      </c>
      <c r="Q992" s="39" t="n">
        <f aca="false">Resumo!$C$9</f>
        <v>11.9</v>
      </c>
      <c r="R992" s="39" t="n">
        <f aca="false">SUM(M992:Q992)*Resumo!$C$11</f>
        <v>5.2260164</v>
      </c>
      <c r="S992" s="39" t="n">
        <f aca="false">SUM(M992:R992)</f>
        <v>100.2444964</v>
      </c>
      <c r="T992" s="39" t="n">
        <f aca="false">S992/(1-Resumo!$C$5)</f>
        <v>113.914200454545</v>
      </c>
      <c r="U992" s="39" t="n">
        <v>112.3</v>
      </c>
      <c r="V992" s="39" t="n">
        <f aca="false">J992*Resumo!$B$6</f>
        <v>0.57712</v>
      </c>
      <c r="W992" s="39" t="n">
        <f aca="false">J992*Resumo!$B$7</f>
        <v>1.15424</v>
      </c>
      <c r="X992" s="39" t="n">
        <f aca="false">Resumo!$B$9</f>
        <v>1</v>
      </c>
      <c r="Y992" s="39" t="n">
        <f aca="false">Resumo!$B$10*CEILING(I992/100,1)</f>
        <v>4.5</v>
      </c>
      <c r="Z992" s="39" t="n">
        <f aca="false">Resumo!$B$12*CEILING(I992,1)</f>
        <v>3.18</v>
      </c>
      <c r="AA992" s="39" t="n">
        <f aca="false">Resumo!$B$13*CEILING(I992,1)</f>
        <v>23.85</v>
      </c>
      <c r="AB992" s="39" t="n">
        <f aca="false">SUM(U992:AA992)</f>
        <v>146.56136</v>
      </c>
      <c r="AC992" s="39" t="n">
        <f aca="false">AB992/(1-Resumo!$B$5)</f>
        <v>166.547</v>
      </c>
      <c r="AD992" s="39" t="n">
        <f aca="false">(AB992-AA992)/(1-Resumo!$B$5)</f>
        <v>139.444727272727</v>
      </c>
      <c r="AE992" s="39" t="n">
        <f aca="false">AC992-T992</f>
        <v>52.6327995454545</v>
      </c>
      <c r="AF992" s="40" t="n">
        <f aca="false">AC992/T992-1</f>
        <v>0.462038967358212</v>
      </c>
      <c r="AG992" s="37" t="str">
        <f aca="false">IF(AC992&lt;T992,"SIM","NÃO")</f>
        <v>NÃO</v>
      </c>
      <c r="AH992" s="37" t="n">
        <v>8</v>
      </c>
      <c r="AI992" s="37" t="n">
        <v>5</v>
      </c>
      <c r="AJ992" s="37" t="s">
        <v>323</v>
      </c>
    </row>
    <row r="993" customFormat="false" ht="15" hidden="false" customHeight="false" outlineLevel="0" collapsed="false">
      <c r="A993" s="37" t="n">
        <v>376400804</v>
      </c>
      <c r="B993" s="38" t="n">
        <v>46248.5839236111</v>
      </c>
      <c r="C993" s="37" t="s">
        <v>320</v>
      </c>
      <c r="D993" s="37" t="s">
        <v>1269</v>
      </c>
      <c r="E993" s="37" t="n">
        <v>27522130</v>
      </c>
      <c r="F993" s="37" t="s">
        <v>236</v>
      </c>
      <c r="G993" s="37" t="s">
        <v>201</v>
      </c>
      <c r="H993" s="37" t="s">
        <v>168</v>
      </c>
      <c r="I993" s="37" t="n">
        <v>30.5</v>
      </c>
      <c r="J993" s="39" t="n">
        <v>413.55</v>
      </c>
      <c r="K993" s="37" t="s">
        <v>498</v>
      </c>
      <c r="L993" s="39" t="n">
        <v>109</v>
      </c>
      <c r="M993" s="39" t="n">
        <v>76.5</v>
      </c>
      <c r="N993" s="39" t="n">
        <f aca="false">J993*Resumo!$C$7</f>
        <v>0.8271</v>
      </c>
      <c r="O993" s="39" t="n">
        <f aca="false">J993*Resumo!$C$8</f>
        <v>0.8271</v>
      </c>
      <c r="P993" s="39" t="n">
        <f aca="false">Resumo!$C$10*CEILING(I993/100,1)</f>
        <v>1</v>
      </c>
      <c r="Q993" s="39" t="n">
        <f aca="false">Resumo!$C$9</f>
        <v>11.9</v>
      </c>
      <c r="R993" s="39" t="n">
        <f aca="false">SUM(M993:Q993)*Resumo!$C$11</f>
        <v>5.007981</v>
      </c>
      <c r="S993" s="39" t="n">
        <f aca="false">SUM(M993:R993)</f>
        <v>96.062181</v>
      </c>
      <c r="T993" s="39" t="n">
        <f aca="false">S993/(1-Resumo!$C$5)</f>
        <v>109.161569318182</v>
      </c>
      <c r="U993" s="39" t="n">
        <v>108.83</v>
      </c>
      <c r="V993" s="39" t="n">
        <f aca="false">J993*Resumo!$B$6</f>
        <v>0.41355</v>
      </c>
      <c r="W993" s="39" t="n">
        <f aca="false">J993*Resumo!$B$7</f>
        <v>0.8271</v>
      </c>
      <c r="X993" s="39" t="n">
        <f aca="false">Resumo!$B$9</f>
        <v>1</v>
      </c>
      <c r="Y993" s="39" t="n">
        <f aca="false">Resumo!$B$10*CEILING(I993/100,1)</f>
        <v>4.5</v>
      </c>
      <c r="Z993" s="39" t="n">
        <f aca="false">Resumo!$B$12*CEILING(I993,1)</f>
        <v>1.86</v>
      </c>
      <c r="AA993" s="39" t="n">
        <f aca="false">Resumo!$B$13*CEILING(I993,1)</f>
        <v>13.95</v>
      </c>
      <c r="AB993" s="39" t="n">
        <f aca="false">SUM(U993:AA993)</f>
        <v>131.38065</v>
      </c>
      <c r="AC993" s="39" t="n">
        <f aca="false">AB993/(1-Resumo!$B$5)</f>
        <v>149.296193181818</v>
      </c>
      <c r="AD993" s="39" t="n">
        <f aca="false">(AB993-AA993)/(1-Resumo!$B$5)</f>
        <v>133.443920454545</v>
      </c>
      <c r="AE993" s="39" t="n">
        <f aca="false">AC993-T993</f>
        <v>40.1346238636364</v>
      </c>
      <c r="AF993" s="40" t="n">
        <f aca="false">AC993/T993-1</f>
        <v>0.36766257680533</v>
      </c>
      <c r="AG993" s="37" t="str">
        <f aca="false">IF(AC993&lt;T993,"SIM","NÃO")</f>
        <v>NÃO</v>
      </c>
      <c r="AH993" s="37" t="n">
        <v>13</v>
      </c>
      <c r="AI993" s="37" t="n">
        <v>10</v>
      </c>
      <c r="AJ993" s="37" t="s">
        <v>327</v>
      </c>
    </row>
    <row r="994" customFormat="false" ht="15" hidden="false" customHeight="false" outlineLevel="0" collapsed="false">
      <c r="A994" s="37" t="n">
        <v>376401079</v>
      </c>
      <c r="B994" s="38" t="n">
        <v>46248.5845023148</v>
      </c>
      <c r="C994" s="37" t="s">
        <v>320</v>
      </c>
      <c r="D994" s="37" t="s">
        <v>1270</v>
      </c>
      <c r="E994" s="37" t="n">
        <v>25946244</v>
      </c>
      <c r="F994" s="37" t="s">
        <v>220</v>
      </c>
      <c r="G994" s="37" t="s">
        <v>201</v>
      </c>
      <c r="H994" s="37" t="s">
        <v>168</v>
      </c>
      <c r="I994" s="37" t="n">
        <v>27.6</v>
      </c>
      <c r="J994" s="39" t="n">
        <v>579.59</v>
      </c>
      <c r="K994" s="37" t="s">
        <v>498</v>
      </c>
      <c r="L994" s="39" t="n">
        <v>108.26</v>
      </c>
      <c r="M994" s="39" t="n">
        <v>76.5</v>
      </c>
      <c r="N994" s="39" t="n">
        <f aca="false">J994*Resumo!$C$7</f>
        <v>1.15918</v>
      </c>
      <c r="O994" s="39" t="n">
        <f aca="false">J994*Resumo!$C$8</f>
        <v>1.15918</v>
      </c>
      <c r="P994" s="39" t="n">
        <f aca="false">Resumo!$C$10*CEILING(I994/100,1)</f>
        <v>1</v>
      </c>
      <c r="Q994" s="39" t="n">
        <f aca="false">Resumo!$C$9</f>
        <v>11.9</v>
      </c>
      <c r="R994" s="39" t="n">
        <f aca="false">SUM(M994:Q994)*Resumo!$C$11</f>
        <v>5.0445098</v>
      </c>
      <c r="S994" s="39" t="n">
        <f aca="false">SUM(M994:R994)</f>
        <v>96.7628698</v>
      </c>
      <c r="T994" s="39" t="n">
        <f aca="false">S994/(1-Resumo!$C$5)</f>
        <v>109.957806590909</v>
      </c>
      <c r="U994" s="39" t="n">
        <v>103.28</v>
      </c>
      <c r="V994" s="39" t="n">
        <f aca="false">J994*Resumo!$B$6</f>
        <v>0.57959</v>
      </c>
      <c r="W994" s="39" t="n">
        <f aca="false">J994*Resumo!$B$7</f>
        <v>1.15918</v>
      </c>
      <c r="X994" s="39" t="n">
        <f aca="false">Resumo!$B$9</f>
        <v>1</v>
      </c>
      <c r="Y994" s="39" t="n">
        <f aca="false">Resumo!$B$10*CEILING(I994/100,1)</f>
        <v>4.5</v>
      </c>
      <c r="Z994" s="39" t="n">
        <f aca="false">Resumo!$B$12*CEILING(I994,1)</f>
        <v>1.68</v>
      </c>
      <c r="AA994" s="39" t="n">
        <f aca="false">Resumo!$B$13*CEILING(I994,1)</f>
        <v>12.6</v>
      </c>
      <c r="AB994" s="39" t="n">
        <f aca="false">SUM(U994:AA994)</f>
        <v>124.79877</v>
      </c>
      <c r="AC994" s="39" t="n">
        <f aca="false">AB994/(1-Resumo!$B$5)</f>
        <v>141.816784090909</v>
      </c>
      <c r="AD994" s="39" t="n">
        <f aca="false">(AB994-AA994)/(1-Resumo!$B$5)</f>
        <v>127.498602272727</v>
      </c>
      <c r="AE994" s="39" t="n">
        <f aca="false">AC994-T994</f>
        <v>31.8589775</v>
      </c>
      <c r="AF994" s="40" t="n">
        <f aca="false">AC994/T994-1</f>
        <v>0.289738204932818</v>
      </c>
      <c r="AG994" s="37" t="str">
        <f aca="false">IF(AC994&lt;T994,"SIM","NÃO")</f>
        <v>NÃO</v>
      </c>
      <c r="AH994" s="37" t="n">
        <v>13</v>
      </c>
      <c r="AI994" s="37" t="n">
        <v>6</v>
      </c>
      <c r="AJ994" s="37" t="s">
        <v>327</v>
      </c>
    </row>
    <row r="995" customFormat="false" ht="15" hidden="false" customHeight="false" outlineLevel="0" collapsed="false">
      <c r="A995" s="37" t="n">
        <v>376430225</v>
      </c>
      <c r="B995" s="38" t="n">
        <v>46248.6290162037</v>
      </c>
      <c r="C995" s="37" t="s">
        <v>320</v>
      </c>
      <c r="D995" s="37" t="s">
        <v>1271</v>
      </c>
      <c r="E995" s="37" t="n">
        <v>26510608</v>
      </c>
      <c r="F995" s="37" t="s">
        <v>224</v>
      </c>
      <c r="G995" s="37" t="s">
        <v>207</v>
      </c>
      <c r="H995" s="37" t="s">
        <v>167</v>
      </c>
      <c r="I995" s="37" t="n">
        <v>19.5</v>
      </c>
      <c r="J995" s="39" t="n">
        <v>379.99</v>
      </c>
      <c r="K995" s="37" t="s">
        <v>498</v>
      </c>
      <c r="L995" s="39" t="n">
        <v>77.18</v>
      </c>
      <c r="M995" s="39" t="n">
        <v>48.69</v>
      </c>
      <c r="N995" s="39" t="n">
        <f aca="false">J995*Resumo!$C$7</f>
        <v>0.75998</v>
      </c>
      <c r="O995" s="39" t="n">
        <f aca="false">J995*Resumo!$C$8</f>
        <v>0.75998</v>
      </c>
      <c r="P995" s="39" t="n">
        <f aca="false">Resumo!$C$10*CEILING(I995/100,1)</f>
        <v>1</v>
      </c>
      <c r="Q995" s="39" t="n">
        <f aca="false">Resumo!$C$9</f>
        <v>11.9</v>
      </c>
      <c r="R995" s="39" t="n">
        <f aca="false">SUM(M995:Q995)*Resumo!$C$11</f>
        <v>3.4710478</v>
      </c>
      <c r="S995" s="39" t="n">
        <f aca="false">SUM(M995:R995)</f>
        <v>66.5810078</v>
      </c>
      <c r="T995" s="39" t="n">
        <f aca="false">S995/(1-Resumo!$C$5)</f>
        <v>75.6602361363636</v>
      </c>
      <c r="U995" s="39" t="n">
        <v>46.98</v>
      </c>
      <c r="V995" s="39" t="n">
        <f aca="false">J995*Resumo!$B$6</f>
        <v>0.37999</v>
      </c>
      <c r="W995" s="39" t="n">
        <f aca="false">J995*Resumo!$B$7</f>
        <v>0.75998</v>
      </c>
      <c r="X995" s="39" t="n">
        <f aca="false">Resumo!$B$9</f>
        <v>1</v>
      </c>
      <c r="Y995" s="39" t="n">
        <f aca="false">Resumo!$B$10*CEILING(I995/100,1)</f>
        <v>4.5</v>
      </c>
      <c r="Z995" s="39" t="n">
        <f aca="false">Resumo!$B$12*CEILING(I995,1)</f>
        <v>1.2</v>
      </c>
      <c r="AA995" s="39" t="n">
        <f aca="false">Resumo!$B$13*CEILING(I995,1)</f>
        <v>9</v>
      </c>
      <c r="AB995" s="39" t="n">
        <f aca="false">SUM(U995:AA995)</f>
        <v>63.81997</v>
      </c>
      <c r="AC995" s="39" t="n">
        <f aca="false">AB995/(1-Resumo!$B$5)</f>
        <v>72.5226931818182</v>
      </c>
      <c r="AD995" s="39" t="n">
        <f aca="false">(AB995-AA995)/(1-Resumo!$B$5)</f>
        <v>62.2954204545455</v>
      </c>
      <c r="AE995" s="39" t="n">
        <f aca="false">AC995-T995</f>
        <v>-3.13754295454545</v>
      </c>
      <c r="AF995" s="40" t="n">
        <f aca="false">AC995/T995-1</f>
        <v>-0.0414688496199062</v>
      </c>
      <c r="AG995" s="37" t="str">
        <f aca="false">IF(AC995&lt;T995,"SIM","NÃO")</f>
        <v>SIM</v>
      </c>
      <c r="AH995" s="37" t="n">
        <v>10</v>
      </c>
      <c r="AI995" s="37" t="n">
        <v>5</v>
      </c>
      <c r="AJ995" s="37" t="s">
        <v>327</v>
      </c>
    </row>
    <row r="996" customFormat="false" ht="15" hidden="false" customHeight="false" outlineLevel="0" collapsed="false">
      <c r="A996" s="37" t="n">
        <v>376436018</v>
      </c>
      <c r="B996" s="38" t="n">
        <v>46248.63875</v>
      </c>
      <c r="C996" s="37" t="s">
        <v>320</v>
      </c>
      <c r="D996" s="37" t="s">
        <v>1272</v>
      </c>
      <c r="E996" s="37" t="n">
        <v>24425470</v>
      </c>
      <c r="F996" s="37" t="s">
        <v>140</v>
      </c>
      <c r="G996" s="37" t="s">
        <v>207</v>
      </c>
      <c r="H996" s="37" t="s">
        <v>171</v>
      </c>
      <c r="I996" s="37" t="n">
        <v>52.3</v>
      </c>
      <c r="J996" s="39" t="n">
        <v>577.12</v>
      </c>
      <c r="K996" s="37" t="s">
        <v>498</v>
      </c>
      <c r="L996" s="39" t="n">
        <v>127.1</v>
      </c>
      <c r="M996" s="39" t="n">
        <v>91.6</v>
      </c>
      <c r="N996" s="39" t="n">
        <f aca="false">J996*Resumo!$C$7</f>
        <v>1.15424</v>
      </c>
      <c r="O996" s="39" t="n">
        <f aca="false">J996*Resumo!$C$8</f>
        <v>1.15424</v>
      </c>
      <c r="P996" s="39" t="n">
        <f aca="false">Resumo!$C$10*CEILING(I996/100,1)</f>
        <v>1</v>
      </c>
      <c r="Q996" s="39" t="n">
        <f aca="false">Resumo!$C$9</f>
        <v>11.9</v>
      </c>
      <c r="R996" s="39" t="n">
        <f aca="false">SUM(M996:Q996)*Resumo!$C$11</f>
        <v>5.8744664</v>
      </c>
      <c r="S996" s="39" t="n">
        <f aca="false">SUM(M996:R996)</f>
        <v>112.6829464</v>
      </c>
      <c r="T996" s="39" t="n">
        <f aca="false">S996/(1-Resumo!$C$5)</f>
        <v>128.048802727273</v>
      </c>
      <c r="U996" s="39" t="n">
        <v>128.14</v>
      </c>
      <c r="V996" s="39" t="n">
        <f aca="false">J996*Resumo!$B$6</f>
        <v>0.57712</v>
      </c>
      <c r="W996" s="39" t="n">
        <f aca="false">J996*Resumo!$B$7</f>
        <v>1.15424</v>
      </c>
      <c r="X996" s="39" t="n">
        <f aca="false">Resumo!$B$9</f>
        <v>1</v>
      </c>
      <c r="Y996" s="39" t="n">
        <f aca="false">Resumo!$B$10*CEILING(I996/100,1)</f>
        <v>4.5</v>
      </c>
      <c r="Z996" s="39" t="n">
        <f aca="false">Resumo!$B$12*CEILING(I996,1)</f>
        <v>3.18</v>
      </c>
      <c r="AA996" s="39" t="n">
        <f aca="false">Resumo!$B$13*CEILING(I996,1)</f>
        <v>23.85</v>
      </c>
      <c r="AB996" s="39" t="n">
        <f aca="false">SUM(U996:AA996)</f>
        <v>162.40136</v>
      </c>
      <c r="AC996" s="39" t="n">
        <f aca="false">AB996/(1-Resumo!$B$5)</f>
        <v>184.547</v>
      </c>
      <c r="AD996" s="39" t="n">
        <f aca="false">(AB996-AA996)/(1-Resumo!$B$5)</f>
        <v>157.444727272727</v>
      </c>
      <c r="AE996" s="39" t="n">
        <f aca="false">AC996-T996</f>
        <v>56.4981972727273</v>
      </c>
      <c r="AF996" s="40" t="n">
        <f aca="false">AC996/T996-1</f>
        <v>0.441223940164916</v>
      </c>
      <c r="AG996" s="37" t="str">
        <f aca="false">IF(AC996&lt;T996,"SIM","NÃO")</f>
        <v>NÃO</v>
      </c>
      <c r="AH996" s="37" t="n">
        <v>10</v>
      </c>
      <c r="AI996" s="37" t="n">
        <v>7</v>
      </c>
      <c r="AJ996" s="37" t="s">
        <v>323</v>
      </c>
    </row>
    <row r="997" customFormat="false" ht="15" hidden="false" customHeight="false" outlineLevel="0" collapsed="false">
      <c r="A997" s="37" t="n">
        <v>376460320</v>
      </c>
      <c r="B997" s="38" t="n">
        <v>46248.689849537</v>
      </c>
      <c r="C997" s="37" t="s">
        <v>320</v>
      </c>
      <c r="D997" s="37" t="s">
        <v>1273</v>
      </c>
      <c r="E997" s="37" t="n">
        <v>24931740</v>
      </c>
      <c r="F997" s="37" t="s">
        <v>151</v>
      </c>
      <c r="G997" s="37" t="s">
        <v>201</v>
      </c>
      <c r="H997" s="37" t="s">
        <v>171</v>
      </c>
      <c r="I997" s="37" t="n">
        <v>52.3</v>
      </c>
      <c r="J997" s="39" t="n">
        <v>699.99</v>
      </c>
      <c r="K997" s="37" t="s">
        <v>498</v>
      </c>
      <c r="L997" s="39" t="n">
        <v>142.01</v>
      </c>
      <c r="M997" s="39" t="n">
        <v>103.6</v>
      </c>
      <c r="N997" s="39" t="n">
        <f aca="false">J997*Resumo!$C$7</f>
        <v>1.39998</v>
      </c>
      <c r="O997" s="39" t="n">
        <f aca="false">J997*Resumo!$C$8</f>
        <v>1.39998</v>
      </c>
      <c r="P997" s="39" t="n">
        <f aca="false">Resumo!$C$10*CEILING(I997/100,1)</f>
        <v>1</v>
      </c>
      <c r="Q997" s="39" t="n">
        <f aca="false">Resumo!$C$9</f>
        <v>11.9</v>
      </c>
      <c r="R997" s="39" t="n">
        <f aca="false">SUM(M997:Q997)*Resumo!$C$11</f>
        <v>6.5614978</v>
      </c>
      <c r="S997" s="39" t="n">
        <f aca="false">SUM(M997:R997)</f>
        <v>125.8614578</v>
      </c>
      <c r="T997" s="39" t="n">
        <f aca="false">S997/(1-Resumo!$C$5)</f>
        <v>143.024383863636</v>
      </c>
      <c r="U997" s="39" t="n">
        <v>128.14</v>
      </c>
      <c r="V997" s="39" t="n">
        <f aca="false">J997*Resumo!$B$6</f>
        <v>0.69999</v>
      </c>
      <c r="W997" s="39" t="n">
        <f aca="false">J997*Resumo!$B$7</f>
        <v>1.39998</v>
      </c>
      <c r="X997" s="39" t="n">
        <f aca="false">Resumo!$B$9</f>
        <v>1</v>
      </c>
      <c r="Y997" s="39" t="n">
        <f aca="false">Resumo!$B$10*CEILING(I997/100,1)</f>
        <v>4.5</v>
      </c>
      <c r="Z997" s="39" t="n">
        <f aca="false">Resumo!$B$12*CEILING(I997,1)</f>
        <v>3.18</v>
      </c>
      <c r="AA997" s="39" t="n">
        <f aca="false">Resumo!$B$13*CEILING(I997,1)</f>
        <v>23.85</v>
      </c>
      <c r="AB997" s="39" t="n">
        <f aca="false">SUM(U997:AA997)</f>
        <v>162.76997</v>
      </c>
      <c r="AC997" s="39" t="n">
        <f aca="false">AB997/(1-Resumo!$B$5)</f>
        <v>184.965875</v>
      </c>
      <c r="AD997" s="39" t="n">
        <f aca="false">(AB997-AA997)/(1-Resumo!$B$5)</f>
        <v>157.863602272727</v>
      </c>
      <c r="AE997" s="39" t="n">
        <f aca="false">AC997-T997</f>
        <v>41.9414911363636</v>
      </c>
      <c r="AF997" s="40" t="n">
        <f aca="false">AC997/T997-1</f>
        <v>0.293247137329757</v>
      </c>
      <c r="AG997" s="37" t="str">
        <f aca="false">IF(AC997&lt;T997,"SIM","NÃO")</f>
        <v>NÃO</v>
      </c>
      <c r="AH997" s="37" t="n">
        <v>13</v>
      </c>
      <c r="AI997" s="37" t="n">
        <v>7</v>
      </c>
      <c r="AJ997" s="37" t="s">
        <v>323</v>
      </c>
    </row>
    <row r="998" customFormat="false" ht="15" hidden="false" customHeight="false" outlineLevel="0" collapsed="false">
      <c r="A998" s="37" t="n">
        <v>376463395</v>
      </c>
      <c r="B998" s="38" t="n">
        <v>46248.6982523148</v>
      </c>
      <c r="C998" s="37" t="s">
        <v>341</v>
      </c>
      <c r="D998" s="37" t="s">
        <v>1274</v>
      </c>
      <c r="E998" s="37" t="n">
        <v>21921730</v>
      </c>
      <c r="F998" s="37" t="s">
        <v>139</v>
      </c>
      <c r="G998" s="37" t="s">
        <v>198</v>
      </c>
      <c r="H998" s="37" t="s">
        <v>168</v>
      </c>
      <c r="I998" s="37" t="n">
        <v>27.6</v>
      </c>
      <c r="J998" s="39" t="n">
        <v>659.99</v>
      </c>
      <c r="K998" s="37" t="s">
        <v>322</v>
      </c>
      <c r="L998" s="39" t="n">
        <v>83.49</v>
      </c>
      <c r="M998" s="39" t="n">
        <v>54.1</v>
      </c>
      <c r="N998" s="39" t="n">
        <f aca="false">J998*Resumo!$C$7</f>
        <v>1.31998</v>
      </c>
      <c r="O998" s="39" t="n">
        <f aca="false">J998*Resumo!$C$8</f>
        <v>1.31998</v>
      </c>
      <c r="P998" s="39" t="n">
        <f aca="false">Resumo!$C$10*CEILING(I998/100,1)</f>
        <v>1</v>
      </c>
      <c r="Q998" s="39" t="n">
        <f aca="false">Resumo!$C$9</f>
        <v>11.9</v>
      </c>
      <c r="R998" s="39" t="n">
        <f aca="false">SUM(M998:Q998)*Resumo!$C$11</f>
        <v>3.8301978</v>
      </c>
      <c r="S998" s="39" t="n">
        <f aca="false">SUM(M998:R998)</f>
        <v>73.4701578</v>
      </c>
      <c r="T998" s="39" t="n">
        <f aca="false">S998/(1-Resumo!$C$5)</f>
        <v>83.4888156818182</v>
      </c>
      <c r="U998" s="39" t="n">
        <v>82.21</v>
      </c>
      <c r="V998" s="39" t="n">
        <f aca="false">J998*Resumo!$B$6</f>
        <v>0.65999</v>
      </c>
      <c r="W998" s="39" t="n">
        <f aca="false">J998*Resumo!$B$7</f>
        <v>1.31998</v>
      </c>
      <c r="X998" s="39" t="n">
        <f aca="false">Resumo!$B$9</f>
        <v>1</v>
      </c>
      <c r="Y998" s="39" t="n">
        <f aca="false">Resumo!$B$10*CEILING(I998/100,1)</f>
        <v>4.5</v>
      </c>
      <c r="Z998" s="39" t="n">
        <f aca="false">Resumo!$B$12*CEILING(I998,1)</f>
        <v>1.68</v>
      </c>
      <c r="AA998" s="39" t="n">
        <f aca="false">Resumo!$B$13*CEILING(I998,1)</f>
        <v>12.6</v>
      </c>
      <c r="AB998" s="39" t="n">
        <f aca="false">SUM(U998:AA998)</f>
        <v>103.96997</v>
      </c>
      <c r="AC998" s="39" t="n">
        <f aca="false">AB998/(1-Resumo!$B$5)</f>
        <v>118.147693181818</v>
      </c>
      <c r="AD998" s="39" t="n">
        <f aca="false">(AB998-AA998)/(1-Resumo!$B$5)</f>
        <v>103.829511363636</v>
      </c>
      <c r="AE998" s="39" t="n">
        <f aca="false">AC998-T998</f>
        <v>34.6588775</v>
      </c>
      <c r="AF998" s="40" t="n">
        <f aca="false">AC998/T998-1</f>
        <v>0.415131981654734</v>
      </c>
      <c r="AG998" s="37" t="str">
        <f aca="false">IF(AC998&lt;T998,"SIM","NÃO")</f>
        <v>NÃO</v>
      </c>
      <c r="AH998" s="37" t="n">
        <v>8</v>
      </c>
      <c r="AI998" s="37" t="n">
        <v>5</v>
      </c>
      <c r="AJ998" s="37" t="s">
        <v>323</v>
      </c>
    </row>
    <row r="999" customFormat="false" ht="15" hidden="false" customHeight="false" outlineLevel="0" collapsed="false">
      <c r="A999" s="37" t="n">
        <v>376471749</v>
      </c>
      <c r="B999" s="38" t="n">
        <v>46248.7050694445</v>
      </c>
      <c r="C999" s="37" t="s">
        <v>320</v>
      </c>
      <c r="D999" s="37" t="s">
        <v>1275</v>
      </c>
      <c r="E999" s="37" t="n">
        <v>21920001</v>
      </c>
      <c r="F999" s="37" t="s">
        <v>139</v>
      </c>
      <c r="G999" s="37" t="s">
        <v>198</v>
      </c>
      <c r="H999" s="37" t="s">
        <v>171</v>
      </c>
      <c r="I999" s="37" t="n">
        <v>52.3</v>
      </c>
      <c r="J999" s="39" t="n">
        <v>577.12</v>
      </c>
      <c r="K999" s="37" t="s">
        <v>322</v>
      </c>
      <c r="L999" s="39" t="n">
        <v>113.91</v>
      </c>
      <c r="M999" s="39" t="n">
        <v>79.81</v>
      </c>
      <c r="N999" s="39" t="n">
        <f aca="false">J999*Resumo!$C$7</f>
        <v>1.15424</v>
      </c>
      <c r="O999" s="39" t="n">
        <f aca="false">J999*Resumo!$C$8</f>
        <v>1.15424</v>
      </c>
      <c r="P999" s="39" t="n">
        <f aca="false">Resumo!$C$10*CEILING(I999/100,1)</f>
        <v>1</v>
      </c>
      <c r="Q999" s="39" t="n">
        <f aca="false">Resumo!$C$9</f>
        <v>11.9</v>
      </c>
      <c r="R999" s="39" t="n">
        <f aca="false">SUM(M999:Q999)*Resumo!$C$11</f>
        <v>5.2260164</v>
      </c>
      <c r="S999" s="39" t="n">
        <f aca="false">SUM(M999:R999)</f>
        <v>100.2444964</v>
      </c>
      <c r="T999" s="39" t="n">
        <f aca="false">S999/(1-Resumo!$C$5)</f>
        <v>113.914200454545</v>
      </c>
      <c r="U999" s="39" t="n">
        <v>112.3</v>
      </c>
      <c r="V999" s="39" t="n">
        <f aca="false">J999*Resumo!$B$6</f>
        <v>0.57712</v>
      </c>
      <c r="W999" s="39" t="n">
        <f aca="false">J999*Resumo!$B$7</f>
        <v>1.15424</v>
      </c>
      <c r="X999" s="39" t="n">
        <f aca="false">Resumo!$B$9</f>
        <v>1</v>
      </c>
      <c r="Y999" s="39" t="n">
        <f aca="false">Resumo!$B$10*CEILING(I999/100,1)</f>
        <v>4.5</v>
      </c>
      <c r="Z999" s="39" t="n">
        <f aca="false">Resumo!$B$12*CEILING(I999,1)</f>
        <v>3.18</v>
      </c>
      <c r="AA999" s="39" t="n">
        <f aca="false">Resumo!$B$13*CEILING(I999,1)</f>
        <v>23.85</v>
      </c>
      <c r="AB999" s="39" t="n">
        <f aca="false">SUM(U999:AA999)</f>
        <v>146.56136</v>
      </c>
      <c r="AC999" s="39" t="n">
        <f aca="false">AB999/(1-Resumo!$B$5)</f>
        <v>166.547</v>
      </c>
      <c r="AD999" s="39" t="n">
        <f aca="false">(AB999-AA999)/(1-Resumo!$B$5)</f>
        <v>139.444727272727</v>
      </c>
      <c r="AE999" s="39" t="n">
        <f aca="false">AC999-T999</f>
        <v>52.6327995454545</v>
      </c>
      <c r="AF999" s="40" t="n">
        <f aca="false">AC999/T999-1</f>
        <v>0.462038967358212</v>
      </c>
      <c r="AG999" s="37" t="str">
        <f aca="false">IF(AC999&lt;T999,"SIM","NÃO")</f>
        <v>NÃO</v>
      </c>
      <c r="AH999" s="37" t="n">
        <v>8</v>
      </c>
      <c r="AI999" s="37" t="n">
        <v>5</v>
      </c>
      <c r="AJ999" s="37" t="s">
        <v>323</v>
      </c>
    </row>
    <row r="1000" customFormat="false" ht="15" hidden="false" customHeight="false" outlineLevel="0" collapsed="false">
      <c r="A1000" s="37" t="n">
        <v>376482644</v>
      </c>
      <c r="B1000" s="38" t="n">
        <v>46248.7369328704</v>
      </c>
      <c r="C1000" s="37" t="s">
        <v>355</v>
      </c>
      <c r="D1000" s="37" t="s">
        <v>1276</v>
      </c>
      <c r="E1000" s="37" t="n">
        <v>28040630</v>
      </c>
      <c r="F1000" s="37" t="s">
        <v>144</v>
      </c>
      <c r="G1000" s="37" t="s">
        <v>201</v>
      </c>
      <c r="H1000" s="37" t="s">
        <v>171</v>
      </c>
      <c r="I1000" s="37" t="n">
        <v>56.7</v>
      </c>
      <c r="J1000" s="39" t="n">
        <v>783.99</v>
      </c>
      <c r="K1000" s="37" t="s">
        <v>498</v>
      </c>
      <c r="L1000" s="39" t="n">
        <v>144.47</v>
      </c>
      <c r="M1000" s="39" t="n">
        <v>103.6</v>
      </c>
      <c r="N1000" s="39" t="n">
        <f aca="false">J1000*Resumo!$C$7</f>
        <v>1.56798</v>
      </c>
      <c r="O1000" s="39" t="n">
        <f aca="false">J1000*Resumo!$C$8</f>
        <v>1.56798</v>
      </c>
      <c r="P1000" s="39" t="n">
        <f aca="false">Resumo!$C$10*CEILING(I1000/100,1)</f>
        <v>1</v>
      </c>
      <c r="Q1000" s="39" t="n">
        <f aca="false">Resumo!$C$9</f>
        <v>11.9</v>
      </c>
      <c r="R1000" s="39" t="n">
        <f aca="false">SUM(M1000:Q1000)*Resumo!$C$11</f>
        <v>6.5799778</v>
      </c>
      <c r="S1000" s="39" t="n">
        <f aca="false">SUM(M1000:R1000)</f>
        <v>126.2159378</v>
      </c>
      <c r="T1000" s="39" t="n">
        <f aca="false">S1000/(1-Resumo!$C$5)</f>
        <v>143.427202045455</v>
      </c>
      <c r="U1000" s="39" t="n">
        <v>162.04</v>
      </c>
      <c r="V1000" s="39" t="n">
        <f aca="false">J1000*Resumo!$B$6</f>
        <v>0.78399</v>
      </c>
      <c r="W1000" s="39" t="n">
        <f aca="false">J1000*Resumo!$B$7</f>
        <v>1.56798</v>
      </c>
      <c r="X1000" s="39" t="n">
        <f aca="false">Resumo!$B$9</f>
        <v>1</v>
      </c>
      <c r="Y1000" s="39" t="n">
        <f aca="false">Resumo!$B$10*CEILING(I1000/100,1)</f>
        <v>4.5</v>
      </c>
      <c r="Z1000" s="39" t="n">
        <f aca="false">Resumo!$B$12*CEILING(I1000,1)</f>
        <v>3.42</v>
      </c>
      <c r="AA1000" s="39" t="n">
        <f aca="false">Resumo!$B$13*CEILING(I1000,1)</f>
        <v>25.65</v>
      </c>
      <c r="AB1000" s="39" t="n">
        <f aca="false">SUM(U1000:AA1000)</f>
        <v>198.96197</v>
      </c>
      <c r="AC1000" s="39" t="n">
        <f aca="false">AB1000/(1-Resumo!$B$5)</f>
        <v>226.093147727273</v>
      </c>
      <c r="AD1000" s="39" t="n">
        <f aca="false">(AB1000-AA1000)/(1-Resumo!$B$5)</f>
        <v>196.945420454545</v>
      </c>
      <c r="AE1000" s="39" t="n">
        <f aca="false">AC1000-T1000</f>
        <v>82.6659456818182</v>
      </c>
      <c r="AF1000" s="40" t="n">
        <f aca="false">AC1000/T1000-1</f>
        <v>0.57636169780137</v>
      </c>
      <c r="AG1000" s="37" t="str">
        <f aca="false">IF(AC1000&lt;T1000,"SIM","NÃO")</f>
        <v>NÃO</v>
      </c>
      <c r="AH1000" s="37" t="n">
        <v>13</v>
      </c>
      <c r="AI1000" s="37" t="n">
        <v>11</v>
      </c>
      <c r="AJ1000" s="37" t="s">
        <v>323</v>
      </c>
    </row>
    <row r="1001" customFormat="false" ht="15" hidden="false" customHeight="false" outlineLevel="0" collapsed="false">
      <c r="A1001" s="37" t="n">
        <v>376495168</v>
      </c>
      <c r="B1001" s="38" t="n">
        <v>46248.7449768519</v>
      </c>
      <c r="C1001" s="37" t="s">
        <v>320</v>
      </c>
      <c r="D1001" s="37" t="s">
        <v>1277</v>
      </c>
      <c r="E1001" s="37" t="n">
        <v>24944232</v>
      </c>
      <c r="F1001" s="37" t="s">
        <v>151</v>
      </c>
      <c r="G1001" s="37" t="s">
        <v>201</v>
      </c>
      <c r="H1001" s="37" t="s">
        <v>172</v>
      </c>
      <c r="I1001" s="37" t="n">
        <v>66.8</v>
      </c>
      <c r="J1001" s="39" t="n">
        <v>719.99</v>
      </c>
      <c r="K1001" s="37" t="s">
        <v>498</v>
      </c>
      <c r="L1001" s="39" t="n">
        <v>156.78</v>
      </c>
      <c r="M1001" s="39" t="n">
        <v>113.9</v>
      </c>
      <c r="N1001" s="39" t="n">
        <f aca="false">J1001*Resumo!$C$7</f>
        <v>1.43998</v>
      </c>
      <c r="O1001" s="39" t="n">
        <f aca="false">J1001*Resumo!$C$8</f>
        <v>1.43998</v>
      </c>
      <c r="P1001" s="39" t="n">
        <f aca="false">Resumo!$C$10*CEILING(I1001/100,1)</f>
        <v>1</v>
      </c>
      <c r="Q1001" s="39" t="n">
        <f aca="false">Resumo!$C$9</f>
        <v>11.9</v>
      </c>
      <c r="R1001" s="39" t="n">
        <f aca="false">SUM(M1001:Q1001)*Resumo!$C$11</f>
        <v>7.1323978</v>
      </c>
      <c r="S1001" s="39" t="n">
        <f aca="false">SUM(M1001:R1001)</f>
        <v>136.8123578</v>
      </c>
      <c r="T1001" s="39" t="n">
        <f aca="false">S1001/(1-Resumo!$C$5)</f>
        <v>155.468588409091</v>
      </c>
      <c r="U1001" s="39" t="n">
        <v>149.5</v>
      </c>
      <c r="V1001" s="39" t="n">
        <f aca="false">J1001*Resumo!$B$6</f>
        <v>0.71999</v>
      </c>
      <c r="W1001" s="39" t="n">
        <f aca="false">J1001*Resumo!$B$7</f>
        <v>1.43998</v>
      </c>
      <c r="X1001" s="39" t="n">
        <f aca="false">Resumo!$B$9</f>
        <v>1</v>
      </c>
      <c r="Y1001" s="39" t="n">
        <f aca="false">Resumo!$B$10*CEILING(I1001/100,1)</f>
        <v>4.5</v>
      </c>
      <c r="Z1001" s="39" t="n">
        <f aca="false">Resumo!$B$12*CEILING(I1001,1)</f>
        <v>4.02</v>
      </c>
      <c r="AA1001" s="39" t="n">
        <f aca="false">Resumo!$B$13*CEILING(I1001,1)</f>
        <v>30.15</v>
      </c>
      <c r="AB1001" s="39" t="n">
        <f aca="false">SUM(U1001:AA1001)</f>
        <v>191.32997</v>
      </c>
      <c r="AC1001" s="39" t="n">
        <f aca="false">AB1001/(1-Resumo!$B$5)</f>
        <v>217.420420454545</v>
      </c>
      <c r="AD1001" s="39" t="n">
        <f aca="false">(AB1001-AA1001)/(1-Resumo!$B$5)</f>
        <v>183.159056818182</v>
      </c>
      <c r="AE1001" s="39" t="n">
        <f aca="false">AC1001-T1001</f>
        <v>61.9518320454546</v>
      </c>
      <c r="AF1001" s="40" t="n">
        <f aca="false">AC1001/T1001-1</f>
        <v>0.398484559996378</v>
      </c>
      <c r="AG1001" s="37" t="str">
        <f aca="false">IF(AC1001&lt;T1001,"SIM","NÃO")</f>
        <v>NÃO</v>
      </c>
      <c r="AH1001" s="37" t="n">
        <v>13</v>
      </c>
      <c r="AI1001" s="37" t="n">
        <v>7</v>
      </c>
      <c r="AJ1001" s="37" t="s">
        <v>323</v>
      </c>
    </row>
    <row r="1002" customFormat="false" ht="15" hidden="false" customHeight="false" outlineLevel="0" collapsed="false">
      <c r="A1002" s="37" t="n">
        <v>376502286</v>
      </c>
      <c r="B1002" s="38" t="n">
        <v>46248.7605092593</v>
      </c>
      <c r="C1002" s="37" t="s">
        <v>320</v>
      </c>
      <c r="D1002" s="37" t="s">
        <v>1278</v>
      </c>
      <c r="E1002" s="37" t="n">
        <v>21720070</v>
      </c>
      <c r="F1002" s="37" t="s">
        <v>139</v>
      </c>
      <c r="G1002" s="37" t="s">
        <v>198</v>
      </c>
      <c r="H1002" s="37" t="s">
        <v>170</v>
      </c>
      <c r="I1002" s="37" t="n">
        <v>41</v>
      </c>
      <c r="J1002" s="39" t="n">
        <v>559.99</v>
      </c>
      <c r="K1002" s="37" t="s">
        <v>322</v>
      </c>
      <c r="L1002" s="39" t="n">
        <v>103.27</v>
      </c>
      <c r="M1002" s="39" t="n">
        <v>71</v>
      </c>
      <c r="N1002" s="39" t="n">
        <f aca="false">J1002*Resumo!$C$7</f>
        <v>1.11998</v>
      </c>
      <c r="O1002" s="39" t="n">
        <f aca="false">J1002*Resumo!$C$8</f>
        <v>1.11998</v>
      </c>
      <c r="P1002" s="39" t="n">
        <f aca="false">Resumo!$C$10*CEILING(I1002/100,1)</f>
        <v>1</v>
      </c>
      <c r="Q1002" s="39" t="n">
        <f aca="false">Resumo!$C$9</f>
        <v>11.9</v>
      </c>
      <c r="R1002" s="39" t="n">
        <f aca="false">SUM(M1002:Q1002)*Resumo!$C$11</f>
        <v>4.7376978</v>
      </c>
      <c r="S1002" s="39" t="n">
        <f aca="false">SUM(M1002:R1002)</f>
        <v>90.8776578</v>
      </c>
      <c r="T1002" s="39" t="n">
        <f aca="false">S1002/(1-Resumo!$C$5)</f>
        <v>103.270065681818</v>
      </c>
      <c r="U1002" s="39" t="n">
        <v>93.97</v>
      </c>
      <c r="V1002" s="39" t="n">
        <f aca="false">J1002*Resumo!$B$6</f>
        <v>0.55999</v>
      </c>
      <c r="W1002" s="39" t="n">
        <f aca="false">J1002*Resumo!$B$7</f>
        <v>1.11998</v>
      </c>
      <c r="X1002" s="39" t="n">
        <f aca="false">Resumo!$B$9</f>
        <v>1</v>
      </c>
      <c r="Y1002" s="39" t="n">
        <f aca="false">Resumo!$B$10*CEILING(I1002/100,1)</f>
        <v>4.5</v>
      </c>
      <c r="Z1002" s="39" t="n">
        <f aca="false">Resumo!$B$12*CEILING(I1002,1)</f>
        <v>2.46</v>
      </c>
      <c r="AA1002" s="39" t="n">
        <f aca="false">Resumo!$B$13*CEILING(I1002,1)</f>
        <v>18.45</v>
      </c>
      <c r="AB1002" s="39" t="n">
        <f aca="false">SUM(U1002:AA1002)</f>
        <v>122.05997</v>
      </c>
      <c r="AC1002" s="39" t="n">
        <f aca="false">AB1002/(1-Resumo!$B$5)</f>
        <v>138.704511363636</v>
      </c>
      <c r="AD1002" s="39" t="n">
        <f aca="false">(AB1002-AA1002)/(1-Resumo!$B$5)</f>
        <v>117.738602272727</v>
      </c>
      <c r="AE1002" s="39" t="n">
        <f aca="false">AC1002-T1002</f>
        <v>35.4344456818182</v>
      </c>
      <c r="AF1002" s="40" t="n">
        <f aca="false">AC1002/T1002-1</f>
        <v>0.343124074221024</v>
      </c>
      <c r="AG1002" s="37" t="str">
        <f aca="false">IF(AC1002&lt;T1002,"SIM","NÃO")</f>
        <v>NÃO</v>
      </c>
      <c r="AH1002" s="37" t="n">
        <v>8</v>
      </c>
      <c r="AI1002" s="37" t="n">
        <v>5</v>
      </c>
      <c r="AJ1002" s="37" t="s">
        <v>323</v>
      </c>
    </row>
    <row r="1003" customFormat="false" ht="15" hidden="false" customHeight="false" outlineLevel="0" collapsed="false">
      <c r="A1003" s="37" t="n">
        <v>376509832</v>
      </c>
      <c r="B1003" s="38" t="n">
        <v>46248.7758796296</v>
      </c>
      <c r="C1003" s="37" t="s">
        <v>320</v>
      </c>
      <c r="D1003" s="37" t="s">
        <v>1279</v>
      </c>
      <c r="E1003" s="37" t="n">
        <v>21920115</v>
      </c>
      <c r="F1003" s="37" t="s">
        <v>139</v>
      </c>
      <c r="G1003" s="37" t="s">
        <v>198</v>
      </c>
      <c r="H1003" s="37" t="s">
        <v>171</v>
      </c>
      <c r="I1003" s="37" t="n">
        <v>52.3</v>
      </c>
      <c r="J1003" s="39" t="n">
        <v>604.56</v>
      </c>
      <c r="K1003" s="37" t="s">
        <v>322</v>
      </c>
      <c r="L1003" s="39" t="n">
        <v>114.05</v>
      </c>
      <c r="M1003" s="39" t="n">
        <v>79.81</v>
      </c>
      <c r="N1003" s="39" t="n">
        <f aca="false">J1003*Resumo!$C$7</f>
        <v>1.20912</v>
      </c>
      <c r="O1003" s="39" t="n">
        <f aca="false">J1003*Resumo!$C$8</f>
        <v>1.20912</v>
      </c>
      <c r="P1003" s="39" t="n">
        <f aca="false">Resumo!$C$10*CEILING(I1003/100,1)</f>
        <v>1</v>
      </c>
      <c r="Q1003" s="39" t="n">
        <f aca="false">Resumo!$C$9</f>
        <v>11.9</v>
      </c>
      <c r="R1003" s="39" t="n">
        <f aca="false">SUM(M1003:Q1003)*Resumo!$C$11</f>
        <v>5.2320532</v>
      </c>
      <c r="S1003" s="39" t="n">
        <f aca="false">SUM(M1003:R1003)</f>
        <v>100.3602932</v>
      </c>
      <c r="T1003" s="39" t="n">
        <f aca="false">S1003/(1-Resumo!$C$5)</f>
        <v>114.045787727273</v>
      </c>
      <c r="U1003" s="39" t="n">
        <v>112.3</v>
      </c>
      <c r="V1003" s="39" t="n">
        <f aca="false">J1003*Resumo!$B$6</f>
        <v>0.60456</v>
      </c>
      <c r="W1003" s="39" t="n">
        <f aca="false">J1003*Resumo!$B$7</f>
        <v>1.20912</v>
      </c>
      <c r="X1003" s="39" t="n">
        <f aca="false">Resumo!$B$9</f>
        <v>1</v>
      </c>
      <c r="Y1003" s="39" t="n">
        <f aca="false">Resumo!$B$10*CEILING(I1003/100,1)</f>
        <v>4.5</v>
      </c>
      <c r="Z1003" s="39" t="n">
        <f aca="false">Resumo!$B$12*CEILING(I1003,1)</f>
        <v>3.18</v>
      </c>
      <c r="AA1003" s="39" t="n">
        <f aca="false">Resumo!$B$13*CEILING(I1003,1)</f>
        <v>23.85</v>
      </c>
      <c r="AB1003" s="39" t="n">
        <f aca="false">SUM(U1003:AA1003)</f>
        <v>146.64368</v>
      </c>
      <c r="AC1003" s="39" t="n">
        <f aca="false">AB1003/(1-Resumo!$B$5)</f>
        <v>166.640545454545</v>
      </c>
      <c r="AD1003" s="39" t="n">
        <f aca="false">(AB1003-AA1003)/(1-Resumo!$B$5)</f>
        <v>139.538272727273</v>
      </c>
      <c r="AE1003" s="39" t="n">
        <f aca="false">AC1003-T1003</f>
        <v>52.5947577272727</v>
      </c>
      <c r="AF1003" s="40" t="n">
        <f aca="false">AC1003/T1003-1</f>
        <v>0.461172295578746</v>
      </c>
      <c r="AG1003" s="37" t="str">
        <f aca="false">IF(AC1003&lt;T1003,"SIM","NÃO")</f>
        <v>NÃO</v>
      </c>
      <c r="AH1003" s="37" t="n">
        <v>8</v>
      </c>
      <c r="AI1003" s="37" t="n">
        <v>5</v>
      </c>
      <c r="AJ1003" s="37" t="s">
        <v>323</v>
      </c>
    </row>
    <row r="1004" customFormat="false" ht="15" hidden="false" customHeight="false" outlineLevel="0" collapsed="false">
      <c r="A1004" s="37" t="n">
        <v>376509854</v>
      </c>
      <c r="B1004" s="38" t="n">
        <v>46248.7759606482</v>
      </c>
      <c r="C1004" s="37" t="s">
        <v>320</v>
      </c>
      <c r="D1004" s="37" t="s">
        <v>1280</v>
      </c>
      <c r="E1004" s="37" t="n">
        <v>28090115</v>
      </c>
      <c r="F1004" s="37" t="s">
        <v>144</v>
      </c>
      <c r="G1004" s="37" t="s">
        <v>201</v>
      </c>
      <c r="H1004" s="37" t="s">
        <v>170</v>
      </c>
      <c r="I1004" s="37" t="n">
        <v>46.8</v>
      </c>
      <c r="J1004" s="39" t="n">
        <v>506.56</v>
      </c>
      <c r="K1004" s="37" t="s">
        <v>498</v>
      </c>
      <c r="L1004" s="39" t="n">
        <v>131.33</v>
      </c>
      <c r="M1004" s="39" t="n">
        <v>94</v>
      </c>
      <c r="N1004" s="39" t="n">
        <f aca="false">J1004*Resumo!$C$7</f>
        <v>1.01312</v>
      </c>
      <c r="O1004" s="39" t="n">
        <f aca="false">J1004*Resumo!$C$8</f>
        <v>1.01312</v>
      </c>
      <c r="P1004" s="39" t="n">
        <f aca="false">Resumo!$C$10*CEILING(I1004/100,1)</f>
        <v>1</v>
      </c>
      <c r="Q1004" s="39" t="n">
        <f aca="false">Resumo!$C$9</f>
        <v>11.9</v>
      </c>
      <c r="R1004" s="39" t="n">
        <f aca="false">SUM(M1004:Q1004)*Resumo!$C$11</f>
        <v>5.9909432</v>
      </c>
      <c r="S1004" s="39" t="n">
        <f aca="false">SUM(M1004:R1004)</f>
        <v>114.9171832</v>
      </c>
      <c r="T1004" s="39" t="n">
        <f aca="false">S1004/(1-Resumo!$C$5)</f>
        <v>130.587708181818</v>
      </c>
      <c r="U1004" s="39" t="n">
        <v>152.54</v>
      </c>
      <c r="V1004" s="39" t="n">
        <f aca="false">J1004*Resumo!$B$6</f>
        <v>0.50656</v>
      </c>
      <c r="W1004" s="39" t="n">
        <f aca="false">J1004*Resumo!$B$7</f>
        <v>1.01312</v>
      </c>
      <c r="X1004" s="39" t="n">
        <f aca="false">Resumo!$B$9</f>
        <v>1</v>
      </c>
      <c r="Y1004" s="39" t="n">
        <f aca="false">Resumo!$B$10*CEILING(I1004/100,1)</f>
        <v>4.5</v>
      </c>
      <c r="Z1004" s="39" t="n">
        <f aca="false">Resumo!$B$12*CEILING(I1004,1)</f>
        <v>2.82</v>
      </c>
      <c r="AA1004" s="39" t="n">
        <f aca="false">Resumo!$B$13*CEILING(I1004,1)</f>
        <v>21.15</v>
      </c>
      <c r="AB1004" s="39" t="n">
        <f aca="false">SUM(U1004:AA1004)</f>
        <v>183.52968</v>
      </c>
      <c r="AC1004" s="39" t="n">
        <f aca="false">AB1004/(1-Resumo!$B$5)</f>
        <v>208.556454545455</v>
      </c>
      <c r="AD1004" s="39" t="n">
        <f aca="false">(AB1004-AA1004)/(1-Resumo!$B$5)</f>
        <v>184.522363636364</v>
      </c>
      <c r="AE1004" s="39" t="n">
        <f aca="false">AC1004-T1004</f>
        <v>77.9687463636363</v>
      </c>
      <c r="AF1004" s="40" t="n">
        <f aca="false">AC1004/T1004-1</f>
        <v>0.597060377651164</v>
      </c>
      <c r="AG1004" s="37" t="str">
        <f aca="false">IF(AC1004&lt;T1004,"SIM","NÃO")</f>
        <v>NÃO</v>
      </c>
      <c r="AH1004" s="37" t="n">
        <v>13</v>
      </c>
      <c r="AI1004" s="37" t="n">
        <v>11</v>
      </c>
      <c r="AJ1004" s="37" t="s">
        <v>323</v>
      </c>
    </row>
    <row r="1005" customFormat="false" ht="15" hidden="false" customHeight="false" outlineLevel="0" collapsed="false">
      <c r="A1005" s="37" t="n">
        <v>376527254</v>
      </c>
      <c r="B1005" s="38" t="n">
        <v>46248.8066898148</v>
      </c>
      <c r="C1005" s="37" t="s">
        <v>325</v>
      </c>
      <c r="D1005" s="37" t="s">
        <v>1281</v>
      </c>
      <c r="E1005" s="37" t="n">
        <v>22470230</v>
      </c>
      <c r="F1005" s="37" t="s">
        <v>139</v>
      </c>
      <c r="G1005" s="37" t="s">
        <v>198</v>
      </c>
      <c r="H1005" s="37" t="s">
        <v>167</v>
      </c>
      <c r="I1005" s="37" t="n">
        <v>17.2</v>
      </c>
      <c r="J1005" s="39" t="n">
        <v>228</v>
      </c>
      <c r="K1005" s="37" t="s">
        <v>498</v>
      </c>
      <c r="L1005" s="39" t="n">
        <v>64.86</v>
      </c>
      <c r="M1005" s="39" t="n">
        <v>39.83</v>
      </c>
      <c r="N1005" s="39" t="n">
        <f aca="false">J1005*Resumo!$C$7</f>
        <v>0.456</v>
      </c>
      <c r="O1005" s="39" t="n">
        <f aca="false">J1005*Resumo!$C$8</f>
        <v>0.456</v>
      </c>
      <c r="P1005" s="39" t="n">
        <f aca="false">Resumo!$C$10*CEILING(I1005/100,1)</f>
        <v>1</v>
      </c>
      <c r="Q1005" s="39" t="n">
        <f aca="false">Resumo!$C$9</f>
        <v>11.9</v>
      </c>
      <c r="R1005" s="39" t="n">
        <f aca="false">SUM(M1005:Q1005)*Resumo!$C$11</f>
        <v>2.95031</v>
      </c>
      <c r="S1005" s="39" t="n">
        <f aca="false">SUM(M1005:R1005)</f>
        <v>56.59231</v>
      </c>
      <c r="T1005" s="39" t="n">
        <f aca="false">S1005/(1-Resumo!$C$5)</f>
        <v>64.3094431818182</v>
      </c>
      <c r="U1005" s="39" t="n">
        <v>46.98</v>
      </c>
      <c r="V1005" s="39" t="n">
        <f aca="false">J1005*Resumo!$B$6</f>
        <v>0.228</v>
      </c>
      <c r="W1005" s="39" t="n">
        <f aca="false">J1005*Resumo!$B$7</f>
        <v>0.456</v>
      </c>
      <c r="X1005" s="39" t="n">
        <f aca="false">Resumo!$B$9</f>
        <v>1</v>
      </c>
      <c r="Y1005" s="39" t="n">
        <f aca="false">Resumo!$B$10*CEILING(I1005/100,1)</f>
        <v>4.5</v>
      </c>
      <c r="Z1005" s="39" t="n">
        <f aca="false">Resumo!$B$12*CEILING(I1005,1)</f>
        <v>1.08</v>
      </c>
      <c r="AA1005" s="39" t="n">
        <f aca="false">Resumo!$B$13*CEILING(I1005,1)</f>
        <v>8.1</v>
      </c>
      <c r="AB1005" s="39" t="n">
        <f aca="false">SUM(U1005:AA1005)</f>
        <v>62.344</v>
      </c>
      <c r="AC1005" s="39" t="n">
        <f aca="false">AB1005/(1-Resumo!$B$5)</f>
        <v>70.8454545454545</v>
      </c>
      <c r="AD1005" s="39" t="n">
        <f aca="false">(AB1005-AA1005)/(1-Resumo!$B$5)</f>
        <v>61.6409090909091</v>
      </c>
      <c r="AE1005" s="39" t="n">
        <f aca="false">AC1005-T1005</f>
        <v>6.53601136363636</v>
      </c>
      <c r="AF1005" s="40" t="n">
        <f aca="false">AC1005/T1005-1</f>
        <v>0.10163377321053</v>
      </c>
      <c r="AG1005" s="37" t="str">
        <f aca="false">IF(AC1005&lt;T1005,"SIM","NÃO")</f>
        <v>NÃO</v>
      </c>
      <c r="AH1005" s="37" t="n">
        <v>8</v>
      </c>
      <c r="AI1005" s="37" t="n">
        <v>5</v>
      </c>
      <c r="AJ1005" s="37" t="s">
        <v>323</v>
      </c>
    </row>
    <row r="1006" customFormat="false" ht="15" hidden="false" customHeight="false" outlineLevel="0" collapsed="false">
      <c r="A1006" s="37" t="n">
        <v>376533384</v>
      </c>
      <c r="B1006" s="38" t="n">
        <v>46248.8166550926</v>
      </c>
      <c r="C1006" s="37" t="s">
        <v>320</v>
      </c>
      <c r="D1006" s="37" t="s">
        <v>394</v>
      </c>
      <c r="E1006" s="37" t="n">
        <v>24110310</v>
      </c>
      <c r="F1006" s="37" t="s">
        <v>143</v>
      </c>
      <c r="G1006" s="37" t="s">
        <v>207</v>
      </c>
      <c r="H1006" s="37" t="s">
        <v>171</v>
      </c>
      <c r="I1006" s="37" t="n">
        <v>52.3</v>
      </c>
      <c r="J1006" s="39" t="n">
        <v>604.56</v>
      </c>
      <c r="K1006" s="37" t="s">
        <v>322</v>
      </c>
      <c r="L1006" s="39" t="n">
        <v>128.18</v>
      </c>
      <c r="M1006" s="39" t="n">
        <v>91.6</v>
      </c>
      <c r="N1006" s="39" t="n">
        <f aca="false">J1006*Resumo!$C$7</f>
        <v>1.20912</v>
      </c>
      <c r="O1006" s="39" t="n">
        <f aca="false">J1006*Resumo!$C$8</f>
        <v>1.20912</v>
      </c>
      <c r="P1006" s="39" t="n">
        <f aca="false">Resumo!$C$10*CEILING(I1006/100,1)</f>
        <v>1</v>
      </c>
      <c r="Q1006" s="39" t="n">
        <f aca="false">Resumo!$C$9</f>
        <v>11.9</v>
      </c>
      <c r="R1006" s="39" t="n">
        <f aca="false">SUM(M1006:Q1006)*Resumo!$C$11</f>
        <v>5.8805032</v>
      </c>
      <c r="S1006" s="39" t="n">
        <f aca="false">SUM(M1006:R1006)</f>
        <v>112.7987432</v>
      </c>
      <c r="T1006" s="39" t="n">
        <f aca="false">S1006/(1-Resumo!$C$5)</f>
        <v>128.18039</v>
      </c>
      <c r="U1006" s="39" t="n">
        <v>128.14</v>
      </c>
      <c r="V1006" s="39" t="n">
        <f aca="false">J1006*Resumo!$B$6</f>
        <v>0.60456</v>
      </c>
      <c r="W1006" s="39" t="n">
        <f aca="false">J1006*Resumo!$B$7</f>
        <v>1.20912</v>
      </c>
      <c r="X1006" s="39" t="n">
        <f aca="false">Resumo!$B$9</f>
        <v>1</v>
      </c>
      <c r="Y1006" s="39" t="n">
        <f aca="false">Resumo!$B$10*CEILING(I1006/100,1)</f>
        <v>4.5</v>
      </c>
      <c r="Z1006" s="39" t="n">
        <f aca="false">Resumo!$B$12*CEILING(I1006,1)</f>
        <v>3.18</v>
      </c>
      <c r="AA1006" s="39" t="n">
        <f aca="false">Resumo!$B$13*CEILING(I1006,1)</f>
        <v>23.85</v>
      </c>
      <c r="AB1006" s="39" t="n">
        <f aca="false">SUM(U1006:AA1006)</f>
        <v>162.48368</v>
      </c>
      <c r="AC1006" s="39" t="n">
        <f aca="false">AB1006/(1-Resumo!$B$5)</f>
        <v>184.640545454545</v>
      </c>
      <c r="AD1006" s="39" t="n">
        <f aca="false">(AB1006-AA1006)/(1-Resumo!$B$5)</f>
        <v>157.538272727273</v>
      </c>
      <c r="AE1006" s="39" t="n">
        <f aca="false">AC1006-T1006</f>
        <v>56.4601554545455</v>
      </c>
      <c r="AF1006" s="40" t="n">
        <f aca="false">AC1006/T1006-1</f>
        <v>0.440474205567212</v>
      </c>
      <c r="AG1006" s="37" t="str">
        <f aca="false">IF(AC1006&lt;T1006,"SIM","NÃO")</f>
        <v>NÃO</v>
      </c>
      <c r="AH1006" s="37" t="n">
        <v>10</v>
      </c>
      <c r="AI1006" s="37" t="n">
        <v>7</v>
      </c>
      <c r="AJ1006" s="37" t="s">
        <v>323</v>
      </c>
    </row>
    <row r="1007" customFormat="false" ht="15" hidden="false" customHeight="false" outlineLevel="0" collapsed="false">
      <c r="A1007" s="37" t="n">
        <v>376539722</v>
      </c>
      <c r="B1007" s="38" t="n">
        <v>46248.8289467593</v>
      </c>
      <c r="C1007" s="37" t="s">
        <v>320</v>
      </c>
      <c r="D1007" s="37" t="s">
        <v>1039</v>
      </c>
      <c r="E1007" s="37" t="n">
        <v>28080095</v>
      </c>
      <c r="F1007" s="37" t="s">
        <v>144</v>
      </c>
      <c r="G1007" s="37" t="s">
        <v>201</v>
      </c>
      <c r="H1007" s="37" t="s">
        <v>170</v>
      </c>
      <c r="I1007" s="37" t="n">
        <v>46.8</v>
      </c>
      <c r="J1007" s="39" t="n">
        <v>506.56</v>
      </c>
      <c r="K1007" s="37" t="s">
        <v>498</v>
      </c>
      <c r="L1007" s="39" t="n">
        <v>131.33</v>
      </c>
      <c r="M1007" s="39" t="n">
        <v>94</v>
      </c>
      <c r="N1007" s="39" t="n">
        <f aca="false">J1007*Resumo!$C$7</f>
        <v>1.01312</v>
      </c>
      <c r="O1007" s="39" t="n">
        <f aca="false">J1007*Resumo!$C$8</f>
        <v>1.01312</v>
      </c>
      <c r="P1007" s="39" t="n">
        <f aca="false">Resumo!$C$10*CEILING(I1007/100,1)</f>
        <v>1</v>
      </c>
      <c r="Q1007" s="39" t="n">
        <f aca="false">Resumo!$C$9</f>
        <v>11.9</v>
      </c>
      <c r="R1007" s="39" t="n">
        <f aca="false">SUM(M1007:Q1007)*Resumo!$C$11</f>
        <v>5.9909432</v>
      </c>
      <c r="S1007" s="39" t="n">
        <f aca="false">SUM(M1007:R1007)</f>
        <v>114.9171832</v>
      </c>
      <c r="T1007" s="39" t="n">
        <f aca="false">S1007/(1-Resumo!$C$5)</f>
        <v>130.587708181818</v>
      </c>
      <c r="U1007" s="39" t="n">
        <v>152.54</v>
      </c>
      <c r="V1007" s="39" t="n">
        <f aca="false">J1007*Resumo!$B$6</f>
        <v>0.50656</v>
      </c>
      <c r="W1007" s="39" t="n">
        <f aca="false">J1007*Resumo!$B$7</f>
        <v>1.01312</v>
      </c>
      <c r="X1007" s="39" t="n">
        <f aca="false">Resumo!$B$9</f>
        <v>1</v>
      </c>
      <c r="Y1007" s="39" t="n">
        <f aca="false">Resumo!$B$10*CEILING(I1007/100,1)</f>
        <v>4.5</v>
      </c>
      <c r="Z1007" s="39" t="n">
        <f aca="false">Resumo!$B$12*CEILING(I1007,1)</f>
        <v>2.82</v>
      </c>
      <c r="AA1007" s="39" t="n">
        <f aca="false">Resumo!$B$13*CEILING(I1007,1)</f>
        <v>21.15</v>
      </c>
      <c r="AB1007" s="39" t="n">
        <f aca="false">SUM(U1007:AA1007)</f>
        <v>183.52968</v>
      </c>
      <c r="AC1007" s="39" t="n">
        <f aca="false">AB1007/(1-Resumo!$B$5)</f>
        <v>208.556454545455</v>
      </c>
      <c r="AD1007" s="39" t="n">
        <f aca="false">(AB1007-AA1007)/(1-Resumo!$B$5)</f>
        <v>184.522363636364</v>
      </c>
      <c r="AE1007" s="39" t="n">
        <f aca="false">AC1007-T1007</f>
        <v>77.9687463636363</v>
      </c>
      <c r="AF1007" s="40" t="n">
        <f aca="false">AC1007/T1007-1</f>
        <v>0.597060377651164</v>
      </c>
      <c r="AG1007" s="37" t="str">
        <f aca="false">IF(AC1007&lt;T1007,"SIM","NÃO")</f>
        <v>NÃO</v>
      </c>
      <c r="AH1007" s="37" t="n">
        <v>13</v>
      </c>
      <c r="AI1007" s="37" t="n">
        <v>11</v>
      </c>
      <c r="AJ1007" s="37" t="s">
        <v>323</v>
      </c>
    </row>
    <row r="1008" customFormat="false" ht="15" hidden="false" customHeight="false" outlineLevel="0" collapsed="false">
      <c r="A1008" s="37" t="n">
        <v>376546687</v>
      </c>
      <c r="B1008" s="38" t="n">
        <v>46248.8427662037</v>
      </c>
      <c r="C1008" s="37" t="s">
        <v>320</v>
      </c>
      <c r="D1008" s="37" t="s">
        <v>1282</v>
      </c>
      <c r="E1008" s="37" t="n">
        <v>20761120</v>
      </c>
      <c r="F1008" s="37" t="s">
        <v>139</v>
      </c>
      <c r="G1008" s="37" t="s">
        <v>198</v>
      </c>
      <c r="H1008" s="37" t="s">
        <v>168</v>
      </c>
      <c r="I1008" s="37" t="n">
        <v>27.5</v>
      </c>
      <c r="J1008" s="39" t="n">
        <v>369.99</v>
      </c>
      <c r="K1008" s="37" t="s">
        <v>322</v>
      </c>
      <c r="L1008" s="39" t="n">
        <v>82.1</v>
      </c>
      <c r="M1008" s="39" t="n">
        <v>54.1</v>
      </c>
      <c r="N1008" s="39" t="n">
        <f aca="false">J1008*Resumo!$C$7</f>
        <v>0.73998</v>
      </c>
      <c r="O1008" s="39" t="n">
        <f aca="false">J1008*Resumo!$C$8</f>
        <v>0.73998</v>
      </c>
      <c r="P1008" s="39" t="n">
        <f aca="false">Resumo!$C$10*CEILING(I1008/100,1)</f>
        <v>1</v>
      </c>
      <c r="Q1008" s="39" t="n">
        <f aca="false">Resumo!$C$9</f>
        <v>11.9</v>
      </c>
      <c r="R1008" s="39" t="n">
        <f aca="false">SUM(M1008:Q1008)*Resumo!$C$11</f>
        <v>3.7663978</v>
      </c>
      <c r="S1008" s="39" t="n">
        <f aca="false">SUM(M1008:R1008)</f>
        <v>72.2463578</v>
      </c>
      <c r="T1008" s="39" t="n">
        <f aca="false">S1008/(1-Resumo!$C$5)</f>
        <v>82.0981338636364</v>
      </c>
      <c r="U1008" s="39" t="n">
        <v>82.21</v>
      </c>
      <c r="V1008" s="39" t="n">
        <f aca="false">J1008*Resumo!$B$6</f>
        <v>0.36999</v>
      </c>
      <c r="W1008" s="39" t="n">
        <f aca="false">J1008*Resumo!$B$7</f>
        <v>0.73998</v>
      </c>
      <c r="X1008" s="39" t="n">
        <f aca="false">Resumo!$B$9</f>
        <v>1</v>
      </c>
      <c r="Y1008" s="39" t="n">
        <f aca="false">Resumo!$B$10*CEILING(I1008/100,1)</f>
        <v>4.5</v>
      </c>
      <c r="Z1008" s="39" t="n">
        <f aca="false">Resumo!$B$12*CEILING(I1008,1)</f>
        <v>1.68</v>
      </c>
      <c r="AA1008" s="39" t="n">
        <f aca="false">Resumo!$B$13*CEILING(I1008,1)</f>
        <v>12.6</v>
      </c>
      <c r="AB1008" s="39" t="n">
        <f aca="false">SUM(U1008:AA1008)</f>
        <v>103.09997</v>
      </c>
      <c r="AC1008" s="39" t="n">
        <f aca="false">AB1008/(1-Resumo!$B$5)</f>
        <v>117.159056818182</v>
      </c>
      <c r="AD1008" s="39" t="n">
        <f aca="false">(AB1008-AA1008)/(1-Resumo!$B$5)</f>
        <v>102.840875</v>
      </c>
      <c r="AE1008" s="39" t="n">
        <f aca="false">AC1008-T1008</f>
        <v>35.0609229545454</v>
      </c>
      <c r="AF1008" s="40" t="n">
        <f aca="false">AC1008/T1008-1</f>
        <v>0.427061143835267</v>
      </c>
      <c r="AG1008" s="37" t="str">
        <f aca="false">IF(AC1008&lt;T1008,"SIM","NÃO")</f>
        <v>NÃO</v>
      </c>
      <c r="AH1008" s="37" t="n">
        <v>8</v>
      </c>
      <c r="AI1008" s="37" t="n">
        <v>5</v>
      </c>
      <c r="AJ1008" s="37" t="s">
        <v>323</v>
      </c>
    </row>
    <row r="1009" customFormat="false" ht="15" hidden="false" customHeight="false" outlineLevel="0" collapsed="false">
      <c r="A1009" s="37" t="n">
        <v>376564917</v>
      </c>
      <c r="B1009" s="38" t="n">
        <v>46248.8745949074</v>
      </c>
      <c r="C1009" s="37" t="s">
        <v>320</v>
      </c>
      <c r="D1009" s="37" t="s">
        <v>1283</v>
      </c>
      <c r="E1009" s="37" t="n">
        <v>28635360</v>
      </c>
      <c r="F1009" s="37" t="s">
        <v>157</v>
      </c>
      <c r="G1009" s="37" t="s">
        <v>201</v>
      </c>
      <c r="H1009" s="37" t="s">
        <v>168</v>
      </c>
      <c r="I1009" s="37" t="n">
        <v>31.9</v>
      </c>
      <c r="J1009" s="39" t="n">
        <v>518.79</v>
      </c>
      <c r="K1009" s="37" t="s">
        <v>498</v>
      </c>
      <c r="L1009" s="39" t="n">
        <v>110.01</v>
      </c>
      <c r="M1009" s="39" t="n">
        <v>76.5</v>
      </c>
      <c r="N1009" s="39" t="n">
        <f aca="false">J1009*Resumo!$C$7</f>
        <v>1.03758</v>
      </c>
      <c r="O1009" s="39" t="n">
        <f aca="false">J1009*Resumo!$C$8</f>
        <v>1.03758</v>
      </c>
      <c r="P1009" s="39" t="n">
        <f aca="false">Resumo!$C$10*CEILING(I1009/100,1)</f>
        <v>1</v>
      </c>
      <c r="Q1009" s="39" t="n">
        <f aca="false">Resumo!$C$9</f>
        <v>11.9</v>
      </c>
      <c r="R1009" s="39" t="n">
        <f aca="false">SUM(M1009:Q1009)*Resumo!$C$11</f>
        <v>5.0311338</v>
      </c>
      <c r="S1009" s="39" t="n">
        <f aca="false">SUM(M1009:R1009)</f>
        <v>96.5062938</v>
      </c>
      <c r="T1009" s="39" t="n">
        <f aca="false">S1009/(1-Resumo!$C$5)</f>
        <v>109.666242954545</v>
      </c>
      <c r="U1009" s="39" t="n">
        <v>120.78</v>
      </c>
      <c r="V1009" s="39" t="n">
        <f aca="false">J1009*Resumo!$B$6</f>
        <v>0.51879</v>
      </c>
      <c r="W1009" s="39" t="n">
        <f aca="false">J1009*Resumo!$B$7</f>
        <v>1.03758</v>
      </c>
      <c r="X1009" s="39" t="n">
        <f aca="false">Resumo!$B$9</f>
        <v>1</v>
      </c>
      <c r="Y1009" s="39" t="n">
        <f aca="false">Resumo!$B$10*CEILING(I1009/100,1)</f>
        <v>4.5</v>
      </c>
      <c r="Z1009" s="39" t="n">
        <f aca="false">Resumo!$B$12*CEILING(I1009,1)</f>
        <v>1.92</v>
      </c>
      <c r="AA1009" s="39" t="n">
        <f aca="false">Resumo!$B$13*CEILING(I1009,1)</f>
        <v>14.4</v>
      </c>
      <c r="AB1009" s="39" t="n">
        <f aca="false">SUM(U1009:AA1009)</f>
        <v>144.15637</v>
      </c>
      <c r="AC1009" s="39" t="n">
        <f aca="false">AB1009/(1-Resumo!$B$5)</f>
        <v>163.814056818182</v>
      </c>
      <c r="AD1009" s="39" t="n">
        <f aca="false">(AB1009-AA1009)/(1-Resumo!$B$5)</f>
        <v>147.450420454545</v>
      </c>
      <c r="AE1009" s="39" t="n">
        <f aca="false">AC1009-T1009</f>
        <v>54.1478138636364</v>
      </c>
      <c r="AF1009" s="40" t="n">
        <f aca="false">AC1009/T1009-1</f>
        <v>0.493750970260553</v>
      </c>
      <c r="AG1009" s="37" t="str">
        <f aca="false">IF(AC1009&lt;T1009,"SIM","NÃO")</f>
        <v>NÃO</v>
      </c>
      <c r="AH1009" s="37" t="n">
        <v>13</v>
      </c>
      <c r="AI1009" s="37" t="n">
        <v>10</v>
      </c>
      <c r="AJ1009" s="37" t="s">
        <v>323</v>
      </c>
    </row>
    <row r="1010" customFormat="false" ht="15" hidden="false" customHeight="false" outlineLevel="0" collapsed="false">
      <c r="A1010" s="37" t="n">
        <v>376570991</v>
      </c>
      <c r="B1010" s="38" t="n">
        <v>46248.8852199074</v>
      </c>
      <c r="C1010" s="37" t="s">
        <v>320</v>
      </c>
      <c r="D1010" s="37" t="s">
        <v>1284</v>
      </c>
      <c r="E1010" s="37" t="n">
        <v>26554300</v>
      </c>
      <c r="F1010" s="37" t="s">
        <v>155</v>
      </c>
      <c r="G1010" s="37" t="s">
        <v>207</v>
      </c>
      <c r="H1010" s="37" t="s">
        <v>171</v>
      </c>
      <c r="I1010" s="37" t="n">
        <v>59.9</v>
      </c>
      <c r="J1010" s="39" t="n">
        <v>901.58</v>
      </c>
      <c r="K1010" s="37" t="s">
        <v>498</v>
      </c>
      <c r="L1010" s="39" t="n">
        <v>132.23</v>
      </c>
      <c r="M1010" s="39" t="n">
        <v>91.6</v>
      </c>
      <c r="N1010" s="39" t="n">
        <f aca="false">J1010*Resumo!$C$7</f>
        <v>1.80316</v>
      </c>
      <c r="O1010" s="39" t="n">
        <f aca="false">J1010*Resumo!$C$8</f>
        <v>1.80316</v>
      </c>
      <c r="P1010" s="39" t="n">
        <f aca="false">Resumo!$C$10*CEILING(I1010/100,1)</f>
        <v>1</v>
      </c>
      <c r="Q1010" s="39" t="n">
        <f aca="false">Resumo!$C$9</f>
        <v>11.9</v>
      </c>
      <c r="R1010" s="39" t="n">
        <f aca="false">SUM(M1010:Q1010)*Resumo!$C$11</f>
        <v>5.9458476</v>
      </c>
      <c r="S1010" s="39" t="n">
        <f aca="false">SUM(M1010:R1010)</f>
        <v>114.0521676</v>
      </c>
      <c r="T1010" s="39" t="n">
        <f aca="false">S1010/(1-Resumo!$C$5)</f>
        <v>129.604735909091</v>
      </c>
      <c r="U1010" s="39" t="n">
        <v>112.3</v>
      </c>
      <c r="V1010" s="39" t="n">
        <f aca="false">J1010*Resumo!$B$6</f>
        <v>0.90158</v>
      </c>
      <c r="W1010" s="39" t="n">
        <f aca="false">J1010*Resumo!$B$7</f>
        <v>1.80316</v>
      </c>
      <c r="X1010" s="39" t="n">
        <f aca="false">Resumo!$B$9</f>
        <v>1</v>
      </c>
      <c r="Y1010" s="39" t="n">
        <f aca="false">Resumo!$B$10*CEILING(I1010/100,1)</f>
        <v>4.5</v>
      </c>
      <c r="Z1010" s="39" t="n">
        <f aca="false">Resumo!$B$12*CEILING(I1010,1)</f>
        <v>3.6</v>
      </c>
      <c r="AA1010" s="39" t="n">
        <f aca="false">Resumo!$B$13*CEILING(I1010,1)</f>
        <v>27</v>
      </c>
      <c r="AB1010" s="39" t="n">
        <f aca="false">SUM(U1010:AA1010)</f>
        <v>151.10474</v>
      </c>
      <c r="AC1010" s="39" t="n">
        <f aca="false">AB1010/(1-Resumo!$B$5)</f>
        <v>171.709931818182</v>
      </c>
      <c r="AD1010" s="39" t="n">
        <f aca="false">(AB1010-AA1010)/(1-Resumo!$B$5)</f>
        <v>141.028113636364</v>
      </c>
      <c r="AE1010" s="39" t="n">
        <f aca="false">AC1010-T1010</f>
        <v>42.1051959090909</v>
      </c>
      <c r="AF1010" s="40" t="n">
        <f aca="false">AC1010/T1010-1</f>
        <v>0.324873899196283</v>
      </c>
      <c r="AG1010" s="37" t="str">
        <f aca="false">IF(AC1010&lt;T1010,"SIM","NÃO")</f>
        <v>NÃO</v>
      </c>
      <c r="AH1010" s="37" t="n">
        <v>10</v>
      </c>
      <c r="AI1010" s="37" t="n">
        <v>5</v>
      </c>
      <c r="AJ1010" s="37" t="s">
        <v>323</v>
      </c>
    </row>
    <row r="1011" customFormat="false" ht="15" hidden="false" customHeight="false" outlineLevel="0" collapsed="false">
      <c r="A1011" s="37" t="n">
        <v>376578207</v>
      </c>
      <c r="B1011" s="38" t="n">
        <v>46248.8966203704</v>
      </c>
      <c r="C1011" s="37" t="s">
        <v>320</v>
      </c>
      <c r="D1011" s="37" t="s">
        <v>1285</v>
      </c>
      <c r="E1011" s="37" t="n">
        <v>27250005</v>
      </c>
      <c r="F1011" s="37" t="s">
        <v>148</v>
      </c>
      <c r="G1011" s="37" t="s">
        <v>201</v>
      </c>
      <c r="H1011" s="37" t="s">
        <v>171</v>
      </c>
      <c r="I1011" s="37" t="n">
        <v>52.3</v>
      </c>
      <c r="J1011" s="39" t="n">
        <v>577.12</v>
      </c>
      <c r="K1011" s="37" t="s">
        <v>498</v>
      </c>
      <c r="L1011" s="39" t="n">
        <v>141.42</v>
      </c>
      <c r="M1011" s="39" t="n">
        <v>103.6</v>
      </c>
      <c r="N1011" s="39" t="n">
        <f aca="false">J1011*Resumo!$C$7</f>
        <v>1.15424</v>
      </c>
      <c r="O1011" s="39" t="n">
        <f aca="false">J1011*Resumo!$C$8</f>
        <v>1.15424</v>
      </c>
      <c r="P1011" s="39" t="n">
        <f aca="false">Resumo!$C$10*CEILING(I1011/100,1)</f>
        <v>1</v>
      </c>
      <c r="Q1011" s="39" t="n">
        <f aca="false">Resumo!$C$9</f>
        <v>11.9</v>
      </c>
      <c r="R1011" s="39" t="n">
        <f aca="false">SUM(M1011:Q1011)*Resumo!$C$11</f>
        <v>6.5344664</v>
      </c>
      <c r="S1011" s="39" t="n">
        <f aca="false">SUM(M1011:R1011)</f>
        <v>125.3429464</v>
      </c>
      <c r="T1011" s="39" t="n">
        <f aca="false">S1011/(1-Resumo!$C$5)</f>
        <v>142.435166363636</v>
      </c>
      <c r="U1011" s="39" t="n">
        <v>142.32</v>
      </c>
      <c r="V1011" s="39" t="n">
        <f aca="false">J1011*Resumo!$B$6</f>
        <v>0.57712</v>
      </c>
      <c r="W1011" s="39" t="n">
        <f aca="false">J1011*Resumo!$B$7</f>
        <v>1.15424</v>
      </c>
      <c r="X1011" s="39" t="n">
        <f aca="false">Resumo!$B$9</f>
        <v>1</v>
      </c>
      <c r="Y1011" s="39" t="n">
        <f aca="false">Resumo!$B$10*CEILING(I1011/100,1)</f>
        <v>4.5</v>
      </c>
      <c r="Z1011" s="39" t="n">
        <f aca="false">Resumo!$B$12*CEILING(I1011,1)</f>
        <v>3.18</v>
      </c>
      <c r="AA1011" s="39" t="n">
        <f aca="false">Resumo!$B$13*CEILING(I1011,1)</f>
        <v>23.85</v>
      </c>
      <c r="AB1011" s="39" t="n">
        <f aca="false">SUM(U1011:AA1011)</f>
        <v>176.58136</v>
      </c>
      <c r="AC1011" s="39" t="n">
        <f aca="false">AB1011/(1-Resumo!$B$5)</f>
        <v>200.660636363636</v>
      </c>
      <c r="AD1011" s="39" t="n">
        <f aca="false">(AB1011-AA1011)/(1-Resumo!$B$5)</f>
        <v>173.558363636364</v>
      </c>
      <c r="AE1011" s="39" t="n">
        <f aca="false">AC1011-T1011</f>
        <v>58.22547</v>
      </c>
      <c r="AF1011" s="40" t="n">
        <f aca="false">AC1011/T1011-1</f>
        <v>0.408785775918221</v>
      </c>
      <c r="AG1011" s="37" t="str">
        <f aca="false">IF(AC1011&lt;T1011,"SIM","NÃO")</f>
        <v>NÃO</v>
      </c>
      <c r="AH1011" s="37" t="n">
        <v>13</v>
      </c>
      <c r="AI1011" s="37" t="n">
        <v>10</v>
      </c>
      <c r="AJ1011" s="37" t="s">
        <v>323</v>
      </c>
    </row>
    <row r="1012" customFormat="false" ht="15" hidden="false" customHeight="false" outlineLevel="0" collapsed="false">
      <c r="A1012" s="37" t="n">
        <v>376585040</v>
      </c>
      <c r="B1012" s="38" t="n">
        <v>46248.909224537</v>
      </c>
      <c r="C1012" s="37" t="s">
        <v>325</v>
      </c>
      <c r="D1012" s="37" t="s">
        <v>1286</v>
      </c>
      <c r="E1012" s="37" t="n">
        <v>26215210</v>
      </c>
      <c r="F1012" s="37" t="s">
        <v>142</v>
      </c>
      <c r="G1012" s="37" t="s">
        <v>207</v>
      </c>
      <c r="H1012" s="37" t="s">
        <v>171</v>
      </c>
      <c r="I1012" s="37" t="n">
        <v>52.3</v>
      </c>
      <c r="J1012" s="39" t="n">
        <v>616.99</v>
      </c>
      <c r="K1012" s="37" t="s">
        <v>322</v>
      </c>
      <c r="L1012" s="39" t="n">
        <v>128.23</v>
      </c>
      <c r="M1012" s="39" t="n">
        <v>91.6</v>
      </c>
      <c r="N1012" s="39" t="n">
        <f aca="false">J1012*Resumo!$C$7</f>
        <v>1.23398</v>
      </c>
      <c r="O1012" s="39" t="n">
        <f aca="false">J1012*Resumo!$C$8</f>
        <v>1.23398</v>
      </c>
      <c r="P1012" s="39" t="n">
        <f aca="false">Resumo!$C$10*CEILING(I1012/100,1)</f>
        <v>1</v>
      </c>
      <c r="Q1012" s="39" t="n">
        <f aca="false">Resumo!$C$9</f>
        <v>11.9</v>
      </c>
      <c r="R1012" s="39" t="n">
        <f aca="false">SUM(M1012:Q1012)*Resumo!$C$11</f>
        <v>5.8832378</v>
      </c>
      <c r="S1012" s="39" t="n">
        <f aca="false">SUM(M1012:R1012)</f>
        <v>112.8511978</v>
      </c>
      <c r="T1012" s="39" t="n">
        <f aca="false">S1012/(1-Resumo!$C$5)</f>
        <v>128.2399975</v>
      </c>
      <c r="U1012" s="39" t="n">
        <v>112.3</v>
      </c>
      <c r="V1012" s="39" t="n">
        <f aca="false">J1012*Resumo!$B$6</f>
        <v>0.61699</v>
      </c>
      <c r="W1012" s="39" t="n">
        <f aca="false">J1012*Resumo!$B$7</f>
        <v>1.23398</v>
      </c>
      <c r="X1012" s="39" t="n">
        <f aca="false">Resumo!$B$9</f>
        <v>1</v>
      </c>
      <c r="Y1012" s="39" t="n">
        <f aca="false">Resumo!$B$10*CEILING(I1012/100,1)</f>
        <v>4.5</v>
      </c>
      <c r="Z1012" s="39" t="n">
        <f aca="false">Resumo!$B$12*CEILING(I1012,1)</f>
        <v>3.18</v>
      </c>
      <c r="AA1012" s="39" t="n">
        <f aca="false">Resumo!$B$13*CEILING(I1012,1)</f>
        <v>23.85</v>
      </c>
      <c r="AB1012" s="39" t="n">
        <f aca="false">SUM(U1012:AA1012)</f>
        <v>146.68097</v>
      </c>
      <c r="AC1012" s="39" t="n">
        <f aca="false">AB1012/(1-Resumo!$B$5)</f>
        <v>166.682920454545</v>
      </c>
      <c r="AD1012" s="39" t="n">
        <f aca="false">(AB1012-AA1012)/(1-Resumo!$B$5)</f>
        <v>139.580647727273</v>
      </c>
      <c r="AE1012" s="39" t="n">
        <f aca="false">AC1012-T1012</f>
        <v>38.4429229545455</v>
      </c>
      <c r="AF1012" s="40" t="n">
        <f aca="false">AC1012/T1012-1</f>
        <v>0.299773266562529</v>
      </c>
      <c r="AG1012" s="37" t="str">
        <f aca="false">IF(AC1012&lt;T1012,"SIM","NÃO")</f>
        <v>NÃO</v>
      </c>
      <c r="AH1012" s="37" t="n">
        <v>10</v>
      </c>
      <c r="AI1012" s="37" t="n">
        <v>5</v>
      </c>
      <c r="AJ1012" s="37" t="s">
        <v>323</v>
      </c>
    </row>
    <row r="1013" customFormat="false" ht="15" hidden="false" customHeight="false" outlineLevel="0" collapsed="false">
      <c r="A1013" s="37" t="n">
        <v>376585074</v>
      </c>
      <c r="B1013" s="38" t="n">
        <v>46248.9093171296</v>
      </c>
      <c r="C1013" s="37" t="s">
        <v>320</v>
      </c>
      <c r="D1013" s="37" t="s">
        <v>1287</v>
      </c>
      <c r="E1013" s="37" t="n">
        <v>23575275</v>
      </c>
      <c r="F1013" s="37" t="s">
        <v>139</v>
      </c>
      <c r="G1013" s="37" t="s">
        <v>198</v>
      </c>
      <c r="H1013" s="37" t="s">
        <v>169</v>
      </c>
      <c r="I1013" s="37" t="n">
        <v>36</v>
      </c>
      <c r="J1013" s="39" t="n">
        <v>449.99</v>
      </c>
      <c r="K1013" s="37" t="s">
        <v>498</v>
      </c>
      <c r="L1013" s="39" t="n">
        <v>92.08</v>
      </c>
      <c r="M1013" s="39" t="n">
        <v>62.05</v>
      </c>
      <c r="N1013" s="39" t="n">
        <f aca="false">J1013*Resumo!$C$7</f>
        <v>0.89998</v>
      </c>
      <c r="O1013" s="39" t="n">
        <f aca="false">J1013*Resumo!$C$8</f>
        <v>0.89998</v>
      </c>
      <c r="P1013" s="39" t="n">
        <f aca="false">Resumo!$C$10*CEILING(I1013/100,1)</f>
        <v>1</v>
      </c>
      <c r="Q1013" s="39" t="n">
        <f aca="false">Resumo!$C$9</f>
        <v>11.9</v>
      </c>
      <c r="R1013" s="39" t="n">
        <f aca="false">SUM(M1013:Q1013)*Resumo!$C$11</f>
        <v>4.2212478</v>
      </c>
      <c r="S1013" s="39" t="n">
        <f aca="false">SUM(M1013:R1013)</f>
        <v>80.9712078</v>
      </c>
      <c r="T1013" s="39" t="n">
        <f aca="false">S1013/(1-Resumo!$C$5)</f>
        <v>92.0127361363636</v>
      </c>
      <c r="U1013" s="39" t="n">
        <v>93.97</v>
      </c>
      <c r="V1013" s="39" t="n">
        <f aca="false">J1013*Resumo!$B$6</f>
        <v>0.44999</v>
      </c>
      <c r="W1013" s="39" t="n">
        <f aca="false">J1013*Resumo!$B$7</f>
        <v>0.89998</v>
      </c>
      <c r="X1013" s="39" t="n">
        <f aca="false">Resumo!$B$9</f>
        <v>1</v>
      </c>
      <c r="Y1013" s="39" t="n">
        <f aca="false">Resumo!$B$10*CEILING(I1013/100,1)</f>
        <v>4.5</v>
      </c>
      <c r="Z1013" s="39" t="n">
        <f aca="false">Resumo!$B$12*CEILING(I1013,1)</f>
        <v>2.16</v>
      </c>
      <c r="AA1013" s="39" t="n">
        <f aca="false">Resumo!$B$13*CEILING(I1013,1)</f>
        <v>16.2</v>
      </c>
      <c r="AB1013" s="39" t="n">
        <f aca="false">SUM(U1013:AA1013)</f>
        <v>119.17997</v>
      </c>
      <c r="AC1013" s="39" t="n">
        <f aca="false">AB1013/(1-Resumo!$B$5)</f>
        <v>135.431784090909</v>
      </c>
      <c r="AD1013" s="39" t="n">
        <f aca="false">(AB1013-AA1013)/(1-Resumo!$B$5)</f>
        <v>117.022693181818</v>
      </c>
      <c r="AE1013" s="39" t="n">
        <f aca="false">AC1013-T1013</f>
        <v>43.4190479545454</v>
      </c>
      <c r="AF1013" s="40" t="n">
        <f aca="false">AC1013/T1013-1</f>
        <v>0.471880847996934</v>
      </c>
      <c r="AG1013" s="37" t="str">
        <f aca="false">IF(AC1013&lt;T1013,"SIM","NÃO")</f>
        <v>NÃO</v>
      </c>
      <c r="AH1013" s="37" t="n">
        <v>8</v>
      </c>
      <c r="AI1013" s="37" t="n">
        <v>5</v>
      </c>
      <c r="AJ1013" s="37" t="s">
        <v>323</v>
      </c>
    </row>
    <row r="1014" customFormat="false" ht="15" hidden="false" customHeight="false" outlineLevel="0" collapsed="false">
      <c r="A1014" s="37" t="n">
        <v>376588503</v>
      </c>
      <c r="B1014" s="38" t="n">
        <v>46248.9150925926</v>
      </c>
      <c r="C1014" s="37" t="s">
        <v>320</v>
      </c>
      <c r="D1014" s="37" t="s">
        <v>1288</v>
      </c>
      <c r="E1014" s="37" t="n">
        <v>21745350</v>
      </c>
      <c r="F1014" s="37" t="s">
        <v>139</v>
      </c>
      <c r="G1014" s="37" t="s">
        <v>198</v>
      </c>
      <c r="H1014" s="37" t="s">
        <v>168</v>
      </c>
      <c r="I1014" s="37" t="n">
        <v>27.6</v>
      </c>
      <c r="J1014" s="39" t="n">
        <v>579.59</v>
      </c>
      <c r="K1014" s="37" t="s">
        <v>322</v>
      </c>
      <c r="L1014" s="39" t="n">
        <v>83.1</v>
      </c>
      <c r="M1014" s="39" t="n">
        <v>54.1</v>
      </c>
      <c r="N1014" s="39" t="n">
        <f aca="false">J1014*Resumo!$C$7</f>
        <v>1.15918</v>
      </c>
      <c r="O1014" s="39" t="n">
        <f aca="false">J1014*Resumo!$C$8</f>
        <v>1.15918</v>
      </c>
      <c r="P1014" s="39" t="n">
        <f aca="false">Resumo!$C$10*CEILING(I1014/100,1)</f>
        <v>1</v>
      </c>
      <c r="Q1014" s="39" t="n">
        <f aca="false">Resumo!$C$9</f>
        <v>11.9</v>
      </c>
      <c r="R1014" s="39" t="n">
        <f aca="false">SUM(M1014:Q1014)*Resumo!$C$11</f>
        <v>3.8125098</v>
      </c>
      <c r="S1014" s="39" t="n">
        <f aca="false">SUM(M1014:R1014)</f>
        <v>73.1308698</v>
      </c>
      <c r="T1014" s="39" t="n">
        <f aca="false">S1014/(1-Resumo!$C$5)</f>
        <v>83.1032611363636</v>
      </c>
      <c r="U1014" s="39" t="n">
        <v>82.21</v>
      </c>
      <c r="V1014" s="39" t="n">
        <f aca="false">J1014*Resumo!$B$6</f>
        <v>0.57959</v>
      </c>
      <c r="W1014" s="39" t="n">
        <f aca="false">J1014*Resumo!$B$7</f>
        <v>1.15918</v>
      </c>
      <c r="X1014" s="39" t="n">
        <f aca="false">Resumo!$B$9</f>
        <v>1</v>
      </c>
      <c r="Y1014" s="39" t="n">
        <f aca="false">Resumo!$B$10*CEILING(I1014/100,1)</f>
        <v>4.5</v>
      </c>
      <c r="Z1014" s="39" t="n">
        <f aca="false">Resumo!$B$12*CEILING(I1014,1)</f>
        <v>1.68</v>
      </c>
      <c r="AA1014" s="39" t="n">
        <f aca="false">Resumo!$B$13*CEILING(I1014,1)</f>
        <v>12.6</v>
      </c>
      <c r="AB1014" s="39" t="n">
        <f aca="false">SUM(U1014:AA1014)</f>
        <v>103.72877</v>
      </c>
      <c r="AC1014" s="39" t="n">
        <f aca="false">AB1014/(1-Resumo!$B$5)</f>
        <v>117.873602272727</v>
      </c>
      <c r="AD1014" s="39" t="n">
        <f aca="false">(AB1014-AA1014)/(1-Resumo!$B$5)</f>
        <v>103.555420454545</v>
      </c>
      <c r="AE1014" s="39" t="n">
        <f aca="false">AC1014-T1014</f>
        <v>34.7703411363636</v>
      </c>
      <c r="AF1014" s="40" t="n">
        <f aca="false">AC1014/T1014-1</f>
        <v>0.418399238019182</v>
      </c>
      <c r="AG1014" s="37" t="str">
        <f aca="false">IF(AC1014&lt;T1014,"SIM","NÃO")</f>
        <v>NÃO</v>
      </c>
      <c r="AH1014" s="37" t="n">
        <v>8</v>
      </c>
      <c r="AI1014" s="37" t="n">
        <v>5</v>
      </c>
      <c r="AJ1014" s="37" t="s">
        <v>323</v>
      </c>
    </row>
    <row r="1015" customFormat="false" ht="15" hidden="false" customHeight="false" outlineLevel="0" collapsed="false">
      <c r="A1015" s="37" t="n">
        <v>376596718</v>
      </c>
      <c r="B1015" s="38" t="n">
        <v>46248.9294328704</v>
      </c>
      <c r="C1015" s="37" t="s">
        <v>320</v>
      </c>
      <c r="D1015" s="37" t="s">
        <v>904</v>
      </c>
      <c r="E1015" s="37" t="n">
        <v>22753053</v>
      </c>
      <c r="F1015" s="37" t="s">
        <v>139</v>
      </c>
      <c r="G1015" s="37" t="s">
        <v>198</v>
      </c>
      <c r="H1015" s="37" t="s">
        <v>170</v>
      </c>
      <c r="I1015" s="37" t="n">
        <v>45</v>
      </c>
      <c r="J1015" s="39" t="n">
        <v>659.99</v>
      </c>
      <c r="K1015" s="37" t="s">
        <v>322</v>
      </c>
      <c r="L1015" s="39" t="n">
        <v>103.75</v>
      </c>
      <c r="M1015" s="39" t="n">
        <v>71</v>
      </c>
      <c r="N1015" s="39" t="n">
        <f aca="false">J1015*Resumo!$C$7</f>
        <v>1.31998</v>
      </c>
      <c r="O1015" s="39" t="n">
        <f aca="false">J1015*Resumo!$C$8</f>
        <v>1.31998</v>
      </c>
      <c r="P1015" s="39" t="n">
        <f aca="false">Resumo!$C$10*CEILING(I1015/100,1)</f>
        <v>1</v>
      </c>
      <c r="Q1015" s="39" t="n">
        <f aca="false">Resumo!$C$9</f>
        <v>11.9</v>
      </c>
      <c r="R1015" s="39" t="n">
        <f aca="false">SUM(M1015:Q1015)*Resumo!$C$11</f>
        <v>4.7596978</v>
      </c>
      <c r="S1015" s="39" t="n">
        <f aca="false">SUM(M1015:R1015)</f>
        <v>91.2996578</v>
      </c>
      <c r="T1015" s="39" t="n">
        <f aca="false">S1015/(1-Resumo!$C$5)</f>
        <v>103.749611136364</v>
      </c>
      <c r="U1015" s="39" t="n">
        <v>93.97</v>
      </c>
      <c r="V1015" s="39" t="n">
        <f aca="false">J1015*Resumo!$B$6</f>
        <v>0.65999</v>
      </c>
      <c r="W1015" s="39" t="n">
        <f aca="false">J1015*Resumo!$B$7</f>
        <v>1.31998</v>
      </c>
      <c r="X1015" s="39" t="n">
        <f aca="false">Resumo!$B$9</f>
        <v>1</v>
      </c>
      <c r="Y1015" s="39" t="n">
        <f aca="false">Resumo!$B$10*CEILING(I1015/100,1)</f>
        <v>4.5</v>
      </c>
      <c r="Z1015" s="39" t="n">
        <f aca="false">Resumo!$B$12*CEILING(I1015,1)</f>
        <v>2.7</v>
      </c>
      <c r="AA1015" s="39" t="n">
        <f aca="false">Resumo!$B$13*CEILING(I1015,1)</f>
        <v>20.25</v>
      </c>
      <c r="AB1015" s="39" t="n">
        <f aca="false">SUM(U1015:AA1015)</f>
        <v>124.39997</v>
      </c>
      <c r="AC1015" s="39" t="n">
        <f aca="false">AB1015/(1-Resumo!$B$5)</f>
        <v>141.363602272727</v>
      </c>
      <c r="AD1015" s="39" t="n">
        <f aca="false">(AB1015-AA1015)/(1-Resumo!$B$5)</f>
        <v>118.352238636364</v>
      </c>
      <c r="AE1015" s="39" t="n">
        <f aca="false">AC1015-T1015</f>
        <v>37.6139911363636</v>
      </c>
      <c r="AF1015" s="40" t="n">
        <f aca="false">AC1015/T1015-1</f>
        <v>0.362545851732645</v>
      </c>
      <c r="AG1015" s="37" t="str">
        <f aca="false">IF(AC1015&lt;T1015,"SIM","NÃO")</f>
        <v>NÃO</v>
      </c>
      <c r="AH1015" s="37" t="n">
        <v>8</v>
      </c>
      <c r="AI1015" s="37" t="n">
        <v>5</v>
      </c>
      <c r="AJ1015" s="37" t="s">
        <v>323</v>
      </c>
    </row>
    <row r="1016" customFormat="false" ht="15" hidden="false" customHeight="false" outlineLevel="0" collapsed="false">
      <c r="A1016" s="37" t="n">
        <v>376604266</v>
      </c>
      <c r="B1016" s="38" t="n">
        <v>46248.9441666667</v>
      </c>
      <c r="C1016" s="37" t="s">
        <v>320</v>
      </c>
      <c r="D1016" s="37" t="s">
        <v>1289</v>
      </c>
      <c r="E1016" s="37" t="n">
        <v>21725020</v>
      </c>
      <c r="F1016" s="37" t="s">
        <v>139</v>
      </c>
      <c r="G1016" s="37" t="s">
        <v>198</v>
      </c>
      <c r="H1016" s="37" t="s">
        <v>169</v>
      </c>
      <c r="I1016" s="37" t="n">
        <v>37.2</v>
      </c>
      <c r="J1016" s="39" t="n">
        <v>419.99</v>
      </c>
      <c r="K1016" s="37" t="s">
        <v>322</v>
      </c>
      <c r="L1016" s="39" t="n">
        <v>91.86</v>
      </c>
      <c r="M1016" s="39" t="n">
        <v>62.05</v>
      </c>
      <c r="N1016" s="39" t="n">
        <f aca="false">J1016*Resumo!$C$7</f>
        <v>0.83998</v>
      </c>
      <c r="O1016" s="39" t="n">
        <f aca="false">J1016*Resumo!$C$8</f>
        <v>0.83998</v>
      </c>
      <c r="P1016" s="39" t="n">
        <f aca="false">Resumo!$C$10*CEILING(I1016/100,1)</f>
        <v>1</v>
      </c>
      <c r="Q1016" s="39" t="n">
        <f aca="false">Resumo!$C$9</f>
        <v>11.9</v>
      </c>
      <c r="R1016" s="39" t="n">
        <f aca="false">SUM(M1016:Q1016)*Resumo!$C$11</f>
        <v>4.2146478</v>
      </c>
      <c r="S1016" s="39" t="n">
        <f aca="false">SUM(M1016:R1016)</f>
        <v>80.8446078</v>
      </c>
      <c r="T1016" s="39" t="n">
        <f aca="false">S1016/(1-Resumo!$C$5)</f>
        <v>91.8688725</v>
      </c>
      <c r="U1016" s="39" t="n">
        <v>93.97</v>
      </c>
      <c r="V1016" s="39" t="n">
        <f aca="false">J1016*Resumo!$B$6</f>
        <v>0.41999</v>
      </c>
      <c r="W1016" s="39" t="n">
        <f aca="false">J1016*Resumo!$B$7</f>
        <v>0.83998</v>
      </c>
      <c r="X1016" s="39" t="n">
        <f aca="false">Resumo!$B$9</f>
        <v>1</v>
      </c>
      <c r="Y1016" s="39" t="n">
        <f aca="false">Resumo!$B$10*CEILING(I1016/100,1)</f>
        <v>4.5</v>
      </c>
      <c r="Z1016" s="39" t="n">
        <f aca="false">Resumo!$B$12*CEILING(I1016,1)</f>
        <v>2.28</v>
      </c>
      <c r="AA1016" s="39" t="n">
        <f aca="false">Resumo!$B$13*CEILING(I1016,1)</f>
        <v>17.1</v>
      </c>
      <c r="AB1016" s="39" t="n">
        <f aca="false">SUM(U1016:AA1016)</f>
        <v>120.10997</v>
      </c>
      <c r="AC1016" s="39" t="n">
        <f aca="false">AB1016/(1-Resumo!$B$5)</f>
        <v>136.488602272727</v>
      </c>
      <c r="AD1016" s="39" t="n">
        <f aca="false">(AB1016-AA1016)/(1-Resumo!$B$5)</f>
        <v>117.056784090909</v>
      </c>
      <c r="AE1016" s="39" t="n">
        <f aca="false">AC1016-T1016</f>
        <v>44.6197297727273</v>
      </c>
      <c r="AF1016" s="40" t="n">
        <f aca="false">AC1016/T1016-1</f>
        <v>0.485689315200067</v>
      </c>
      <c r="AG1016" s="37" t="str">
        <f aca="false">IF(AC1016&lt;T1016,"SIM","NÃO")</f>
        <v>NÃO</v>
      </c>
      <c r="AH1016" s="37" t="n">
        <v>8</v>
      </c>
      <c r="AI1016" s="37" t="n">
        <v>5</v>
      </c>
      <c r="AJ1016" s="37" t="s">
        <v>323</v>
      </c>
    </row>
    <row r="1017" customFormat="false" ht="15" hidden="false" customHeight="false" outlineLevel="0" collapsed="false">
      <c r="A1017" s="37" t="n">
        <v>376606296</v>
      </c>
      <c r="B1017" s="38" t="n">
        <v>46248.9483564815</v>
      </c>
      <c r="C1017" s="37" t="s">
        <v>320</v>
      </c>
      <c r="D1017" s="37" t="s">
        <v>875</v>
      </c>
      <c r="E1017" s="37" t="n">
        <v>26265090</v>
      </c>
      <c r="F1017" s="37" t="s">
        <v>142</v>
      </c>
      <c r="G1017" s="37" t="s">
        <v>207</v>
      </c>
      <c r="H1017" s="37" t="s">
        <v>168</v>
      </c>
      <c r="I1017" s="37" t="n">
        <v>31.9</v>
      </c>
      <c r="J1017" s="39" t="n">
        <v>518.79</v>
      </c>
      <c r="K1017" s="37" t="s">
        <v>322</v>
      </c>
      <c r="L1017" s="39" t="n">
        <v>101.87</v>
      </c>
      <c r="M1017" s="39" t="n">
        <v>70</v>
      </c>
      <c r="N1017" s="39" t="n">
        <f aca="false">J1017*Resumo!$C$7</f>
        <v>1.03758</v>
      </c>
      <c r="O1017" s="39" t="n">
        <f aca="false">J1017*Resumo!$C$8</f>
        <v>1.03758</v>
      </c>
      <c r="P1017" s="39" t="n">
        <f aca="false">Resumo!$C$10*CEILING(I1017/100,1)</f>
        <v>1</v>
      </c>
      <c r="Q1017" s="39" t="n">
        <f aca="false">Resumo!$C$9</f>
        <v>11.9</v>
      </c>
      <c r="R1017" s="39" t="n">
        <f aca="false">SUM(M1017:Q1017)*Resumo!$C$11</f>
        <v>4.6736338</v>
      </c>
      <c r="S1017" s="39" t="n">
        <f aca="false">SUM(M1017:R1017)</f>
        <v>89.6487938</v>
      </c>
      <c r="T1017" s="39" t="n">
        <f aca="false">S1017/(1-Resumo!$C$5)</f>
        <v>101.873629318182</v>
      </c>
      <c r="U1017" s="39" t="n">
        <v>82.21</v>
      </c>
      <c r="V1017" s="39" t="n">
        <f aca="false">J1017*Resumo!$B$6</f>
        <v>0.51879</v>
      </c>
      <c r="W1017" s="39" t="n">
        <f aca="false">J1017*Resumo!$B$7</f>
        <v>1.03758</v>
      </c>
      <c r="X1017" s="39" t="n">
        <f aca="false">Resumo!$B$9</f>
        <v>1</v>
      </c>
      <c r="Y1017" s="39" t="n">
        <f aca="false">Resumo!$B$10*CEILING(I1017/100,1)</f>
        <v>4.5</v>
      </c>
      <c r="Z1017" s="39" t="n">
        <f aca="false">Resumo!$B$12*CEILING(I1017,1)</f>
        <v>1.92</v>
      </c>
      <c r="AA1017" s="39" t="n">
        <f aca="false">Resumo!$B$13*CEILING(I1017,1)</f>
        <v>14.4</v>
      </c>
      <c r="AB1017" s="39" t="n">
        <f aca="false">SUM(U1017:AA1017)</f>
        <v>105.58637</v>
      </c>
      <c r="AC1017" s="39" t="n">
        <f aca="false">AB1017/(1-Resumo!$B$5)</f>
        <v>119.984511363636</v>
      </c>
      <c r="AD1017" s="39" t="n">
        <f aca="false">(AB1017-AA1017)/(1-Resumo!$B$5)</f>
        <v>103.620875</v>
      </c>
      <c r="AE1017" s="39" t="n">
        <f aca="false">AC1017-T1017</f>
        <v>18.1108820454545</v>
      </c>
      <c r="AF1017" s="40" t="n">
        <f aca="false">AC1017/T1017-1</f>
        <v>0.177777921201657</v>
      </c>
      <c r="AG1017" s="37" t="str">
        <f aca="false">IF(AC1017&lt;T1017,"SIM","NÃO")</f>
        <v>NÃO</v>
      </c>
      <c r="AH1017" s="37" t="n">
        <v>10</v>
      </c>
      <c r="AI1017" s="37" t="n">
        <v>5</v>
      </c>
      <c r="AJ1017" s="37" t="s">
        <v>323</v>
      </c>
    </row>
    <row r="1018" customFormat="false" ht="15" hidden="false" customHeight="false" outlineLevel="0" collapsed="false">
      <c r="A1018" s="37" t="n">
        <v>376614807</v>
      </c>
      <c r="B1018" s="38" t="n">
        <v>46248.9656944444</v>
      </c>
      <c r="C1018" s="37" t="s">
        <v>325</v>
      </c>
      <c r="D1018" s="37" t="s">
        <v>1290</v>
      </c>
      <c r="E1018" s="37" t="n">
        <v>25071070</v>
      </c>
      <c r="F1018" s="37" t="s">
        <v>141</v>
      </c>
      <c r="G1018" s="37" t="s">
        <v>207</v>
      </c>
      <c r="H1018" s="37" t="s">
        <v>176</v>
      </c>
      <c r="I1018" s="37" t="n">
        <v>145.8</v>
      </c>
      <c r="J1018" s="39" t="n">
        <v>1670.33</v>
      </c>
      <c r="K1018" s="37" t="s">
        <v>322</v>
      </c>
      <c r="L1018" s="39" t="n">
        <v>244.6</v>
      </c>
      <c r="M1018" s="39" t="n">
        <v>183.45</v>
      </c>
      <c r="N1018" s="39" t="n">
        <f aca="false">J1018*Resumo!$C$7</f>
        <v>3.34066</v>
      </c>
      <c r="O1018" s="39" t="n">
        <f aca="false">J1018*Resumo!$C$8</f>
        <v>3.34066</v>
      </c>
      <c r="P1018" s="39" t="n">
        <f aca="false">Resumo!$C$10*CEILING(I1018/100,1)</f>
        <v>2</v>
      </c>
      <c r="Q1018" s="39" t="n">
        <f aca="false">Resumo!$C$9</f>
        <v>11.9</v>
      </c>
      <c r="R1018" s="39" t="n">
        <f aca="false">SUM(M1018:Q1018)*Resumo!$C$11</f>
        <v>11.2217226</v>
      </c>
      <c r="S1018" s="39" t="n">
        <f aca="false">SUM(M1018:R1018)</f>
        <v>215.2530426</v>
      </c>
      <c r="T1018" s="39" t="n">
        <f aca="false">S1018/(1-Resumo!$C$5)</f>
        <v>244.605730227273</v>
      </c>
      <c r="U1018" s="39" t="n">
        <v>239.25</v>
      </c>
      <c r="V1018" s="39" t="n">
        <f aca="false">J1018*Resumo!$B$6</f>
        <v>1.67033</v>
      </c>
      <c r="W1018" s="39" t="n">
        <f aca="false">J1018*Resumo!$B$7</f>
        <v>3.34066</v>
      </c>
      <c r="X1018" s="39" t="n">
        <f aca="false">Resumo!$B$9</f>
        <v>1</v>
      </c>
      <c r="Y1018" s="39" t="n">
        <f aca="false">Resumo!$B$10*CEILING(I1018/100,1)</f>
        <v>9</v>
      </c>
      <c r="Z1018" s="39" t="n">
        <f aca="false">Resumo!$B$12*CEILING(I1018,1)</f>
        <v>8.76</v>
      </c>
      <c r="AA1018" s="39" t="n">
        <f aca="false">Resumo!$B$13*CEILING(I1018,1)</f>
        <v>65.7</v>
      </c>
      <c r="AB1018" s="39" t="n">
        <f aca="false">SUM(U1018:AA1018)</f>
        <v>328.72099</v>
      </c>
      <c r="AC1018" s="39" t="n">
        <f aca="false">AB1018/(1-Resumo!$B$5)</f>
        <v>373.546579545455</v>
      </c>
      <c r="AD1018" s="39" t="n">
        <f aca="false">(AB1018-AA1018)/(1-Resumo!$B$5)</f>
        <v>298.887488636364</v>
      </c>
      <c r="AE1018" s="39" t="n">
        <f aca="false">AC1018-T1018</f>
        <v>128.940849318182</v>
      </c>
      <c r="AF1018" s="40" t="n">
        <f aca="false">AC1018/T1018-1</f>
        <v>0.527137484466851</v>
      </c>
      <c r="AG1018" s="37" t="str">
        <f aca="false">IF(AC1018&lt;T1018,"SIM","NÃO")</f>
        <v>NÃO</v>
      </c>
      <c r="AH1018" s="37" t="n">
        <v>10</v>
      </c>
      <c r="AI1018" s="37" t="n">
        <v>5</v>
      </c>
      <c r="AJ1018" s="37" t="s">
        <v>323</v>
      </c>
    </row>
    <row r="1019" customFormat="false" ht="15" hidden="false" customHeight="false" outlineLevel="0" collapsed="false">
      <c r="A1019" s="37" t="n">
        <v>376646778</v>
      </c>
      <c r="B1019" s="38" t="n">
        <v>46249.0234953704</v>
      </c>
      <c r="C1019" s="37" t="s">
        <v>320</v>
      </c>
      <c r="D1019" s="37" t="s">
        <v>1291</v>
      </c>
      <c r="E1019" s="37" t="n">
        <v>23065004</v>
      </c>
      <c r="F1019" s="37" t="s">
        <v>139</v>
      </c>
      <c r="G1019" s="37" t="s">
        <v>198</v>
      </c>
      <c r="H1019" s="37" t="s">
        <v>168</v>
      </c>
      <c r="I1019" s="37" t="n">
        <v>24.4</v>
      </c>
      <c r="J1019" s="39" t="n">
        <v>329.99</v>
      </c>
      <c r="K1019" s="37" t="s">
        <v>498</v>
      </c>
      <c r="L1019" s="39" t="n">
        <v>78.8</v>
      </c>
      <c r="M1019" s="39" t="n">
        <v>54.1</v>
      </c>
      <c r="N1019" s="39" t="n">
        <f aca="false">J1019*Resumo!$C$7</f>
        <v>0.65998</v>
      </c>
      <c r="O1019" s="39" t="n">
        <f aca="false">J1019*Resumo!$C$8</f>
        <v>0.65998</v>
      </c>
      <c r="P1019" s="39" t="n">
        <f aca="false">Resumo!$C$10*CEILING(I1019/100,1)</f>
        <v>1</v>
      </c>
      <c r="Q1019" s="39" t="n">
        <f aca="false">Resumo!$C$9</f>
        <v>11.9</v>
      </c>
      <c r="R1019" s="39" t="n">
        <f aca="false">SUM(M1019:Q1019)*Resumo!$C$11</f>
        <v>3.7575978</v>
      </c>
      <c r="S1019" s="39" t="n">
        <f aca="false">SUM(M1019:R1019)</f>
        <v>72.0775578</v>
      </c>
      <c r="T1019" s="39" t="n">
        <f aca="false">S1019/(1-Resumo!$C$5)</f>
        <v>81.9063156818182</v>
      </c>
      <c r="U1019" s="39" t="n">
        <v>82.21</v>
      </c>
      <c r="V1019" s="39" t="n">
        <f aca="false">J1019*Resumo!$B$6</f>
        <v>0.32999</v>
      </c>
      <c r="W1019" s="39" t="n">
        <f aca="false">J1019*Resumo!$B$7</f>
        <v>0.65998</v>
      </c>
      <c r="X1019" s="39" t="n">
        <f aca="false">Resumo!$B$9</f>
        <v>1</v>
      </c>
      <c r="Y1019" s="39" t="n">
        <f aca="false">Resumo!$B$10*CEILING(I1019/100,1)</f>
        <v>4.5</v>
      </c>
      <c r="Z1019" s="39" t="n">
        <f aca="false">Resumo!$B$12*CEILING(I1019,1)</f>
        <v>1.5</v>
      </c>
      <c r="AA1019" s="39" t="n">
        <f aca="false">Resumo!$B$13*CEILING(I1019,1)</f>
        <v>11.25</v>
      </c>
      <c r="AB1019" s="39" t="n">
        <f aca="false">SUM(U1019:AA1019)</f>
        <v>101.44997</v>
      </c>
      <c r="AC1019" s="39" t="n">
        <f aca="false">AB1019/(1-Resumo!$B$5)</f>
        <v>115.284056818182</v>
      </c>
      <c r="AD1019" s="39" t="n">
        <f aca="false">(AB1019-AA1019)/(1-Resumo!$B$5)</f>
        <v>102.499965909091</v>
      </c>
      <c r="AE1019" s="39" t="n">
        <f aca="false">AC1019-T1019</f>
        <v>33.3777411363636</v>
      </c>
      <c r="AF1019" s="40" t="n">
        <f aca="false">AC1019/T1019-1</f>
        <v>0.40751120177382</v>
      </c>
      <c r="AG1019" s="37" t="str">
        <f aca="false">IF(AC1019&lt;T1019,"SIM","NÃO")</f>
        <v>NÃO</v>
      </c>
      <c r="AH1019" s="37" t="n">
        <v>8</v>
      </c>
      <c r="AI1019" s="37" t="n">
        <v>5</v>
      </c>
      <c r="AJ1019" s="37" t="s">
        <v>323</v>
      </c>
    </row>
    <row r="1020" customFormat="false" ht="15" hidden="false" customHeight="false" outlineLevel="0" collapsed="false">
      <c r="A1020" s="37" t="n">
        <v>376807126</v>
      </c>
      <c r="B1020" s="38" t="n">
        <v>46249.3598032407</v>
      </c>
      <c r="C1020" s="37" t="s">
        <v>320</v>
      </c>
      <c r="D1020" s="37" t="s">
        <v>1292</v>
      </c>
      <c r="E1020" s="37" t="n">
        <v>25935546</v>
      </c>
      <c r="F1020" s="37" t="s">
        <v>156</v>
      </c>
      <c r="G1020" s="37" t="s">
        <v>201</v>
      </c>
      <c r="H1020" s="37" t="s">
        <v>174</v>
      </c>
      <c r="I1020" s="37" t="n">
        <v>90.8</v>
      </c>
      <c r="J1020" s="39" t="n">
        <v>1163.98</v>
      </c>
      <c r="K1020" s="37" t="s">
        <v>498</v>
      </c>
      <c r="L1020" s="39" t="n">
        <v>193.25</v>
      </c>
      <c r="M1020" s="39" t="n">
        <v>144.41</v>
      </c>
      <c r="N1020" s="39" t="n">
        <f aca="false">J1020*Resumo!$C$7</f>
        <v>2.32796</v>
      </c>
      <c r="O1020" s="39" t="n">
        <f aca="false">J1020*Resumo!$C$8</f>
        <v>2.32796</v>
      </c>
      <c r="P1020" s="39" t="n">
        <f aca="false">Resumo!$C$10*CEILING(I1020/100,1)</f>
        <v>1</v>
      </c>
      <c r="Q1020" s="39" t="n">
        <f aca="false">Resumo!$C$9</f>
        <v>11.9</v>
      </c>
      <c r="R1020" s="39" t="n">
        <f aca="false">SUM(M1020:Q1020)*Resumo!$C$11</f>
        <v>8.9081256</v>
      </c>
      <c r="S1020" s="39" t="n">
        <f aca="false">SUM(M1020:R1020)</f>
        <v>170.8740456</v>
      </c>
      <c r="T1020" s="39" t="n">
        <f aca="false">S1020/(1-Resumo!$C$5)</f>
        <v>194.175051818182</v>
      </c>
      <c r="U1020" s="39" t="n">
        <v>167.99</v>
      </c>
      <c r="V1020" s="39" t="n">
        <f aca="false">J1020*Resumo!$B$6</f>
        <v>1.16398</v>
      </c>
      <c r="W1020" s="39" t="n">
        <f aca="false">J1020*Resumo!$B$7</f>
        <v>2.32796</v>
      </c>
      <c r="X1020" s="39" t="n">
        <f aca="false">Resumo!$B$9</f>
        <v>1</v>
      </c>
      <c r="Y1020" s="39" t="n">
        <f aca="false">Resumo!$B$10*CEILING(I1020/100,1)</f>
        <v>4.5</v>
      </c>
      <c r="Z1020" s="39" t="n">
        <f aca="false">Resumo!$B$12*CEILING(I1020,1)</f>
        <v>5.46</v>
      </c>
      <c r="AA1020" s="39" t="n">
        <f aca="false">Resumo!$B$13*CEILING(I1020,1)</f>
        <v>40.95</v>
      </c>
      <c r="AB1020" s="39" t="n">
        <f aca="false">SUM(U1020:AA1020)</f>
        <v>223.39194</v>
      </c>
      <c r="AC1020" s="39" t="n">
        <f aca="false">AB1020/(1-Resumo!$B$5)</f>
        <v>253.854477272727</v>
      </c>
      <c r="AD1020" s="39" t="n">
        <f aca="false">(AB1020-AA1020)/(1-Resumo!$B$5)</f>
        <v>207.320386363636</v>
      </c>
      <c r="AE1020" s="39" t="n">
        <f aca="false">AC1020-T1020</f>
        <v>59.6794254545455</v>
      </c>
      <c r="AF1020" s="40" t="n">
        <f aca="false">AC1020/T1020-1</f>
        <v>0.307348574885032</v>
      </c>
      <c r="AG1020" s="37" t="str">
        <f aca="false">IF(AC1020&lt;T1020,"SIM","NÃO")</f>
        <v>NÃO</v>
      </c>
      <c r="AH1020" s="37" t="n">
        <v>13</v>
      </c>
      <c r="AI1020" s="37" t="n">
        <v>6</v>
      </c>
      <c r="AJ1020" s="37" t="s">
        <v>323</v>
      </c>
    </row>
    <row r="1021" customFormat="false" ht="15" hidden="false" customHeight="false" outlineLevel="0" collapsed="false">
      <c r="A1021" s="37" t="n">
        <v>376819747</v>
      </c>
      <c r="B1021" s="38" t="n">
        <v>46249.381712963</v>
      </c>
      <c r="C1021" s="37" t="s">
        <v>320</v>
      </c>
      <c r="D1021" s="37" t="s">
        <v>1293</v>
      </c>
      <c r="E1021" s="37" t="n">
        <v>24431720</v>
      </c>
      <c r="F1021" s="37" t="s">
        <v>140</v>
      </c>
      <c r="G1021" s="37" t="s">
        <v>207</v>
      </c>
      <c r="H1021" s="37" t="s">
        <v>170</v>
      </c>
      <c r="I1021" s="37" t="n">
        <v>41</v>
      </c>
      <c r="J1021" s="39" t="n">
        <v>559.99</v>
      </c>
      <c r="K1021" s="37" t="s">
        <v>498</v>
      </c>
      <c r="L1021" s="39" t="n">
        <v>114.51</v>
      </c>
      <c r="M1021" s="39" t="n">
        <v>82.25</v>
      </c>
      <c r="N1021" s="39" t="n">
        <f aca="false">J1021*Resumo!$C$7</f>
        <v>1.11998</v>
      </c>
      <c r="O1021" s="39" t="n">
        <f aca="false">J1021*Resumo!$C$8</f>
        <v>1.11998</v>
      </c>
      <c r="P1021" s="39" t="n">
        <f aca="false">Resumo!$C$10*CEILING(I1021/100,1)</f>
        <v>1</v>
      </c>
      <c r="Q1021" s="39" t="n">
        <f aca="false">Resumo!$C$9</f>
        <v>11.9</v>
      </c>
      <c r="R1021" s="39" t="n">
        <f aca="false">SUM(M1021:Q1021)*Resumo!$C$11</f>
        <v>5.3564478</v>
      </c>
      <c r="S1021" s="39" t="n">
        <f aca="false">SUM(M1021:R1021)</f>
        <v>102.7464078</v>
      </c>
      <c r="T1021" s="39" t="n">
        <f aca="false">S1021/(1-Resumo!$C$5)</f>
        <v>116.757281590909</v>
      </c>
      <c r="U1021" s="39" t="n">
        <v>114.95</v>
      </c>
      <c r="V1021" s="39" t="n">
        <f aca="false">J1021*Resumo!$B$6</f>
        <v>0.55999</v>
      </c>
      <c r="W1021" s="39" t="n">
        <f aca="false">J1021*Resumo!$B$7</f>
        <v>1.11998</v>
      </c>
      <c r="X1021" s="39" t="n">
        <f aca="false">Resumo!$B$9</f>
        <v>1</v>
      </c>
      <c r="Y1021" s="39" t="n">
        <f aca="false">Resumo!$B$10*CEILING(I1021/100,1)</f>
        <v>4.5</v>
      </c>
      <c r="Z1021" s="39" t="n">
        <f aca="false">Resumo!$B$12*CEILING(I1021,1)</f>
        <v>2.46</v>
      </c>
      <c r="AA1021" s="39" t="n">
        <f aca="false">Resumo!$B$13*CEILING(I1021,1)</f>
        <v>18.45</v>
      </c>
      <c r="AB1021" s="39" t="n">
        <f aca="false">SUM(U1021:AA1021)</f>
        <v>143.03997</v>
      </c>
      <c r="AC1021" s="39" t="n">
        <f aca="false">AB1021/(1-Resumo!$B$5)</f>
        <v>162.545420454545</v>
      </c>
      <c r="AD1021" s="39" t="n">
        <f aca="false">(AB1021-AA1021)/(1-Resumo!$B$5)</f>
        <v>141.579511363636</v>
      </c>
      <c r="AE1021" s="39" t="n">
        <f aca="false">AC1021-T1021</f>
        <v>45.7881388636364</v>
      </c>
      <c r="AF1021" s="40" t="n">
        <f aca="false">AC1021/T1021-1</f>
        <v>0.392165167257556</v>
      </c>
      <c r="AG1021" s="37" t="str">
        <f aca="false">IF(AC1021&lt;T1021,"SIM","NÃO")</f>
        <v>NÃO</v>
      </c>
      <c r="AH1021" s="37" t="n">
        <v>10</v>
      </c>
      <c r="AI1021" s="37" t="n">
        <v>7</v>
      </c>
      <c r="AJ1021" s="37" t="s">
        <v>323</v>
      </c>
    </row>
    <row r="1022" customFormat="false" ht="15" hidden="false" customHeight="false" outlineLevel="0" collapsed="false">
      <c r="A1022" s="37" t="n">
        <v>376819219</v>
      </c>
      <c r="B1022" s="38" t="n">
        <v>46249.3846759259</v>
      </c>
      <c r="C1022" s="37" t="s">
        <v>341</v>
      </c>
      <c r="D1022" s="37" t="s">
        <v>1294</v>
      </c>
      <c r="E1022" s="37" t="n">
        <v>21540690</v>
      </c>
      <c r="F1022" s="37" t="s">
        <v>139</v>
      </c>
      <c r="G1022" s="37" t="s">
        <v>198</v>
      </c>
      <c r="H1022" s="37" t="s">
        <v>168</v>
      </c>
      <c r="I1022" s="37" t="n">
        <v>33.3</v>
      </c>
      <c r="J1022" s="39" t="n">
        <v>433.49</v>
      </c>
      <c r="K1022" s="37" t="s">
        <v>322</v>
      </c>
      <c r="L1022" s="39" t="n">
        <v>82.41</v>
      </c>
      <c r="M1022" s="39" t="n">
        <v>54.1</v>
      </c>
      <c r="N1022" s="39" t="n">
        <f aca="false">J1022*Resumo!$C$7</f>
        <v>0.86698</v>
      </c>
      <c r="O1022" s="39" t="n">
        <f aca="false">J1022*Resumo!$C$8</f>
        <v>0.86698</v>
      </c>
      <c r="P1022" s="39" t="n">
        <f aca="false">Resumo!$C$10*CEILING(I1022/100,1)</f>
        <v>1</v>
      </c>
      <c r="Q1022" s="39" t="n">
        <f aca="false">Resumo!$C$9</f>
        <v>11.9</v>
      </c>
      <c r="R1022" s="39" t="n">
        <f aca="false">SUM(M1022:Q1022)*Resumo!$C$11</f>
        <v>3.7803678</v>
      </c>
      <c r="S1022" s="39" t="n">
        <f aca="false">SUM(M1022:R1022)</f>
        <v>72.5143278</v>
      </c>
      <c r="T1022" s="39" t="n">
        <f aca="false">S1022/(1-Resumo!$C$5)</f>
        <v>82.4026452272727</v>
      </c>
      <c r="U1022" s="39" t="n">
        <v>82.21</v>
      </c>
      <c r="V1022" s="39" t="n">
        <f aca="false">J1022*Resumo!$B$6</f>
        <v>0.43349</v>
      </c>
      <c r="W1022" s="39" t="n">
        <f aca="false">J1022*Resumo!$B$7</f>
        <v>0.86698</v>
      </c>
      <c r="X1022" s="39" t="n">
        <f aca="false">Resumo!$B$9</f>
        <v>1</v>
      </c>
      <c r="Y1022" s="39" t="n">
        <f aca="false">Resumo!$B$10*CEILING(I1022/100,1)</f>
        <v>4.5</v>
      </c>
      <c r="Z1022" s="39" t="n">
        <f aca="false">Resumo!$B$12*CEILING(I1022,1)</f>
        <v>2.04</v>
      </c>
      <c r="AA1022" s="39" t="n">
        <f aca="false">Resumo!$B$13*CEILING(I1022,1)</f>
        <v>15.3</v>
      </c>
      <c r="AB1022" s="39" t="n">
        <f aca="false">SUM(U1022:AA1022)</f>
        <v>106.35047</v>
      </c>
      <c r="AC1022" s="39" t="n">
        <f aca="false">AB1022/(1-Resumo!$B$5)</f>
        <v>120.852806818182</v>
      </c>
      <c r="AD1022" s="39" t="n">
        <f aca="false">(AB1022-AA1022)/(1-Resumo!$B$5)</f>
        <v>103.466443181818</v>
      </c>
      <c r="AE1022" s="39" t="n">
        <f aca="false">AC1022-T1022</f>
        <v>38.4501615909091</v>
      </c>
      <c r="AF1022" s="40" t="n">
        <f aca="false">AC1022/T1022-1</f>
        <v>0.466613195302901</v>
      </c>
      <c r="AG1022" s="37" t="str">
        <f aca="false">IF(AC1022&lt;T1022,"SIM","NÃO")</f>
        <v>NÃO</v>
      </c>
      <c r="AH1022" s="37" t="n">
        <v>8</v>
      </c>
      <c r="AI1022" s="37" t="n">
        <v>5</v>
      </c>
      <c r="AJ1022" s="37" t="s">
        <v>323</v>
      </c>
    </row>
    <row r="1023" customFormat="false" ht="15" hidden="false" customHeight="false" outlineLevel="0" collapsed="false">
      <c r="A1023" s="37" t="n">
        <v>376828429</v>
      </c>
      <c r="B1023" s="38" t="n">
        <v>46249.3971527778</v>
      </c>
      <c r="C1023" s="37" t="s">
        <v>320</v>
      </c>
      <c r="D1023" s="37" t="s">
        <v>1295</v>
      </c>
      <c r="E1023" s="37" t="n">
        <v>23067438</v>
      </c>
      <c r="F1023" s="37" t="s">
        <v>139</v>
      </c>
      <c r="G1023" s="37" t="s">
        <v>198</v>
      </c>
      <c r="H1023" s="37" t="s">
        <v>171</v>
      </c>
      <c r="I1023" s="37" t="n">
        <v>52.3</v>
      </c>
      <c r="J1023" s="39" t="n">
        <v>699.99</v>
      </c>
      <c r="K1023" s="37" t="s">
        <v>498</v>
      </c>
      <c r="L1023" s="39" t="n">
        <v>113.63</v>
      </c>
      <c r="M1023" s="39" t="n">
        <v>79.81</v>
      </c>
      <c r="N1023" s="39" t="n">
        <f aca="false">J1023*Resumo!$C$7</f>
        <v>1.39998</v>
      </c>
      <c r="O1023" s="39" t="n">
        <f aca="false">J1023*Resumo!$C$8</f>
        <v>1.39998</v>
      </c>
      <c r="P1023" s="39" t="n">
        <f aca="false">Resumo!$C$10*CEILING(I1023/100,1)</f>
        <v>1</v>
      </c>
      <c r="Q1023" s="39" t="n">
        <f aca="false">Resumo!$C$9</f>
        <v>11.9</v>
      </c>
      <c r="R1023" s="39" t="n">
        <f aca="false">SUM(M1023:Q1023)*Resumo!$C$11</f>
        <v>5.2530478</v>
      </c>
      <c r="S1023" s="39" t="n">
        <f aca="false">SUM(M1023:R1023)</f>
        <v>100.7630078</v>
      </c>
      <c r="T1023" s="39" t="n">
        <f aca="false">S1023/(1-Resumo!$C$5)</f>
        <v>114.503417954545</v>
      </c>
      <c r="U1023" s="39" t="n">
        <v>112.3</v>
      </c>
      <c r="V1023" s="39" t="n">
        <f aca="false">J1023*Resumo!$B$6</f>
        <v>0.69999</v>
      </c>
      <c r="W1023" s="39" t="n">
        <f aca="false">J1023*Resumo!$B$7</f>
        <v>1.39998</v>
      </c>
      <c r="X1023" s="39" t="n">
        <f aca="false">Resumo!$B$9</f>
        <v>1</v>
      </c>
      <c r="Y1023" s="39" t="n">
        <f aca="false">Resumo!$B$10*CEILING(I1023/100,1)</f>
        <v>4.5</v>
      </c>
      <c r="Z1023" s="39" t="n">
        <f aca="false">Resumo!$B$12*CEILING(I1023,1)</f>
        <v>3.18</v>
      </c>
      <c r="AA1023" s="39" t="n">
        <f aca="false">Resumo!$B$13*CEILING(I1023,1)</f>
        <v>23.85</v>
      </c>
      <c r="AB1023" s="39" t="n">
        <f aca="false">SUM(U1023:AA1023)</f>
        <v>146.92997</v>
      </c>
      <c r="AC1023" s="39" t="n">
        <f aca="false">AB1023/(1-Resumo!$B$5)</f>
        <v>166.965875</v>
      </c>
      <c r="AD1023" s="39" t="n">
        <f aca="false">(AB1023-AA1023)/(1-Resumo!$B$5)</f>
        <v>139.863602272727</v>
      </c>
      <c r="AE1023" s="39" t="n">
        <f aca="false">AC1023-T1023</f>
        <v>52.4624570454545</v>
      </c>
      <c r="AF1023" s="40" t="n">
        <f aca="false">AC1023/T1023-1</f>
        <v>0.458173720772952</v>
      </c>
      <c r="AG1023" s="37" t="str">
        <f aca="false">IF(AC1023&lt;T1023,"SIM","NÃO")</f>
        <v>NÃO</v>
      </c>
      <c r="AH1023" s="37" t="n">
        <v>8</v>
      </c>
      <c r="AI1023" s="37" t="n">
        <v>5</v>
      </c>
      <c r="AJ1023" s="37" t="s">
        <v>323</v>
      </c>
    </row>
    <row r="1024" customFormat="false" ht="15" hidden="false" customHeight="false" outlineLevel="0" collapsed="false">
      <c r="A1024" s="37" t="n">
        <v>376838131</v>
      </c>
      <c r="B1024" s="38" t="n">
        <v>46249.4142708333</v>
      </c>
      <c r="C1024" s="37" t="s">
        <v>341</v>
      </c>
      <c r="D1024" s="37" t="s">
        <v>1296</v>
      </c>
      <c r="E1024" s="37" t="n">
        <v>24310260</v>
      </c>
      <c r="F1024" s="37" t="s">
        <v>143</v>
      </c>
      <c r="G1024" s="37" t="s">
        <v>207</v>
      </c>
      <c r="H1024" s="37" t="s">
        <v>168</v>
      </c>
      <c r="I1024" s="37" t="n">
        <v>33.3</v>
      </c>
      <c r="J1024" s="39" t="n">
        <v>433.49</v>
      </c>
      <c r="K1024" s="37" t="s">
        <v>322</v>
      </c>
      <c r="L1024" s="39" t="n">
        <v>101.48</v>
      </c>
      <c r="M1024" s="39" t="n">
        <v>70</v>
      </c>
      <c r="N1024" s="39" t="n">
        <f aca="false">J1024*Resumo!$C$7</f>
        <v>0.86698</v>
      </c>
      <c r="O1024" s="39" t="n">
        <f aca="false">J1024*Resumo!$C$8</f>
        <v>0.86698</v>
      </c>
      <c r="P1024" s="39" t="n">
        <f aca="false">Resumo!$C$10*CEILING(I1024/100,1)</f>
        <v>1</v>
      </c>
      <c r="Q1024" s="39" t="n">
        <f aca="false">Resumo!$C$9</f>
        <v>11.9</v>
      </c>
      <c r="R1024" s="39" t="n">
        <f aca="false">SUM(M1024:Q1024)*Resumo!$C$11</f>
        <v>4.6548678</v>
      </c>
      <c r="S1024" s="39" t="n">
        <f aca="false">SUM(M1024:R1024)</f>
        <v>89.2888278</v>
      </c>
      <c r="T1024" s="39" t="n">
        <f aca="false">S1024/(1-Resumo!$C$5)</f>
        <v>101.464577045455</v>
      </c>
      <c r="U1024" s="39" t="n">
        <v>100.58</v>
      </c>
      <c r="V1024" s="39" t="n">
        <f aca="false">J1024*Resumo!$B$6</f>
        <v>0.43349</v>
      </c>
      <c r="W1024" s="39" t="n">
        <f aca="false">J1024*Resumo!$B$7</f>
        <v>0.86698</v>
      </c>
      <c r="X1024" s="39" t="n">
        <f aca="false">Resumo!$B$9</f>
        <v>1</v>
      </c>
      <c r="Y1024" s="39" t="n">
        <f aca="false">Resumo!$B$10*CEILING(I1024/100,1)</f>
        <v>4.5</v>
      </c>
      <c r="Z1024" s="39" t="n">
        <f aca="false">Resumo!$B$12*CEILING(I1024,1)</f>
        <v>2.04</v>
      </c>
      <c r="AA1024" s="39" t="n">
        <f aca="false">Resumo!$B$13*CEILING(I1024,1)</f>
        <v>15.3</v>
      </c>
      <c r="AB1024" s="39" t="n">
        <f aca="false">SUM(U1024:AA1024)</f>
        <v>124.72047</v>
      </c>
      <c r="AC1024" s="39" t="n">
        <f aca="false">AB1024/(1-Resumo!$B$5)</f>
        <v>141.727806818182</v>
      </c>
      <c r="AD1024" s="39" t="n">
        <f aca="false">(AB1024-AA1024)/(1-Resumo!$B$5)</f>
        <v>124.341443181818</v>
      </c>
      <c r="AE1024" s="39" t="n">
        <f aca="false">AC1024-T1024</f>
        <v>40.2632297727273</v>
      </c>
      <c r="AF1024" s="40" t="n">
        <f aca="false">AC1024/T1024-1</f>
        <v>0.396820554967572</v>
      </c>
      <c r="AG1024" s="37" t="str">
        <f aca="false">IF(AC1024&lt;T1024,"SIM","NÃO")</f>
        <v>NÃO</v>
      </c>
      <c r="AH1024" s="37" t="n">
        <v>10</v>
      </c>
      <c r="AI1024" s="37" t="n">
        <v>7</v>
      </c>
      <c r="AJ1024" s="37" t="s">
        <v>323</v>
      </c>
    </row>
    <row r="1025" customFormat="false" ht="15" hidden="false" customHeight="false" outlineLevel="0" collapsed="false">
      <c r="A1025" s="37" t="n">
        <v>376840900</v>
      </c>
      <c r="B1025" s="38" t="n">
        <v>46249.4172222222</v>
      </c>
      <c r="C1025" s="37" t="s">
        <v>320</v>
      </c>
      <c r="D1025" s="37" t="s">
        <v>1297</v>
      </c>
      <c r="E1025" s="37" t="n">
        <v>22785276</v>
      </c>
      <c r="F1025" s="37" t="s">
        <v>139</v>
      </c>
      <c r="G1025" s="37" t="s">
        <v>198</v>
      </c>
      <c r="H1025" s="37" t="s">
        <v>171</v>
      </c>
      <c r="I1025" s="37" t="n">
        <v>52.3</v>
      </c>
      <c r="J1025" s="39" t="n">
        <v>699.99</v>
      </c>
      <c r="K1025" s="37" t="s">
        <v>322</v>
      </c>
      <c r="L1025" s="39" t="n">
        <v>114.5</v>
      </c>
      <c r="M1025" s="39" t="n">
        <v>79.81</v>
      </c>
      <c r="N1025" s="39" t="n">
        <f aca="false">J1025*Resumo!$C$7</f>
        <v>1.39998</v>
      </c>
      <c r="O1025" s="39" t="n">
        <f aca="false">J1025*Resumo!$C$8</f>
        <v>1.39998</v>
      </c>
      <c r="P1025" s="39" t="n">
        <f aca="false">Resumo!$C$10*CEILING(I1025/100,1)</f>
        <v>1</v>
      </c>
      <c r="Q1025" s="39" t="n">
        <f aca="false">Resumo!$C$9</f>
        <v>11.9</v>
      </c>
      <c r="R1025" s="39" t="n">
        <f aca="false">SUM(M1025:Q1025)*Resumo!$C$11</f>
        <v>5.2530478</v>
      </c>
      <c r="S1025" s="39" t="n">
        <f aca="false">SUM(M1025:R1025)</f>
        <v>100.7630078</v>
      </c>
      <c r="T1025" s="39" t="n">
        <f aca="false">S1025/(1-Resumo!$C$5)</f>
        <v>114.503417954545</v>
      </c>
      <c r="U1025" s="39" t="n">
        <v>112.3</v>
      </c>
      <c r="V1025" s="39" t="n">
        <f aca="false">J1025*Resumo!$B$6</f>
        <v>0.69999</v>
      </c>
      <c r="W1025" s="39" t="n">
        <f aca="false">J1025*Resumo!$B$7</f>
        <v>1.39998</v>
      </c>
      <c r="X1025" s="39" t="n">
        <f aca="false">Resumo!$B$9</f>
        <v>1</v>
      </c>
      <c r="Y1025" s="39" t="n">
        <f aca="false">Resumo!$B$10*CEILING(I1025/100,1)</f>
        <v>4.5</v>
      </c>
      <c r="Z1025" s="39" t="n">
        <f aca="false">Resumo!$B$12*CEILING(I1025,1)</f>
        <v>3.18</v>
      </c>
      <c r="AA1025" s="39" t="n">
        <f aca="false">Resumo!$B$13*CEILING(I1025,1)</f>
        <v>23.85</v>
      </c>
      <c r="AB1025" s="39" t="n">
        <f aca="false">SUM(U1025:AA1025)</f>
        <v>146.92997</v>
      </c>
      <c r="AC1025" s="39" t="n">
        <f aca="false">AB1025/(1-Resumo!$B$5)</f>
        <v>166.965875</v>
      </c>
      <c r="AD1025" s="39" t="n">
        <f aca="false">(AB1025-AA1025)/(1-Resumo!$B$5)</f>
        <v>139.863602272727</v>
      </c>
      <c r="AE1025" s="39" t="n">
        <f aca="false">AC1025-T1025</f>
        <v>52.4624570454545</v>
      </c>
      <c r="AF1025" s="40" t="n">
        <f aca="false">AC1025/T1025-1</f>
        <v>0.458173720772952</v>
      </c>
      <c r="AG1025" s="37" t="str">
        <f aca="false">IF(AC1025&lt;T1025,"SIM","NÃO")</f>
        <v>NÃO</v>
      </c>
      <c r="AH1025" s="37" t="n">
        <v>8</v>
      </c>
      <c r="AI1025" s="37" t="n">
        <v>5</v>
      </c>
      <c r="AJ1025" s="37" t="s">
        <v>323</v>
      </c>
    </row>
    <row r="1026" customFormat="false" ht="15" hidden="false" customHeight="false" outlineLevel="0" collapsed="false">
      <c r="A1026" s="37" t="n">
        <v>376855697</v>
      </c>
      <c r="B1026" s="38" t="n">
        <v>46249.4446412037</v>
      </c>
      <c r="C1026" s="37" t="s">
        <v>325</v>
      </c>
      <c r="D1026" s="37" t="s">
        <v>1298</v>
      </c>
      <c r="E1026" s="37" t="n">
        <v>21710510</v>
      </c>
      <c r="F1026" s="37" t="s">
        <v>139</v>
      </c>
      <c r="G1026" s="37" t="s">
        <v>198</v>
      </c>
      <c r="H1026" s="37" t="s">
        <v>172</v>
      </c>
      <c r="I1026" s="37" t="n">
        <v>66.8</v>
      </c>
      <c r="J1026" s="39" t="n">
        <v>578</v>
      </c>
      <c r="K1026" s="37" t="s">
        <v>322</v>
      </c>
      <c r="L1026" s="39" t="n">
        <v>123.99</v>
      </c>
      <c r="M1026" s="39" t="n">
        <v>88.2</v>
      </c>
      <c r="N1026" s="39" t="n">
        <f aca="false">J1026*Resumo!$C$7</f>
        <v>1.156</v>
      </c>
      <c r="O1026" s="39" t="n">
        <f aca="false">J1026*Resumo!$C$8</f>
        <v>1.156</v>
      </c>
      <c r="P1026" s="39" t="n">
        <f aca="false">Resumo!$C$10*CEILING(I1026/100,1)</f>
        <v>1</v>
      </c>
      <c r="Q1026" s="39" t="n">
        <f aca="false">Resumo!$C$9</f>
        <v>11.9</v>
      </c>
      <c r="R1026" s="39" t="n">
        <f aca="false">SUM(M1026:Q1026)*Resumo!$C$11</f>
        <v>5.68766</v>
      </c>
      <c r="S1026" s="39" t="n">
        <f aca="false">SUM(M1026:R1026)</f>
        <v>109.09966</v>
      </c>
      <c r="T1026" s="39" t="n">
        <f aca="false">S1026/(1-Resumo!$C$5)</f>
        <v>123.976886363636</v>
      </c>
      <c r="U1026" s="39" t="n">
        <v>131.02</v>
      </c>
      <c r="V1026" s="39" t="n">
        <f aca="false">J1026*Resumo!$B$6</f>
        <v>0.578</v>
      </c>
      <c r="W1026" s="39" t="n">
        <f aca="false">J1026*Resumo!$B$7</f>
        <v>1.156</v>
      </c>
      <c r="X1026" s="39" t="n">
        <f aca="false">Resumo!$B$9</f>
        <v>1</v>
      </c>
      <c r="Y1026" s="39" t="n">
        <f aca="false">Resumo!$B$10*CEILING(I1026/100,1)</f>
        <v>4.5</v>
      </c>
      <c r="Z1026" s="39" t="n">
        <f aca="false">Resumo!$B$12*CEILING(I1026,1)</f>
        <v>4.02</v>
      </c>
      <c r="AA1026" s="39" t="n">
        <f aca="false">Resumo!$B$13*CEILING(I1026,1)</f>
        <v>30.15</v>
      </c>
      <c r="AB1026" s="39" t="n">
        <f aca="false">SUM(U1026:AA1026)</f>
        <v>172.424</v>
      </c>
      <c r="AC1026" s="39" t="n">
        <f aca="false">AB1026/(1-Resumo!$B$5)</f>
        <v>195.936363636364</v>
      </c>
      <c r="AD1026" s="39" t="n">
        <f aca="false">(AB1026-AA1026)/(1-Resumo!$B$5)</f>
        <v>161.675</v>
      </c>
      <c r="AE1026" s="39" t="n">
        <f aca="false">AC1026-T1026</f>
        <v>71.9594772727273</v>
      </c>
      <c r="AF1026" s="40" t="n">
        <f aca="false">AC1026/T1026-1</f>
        <v>0.580426556783037</v>
      </c>
      <c r="AG1026" s="37" t="str">
        <f aca="false">IF(AC1026&lt;T1026,"SIM","NÃO")</f>
        <v>NÃO</v>
      </c>
      <c r="AH1026" s="37" t="n">
        <v>8</v>
      </c>
      <c r="AI1026" s="37" t="n">
        <v>5</v>
      </c>
      <c r="AJ1026" s="37" t="s">
        <v>323</v>
      </c>
    </row>
    <row r="1027" customFormat="false" ht="15" hidden="false" customHeight="false" outlineLevel="0" collapsed="false">
      <c r="A1027" s="37" t="n">
        <v>376860151</v>
      </c>
      <c r="B1027" s="38" t="n">
        <v>46249.4536111111</v>
      </c>
      <c r="C1027" s="37" t="s">
        <v>325</v>
      </c>
      <c r="D1027" s="37" t="s">
        <v>1299</v>
      </c>
      <c r="E1027" s="37" t="n">
        <v>26445270</v>
      </c>
      <c r="F1027" s="37" t="s">
        <v>223</v>
      </c>
      <c r="G1027" s="37" t="s">
        <v>201</v>
      </c>
      <c r="H1027" s="37" t="s">
        <v>168</v>
      </c>
      <c r="I1027" s="37" t="n">
        <v>24.4</v>
      </c>
      <c r="J1027" s="39" t="n">
        <v>307.68</v>
      </c>
      <c r="K1027" s="37" t="s">
        <v>498</v>
      </c>
      <c r="L1027" s="39" t="n">
        <v>105.43</v>
      </c>
      <c r="M1027" s="39" t="n">
        <v>76.5</v>
      </c>
      <c r="N1027" s="39" t="n">
        <f aca="false">J1027*Resumo!$C$7</f>
        <v>0.61536</v>
      </c>
      <c r="O1027" s="39" t="n">
        <f aca="false">J1027*Resumo!$C$8</f>
        <v>0.61536</v>
      </c>
      <c r="P1027" s="39" t="n">
        <f aca="false">Resumo!$C$10*CEILING(I1027/100,1)</f>
        <v>1</v>
      </c>
      <c r="Q1027" s="39" t="n">
        <f aca="false">Resumo!$C$9</f>
        <v>11.9</v>
      </c>
      <c r="R1027" s="39" t="n">
        <f aca="false">SUM(M1027:Q1027)*Resumo!$C$11</f>
        <v>4.9846896</v>
      </c>
      <c r="S1027" s="39" t="n">
        <f aca="false">SUM(M1027:R1027)</f>
        <v>95.6154096</v>
      </c>
      <c r="T1027" s="39" t="n">
        <f aca="false">S1027/(1-Resumo!$C$5)</f>
        <v>108.653874545455</v>
      </c>
      <c r="U1027" s="39" t="n">
        <v>82.21</v>
      </c>
      <c r="V1027" s="39" t="n">
        <f aca="false">J1027*Resumo!$B$6</f>
        <v>0.30768</v>
      </c>
      <c r="W1027" s="39" t="n">
        <f aca="false">J1027*Resumo!$B$7</f>
        <v>0.61536</v>
      </c>
      <c r="X1027" s="39" t="n">
        <f aca="false">Resumo!$B$9</f>
        <v>1</v>
      </c>
      <c r="Y1027" s="39" t="n">
        <f aca="false">Resumo!$B$10*CEILING(I1027/100,1)</f>
        <v>4.5</v>
      </c>
      <c r="Z1027" s="39" t="n">
        <f aca="false">Resumo!$B$12*CEILING(I1027,1)</f>
        <v>1.5</v>
      </c>
      <c r="AA1027" s="39" t="n">
        <f aca="false">Resumo!$B$13*CEILING(I1027,1)</f>
        <v>11.25</v>
      </c>
      <c r="AB1027" s="39" t="n">
        <f aca="false">SUM(U1027:AA1027)</f>
        <v>101.38304</v>
      </c>
      <c r="AC1027" s="39" t="n">
        <f aca="false">AB1027/(1-Resumo!$B$5)</f>
        <v>115.208</v>
      </c>
      <c r="AD1027" s="39" t="n">
        <f aca="false">(AB1027-AA1027)/(1-Resumo!$B$5)</f>
        <v>102.423909090909</v>
      </c>
      <c r="AE1027" s="39" t="n">
        <f aca="false">AC1027-T1027</f>
        <v>6.55412545454546</v>
      </c>
      <c r="AF1027" s="40" t="n">
        <f aca="false">AC1027/T1027-1</f>
        <v>0.0603211388637925</v>
      </c>
      <c r="AG1027" s="37" t="str">
        <f aca="false">IF(AC1027&lt;T1027,"SIM","NÃO")</f>
        <v>NÃO</v>
      </c>
      <c r="AH1027" s="37" t="n">
        <v>13</v>
      </c>
      <c r="AI1027" s="37" t="n">
        <v>5</v>
      </c>
      <c r="AJ1027" s="37" t="s">
        <v>327</v>
      </c>
    </row>
    <row r="1028" customFormat="false" ht="15" hidden="false" customHeight="false" outlineLevel="0" collapsed="false">
      <c r="A1028" s="37" t="n">
        <v>376860287</v>
      </c>
      <c r="B1028" s="38" t="n">
        <v>46249.454224537</v>
      </c>
      <c r="C1028" s="37" t="s">
        <v>359</v>
      </c>
      <c r="D1028" s="37" t="s">
        <v>1300</v>
      </c>
      <c r="E1028" s="37" t="n">
        <v>22795200</v>
      </c>
      <c r="F1028" s="37" t="s">
        <v>139</v>
      </c>
      <c r="G1028" s="37" t="s">
        <v>198</v>
      </c>
      <c r="H1028" s="37" t="s">
        <v>170</v>
      </c>
      <c r="I1028" s="37" t="n">
        <v>43.5</v>
      </c>
      <c r="J1028" s="39" t="n">
        <v>699.99</v>
      </c>
      <c r="K1028" s="37" t="s">
        <v>322</v>
      </c>
      <c r="L1028" s="39" t="n">
        <v>103.94</v>
      </c>
      <c r="M1028" s="39" t="n">
        <v>71</v>
      </c>
      <c r="N1028" s="39" t="n">
        <f aca="false">J1028*Resumo!$C$7</f>
        <v>1.39998</v>
      </c>
      <c r="O1028" s="39" t="n">
        <f aca="false">J1028*Resumo!$C$8</f>
        <v>1.39998</v>
      </c>
      <c r="P1028" s="39" t="n">
        <f aca="false">Resumo!$C$10*CEILING(I1028/100,1)</f>
        <v>1</v>
      </c>
      <c r="Q1028" s="39" t="n">
        <f aca="false">Resumo!$C$9</f>
        <v>11.9</v>
      </c>
      <c r="R1028" s="39" t="n">
        <f aca="false">SUM(M1028:Q1028)*Resumo!$C$11</f>
        <v>4.7684978</v>
      </c>
      <c r="S1028" s="39" t="n">
        <f aca="false">SUM(M1028:R1028)</f>
        <v>91.4684578</v>
      </c>
      <c r="T1028" s="39" t="n">
        <f aca="false">S1028/(1-Resumo!$C$5)</f>
        <v>103.941429318182</v>
      </c>
      <c r="U1028" s="39" t="n">
        <v>93.97</v>
      </c>
      <c r="V1028" s="39" t="n">
        <f aca="false">J1028*Resumo!$B$6</f>
        <v>0.69999</v>
      </c>
      <c r="W1028" s="39" t="n">
        <f aca="false">J1028*Resumo!$B$7</f>
        <v>1.39998</v>
      </c>
      <c r="X1028" s="39" t="n">
        <f aca="false">Resumo!$B$9</f>
        <v>1</v>
      </c>
      <c r="Y1028" s="39" t="n">
        <f aca="false">Resumo!$B$10*CEILING(I1028/100,1)</f>
        <v>4.5</v>
      </c>
      <c r="Z1028" s="39" t="n">
        <f aca="false">Resumo!$B$12*CEILING(I1028,1)</f>
        <v>2.64</v>
      </c>
      <c r="AA1028" s="39" t="n">
        <f aca="false">Resumo!$B$13*CEILING(I1028,1)</f>
        <v>19.8</v>
      </c>
      <c r="AB1028" s="39" t="n">
        <f aca="false">SUM(U1028:AA1028)</f>
        <v>124.00997</v>
      </c>
      <c r="AC1028" s="39" t="n">
        <f aca="false">AB1028/(1-Resumo!$B$5)</f>
        <v>140.920420454545</v>
      </c>
      <c r="AD1028" s="39" t="n">
        <f aca="false">(AB1028-AA1028)/(1-Resumo!$B$5)</f>
        <v>118.420420454545</v>
      </c>
      <c r="AE1028" s="39" t="n">
        <f aca="false">AC1028-T1028</f>
        <v>36.9789911363636</v>
      </c>
      <c r="AF1028" s="40" t="n">
        <f aca="false">AC1028/T1028-1</f>
        <v>0.355767583522109</v>
      </c>
      <c r="AG1028" s="37" t="str">
        <f aca="false">IF(AC1028&lt;T1028,"SIM","NÃO")</f>
        <v>NÃO</v>
      </c>
      <c r="AH1028" s="37" t="n">
        <v>8</v>
      </c>
      <c r="AI1028" s="37" t="n">
        <v>5</v>
      </c>
      <c r="AJ1028" s="37" t="s">
        <v>323</v>
      </c>
    </row>
    <row r="1029" customFormat="false" ht="15" hidden="false" customHeight="false" outlineLevel="0" collapsed="false">
      <c r="A1029" s="37" t="n">
        <v>376884000</v>
      </c>
      <c r="B1029" s="38" t="n">
        <v>46249.4939236111</v>
      </c>
      <c r="C1029" s="37" t="s">
        <v>325</v>
      </c>
      <c r="D1029" s="37" t="s">
        <v>1301</v>
      </c>
      <c r="E1029" s="37" t="n">
        <v>21715075</v>
      </c>
      <c r="F1029" s="37" t="s">
        <v>139</v>
      </c>
      <c r="G1029" s="37" t="s">
        <v>198</v>
      </c>
      <c r="H1029" s="37" t="s">
        <v>176</v>
      </c>
      <c r="I1029" s="37" t="n">
        <v>124.2</v>
      </c>
      <c r="J1029" s="39" t="n">
        <v>1597.99</v>
      </c>
      <c r="K1029" s="37" t="s">
        <v>322</v>
      </c>
      <c r="L1029" s="39" t="n">
        <v>233.95</v>
      </c>
      <c r="M1029" s="39" t="n">
        <v>174.85</v>
      </c>
      <c r="N1029" s="39" t="n">
        <f aca="false">J1029*Resumo!$C$7</f>
        <v>3.19598</v>
      </c>
      <c r="O1029" s="39" t="n">
        <f aca="false">J1029*Resumo!$C$8</f>
        <v>3.19598</v>
      </c>
      <c r="P1029" s="39" t="n">
        <f aca="false">Resumo!$C$10*CEILING(I1029/100,1)</f>
        <v>2</v>
      </c>
      <c r="Q1029" s="39" t="n">
        <f aca="false">Resumo!$C$9</f>
        <v>11.9</v>
      </c>
      <c r="R1029" s="39" t="n">
        <f aca="false">SUM(M1029:Q1029)*Resumo!$C$11</f>
        <v>10.7328078</v>
      </c>
      <c r="S1029" s="39" t="n">
        <f aca="false">SUM(M1029:R1029)</f>
        <v>205.8747678</v>
      </c>
      <c r="T1029" s="39" t="n">
        <f aca="false">S1029/(1-Resumo!$C$5)</f>
        <v>233.948599772727</v>
      </c>
      <c r="U1029" s="39" t="n">
        <v>239.25</v>
      </c>
      <c r="V1029" s="39" t="n">
        <f aca="false">J1029*Resumo!$B$6</f>
        <v>1.59799</v>
      </c>
      <c r="W1029" s="39" t="n">
        <f aca="false">J1029*Resumo!$B$7</f>
        <v>3.19598</v>
      </c>
      <c r="X1029" s="39" t="n">
        <f aca="false">Resumo!$B$9</f>
        <v>1</v>
      </c>
      <c r="Y1029" s="39" t="n">
        <f aca="false">Resumo!$B$10*CEILING(I1029/100,1)</f>
        <v>9</v>
      </c>
      <c r="Z1029" s="39" t="n">
        <f aca="false">Resumo!$B$12*CEILING(I1029,1)</f>
        <v>7.5</v>
      </c>
      <c r="AA1029" s="39" t="n">
        <f aca="false">Resumo!$B$13*CEILING(I1029,1)</f>
        <v>56.25</v>
      </c>
      <c r="AB1029" s="39" t="n">
        <f aca="false">SUM(U1029:AA1029)</f>
        <v>317.79397</v>
      </c>
      <c r="AC1029" s="39" t="n">
        <f aca="false">AB1029/(1-Resumo!$B$5)</f>
        <v>361.129511363636</v>
      </c>
      <c r="AD1029" s="39" t="n">
        <f aca="false">(AB1029-AA1029)/(1-Resumo!$B$5)</f>
        <v>297.209056818182</v>
      </c>
      <c r="AE1029" s="39" t="n">
        <f aca="false">AC1029-T1029</f>
        <v>127.180911590909</v>
      </c>
      <c r="AF1029" s="40" t="n">
        <f aca="false">AC1029/T1029-1</f>
        <v>0.54362758193236</v>
      </c>
      <c r="AG1029" s="37" t="str">
        <f aca="false">IF(AC1029&lt;T1029,"SIM","NÃO")</f>
        <v>NÃO</v>
      </c>
      <c r="AH1029" s="37" t="n">
        <v>8</v>
      </c>
      <c r="AI1029" s="37" t="n">
        <v>5</v>
      </c>
      <c r="AJ1029" s="37" t="s">
        <v>323</v>
      </c>
    </row>
    <row r="1030" customFormat="false" ht="15" hidden="false" customHeight="false" outlineLevel="0" collapsed="false">
      <c r="A1030" s="37" t="n">
        <v>376886339</v>
      </c>
      <c r="B1030" s="38" t="n">
        <v>46249.4974189815</v>
      </c>
      <c r="C1030" s="37" t="s">
        <v>320</v>
      </c>
      <c r="D1030" s="37" t="s">
        <v>1302</v>
      </c>
      <c r="E1030" s="37" t="n">
        <v>22770280</v>
      </c>
      <c r="F1030" s="37" t="s">
        <v>139</v>
      </c>
      <c r="G1030" s="37" t="s">
        <v>198</v>
      </c>
      <c r="H1030" s="37" t="s">
        <v>171</v>
      </c>
      <c r="I1030" s="37" t="n">
        <v>52.3</v>
      </c>
      <c r="J1030" s="39" t="n">
        <v>699.99</v>
      </c>
      <c r="K1030" s="37" t="s">
        <v>322</v>
      </c>
      <c r="L1030" s="39" t="n">
        <v>114.5</v>
      </c>
      <c r="M1030" s="39" t="n">
        <v>79.81</v>
      </c>
      <c r="N1030" s="39" t="n">
        <f aca="false">J1030*Resumo!$C$7</f>
        <v>1.39998</v>
      </c>
      <c r="O1030" s="39" t="n">
        <f aca="false">J1030*Resumo!$C$8</f>
        <v>1.39998</v>
      </c>
      <c r="P1030" s="39" t="n">
        <f aca="false">Resumo!$C$10*CEILING(I1030/100,1)</f>
        <v>1</v>
      </c>
      <c r="Q1030" s="39" t="n">
        <f aca="false">Resumo!$C$9</f>
        <v>11.9</v>
      </c>
      <c r="R1030" s="39" t="n">
        <f aca="false">SUM(M1030:Q1030)*Resumo!$C$11</f>
        <v>5.2530478</v>
      </c>
      <c r="S1030" s="39" t="n">
        <f aca="false">SUM(M1030:R1030)</f>
        <v>100.7630078</v>
      </c>
      <c r="T1030" s="39" t="n">
        <f aca="false">S1030/(1-Resumo!$C$5)</f>
        <v>114.503417954545</v>
      </c>
      <c r="U1030" s="39" t="n">
        <v>112.3</v>
      </c>
      <c r="V1030" s="39" t="n">
        <f aca="false">J1030*Resumo!$B$6</f>
        <v>0.69999</v>
      </c>
      <c r="W1030" s="39" t="n">
        <f aca="false">J1030*Resumo!$B$7</f>
        <v>1.39998</v>
      </c>
      <c r="X1030" s="39" t="n">
        <f aca="false">Resumo!$B$9</f>
        <v>1</v>
      </c>
      <c r="Y1030" s="39" t="n">
        <f aca="false">Resumo!$B$10*CEILING(I1030/100,1)</f>
        <v>4.5</v>
      </c>
      <c r="Z1030" s="39" t="n">
        <f aca="false">Resumo!$B$12*CEILING(I1030,1)</f>
        <v>3.18</v>
      </c>
      <c r="AA1030" s="39" t="n">
        <f aca="false">Resumo!$B$13*CEILING(I1030,1)</f>
        <v>23.85</v>
      </c>
      <c r="AB1030" s="39" t="n">
        <f aca="false">SUM(U1030:AA1030)</f>
        <v>146.92997</v>
      </c>
      <c r="AC1030" s="39" t="n">
        <f aca="false">AB1030/(1-Resumo!$B$5)</f>
        <v>166.965875</v>
      </c>
      <c r="AD1030" s="39" t="n">
        <f aca="false">(AB1030-AA1030)/(1-Resumo!$B$5)</f>
        <v>139.863602272727</v>
      </c>
      <c r="AE1030" s="39" t="n">
        <f aca="false">AC1030-T1030</f>
        <v>52.4624570454545</v>
      </c>
      <c r="AF1030" s="40" t="n">
        <f aca="false">AC1030/T1030-1</f>
        <v>0.458173720772952</v>
      </c>
      <c r="AG1030" s="37" t="str">
        <f aca="false">IF(AC1030&lt;T1030,"SIM","NÃO")</f>
        <v>NÃO</v>
      </c>
      <c r="AH1030" s="37" t="n">
        <v>8</v>
      </c>
      <c r="AI1030" s="37" t="n">
        <v>5</v>
      </c>
      <c r="AJ1030" s="37" t="s">
        <v>323</v>
      </c>
    </row>
    <row r="1031" customFormat="false" ht="15" hidden="false" customHeight="false" outlineLevel="0" collapsed="false">
      <c r="A1031" s="37" t="n">
        <v>376888056</v>
      </c>
      <c r="B1031" s="38" t="n">
        <v>46249.5002314815</v>
      </c>
      <c r="C1031" s="37" t="s">
        <v>320</v>
      </c>
      <c r="D1031" s="37" t="s">
        <v>1303</v>
      </c>
      <c r="E1031" s="37" t="n">
        <v>26135300</v>
      </c>
      <c r="F1031" s="37" t="s">
        <v>145</v>
      </c>
      <c r="G1031" s="37" t="s">
        <v>207</v>
      </c>
      <c r="H1031" s="37" t="s">
        <v>172</v>
      </c>
      <c r="I1031" s="37" t="n">
        <v>63.9</v>
      </c>
      <c r="J1031" s="39" t="n">
        <v>730.98</v>
      </c>
      <c r="K1031" s="37" t="s">
        <v>498</v>
      </c>
      <c r="L1031" s="39" t="n">
        <v>139.81</v>
      </c>
      <c r="M1031" s="39" t="n">
        <v>100.9</v>
      </c>
      <c r="N1031" s="39" t="n">
        <f aca="false">J1031*Resumo!$C$7</f>
        <v>1.46196</v>
      </c>
      <c r="O1031" s="39" t="n">
        <f aca="false">J1031*Resumo!$C$8</f>
        <v>1.46196</v>
      </c>
      <c r="P1031" s="39" t="n">
        <f aca="false">Resumo!$C$10*CEILING(I1031/100,1)</f>
        <v>1</v>
      </c>
      <c r="Q1031" s="39" t="n">
        <f aca="false">Resumo!$C$9</f>
        <v>11.9</v>
      </c>
      <c r="R1031" s="39" t="n">
        <f aca="false">SUM(M1031:Q1031)*Resumo!$C$11</f>
        <v>6.4198156</v>
      </c>
      <c r="S1031" s="39" t="n">
        <f aca="false">SUM(M1031:R1031)</f>
        <v>123.1437356</v>
      </c>
      <c r="T1031" s="39" t="n">
        <f aca="false">S1031/(1-Resumo!$C$5)</f>
        <v>139.936063181818</v>
      </c>
      <c r="U1031" s="39" t="n">
        <v>131.02</v>
      </c>
      <c r="V1031" s="39" t="n">
        <f aca="false">J1031*Resumo!$B$6</f>
        <v>0.73098</v>
      </c>
      <c r="W1031" s="39" t="n">
        <f aca="false">J1031*Resumo!$B$7</f>
        <v>1.46196</v>
      </c>
      <c r="X1031" s="39" t="n">
        <f aca="false">Resumo!$B$9</f>
        <v>1</v>
      </c>
      <c r="Y1031" s="39" t="n">
        <f aca="false">Resumo!$B$10*CEILING(I1031/100,1)</f>
        <v>4.5</v>
      </c>
      <c r="Z1031" s="39" t="n">
        <f aca="false">Resumo!$B$12*CEILING(I1031,1)</f>
        <v>3.84</v>
      </c>
      <c r="AA1031" s="39" t="n">
        <f aca="false">Resumo!$B$13*CEILING(I1031,1)</f>
        <v>28.8</v>
      </c>
      <c r="AB1031" s="39" t="n">
        <f aca="false">SUM(U1031:AA1031)</f>
        <v>171.35294</v>
      </c>
      <c r="AC1031" s="39" t="n">
        <f aca="false">AB1031/(1-Resumo!$B$5)</f>
        <v>194.71925</v>
      </c>
      <c r="AD1031" s="39" t="n">
        <f aca="false">(AB1031-AA1031)/(1-Resumo!$B$5)</f>
        <v>161.991977272727</v>
      </c>
      <c r="AE1031" s="39" t="n">
        <f aca="false">AC1031-T1031</f>
        <v>54.7831868181818</v>
      </c>
      <c r="AF1031" s="40" t="n">
        <f aca="false">AC1031/T1031-1</f>
        <v>0.391487266202439</v>
      </c>
      <c r="AG1031" s="37" t="str">
        <f aca="false">IF(AC1031&lt;T1031,"SIM","NÃO")</f>
        <v>NÃO</v>
      </c>
      <c r="AH1031" s="37" t="n">
        <v>10</v>
      </c>
      <c r="AI1031" s="37" t="n">
        <v>5</v>
      </c>
      <c r="AJ1031" s="37" t="s">
        <v>323</v>
      </c>
    </row>
    <row r="1032" customFormat="false" ht="15" hidden="false" customHeight="false" outlineLevel="0" collapsed="false">
      <c r="A1032" s="37" t="n">
        <v>376888749</v>
      </c>
      <c r="B1032" s="38" t="n">
        <v>46249.5013310185</v>
      </c>
      <c r="C1032" s="37" t="s">
        <v>320</v>
      </c>
      <c r="D1032" s="37" t="s">
        <v>1304</v>
      </c>
      <c r="E1032" s="37" t="n">
        <v>23898093</v>
      </c>
      <c r="F1032" s="37" t="s">
        <v>205</v>
      </c>
      <c r="G1032" s="37" t="s">
        <v>201</v>
      </c>
      <c r="H1032" s="37" t="s">
        <v>171</v>
      </c>
      <c r="I1032" s="37" t="n">
        <v>52.3</v>
      </c>
      <c r="J1032" s="39" t="n">
        <v>699.99</v>
      </c>
      <c r="K1032" s="37" t="s">
        <v>498</v>
      </c>
      <c r="L1032" s="39" t="n">
        <v>142.01</v>
      </c>
      <c r="M1032" s="39" t="n">
        <v>103.6</v>
      </c>
      <c r="N1032" s="39" t="n">
        <f aca="false">J1032*Resumo!$C$7</f>
        <v>1.39998</v>
      </c>
      <c r="O1032" s="39" t="n">
        <f aca="false">J1032*Resumo!$C$8</f>
        <v>1.39998</v>
      </c>
      <c r="P1032" s="39" t="n">
        <f aca="false">Resumo!$C$10*CEILING(I1032/100,1)</f>
        <v>1</v>
      </c>
      <c r="Q1032" s="39" t="n">
        <f aca="false">Resumo!$C$9</f>
        <v>11.9</v>
      </c>
      <c r="R1032" s="39" t="n">
        <f aca="false">SUM(M1032:Q1032)*Resumo!$C$11</f>
        <v>6.5614978</v>
      </c>
      <c r="S1032" s="39" t="n">
        <f aca="false">SUM(M1032:R1032)</f>
        <v>125.8614578</v>
      </c>
      <c r="T1032" s="39" t="n">
        <f aca="false">S1032/(1-Resumo!$C$5)</f>
        <v>143.024383863636</v>
      </c>
      <c r="U1032" s="39" t="n">
        <v>122.3</v>
      </c>
      <c r="V1032" s="39" t="n">
        <f aca="false">J1032*Resumo!$B$6</f>
        <v>0.69999</v>
      </c>
      <c r="W1032" s="39" t="n">
        <f aca="false">J1032*Resumo!$B$7</f>
        <v>1.39998</v>
      </c>
      <c r="X1032" s="39" t="n">
        <f aca="false">Resumo!$B$9</f>
        <v>1</v>
      </c>
      <c r="Y1032" s="39" t="n">
        <f aca="false">Resumo!$B$10*CEILING(I1032/100,1)</f>
        <v>4.5</v>
      </c>
      <c r="Z1032" s="39" t="n">
        <f aca="false">Resumo!$B$12*CEILING(I1032,1)</f>
        <v>3.18</v>
      </c>
      <c r="AA1032" s="39" t="n">
        <f aca="false">Resumo!$B$13*CEILING(I1032,1)</f>
        <v>23.85</v>
      </c>
      <c r="AB1032" s="39" t="n">
        <f aca="false">SUM(U1032:AA1032)</f>
        <v>156.92997</v>
      </c>
      <c r="AC1032" s="39" t="n">
        <f aca="false">AB1032/(1-Resumo!$B$5)</f>
        <v>178.329511363636</v>
      </c>
      <c r="AD1032" s="39" t="n">
        <f aca="false">(AB1032-AA1032)/(1-Resumo!$B$5)</f>
        <v>151.227238636364</v>
      </c>
      <c r="AE1032" s="39" t="n">
        <f aca="false">AC1032-T1032</f>
        <v>35.3051275</v>
      </c>
      <c r="AF1032" s="40" t="n">
        <f aca="false">AC1032/T1032-1</f>
        <v>0.24684691201789</v>
      </c>
      <c r="AG1032" s="37" t="str">
        <f aca="false">IF(AC1032&lt;T1032,"SIM","NÃO")</f>
        <v>NÃO</v>
      </c>
      <c r="AH1032" s="37" t="n">
        <v>13</v>
      </c>
      <c r="AI1032" s="37" t="n">
        <v>5</v>
      </c>
      <c r="AJ1032" s="37" t="s">
        <v>327</v>
      </c>
    </row>
    <row r="1033" customFormat="false" ht="15" hidden="false" customHeight="false" outlineLevel="0" collapsed="false">
      <c r="A1033" s="37" t="n">
        <v>376889638</v>
      </c>
      <c r="B1033" s="38" t="n">
        <v>46249.5027199074</v>
      </c>
      <c r="C1033" s="37" t="s">
        <v>320</v>
      </c>
      <c r="D1033" s="37" t="s">
        <v>1305</v>
      </c>
      <c r="E1033" s="37" t="n">
        <v>25640550</v>
      </c>
      <c r="F1033" s="37" t="s">
        <v>150</v>
      </c>
      <c r="G1033" s="37" t="s">
        <v>201</v>
      </c>
      <c r="H1033" s="37" t="s">
        <v>176</v>
      </c>
      <c r="I1033" s="37" t="n">
        <v>124.2</v>
      </c>
      <c r="J1033" s="39" t="n">
        <v>1526.91</v>
      </c>
      <c r="K1033" s="37" t="s">
        <v>498</v>
      </c>
      <c r="L1033" s="39" t="n">
        <v>252.91</v>
      </c>
      <c r="M1033" s="39" t="n">
        <v>197.37</v>
      </c>
      <c r="N1033" s="39" t="n">
        <f aca="false">J1033*Resumo!$C$7</f>
        <v>3.05382</v>
      </c>
      <c r="O1033" s="39" t="n">
        <f aca="false">J1033*Resumo!$C$8</f>
        <v>3.05382</v>
      </c>
      <c r="P1033" s="39" t="n">
        <f aca="false">Resumo!$C$10*CEILING(I1033/100,1)</f>
        <v>2</v>
      </c>
      <c r="Q1033" s="39" t="n">
        <f aca="false">Resumo!$C$9</f>
        <v>11.9</v>
      </c>
      <c r="R1033" s="39" t="n">
        <f aca="false">SUM(M1033:Q1033)*Resumo!$C$11</f>
        <v>11.9557702</v>
      </c>
      <c r="S1033" s="39" t="n">
        <f aca="false">SUM(M1033:R1033)</f>
        <v>229.3334102</v>
      </c>
      <c r="T1033" s="39" t="n">
        <f aca="false">S1033/(1-Resumo!$C$5)</f>
        <v>260.606147954545</v>
      </c>
      <c r="U1033" s="39" t="n">
        <v>264.84</v>
      </c>
      <c r="V1033" s="39" t="n">
        <f aca="false">J1033*Resumo!$B$6</f>
        <v>1.52691</v>
      </c>
      <c r="W1033" s="39" t="n">
        <f aca="false">J1033*Resumo!$B$7</f>
        <v>3.05382</v>
      </c>
      <c r="X1033" s="39" t="n">
        <f aca="false">Resumo!$B$9</f>
        <v>1</v>
      </c>
      <c r="Y1033" s="39" t="n">
        <f aca="false">Resumo!$B$10*CEILING(I1033/100,1)</f>
        <v>9</v>
      </c>
      <c r="Z1033" s="39" t="n">
        <f aca="false">Resumo!$B$12*CEILING(I1033,1)</f>
        <v>7.5</v>
      </c>
      <c r="AA1033" s="39" t="n">
        <f aca="false">Resumo!$B$13*CEILING(I1033,1)</f>
        <v>56.25</v>
      </c>
      <c r="AB1033" s="39" t="n">
        <f aca="false">SUM(U1033:AA1033)</f>
        <v>343.17073</v>
      </c>
      <c r="AC1033" s="39" t="n">
        <f aca="false">AB1033/(1-Resumo!$B$5)</f>
        <v>389.966738636364</v>
      </c>
      <c r="AD1033" s="39" t="n">
        <f aca="false">(AB1033-AA1033)/(1-Resumo!$B$5)</f>
        <v>326.046284090909</v>
      </c>
      <c r="AE1033" s="39" t="n">
        <f aca="false">AC1033-T1033</f>
        <v>129.360590681818</v>
      </c>
      <c r="AF1033" s="40" t="n">
        <f aca="false">AC1033/T1033-1</f>
        <v>0.496383495543555</v>
      </c>
      <c r="AG1033" s="37" t="str">
        <f aca="false">IF(AC1033&lt;T1033,"SIM","NÃO")</f>
        <v>NÃO</v>
      </c>
      <c r="AH1033" s="37" t="n">
        <v>13</v>
      </c>
      <c r="AI1033" s="37" t="n">
        <v>8</v>
      </c>
      <c r="AJ1033" s="37" t="s">
        <v>323</v>
      </c>
    </row>
    <row r="1034" customFormat="false" ht="15" hidden="false" customHeight="false" outlineLevel="0" collapsed="false">
      <c r="A1034" s="37" t="n">
        <v>376890115</v>
      </c>
      <c r="B1034" s="38" t="n">
        <v>46249.5034490741</v>
      </c>
      <c r="C1034" s="37" t="s">
        <v>320</v>
      </c>
      <c r="D1034" s="37" t="s">
        <v>1306</v>
      </c>
      <c r="E1034" s="37" t="n">
        <v>21046160</v>
      </c>
      <c r="F1034" s="37" t="s">
        <v>139</v>
      </c>
      <c r="G1034" s="37" t="s">
        <v>198</v>
      </c>
      <c r="H1034" s="37" t="s">
        <v>171</v>
      </c>
      <c r="I1034" s="37" t="n">
        <v>52.2</v>
      </c>
      <c r="J1034" s="39" t="n">
        <v>719.99</v>
      </c>
      <c r="K1034" s="37" t="s">
        <v>322</v>
      </c>
      <c r="L1034" s="39" t="n">
        <v>114.6</v>
      </c>
      <c r="M1034" s="39" t="n">
        <v>79.81</v>
      </c>
      <c r="N1034" s="39" t="n">
        <f aca="false">J1034*Resumo!$C$7</f>
        <v>1.43998</v>
      </c>
      <c r="O1034" s="39" t="n">
        <f aca="false">J1034*Resumo!$C$8</f>
        <v>1.43998</v>
      </c>
      <c r="P1034" s="39" t="n">
        <f aca="false">Resumo!$C$10*CEILING(I1034/100,1)</f>
        <v>1</v>
      </c>
      <c r="Q1034" s="39" t="n">
        <f aca="false">Resumo!$C$9</f>
        <v>11.9</v>
      </c>
      <c r="R1034" s="39" t="n">
        <f aca="false">SUM(M1034:Q1034)*Resumo!$C$11</f>
        <v>5.2574478</v>
      </c>
      <c r="S1034" s="39" t="n">
        <f aca="false">SUM(M1034:R1034)</f>
        <v>100.8474078</v>
      </c>
      <c r="T1034" s="39" t="n">
        <f aca="false">S1034/(1-Resumo!$C$5)</f>
        <v>114.599327045455</v>
      </c>
      <c r="U1034" s="39" t="n">
        <v>112.3</v>
      </c>
      <c r="V1034" s="39" t="n">
        <f aca="false">J1034*Resumo!$B$6</f>
        <v>0.71999</v>
      </c>
      <c r="W1034" s="39" t="n">
        <f aca="false">J1034*Resumo!$B$7</f>
        <v>1.43998</v>
      </c>
      <c r="X1034" s="39" t="n">
        <f aca="false">Resumo!$B$9</f>
        <v>1</v>
      </c>
      <c r="Y1034" s="39" t="n">
        <f aca="false">Resumo!$B$10*CEILING(I1034/100,1)</f>
        <v>4.5</v>
      </c>
      <c r="Z1034" s="39" t="n">
        <f aca="false">Resumo!$B$12*CEILING(I1034,1)</f>
        <v>3.18</v>
      </c>
      <c r="AA1034" s="39" t="n">
        <f aca="false">Resumo!$B$13*CEILING(I1034,1)</f>
        <v>23.85</v>
      </c>
      <c r="AB1034" s="39" t="n">
        <f aca="false">SUM(U1034:AA1034)</f>
        <v>146.98997</v>
      </c>
      <c r="AC1034" s="39" t="n">
        <f aca="false">AB1034/(1-Resumo!$B$5)</f>
        <v>167.034056818182</v>
      </c>
      <c r="AD1034" s="39" t="n">
        <f aca="false">(AB1034-AA1034)/(1-Resumo!$B$5)</f>
        <v>139.931784090909</v>
      </c>
      <c r="AE1034" s="39" t="n">
        <f aca="false">AC1034-T1034</f>
        <v>52.4347297727273</v>
      </c>
      <c r="AF1034" s="40" t="n">
        <f aca="false">AC1034/T1034-1</f>
        <v>0.457548321832026</v>
      </c>
      <c r="AG1034" s="37" t="str">
        <f aca="false">IF(AC1034&lt;T1034,"SIM","NÃO")</f>
        <v>NÃO</v>
      </c>
      <c r="AH1034" s="37" t="n">
        <v>8</v>
      </c>
      <c r="AI1034" s="37" t="n">
        <v>5</v>
      </c>
      <c r="AJ1034" s="37" t="s">
        <v>323</v>
      </c>
    </row>
    <row r="1035" customFormat="false" ht="15" hidden="false" customHeight="false" outlineLevel="0" collapsed="false">
      <c r="A1035" s="37" t="n">
        <v>376895250</v>
      </c>
      <c r="B1035" s="38" t="n">
        <v>46249.5113078704</v>
      </c>
      <c r="C1035" s="37" t="s">
        <v>320</v>
      </c>
      <c r="D1035" s="37" t="s">
        <v>1307</v>
      </c>
      <c r="E1035" s="37" t="n">
        <v>21051020</v>
      </c>
      <c r="F1035" s="37" t="s">
        <v>139</v>
      </c>
      <c r="G1035" s="37" t="s">
        <v>198</v>
      </c>
      <c r="H1035" s="37" t="s">
        <v>169</v>
      </c>
      <c r="I1035" s="37" t="n">
        <v>37.5</v>
      </c>
      <c r="J1035" s="39" t="n">
        <v>399.99</v>
      </c>
      <c r="K1035" s="37" t="s">
        <v>322</v>
      </c>
      <c r="L1035" s="39" t="n">
        <v>91.77</v>
      </c>
      <c r="M1035" s="39" t="n">
        <v>62.05</v>
      </c>
      <c r="N1035" s="39" t="n">
        <f aca="false">J1035*Resumo!$C$7</f>
        <v>0.79998</v>
      </c>
      <c r="O1035" s="39" t="n">
        <f aca="false">J1035*Resumo!$C$8</f>
        <v>0.79998</v>
      </c>
      <c r="P1035" s="39" t="n">
        <f aca="false">Resumo!$C$10*CEILING(I1035/100,1)</f>
        <v>1</v>
      </c>
      <c r="Q1035" s="39" t="n">
        <f aca="false">Resumo!$C$9</f>
        <v>11.9</v>
      </c>
      <c r="R1035" s="39" t="n">
        <f aca="false">SUM(M1035:Q1035)*Resumo!$C$11</f>
        <v>4.2102478</v>
      </c>
      <c r="S1035" s="39" t="n">
        <f aca="false">SUM(M1035:R1035)</f>
        <v>80.7602078</v>
      </c>
      <c r="T1035" s="39" t="n">
        <f aca="false">S1035/(1-Resumo!$C$5)</f>
        <v>91.7729634090909</v>
      </c>
      <c r="U1035" s="39" t="n">
        <v>93.97</v>
      </c>
      <c r="V1035" s="39" t="n">
        <f aca="false">J1035*Resumo!$B$6</f>
        <v>0.39999</v>
      </c>
      <c r="W1035" s="39" t="n">
        <f aca="false">J1035*Resumo!$B$7</f>
        <v>0.79998</v>
      </c>
      <c r="X1035" s="39" t="n">
        <f aca="false">Resumo!$B$9</f>
        <v>1</v>
      </c>
      <c r="Y1035" s="39" t="n">
        <f aca="false">Resumo!$B$10*CEILING(I1035/100,1)</f>
        <v>4.5</v>
      </c>
      <c r="Z1035" s="39" t="n">
        <f aca="false">Resumo!$B$12*CEILING(I1035,1)</f>
        <v>2.28</v>
      </c>
      <c r="AA1035" s="39" t="n">
        <f aca="false">Resumo!$B$13*CEILING(I1035,1)</f>
        <v>17.1</v>
      </c>
      <c r="AB1035" s="39" t="n">
        <f aca="false">SUM(U1035:AA1035)</f>
        <v>120.04997</v>
      </c>
      <c r="AC1035" s="39" t="n">
        <f aca="false">AB1035/(1-Resumo!$B$5)</f>
        <v>136.420420454545</v>
      </c>
      <c r="AD1035" s="39" t="n">
        <f aca="false">(AB1035-AA1035)/(1-Resumo!$B$5)</f>
        <v>116.988602272727</v>
      </c>
      <c r="AE1035" s="39" t="n">
        <f aca="false">AC1035-T1035</f>
        <v>44.6474570454545</v>
      </c>
      <c r="AF1035" s="40" t="n">
        <f aca="false">AC1035/T1035-1</f>
        <v>0.486499023099344</v>
      </c>
      <c r="AG1035" s="37" t="str">
        <f aca="false">IF(AC1035&lt;T1035,"SIM","NÃO")</f>
        <v>NÃO</v>
      </c>
      <c r="AH1035" s="37" t="n">
        <v>8</v>
      </c>
      <c r="AI1035" s="37" t="n">
        <v>5</v>
      </c>
      <c r="AJ1035" s="37" t="s">
        <v>323</v>
      </c>
    </row>
    <row r="1036" customFormat="false" ht="15" hidden="false" customHeight="false" outlineLevel="0" collapsed="false">
      <c r="A1036" s="37" t="n">
        <v>376895758</v>
      </c>
      <c r="B1036" s="38" t="n">
        <v>46249.5120023148</v>
      </c>
      <c r="C1036" s="37" t="s">
        <v>325</v>
      </c>
      <c r="D1036" s="37" t="s">
        <v>1308</v>
      </c>
      <c r="E1036" s="37" t="n">
        <v>28961777</v>
      </c>
      <c r="F1036" s="37" t="s">
        <v>280</v>
      </c>
      <c r="G1036" s="37" t="s">
        <v>201</v>
      </c>
      <c r="H1036" s="37" t="s">
        <v>170</v>
      </c>
      <c r="I1036" s="37" t="n">
        <v>41.4</v>
      </c>
      <c r="J1036" s="39" t="n">
        <v>418.29</v>
      </c>
      <c r="K1036" s="37" t="s">
        <v>498</v>
      </c>
      <c r="L1036" s="39" t="n">
        <v>128.36</v>
      </c>
      <c r="M1036" s="39" t="n">
        <v>94</v>
      </c>
      <c r="N1036" s="39" t="n">
        <f aca="false">J1036*Resumo!$C$7</f>
        <v>0.83658</v>
      </c>
      <c r="O1036" s="39" t="n">
        <f aca="false">J1036*Resumo!$C$8</f>
        <v>0.83658</v>
      </c>
      <c r="P1036" s="39" t="n">
        <f aca="false">Resumo!$C$10*CEILING(I1036/100,1)</f>
        <v>1</v>
      </c>
      <c r="Q1036" s="39" t="n">
        <f aca="false">Resumo!$C$9</f>
        <v>11.9</v>
      </c>
      <c r="R1036" s="39" t="n">
        <f aca="false">SUM(M1036:Q1036)*Resumo!$C$11</f>
        <v>5.9715238</v>
      </c>
      <c r="S1036" s="39" t="n">
        <f aca="false">SUM(M1036:R1036)</f>
        <v>114.5446838</v>
      </c>
      <c r="T1036" s="39" t="n">
        <f aca="false">S1036/(1-Resumo!$C$5)</f>
        <v>130.164413409091</v>
      </c>
      <c r="U1036" s="39" t="n">
        <v>129.29</v>
      </c>
      <c r="V1036" s="39" t="n">
        <f aca="false">J1036*Resumo!$B$6</f>
        <v>0.41829</v>
      </c>
      <c r="W1036" s="39" t="n">
        <f aca="false">J1036*Resumo!$B$7</f>
        <v>0.83658</v>
      </c>
      <c r="X1036" s="39" t="n">
        <f aca="false">Resumo!$B$9</f>
        <v>1</v>
      </c>
      <c r="Y1036" s="39" t="n">
        <f aca="false">Resumo!$B$10*CEILING(I1036/100,1)</f>
        <v>4.5</v>
      </c>
      <c r="Z1036" s="39" t="n">
        <f aca="false">Resumo!$B$12*CEILING(I1036,1)</f>
        <v>2.52</v>
      </c>
      <c r="AA1036" s="39" t="n">
        <f aca="false">Resumo!$B$13*CEILING(I1036,1)</f>
        <v>18.9</v>
      </c>
      <c r="AB1036" s="39" t="n">
        <f aca="false">SUM(U1036:AA1036)</f>
        <v>157.46487</v>
      </c>
      <c r="AC1036" s="39" t="n">
        <f aca="false">AB1036/(1-Resumo!$B$5)</f>
        <v>178.937352272727</v>
      </c>
      <c r="AD1036" s="39" t="n">
        <f aca="false">(AB1036-AA1036)/(1-Resumo!$B$5)</f>
        <v>157.460079545455</v>
      </c>
      <c r="AE1036" s="39" t="n">
        <f aca="false">AC1036-T1036</f>
        <v>48.7729388636363</v>
      </c>
      <c r="AF1036" s="40" t="n">
        <f aca="false">AC1036/T1036-1</f>
        <v>0.374702559526381</v>
      </c>
      <c r="AG1036" s="37" t="str">
        <f aca="false">IF(AC1036&lt;T1036,"SIM","NÃO")</f>
        <v>NÃO</v>
      </c>
      <c r="AH1036" s="37" t="n">
        <v>13</v>
      </c>
      <c r="AI1036" s="37" t="n">
        <v>10</v>
      </c>
      <c r="AJ1036" s="37" t="s">
        <v>327</v>
      </c>
    </row>
    <row r="1037" customFormat="false" ht="15" hidden="false" customHeight="false" outlineLevel="0" collapsed="false">
      <c r="A1037" s="37" t="n">
        <v>376907702</v>
      </c>
      <c r="B1037" s="38" t="n">
        <v>46249.5358449074</v>
      </c>
      <c r="C1037" s="37" t="s">
        <v>341</v>
      </c>
      <c r="D1037" s="37" t="s">
        <v>1309</v>
      </c>
      <c r="E1037" s="37" t="n">
        <v>26190281</v>
      </c>
      <c r="F1037" s="37" t="s">
        <v>145</v>
      </c>
      <c r="G1037" s="37" t="s">
        <v>207</v>
      </c>
      <c r="H1037" s="37" t="s">
        <v>173</v>
      </c>
      <c r="I1037" s="37" t="n">
        <v>72.7</v>
      </c>
      <c r="J1037" s="39" t="n">
        <v>1109.99</v>
      </c>
      <c r="K1037" s="37" t="s">
        <v>498</v>
      </c>
      <c r="L1037" s="39" t="n">
        <v>152.94</v>
      </c>
      <c r="M1037" s="39" t="n">
        <v>110.55</v>
      </c>
      <c r="N1037" s="39" t="n">
        <f aca="false">J1037*Resumo!$C$7</f>
        <v>2.21998</v>
      </c>
      <c r="O1037" s="39" t="n">
        <f aca="false">J1037*Resumo!$C$8</f>
        <v>2.21998</v>
      </c>
      <c r="P1037" s="39" t="n">
        <f aca="false">Resumo!$C$10*CEILING(I1037/100,1)</f>
        <v>1</v>
      </c>
      <c r="Q1037" s="39" t="n">
        <f aca="false">Resumo!$C$9</f>
        <v>11.9</v>
      </c>
      <c r="R1037" s="39" t="n">
        <f aca="false">SUM(M1037:Q1037)*Resumo!$C$11</f>
        <v>7.0339478</v>
      </c>
      <c r="S1037" s="39" t="n">
        <f aca="false">SUM(M1037:R1037)</f>
        <v>134.9239078</v>
      </c>
      <c r="T1037" s="39" t="n">
        <f aca="false">S1037/(1-Resumo!$C$5)</f>
        <v>153.3226225</v>
      </c>
      <c r="U1037" s="39" t="n">
        <v>134.39</v>
      </c>
      <c r="V1037" s="39" t="n">
        <f aca="false">J1037*Resumo!$B$6</f>
        <v>1.10999</v>
      </c>
      <c r="W1037" s="39" t="n">
        <f aca="false">J1037*Resumo!$B$7</f>
        <v>2.21998</v>
      </c>
      <c r="X1037" s="39" t="n">
        <f aca="false">Resumo!$B$9</f>
        <v>1</v>
      </c>
      <c r="Y1037" s="39" t="n">
        <f aca="false">Resumo!$B$10*CEILING(I1037/100,1)</f>
        <v>4.5</v>
      </c>
      <c r="Z1037" s="39" t="n">
        <f aca="false">Resumo!$B$12*CEILING(I1037,1)</f>
        <v>4.38</v>
      </c>
      <c r="AA1037" s="39" t="n">
        <f aca="false">Resumo!$B$13*CEILING(I1037,1)</f>
        <v>32.85</v>
      </c>
      <c r="AB1037" s="39" t="n">
        <f aca="false">SUM(U1037:AA1037)</f>
        <v>180.44997</v>
      </c>
      <c r="AC1037" s="39" t="n">
        <f aca="false">AB1037/(1-Resumo!$B$5)</f>
        <v>205.056784090909</v>
      </c>
      <c r="AD1037" s="39" t="n">
        <f aca="false">(AB1037-AA1037)/(1-Resumo!$B$5)</f>
        <v>167.727238636364</v>
      </c>
      <c r="AE1037" s="39" t="n">
        <f aca="false">AC1037-T1037</f>
        <v>51.7341615909091</v>
      </c>
      <c r="AF1037" s="40" t="n">
        <f aca="false">AC1037/T1037-1</f>
        <v>0.337420275934226</v>
      </c>
      <c r="AG1037" s="37" t="str">
        <f aca="false">IF(AC1037&lt;T1037,"SIM","NÃO")</f>
        <v>NÃO</v>
      </c>
      <c r="AH1037" s="37" t="n">
        <v>10</v>
      </c>
      <c r="AI1037" s="37" t="n">
        <v>5</v>
      </c>
      <c r="AJ1037" s="37" t="s">
        <v>323</v>
      </c>
    </row>
    <row r="1038" customFormat="false" ht="15" hidden="false" customHeight="false" outlineLevel="0" collapsed="false">
      <c r="A1038" s="37" t="n">
        <v>376431023</v>
      </c>
      <c r="B1038" s="38" t="n">
        <v>46249.5430092593</v>
      </c>
      <c r="C1038" s="37" t="s">
        <v>341</v>
      </c>
      <c r="D1038" s="37" t="s">
        <v>1310</v>
      </c>
      <c r="E1038" s="37" t="n">
        <v>22713581</v>
      </c>
      <c r="F1038" s="37" t="s">
        <v>139</v>
      </c>
      <c r="G1038" s="37" t="s">
        <v>198</v>
      </c>
      <c r="H1038" s="37" t="s">
        <v>172</v>
      </c>
      <c r="I1038" s="37" t="n">
        <v>63</v>
      </c>
      <c r="J1038" s="39" t="n">
        <v>985.99</v>
      </c>
      <c r="K1038" s="37" t="s">
        <v>322</v>
      </c>
      <c r="L1038" s="39" t="n">
        <v>125.93</v>
      </c>
      <c r="M1038" s="39" t="n">
        <v>88.2</v>
      </c>
      <c r="N1038" s="39" t="n">
        <f aca="false">J1038*Resumo!$C$7</f>
        <v>1.97198</v>
      </c>
      <c r="O1038" s="39" t="n">
        <f aca="false">J1038*Resumo!$C$8</f>
        <v>1.97198</v>
      </c>
      <c r="P1038" s="39" t="n">
        <f aca="false">Resumo!$C$10*CEILING(I1038/100,1)</f>
        <v>1</v>
      </c>
      <c r="Q1038" s="39" t="n">
        <f aca="false">Resumo!$C$9</f>
        <v>11.9</v>
      </c>
      <c r="R1038" s="39" t="n">
        <f aca="false">SUM(M1038:Q1038)*Resumo!$C$11</f>
        <v>5.7774178</v>
      </c>
      <c r="S1038" s="39" t="n">
        <f aca="false">SUM(M1038:R1038)</f>
        <v>110.8213778</v>
      </c>
      <c r="T1038" s="39" t="n">
        <f aca="false">S1038/(1-Resumo!$C$5)</f>
        <v>125.933383863636</v>
      </c>
      <c r="U1038" s="39" t="n">
        <v>131.02</v>
      </c>
      <c r="V1038" s="39" t="n">
        <f aca="false">J1038*Resumo!$B$6</f>
        <v>0.98599</v>
      </c>
      <c r="W1038" s="39" t="n">
        <f aca="false">J1038*Resumo!$B$7</f>
        <v>1.97198</v>
      </c>
      <c r="X1038" s="39" t="n">
        <f aca="false">Resumo!$B$9</f>
        <v>1</v>
      </c>
      <c r="Y1038" s="39" t="n">
        <f aca="false">Resumo!$B$10*CEILING(I1038/100,1)</f>
        <v>4.5</v>
      </c>
      <c r="Z1038" s="39" t="n">
        <f aca="false">Resumo!$B$12*CEILING(I1038,1)</f>
        <v>3.78</v>
      </c>
      <c r="AA1038" s="39" t="n">
        <f aca="false">Resumo!$B$13*CEILING(I1038,1)</f>
        <v>28.35</v>
      </c>
      <c r="AB1038" s="39" t="n">
        <f aca="false">SUM(U1038:AA1038)</f>
        <v>171.60797</v>
      </c>
      <c r="AC1038" s="39" t="n">
        <f aca="false">AB1038/(1-Resumo!$B$5)</f>
        <v>195.009056818182</v>
      </c>
      <c r="AD1038" s="39" t="n">
        <f aca="false">(AB1038-AA1038)/(1-Resumo!$B$5)</f>
        <v>162.793147727273</v>
      </c>
      <c r="AE1038" s="39" t="n">
        <f aca="false">AC1038-T1038</f>
        <v>69.0756729545455</v>
      </c>
      <c r="AF1038" s="40" t="n">
        <f aca="false">AC1038/T1038-1</f>
        <v>0.548509623384235</v>
      </c>
      <c r="AG1038" s="37" t="str">
        <f aca="false">IF(AC1038&lt;T1038,"SIM","NÃO")</f>
        <v>NÃO</v>
      </c>
      <c r="AH1038" s="37" t="n">
        <v>8</v>
      </c>
      <c r="AI1038" s="37" t="n">
        <v>5</v>
      </c>
      <c r="AJ1038" s="37" t="s">
        <v>323</v>
      </c>
    </row>
    <row r="1039" customFormat="false" ht="15" hidden="false" customHeight="false" outlineLevel="0" collapsed="false">
      <c r="A1039" s="37" t="n">
        <v>376923711</v>
      </c>
      <c r="B1039" s="38" t="n">
        <v>46249.5549537037</v>
      </c>
      <c r="C1039" s="37" t="s">
        <v>325</v>
      </c>
      <c r="D1039" s="37" t="s">
        <v>1311</v>
      </c>
      <c r="E1039" s="37" t="n">
        <v>23025500</v>
      </c>
      <c r="F1039" s="37" t="s">
        <v>139</v>
      </c>
      <c r="G1039" s="37" t="s">
        <v>198</v>
      </c>
      <c r="H1039" s="37" t="s">
        <v>170</v>
      </c>
      <c r="I1039" s="37" t="n">
        <v>48.6</v>
      </c>
      <c r="J1039" s="39" t="n">
        <v>604.3</v>
      </c>
      <c r="K1039" s="37" t="s">
        <v>498</v>
      </c>
      <c r="L1039" s="39" t="n">
        <v>105.39</v>
      </c>
      <c r="M1039" s="39" t="n">
        <v>71</v>
      </c>
      <c r="N1039" s="39" t="n">
        <f aca="false">J1039*Resumo!$C$7</f>
        <v>1.2086</v>
      </c>
      <c r="O1039" s="39" t="n">
        <f aca="false">J1039*Resumo!$C$8</f>
        <v>1.2086</v>
      </c>
      <c r="P1039" s="39" t="n">
        <f aca="false">Resumo!$C$10*CEILING(I1039/100,1)</f>
        <v>1</v>
      </c>
      <c r="Q1039" s="39" t="n">
        <f aca="false">Resumo!$C$9</f>
        <v>11.9</v>
      </c>
      <c r="R1039" s="39" t="n">
        <f aca="false">SUM(M1039:Q1039)*Resumo!$C$11</f>
        <v>4.747446</v>
      </c>
      <c r="S1039" s="39" t="n">
        <f aca="false">SUM(M1039:R1039)</f>
        <v>91.064646</v>
      </c>
      <c r="T1039" s="39" t="n">
        <f aca="false">S1039/(1-Resumo!$C$5)</f>
        <v>103.482552272727</v>
      </c>
      <c r="U1039" s="39" t="n">
        <v>93.97</v>
      </c>
      <c r="V1039" s="39" t="n">
        <f aca="false">J1039*Resumo!$B$6</f>
        <v>0.6043</v>
      </c>
      <c r="W1039" s="39" t="n">
        <f aca="false">J1039*Resumo!$B$7</f>
        <v>1.2086</v>
      </c>
      <c r="X1039" s="39" t="n">
        <f aca="false">Resumo!$B$9</f>
        <v>1</v>
      </c>
      <c r="Y1039" s="39" t="n">
        <f aca="false">Resumo!$B$10*CEILING(I1039/100,1)</f>
        <v>4.5</v>
      </c>
      <c r="Z1039" s="39" t="n">
        <f aca="false">Resumo!$B$12*CEILING(I1039,1)</f>
        <v>2.94</v>
      </c>
      <c r="AA1039" s="39" t="n">
        <f aca="false">Resumo!$B$13*CEILING(I1039,1)</f>
        <v>22.05</v>
      </c>
      <c r="AB1039" s="39" t="n">
        <f aca="false">SUM(U1039:AA1039)</f>
        <v>126.2729</v>
      </c>
      <c r="AC1039" s="39" t="n">
        <f aca="false">AB1039/(1-Resumo!$B$5)</f>
        <v>143.491931818182</v>
      </c>
      <c r="AD1039" s="39" t="n">
        <f aca="false">(AB1039-AA1039)/(1-Resumo!$B$5)</f>
        <v>118.435113636364</v>
      </c>
      <c r="AE1039" s="39" t="n">
        <f aca="false">AC1039-T1039</f>
        <v>40.0093795454545</v>
      </c>
      <c r="AF1039" s="40" t="n">
        <f aca="false">AC1039/T1039-1</f>
        <v>0.38662923040408</v>
      </c>
      <c r="AG1039" s="37" t="str">
        <f aca="false">IF(AC1039&lt;T1039,"SIM","NÃO")</f>
        <v>NÃO</v>
      </c>
      <c r="AH1039" s="37" t="n">
        <v>8</v>
      </c>
      <c r="AI1039" s="37" t="n">
        <v>5</v>
      </c>
      <c r="AJ1039" s="37" t="s">
        <v>323</v>
      </c>
    </row>
    <row r="1040" customFormat="false" ht="15" hidden="false" customHeight="false" outlineLevel="0" collapsed="false">
      <c r="A1040" s="37" t="n">
        <v>376930366</v>
      </c>
      <c r="B1040" s="38" t="n">
        <v>46249.5652430556</v>
      </c>
      <c r="C1040" s="37" t="s">
        <v>320</v>
      </c>
      <c r="D1040" s="37" t="s">
        <v>1312</v>
      </c>
      <c r="E1040" s="37" t="n">
        <v>23040580</v>
      </c>
      <c r="F1040" s="37" t="s">
        <v>139</v>
      </c>
      <c r="G1040" s="37" t="s">
        <v>198</v>
      </c>
      <c r="H1040" s="37" t="s">
        <v>168</v>
      </c>
      <c r="I1040" s="37" t="n">
        <v>27.6</v>
      </c>
      <c r="J1040" s="39" t="n">
        <v>537.45</v>
      </c>
      <c r="K1040" s="37" t="s">
        <v>498</v>
      </c>
      <c r="L1040" s="39" t="n">
        <v>81.33</v>
      </c>
      <c r="M1040" s="39" t="n">
        <v>54.1</v>
      </c>
      <c r="N1040" s="39" t="n">
        <f aca="false">J1040*Resumo!$C$7</f>
        <v>1.0749</v>
      </c>
      <c r="O1040" s="39" t="n">
        <f aca="false">J1040*Resumo!$C$8</f>
        <v>1.0749</v>
      </c>
      <c r="P1040" s="39" t="n">
        <f aca="false">Resumo!$C$10*CEILING(I1040/100,1)</f>
        <v>1</v>
      </c>
      <c r="Q1040" s="39" t="n">
        <f aca="false">Resumo!$C$9</f>
        <v>11.9</v>
      </c>
      <c r="R1040" s="39" t="n">
        <f aca="false">SUM(M1040:Q1040)*Resumo!$C$11</f>
        <v>3.803239</v>
      </c>
      <c r="S1040" s="39" t="n">
        <f aca="false">SUM(M1040:R1040)</f>
        <v>72.953039</v>
      </c>
      <c r="T1040" s="39" t="n">
        <f aca="false">S1040/(1-Resumo!$C$5)</f>
        <v>82.9011806818182</v>
      </c>
      <c r="U1040" s="39" t="n">
        <v>82.21</v>
      </c>
      <c r="V1040" s="39" t="n">
        <f aca="false">J1040*Resumo!$B$6</f>
        <v>0.53745</v>
      </c>
      <c r="W1040" s="39" t="n">
        <f aca="false">J1040*Resumo!$B$7</f>
        <v>1.0749</v>
      </c>
      <c r="X1040" s="39" t="n">
        <f aca="false">Resumo!$B$9</f>
        <v>1</v>
      </c>
      <c r="Y1040" s="39" t="n">
        <f aca="false">Resumo!$B$10*CEILING(I1040/100,1)</f>
        <v>4.5</v>
      </c>
      <c r="Z1040" s="39" t="n">
        <f aca="false">Resumo!$B$12*CEILING(I1040,1)</f>
        <v>1.68</v>
      </c>
      <c r="AA1040" s="39" t="n">
        <f aca="false">Resumo!$B$13*CEILING(I1040,1)</f>
        <v>12.6</v>
      </c>
      <c r="AB1040" s="39" t="n">
        <f aca="false">SUM(U1040:AA1040)</f>
        <v>103.60235</v>
      </c>
      <c r="AC1040" s="39" t="n">
        <f aca="false">AB1040/(1-Resumo!$B$5)</f>
        <v>117.729943181818</v>
      </c>
      <c r="AD1040" s="39" t="n">
        <f aca="false">(AB1040-AA1040)/(1-Resumo!$B$5)</f>
        <v>103.411761363636</v>
      </c>
      <c r="AE1040" s="39" t="n">
        <f aca="false">AC1040-T1040</f>
        <v>34.8287625</v>
      </c>
      <c r="AF1040" s="40" t="n">
        <f aca="false">AC1040/T1040-1</f>
        <v>0.42012384158527</v>
      </c>
      <c r="AG1040" s="37" t="str">
        <f aca="false">IF(AC1040&lt;T1040,"SIM","NÃO")</f>
        <v>NÃO</v>
      </c>
      <c r="AH1040" s="37" t="n">
        <v>8</v>
      </c>
      <c r="AI1040" s="37" t="n">
        <v>5</v>
      </c>
      <c r="AJ1040" s="37" t="s">
        <v>323</v>
      </c>
    </row>
    <row r="1041" customFormat="false" ht="15" hidden="false" customHeight="false" outlineLevel="0" collapsed="false">
      <c r="A1041" s="37" t="n">
        <v>376934017</v>
      </c>
      <c r="B1041" s="38" t="n">
        <v>46249.5696296296</v>
      </c>
      <c r="C1041" s="37" t="s">
        <v>325</v>
      </c>
      <c r="D1041" s="37" t="s">
        <v>1313</v>
      </c>
      <c r="E1041" s="37" t="n">
        <v>24020240</v>
      </c>
      <c r="F1041" s="37" t="s">
        <v>143</v>
      </c>
      <c r="G1041" s="37" t="s">
        <v>207</v>
      </c>
      <c r="H1041" s="37" t="s">
        <v>172</v>
      </c>
      <c r="I1041" s="37" t="n">
        <v>69.15</v>
      </c>
      <c r="J1041" s="39" t="n">
        <v>707</v>
      </c>
      <c r="K1041" s="37" t="s">
        <v>322</v>
      </c>
      <c r="L1041" s="39" t="n">
        <v>139.81</v>
      </c>
      <c r="M1041" s="39" t="n">
        <v>100.9</v>
      </c>
      <c r="N1041" s="39" t="n">
        <f aca="false">J1041*Resumo!$C$7</f>
        <v>1.414</v>
      </c>
      <c r="O1041" s="39" t="n">
        <f aca="false">J1041*Resumo!$C$8</f>
        <v>1.414</v>
      </c>
      <c r="P1041" s="39" t="n">
        <f aca="false">Resumo!$C$10*CEILING(I1041/100,1)</f>
        <v>1</v>
      </c>
      <c r="Q1041" s="39" t="n">
        <f aca="false">Resumo!$C$9</f>
        <v>11.9</v>
      </c>
      <c r="R1041" s="39" t="n">
        <f aca="false">SUM(M1041:Q1041)*Resumo!$C$11</f>
        <v>6.41454</v>
      </c>
      <c r="S1041" s="39" t="n">
        <f aca="false">SUM(M1041:R1041)</f>
        <v>123.04254</v>
      </c>
      <c r="T1041" s="39" t="n">
        <f aca="false">S1041/(1-Resumo!$C$5)</f>
        <v>139.821068181818</v>
      </c>
      <c r="U1041" s="39" t="n">
        <v>149.5</v>
      </c>
      <c r="V1041" s="39" t="n">
        <f aca="false">J1041*Resumo!$B$6</f>
        <v>0.707</v>
      </c>
      <c r="W1041" s="39" t="n">
        <f aca="false">J1041*Resumo!$B$7</f>
        <v>1.414</v>
      </c>
      <c r="X1041" s="39" t="n">
        <f aca="false">Resumo!$B$9</f>
        <v>1</v>
      </c>
      <c r="Y1041" s="39" t="n">
        <f aca="false">Resumo!$B$10*CEILING(I1041/100,1)</f>
        <v>4.5</v>
      </c>
      <c r="Z1041" s="39" t="n">
        <f aca="false">Resumo!$B$12*CEILING(I1041,1)</f>
        <v>4.2</v>
      </c>
      <c r="AA1041" s="39" t="n">
        <f aca="false">Resumo!$B$13*CEILING(I1041,1)</f>
        <v>31.5</v>
      </c>
      <c r="AB1041" s="39" t="n">
        <f aca="false">SUM(U1041:AA1041)</f>
        <v>192.821</v>
      </c>
      <c r="AC1041" s="39" t="n">
        <f aca="false">AB1041/(1-Resumo!$B$5)</f>
        <v>219.114772727273</v>
      </c>
      <c r="AD1041" s="39" t="n">
        <f aca="false">(AB1041-AA1041)/(1-Resumo!$B$5)</f>
        <v>183.319318181818</v>
      </c>
      <c r="AE1041" s="39" t="n">
        <f aca="false">AC1041-T1041</f>
        <v>79.2937045454546</v>
      </c>
      <c r="AF1041" s="40" t="n">
        <f aca="false">AC1041/T1041-1</f>
        <v>0.567108416324956</v>
      </c>
      <c r="AG1041" s="37" t="str">
        <f aca="false">IF(AC1041&lt;T1041,"SIM","NÃO")</f>
        <v>NÃO</v>
      </c>
      <c r="AH1041" s="37" t="n">
        <v>10</v>
      </c>
      <c r="AI1041" s="37" t="n">
        <v>7</v>
      </c>
      <c r="AJ1041" s="37" t="s">
        <v>323</v>
      </c>
    </row>
    <row r="1042" customFormat="false" ht="15" hidden="false" customHeight="false" outlineLevel="0" collapsed="false">
      <c r="A1042" s="37" t="n">
        <v>376952978</v>
      </c>
      <c r="B1042" s="38" t="n">
        <v>46249.6006134259</v>
      </c>
      <c r="C1042" s="37" t="s">
        <v>325</v>
      </c>
      <c r="D1042" s="37" t="s">
        <v>1314</v>
      </c>
      <c r="E1042" s="37" t="n">
        <v>26112100</v>
      </c>
      <c r="F1042" s="37" t="s">
        <v>145</v>
      </c>
      <c r="G1042" s="37" t="s">
        <v>207</v>
      </c>
      <c r="H1042" s="37" t="s">
        <v>171</v>
      </c>
      <c r="I1042" s="37" t="n">
        <v>51.06</v>
      </c>
      <c r="J1042" s="39" t="n">
        <v>659.55</v>
      </c>
      <c r="K1042" s="37" t="s">
        <v>498</v>
      </c>
      <c r="L1042" s="39" t="n">
        <v>127</v>
      </c>
      <c r="M1042" s="39" t="n">
        <v>91.6</v>
      </c>
      <c r="N1042" s="39" t="n">
        <f aca="false">J1042*Resumo!$C$7</f>
        <v>1.3191</v>
      </c>
      <c r="O1042" s="39" t="n">
        <f aca="false">J1042*Resumo!$C$8</f>
        <v>1.3191</v>
      </c>
      <c r="P1042" s="39" t="n">
        <f aca="false">Resumo!$C$10*CEILING(I1042/100,1)</f>
        <v>1</v>
      </c>
      <c r="Q1042" s="39" t="n">
        <f aca="false">Resumo!$C$9</f>
        <v>11.9</v>
      </c>
      <c r="R1042" s="39" t="n">
        <f aca="false">SUM(M1042:Q1042)*Resumo!$C$11</f>
        <v>5.892601</v>
      </c>
      <c r="S1042" s="39" t="n">
        <f aca="false">SUM(M1042:R1042)</f>
        <v>113.030801</v>
      </c>
      <c r="T1042" s="39" t="n">
        <f aca="false">S1042/(1-Resumo!$C$5)</f>
        <v>128.444092045455</v>
      </c>
      <c r="U1042" s="39" t="n">
        <v>112.3</v>
      </c>
      <c r="V1042" s="39" t="n">
        <f aca="false">J1042*Resumo!$B$6</f>
        <v>0.65955</v>
      </c>
      <c r="W1042" s="39" t="n">
        <f aca="false">J1042*Resumo!$B$7</f>
        <v>1.3191</v>
      </c>
      <c r="X1042" s="39" t="n">
        <f aca="false">Resumo!$B$9</f>
        <v>1</v>
      </c>
      <c r="Y1042" s="39" t="n">
        <f aca="false">Resumo!$B$10*CEILING(I1042/100,1)</f>
        <v>4.5</v>
      </c>
      <c r="Z1042" s="39" t="n">
        <f aca="false">Resumo!$B$12*CEILING(I1042,1)</f>
        <v>3.12</v>
      </c>
      <c r="AA1042" s="39" t="n">
        <f aca="false">Resumo!$B$13*CEILING(I1042,1)</f>
        <v>23.4</v>
      </c>
      <c r="AB1042" s="39" t="n">
        <f aca="false">SUM(U1042:AA1042)</f>
        <v>146.29865</v>
      </c>
      <c r="AC1042" s="39" t="n">
        <f aca="false">AB1042/(1-Resumo!$B$5)</f>
        <v>166.248465909091</v>
      </c>
      <c r="AD1042" s="39" t="n">
        <f aca="false">(AB1042-AA1042)/(1-Resumo!$B$5)</f>
        <v>139.657556818182</v>
      </c>
      <c r="AE1042" s="39" t="n">
        <f aca="false">AC1042-T1042</f>
        <v>37.8043738636364</v>
      </c>
      <c r="AF1042" s="40" t="n">
        <f aca="false">AC1042/T1042-1</f>
        <v>0.294325517519778</v>
      </c>
      <c r="AG1042" s="37" t="str">
        <f aca="false">IF(AC1042&lt;T1042,"SIM","NÃO")</f>
        <v>NÃO</v>
      </c>
      <c r="AH1042" s="37" t="n">
        <v>10</v>
      </c>
      <c r="AI1042" s="37" t="n">
        <v>5</v>
      </c>
      <c r="AJ1042" s="37" t="s">
        <v>323</v>
      </c>
    </row>
    <row r="1043" customFormat="false" ht="15" hidden="false" customHeight="false" outlineLevel="0" collapsed="false">
      <c r="A1043" s="37" t="n">
        <v>376955060</v>
      </c>
      <c r="B1043" s="38" t="n">
        <v>46249.603900463</v>
      </c>
      <c r="C1043" s="37" t="s">
        <v>320</v>
      </c>
      <c r="D1043" s="37" t="s">
        <v>1315</v>
      </c>
      <c r="E1043" s="37" t="n">
        <v>23560050</v>
      </c>
      <c r="F1043" s="37" t="s">
        <v>139</v>
      </c>
      <c r="G1043" s="37" t="s">
        <v>198</v>
      </c>
      <c r="H1043" s="37" t="s">
        <v>168</v>
      </c>
      <c r="I1043" s="37" t="n">
        <v>22.9</v>
      </c>
      <c r="J1043" s="39" t="n">
        <v>369.99</v>
      </c>
      <c r="K1043" s="37" t="s">
        <v>498</v>
      </c>
      <c r="L1043" s="39" t="n">
        <v>77.98</v>
      </c>
      <c r="M1043" s="39" t="n">
        <v>54.1</v>
      </c>
      <c r="N1043" s="39" t="n">
        <f aca="false">J1043*Resumo!$C$7</f>
        <v>0.73998</v>
      </c>
      <c r="O1043" s="39" t="n">
        <f aca="false">J1043*Resumo!$C$8</f>
        <v>0.73998</v>
      </c>
      <c r="P1043" s="39" t="n">
        <f aca="false">Resumo!$C$10*CEILING(I1043/100,1)</f>
        <v>1</v>
      </c>
      <c r="Q1043" s="39" t="n">
        <f aca="false">Resumo!$C$9</f>
        <v>11.9</v>
      </c>
      <c r="R1043" s="39" t="n">
        <f aca="false">SUM(M1043:Q1043)*Resumo!$C$11</f>
        <v>3.7663978</v>
      </c>
      <c r="S1043" s="39" t="n">
        <f aca="false">SUM(M1043:R1043)</f>
        <v>72.2463578</v>
      </c>
      <c r="T1043" s="39" t="n">
        <f aca="false">S1043/(1-Resumo!$C$5)</f>
        <v>82.0981338636364</v>
      </c>
      <c r="U1043" s="39" t="n">
        <v>82.21</v>
      </c>
      <c r="V1043" s="39" t="n">
        <f aca="false">J1043*Resumo!$B$6</f>
        <v>0.36999</v>
      </c>
      <c r="W1043" s="39" t="n">
        <f aca="false">J1043*Resumo!$B$7</f>
        <v>0.73998</v>
      </c>
      <c r="X1043" s="39" t="n">
        <f aca="false">Resumo!$B$9</f>
        <v>1</v>
      </c>
      <c r="Y1043" s="39" t="n">
        <f aca="false">Resumo!$B$10*CEILING(I1043/100,1)</f>
        <v>4.5</v>
      </c>
      <c r="Z1043" s="39" t="n">
        <f aca="false">Resumo!$B$12*CEILING(I1043,1)</f>
        <v>1.38</v>
      </c>
      <c r="AA1043" s="39" t="n">
        <f aca="false">Resumo!$B$13*CEILING(I1043,1)</f>
        <v>10.35</v>
      </c>
      <c r="AB1043" s="39" t="n">
        <f aca="false">SUM(U1043:AA1043)</f>
        <v>100.54997</v>
      </c>
      <c r="AC1043" s="39" t="n">
        <f aca="false">AB1043/(1-Resumo!$B$5)</f>
        <v>114.261329545455</v>
      </c>
      <c r="AD1043" s="39" t="n">
        <f aca="false">(AB1043-AA1043)/(1-Resumo!$B$5)</f>
        <v>102.499965909091</v>
      </c>
      <c r="AE1043" s="39" t="n">
        <f aca="false">AC1043-T1043</f>
        <v>32.1631956818182</v>
      </c>
      <c r="AF1043" s="40" t="n">
        <f aca="false">AC1043/T1043-1</f>
        <v>0.391765246884182</v>
      </c>
      <c r="AG1043" s="37" t="str">
        <f aca="false">IF(AC1043&lt;T1043,"SIM","NÃO")</f>
        <v>NÃO</v>
      </c>
      <c r="AH1043" s="37" t="n">
        <v>8</v>
      </c>
      <c r="AI1043" s="37" t="n">
        <v>5</v>
      </c>
      <c r="AJ1043" s="37" t="s">
        <v>323</v>
      </c>
    </row>
    <row r="1044" customFormat="false" ht="15" hidden="false" customHeight="false" outlineLevel="0" collapsed="false">
      <c r="A1044" s="37" t="n">
        <v>376960207</v>
      </c>
      <c r="B1044" s="38" t="n">
        <v>46249.611724537</v>
      </c>
      <c r="C1044" s="37" t="s">
        <v>320</v>
      </c>
      <c r="D1044" s="37" t="s">
        <v>1316</v>
      </c>
      <c r="E1044" s="37" t="n">
        <v>25235160</v>
      </c>
      <c r="F1044" s="37" t="s">
        <v>141</v>
      </c>
      <c r="G1044" s="37" t="s">
        <v>207</v>
      </c>
      <c r="H1044" s="37" t="s">
        <v>168</v>
      </c>
      <c r="I1044" s="37" t="n">
        <v>22.4</v>
      </c>
      <c r="J1044" s="39" t="n">
        <v>489.88</v>
      </c>
      <c r="K1044" s="37" t="s">
        <v>322</v>
      </c>
      <c r="L1044" s="39" t="n">
        <v>101.74</v>
      </c>
      <c r="M1044" s="39" t="n">
        <v>70</v>
      </c>
      <c r="N1044" s="39" t="n">
        <f aca="false">J1044*Resumo!$C$7</f>
        <v>0.97976</v>
      </c>
      <c r="O1044" s="39" t="n">
        <f aca="false">J1044*Resumo!$C$8</f>
        <v>0.97976</v>
      </c>
      <c r="P1044" s="39" t="n">
        <f aca="false">Resumo!$C$10*CEILING(I1044/100,1)</f>
        <v>1</v>
      </c>
      <c r="Q1044" s="39" t="n">
        <f aca="false">Resumo!$C$9</f>
        <v>11.9</v>
      </c>
      <c r="R1044" s="39" t="n">
        <f aca="false">SUM(M1044:Q1044)*Resumo!$C$11</f>
        <v>4.6672736</v>
      </c>
      <c r="S1044" s="39" t="n">
        <f aca="false">SUM(M1044:R1044)</f>
        <v>89.5267936</v>
      </c>
      <c r="T1044" s="39" t="n">
        <f aca="false">S1044/(1-Resumo!$C$5)</f>
        <v>101.734992727273</v>
      </c>
      <c r="U1044" s="39" t="n">
        <v>82.21</v>
      </c>
      <c r="V1044" s="39" t="n">
        <f aca="false">J1044*Resumo!$B$6</f>
        <v>0.48988</v>
      </c>
      <c r="W1044" s="39" t="n">
        <f aca="false">J1044*Resumo!$B$7</f>
        <v>0.97976</v>
      </c>
      <c r="X1044" s="39" t="n">
        <f aca="false">Resumo!$B$9</f>
        <v>1</v>
      </c>
      <c r="Y1044" s="39" t="n">
        <f aca="false">Resumo!$B$10*CEILING(I1044/100,1)</f>
        <v>4.5</v>
      </c>
      <c r="Z1044" s="39" t="n">
        <f aca="false">Resumo!$B$12*CEILING(I1044,1)</f>
        <v>1.38</v>
      </c>
      <c r="AA1044" s="39" t="n">
        <f aca="false">Resumo!$B$13*CEILING(I1044,1)</f>
        <v>10.35</v>
      </c>
      <c r="AB1044" s="39" t="n">
        <f aca="false">SUM(U1044:AA1044)</f>
        <v>100.90964</v>
      </c>
      <c r="AC1044" s="39" t="n">
        <f aca="false">AB1044/(1-Resumo!$B$5)</f>
        <v>114.670045454545</v>
      </c>
      <c r="AD1044" s="39" t="n">
        <f aca="false">(AB1044-AA1044)/(1-Resumo!$B$5)</f>
        <v>102.908681818182</v>
      </c>
      <c r="AE1044" s="39" t="n">
        <f aca="false">AC1044-T1044</f>
        <v>12.9350527272727</v>
      </c>
      <c r="AF1044" s="40" t="n">
        <f aca="false">AC1044/T1044-1</f>
        <v>0.127144578089748</v>
      </c>
      <c r="AG1044" s="37" t="str">
        <f aca="false">IF(AC1044&lt;T1044,"SIM","NÃO")</f>
        <v>NÃO</v>
      </c>
      <c r="AH1044" s="37" t="n">
        <v>10</v>
      </c>
      <c r="AI1044" s="37" t="n">
        <v>5</v>
      </c>
      <c r="AJ1044" s="37" t="s">
        <v>323</v>
      </c>
    </row>
    <row r="1045" customFormat="false" ht="15" hidden="false" customHeight="false" outlineLevel="0" collapsed="false">
      <c r="A1045" s="37" t="n">
        <v>376970170</v>
      </c>
      <c r="B1045" s="38" t="n">
        <v>46249.6269675926</v>
      </c>
      <c r="C1045" s="37" t="s">
        <v>325</v>
      </c>
      <c r="D1045" s="37" t="s">
        <v>1317</v>
      </c>
      <c r="E1045" s="37" t="n">
        <v>24732660</v>
      </c>
      <c r="F1045" s="37" t="s">
        <v>140</v>
      </c>
      <c r="G1045" s="37" t="s">
        <v>207</v>
      </c>
      <c r="H1045" s="37" t="s">
        <v>172</v>
      </c>
      <c r="I1045" s="37" t="n">
        <v>69.15</v>
      </c>
      <c r="J1045" s="39" t="n">
        <v>707</v>
      </c>
      <c r="K1045" s="37" t="s">
        <v>498</v>
      </c>
      <c r="L1045" s="39" t="n">
        <v>142.74</v>
      </c>
      <c r="M1045" s="39" t="n">
        <v>100.9</v>
      </c>
      <c r="N1045" s="39" t="n">
        <f aca="false">J1045*Resumo!$C$7</f>
        <v>1.414</v>
      </c>
      <c r="O1045" s="39" t="n">
        <f aca="false">J1045*Resumo!$C$8</f>
        <v>1.414</v>
      </c>
      <c r="P1045" s="39" t="n">
        <f aca="false">Resumo!$C$10*CEILING(I1045/100,1)</f>
        <v>1</v>
      </c>
      <c r="Q1045" s="39" t="n">
        <f aca="false">Resumo!$C$9</f>
        <v>11.9</v>
      </c>
      <c r="R1045" s="39" t="n">
        <f aca="false">SUM(M1045:Q1045)*Resumo!$C$11</f>
        <v>6.41454</v>
      </c>
      <c r="S1045" s="39" t="n">
        <f aca="false">SUM(M1045:R1045)</f>
        <v>123.04254</v>
      </c>
      <c r="T1045" s="39" t="n">
        <f aca="false">S1045/(1-Resumo!$C$5)</f>
        <v>139.821068181818</v>
      </c>
      <c r="U1045" s="39" t="n">
        <v>149.5</v>
      </c>
      <c r="V1045" s="39" t="n">
        <f aca="false">J1045*Resumo!$B$6</f>
        <v>0.707</v>
      </c>
      <c r="W1045" s="39" t="n">
        <f aca="false">J1045*Resumo!$B$7</f>
        <v>1.414</v>
      </c>
      <c r="X1045" s="39" t="n">
        <f aca="false">Resumo!$B$9</f>
        <v>1</v>
      </c>
      <c r="Y1045" s="39" t="n">
        <f aca="false">Resumo!$B$10*CEILING(I1045/100,1)</f>
        <v>4.5</v>
      </c>
      <c r="Z1045" s="39" t="n">
        <f aca="false">Resumo!$B$12*CEILING(I1045,1)</f>
        <v>4.2</v>
      </c>
      <c r="AA1045" s="39" t="n">
        <f aca="false">Resumo!$B$13*CEILING(I1045,1)</f>
        <v>31.5</v>
      </c>
      <c r="AB1045" s="39" t="n">
        <f aca="false">SUM(U1045:AA1045)</f>
        <v>192.821</v>
      </c>
      <c r="AC1045" s="39" t="n">
        <f aca="false">AB1045/(1-Resumo!$B$5)</f>
        <v>219.114772727273</v>
      </c>
      <c r="AD1045" s="39" t="n">
        <f aca="false">(AB1045-AA1045)/(1-Resumo!$B$5)</f>
        <v>183.319318181818</v>
      </c>
      <c r="AE1045" s="39" t="n">
        <f aca="false">AC1045-T1045</f>
        <v>79.2937045454546</v>
      </c>
      <c r="AF1045" s="40" t="n">
        <f aca="false">AC1045/T1045-1</f>
        <v>0.567108416324956</v>
      </c>
      <c r="AG1045" s="37" t="str">
        <f aca="false">IF(AC1045&lt;T1045,"SIM","NÃO")</f>
        <v>NÃO</v>
      </c>
      <c r="AH1045" s="37" t="n">
        <v>10</v>
      </c>
      <c r="AI1045" s="37" t="n">
        <v>7</v>
      </c>
      <c r="AJ1045" s="37" t="s">
        <v>323</v>
      </c>
    </row>
    <row r="1046" customFormat="false" ht="15" hidden="false" customHeight="false" outlineLevel="0" collapsed="false">
      <c r="A1046" s="37" t="n">
        <v>376971310</v>
      </c>
      <c r="B1046" s="38" t="n">
        <v>46249.628912037</v>
      </c>
      <c r="C1046" s="37" t="s">
        <v>320</v>
      </c>
      <c r="D1046" s="37" t="s">
        <v>943</v>
      </c>
      <c r="E1046" s="37" t="n">
        <v>21775410</v>
      </c>
      <c r="F1046" s="37" t="s">
        <v>139</v>
      </c>
      <c r="G1046" s="37" t="s">
        <v>198</v>
      </c>
      <c r="H1046" s="37" t="s">
        <v>169</v>
      </c>
      <c r="I1046" s="37" t="n">
        <v>36.8</v>
      </c>
      <c r="J1046" s="39" t="n">
        <v>439.99</v>
      </c>
      <c r="K1046" s="37" t="s">
        <v>322</v>
      </c>
      <c r="L1046" s="39" t="n">
        <v>91.97</v>
      </c>
      <c r="M1046" s="39" t="n">
        <v>62.05</v>
      </c>
      <c r="N1046" s="39" t="n">
        <f aca="false">J1046*Resumo!$C$7</f>
        <v>0.87998</v>
      </c>
      <c r="O1046" s="39" t="n">
        <f aca="false">J1046*Resumo!$C$8</f>
        <v>0.87998</v>
      </c>
      <c r="P1046" s="39" t="n">
        <f aca="false">Resumo!$C$10*CEILING(I1046/100,1)</f>
        <v>1</v>
      </c>
      <c r="Q1046" s="39" t="n">
        <f aca="false">Resumo!$C$9</f>
        <v>11.9</v>
      </c>
      <c r="R1046" s="39" t="n">
        <f aca="false">SUM(M1046:Q1046)*Resumo!$C$11</f>
        <v>4.2190478</v>
      </c>
      <c r="S1046" s="39" t="n">
        <f aca="false">SUM(M1046:R1046)</f>
        <v>80.9290078</v>
      </c>
      <c r="T1046" s="39" t="n">
        <f aca="false">S1046/(1-Resumo!$C$5)</f>
        <v>91.9647815909091</v>
      </c>
      <c r="U1046" s="39" t="n">
        <v>93.97</v>
      </c>
      <c r="V1046" s="39" t="n">
        <f aca="false">J1046*Resumo!$B$6</f>
        <v>0.43999</v>
      </c>
      <c r="W1046" s="39" t="n">
        <f aca="false">J1046*Resumo!$B$7</f>
        <v>0.87998</v>
      </c>
      <c r="X1046" s="39" t="n">
        <f aca="false">Resumo!$B$9</f>
        <v>1</v>
      </c>
      <c r="Y1046" s="39" t="n">
        <f aca="false">Resumo!$B$10*CEILING(I1046/100,1)</f>
        <v>4.5</v>
      </c>
      <c r="Z1046" s="39" t="n">
        <f aca="false">Resumo!$B$12*CEILING(I1046,1)</f>
        <v>2.22</v>
      </c>
      <c r="AA1046" s="39" t="n">
        <f aca="false">Resumo!$B$13*CEILING(I1046,1)</f>
        <v>16.65</v>
      </c>
      <c r="AB1046" s="39" t="n">
        <f aca="false">SUM(U1046:AA1046)</f>
        <v>119.65997</v>
      </c>
      <c r="AC1046" s="39" t="n">
        <f aca="false">AB1046/(1-Resumo!$B$5)</f>
        <v>135.977238636364</v>
      </c>
      <c r="AD1046" s="39" t="n">
        <f aca="false">(AB1046-AA1046)/(1-Resumo!$B$5)</f>
        <v>117.056784090909</v>
      </c>
      <c r="AE1046" s="39" t="n">
        <f aca="false">AC1046-T1046</f>
        <v>44.0124570454546</v>
      </c>
      <c r="AF1046" s="40" t="n">
        <f aca="false">AC1046/T1046-1</f>
        <v>0.478579476665721</v>
      </c>
      <c r="AG1046" s="37" t="str">
        <f aca="false">IF(AC1046&lt;T1046,"SIM","NÃO")</f>
        <v>NÃO</v>
      </c>
      <c r="AH1046" s="37" t="n">
        <v>8</v>
      </c>
      <c r="AI1046" s="37" t="n">
        <v>5</v>
      </c>
      <c r="AJ1046" s="37" t="s">
        <v>323</v>
      </c>
    </row>
    <row r="1047" customFormat="false" ht="15" hidden="false" customHeight="false" outlineLevel="0" collapsed="false">
      <c r="A1047" s="37" t="n">
        <v>376971351</v>
      </c>
      <c r="B1047" s="38" t="n">
        <v>46249.6289814815</v>
      </c>
      <c r="C1047" s="37" t="s">
        <v>320</v>
      </c>
      <c r="D1047" s="37" t="s">
        <v>1318</v>
      </c>
      <c r="E1047" s="37" t="n">
        <v>28899404</v>
      </c>
      <c r="F1047" s="37" t="s">
        <v>158</v>
      </c>
      <c r="G1047" s="37" t="s">
        <v>201</v>
      </c>
      <c r="H1047" s="37" t="s">
        <v>172</v>
      </c>
      <c r="I1047" s="37" t="n">
        <v>63.9</v>
      </c>
      <c r="J1047" s="39" t="n">
        <v>730.98</v>
      </c>
      <c r="K1047" s="37" t="s">
        <v>498</v>
      </c>
      <c r="L1047" s="39" t="n">
        <v>155.32</v>
      </c>
      <c r="M1047" s="39" t="n">
        <v>113.9</v>
      </c>
      <c r="N1047" s="39" t="n">
        <f aca="false">J1047*Resumo!$C$7</f>
        <v>1.46196</v>
      </c>
      <c r="O1047" s="39" t="n">
        <f aca="false">J1047*Resumo!$C$8</f>
        <v>1.46196</v>
      </c>
      <c r="P1047" s="39" t="n">
        <f aca="false">Resumo!$C$10*CEILING(I1047/100,1)</f>
        <v>1</v>
      </c>
      <c r="Q1047" s="39" t="n">
        <f aca="false">Resumo!$C$9</f>
        <v>11.9</v>
      </c>
      <c r="R1047" s="39" t="n">
        <f aca="false">SUM(M1047:Q1047)*Resumo!$C$11</f>
        <v>7.1348156</v>
      </c>
      <c r="S1047" s="39" t="n">
        <f aca="false">SUM(M1047:R1047)</f>
        <v>136.8587356</v>
      </c>
      <c r="T1047" s="39" t="n">
        <f aca="false">S1047/(1-Resumo!$C$5)</f>
        <v>155.521290454545</v>
      </c>
      <c r="U1047" s="39" t="n">
        <v>166.05</v>
      </c>
      <c r="V1047" s="39" t="n">
        <f aca="false">J1047*Resumo!$B$6</f>
        <v>0.73098</v>
      </c>
      <c r="W1047" s="39" t="n">
        <f aca="false">J1047*Resumo!$B$7</f>
        <v>1.46196</v>
      </c>
      <c r="X1047" s="39" t="n">
        <f aca="false">Resumo!$B$9</f>
        <v>1</v>
      </c>
      <c r="Y1047" s="39" t="n">
        <f aca="false">Resumo!$B$10*CEILING(I1047/100,1)</f>
        <v>4.5</v>
      </c>
      <c r="Z1047" s="39" t="n">
        <f aca="false">Resumo!$B$12*CEILING(I1047,1)</f>
        <v>3.84</v>
      </c>
      <c r="AA1047" s="39" t="n">
        <f aca="false">Resumo!$B$13*CEILING(I1047,1)</f>
        <v>28.8</v>
      </c>
      <c r="AB1047" s="39" t="n">
        <f aca="false">SUM(U1047:AA1047)</f>
        <v>206.38294</v>
      </c>
      <c r="AC1047" s="39" t="n">
        <f aca="false">AB1047/(1-Resumo!$B$5)</f>
        <v>234.526068181818</v>
      </c>
      <c r="AD1047" s="39" t="n">
        <f aca="false">(AB1047-AA1047)/(1-Resumo!$B$5)</f>
        <v>201.798795454545</v>
      </c>
      <c r="AE1047" s="39" t="n">
        <f aca="false">AC1047-T1047</f>
        <v>79.0047777272728</v>
      </c>
      <c r="AF1047" s="40" t="n">
        <f aca="false">AC1047/T1047-1</f>
        <v>0.50799975679448</v>
      </c>
      <c r="AG1047" s="37" t="str">
        <f aca="false">IF(AC1047&lt;T1047,"SIM","NÃO")</f>
        <v>NÃO</v>
      </c>
      <c r="AH1047" s="37" t="n">
        <v>13</v>
      </c>
      <c r="AI1047" s="37" t="n">
        <v>10</v>
      </c>
      <c r="AJ1047" s="37" t="s">
        <v>323</v>
      </c>
    </row>
    <row r="1048" customFormat="false" ht="15" hidden="false" customHeight="false" outlineLevel="0" collapsed="false">
      <c r="A1048" s="37" t="n">
        <v>377062391</v>
      </c>
      <c r="B1048" s="38" t="n">
        <v>46249.6528240741</v>
      </c>
      <c r="C1048" s="37" t="s">
        <v>325</v>
      </c>
      <c r="D1048" s="37" t="s">
        <v>1319</v>
      </c>
      <c r="E1048" s="37" t="n">
        <v>27963812</v>
      </c>
      <c r="F1048" s="37" t="s">
        <v>146</v>
      </c>
      <c r="G1048" s="37" t="s">
        <v>201</v>
      </c>
      <c r="H1048" s="37" t="s">
        <v>174</v>
      </c>
      <c r="I1048" s="37" t="n">
        <v>81.7</v>
      </c>
      <c r="J1048" s="39" t="n">
        <v>580</v>
      </c>
      <c r="K1048" s="37" t="s">
        <v>498</v>
      </c>
      <c r="L1048" s="39" t="n">
        <v>185.88</v>
      </c>
      <c r="M1048" s="39" t="n">
        <v>144.41</v>
      </c>
      <c r="N1048" s="39" t="n">
        <f aca="false">J1048*Resumo!$C$7</f>
        <v>1.16</v>
      </c>
      <c r="O1048" s="39" t="n">
        <f aca="false">J1048*Resumo!$C$8</f>
        <v>1.16</v>
      </c>
      <c r="P1048" s="39" t="n">
        <f aca="false">Resumo!$C$10*CEILING(I1048/100,1)</f>
        <v>1</v>
      </c>
      <c r="Q1048" s="39" t="n">
        <f aca="false">Resumo!$C$9</f>
        <v>11.9</v>
      </c>
      <c r="R1048" s="39" t="n">
        <f aca="false">SUM(M1048:Q1048)*Resumo!$C$11</f>
        <v>8.77965</v>
      </c>
      <c r="S1048" s="39" t="n">
        <f aca="false">SUM(M1048:R1048)</f>
        <v>168.40965</v>
      </c>
      <c r="T1048" s="39" t="n">
        <f aca="false">S1048/(1-Resumo!$C$5)</f>
        <v>191.374602272727</v>
      </c>
      <c r="U1048" s="39" t="n">
        <v>200.04</v>
      </c>
      <c r="V1048" s="39" t="n">
        <f aca="false">J1048*Resumo!$B$6</f>
        <v>0.58</v>
      </c>
      <c r="W1048" s="39" t="n">
        <f aca="false">J1048*Resumo!$B$7</f>
        <v>1.16</v>
      </c>
      <c r="X1048" s="39" t="n">
        <f aca="false">Resumo!$B$9</f>
        <v>1</v>
      </c>
      <c r="Y1048" s="39" t="n">
        <f aca="false">Resumo!$B$10*CEILING(I1048/100,1)</f>
        <v>4.5</v>
      </c>
      <c r="Z1048" s="39" t="n">
        <f aca="false">Resumo!$B$12*CEILING(I1048,1)</f>
        <v>4.92</v>
      </c>
      <c r="AA1048" s="39" t="n">
        <f aca="false">Resumo!$B$13*CEILING(I1048,1)</f>
        <v>36.9</v>
      </c>
      <c r="AB1048" s="39" t="n">
        <f aca="false">SUM(U1048:AA1048)</f>
        <v>249.1</v>
      </c>
      <c r="AC1048" s="39" t="n">
        <f aca="false">AB1048/(1-Resumo!$B$5)</f>
        <v>283.068181818182</v>
      </c>
      <c r="AD1048" s="39" t="n">
        <f aca="false">(AB1048-AA1048)/(1-Resumo!$B$5)</f>
        <v>241.136363636364</v>
      </c>
      <c r="AE1048" s="39" t="n">
        <f aca="false">AC1048-T1048</f>
        <v>91.6935795454546</v>
      </c>
      <c r="AF1048" s="40" t="n">
        <f aca="false">AC1048/T1048-1</f>
        <v>0.479131391817512</v>
      </c>
      <c r="AG1048" s="37" t="str">
        <f aca="false">IF(AC1048&lt;T1048,"SIM","NÃO")</f>
        <v>NÃO</v>
      </c>
      <c r="AH1048" s="37" t="n">
        <v>13</v>
      </c>
      <c r="AI1048" s="37" t="n">
        <v>11</v>
      </c>
      <c r="AJ1048" s="37" t="s">
        <v>323</v>
      </c>
    </row>
    <row r="1049" customFormat="false" ht="15" hidden="false" customHeight="false" outlineLevel="0" collapsed="false">
      <c r="A1049" s="37" t="n">
        <v>376987305</v>
      </c>
      <c r="B1049" s="38" t="n">
        <v>46249.6542708333</v>
      </c>
      <c r="C1049" s="37" t="s">
        <v>325</v>
      </c>
      <c r="D1049" s="37" t="s">
        <v>1320</v>
      </c>
      <c r="E1049" s="37" t="n">
        <v>26271090</v>
      </c>
      <c r="F1049" s="37" t="s">
        <v>142</v>
      </c>
      <c r="G1049" s="37" t="s">
        <v>207</v>
      </c>
      <c r="H1049" s="37" t="s">
        <v>172</v>
      </c>
      <c r="I1049" s="37" t="n">
        <v>66.8</v>
      </c>
      <c r="J1049" s="39" t="n">
        <v>578</v>
      </c>
      <c r="K1049" s="37" t="s">
        <v>322</v>
      </c>
      <c r="L1049" s="39" t="n">
        <v>139.22</v>
      </c>
      <c r="M1049" s="39" t="n">
        <v>100.9</v>
      </c>
      <c r="N1049" s="39" t="n">
        <f aca="false">J1049*Resumo!$C$7</f>
        <v>1.156</v>
      </c>
      <c r="O1049" s="39" t="n">
        <f aca="false">J1049*Resumo!$C$8</f>
        <v>1.156</v>
      </c>
      <c r="P1049" s="39" t="n">
        <f aca="false">Resumo!$C$10*CEILING(I1049/100,1)</f>
        <v>1</v>
      </c>
      <c r="Q1049" s="39" t="n">
        <f aca="false">Resumo!$C$9</f>
        <v>11.9</v>
      </c>
      <c r="R1049" s="39" t="n">
        <f aca="false">SUM(M1049:Q1049)*Resumo!$C$11</f>
        <v>6.38616</v>
      </c>
      <c r="S1049" s="39" t="n">
        <f aca="false">SUM(M1049:R1049)</f>
        <v>122.49816</v>
      </c>
      <c r="T1049" s="39" t="n">
        <f aca="false">S1049/(1-Resumo!$C$5)</f>
        <v>139.202454545455</v>
      </c>
      <c r="U1049" s="39" t="n">
        <v>131.02</v>
      </c>
      <c r="V1049" s="39" t="n">
        <f aca="false">J1049*Resumo!$B$6</f>
        <v>0.578</v>
      </c>
      <c r="W1049" s="39" t="n">
        <f aca="false">J1049*Resumo!$B$7</f>
        <v>1.156</v>
      </c>
      <c r="X1049" s="39" t="n">
        <f aca="false">Resumo!$B$9</f>
        <v>1</v>
      </c>
      <c r="Y1049" s="39" t="n">
        <f aca="false">Resumo!$B$10*CEILING(I1049/100,1)</f>
        <v>4.5</v>
      </c>
      <c r="Z1049" s="39" t="n">
        <f aca="false">Resumo!$B$12*CEILING(I1049,1)</f>
        <v>4.02</v>
      </c>
      <c r="AA1049" s="39" t="n">
        <f aca="false">Resumo!$B$13*CEILING(I1049,1)</f>
        <v>30.15</v>
      </c>
      <c r="AB1049" s="39" t="n">
        <f aca="false">SUM(U1049:AA1049)</f>
        <v>172.424</v>
      </c>
      <c r="AC1049" s="39" t="n">
        <f aca="false">AB1049/(1-Resumo!$B$5)</f>
        <v>195.936363636364</v>
      </c>
      <c r="AD1049" s="39" t="n">
        <f aca="false">(AB1049-AA1049)/(1-Resumo!$B$5)</f>
        <v>161.675</v>
      </c>
      <c r="AE1049" s="39" t="n">
        <f aca="false">AC1049-T1049</f>
        <v>56.7339090909091</v>
      </c>
      <c r="AF1049" s="40" t="n">
        <f aca="false">AC1049/T1049-1</f>
        <v>0.407563999328643</v>
      </c>
      <c r="AG1049" s="37" t="str">
        <f aca="false">IF(AC1049&lt;T1049,"SIM","NÃO")</f>
        <v>NÃO</v>
      </c>
      <c r="AH1049" s="37" t="n">
        <v>10</v>
      </c>
      <c r="AI1049" s="37" t="n">
        <v>5</v>
      </c>
      <c r="AJ1049" s="37" t="s">
        <v>323</v>
      </c>
    </row>
    <row r="1050" customFormat="false" ht="15" hidden="false" customHeight="false" outlineLevel="0" collapsed="false">
      <c r="A1050" s="37" t="n">
        <v>376987511</v>
      </c>
      <c r="B1050" s="38" t="n">
        <v>46249.6546527778</v>
      </c>
      <c r="C1050" s="37" t="s">
        <v>320</v>
      </c>
      <c r="D1050" s="37" t="s">
        <v>1321</v>
      </c>
      <c r="E1050" s="37" t="n">
        <v>26113660</v>
      </c>
      <c r="F1050" s="37" t="s">
        <v>145</v>
      </c>
      <c r="G1050" s="37" t="s">
        <v>207</v>
      </c>
      <c r="H1050" s="37" t="s">
        <v>169</v>
      </c>
      <c r="I1050" s="37" t="n">
        <v>37.5</v>
      </c>
      <c r="J1050" s="39" t="n">
        <v>429.99</v>
      </c>
      <c r="K1050" s="37" t="s">
        <v>498</v>
      </c>
      <c r="L1050" s="39" t="n">
        <v>114.01</v>
      </c>
      <c r="M1050" s="39" t="n">
        <v>79.65</v>
      </c>
      <c r="N1050" s="39" t="n">
        <f aca="false">J1050*Resumo!$C$7</f>
        <v>0.85998</v>
      </c>
      <c r="O1050" s="39" t="n">
        <f aca="false">J1050*Resumo!$C$8</f>
        <v>0.85998</v>
      </c>
      <c r="P1050" s="39" t="n">
        <f aca="false">Resumo!$C$10*CEILING(I1050/100,1)</f>
        <v>1</v>
      </c>
      <c r="Q1050" s="39" t="n">
        <f aca="false">Resumo!$C$9</f>
        <v>11.9</v>
      </c>
      <c r="R1050" s="39" t="n">
        <f aca="false">SUM(M1050:Q1050)*Resumo!$C$11</f>
        <v>5.1848478</v>
      </c>
      <c r="S1050" s="39" t="n">
        <f aca="false">SUM(M1050:R1050)</f>
        <v>99.4548078</v>
      </c>
      <c r="T1050" s="39" t="n">
        <f aca="false">S1050/(1-Resumo!$C$5)</f>
        <v>113.016827045455</v>
      </c>
      <c r="U1050" s="39" t="n">
        <v>93.97</v>
      </c>
      <c r="V1050" s="39" t="n">
        <f aca="false">J1050*Resumo!$B$6</f>
        <v>0.42999</v>
      </c>
      <c r="W1050" s="39" t="n">
        <f aca="false">J1050*Resumo!$B$7</f>
        <v>0.85998</v>
      </c>
      <c r="X1050" s="39" t="n">
        <f aca="false">Resumo!$B$9</f>
        <v>1</v>
      </c>
      <c r="Y1050" s="39" t="n">
        <f aca="false">Resumo!$B$10*CEILING(I1050/100,1)</f>
        <v>4.5</v>
      </c>
      <c r="Z1050" s="39" t="n">
        <f aca="false">Resumo!$B$12*CEILING(I1050,1)</f>
        <v>2.28</v>
      </c>
      <c r="AA1050" s="39" t="n">
        <f aca="false">Resumo!$B$13*CEILING(I1050,1)</f>
        <v>17.1</v>
      </c>
      <c r="AB1050" s="39" t="n">
        <f aca="false">SUM(U1050:AA1050)</f>
        <v>120.13997</v>
      </c>
      <c r="AC1050" s="39" t="n">
        <f aca="false">AB1050/(1-Resumo!$B$5)</f>
        <v>136.522693181818</v>
      </c>
      <c r="AD1050" s="39" t="n">
        <f aca="false">(AB1050-AA1050)/(1-Resumo!$B$5)</f>
        <v>117.090875</v>
      </c>
      <c r="AE1050" s="39" t="n">
        <f aca="false">AC1050-T1050</f>
        <v>23.5058661363636</v>
      </c>
      <c r="AF1050" s="40" t="n">
        <f aca="false">AC1050/T1050-1</f>
        <v>0.207985542957331</v>
      </c>
      <c r="AG1050" s="37" t="str">
        <f aca="false">IF(AC1050&lt;T1050,"SIM","NÃO")</f>
        <v>NÃO</v>
      </c>
      <c r="AH1050" s="37" t="n">
        <v>10</v>
      </c>
      <c r="AI1050" s="37" t="n">
        <v>5</v>
      </c>
      <c r="AJ1050" s="37" t="s">
        <v>323</v>
      </c>
    </row>
    <row r="1051" customFormat="false" ht="15" hidden="false" customHeight="false" outlineLevel="0" collapsed="false">
      <c r="A1051" s="37" t="n">
        <v>377008033</v>
      </c>
      <c r="B1051" s="38" t="n">
        <v>46249.6877314815</v>
      </c>
      <c r="C1051" s="37" t="s">
        <v>320</v>
      </c>
      <c r="D1051" s="37" t="s">
        <v>1322</v>
      </c>
      <c r="E1051" s="37" t="n">
        <v>22460300</v>
      </c>
      <c r="F1051" s="37" t="s">
        <v>139</v>
      </c>
      <c r="G1051" s="37" t="s">
        <v>198</v>
      </c>
      <c r="H1051" s="37" t="s">
        <v>175</v>
      </c>
      <c r="I1051" s="37" t="n">
        <v>106.5</v>
      </c>
      <c r="J1051" s="39" t="n">
        <v>1132.29</v>
      </c>
      <c r="K1051" s="37" t="s">
        <v>322</v>
      </c>
      <c r="L1051" s="39" t="n">
        <v>185.06</v>
      </c>
      <c r="M1051" s="39" t="n">
        <v>135.94</v>
      </c>
      <c r="N1051" s="39" t="n">
        <f aca="false">J1051*Resumo!$C$7</f>
        <v>2.26458</v>
      </c>
      <c r="O1051" s="39" t="n">
        <f aca="false">J1051*Resumo!$C$8</f>
        <v>2.26458</v>
      </c>
      <c r="P1051" s="39" t="n">
        <f aca="false">Resumo!$C$10*CEILING(I1051/100,1)</f>
        <v>2</v>
      </c>
      <c r="Q1051" s="39" t="n">
        <f aca="false">Resumo!$C$9</f>
        <v>11.9</v>
      </c>
      <c r="R1051" s="39" t="n">
        <f aca="false">SUM(M1051:Q1051)*Resumo!$C$11</f>
        <v>8.4903038</v>
      </c>
      <c r="S1051" s="39" t="n">
        <f aca="false">SUM(M1051:R1051)</f>
        <v>162.8594638</v>
      </c>
      <c r="T1051" s="39" t="n">
        <f aca="false">S1051/(1-Resumo!$C$5)</f>
        <v>185.0675725</v>
      </c>
      <c r="U1051" s="39" t="n">
        <v>201.59</v>
      </c>
      <c r="V1051" s="39" t="n">
        <f aca="false">J1051*Resumo!$B$6</f>
        <v>1.13229</v>
      </c>
      <c r="W1051" s="39" t="n">
        <f aca="false">J1051*Resumo!$B$7</f>
        <v>2.26458</v>
      </c>
      <c r="X1051" s="39" t="n">
        <f aca="false">Resumo!$B$9</f>
        <v>1</v>
      </c>
      <c r="Y1051" s="39" t="n">
        <f aca="false">Resumo!$B$10*CEILING(I1051/100,1)</f>
        <v>9</v>
      </c>
      <c r="Z1051" s="39" t="n">
        <f aca="false">Resumo!$B$12*CEILING(I1051,1)</f>
        <v>6.42</v>
      </c>
      <c r="AA1051" s="39" t="n">
        <f aca="false">Resumo!$B$13*CEILING(I1051,1)</f>
        <v>48.15</v>
      </c>
      <c r="AB1051" s="39" t="n">
        <f aca="false">SUM(U1051:AA1051)</f>
        <v>269.55687</v>
      </c>
      <c r="AC1051" s="39" t="n">
        <f aca="false">AB1051/(1-Resumo!$B$5)</f>
        <v>306.314625</v>
      </c>
      <c r="AD1051" s="39" t="n">
        <f aca="false">(AB1051-AA1051)/(1-Resumo!$B$5)</f>
        <v>251.598715909091</v>
      </c>
      <c r="AE1051" s="39" t="n">
        <f aca="false">AC1051-T1051</f>
        <v>121.2470525</v>
      </c>
      <c r="AF1051" s="40" t="n">
        <f aca="false">AC1051/T1051-1</f>
        <v>0.655150174944884</v>
      </c>
      <c r="AG1051" s="37" t="str">
        <f aca="false">IF(AC1051&lt;T1051,"SIM","NÃO")</f>
        <v>NÃO</v>
      </c>
      <c r="AH1051" s="37" t="n">
        <v>8</v>
      </c>
      <c r="AI1051" s="37" t="n">
        <v>5</v>
      </c>
      <c r="AJ1051" s="37" t="s">
        <v>323</v>
      </c>
    </row>
    <row r="1052" customFormat="false" ht="15" hidden="false" customHeight="false" outlineLevel="0" collapsed="false">
      <c r="A1052" s="37" t="n">
        <v>377009530</v>
      </c>
      <c r="B1052" s="38" t="n">
        <v>46249.6902314815</v>
      </c>
      <c r="C1052" s="37" t="s">
        <v>320</v>
      </c>
      <c r="D1052" s="37" t="s">
        <v>1323</v>
      </c>
      <c r="E1052" s="37" t="n">
        <v>21825183</v>
      </c>
      <c r="F1052" s="37" t="s">
        <v>139</v>
      </c>
      <c r="G1052" s="37" t="s">
        <v>198</v>
      </c>
      <c r="H1052" s="37" t="s">
        <v>172</v>
      </c>
      <c r="I1052" s="37" t="n">
        <v>63.9</v>
      </c>
      <c r="J1052" s="39" t="n">
        <v>730.98</v>
      </c>
      <c r="K1052" s="37" t="s">
        <v>322</v>
      </c>
      <c r="L1052" s="39" t="n">
        <v>124.7</v>
      </c>
      <c r="M1052" s="39" t="n">
        <v>88.2</v>
      </c>
      <c r="N1052" s="39" t="n">
        <f aca="false">J1052*Resumo!$C$7</f>
        <v>1.46196</v>
      </c>
      <c r="O1052" s="39" t="n">
        <f aca="false">J1052*Resumo!$C$8</f>
        <v>1.46196</v>
      </c>
      <c r="P1052" s="39" t="n">
        <f aca="false">Resumo!$C$10*CEILING(I1052/100,1)</f>
        <v>1</v>
      </c>
      <c r="Q1052" s="39" t="n">
        <f aca="false">Resumo!$C$9</f>
        <v>11.9</v>
      </c>
      <c r="R1052" s="39" t="n">
        <f aca="false">SUM(M1052:Q1052)*Resumo!$C$11</f>
        <v>5.7213156</v>
      </c>
      <c r="S1052" s="39" t="n">
        <f aca="false">SUM(M1052:R1052)</f>
        <v>109.7452356</v>
      </c>
      <c r="T1052" s="39" t="n">
        <f aca="false">S1052/(1-Resumo!$C$5)</f>
        <v>124.710495</v>
      </c>
      <c r="U1052" s="39" t="n">
        <v>131.02</v>
      </c>
      <c r="V1052" s="39" t="n">
        <f aca="false">J1052*Resumo!$B$6</f>
        <v>0.73098</v>
      </c>
      <c r="W1052" s="39" t="n">
        <f aca="false">J1052*Resumo!$B$7</f>
        <v>1.46196</v>
      </c>
      <c r="X1052" s="39" t="n">
        <f aca="false">Resumo!$B$9</f>
        <v>1</v>
      </c>
      <c r="Y1052" s="39" t="n">
        <f aca="false">Resumo!$B$10*CEILING(I1052/100,1)</f>
        <v>4.5</v>
      </c>
      <c r="Z1052" s="39" t="n">
        <f aca="false">Resumo!$B$12*CEILING(I1052,1)</f>
        <v>3.84</v>
      </c>
      <c r="AA1052" s="39" t="n">
        <f aca="false">Resumo!$B$13*CEILING(I1052,1)</f>
        <v>28.8</v>
      </c>
      <c r="AB1052" s="39" t="n">
        <f aca="false">SUM(U1052:AA1052)</f>
        <v>171.35294</v>
      </c>
      <c r="AC1052" s="39" t="n">
        <f aca="false">AB1052/(1-Resumo!$B$5)</f>
        <v>194.71925</v>
      </c>
      <c r="AD1052" s="39" t="n">
        <f aca="false">(AB1052-AA1052)/(1-Resumo!$B$5)</f>
        <v>161.991977272727</v>
      </c>
      <c r="AE1052" s="39" t="n">
        <f aca="false">AC1052-T1052</f>
        <v>70.008755</v>
      </c>
      <c r="AF1052" s="40" t="n">
        <f aca="false">AC1052/T1052-1</f>
        <v>0.561370195828347</v>
      </c>
      <c r="AG1052" s="37" t="str">
        <f aca="false">IF(AC1052&lt;T1052,"SIM","NÃO")</f>
        <v>NÃO</v>
      </c>
      <c r="AH1052" s="37" t="n">
        <v>8</v>
      </c>
      <c r="AI1052" s="37" t="n">
        <v>5</v>
      </c>
      <c r="AJ1052" s="37" t="s">
        <v>323</v>
      </c>
    </row>
    <row r="1053" customFormat="false" ht="15" hidden="false" customHeight="false" outlineLevel="0" collapsed="false">
      <c r="A1053" s="37" t="n">
        <v>377017799</v>
      </c>
      <c r="B1053" s="38" t="n">
        <v>46249.7032060185</v>
      </c>
      <c r="C1053" s="37" t="s">
        <v>320</v>
      </c>
      <c r="D1053" s="37" t="s">
        <v>1324</v>
      </c>
      <c r="E1053" s="37" t="n">
        <v>27532328</v>
      </c>
      <c r="F1053" s="37" t="s">
        <v>236</v>
      </c>
      <c r="G1053" s="37" t="s">
        <v>201</v>
      </c>
      <c r="H1053" s="37" t="s">
        <v>171</v>
      </c>
      <c r="I1053" s="37" t="n">
        <v>52.3</v>
      </c>
      <c r="J1053" s="39" t="n">
        <v>699.99</v>
      </c>
      <c r="K1053" s="37" t="s">
        <v>498</v>
      </c>
      <c r="L1053" s="39" t="n">
        <v>142.01</v>
      </c>
      <c r="M1053" s="39" t="n">
        <v>103.6</v>
      </c>
      <c r="N1053" s="39" t="n">
        <f aca="false">J1053*Resumo!$C$7</f>
        <v>1.39998</v>
      </c>
      <c r="O1053" s="39" t="n">
        <f aca="false">J1053*Resumo!$C$8</f>
        <v>1.39998</v>
      </c>
      <c r="P1053" s="39" t="n">
        <f aca="false">Resumo!$C$10*CEILING(I1053/100,1)</f>
        <v>1</v>
      </c>
      <c r="Q1053" s="39" t="n">
        <f aca="false">Resumo!$C$9</f>
        <v>11.9</v>
      </c>
      <c r="R1053" s="39" t="n">
        <f aca="false">SUM(M1053:Q1053)*Resumo!$C$11</f>
        <v>6.5614978</v>
      </c>
      <c r="S1053" s="39" t="n">
        <f aca="false">SUM(M1053:R1053)</f>
        <v>125.8614578</v>
      </c>
      <c r="T1053" s="39" t="n">
        <f aca="false">S1053/(1-Resumo!$C$5)</f>
        <v>143.024383863636</v>
      </c>
      <c r="U1053" s="39" t="n">
        <v>142.32</v>
      </c>
      <c r="V1053" s="39" t="n">
        <f aca="false">J1053*Resumo!$B$6</f>
        <v>0.69999</v>
      </c>
      <c r="W1053" s="39" t="n">
        <f aca="false">J1053*Resumo!$B$7</f>
        <v>1.39998</v>
      </c>
      <c r="X1053" s="39" t="n">
        <f aca="false">Resumo!$B$9</f>
        <v>1</v>
      </c>
      <c r="Y1053" s="39" t="n">
        <f aca="false">Resumo!$B$10*CEILING(I1053/100,1)</f>
        <v>4.5</v>
      </c>
      <c r="Z1053" s="39" t="n">
        <f aca="false">Resumo!$B$12*CEILING(I1053,1)</f>
        <v>3.18</v>
      </c>
      <c r="AA1053" s="39" t="n">
        <f aca="false">Resumo!$B$13*CEILING(I1053,1)</f>
        <v>23.85</v>
      </c>
      <c r="AB1053" s="39" t="n">
        <f aca="false">SUM(U1053:AA1053)</f>
        <v>176.94997</v>
      </c>
      <c r="AC1053" s="39" t="n">
        <f aca="false">AB1053/(1-Resumo!$B$5)</f>
        <v>201.079511363636</v>
      </c>
      <c r="AD1053" s="39" t="n">
        <f aca="false">(AB1053-AA1053)/(1-Resumo!$B$5)</f>
        <v>173.977238636364</v>
      </c>
      <c r="AE1053" s="39" t="n">
        <f aca="false">AC1053-T1053</f>
        <v>58.0551275</v>
      </c>
      <c r="AF1053" s="40" t="n">
        <f aca="false">AC1053/T1053-1</f>
        <v>0.405910698104118</v>
      </c>
      <c r="AG1053" s="37" t="str">
        <f aca="false">IF(AC1053&lt;T1053,"SIM","NÃO")</f>
        <v>NÃO</v>
      </c>
      <c r="AH1053" s="37" t="n">
        <v>13</v>
      </c>
      <c r="AI1053" s="37" t="n">
        <v>10</v>
      </c>
      <c r="AJ1053" s="37" t="s">
        <v>327</v>
      </c>
    </row>
    <row r="1054" customFormat="false" ht="15" hidden="false" customHeight="false" outlineLevel="0" collapsed="false">
      <c r="A1054" s="37" t="n">
        <v>377026555</v>
      </c>
      <c r="B1054" s="38" t="n">
        <v>46249.7165625</v>
      </c>
      <c r="C1054" s="37" t="s">
        <v>320</v>
      </c>
      <c r="D1054" s="37" t="s">
        <v>1325</v>
      </c>
      <c r="E1054" s="37" t="n">
        <v>26160165</v>
      </c>
      <c r="F1054" s="37" t="s">
        <v>145</v>
      </c>
      <c r="G1054" s="37" t="s">
        <v>207</v>
      </c>
      <c r="H1054" s="37" t="s">
        <v>167</v>
      </c>
      <c r="I1054" s="37" t="n">
        <v>19.9</v>
      </c>
      <c r="J1054" s="39" t="n">
        <v>279.99</v>
      </c>
      <c r="K1054" s="37" t="s">
        <v>498</v>
      </c>
      <c r="L1054" s="39" t="n">
        <v>76.7</v>
      </c>
      <c r="M1054" s="39" t="n">
        <v>48.69</v>
      </c>
      <c r="N1054" s="39" t="n">
        <f aca="false">J1054*Resumo!$C$7</f>
        <v>0.55998</v>
      </c>
      <c r="O1054" s="39" t="n">
        <f aca="false">J1054*Resumo!$C$8</f>
        <v>0.55998</v>
      </c>
      <c r="P1054" s="39" t="n">
        <f aca="false">Resumo!$C$10*CEILING(I1054/100,1)</f>
        <v>1</v>
      </c>
      <c r="Q1054" s="39" t="n">
        <f aca="false">Resumo!$C$9</f>
        <v>11.9</v>
      </c>
      <c r="R1054" s="39" t="n">
        <f aca="false">SUM(M1054:Q1054)*Resumo!$C$11</f>
        <v>3.4490478</v>
      </c>
      <c r="S1054" s="39" t="n">
        <f aca="false">SUM(M1054:R1054)</f>
        <v>66.1590078</v>
      </c>
      <c r="T1054" s="39" t="n">
        <f aca="false">S1054/(1-Resumo!$C$5)</f>
        <v>75.1806906818182</v>
      </c>
      <c r="U1054" s="39" t="n">
        <v>46.98</v>
      </c>
      <c r="V1054" s="39" t="n">
        <f aca="false">J1054*Resumo!$B$6</f>
        <v>0.27999</v>
      </c>
      <c r="W1054" s="39" t="n">
        <f aca="false">J1054*Resumo!$B$7</f>
        <v>0.55998</v>
      </c>
      <c r="X1054" s="39" t="n">
        <f aca="false">Resumo!$B$9</f>
        <v>1</v>
      </c>
      <c r="Y1054" s="39" t="n">
        <f aca="false">Resumo!$B$10*CEILING(I1054/100,1)</f>
        <v>4.5</v>
      </c>
      <c r="Z1054" s="39" t="n">
        <f aca="false">Resumo!$B$12*CEILING(I1054,1)</f>
        <v>1.2</v>
      </c>
      <c r="AA1054" s="39" t="n">
        <f aca="false">Resumo!$B$13*CEILING(I1054,1)</f>
        <v>9</v>
      </c>
      <c r="AB1054" s="39" t="n">
        <f aca="false">SUM(U1054:AA1054)</f>
        <v>63.51997</v>
      </c>
      <c r="AC1054" s="39" t="n">
        <f aca="false">AB1054/(1-Resumo!$B$5)</f>
        <v>72.1817840909091</v>
      </c>
      <c r="AD1054" s="39" t="n">
        <f aca="false">(AB1054-AA1054)/(1-Resumo!$B$5)</f>
        <v>61.9545113636364</v>
      </c>
      <c r="AE1054" s="39" t="n">
        <f aca="false">AC1054-T1054</f>
        <v>-2.9989065909091</v>
      </c>
      <c r="AF1054" s="40" t="n">
        <f aca="false">AC1054/T1054-1</f>
        <v>-0.0398893195009495</v>
      </c>
      <c r="AG1054" s="37" t="str">
        <f aca="false">IF(AC1054&lt;T1054,"SIM","NÃO")</f>
        <v>SIM</v>
      </c>
      <c r="AH1054" s="37" t="n">
        <v>10</v>
      </c>
      <c r="AI1054" s="37" t="n">
        <v>5</v>
      </c>
      <c r="AJ1054" s="37" t="s">
        <v>323</v>
      </c>
    </row>
    <row r="1055" customFormat="false" ht="15" hidden="false" customHeight="false" outlineLevel="0" collapsed="false">
      <c r="A1055" s="37" t="n">
        <v>377031323</v>
      </c>
      <c r="B1055" s="38" t="n">
        <v>46249.7238657407</v>
      </c>
      <c r="C1055" s="37" t="s">
        <v>320</v>
      </c>
      <c r="D1055" s="37" t="s">
        <v>1326</v>
      </c>
      <c r="E1055" s="37" t="n">
        <v>24130307</v>
      </c>
      <c r="F1055" s="37" t="s">
        <v>143</v>
      </c>
      <c r="G1055" s="37" t="s">
        <v>207</v>
      </c>
      <c r="H1055" s="37" t="s">
        <v>170</v>
      </c>
      <c r="I1055" s="37" t="n">
        <v>45</v>
      </c>
      <c r="J1055" s="39" t="n">
        <v>519.29</v>
      </c>
      <c r="K1055" s="37" t="s">
        <v>322</v>
      </c>
      <c r="L1055" s="39" t="n">
        <v>116.57</v>
      </c>
      <c r="M1055" s="39" t="n">
        <v>82.25</v>
      </c>
      <c r="N1055" s="39" t="n">
        <f aca="false">J1055*Resumo!$C$7</f>
        <v>1.03858</v>
      </c>
      <c r="O1055" s="39" t="n">
        <f aca="false">J1055*Resumo!$C$8</f>
        <v>1.03858</v>
      </c>
      <c r="P1055" s="39" t="n">
        <f aca="false">Resumo!$C$10*CEILING(I1055/100,1)</f>
        <v>1</v>
      </c>
      <c r="Q1055" s="39" t="n">
        <f aca="false">Resumo!$C$9</f>
        <v>11.9</v>
      </c>
      <c r="R1055" s="39" t="n">
        <f aca="false">SUM(M1055:Q1055)*Resumo!$C$11</f>
        <v>5.3474938</v>
      </c>
      <c r="S1055" s="39" t="n">
        <f aca="false">SUM(M1055:R1055)</f>
        <v>102.5746538</v>
      </c>
      <c r="T1055" s="39" t="n">
        <f aca="false">S1055/(1-Resumo!$C$5)</f>
        <v>116.562106590909</v>
      </c>
      <c r="U1055" s="39" t="n">
        <v>114.95</v>
      </c>
      <c r="V1055" s="39" t="n">
        <f aca="false">J1055*Resumo!$B$6</f>
        <v>0.51929</v>
      </c>
      <c r="W1055" s="39" t="n">
        <f aca="false">J1055*Resumo!$B$7</f>
        <v>1.03858</v>
      </c>
      <c r="X1055" s="39" t="n">
        <f aca="false">Resumo!$B$9</f>
        <v>1</v>
      </c>
      <c r="Y1055" s="39" t="n">
        <f aca="false">Resumo!$B$10*CEILING(I1055/100,1)</f>
        <v>4.5</v>
      </c>
      <c r="Z1055" s="39" t="n">
        <f aca="false">Resumo!$B$12*CEILING(I1055,1)</f>
        <v>2.7</v>
      </c>
      <c r="AA1055" s="39" t="n">
        <f aca="false">Resumo!$B$13*CEILING(I1055,1)</f>
        <v>20.25</v>
      </c>
      <c r="AB1055" s="39" t="n">
        <f aca="false">SUM(U1055:AA1055)</f>
        <v>144.95787</v>
      </c>
      <c r="AC1055" s="39" t="n">
        <f aca="false">AB1055/(1-Resumo!$B$5)</f>
        <v>164.724852272727</v>
      </c>
      <c r="AD1055" s="39" t="n">
        <f aca="false">(AB1055-AA1055)/(1-Resumo!$B$5)</f>
        <v>141.713488636364</v>
      </c>
      <c r="AE1055" s="39" t="n">
        <f aca="false">AC1055-T1055</f>
        <v>48.1627456818182</v>
      </c>
      <c r="AF1055" s="40" t="n">
        <f aca="false">AC1055/T1055-1</f>
        <v>0.413193850818534</v>
      </c>
      <c r="AG1055" s="37" t="str">
        <f aca="false">IF(AC1055&lt;T1055,"SIM","NÃO")</f>
        <v>NÃO</v>
      </c>
      <c r="AH1055" s="37" t="n">
        <v>10</v>
      </c>
      <c r="AI1055" s="37" t="n">
        <v>7</v>
      </c>
      <c r="AJ1055" s="37" t="s">
        <v>323</v>
      </c>
    </row>
    <row r="1056" customFormat="false" ht="15" hidden="false" customHeight="false" outlineLevel="0" collapsed="false">
      <c r="A1056" s="37" t="n">
        <v>377032521</v>
      </c>
      <c r="B1056" s="38" t="n">
        <v>46249.7259953704</v>
      </c>
      <c r="C1056" s="37" t="s">
        <v>320</v>
      </c>
      <c r="D1056" s="37" t="s">
        <v>1327</v>
      </c>
      <c r="E1056" s="37" t="n">
        <v>25221424</v>
      </c>
      <c r="F1056" s="37" t="s">
        <v>141</v>
      </c>
      <c r="G1056" s="37" t="s">
        <v>207</v>
      </c>
      <c r="H1056" s="37" t="s">
        <v>170</v>
      </c>
      <c r="I1056" s="37" t="n">
        <v>48</v>
      </c>
      <c r="J1056" s="39" t="n">
        <v>929.99</v>
      </c>
      <c r="K1056" s="37" t="s">
        <v>322</v>
      </c>
      <c r="L1056" s="39" t="n">
        <v>118.53</v>
      </c>
      <c r="M1056" s="39" t="n">
        <v>82.25</v>
      </c>
      <c r="N1056" s="39" t="n">
        <f aca="false">J1056*Resumo!$C$7</f>
        <v>1.85998</v>
      </c>
      <c r="O1056" s="39" t="n">
        <f aca="false">J1056*Resumo!$C$8</f>
        <v>1.85998</v>
      </c>
      <c r="P1056" s="39" t="n">
        <f aca="false">Resumo!$C$10*CEILING(I1056/100,1)</f>
        <v>1</v>
      </c>
      <c r="Q1056" s="39" t="n">
        <f aca="false">Resumo!$C$9</f>
        <v>11.9</v>
      </c>
      <c r="R1056" s="39" t="n">
        <f aca="false">SUM(M1056:Q1056)*Resumo!$C$11</f>
        <v>5.4378478</v>
      </c>
      <c r="S1056" s="39" t="n">
        <f aca="false">SUM(M1056:R1056)</f>
        <v>104.3078078</v>
      </c>
      <c r="T1056" s="39" t="n">
        <f aca="false">S1056/(1-Resumo!$C$5)</f>
        <v>118.531599772727</v>
      </c>
      <c r="U1056" s="39" t="n">
        <v>93.97</v>
      </c>
      <c r="V1056" s="39" t="n">
        <f aca="false">J1056*Resumo!$B$6</f>
        <v>0.92999</v>
      </c>
      <c r="W1056" s="39" t="n">
        <f aca="false">J1056*Resumo!$B$7</f>
        <v>1.85998</v>
      </c>
      <c r="X1056" s="39" t="n">
        <f aca="false">Resumo!$B$9</f>
        <v>1</v>
      </c>
      <c r="Y1056" s="39" t="n">
        <f aca="false">Resumo!$B$10*CEILING(I1056/100,1)</f>
        <v>4.5</v>
      </c>
      <c r="Z1056" s="39" t="n">
        <f aca="false">Resumo!$B$12*CEILING(I1056,1)</f>
        <v>2.88</v>
      </c>
      <c r="AA1056" s="39" t="n">
        <f aca="false">Resumo!$B$13*CEILING(I1056,1)</f>
        <v>21.6</v>
      </c>
      <c r="AB1056" s="39" t="n">
        <f aca="false">SUM(U1056:AA1056)</f>
        <v>126.73997</v>
      </c>
      <c r="AC1056" s="39" t="n">
        <f aca="false">AB1056/(1-Resumo!$B$5)</f>
        <v>144.022693181818</v>
      </c>
      <c r="AD1056" s="39" t="n">
        <f aca="false">(AB1056-AA1056)/(1-Resumo!$B$5)</f>
        <v>119.477238636364</v>
      </c>
      <c r="AE1056" s="39" t="n">
        <f aca="false">AC1056-T1056</f>
        <v>25.4910934090909</v>
      </c>
      <c r="AF1056" s="40" t="n">
        <f aca="false">AC1056/T1056-1</f>
        <v>0.215057364095039</v>
      </c>
      <c r="AG1056" s="37" t="str">
        <f aca="false">IF(AC1056&lt;T1056,"SIM","NÃO")</f>
        <v>NÃO</v>
      </c>
      <c r="AH1056" s="37" t="n">
        <v>10</v>
      </c>
      <c r="AI1056" s="37" t="n">
        <v>5</v>
      </c>
      <c r="AJ1056" s="37" t="s">
        <v>323</v>
      </c>
    </row>
    <row r="1057" customFormat="false" ht="15" hidden="false" customHeight="false" outlineLevel="0" collapsed="false">
      <c r="A1057" s="37" t="n">
        <v>377035264</v>
      </c>
      <c r="B1057" s="38" t="n">
        <v>46249.7301851852</v>
      </c>
      <c r="C1057" s="37" t="s">
        <v>320</v>
      </c>
      <c r="D1057" s="37" t="s">
        <v>1328</v>
      </c>
      <c r="E1057" s="37" t="n">
        <v>26032830</v>
      </c>
      <c r="F1057" s="37" t="s">
        <v>142</v>
      </c>
      <c r="G1057" s="37" t="s">
        <v>207</v>
      </c>
      <c r="H1057" s="37" t="s">
        <v>169</v>
      </c>
      <c r="I1057" s="37" t="n">
        <v>37.6</v>
      </c>
      <c r="J1057" s="39" t="n">
        <v>419.99</v>
      </c>
      <c r="K1057" s="37" t="s">
        <v>322</v>
      </c>
      <c r="L1057" s="39" t="n">
        <v>112.97</v>
      </c>
      <c r="M1057" s="39" t="n">
        <v>79.65</v>
      </c>
      <c r="N1057" s="39" t="n">
        <f aca="false">J1057*Resumo!$C$7</f>
        <v>0.83998</v>
      </c>
      <c r="O1057" s="39" t="n">
        <f aca="false">J1057*Resumo!$C$8</f>
        <v>0.83998</v>
      </c>
      <c r="P1057" s="39" t="n">
        <f aca="false">Resumo!$C$10*CEILING(I1057/100,1)</f>
        <v>1</v>
      </c>
      <c r="Q1057" s="39" t="n">
        <f aca="false">Resumo!$C$9</f>
        <v>11.9</v>
      </c>
      <c r="R1057" s="39" t="n">
        <f aca="false">SUM(M1057:Q1057)*Resumo!$C$11</f>
        <v>5.1826478</v>
      </c>
      <c r="S1057" s="39" t="n">
        <f aca="false">SUM(M1057:R1057)</f>
        <v>99.4126078</v>
      </c>
      <c r="T1057" s="39" t="n">
        <f aca="false">S1057/(1-Resumo!$C$5)</f>
        <v>112.9688725</v>
      </c>
      <c r="U1057" s="39" t="n">
        <v>93.97</v>
      </c>
      <c r="V1057" s="39" t="n">
        <f aca="false">J1057*Resumo!$B$6</f>
        <v>0.41999</v>
      </c>
      <c r="W1057" s="39" t="n">
        <f aca="false">J1057*Resumo!$B$7</f>
        <v>0.83998</v>
      </c>
      <c r="X1057" s="39" t="n">
        <f aca="false">Resumo!$B$9</f>
        <v>1</v>
      </c>
      <c r="Y1057" s="39" t="n">
        <f aca="false">Resumo!$B$10*CEILING(I1057/100,1)</f>
        <v>4.5</v>
      </c>
      <c r="Z1057" s="39" t="n">
        <f aca="false">Resumo!$B$12*CEILING(I1057,1)</f>
        <v>2.28</v>
      </c>
      <c r="AA1057" s="39" t="n">
        <f aca="false">Resumo!$B$13*CEILING(I1057,1)</f>
        <v>17.1</v>
      </c>
      <c r="AB1057" s="39" t="n">
        <f aca="false">SUM(U1057:AA1057)</f>
        <v>120.10997</v>
      </c>
      <c r="AC1057" s="39" t="n">
        <f aca="false">AB1057/(1-Resumo!$B$5)</f>
        <v>136.488602272727</v>
      </c>
      <c r="AD1057" s="39" t="n">
        <f aca="false">(AB1057-AA1057)/(1-Resumo!$B$5)</f>
        <v>117.056784090909</v>
      </c>
      <c r="AE1057" s="39" t="n">
        <f aca="false">AC1057-T1057</f>
        <v>23.5197297727273</v>
      </c>
      <c r="AF1057" s="40" t="n">
        <f aca="false">AC1057/T1057-1</f>
        <v>0.208196552308932</v>
      </c>
      <c r="AG1057" s="37" t="str">
        <f aca="false">IF(AC1057&lt;T1057,"SIM","NÃO")</f>
        <v>NÃO</v>
      </c>
      <c r="AH1057" s="37" t="n">
        <v>10</v>
      </c>
      <c r="AI1057" s="37" t="n">
        <v>5</v>
      </c>
      <c r="AJ1057" s="37" t="s">
        <v>323</v>
      </c>
    </row>
    <row r="1058" customFormat="false" ht="15" hidden="false" customHeight="false" outlineLevel="0" collapsed="false">
      <c r="A1058" s="37" t="n">
        <v>377036030</v>
      </c>
      <c r="B1058" s="38" t="n">
        <v>46249.731412037</v>
      </c>
      <c r="C1058" s="37" t="s">
        <v>320</v>
      </c>
      <c r="D1058" s="37" t="s">
        <v>1329</v>
      </c>
      <c r="E1058" s="37" t="n">
        <v>25540540</v>
      </c>
      <c r="F1058" s="37" t="s">
        <v>147</v>
      </c>
      <c r="G1058" s="37" t="s">
        <v>207</v>
      </c>
      <c r="H1058" s="37" t="s">
        <v>168</v>
      </c>
      <c r="I1058" s="37" t="n">
        <v>20.9</v>
      </c>
      <c r="J1058" s="39" t="n">
        <v>465.69</v>
      </c>
      <c r="K1058" s="37" t="s">
        <v>365</v>
      </c>
      <c r="L1058" s="39" t="n">
        <v>86.81</v>
      </c>
      <c r="M1058" s="39" t="n">
        <v>70</v>
      </c>
      <c r="N1058" s="39" t="n">
        <f aca="false">J1058*Resumo!$C$7</f>
        <v>0.93138</v>
      </c>
      <c r="O1058" s="39" t="n">
        <f aca="false">J1058*Resumo!$C$8</f>
        <v>0.93138</v>
      </c>
      <c r="P1058" s="39" t="n">
        <f aca="false">Resumo!$C$10*CEILING(I1058/100,1)</f>
        <v>1</v>
      </c>
      <c r="Q1058" s="39" t="n">
        <f aca="false">Resumo!$C$9</f>
        <v>11.9</v>
      </c>
      <c r="R1058" s="39" t="n">
        <f aca="false">SUM(M1058:Q1058)*Resumo!$C$11</f>
        <v>4.6619518</v>
      </c>
      <c r="S1058" s="39" t="n">
        <f aca="false">SUM(M1058:R1058)</f>
        <v>89.4247118</v>
      </c>
      <c r="T1058" s="39" t="n">
        <f aca="false">S1058/(1-Resumo!$C$5)</f>
        <v>101.618990681818</v>
      </c>
      <c r="U1058" s="39" t="n">
        <v>82.21</v>
      </c>
      <c r="V1058" s="39" t="n">
        <f aca="false">J1058*Resumo!$B$6</f>
        <v>0.46569</v>
      </c>
      <c r="W1058" s="39" t="n">
        <f aca="false">J1058*Resumo!$B$7</f>
        <v>0.93138</v>
      </c>
      <c r="X1058" s="39" t="n">
        <f aca="false">Resumo!$B$9</f>
        <v>1</v>
      </c>
      <c r="Y1058" s="39" t="n">
        <f aca="false">Resumo!$B$10*CEILING(I1058/100,1)</f>
        <v>4.5</v>
      </c>
      <c r="Z1058" s="39" t="n">
        <f aca="false">Resumo!$B$12*CEILING(I1058,1)</f>
        <v>1.26</v>
      </c>
      <c r="AA1058" s="39" t="n">
        <f aca="false">Resumo!$B$13*CEILING(I1058,1)</f>
        <v>9.45</v>
      </c>
      <c r="AB1058" s="39" t="n">
        <f aca="false">SUM(U1058:AA1058)</f>
        <v>99.81707</v>
      </c>
      <c r="AC1058" s="39" t="n">
        <f aca="false">AB1058/(1-Resumo!$B$5)</f>
        <v>113.428488636364</v>
      </c>
      <c r="AD1058" s="39" t="n">
        <f aca="false">(AB1058-AA1058)/(1-Resumo!$B$5)</f>
        <v>102.689852272727</v>
      </c>
      <c r="AE1058" s="39" t="n">
        <f aca="false">AC1058-T1058</f>
        <v>11.8094979545455</v>
      </c>
      <c r="AF1058" s="40" t="n">
        <f aca="false">AC1058/T1058-1</f>
        <v>0.116213493908068</v>
      </c>
      <c r="AG1058" s="37" t="str">
        <f aca="false">IF(AC1058&lt;T1058,"SIM","NÃO")</f>
        <v>NÃO</v>
      </c>
      <c r="AH1058" s="37" t="n">
        <v>10</v>
      </c>
      <c r="AI1058" s="37" t="n">
        <v>5</v>
      </c>
      <c r="AJ1058" s="37" t="s">
        <v>323</v>
      </c>
    </row>
    <row r="1059" customFormat="false" ht="15" hidden="false" customHeight="false" outlineLevel="0" collapsed="false">
      <c r="A1059" s="37" t="n">
        <v>377042544</v>
      </c>
      <c r="B1059" s="38" t="n">
        <v>46249.7416319445</v>
      </c>
      <c r="C1059" s="37" t="s">
        <v>325</v>
      </c>
      <c r="D1059" s="37" t="s">
        <v>1330</v>
      </c>
      <c r="E1059" s="37" t="n">
        <v>26553190</v>
      </c>
      <c r="F1059" s="37" t="s">
        <v>155</v>
      </c>
      <c r="G1059" s="37" t="s">
        <v>207</v>
      </c>
      <c r="H1059" s="37" t="s">
        <v>172</v>
      </c>
      <c r="I1059" s="37" t="n">
        <v>66.8</v>
      </c>
      <c r="J1059" s="39" t="n">
        <v>574.1</v>
      </c>
      <c r="K1059" s="37" t="s">
        <v>498</v>
      </c>
      <c r="L1059" s="39" t="n">
        <v>140.59</v>
      </c>
      <c r="M1059" s="39" t="n">
        <v>100.9</v>
      </c>
      <c r="N1059" s="39" t="n">
        <f aca="false">J1059*Resumo!$C$7</f>
        <v>1.1482</v>
      </c>
      <c r="O1059" s="39" t="n">
        <f aca="false">J1059*Resumo!$C$8</f>
        <v>1.1482</v>
      </c>
      <c r="P1059" s="39" t="n">
        <f aca="false">Resumo!$C$10*CEILING(I1059/100,1)</f>
        <v>1</v>
      </c>
      <c r="Q1059" s="39" t="n">
        <f aca="false">Resumo!$C$9</f>
        <v>11.9</v>
      </c>
      <c r="R1059" s="39" t="n">
        <f aca="false">SUM(M1059:Q1059)*Resumo!$C$11</f>
        <v>6.385302</v>
      </c>
      <c r="S1059" s="39" t="n">
        <f aca="false">SUM(M1059:R1059)</f>
        <v>122.481702</v>
      </c>
      <c r="T1059" s="39" t="n">
        <f aca="false">S1059/(1-Resumo!$C$5)</f>
        <v>139.183752272727</v>
      </c>
      <c r="U1059" s="39" t="n">
        <v>131.02</v>
      </c>
      <c r="V1059" s="39" t="n">
        <f aca="false">J1059*Resumo!$B$6</f>
        <v>0.5741</v>
      </c>
      <c r="W1059" s="39" t="n">
        <f aca="false">J1059*Resumo!$B$7</f>
        <v>1.1482</v>
      </c>
      <c r="X1059" s="39" t="n">
        <f aca="false">Resumo!$B$9</f>
        <v>1</v>
      </c>
      <c r="Y1059" s="39" t="n">
        <f aca="false">Resumo!$B$10*CEILING(I1059/100,1)</f>
        <v>4.5</v>
      </c>
      <c r="Z1059" s="39" t="n">
        <f aca="false">Resumo!$B$12*CEILING(I1059,1)</f>
        <v>4.02</v>
      </c>
      <c r="AA1059" s="39" t="n">
        <f aca="false">Resumo!$B$13*CEILING(I1059,1)</f>
        <v>30.15</v>
      </c>
      <c r="AB1059" s="39" t="n">
        <f aca="false">SUM(U1059:AA1059)</f>
        <v>172.4123</v>
      </c>
      <c r="AC1059" s="39" t="n">
        <f aca="false">AB1059/(1-Resumo!$B$5)</f>
        <v>195.923068181818</v>
      </c>
      <c r="AD1059" s="39" t="n">
        <f aca="false">(AB1059-AA1059)/(1-Resumo!$B$5)</f>
        <v>161.661704545455</v>
      </c>
      <c r="AE1059" s="39" t="n">
        <f aca="false">AC1059-T1059</f>
        <v>56.7393159090909</v>
      </c>
      <c r="AF1059" s="40" t="n">
        <f aca="false">AC1059/T1059-1</f>
        <v>0.407657610767035</v>
      </c>
      <c r="AG1059" s="37" t="str">
        <f aca="false">IF(AC1059&lt;T1059,"SIM","NÃO")</f>
        <v>NÃO</v>
      </c>
      <c r="AH1059" s="37" t="n">
        <v>10</v>
      </c>
      <c r="AI1059" s="37" t="n">
        <v>5</v>
      </c>
      <c r="AJ1059" s="37" t="s">
        <v>323</v>
      </c>
    </row>
    <row r="1060" customFormat="false" ht="15" hidden="false" customHeight="false" outlineLevel="0" collapsed="false">
      <c r="A1060" s="37" t="n">
        <v>377036472</v>
      </c>
      <c r="B1060" s="38" t="n">
        <v>46249.7427199074</v>
      </c>
      <c r="C1060" s="37" t="s">
        <v>341</v>
      </c>
      <c r="D1060" s="37" t="s">
        <v>544</v>
      </c>
      <c r="E1060" s="37" t="n">
        <v>22451265</v>
      </c>
      <c r="F1060" s="37" t="s">
        <v>139</v>
      </c>
      <c r="G1060" s="37" t="s">
        <v>198</v>
      </c>
      <c r="H1060" s="37" t="s">
        <v>169</v>
      </c>
      <c r="I1060" s="37" t="n">
        <v>37.2</v>
      </c>
      <c r="J1060" s="39" t="n">
        <v>509.99</v>
      </c>
      <c r="K1060" s="37" t="s">
        <v>498</v>
      </c>
      <c r="L1060" s="39" t="n">
        <v>93.4</v>
      </c>
      <c r="M1060" s="39" t="n">
        <v>62.05</v>
      </c>
      <c r="N1060" s="39" t="n">
        <f aca="false">J1060*Resumo!$C$7</f>
        <v>1.01998</v>
      </c>
      <c r="O1060" s="39" t="n">
        <f aca="false">J1060*Resumo!$C$8</f>
        <v>1.01998</v>
      </c>
      <c r="P1060" s="39" t="n">
        <f aca="false">Resumo!$C$10*CEILING(I1060/100,1)</f>
        <v>1</v>
      </c>
      <c r="Q1060" s="39" t="n">
        <f aca="false">Resumo!$C$9</f>
        <v>11.9</v>
      </c>
      <c r="R1060" s="39" t="n">
        <f aca="false">SUM(M1060:Q1060)*Resumo!$C$11</f>
        <v>4.2344478</v>
      </c>
      <c r="S1060" s="39" t="n">
        <f aca="false">SUM(M1060:R1060)</f>
        <v>81.2244078</v>
      </c>
      <c r="T1060" s="39" t="n">
        <f aca="false">S1060/(1-Resumo!$C$5)</f>
        <v>92.3004634090909</v>
      </c>
      <c r="U1060" s="39" t="n">
        <v>93.97</v>
      </c>
      <c r="V1060" s="39" t="n">
        <f aca="false">J1060*Resumo!$B$6</f>
        <v>0.50999</v>
      </c>
      <c r="W1060" s="39" t="n">
        <f aca="false">J1060*Resumo!$B$7</f>
        <v>1.01998</v>
      </c>
      <c r="X1060" s="39" t="n">
        <f aca="false">Resumo!$B$9</f>
        <v>1</v>
      </c>
      <c r="Y1060" s="39" t="n">
        <f aca="false">Resumo!$B$10*CEILING(I1060/100,1)</f>
        <v>4.5</v>
      </c>
      <c r="Z1060" s="39" t="n">
        <f aca="false">Resumo!$B$12*CEILING(I1060,1)</f>
        <v>2.28</v>
      </c>
      <c r="AA1060" s="39" t="n">
        <f aca="false">Resumo!$B$13*CEILING(I1060,1)</f>
        <v>17.1</v>
      </c>
      <c r="AB1060" s="39" t="n">
        <f aca="false">SUM(U1060:AA1060)</f>
        <v>120.37997</v>
      </c>
      <c r="AC1060" s="39" t="n">
        <f aca="false">AB1060/(1-Resumo!$B$5)</f>
        <v>136.795420454545</v>
      </c>
      <c r="AD1060" s="39" t="n">
        <f aca="false">(AB1060-AA1060)/(1-Resumo!$B$5)</f>
        <v>117.363602272727</v>
      </c>
      <c r="AE1060" s="39" t="n">
        <f aca="false">AC1060-T1060</f>
        <v>44.4949570454546</v>
      </c>
      <c r="AF1060" s="40" t="n">
        <f aca="false">AC1060/T1060-1</f>
        <v>0.482066453428793</v>
      </c>
      <c r="AG1060" s="37" t="str">
        <f aca="false">IF(AC1060&lt;T1060,"SIM","NÃO")</f>
        <v>NÃO</v>
      </c>
      <c r="AH1060" s="37" t="n">
        <v>8</v>
      </c>
      <c r="AI1060" s="37" t="n">
        <v>5</v>
      </c>
      <c r="AJ1060" s="37" t="s">
        <v>323</v>
      </c>
    </row>
    <row r="1061" customFormat="false" ht="15" hidden="false" customHeight="false" outlineLevel="0" collapsed="false">
      <c r="A1061" s="37" t="n">
        <v>377043332</v>
      </c>
      <c r="B1061" s="38" t="n">
        <v>46249.7430208333</v>
      </c>
      <c r="C1061" s="37" t="s">
        <v>325</v>
      </c>
      <c r="D1061" s="37" t="s">
        <v>1331</v>
      </c>
      <c r="E1061" s="37" t="n">
        <v>28968485</v>
      </c>
      <c r="F1061" s="37" t="s">
        <v>280</v>
      </c>
      <c r="G1061" s="37" t="s">
        <v>201</v>
      </c>
      <c r="H1061" s="37" t="s">
        <v>174</v>
      </c>
      <c r="I1061" s="37" t="n">
        <v>81.7</v>
      </c>
      <c r="J1061" s="39" t="n">
        <v>623</v>
      </c>
      <c r="K1061" s="37" t="s">
        <v>498</v>
      </c>
      <c r="L1061" s="39" t="n">
        <v>186.08</v>
      </c>
      <c r="M1061" s="39" t="n">
        <v>144.41</v>
      </c>
      <c r="N1061" s="39" t="n">
        <f aca="false">J1061*Resumo!$C$7</f>
        <v>1.246</v>
      </c>
      <c r="O1061" s="39" t="n">
        <f aca="false">J1061*Resumo!$C$8</f>
        <v>1.246</v>
      </c>
      <c r="P1061" s="39" t="n">
        <f aca="false">Resumo!$C$10*CEILING(I1061/100,1)</f>
        <v>1</v>
      </c>
      <c r="Q1061" s="39" t="n">
        <f aca="false">Resumo!$C$9</f>
        <v>11.9</v>
      </c>
      <c r="R1061" s="39" t="n">
        <f aca="false">SUM(M1061:Q1061)*Resumo!$C$11</f>
        <v>8.78911</v>
      </c>
      <c r="S1061" s="39" t="n">
        <f aca="false">SUM(M1061:R1061)</f>
        <v>168.59111</v>
      </c>
      <c r="T1061" s="39" t="n">
        <f aca="false">S1061/(1-Resumo!$C$5)</f>
        <v>191.580806818182</v>
      </c>
      <c r="U1061" s="39" t="n">
        <v>197.35</v>
      </c>
      <c r="V1061" s="39" t="n">
        <f aca="false">J1061*Resumo!$B$6</f>
        <v>0.623</v>
      </c>
      <c r="W1061" s="39" t="n">
        <f aca="false">J1061*Resumo!$B$7</f>
        <v>1.246</v>
      </c>
      <c r="X1061" s="39" t="n">
        <f aca="false">Resumo!$B$9</f>
        <v>1</v>
      </c>
      <c r="Y1061" s="39" t="n">
        <f aca="false">Resumo!$B$10*CEILING(I1061/100,1)</f>
        <v>4.5</v>
      </c>
      <c r="Z1061" s="39" t="n">
        <f aca="false">Resumo!$B$12*CEILING(I1061,1)</f>
        <v>4.92</v>
      </c>
      <c r="AA1061" s="39" t="n">
        <f aca="false">Resumo!$B$13*CEILING(I1061,1)</f>
        <v>36.9</v>
      </c>
      <c r="AB1061" s="39" t="n">
        <f aca="false">SUM(U1061:AA1061)</f>
        <v>246.539</v>
      </c>
      <c r="AC1061" s="39" t="n">
        <f aca="false">AB1061/(1-Resumo!$B$5)</f>
        <v>280.157954545455</v>
      </c>
      <c r="AD1061" s="39" t="n">
        <f aca="false">(AB1061-AA1061)/(1-Resumo!$B$5)</f>
        <v>238.226136363636</v>
      </c>
      <c r="AE1061" s="39" t="n">
        <f aca="false">AC1061-T1061</f>
        <v>88.5771477272727</v>
      </c>
      <c r="AF1061" s="40" t="n">
        <f aca="false">AC1061/T1061-1</f>
        <v>0.462348756111755</v>
      </c>
      <c r="AG1061" s="37" t="str">
        <f aca="false">IF(AC1061&lt;T1061,"SIM","NÃO")</f>
        <v>NÃO</v>
      </c>
      <c r="AH1061" s="37" t="n">
        <v>13</v>
      </c>
      <c r="AI1061" s="37" t="n">
        <v>10</v>
      </c>
      <c r="AJ1061" s="37" t="s">
        <v>327</v>
      </c>
    </row>
    <row r="1062" customFormat="false" ht="15" hidden="false" customHeight="false" outlineLevel="0" collapsed="false">
      <c r="A1062" s="37" t="n">
        <v>377046320</v>
      </c>
      <c r="B1062" s="38" t="n">
        <v>46249.7478587963</v>
      </c>
      <c r="C1062" s="37" t="s">
        <v>325</v>
      </c>
      <c r="D1062" s="37" t="s">
        <v>1332</v>
      </c>
      <c r="E1062" s="37" t="n">
        <v>23075440</v>
      </c>
      <c r="F1062" s="37" t="s">
        <v>139</v>
      </c>
      <c r="G1062" s="37" t="s">
        <v>198</v>
      </c>
      <c r="H1062" s="37" t="s">
        <v>172</v>
      </c>
      <c r="I1062" s="37" t="n">
        <v>66.8</v>
      </c>
      <c r="J1062" s="39" t="n">
        <v>574.1</v>
      </c>
      <c r="K1062" s="37" t="s">
        <v>498</v>
      </c>
      <c r="L1062" s="39" t="n">
        <v>125.43</v>
      </c>
      <c r="M1062" s="39" t="n">
        <v>88.2</v>
      </c>
      <c r="N1062" s="39" t="n">
        <f aca="false">J1062*Resumo!$C$7</f>
        <v>1.1482</v>
      </c>
      <c r="O1062" s="39" t="n">
        <f aca="false">J1062*Resumo!$C$8</f>
        <v>1.1482</v>
      </c>
      <c r="P1062" s="39" t="n">
        <f aca="false">Resumo!$C$10*CEILING(I1062/100,1)</f>
        <v>1</v>
      </c>
      <c r="Q1062" s="39" t="n">
        <f aca="false">Resumo!$C$9</f>
        <v>11.9</v>
      </c>
      <c r="R1062" s="39" t="n">
        <f aca="false">SUM(M1062:Q1062)*Resumo!$C$11</f>
        <v>5.686802</v>
      </c>
      <c r="S1062" s="39" t="n">
        <f aca="false">SUM(M1062:R1062)</f>
        <v>109.083202</v>
      </c>
      <c r="T1062" s="39" t="n">
        <f aca="false">S1062/(1-Resumo!$C$5)</f>
        <v>123.958184090909</v>
      </c>
      <c r="U1062" s="39" t="n">
        <v>131.02</v>
      </c>
      <c r="V1062" s="39" t="n">
        <f aca="false">J1062*Resumo!$B$6</f>
        <v>0.5741</v>
      </c>
      <c r="W1062" s="39" t="n">
        <f aca="false">J1062*Resumo!$B$7</f>
        <v>1.1482</v>
      </c>
      <c r="X1062" s="39" t="n">
        <f aca="false">Resumo!$B$9</f>
        <v>1</v>
      </c>
      <c r="Y1062" s="39" t="n">
        <f aca="false">Resumo!$B$10*CEILING(I1062/100,1)</f>
        <v>4.5</v>
      </c>
      <c r="Z1062" s="39" t="n">
        <f aca="false">Resumo!$B$12*CEILING(I1062,1)</f>
        <v>4.02</v>
      </c>
      <c r="AA1062" s="39" t="n">
        <f aca="false">Resumo!$B$13*CEILING(I1062,1)</f>
        <v>30.15</v>
      </c>
      <c r="AB1062" s="39" t="n">
        <f aca="false">SUM(U1062:AA1062)</f>
        <v>172.4123</v>
      </c>
      <c r="AC1062" s="39" t="n">
        <f aca="false">AB1062/(1-Resumo!$B$5)</f>
        <v>195.923068181818</v>
      </c>
      <c r="AD1062" s="39" t="n">
        <f aca="false">(AB1062-AA1062)/(1-Resumo!$B$5)</f>
        <v>161.661704545455</v>
      </c>
      <c r="AE1062" s="39" t="n">
        <f aca="false">AC1062-T1062</f>
        <v>71.9648840909091</v>
      </c>
      <c r="AF1062" s="40" t="n">
        <f aca="false">AC1062/T1062-1</f>
        <v>0.580557747103903</v>
      </c>
      <c r="AG1062" s="37" t="str">
        <f aca="false">IF(AC1062&lt;T1062,"SIM","NÃO")</f>
        <v>NÃO</v>
      </c>
      <c r="AH1062" s="37" t="n">
        <v>8</v>
      </c>
      <c r="AI1062" s="37" t="n">
        <v>5</v>
      </c>
      <c r="AJ1062" s="37" t="s">
        <v>323</v>
      </c>
    </row>
    <row r="1063" customFormat="false" ht="15" hidden="false" customHeight="false" outlineLevel="0" collapsed="false">
      <c r="A1063" s="37" t="n">
        <v>377049879</v>
      </c>
      <c r="B1063" s="38" t="n">
        <v>46249.7538310185</v>
      </c>
      <c r="C1063" s="37" t="s">
        <v>320</v>
      </c>
      <c r="D1063" s="37" t="s">
        <v>1333</v>
      </c>
      <c r="E1063" s="37" t="n">
        <v>24812022</v>
      </c>
      <c r="F1063" s="37" t="s">
        <v>154</v>
      </c>
      <c r="G1063" s="37" t="s">
        <v>201</v>
      </c>
      <c r="H1063" s="37" t="s">
        <v>170</v>
      </c>
      <c r="I1063" s="37" t="n">
        <v>48.3</v>
      </c>
      <c r="J1063" s="39" t="n">
        <v>539.99</v>
      </c>
      <c r="K1063" s="37" t="s">
        <v>498</v>
      </c>
      <c r="L1063" s="39" t="n">
        <v>132.51</v>
      </c>
      <c r="M1063" s="39" t="n">
        <v>94</v>
      </c>
      <c r="N1063" s="39" t="n">
        <f aca="false">J1063*Resumo!$C$7</f>
        <v>1.07998</v>
      </c>
      <c r="O1063" s="39" t="n">
        <f aca="false">J1063*Resumo!$C$8</f>
        <v>1.07998</v>
      </c>
      <c r="P1063" s="39" t="n">
        <f aca="false">Resumo!$C$10*CEILING(I1063/100,1)</f>
        <v>1</v>
      </c>
      <c r="Q1063" s="39" t="n">
        <f aca="false">Resumo!$C$9</f>
        <v>11.9</v>
      </c>
      <c r="R1063" s="39" t="n">
        <f aca="false">SUM(M1063:Q1063)*Resumo!$C$11</f>
        <v>5.9982978</v>
      </c>
      <c r="S1063" s="39" t="n">
        <f aca="false">SUM(M1063:R1063)</f>
        <v>115.0582578</v>
      </c>
      <c r="T1063" s="39" t="n">
        <f aca="false">S1063/(1-Resumo!$C$5)</f>
        <v>130.748020227273</v>
      </c>
      <c r="U1063" s="39" t="n">
        <v>114.95</v>
      </c>
      <c r="V1063" s="39" t="n">
        <f aca="false">J1063*Resumo!$B$6</f>
        <v>0.53999</v>
      </c>
      <c r="W1063" s="39" t="n">
        <f aca="false">J1063*Resumo!$B$7</f>
        <v>1.07998</v>
      </c>
      <c r="X1063" s="39" t="n">
        <f aca="false">Resumo!$B$9</f>
        <v>1</v>
      </c>
      <c r="Y1063" s="39" t="n">
        <f aca="false">Resumo!$B$10*CEILING(I1063/100,1)</f>
        <v>4.5</v>
      </c>
      <c r="Z1063" s="39" t="n">
        <f aca="false">Resumo!$B$12*CEILING(I1063,1)</f>
        <v>2.94</v>
      </c>
      <c r="AA1063" s="39" t="n">
        <f aca="false">Resumo!$B$13*CEILING(I1063,1)</f>
        <v>22.05</v>
      </c>
      <c r="AB1063" s="39" t="n">
        <f aca="false">SUM(U1063:AA1063)</f>
        <v>147.05997</v>
      </c>
      <c r="AC1063" s="39" t="n">
        <f aca="false">AB1063/(1-Resumo!$B$5)</f>
        <v>167.113602272727</v>
      </c>
      <c r="AD1063" s="39" t="n">
        <f aca="false">(AB1063-AA1063)/(1-Resumo!$B$5)</f>
        <v>142.056784090909</v>
      </c>
      <c r="AE1063" s="39" t="n">
        <f aca="false">AC1063-T1063</f>
        <v>36.3655820454545</v>
      </c>
      <c r="AF1063" s="40" t="n">
        <f aca="false">AC1063/T1063-1</f>
        <v>0.278134858044061</v>
      </c>
      <c r="AG1063" s="37" t="str">
        <f aca="false">IF(AC1063&lt;T1063,"SIM","NÃO")</f>
        <v>NÃO</v>
      </c>
      <c r="AH1063" s="37" t="n">
        <v>13</v>
      </c>
      <c r="AI1063" s="37" t="n">
        <v>7</v>
      </c>
      <c r="AJ1063" s="37" t="s">
        <v>323</v>
      </c>
    </row>
    <row r="1064" customFormat="false" ht="15" hidden="false" customHeight="false" outlineLevel="0" collapsed="false">
      <c r="A1064" s="37" t="n">
        <v>377051439</v>
      </c>
      <c r="B1064" s="38" t="n">
        <v>46249.7563888889</v>
      </c>
      <c r="C1064" s="37" t="s">
        <v>320</v>
      </c>
      <c r="D1064" s="37" t="s">
        <v>1334</v>
      </c>
      <c r="E1064" s="37" t="n">
        <v>25780000</v>
      </c>
      <c r="F1064" s="37" t="s">
        <v>213</v>
      </c>
      <c r="G1064" s="37" t="s">
        <v>201</v>
      </c>
      <c r="H1064" s="37" t="s">
        <v>167</v>
      </c>
      <c r="I1064" s="37" t="n">
        <v>19.5</v>
      </c>
      <c r="J1064" s="39" t="n">
        <v>379.99</v>
      </c>
      <c r="K1064" s="37" t="s">
        <v>498</v>
      </c>
      <c r="L1064" s="39" t="n">
        <v>81.99</v>
      </c>
      <c r="M1064" s="39" t="n">
        <v>52.71</v>
      </c>
      <c r="N1064" s="39" t="n">
        <f aca="false">J1064*Resumo!$C$7</f>
        <v>0.75998</v>
      </c>
      <c r="O1064" s="39" t="n">
        <f aca="false">J1064*Resumo!$C$8</f>
        <v>0.75998</v>
      </c>
      <c r="P1064" s="39" t="n">
        <f aca="false">Resumo!$C$10*CEILING(I1064/100,1)</f>
        <v>1</v>
      </c>
      <c r="Q1064" s="39" t="n">
        <f aca="false">Resumo!$C$9</f>
        <v>11.9</v>
      </c>
      <c r="R1064" s="39" t="n">
        <f aca="false">SUM(M1064:Q1064)*Resumo!$C$11</f>
        <v>3.6921478</v>
      </c>
      <c r="S1064" s="39" t="n">
        <f aca="false">SUM(M1064:R1064)</f>
        <v>70.8221078</v>
      </c>
      <c r="T1064" s="39" t="n">
        <f aca="false">S1064/(1-Resumo!$C$5)</f>
        <v>80.4796679545455</v>
      </c>
      <c r="U1064" s="39" t="n">
        <v>106.53</v>
      </c>
      <c r="V1064" s="39" t="n">
        <f aca="false">J1064*Resumo!$B$6</f>
        <v>0.37999</v>
      </c>
      <c r="W1064" s="39" t="n">
        <f aca="false">J1064*Resumo!$B$7</f>
        <v>0.75998</v>
      </c>
      <c r="X1064" s="39" t="n">
        <f aca="false">Resumo!$B$9</f>
        <v>1</v>
      </c>
      <c r="Y1064" s="39" t="n">
        <f aca="false">Resumo!$B$10*CEILING(I1064/100,1)</f>
        <v>4.5</v>
      </c>
      <c r="Z1064" s="39" t="n">
        <f aca="false">Resumo!$B$12*CEILING(I1064,1)</f>
        <v>1.2</v>
      </c>
      <c r="AA1064" s="39" t="n">
        <f aca="false">Resumo!$B$13*CEILING(I1064,1)</f>
        <v>9</v>
      </c>
      <c r="AB1064" s="39" t="n">
        <f aca="false">SUM(U1064:AA1064)</f>
        <v>123.36997</v>
      </c>
      <c r="AC1064" s="39" t="n">
        <f aca="false">AB1064/(1-Resumo!$B$5)</f>
        <v>140.193147727273</v>
      </c>
      <c r="AD1064" s="39" t="n">
        <f aca="false">(AB1064-AA1064)/(1-Resumo!$B$5)</f>
        <v>129.965875</v>
      </c>
      <c r="AE1064" s="39" t="n">
        <f aca="false">AC1064-T1064</f>
        <v>59.7134797727273</v>
      </c>
      <c r="AF1064" s="40" t="n">
        <f aca="false">AC1064/T1064-1</f>
        <v>0.741969758205926</v>
      </c>
      <c r="AG1064" s="37" t="str">
        <f aca="false">IF(AC1064&lt;T1064,"SIM","NÃO")</f>
        <v>NÃO</v>
      </c>
      <c r="AH1064" s="37" t="n">
        <v>13</v>
      </c>
      <c r="AI1064" s="37" t="n">
        <v>10</v>
      </c>
      <c r="AJ1064" s="37" t="s">
        <v>327</v>
      </c>
    </row>
    <row r="1065" customFormat="false" ht="15" hidden="false" customHeight="false" outlineLevel="0" collapsed="false">
      <c r="A1065" s="37" t="n">
        <v>377053372</v>
      </c>
      <c r="B1065" s="38" t="n">
        <v>46249.7598032407</v>
      </c>
      <c r="C1065" s="37" t="s">
        <v>320</v>
      </c>
      <c r="D1065" s="37" t="s">
        <v>1335</v>
      </c>
      <c r="E1065" s="37" t="n">
        <v>26176050</v>
      </c>
      <c r="F1065" s="37" t="s">
        <v>145</v>
      </c>
      <c r="G1065" s="37" t="s">
        <v>207</v>
      </c>
      <c r="H1065" s="37" t="s">
        <v>170</v>
      </c>
      <c r="I1065" s="37" t="n">
        <v>48</v>
      </c>
      <c r="J1065" s="39" t="n">
        <v>806.69</v>
      </c>
      <c r="K1065" s="37" t="s">
        <v>498</v>
      </c>
      <c r="L1065" s="39" t="n">
        <v>119.25</v>
      </c>
      <c r="M1065" s="39" t="n">
        <v>82.25</v>
      </c>
      <c r="N1065" s="39" t="n">
        <f aca="false">J1065*Resumo!$C$7</f>
        <v>1.61338</v>
      </c>
      <c r="O1065" s="39" t="n">
        <f aca="false">J1065*Resumo!$C$8</f>
        <v>1.61338</v>
      </c>
      <c r="P1065" s="39" t="n">
        <f aca="false">Resumo!$C$10*CEILING(I1065/100,1)</f>
        <v>1</v>
      </c>
      <c r="Q1065" s="39" t="n">
        <f aca="false">Resumo!$C$9</f>
        <v>11.9</v>
      </c>
      <c r="R1065" s="39" t="n">
        <f aca="false">SUM(M1065:Q1065)*Resumo!$C$11</f>
        <v>5.4107218</v>
      </c>
      <c r="S1065" s="39" t="n">
        <f aca="false">SUM(M1065:R1065)</f>
        <v>103.7874818</v>
      </c>
      <c r="T1065" s="39" t="n">
        <f aca="false">S1065/(1-Resumo!$C$5)</f>
        <v>117.940320227273</v>
      </c>
      <c r="U1065" s="39" t="n">
        <v>93.97</v>
      </c>
      <c r="V1065" s="39" t="n">
        <f aca="false">J1065*Resumo!$B$6</f>
        <v>0.80669</v>
      </c>
      <c r="W1065" s="39" t="n">
        <f aca="false">J1065*Resumo!$B$7</f>
        <v>1.61338</v>
      </c>
      <c r="X1065" s="39" t="n">
        <f aca="false">Resumo!$B$9</f>
        <v>1</v>
      </c>
      <c r="Y1065" s="39" t="n">
        <f aca="false">Resumo!$B$10*CEILING(I1065/100,1)</f>
        <v>4.5</v>
      </c>
      <c r="Z1065" s="39" t="n">
        <f aca="false">Resumo!$B$12*CEILING(I1065,1)</f>
        <v>2.88</v>
      </c>
      <c r="AA1065" s="39" t="n">
        <f aca="false">Resumo!$B$13*CEILING(I1065,1)</f>
        <v>21.6</v>
      </c>
      <c r="AB1065" s="39" t="n">
        <f aca="false">SUM(U1065:AA1065)</f>
        <v>126.37007</v>
      </c>
      <c r="AC1065" s="39" t="n">
        <f aca="false">AB1065/(1-Resumo!$B$5)</f>
        <v>143.602352272727</v>
      </c>
      <c r="AD1065" s="39" t="n">
        <f aca="false">(AB1065-AA1065)/(1-Resumo!$B$5)</f>
        <v>119.056897727273</v>
      </c>
      <c r="AE1065" s="39" t="n">
        <f aca="false">AC1065-T1065</f>
        <v>25.6620320454545</v>
      </c>
      <c r="AF1065" s="40" t="n">
        <f aca="false">AC1065/T1065-1</f>
        <v>0.217584893749681</v>
      </c>
      <c r="AG1065" s="37" t="str">
        <f aca="false">IF(AC1065&lt;T1065,"SIM","NÃO")</f>
        <v>NÃO</v>
      </c>
      <c r="AH1065" s="37" t="n">
        <v>10</v>
      </c>
      <c r="AI1065" s="37" t="n">
        <v>5</v>
      </c>
      <c r="AJ1065" s="37" t="s">
        <v>323</v>
      </c>
    </row>
    <row r="1066" customFormat="false" ht="15" hidden="false" customHeight="false" outlineLevel="0" collapsed="false">
      <c r="A1066" s="37" t="n">
        <v>377079923</v>
      </c>
      <c r="B1066" s="38" t="n">
        <v>46249.8114930556</v>
      </c>
      <c r="C1066" s="37" t="s">
        <v>320</v>
      </c>
      <c r="D1066" s="37" t="s">
        <v>1336</v>
      </c>
      <c r="E1066" s="37" t="n">
        <v>23027290</v>
      </c>
      <c r="F1066" s="37" t="s">
        <v>139</v>
      </c>
      <c r="G1066" s="37" t="s">
        <v>198</v>
      </c>
      <c r="H1066" s="37" t="s">
        <v>170</v>
      </c>
      <c r="I1066" s="37" t="n">
        <v>46.8</v>
      </c>
      <c r="J1066" s="39" t="n">
        <v>506.56</v>
      </c>
      <c r="K1066" s="37" t="s">
        <v>498</v>
      </c>
      <c r="L1066" s="39" t="n">
        <v>103.89</v>
      </c>
      <c r="M1066" s="39" t="n">
        <v>71</v>
      </c>
      <c r="N1066" s="39" t="n">
        <f aca="false">J1066*Resumo!$C$7</f>
        <v>1.01312</v>
      </c>
      <c r="O1066" s="39" t="n">
        <f aca="false">J1066*Resumo!$C$8</f>
        <v>1.01312</v>
      </c>
      <c r="P1066" s="39" t="n">
        <f aca="false">Resumo!$C$10*CEILING(I1066/100,1)</f>
        <v>1</v>
      </c>
      <c r="Q1066" s="39" t="n">
        <f aca="false">Resumo!$C$9</f>
        <v>11.9</v>
      </c>
      <c r="R1066" s="39" t="n">
        <f aca="false">SUM(M1066:Q1066)*Resumo!$C$11</f>
        <v>4.7259432</v>
      </c>
      <c r="S1066" s="39" t="n">
        <f aca="false">SUM(M1066:R1066)</f>
        <v>90.6521832</v>
      </c>
      <c r="T1066" s="39" t="n">
        <f aca="false">S1066/(1-Resumo!$C$5)</f>
        <v>103.013844545455</v>
      </c>
      <c r="U1066" s="39" t="n">
        <v>93.97</v>
      </c>
      <c r="V1066" s="39" t="n">
        <f aca="false">J1066*Resumo!$B$6</f>
        <v>0.50656</v>
      </c>
      <c r="W1066" s="39" t="n">
        <f aca="false">J1066*Resumo!$B$7</f>
        <v>1.01312</v>
      </c>
      <c r="X1066" s="39" t="n">
        <f aca="false">Resumo!$B$9</f>
        <v>1</v>
      </c>
      <c r="Y1066" s="39" t="n">
        <f aca="false">Resumo!$B$10*CEILING(I1066/100,1)</f>
        <v>4.5</v>
      </c>
      <c r="Z1066" s="39" t="n">
        <f aca="false">Resumo!$B$12*CEILING(I1066,1)</f>
        <v>2.82</v>
      </c>
      <c r="AA1066" s="39" t="n">
        <f aca="false">Resumo!$B$13*CEILING(I1066,1)</f>
        <v>21.15</v>
      </c>
      <c r="AB1066" s="39" t="n">
        <f aca="false">SUM(U1066:AA1066)</f>
        <v>124.95968</v>
      </c>
      <c r="AC1066" s="39" t="n">
        <f aca="false">AB1066/(1-Resumo!$B$5)</f>
        <v>141.999636363636</v>
      </c>
      <c r="AD1066" s="39" t="n">
        <f aca="false">(AB1066-AA1066)/(1-Resumo!$B$5)</f>
        <v>117.965545454545</v>
      </c>
      <c r="AE1066" s="39" t="n">
        <f aca="false">AC1066-T1066</f>
        <v>38.9857918181818</v>
      </c>
      <c r="AF1066" s="40" t="n">
        <f aca="false">AC1066/T1066-1</f>
        <v>0.378451964298638</v>
      </c>
      <c r="AG1066" s="37" t="str">
        <f aca="false">IF(AC1066&lt;T1066,"SIM","NÃO")</f>
        <v>NÃO</v>
      </c>
      <c r="AH1066" s="37" t="n">
        <v>8</v>
      </c>
      <c r="AI1066" s="37" t="n">
        <v>5</v>
      </c>
      <c r="AJ1066" s="37" t="s">
        <v>323</v>
      </c>
    </row>
    <row r="1067" customFormat="false" ht="15" hidden="false" customHeight="false" outlineLevel="0" collapsed="false">
      <c r="A1067" s="37" t="n">
        <v>377083577</v>
      </c>
      <c r="B1067" s="38" t="n">
        <v>46249.817962963</v>
      </c>
      <c r="C1067" s="37" t="s">
        <v>320</v>
      </c>
      <c r="D1067" s="37" t="s">
        <v>1337</v>
      </c>
      <c r="E1067" s="37" t="n">
        <v>20261063</v>
      </c>
      <c r="F1067" s="37" t="s">
        <v>139</v>
      </c>
      <c r="G1067" s="37" t="s">
        <v>198</v>
      </c>
      <c r="H1067" s="37" t="s">
        <v>175</v>
      </c>
      <c r="I1067" s="37" t="n">
        <v>116.6</v>
      </c>
      <c r="J1067" s="39" t="n">
        <v>1899.99</v>
      </c>
      <c r="K1067" s="37" t="s">
        <v>322</v>
      </c>
      <c r="L1067" s="39" t="n">
        <v>188.75</v>
      </c>
      <c r="M1067" s="39" t="n">
        <v>135.94</v>
      </c>
      <c r="N1067" s="39" t="n">
        <f aca="false">J1067*Resumo!$C$7</f>
        <v>3.79998</v>
      </c>
      <c r="O1067" s="39" t="n">
        <f aca="false">J1067*Resumo!$C$8</f>
        <v>3.79998</v>
      </c>
      <c r="P1067" s="39" t="n">
        <f aca="false">Resumo!$C$10*CEILING(I1067/100,1)</f>
        <v>2</v>
      </c>
      <c r="Q1067" s="39" t="n">
        <f aca="false">Resumo!$C$9</f>
        <v>11.9</v>
      </c>
      <c r="R1067" s="39" t="n">
        <f aca="false">SUM(M1067:Q1067)*Resumo!$C$11</f>
        <v>8.6591978</v>
      </c>
      <c r="S1067" s="39" t="n">
        <f aca="false">SUM(M1067:R1067)</f>
        <v>166.0991578</v>
      </c>
      <c r="T1067" s="39" t="n">
        <f aca="false">S1067/(1-Resumo!$C$5)</f>
        <v>188.749042954545</v>
      </c>
      <c r="U1067" s="39" t="n">
        <v>201.59</v>
      </c>
      <c r="V1067" s="39" t="n">
        <f aca="false">J1067*Resumo!$B$6</f>
        <v>1.89999</v>
      </c>
      <c r="W1067" s="39" t="n">
        <f aca="false">J1067*Resumo!$B$7</f>
        <v>3.79998</v>
      </c>
      <c r="X1067" s="39" t="n">
        <f aca="false">Resumo!$B$9</f>
        <v>1</v>
      </c>
      <c r="Y1067" s="39" t="n">
        <f aca="false">Resumo!$B$10*CEILING(I1067/100,1)</f>
        <v>9</v>
      </c>
      <c r="Z1067" s="39" t="n">
        <f aca="false">Resumo!$B$12*CEILING(I1067,1)</f>
        <v>7.02</v>
      </c>
      <c r="AA1067" s="39" t="n">
        <f aca="false">Resumo!$B$13*CEILING(I1067,1)</f>
        <v>52.65</v>
      </c>
      <c r="AB1067" s="39" t="n">
        <f aca="false">SUM(U1067:AA1067)</f>
        <v>276.95997</v>
      </c>
      <c r="AC1067" s="39" t="n">
        <f aca="false">AB1067/(1-Resumo!$B$5)</f>
        <v>314.727238636364</v>
      </c>
      <c r="AD1067" s="39" t="n">
        <f aca="false">(AB1067-AA1067)/(1-Resumo!$B$5)</f>
        <v>254.897693181818</v>
      </c>
      <c r="AE1067" s="39" t="n">
        <f aca="false">AC1067-T1067</f>
        <v>125.978195681818</v>
      </c>
      <c r="AF1067" s="40" t="n">
        <f aca="false">AC1067/T1067-1</f>
        <v>0.667437533509276</v>
      </c>
      <c r="AG1067" s="37" t="str">
        <f aca="false">IF(AC1067&lt;T1067,"SIM","NÃO")</f>
        <v>NÃO</v>
      </c>
      <c r="AH1067" s="37" t="n">
        <v>8</v>
      </c>
      <c r="AI1067" s="37" t="n">
        <v>5</v>
      </c>
      <c r="AJ1067" s="37" t="s">
        <v>323</v>
      </c>
    </row>
    <row r="1068" customFormat="false" ht="15" hidden="false" customHeight="false" outlineLevel="0" collapsed="false">
      <c r="A1068" s="37" t="n">
        <v>377085289</v>
      </c>
      <c r="B1068" s="38" t="n">
        <v>46249.821099537</v>
      </c>
      <c r="C1068" s="37" t="s">
        <v>320</v>
      </c>
      <c r="D1068" s="37" t="s">
        <v>1338</v>
      </c>
      <c r="E1068" s="37" t="n">
        <v>26050610</v>
      </c>
      <c r="F1068" s="37" t="s">
        <v>142</v>
      </c>
      <c r="G1068" s="37" t="s">
        <v>207</v>
      </c>
      <c r="H1068" s="37" t="s">
        <v>170</v>
      </c>
      <c r="I1068" s="37" t="n">
        <v>46.8</v>
      </c>
      <c r="J1068" s="39" t="n">
        <v>506.56</v>
      </c>
      <c r="K1068" s="37" t="s">
        <v>322</v>
      </c>
      <c r="L1068" s="39" t="n">
        <v>116.49</v>
      </c>
      <c r="M1068" s="39" t="n">
        <v>82.25</v>
      </c>
      <c r="N1068" s="39" t="n">
        <f aca="false">J1068*Resumo!$C$7</f>
        <v>1.01312</v>
      </c>
      <c r="O1068" s="39" t="n">
        <f aca="false">J1068*Resumo!$C$8</f>
        <v>1.01312</v>
      </c>
      <c r="P1068" s="39" t="n">
        <f aca="false">Resumo!$C$10*CEILING(I1068/100,1)</f>
        <v>1</v>
      </c>
      <c r="Q1068" s="39" t="n">
        <f aca="false">Resumo!$C$9</f>
        <v>11.9</v>
      </c>
      <c r="R1068" s="39" t="n">
        <f aca="false">SUM(M1068:Q1068)*Resumo!$C$11</f>
        <v>5.3446932</v>
      </c>
      <c r="S1068" s="39" t="n">
        <f aca="false">SUM(M1068:R1068)</f>
        <v>102.5209332</v>
      </c>
      <c r="T1068" s="39" t="n">
        <f aca="false">S1068/(1-Resumo!$C$5)</f>
        <v>116.501060454545</v>
      </c>
      <c r="U1068" s="39" t="n">
        <v>93.97</v>
      </c>
      <c r="V1068" s="39" t="n">
        <f aca="false">J1068*Resumo!$B$6</f>
        <v>0.50656</v>
      </c>
      <c r="W1068" s="39" t="n">
        <f aca="false">J1068*Resumo!$B$7</f>
        <v>1.01312</v>
      </c>
      <c r="X1068" s="39" t="n">
        <f aca="false">Resumo!$B$9</f>
        <v>1</v>
      </c>
      <c r="Y1068" s="39" t="n">
        <f aca="false">Resumo!$B$10*CEILING(I1068/100,1)</f>
        <v>4.5</v>
      </c>
      <c r="Z1068" s="39" t="n">
        <f aca="false">Resumo!$B$12*CEILING(I1068,1)</f>
        <v>2.82</v>
      </c>
      <c r="AA1068" s="39" t="n">
        <f aca="false">Resumo!$B$13*CEILING(I1068,1)</f>
        <v>21.15</v>
      </c>
      <c r="AB1068" s="39" t="n">
        <f aca="false">SUM(U1068:AA1068)</f>
        <v>124.95968</v>
      </c>
      <c r="AC1068" s="39" t="n">
        <f aca="false">AB1068/(1-Resumo!$B$5)</f>
        <v>141.999636363636</v>
      </c>
      <c r="AD1068" s="39" t="n">
        <f aca="false">(AB1068-AA1068)/(1-Resumo!$B$5)</f>
        <v>117.965545454545</v>
      </c>
      <c r="AE1068" s="39" t="n">
        <f aca="false">AC1068-T1068</f>
        <v>25.4985759090909</v>
      </c>
      <c r="AF1068" s="40" t="n">
        <f aca="false">AC1068/T1068-1</f>
        <v>0.218869903927094</v>
      </c>
      <c r="AG1068" s="37" t="str">
        <f aca="false">IF(AC1068&lt;T1068,"SIM","NÃO")</f>
        <v>NÃO</v>
      </c>
      <c r="AH1068" s="37" t="n">
        <v>10</v>
      </c>
      <c r="AI1068" s="37" t="n">
        <v>5</v>
      </c>
      <c r="AJ1068" s="37" t="s">
        <v>323</v>
      </c>
    </row>
    <row r="1069" customFormat="false" ht="15" hidden="false" customHeight="false" outlineLevel="0" collapsed="false">
      <c r="A1069" s="37" t="n">
        <v>377102944</v>
      </c>
      <c r="B1069" s="38" t="n">
        <v>46249.8334259259</v>
      </c>
      <c r="C1069" s="37" t="s">
        <v>517</v>
      </c>
      <c r="D1069" s="37" t="s">
        <v>1223</v>
      </c>
      <c r="E1069" s="37" t="n">
        <v>20550220</v>
      </c>
      <c r="F1069" s="37" t="s">
        <v>139</v>
      </c>
      <c r="G1069" s="37" t="s">
        <v>198</v>
      </c>
      <c r="H1069" s="37" t="s">
        <v>170</v>
      </c>
      <c r="I1069" s="37" t="n">
        <v>49.6</v>
      </c>
      <c r="J1069" s="39" t="n">
        <v>649.78</v>
      </c>
      <c r="K1069" s="37" t="s">
        <v>322</v>
      </c>
      <c r="L1069" s="39" t="n">
        <v>103.7</v>
      </c>
      <c r="M1069" s="39" t="n">
        <v>71</v>
      </c>
      <c r="N1069" s="39" t="n">
        <f aca="false">J1069*Resumo!$C$7</f>
        <v>1.29956</v>
      </c>
      <c r="O1069" s="39" t="n">
        <f aca="false">J1069*Resumo!$C$8</f>
        <v>1.29956</v>
      </c>
      <c r="P1069" s="39" t="n">
        <f aca="false">Resumo!$C$10*CEILING(I1069/100,1)</f>
        <v>1</v>
      </c>
      <c r="Q1069" s="39" t="n">
        <f aca="false">Resumo!$C$9</f>
        <v>11.9</v>
      </c>
      <c r="R1069" s="39" t="n">
        <f aca="false">SUM(M1069:Q1069)*Resumo!$C$11</f>
        <v>4.7574516</v>
      </c>
      <c r="S1069" s="39" t="n">
        <f aca="false">SUM(M1069:R1069)</f>
        <v>91.2565716</v>
      </c>
      <c r="T1069" s="39" t="n">
        <f aca="false">S1069/(1-Resumo!$C$5)</f>
        <v>103.700649545455</v>
      </c>
      <c r="U1069" s="39" t="n">
        <v>93.97</v>
      </c>
      <c r="V1069" s="39" t="n">
        <f aca="false">J1069*Resumo!$B$6</f>
        <v>0.64978</v>
      </c>
      <c r="W1069" s="39" t="n">
        <f aca="false">J1069*Resumo!$B$7</f>
        <v>1.29956</v>
      </c>
      <c r="X1069" s="39" t="n">
        <f aca="false">Resumo!$B$9</f>
        <v>1</v>
      </c>
      <c r="Y1069" s="39" t="n">
        <f aca="false">Resumo!$B$10*CEILING(I1069/100,1)</f>
        <v>4.5</v>
      </c>
      <c r="Z1069" s="39" t="n">
        <f aca="false">Resumo!$B$12*CEILING(I1069,1)</f>
        <v>3</v>
      </c>
      <c r="AA1069" s="39" t="n">
        <f aca="false">Resumo!$B$13*CEILING(I1069,1)</f>
        <v>22.5</v>
      </c>
      <c r="AB1069" s="39" t="n">
        <f aca="false">SUM(U1069:AA1069)</f>
        <v>126.91934</v>
      </c>
      <c r="AC1069" s="39" t="n">
        <f aca="false">AB1069/(1-Resumo!$B$5)</f>
        <v>144.226522727273</v>
      </c>
      <c r="AD1069" s="39" t="n">
        <f aca="false">(AB1069-AA1069)/(1-Resumo!$B$5)</f>
        <v>118.658340909091</v>
      </c>
      <c r="AE1069" s="39" t="n">
        <f aca="false">AC1069-T1069</f>
        <v>40.5258731818182</v>
      </c>
      <c r="AF1069" s="40" t="n">
        <f aca="false">AC1069/T1069-1</f>
        <v>0.390796714962279</v>
      </c>
      <c r="AG1069" s="37" t="str">
        <f aca="false">IF(AC1069&lt;T1069,"SIM","NÃO")</f>
        <v>NÃO</v>
      </c>
      <c r="AH1069" s="37" t="n">
        <v>8</v>
      </c>
      <c r="AI1069" s="37" t="n">
        <v>5</v>
      </c>
      <c r="AJ1069" s="37" t="s">
        <v>323</v>
      </c>
    </row>
    <row r="1070" customFormat="false" ht="15" hidden="false" customHeight="false" outlineLevel="0" collapsed="false">
      <c r="A1070" s="37" t="n">
        <v>377101906</v>
      </c>
      <c r="B1070" s="38" t="n">
        <v>46249.8506828704</v>
      </c>
      <c r="C1070" s="37" t="s">
        <v>325</v>
      </c>
      <c r="D1070" s="37" t="s">
        <v>1339</v>
      </c>
      <c r="E1070" s="37" t="n">
        <v>25650490</v>
      </c>
      <c r="F1070" s="37" t="s">
        <v>150</v>
      </c>
      <c r="G1070" s="37" t="s">
        <v>201</v>
      </c>
      <c r="H1070" s="37" t="s">
        <v>168</v>
      </c>
      <c r="I1070" s="37" t="n">
        <v>33.21</v>
      </c>
      <c r="J1070" s="39" t="n">
        <v>377.97</v>
      </c>
      <c r="K1070" s="37" t="s">
        <v>498</v>
      </c>
      <c r="L1070" s="39" t="n">
        <v>110.35</v>
      </c>
      <c r="M1070" s="39" t="n">
        <v>76.5</v>
      </c>
      <c r="N1070" s="39" t="n">
        <f aca="false">J1070*Resumo!$C$7</f>
        <v>0.75594</v>
      </c>
      <c r="O1070" s="39" t="n">
        <f aca="false">J1070*Resumo!$C$8</f>
        <v>0.75594</v>
      </c>
      <c r="P1070" s="39" t="n">
        <f aca="false">Resumo!$C$10*CEILING(I1070/100,1)</f>
        <v>1</v>
      </c>
      <c r="Q1070" s="39" t="n">
        <f aca="false">Resumo!$C$9</f>
        <v>11.9</v>
      </c>
      <c r="R1070" s="39" t="n">
        <f aca="false">SUM(M1070:Q1070)*Resumo!$C$11</f>
        <v>5.0001534</v>
      </c>
      <c r="S1070" s="39" t="n">
        <f aca="false">SUM(M1070:R1070)</f>
        <v>95.9120334</v>
      </c>
      <c r="T1070" s="39" t="n">
        <f aca="false">S1070/(1-Resumo!$C$5)</f>
        <v>108.990947045455</v>
      </c>
      <c r="U1070" s="39" t="n">
        <v>108.83</v>
      </c>
      <c r="V1070" s="39" t="n">
        <f aca="false">J1070*Resumo!$B$6</f>
        <v>0.37797</v>
      </c>
      <c r="W1070" s="39" t="n">
        <f aca="false">J1070*Resumo!$B$7</f>
        <v>0.75594</v>
      </c>
      <c r="X1070" s="39" t="n">
        <f aca="false">Resumo!$B$9</f>
        <v>1</v>
      </c>
      <c r="Y1070" s="39" t="n">
        <f aca="false">Resumo!$B$10*CEILING(I1070/100,1)</f>
        <v>4.5</v>
      </c>
      <c r="Z1070" s="39" t="n">
        <f aca="false">Resumo!$B$12*CEILING(I1070,1)</f>
        <v>2.04</v>
      </c>
      <c r="AA1070" s="39" t="n">
        <f aca="false">Resumo!$B$13*CEILING(I1070,1)</f>
        <v>15.3</v>
      </c>
      <c r="AB1070" s="39" t="n">
        <f aca="false">SUM(U1070:AA1070)</f>
        <v>132.80391</v>
      </c>
      <c r="AC1070" s="39" t="n">
        <f aca="false">AB1070/(1-Resumo!$B$5)</f>
        <v>150.913534090909</v>
      </c>
      <c r="AD1070" s="39" t="n">
        <f aca="false">(AB1070-AA1070)/(1-Resumo!$B$5)</f>
        <v>133.527170454545</v>
      </c>
      <c r="AE1070" s="39" t="n">
        <f aca="false">AC1070-T1070</f>
        <v>41.9225870454545</v>
      </c>
      <c r="AF1070" s="40" t="n">
        <f aca="false">AC1070/T1070-1</f>
        <v>0.384642836693315</v>
      </c>
      <c r="AG1070" s="37" t="str">
        <f aca="false">IF(AC1070&lt;T1070,"SIM","NÃO")</f>
        <v>NÃO</v>
      </c>
      <c r="AH1070" s="37" t="n">
        <v>13</v>
      </c>
      <c r="AI1070" s="37" t="n">
        <v>8</v>
      </c>
      <c r="AJ1070" s="37" t="s">
        <v>323</v>
      </c>
    </row>
    <row r="1071" customFormat="false" ht="15" hidden="false" customHeight="false" outlineLevel="0" collapsed="false">
      <c r="A1071" s="37" t="n">
        <v>377120470</v>
      </c>
      <c r="B1071" s="38" t="n">
        <v>46249.8873032407</v>
      </c>
      <c r="C1071" s="37" t="s">
        <v>325</v>
      </c>
      <c r="D1071" s="37" t="s">
        <v>1340</v>
      </c>
      <c r="E1071" s="37" t="n">
        <v>22713570</v>
      </c>
      <c r="F1071" s="37" t="s">
        <v>139</v>
      </c>
      <c r="G1071" s="37" t="s">
        <v>198</v>
      </c>
      <c r="H1071" s="37" t="s">
        <v>176</v>
      </c>
      <c r="I1071" s="37" t="n">
        <v>124.2</v>
      </c>
      <c r="J1071" s="39" t="n">
        <v>1749.98</v>
      </c>
      <c r="K1071" s="37" t="s">
        <v>322</v>
      </c>
      <c r="L1071" s="39" t="n">
        <v>234.68</v>
      </c>
      <c r="M1071" s="39" t="n">
        <v>174.85</v>
      </c>
      <c r="N1071" s="39" t="n">
        <f aca="false">J1071*Resumo!$C$7</f>
        <v>3.49996</v>
      </c>
      <c r="O1071" s="39" t="n">
        <f aca="false">J1071*Resumo!$C$8</f>
        <v>3.49996</v>
      </c>
      <c r="P1071" s="39" t="n">
        <f aca="false">Resumo!$C$10*CEILING(I1071/100,1)</f>
        <v>2</v>
      </c>
      <c r="Q1071" s="39" t="n">
        <f aca="false">Resumo!$C$9</f>
        <v>11.9</v>
      </c>
      <c r="R1071" s="39" t="n">
        <f aca="false">SUM(M1071:Q1071)*Resumo!$C$11</f>
        <v>10.7662456</v>
      </c>
      <c r="S1071" s="39" t="n">
        <f aca="false">SUM(M1071:R1071)</f>
        <v>206.5161656</v>
      </c>
      <c r="T1071" s="39" t="n">
        <f aca="false">S1071/(1-Resumo!$C$5)</f>
        <v>234.677460909091</v>
      </c>
      <c r="U1071" s="39" t="n">
        <v>239.25</v>
      </c>
      <c r="V1071" s="39" t="n">
        <f aca="false">J1071*Resumo!$B$6</f>
        <v>1.74998</v>
      </c>
      <c r="W1071" s="39" t="n">
        <f aca="false">J1071*Resumo!$B$7</f>
        <v>3.49996</v>
      </c>
      <c r="X1071" s="39" t="n">
        <f aca="false">Resumo!$B$9</f>
        <v>1</v>
      </c>
      <c r="Y1071" s="39" t="n">
        <f aca="false">Resumo!$B$10*CEILING(I1071/100,1)</f>
        <v>9</v>
      </c>
      <c r="Z1071" s="39" t="n">
        <f aca="false">Resumo!$B$12*CEILING(I1071,1)</f>
        <v>7.5</v>
      </c>
      <c r="AA1071" s="39" t="n">
        <f aca="false">Resumo!$B$13*CEILING(I1071,1)</f>
        <v>56.25</v>
      </c>
      <c r="AB1071" s="39" t="n">
        <f aca="false">SUM(U1071:AA1071)</f>
        <v>318.24994</v>
      </c>
      <c r="AC1071" s="39" t="n">
        <f aca="false">AB1071/(1-Resumo!$B$5)</f>
        <v>361.647659090909</v>
      </c>
      <c r="AD1071" s="39" t="n">
        <f aca="false">(AB1071-AA1071)/(1-Resumo!$B$5)</f>
        <v>297.727204545455</v>
      </c>
      <c r="AE1071" s="39" t="n">
        <f aca="false">AC1071-T1071</f>
        <v>126.970198181818</v>
      </c>
      <c r="AF1071" s="40" t="n">
        <f aca="false">AC1071/T1071-1</f>
        <v>0.541041298512275</v>
      </c>
      <c r="AG1071" s="37" t="str">
        <f aca="false">IF(AC1071&lt;T1071,"SIM","NÃO")</f>
        <v>NÃO</v>
      </c>
      <c r="AH1071" s="37" t="n">
        <v>8</v>
      </c>
      <c r="AI1071" s="37" t="n">
        <v>5</v>
      </c>
      <c r="AJ1071" s="37" t="s">
        <v>323</v>
      </c>
    </row>
    <row r="1072" customFormat="false" ht="15" hidden="false" customHeight="false" outlineLevel="0" collapsed="false">
      <c r="A1072" s="37" t="n">
        <v>377126631</v>
      </c>
      <c r="B1072" s="38" t="n">
        <v>46249.8963657407</v>
      </c>
      <c r="C1072" s="37" t="s">
        <v>325</v>
      </c>
      <c r="D1072" s="37" t="s">
        <v>1341</v>
      </c>
      <c r="E1072" s="37" t="n">
        <v>26130230</v>
      </c>
      <c r="F1072" s="37" t="s">
        <v>145</v>
      </c>
      <c r="G1072" s="37" t="s">
        <v>207</v>
      </c>
      <c r="H1072" s="37" t="s">
        <v>171</v>
      </c>
      <c r="I1072" s="37" t="n">
        <v>52.3</v>
      </c>
      <c r="J1072" s="39" t="n">
        <v>630</v>
      </c>
      <c r="K1072" s="37" t="s">
        <v>498</v>
      </c>
      <c r="L1072" s="39" t="n">
        <v>127.35</v>
      </c>
      <c r="M1072" s="39" t="n">
        <v>91.6</v>
      </c>
      <c r="N1072" s="39" t="n">
        <f aca="false">J1072*Resumo!$C$7</f>
        <v>1.26</v>
      </c>
      <c r="O1072" s="39" t="n">
        <f aca="false">J1072*Resumo!$C$8</f>
        <v>1.26</v>
      </c>
      <c r="P1072" s="39" t="n">
        <f aca="false">Resumo!$C$10*CEILING(I1072/100,1)</f>
        <v>1</v>
      </c>
      <c r="Q1072" s="39" t="n">
        <f aca="false">Resumo!$C$9</f>
        <v>11.9</v>
      </c>
      <c r="R1072" s="39" t="n">
        <f aca="false">SUM(M1072:Q1072)*Resumo!$C$11</f>
        <v>5.8861</v>
      </c>
      <c r="S1072" s="39" t="n">
        <f aca="false">SUM(M1072:R1072)</f>
        <v>112.9061</v>
      </c>
      <c r="T1072" s="39" t="n">
        <f aca="false">S1072/(1-Resumo!$C$5)</f>
        <v>128.302386363636</v>
      </c>
      <c r="U1072" s="39" t="n">
        <v>112.3</v>
      </c>
      <c r="V1072" s="39" t="n">
        <f aca="false">J1072*Resumo!$B$6</f>
        <v>0.63</v>
      </c>
      <c r="W1072" s="39" t="n">
        <f aca="false">J1072*Resumo!$B$7</f>
        <v>1.26</v>
      </c>
      <c r="X1072" s="39" t="n">
        <f aca="false">Resumo!$B$9</f>
        <v>1</v>
      </c>
      <c r="Y1072" s="39" t="n">
        <f aca="false">Resumo!$B$10*CEILING(I1072/100,1)</f>
        <v>4.5</v>
      </c>
      <c r="Z1072" s="39" t="n">
        <f aca="false">Resumo!$B$12*CEILING(I1072,1)</f>
        <v>3.18</v>
      </c>
      <c r="AA1072" s="39" t="n">
        <f aca="false">Resumo!$B$13*CEILING(I1072,1)</f>
        <v>23.85</v>
      </c>
      <c r="AB1072" s="39" t="n">
        <f aca="false">SUM(U1072:AA1072)</f>
        <v>146.72</v>
      </c>
      <c r="AC1072" s="39" t="n">
        <f aca="false">AB1072/(1-Resumo!$B$5)</f>
        <v>166.727272727273</v>
      </c>
      <c r="AD1072" s="39" t="n">
        <f aca="false">(AB1072-AA1072)/(1-Resumo!$B$5)</f>
        <v>139.625</v>
      </c>
      <c r="AE1072" s="39" t="n">
        <f aca="false">AC1072-T1072</f>
        <v>38.4248863636364</v>
      </c>
      <c r="AF1072" s="40" t="n">
        <f aca="false">AC1072/T1072-1</f>
        <v>0.299486918775868</v>
      </c>
      <c r="AG1072" s="37" t="str">
        <f aca="false">IF(AC1072&lt;T1072,"SIM","NÃO")</f>
        <v>NÃO</v>
      </c>
      <c r="AH1072" s="37" t="n">
        <v>10</v>
      </c>
      <c r="AI1072" s="37" t="n">
        <v>5</v>
      </c>
      <c r="AJ1072" s="37" t="s">
        <v>323</v>
      </c>
    </row>
    <row r="1073" customFormat="false" ht="15" hidden="false" customHeight="false" outlineLevel="0" collapsed="false">
      <c r="A1073" s="37" t="n">
        <v>377154301</v>
      </c>
      <c r="B1073" s="38" t="n">
        <v>46249.9426273148</v>
      </c>
      <c r="C1073" s="37" t="s">
        <v>320</v>
      </c>
      <c r="D1073" s="37" t="s">
        <v>1342</v>
      </c>
      <c r="E1073" s="37" t="n">
        <v>25565430</v>
      </c>
      <c r="F1073" s="37" t="s">
        <v>147</v>
      </c>
      <c r="G1073" s="37" t="s">
        <v>207</v>
      </c>
      <c r="H1073" s="37" t="s">
        <v>172</v>
      </c>
      <c r="I1073" s="37" t="n">
        <v>63.9</v>
      </c>
      <c r="J1073" s="39" t="n">
        <v>730.98</v>
      </c>
      <c r="K1073" s="37" t="s">
        <v>498</v>
      </c>
      <c r="L1073" s="39" t="n">
        <v>139.81</v>
      </c>
      <c r="M1073" s="39" t="n">
        <v>100.9</v>
      </c>
      <c r="N1073" s="39" t="n">
        <f aca="false">J1073*Resumo!$C$7</f>
        <v>1.46196</v>
      </c>
      <c r="O1073" s="39" t="n">
        <f aca="false">J1073*Resumo!$C$8</f>
        <v>1.46196</v>
      </c>
      <c r="P1073" s="39" t="n">
        <f aca="false">Resumo!$C$10*CEILING(I1073/100,1)</f>
        <v>1</v>
      </c>
      <c r="Q1073" s="39" t="n">
        <f aca="false">Resumo!$C$9</f>
        <v>11.9</v>
      </c>
      <c r="R1073" s="39" t="n">
        <f aca="false">SUM(M1073:Q1073)*Resumo!$C$11</f>
        <v>6.4198156</v>
      </c>
      <c r="S1073" s="39" t="n">
        <f aca="false">SUM(M1073:R1073)</f>
        <v>123.1437356</v>
      </c>
      <c r="T1073" s="39" t="n">
        <f aca="false">S1073/(1-Resumo!$C$5)</f>
        <v>139.936063181818</v>
      </c>
      <c r="U1073" s="39" t="n">
        <v>131.02</v>
      </c>
      <c r="V1073" s="39" t="n">
        <f aca="false">J1073*Resumo!$B$6</f>
        <v>0.73098</v>
      </c>
      <c r="W1073" s="39" t="n">
        <f aca="false">J1073*Resumo!$B$7</f>
        <v>1.46196</v>
      </c>
      <c r="X1073" s="39" t="n">
        <f aca="false">Resumo!$B$9</f>
        <v>1</v>
      </c>
      <c r="Y1073" s="39" t="n">
        <f aca="false">Resumo!$B$10*CEILING(I1073/100,1)</f>
        <v>4.5</v>
      </c>
      <c r="Z1073" s="39" t="n">
        <f aca="false">Resumo!$B$12*CEILING(I1073,1)</f>
        <v>3.84</v>
      </c>
      <c r="AA1073" s="39" t="n">
        <f aca="false">Resumo!$B$13*CEILING(I1073,1)</f>
        <v>28.8</v>
      </c>
      <c r="AB1073" s="39" t="n">
        <f aca="false">SUM(U1073:AA1073)</f>
        <v>171.35294</v>
      </c>
      <c r="AC1073" s="39" t="n">
        <f aca="false">AB1073/(1-Resumo!$B$5)</f>
        <v>194.71925</v>
      </c>
      <c r="AD1073" s="39" t="n">
        <f aca="false">(AB1073-AA1073)/(1-Resumo!$B$5)</f>
        <v>161.991977272727</v>
      </c>
      <c r="AE1073" s="39" t="n">
        <f aca="false">AC1073-T1073</f>
        <v>54.7831868181818</v>
      </c>
      <c r="AF1073" s="40" t="n">
        <f aca="false">AC1073/T1073-1</f>
        <v>0.391487266202439</v>
      </c>
      <c r="AG1073" s="37" t="str">
        <f aca="false">IF(AC1073&lt;T1073,"SIM","NÃO")</f>
        <v>NÃO</v>
      </c>
      <c r="AH1073" s="37" t="n">
        <v>10</v>
      </c>
      <c r="AI1073" s="37" t="n">
        <v>5</v>
      </c>
      <c r="AJ1073" s="37" t="s">
        <v>323</v>
      </c>
    </row>
    <row r="1074" customFormat="false" ht="15" hidden="false" customHeight="false" outlineLevel="0" collapsed="false">
      <c r="A1074" s="37" t="n">
        <v>377190211</v>
      </c>
      <c r="B1074" s="38" t="n">
        <v>46250.0084259259</v>
      </c>
      <c r="C1074" s="37" t="s">
        <v>320</v>
      </c>
      <c r="D1074" s="37" t="s">
        <v>1343</v>
      </c>
      <c r="E1074" s="37" t="n">
        <v>22743040</v>
      </c>
      <c r="F1074" s="37" t="s">
        <v>139</v>
      </c>
      <c r="G1074" s="37" t="s">
        <v>198</v>
      </c>
      <c r="H1074" s="37" t="s">
        <v>171</v>
      </c>
      <c r="I1074" s="37" t="n">
        <v>52.3</v>
      </c>
      <c r="J1074" s="39" t="n">
        <v>699.99</v>
      </c>
      <c r="K1074" s="37" t="s">
        <v>322</v>
      </c>
      <c r="L1074" s="39" t="n">
        <v>114.5</v>
      </c>
      <c r="M1074" s="39" t="n">
        <v>79.81</v>
      </c>
      <c r="N1074" s="39" t="n">
        <f aca="false">J1074*Resumo!$C$7</f>
        <v>1.39998</v>
      </c>
      <c r="O1074" s="39" t="n">
        <f aca="false">J1074*Resumo!$C$8</f>
        <v>1.39998</v>
      </c>
      <c r="P1074" s="39" t="n">
        <f aca="false">Resumo!$C$10*CEILING(I1074/100,1)</f>
        <v>1</v>
      </c>
      <c r="Q1074" s="39" t="n">
        <f aca="false">Resumo!$C$9</f>
        <v>11.9</v>
      </c>
      <c r="R1074" s="39" t="n">
        <f aca="false">SUM(M1074:Q1074)*Resumo!$C$11</f>
        <v>5.2530478</v>
      </c>
      <c r="S1074" s="39" t="n">
        <f aca="false">SUM(M1074:R1074)</f>
        <v>100.7630078</v>
      </c>
      <c r="T1074" s="39" t="n">
        <f aca="false">S1074/(1-Resumo!$C$5)</f>
        <v>114.503417954545</v>
      </c>
      <c r="U1074" s="39" t="n">
        <v>112.3</v>
      </c>
      <c r="V1074" s="39" t="n">
        <f aca="false">J1074*Resumo!$B$6</f>
        <v>0.69999</v>
      </c>
      <c r="W1074" s="39" t="n">
        <f aca="false">J1074*Resumo!$B$7</f>
        <v>1.39998</v>
      </c>
      <c r="X1074" s="39" t="n">
        <f aca="false">Resumo!$B$9</f>
        <v>1</v>
      </c>
      <c r="Y1074" s="39" t="n">
        <f aca="false">Resumo!$B$10*CEILING(I1074/100,1)</f>
        <v>4.5</v>
      </c>
      <c r="Z1074" s="39" t="n">
        <f aca="false">Resumo!$B$12*CEILING(I1074,1)</f>
        <v>3.18</v>
      </c>
      <c r="AA1074" s="39" t="n">
        <f aca="false">Resumo!$B$13*CEILING(I1074,1)</f>
        <v>23.85</v>
      </c>
      <c r="AB1074" s="39" t="n">
        <f aca="false">SUM(U1074:AA1074)</f>
        <v>146.92997</v>
      </c>
      <c r="AC1074" s="39" t="n">
        <f aca="false">AB1074/(1-Resumo!$B$5)</f>
        <v>166.965875</v>
      </c>
      <c r="AD1074" s="39" t="n">
        <f aca="false">(AB1074-AA1074)/(1-Resumo!$B$5)</f>
        <v>139.863602272727</v>
      </c>
      <c r="AE1074" s="39" t="n">
        <f aca="false">AC1074-T1074</f>
        <v>52.4624570454545</v>
      </c>
      <c r="AF1074" s="40" t="n">
        <f aca="false">AC1074/T1074-1</f>
        <v>0.458173720772952</v>
      </c>
      <c r="AG1074" s="37" t="str">
        <f aca="false">IF(AC1074&lt;T1074,"SIM","NÃO")</f>
        <v>NÃO</v>
      </c>
      <c r="AH1074" s="37" t="n">
        <v>8</v>
      </c>
      <c r="AI1074" s="37" t="n">
        <v>5</v>
      </c>
      <c r="AJ1074" s="37" t="s">
        <v>323</v>
      </c>
    </row>
    <row r="1075" customFormat="false" ht="15" hidden="false" customHeight="false" outlineLevel="0" collapsed="false">
      <c r="A1075" s="37" t="n">
        <v>377193013</v>
      </c>
      <c r="B1075" s="38" t="n">
        <v>46250.0137037037</v>
      </c>
      <c r="C1075" s="37" t="s">
        <v>320</v>
      </c>
      <c r="D1075" s="37" t="s">
        <v>1344</v>
      </c>
      <c r="E1075" s="37" t="n">
        <v>23097692</v>
      </c>
      <c r="F1075" s="37" t="s">
        <v>139</v>
      </c>
      <c r="G1075" s="37" t="s">
        <v>198</v>
      </c>
      <c r="H1075" s="37" t="s">
        <v>167</v>
      </c>
      <c r="I1075" s="37" t="n">
        <v>17.2</v>
      </c>
      <c r="J1075" s="39" t="n">
        <v>223.34</v>
      </c>
      <c r="K1075" s="37" t="s">
        <v>498</v>
      </c>
      <c r="L1075" s="39" t="n">
        <v>64.84</v>
      </c>
      <c r="M1075" s="39" t="n">
        <v>39.83</v>
      </c>
      <c r="N1075" s="39" t="n">
        <f aca="false">J1075*Resumo!$C$7</f>
        <v>0.44668</v>
      </c>
      <c r="O1075" s="39" t="n">
        <f aca="false">J1075*Resumo!$C$8</f>
        <v>0.44668</v>
      </c>
      <c r="P1075" s="39" t="n">
        <f aca="false">Resumo!$C$10*CEILING(I1075/100,1)</f>
        <v>1</v>
      </c>
      <c r="Q1075" s="39" t="n">
        <f aca="false">Resumo!$C$9</f>
        <v>11.9</v>
      </c>
      <c r="R1075" s="39" t="n">
        <f aca="false">SUM(M1075:Q1075)*Resumo!$C$11</f>
        <v>2.9492848</v>
      </c>
      <c r="S1075" s="39" t="n">
        <f aca="false">SUM(M1075:R1075)</f>
        <v>56.5726448</v>
      </c>
      <c r="T1075" s="39" t="n">
        <f aca="false">S1075/(1-Resumo!$C$5)</f>
        <v>64.2870963636364</v>
      </c>
      <c r="U1075" s="39" t="n">
        <v>46.98</v>
      </c>
      <c r="V1075" s="39" t="n">
        <f aca="false">J1075*Resumo!$B$6</f>
        <v>0.22334</v>
      </c>
      <c r="W1075" s="39" t="n">
        <f aca="false">J1075*Resumo!$B$7</f>
        <v>0.44668</v>
      </c>
      <c r="X1075" s="39" t="n">
        <f aca="false">Resumo!$B$9</f>
        <v>1</v>
      </c>
      <c r="Y1075" s="39" t="n">
        <f aca="false">Resumo!$B$10*CEILING(I1075/100,1)</f>
        <v>4.5</v>
      </c>
      <c r="Z1075" s="39" t="n">
        <f aca="false">Resumo!$B$12*CEILING(I1075,1)</f>
        <v>1.08</v>
      </c>
      <c r="AA1075" s="39" t="n">
        <f aca="false">Resumo!$B$13*CEILING(I1075,1)</f>
        <v>8.1</v>
      </c>
      <c r="AB1075" s="39" t="n">
        <f aca="false">SUM(U1075:AA1075)</f>
        <v>62.33002</v>
      </c>
      <c r="AC1075" s="39" t="n">
        <f aca="false">AB1075/(1-Resumo!$B$5)</f>
        <v>70.8295681818182</v>
      </c>
      <c r="AD1075" s="39" t="n">
        <f aca="false">(AB1075-AA1075)/(1-Resumo!$B$5)</f>
        <v>61.6250227272727</v>
      </c>
      <c r="AE1075" s="39" t="n">
        <f aca="false">AC1075-T1075</f>
        <v>6.54247181818181</v>
      </c>
      <c r="AF1075" s="40" t="n">
        <f aca="false">AC1075/T1075-1</f>
        <v>0.101769595894869</v>
      </c>
      <c r="AG1075" s="37" t="str">
        <f aca="false">IF(AC1075&lt;T1075,"SIM","NÃO")</f>
        <v>NÃO</v>
      </c>
      <c r="AH1075" s="37" t="n">
        <v>8</v>
      </c>
      <c r="AI1075" s="37" t="n">
        <v>5</v>
      </c>
      <c r="AJ1075" s="37" t="s">
        <v>323</v>
      </c>
    </row>
    <row r="1076" customFormat="false" ht="15" hidden="false" customHeight="false" outlineLevel="0" collapsed="false">
      <c r="A1076" s="37" t="n">
        <v>377209137</v>
      </c>
      <c r="B1076" s="38" t="n">
        <v>46250.0447569444</v>
      </c>
      <c r="C1076" s="37" t="s">
        <v>320</v>
      </c>
      <c r="D1076" s="37" t="s">
        <v>1345</v>
      </c>
      <c r="E1076" s="37" t="n">
        <v>21230330</v>
      </c>
      <c r="F1076" s="37" t="s">
        <v>139</v>
      </c>
      <c r="G1076" s="37" t="s">
        <v>198</v>
      </c>
      <c r="H1076" s="37" t="s">
        <v>169</v>
      </c>
      <c r="I1076" s="37" t="n">
        <v>37.6</v>
      </c>
      <c r="J1076" s="39" t="n">
        <v>383.12</v>
      </c>
      <c r="K1076" s="37" t="s">
        <v>322</v>
      </c>
      <c r="L1076" s="39" t="n">
        <v>91.7</v>
      </c>
      <c r="M1076" s="39" t="n">
        <v>62.05</v>
      </c>
      <c r="N1076" s="39" t="n">
        <f aca="false">J1076*Resumo!$C$7</f>
        <v>0.76624</v>
      </c>
      <c r="O1076" s="39" t="n">
        <f aca="false">J1076*Resumo!$C$8</f>
        <v>0.76624</v>
      </c>
      <c r="P1076" s="39" t="n">
        <f aca="false">Resumo!$C$10*CEILING(I1076/100,1)</f>
        <v>1</v>
      </c>
      <c r="Q1076" s="39" t="n">
        <f aca="false">Resumo!$C$9</f>
        <v>11.9</v>
      </c>
      <c r="R1076" s="39" t="n">
        <f aca="false">SUM(M1076:Q1076)*Resumo!$C$11</f>
        <v>4.2065364</v>
      </c>
      <c r="S1076" s="39" t="n">
        <f aca="false">SUM(M1076:R1076)</f>
        <v>80.6890164</v>
      </c>
      <c r="T1076" s="39" t="n">
        <f aca="false">S1076/(1-Resumo!$C$5)</f>
        <v>91.6920640909091</v>
      </c>
      <c r="U1076" s="39" t="n">
        <v>93.97</v>
      </c>
      <c r="V1076" s="39" t="n">
        <f aca="false">J1076*Resumo!$B$6</f>
        <v>0.38312</v>
      </c>
      <c r="W1076" s="39" t="n">
        <f aca="false">J1076*Resumo!$B$7</f>
        <v>0.76624</v>
      </c>
      <c r="X1076" s="39" t="n">
        <f aca="false">Resumo!$B$9</f>
        <v>1</v>
      </c>
      <c r="Y1076" s="39" t="n">
        <f aca="false">Resumo!$B$10*CEILING(I1076/100,1)</f>
        <v>4.5</v>
      </c>
      <c r="Z1076" s="39" t="n">
        <f aca="false">Resumo!$B$12*CEILING(I1076,1)</f>
        <v>2.28</v>
      </c>
      <c r="AA1076" s="39" t="n">
        <f aca="false">Resumo!$B$13*CEILING(I1076,1)</f>
        <v>17.1</v>
      </c>
      <c r="AB1076" s="39" t="n">
        <f aca="false">SUM(U1076:AA1076)</f>
        <v>119.99936</v>
      </c>
      <c r="AC1076" s="39" t="n">
        <f aca="false">AB1076/(1-Resumo!$B$5)</f>
        <v>136.362909090909</v>
      </c>
      <c r="AD1076" s="39" t="n">
        <f aca="false">(AB1076-AA1076)/(1-Resumo!$B$5)</f>
        <v>116.931090909091</v>
      </c>
      <c r="AE1076" s="39" t="n">
        <f aca="false">AC1076-T1076</f>
        <v>44.670845</v>
      </c>
      <c r="AF1076" s="40" t="n">
        <f aca="false">AC1076/T1076-1</f>
        <v>0.487183328708912</v>
      </c>
      <c r="AG1076" s="37" t="str">
        <f aca="false">IF(AC1076&lt;T1076,"SIM","NÃO")</f>
        <v>NÃO</v>
      </c>
      <c r="AH1076" s="37" t="n">
        <v>8</v>
      </c>
      <c r="AI1076" s="37" t="n">
        <v>5</v>
      </c>
      <c r="AJ1076" s="37" t="s">
        <v>323</v>
      </c>
    </row>
    <row r="1077" customFormat="false" ht="15" hidden="false" customHeight="false" outlineLevel="0" collapsed="false">
      <c r="A1077" s="37" t="n">
        <v>377320412</v>
      </c>
      <c r="B1077" s="38" t="n">
        <v>46250.2839583333</v>
      </c>
      <c r="C1077" s="37" t="s">
        <v>320</v>
      </c>
      <c r="D1077" s="37" t="s">
        <v>1346</v>
      </c>
      <c r="E1077" s="37" t="n">
        <v>23033020</v>
      </c>
      <c r="F1077" s="37" t="s">
        <v>139</v>
      </c>
      <c r="G1077" s="37" t="s">
        <v>198</v>
      </c>
      <c r="H1077" s="37" t="s">
        <v>170</v>
      </c>
      <c r="I1077" s="37" t="n">
        <v>46.8</v>
      </c>
      <c r="J1077" s="39" t="n">
        <v>506.56</v>
      </c>
      <c r="K1077" s="37" t="s">
        <v>498</v>
      </c>
      <c r="L1077" s="39" t="n">
        <v>103.89</v>
      </c>
      <c r="M1077" s="39" t="n">
        <v>71</v>
      </c>
      <c r="N1077" s="39" t="n">
        <f aca="false">J1077*Resumo!$C$7</f>
        <v>1.01312</v>
      </c>
      <c r="O1077" s="39" t="n">
        <f aca="false">J1077*Resumo!$C$8</f>
        <v>1.01312</v>
      </c>
      <c r="P1077" s="39" t="n">
        <f aca="false">Resumo!$C$10*CEILING(I1077/100,1)</f>
        <v>1</v>
      </c>
      <c r="Q1077" s="39" t="n">
        <f aca="false">Resumo!$C$9</f>
        <v>11.9</v>
      </c>
      <c r="R1077" s="39" t="n">
        <f aca="false">SUM(M1077:Q1077)*Resumo!$C$11</f>
        <v>4.7259432</v>
      </c>
      <c r="S1077" s="39" t="n">
        <f aca="false">SUM(M1077:R1077)</f>
        <v>90.6521832</v>
      </c>
      <c r="T1077" s="39" t="n">
        <f aca="false">S1077/(1-Resumo!$C$5)</f>
        <v>103.013844545455</v>
      </c>
      <c r="U1077" s="39" t="n">
        <v>93.97</v>
      </c>
      <c r="V1077" s="39" t="n">
        <f aca="false">J1077*Resumo!$B$6</f>
        <v>0.50656</v>
      </c>
      <c r="W1077" s="39" t="n">
        <f aca="false">J1077*Resumo!$B$7</f>
        <v>1.01312</v>
      </c>
      <c r="X1077" s="39" t="n">
        <f aca="false">Resumo!$B$9</f>
        <v>1</v>
      </c>
      <c r="Y1077" s="39" t="n">
        <f aca="false">Resumo!$B$10*CEILING(I1077/100,1)</f>
        <v>4.5</v>
      </c>
      <c r="Z1077" s="39" t="n">
        <f aca="false">Resumo!$B$12*CEILING(I1077,1)</f>
        <v>2.82</v>
      </c>
      <c r="AA1077" s="39" t="n">
        <f aca="false">Resumo!$B$13*CEILING(I1077,1)</f>
        <v>21.15</v>
      </c>
      <c r="AB1077" s="39" t="n">
        <f aca="false">SUM(U1077:AA1077)</f>
        <v>124.95968</v>
      </c>
      <c r="AC1077" s="39" t="n">
        <f aca="false">AB1077/(1-Resumo!$B$5)</f>
        <v>141.999636363636</v>
      </c>
      <c r="AD1077" s="39" t="n">
        <f aca="false">(AB1077-AA1077)/(1-Resumo!$B$5)</f>
        <v>117.965545454545</v>
      </c>
      <c r="AE1077" s="39" t="n">
        <f aca="false">AC1077-T1077</f>
        <v>38.9857918181818</v>
      </c>
      <c r="AF1077" s="40" t="n">
        <f aca="false">AC1077/T1077-1</f>
        <v>0.378451964298638</v>
      </c>
      <c r="AG1077" s="37" t="str">
        <f aca="false">IF(AC1077&lt;T1077,"SIM","NÃO")</f>
        <v>NÃO</v>
      </c>
      <c r="AH1077" s="37" t="n">
        <v>8</v>
      </c>
      <c r="AI1077" s="37" t="n">
        <v>5</v>
      </c>
      <c r="AJ1077" s="37" t="s">
        <v>323</v>
      </c>
    </row>
    <row r="1078" customFormat="false" ht="15" hidden="false" customHeight="false" outlineLevel="0" collapsed="false">
      <c r="A1078" s="37" t="n">
        <v>377324801</v>
      </c>
      <c r="B1078" s="38" t="n">
        <v>46250.2933449074</v>
      </c>
      <c r="C1078" s="37" t="s">
        <v>320</v>
      </c>
      <c r="D1078" s="37" t="s">
        <v>1347</v>
      </c>
      <c r="E1078" s="37" t="n">
        <v>27135280</v>
      </c>
      <c r="F1078" s="37" t="s">
        <v>230</v>
      </c>
      <c r="G1078" s="37" t="s">
        <v>201</v>
      </c>
      <c r="H1078" s="37" t="s">
        <v>169</v>
      </c>
      <c r="I1078" s="37" t="n">
        <v>36.8</v>
      </c>
      <c r="J1078" s="39" t="n">
        <v>439.99</v>
      </c>
      <c r="K1078" s="37" t="s">
        <v>498</v>
      </c>
      <c r="L1078" s="39" t="n">
        <v>122.8</v>
      </c>
      <c r="M1078" s="39" t="n">
        <v>87.4</v>
      </c>
      <c r="N1078" s="39" t="n">
        <f aca="false">J1078*Resumo!$C$7</f>
        <v>0.87998</v>
      </c>
      <c r="O1078" s="39" t="n">
        <f aca="false">J1078*Resumo!$C$8</f>
        <v>0.87998</v>
      </c>
      <c r="P1078" s="39" t="n">
        <f aca="false">Resumo!$C$10*CEILING(I1078/100,1)</f>
        <v>1</v>
      </c>
      <c r="Q1078" s="39" t="n">
        <f aca="false">Resumo!$C$9</f>
        <v>11.9</v>
      </c>
      <c r="R1078" s="39" t="n">
        <f aca="false">SUM(M1078:Q1078)*Resumo!$C$11</f>
        <v>5.6132978</v>
      </c>
      <c r="S1078" s="39" t="n">
        <f aca="false">SUM(M1078:R1078)</f>
        <v>107.6732578</v>
      </c>
      <c r="T1078" s="39" t="n">
        <f aca="false">S1078/(1-Resumo!$C$5)</f>
        <v>122.355974772727</v>
      </c>
      <c r="U1078" s="39" t="n">
        <v>124.38</v>
      </c>
      <c r="V1078" s="39" t="n">
        <f aca="false">J1078*Resumo!$B$6</f>
        <v>0.43999</v>
      </c>
      <c r="W1078" s="39" t="n">
        <f aca="false">J1078*Resumo!$B$7</f>
        <v>0.87998</v>
      </c>
      <c r="X1078" s="39" t="n">
        <f aca="false">Resumo!$B$9</f>
        <v>1</v>
      </c>
      <c r="Y1078" s="39" t="n">
        <f aca="false">Resumo!$B$10*CEILING(I1078/100,1)</f>
        <v>4.5</v>
      </c>
      <c r="Z1078" s="39" t="n">
        <f aca="false">Resumo!$B$12*CEILING(I1078,1)</f>
        <v>2.22</v>
      </c>
      <c r="AA1078" s="39" t="n">
        <f aca="false">Resumo!$B$13*CEILING(I1078,1)</f>
        <v>16.65</v>
      </c>
      <c r="AB1078" s="39" t="n">
        <f aca="false">SUM(U1078:AA1078)</f>
        <v>150.06997</v>
      </c>
      <c r="AC1078" s="39" t="n">
        <f aca="false">AB1078/(1-Resumo!$B$5)</f>
        <v>170.534056818182</v>
      </c>
      <c r="AD1078" s="39" t="n">
        <f aca="false">(AB1078-AA1078)/(1-Resumo!$B$5)</f>
        <v>151.613602272727</v>
      </c>
      <c r="AE1078" s="39" t="n">
        <f aca="false">AC1078-T1078</f>
        <v>48.1780820454545</v>
      </c>
      <c r="AF1078" s="40" t="n">
        <f aca="false">AC1078/T1078-1</f>
        <v>0.393753407914439</v>
      </c>
      <c r="AG1078" s="37" t="str">
        <f aca="false">IF(AC1078&lt;T1078,"SIM","NÃO")</f>
        <v>NÃO</v>
      </c>
      <c r="AH1078" s="37" t="n">
        <v>13</v>
      </c>
      <c r="AI1078" s="37" t="n">
        <v>10</v>
      </c>
      <c r="AJ1078" s="37" t="s">
        <v>327</v>
      </c>
    </row>
    <row r="1079" customFormat="false" ht="15" hidden="false" customHeight="false" outlineLevel="0" collapsed="false">
      <c r="A1079" s="37" t="n">
        <v>377331088</v>
      </c>
      <c r="B1079" s="38" t="n">
        <v>46250.3071296296</v>
      </c>
      <c r="C1079" s="37" t="s">
        <v>320</v>
      </c>
      <c r="D1079" s="37" t="s">
        <v>1348</v>
      </c>
      <c r="E1079" s="37" t="n">
        <v>27277210</v>
      </c>
      <c r="F1079" s="37" t="s">
        <v>148</v>
      </c>
      <c r="G1079" s="37" t="s">
        <v>201</v>
      </c>
      <c r="H1079" s="37" t="s">
        <v>172</v>
      </c>
      <c r="I1079" s="37" t="n">
        <v>63.9</v>
      </c>
      <c r="J1079" s="39" t="n">
        <v>799.99</v>
      </c>
      <c r="K1079" s="37" t="s">
        <v>498</v>
      </c>
      <c r="L1079" s="39" t="n">
        <v>155.64</v>
      </c>
      <c r="M1079" s="39" t="n">
        <v>113.9</v>
      </c>
      <c r="N1079" s="39" t="n">
        <f aca="false">J1079*Resumo!$C$7</f>
        <v>1.59998</v>
      </c>
      <c r="O1079" s="39" t="n">
        <f aca="false">J1079*Resumo!$C$8</f>
        <v>1.59998</v>
      </c>
      <c r="P1079" s="39" t="n">
        <f aca="false">Resumo!$C$10*CEILING(I1079/100,1)</f>
        <v>1</v>
      </c>
      <c r="Q1079" s="39" t="n">
        <f aca="false">Resumo!$C$9</f>
        <v>11.9</v>
      </c>
      <c r="R1079" s="39" t="n">
        <f aca="false">SUM(M1079:Q1079)*Resumo!$C$11</f>
        <v>7.1499978</v>
      </c>
      <c r="S1079" s="39" t="n">
        <f aca="false">SUM(M1079:R1079)</f>
        <v>137.1499578</v>
      </c>
      <c r="T1079" s="39" t="n">
        <f aca="false">S1079/(1-Resumo!$C$5)</f>
        <v>155.852224772727</v>
      </c>
      <c r="U1079" s="39" t="n">
        <v>166.05</v>
      </c>
      <c r="V1079" s="39" t="n">
        <f aca="false">J1079*Resumo!$B$6</f>
        <v>0.79999</v>
      </c>
      <c r="W1079" s="39" t="n">
        <f aca="false">J1079*Resumo!$B$7</f>
        <v>1.59998</v>
      </c>
      <c r="X1079" s="39" t="n">
        <f aca="false">Resumo!$B$9</f>
        <v>1</v>
      </c>
      <c r="Y1079" s="39" t="n">
        <f aca="false">Resumo!$B$10*CEILING(I1079/100,1)</f>
        <v>4.5</v>
      </c>
      <c r="Z1079" s="39" t="n">
        <f aca="false">Resumo!$B$12*CEILING(I1079,1)</f>
        <v>3.84</v>
      </c>
      <c r="AA1079" s="39" t="n">
        <f aca="false">Resumo!$B$13*CEILING(I1079,1)</f>
        <v>28.8</v>
      </c>
      <c r="AB1079" s="39" t="n">
        <f aca="false">SUM(U1079:AA1079)</f>
        <v>206.58997</v>
      </c>
      <c r="AC1079" s="39" t="n">
        <f aca="false">AB1079/(1-Resumo!$B$5)</f>
        <v>234.761329545455</v>
      </c>
      <c r="AD1079" s="39" t="n">
        <f aca="false">(AB1079-AA1079)/(1-Resumo!$B$5)</f>
        <v>202.034056818182</v>
      </c>
      <c r="AE1079" s="39" t="n">
        <f aca="false">AC1079-T1079</f>
        <v>78.9091047727273</v>
      </c>
      <c r="AF1079" s="40" t="n">
        <f aca="false">AC1079/T1079-1</f>
        <v>0.506307207919535</v>
      </c>
      <c r="AG1079" s="37" t="str">
        <f aca="false">IF(AC1079&lt;T1079,"SIM","NÃO")</f>
        <v>NÃO</v>
      </c>
      <c r="AH1079" s="37" t="n">
        <v>13</v>
      </c>
      <c r="AI1079" s="37" t="n">
        <v>10</v>
      </c>
      <c r="AJ1079" s="37" t="s">
        <v>323</v>
      </c>
    </row>
    <row r="1080" customFormat="false" ht="15" hidden="false" customHeight="false" outlineLevel="0" collapsed="false">
      <c r="A1080" s="37" t="n">
        <v>377331245</v>
      </c>
      <c r="B1080" s="38" t="n">
        <v>46250.3098032407</v>
      </c>
      <c r="C1080" s="37" t="s">
        <v>352</v>
      </c>
      <c r="D1080" s="37" t="s">
        <v>1349</v>
      </c>
      <c r="E1080" s="37" t="n">
        <v>20960008</v>
      </c>
      <c r="F1080" s="37" t="s">
        <v>139</v>
      </c>
      <c r="G1080" s="37" t="s">
        <v>198</v>
      </c>
      <c r="H1080" s="37" t="s">
        <v>169</v>
      </c>
      <c r="I1080" s="37" t="n">
        <v>39</v>
      </c>
      <c r="J1080" s="39" t="n">
        <v>550.99</v>
      </c>
      <c r="K1080" s="37" t="s">
        <v>322</v>
      </c>
      <c r="L1080" s="39" t="n">
        <v>92.49</v>
      </c>
      <c r="M1080" s="39" t="n">
        <v>62.05</v>
      </c>
      <c r="N1080" s="39" t="n">
        <f aca="false">J1080*Resumo!$C$7</f>
        <v>1.10198</v>
      </c>
      <c r="O1080" s="39" t="n">
        <f aca="false">J1080*Resumo!$C$8</f>
        <v>1.10198</v>
      </c>
      <c r="P1080" s="39" t="n">
        <f aca="false">Resumo!$C$10*CEILING(I1080/100,1)</f>
        <v>1</v>
      </c>
      <c r="Q1080" s="39" t="n">
        <f aca="false">Resumo!$C$9</f>
        <v>11.9</v>
      </c>
      <c r="R1080" s="39" t="n">
        <f aca="false">SUM(M1080:Q1080)*Resumo!$C$11</f>
        <v>4.2434678</v>
      </c>
      <c r="S1080" s="39" t="n">
        <f aca="false">SUM(M1080:R1080)</f>
        <v>81.3974278</v>
      </c>
      <c r="T1080" s="39" t="n">
        <f aca="false">S1080/(1-Resumo!$C$5)</f>
        <v>92.4970770454546</v>
      </c>
      <c r="U1080" s="39" t="n">
        <v>93.97</v>
      </c>
      <c r="V1080" s="39" t="n">
        <f aca="false">J1080*Resumo!$B$6</f>
        <v>0.55099</v>
      </c>
      <c r="W1080" s="39" t="n">
        <f aca="false">J1080*Resumo!$B$7</f>
        <v>1.10198</v>
      </c>
      <c r="X1080" s="39" t="n">
        <f aca="false">Resumo!$B$9</f>
        <v>1</v>
      </c>
      <c r="Y1080" s="39" t="n">
        <f aca="false">Resumo!$B$10*CEILING(I1080/100,1)</f>
        <v>4.5</v>
      </c>
      <c r="Z1080" s="39" t="n">
        <f aca="false">Resumo!$B$12*CEILING(I1080,1)</f>
        <v>2.34</v>
      </c>
      <c r="AA1080" s="39" t="n">
        <f aca="false">Resumo!$B$13*CEILING(I1080,1)</f>
        <v>17.55</v>
      </c>
      <c r="AB1080" s="39" t="n">
        <f aca="false">SUM(U1080:AA1080)</f>
        <v>121.01297</v>
      </c>
      <c r="AC1080" s="39" t="n">
        <f aca="false">AB1080/(1-Resumo!$B$5)</f>
        <v>137.514738636364</v>
      </c>
      <c r="AD1080" s="39" t="n">
        <f aca="false">(AB1080-AA1080)/(1-Resumo!$B$5)</f>
        <v>117.571556818182</v>
      </c>
      <c r="AE1080" s="39" t="n">
        <f aca="false">AC1080-T1080</f>
        <v>45.0176615909091</v>
      </c>
      <c r="AF1080" s="40" t="n">
        <f aca="false">AC1080/T1080-1</f>
        <v>0.4866928018578</v>
      </c>
      <c r="AG1080" s="37" t="str">
        <f aca="false">IF(AC1080&lt;T1080,"SIM","NÃO")</f>
        <v>NÃO</v>
      </c>
      <c r="AH1080" s="37" t="n">
        <v>8</v>
      </c>
      <c r="AI1080" s="37" t="n">
        <v>5</v>
      </c>
      <c r="AJ1080" s="37" t="s">
        <v>323</v>
      </c>
    </row>
    <row r="1081" customFormat="false" ht="15" hidden="false" customHeight="false" outlineLevel="0" collapsed="false">
      <c r="A1081" s="37" t="n">
        <v>377348609</v>
      </c>
      <c r="B1081" s="38" t="n">
        <v>46250.3422222222</v>
      </c>
      <c r="C1081" s="37" t="s">
        <v>320</v>
      </c>
      <c r="D1081" s="37" t="s">
        <v>1350</v>
      </c>
      <c r="E1081" s="37" t="n">
        <v>21760360</v>
      </c>
      <c r="F1081" s="37" t="s">
        <v>139</v>
      </c>
      <c r="G1081" s="37" t="s">
        <v>198</v>
      </c>
      <c r="H1081" s="37" t="s">
        <v>167</v>
      </c>
      <c r="I1081" s="37" t="n">
        <v>19.5</v>
      </c>
      <c r="J1081" s="39" t="n">
        <v>379.99</v>
      </c>
      <c r="K1081" s="37" t="s">
        <v>322</v>
      </c>
      <c r="L1081" s="39" t="n">
        <v>65.03</v>
      </c>
      <c r="M1081" s="39" t="n">
        <v>39.83</v>
      </c>
      <c r="N1081" s="39" t="n">
        <f aca="false">J1081*Resumo!$C$7</f>
        <v>0.75998</v>
      </c>
      <c r="O1081" s="39" t="n">
        <f aca="false">J1081*Resumo!$C$8</f>
        <v>0.75998</v>
      </c>
      <c r="P1081" s="39" t="n">
        <f aca="false">Resumo!$C$10*CEILING(I1081/100,1)</f>
        <v>1</v>
      </c>
      <c r="Q1081" s="39" t="n">
        <f aca="false">Resumo!$C$9</f>
        <v>11.9</v>
      </c>
      <c r="R1081" s="39" t="n">
        <f aca="false">SUM(M1081:Q1081)*Resumo!$C$11</f>
        <v>2.9837478</v>
      </c>
      <c r="S1081" s="39" t="n">
        <f aca="false">SUM(M1081:R1081)</f>
        <v>57.2337078</v>
      </c>
      <c r="T1081" s="39" t="n">
        <f aca="false">S1081/(1-Resumo!$C$5)</f>
        <v>65.0383043181818</v>
      </c>
      <c r="U1081" s="39" t="n">
        <v>46.98</v>
      </c>
      <c r="V1081" s="39" t="n">
        <f aca="false">J1081*Resumo!$B$6</f>
        <v>0.37999</v>
      </c>
      <c r="W1081" s="39" t="n">
        <f aca="false">J1081*Resumo!$B$7</f>
        <v>0.75998</v>
      </c>
      <c r="X1081" s="39" t="n">
        <f aca="false">Resumo!$B$9</f>
        <v>1</v>
      </c>
      <c r="Y1081" s="39" t="n">
        <f aca="false">Resumo!$B$10*CEILING(I1081/100,1)</f>
        <v>4.5</v>
      </c>
      <c r="Z1081" s="39" t="n">
        <f aca="false">Resumo!$B$12*CEILING(I1081,1)</f>
        <v>1.2</v>
      </c>
      <c r="AA1081" s="39" t="n">
        <f aca="false">Resumo!$B$13*CEILING(I1081,1)</f>
        <v>9</v>
      </c>
      <c r="AB1081" s="39" t="n">
        <f aca="false">SUM(U1081:AA1081)</f>
        <v>63.81997</v>
      </c>
      <c r="AC1081" s="39" t="n">
        <f aca="false">AB1081/(1-Resumo!$B$5)</f>
        <v>72.5226931818182</v>
      </c>
      <c r="AD1081" s="39" t="n">
        <f aca="false">(AB1081-AA1081)/(1-Resumo!$B$5)</f>
        <v>62.2954204545455</v>
      </c>
      <c r="AE1081" s="39" t="n">
        <f aca="false">AC1081-T1081</f>
        <v>7.48438886363635</v>
      </c>
      <c r="AF1081" s="40" t="n">
        <f aca="false">AC1081/T1081-1</f>
        <v>0.115076629719943</v>
      </c>
      <c r="AG1081" s="37" t="str">
        <f aca="false">IF(AC1081&lt;T1081,"SIM","NÃO")</f>
        <v>NÃO</v>
      </c>
      <c r="AH1081" s="37" t="n">
        <v>8</v>
      </c>
      <c r="AI1081" s="37" t="n">
        <v>5</v>
      </c>
      <c r="AJ1081" s="37" t="s">
        <v>323</v>
      </c>
    </row>
    <row r="1082" customFormat="false" ht="15" hidden="false" customHeight="false" outlineLevel="0" collapsed="false">
      <c r="A1082" s="37" t="n">
        <v>377434055</v>
      </c>
      <c r="B1082" s="38" t="n">
        <v>46250.4865162037</v>
      </c>
      <c r="C1082" s="37" t="s">
        <v>320</v>
      </c>
      <c r="D1082" s="37" t="s">
        <v>1351</v>
      </c>
      <c r="E1082" s="37" t="n">
        <v>20071002</v>
      </c>
      <c r="F1082" s="37" t="s">
        <v>139</v>
      </c>
      <c r="G1082" s="37" t="s">
        <v>198</v>
      </c>
      <c r="H1082" s="37" t="s">
        <v>168</v>
      </c>
      <c r="I1082" s="37" t="n">
        <v>28.6</v>
      </c>
      <c r="J1082" s="39" t="n">
        <v>529.99</v>
      </c>
      <c r="K1082" s="37" t="s">
        <v>322</v>
      </c>
      <c r="L1082" s="39" t="n">
        <v>82.86</v>
      </c>
      <c r="M1082" s="39" t="n">
        <v>54.1</v>
      </c>
      <c r="N1082" s="39" t="n">
        <f aca="false">J1082*Resumo!$C$7</f>
        <v>1.05998</v>
      </c>
      <c r="O1082" s="39" t="n">
        <f aca="false">J1082*Resumo!$C$8</f>
        <v>1.05998</v>
      </c>
      <c r="P1082" s="39" t="n">
        <f aca="false">Resumo!$C$10*CEILING(I1082/100,1)</f>
        <v>1</v>
      </c>
      <c r="Q1082" s="39" t="n">
        <f aca="false">Resumo!$C$9</f>
        <v>11.9</v>
      </c>
      <c r="R1082" s="39" t="n">
        <f aca="false">SUM(M1082:Q1082)*Resumo!$C$11</f>
        <v>3.8015978</v>
      </c>
      <c r="S1082" s="39" t="n">
        <f aca="false">SUM(M1082:R1082)</f>
        <v>72.9215578</v>
      </c>
      <c r="T1082" s="39" t="n">
        <f aca="false">S1082/(1-Resumo!$C$5)</f>
        <v>82.8654065909091</v>
      </c>
      <c r="U1082" s="39" t="n">
        <v>82.21</v>
      </c>
      <c r="V1082" s="39" t="n">
        <f aca="false">J1082*Resumo!$B$6</f>
        <v>0.52999</v>
      </c>
      <c r="W1082" s="39" t="n">
        <f aca="false">J1082*Resumo!$B$7</f>
        <v>1.05998</v>
      </c>
      <c r="X1082" s="39" t="n">
        <f aca="false">Resumo!$B$9</f>
        <v>1</v>
      </c>
      <c r="Y1082" s="39" t="n">
        <f aca="false">Resumo!$B$10*CEILING(I1082/100,1)</f>
        <v>4.5</v>
      </c>
      <c r="Z1082" s="39" t="n">
        <f aca="false">Resumo!$B$12*CEILING(I1082,1)</f>
        <v>1.74</v>
      </c>
      <c r="AA1082" s="39" t="n">
        <f aca="false">Resumo!$B$13*CEILING(I1082,1)</f>
        <v>13.05</v>
      </c>
      <c r="AB1082" s="39" t="n">
        <f aca="false">SUM(U1082:AA1082)</f>
        <v>104.08997</v>
      </c>
      <c r="AC1082" s="39" t="n">
        <f aca="false">AB1082/(1-Resumo!$B$5)</f>
        <v>118.284056818182</v>
      </c>
      <c r="AD1082" s="39" t="n">
        <f aca="false">(AB1082-AA1082)/(1-Resumo!$B$5)</f>
        <v>103.454511363636</v>
      </c>
      <c r="AE1082" s="39" t="n">
        <f aca="false">AC1082-T1082</f>
        <v>35.4186502272727</v>
      </c>
      <c r="AF1082" s="40" t="n">
        <f aca="false">AC1082/T1082-1</f>
        <v>0.427423839264169</v>
      </c>
      <c r="AG1082" s="37" t="str">
        <f aca="false">IF(AC1082&lt;T1082,"SIM","NÃO")</f>
        <v>NÃO</v>
      </c>
      <c r="AH1082" s="37" t="n">
        <v>8</v>
      </c>
      <c r="AI1082" s="37" t="n">
        <v>5</v>
      </c>
      <c r="AJ1082" s="37" t="s">
        <v>323</v>
      </c>
    </row>
    <row r="1083" customFormat="false" ht="15" hidden="false" customHeight="false" outlineLevel="0" collapsed="false">
      <c r="A1083" s="37" t="n">
        <v>377441754</v>
      </c>
      <c r="B1083" s="38" t="n">
        <v>46250.4984490741</v>
      </c>
      <c r="C1083" s="37" t="s">
        <v>320</v>
      </c>
      <c r="D1083" s="37" t="s">
        <v>1352</v>
      </c>
      <c r="E1083" s="37" t="n">
        <v>25271755</v>
      </c>
      <c r="F1083" s="37" t="s">
        <v>141</v>
      </c>
      <c r="G1083" s="37" t="s">
        <v>207</v>
      </c>
      <c r="H1083" s="37" t="s">
        <v>170</v>
      </c>
      <c r="I1083" s="37" t="n">
        <v>46.8</v>
      </c>
      <c r="J1083" s="39" t="n">
        <v>506.56</v>
      </c>
      <c r="K1083" s="37" t="s">
        <v>322</v>
      </c>
      <c r="L1083" s="39" t="n">
        <v>116.49</v>
      </c>
      <c r="M1083" s="39" t="n">
        <v>82.25</v>
      </c>
      <c r="N1083" s="39" t="n">
        <f aca="false">J1083*Resumo!$C$7</f>
        <v>1.01312</v>
      </c>
      <c r="O1083" s="39" t="n">
        <f aca="false">J1083*Resumo!$C$8</f>
        <v>1.01312</v>
      </c>
      <c r="P1083" s="39" t="n">
        <f aca="false">Resumo!$C$10*CEILING(I1083/100,1)</f>
        <v>1</v>
      </c>
      <c r="Q1083" s="39" t="n">
        <f aca="false">Resumo!$C$9</f>
        <v>11.9</v>
      </c>
      <c r="R1083" s="39" t="n">
        <f aca="false">SUM(M1083:Q1083)*Resumo!$C$11</f>
        <v>5.3446932</v>
      </c>
      <c r="S1083" s="39" t="n">
        <f aca="false">SUM(M1083:R1083)</f>
        <v>102.5209332</v>
      </c>
      <c r="T1083" s="39" t="n">
        <f aca="false">S1083/(1-Resumo!$C$5)</f>
        <v>116.501060454545</v>
      </c>
      <c r="U1083" s="39" t="n">
        <v>93.97</v>
      </c>
      <c r="V1083" s="39" t="n">
        <f aca="false">J1083*Resumo!$B$6</f>
        <v>0.50656</v>
      </c>
      <c r="W1083" s="39" t="n">
        <f aca="false">J1083*Resumo!$B$7</f>
        <v>1.01312</v>
      </c>
      <c r="X1083" s="39" t="n">
        <f aca="false">Resumo!$B$9</f>
        <v>1</v>
      </c>
      <c r="Y1083" s="39" t="n">
        <f aca="false">Resumo!$B$10*CEILING(I1083/100,1)</f>
        <v>4.5</v>
      </c>
      <c r="Z1083" s="39" t="n">
        <f aca="false">Resumo!$B$12*CEILING(I1083,1)</f>
        <v>2.82</v>
      </c>
      <c r="AA1083" s="39" t="n">
        <f aca="false">Resumo!$B$13*CEILING(I1083,1)</f>
        <v>21.15</v>
      </c>
      <c r="AB1083" s="39" t="n">
        <f aca="false">SUM(U1083:AA1083)</f>
        <v>124.95968</v>
      </c>
      <c r="AC1083" s="39" t="n">
        <f aca="false">AB1083/(1-Resumo!$B$5)</f>
        <v>141.999636363636</v>
      </c>
      <c r="AD1083" s="39" t="n">
        <f aca="false">(AB1083-AA1083)/(1-Resumo!$B$5)</f>
        <v>117.965545454545</v>
      </c>
      <c r="AE1083" s="39" t="n">
        <f aca="false">AC1083-T1083</f>
        <v>25.4985759090909</v>
      </c>
      <c r="AF1083" s="40" t="n">
        <f aca="false">AC1083/T1083-1</f>
        <v>0.218869903927094</v>
      </c>
      <c r="AG1083" s="37" t="str">
        <f aca="false">IF(AC1083&lt;T1083,"SIM","NÃO")</f>
        <v>NÃO</v>
      </c>
      <c r="AH1083" s="37" t="n">
        <v>10</v>
      </c>
      <c r="AI1083" s="37" t="n">
        <v>5</v>
      </c>
      <c r="AJ1083" s="37" t="s">
        <v>323</v>
      </c>
    </row>
    <row r="1084" customFormat="false" ht="15" hidden="false" customHeight="false" outlineLevel="0" collapsed="false">
      <c r="A1084" s="37" t="n">
        <v>377444132</v>
      </c>
      <c r="B1084" s="38" t="n">
        <v>46250.5019328704</v>
      </c>
      <c r="C1084" s="37" t="s">
        <v>325</v>
      </c>
      <c r="D1084" s="37" t="s">
        <v>1353</v>
      </c>
      <c r="E1084" s="37" t="n">
        <v>21660620</v>
      </c>
      <c r="F1084" s="37" t="s">
        <v>139</v>
      </c>
      <c r="G1084" s="37" t="s">
        <v>198</v>
      </c>
      <c r="H1084" s="37" t="s">
        <v>176</v>
      </c>
      <c r="I1084" s="37" t="n">
        <v>124.2</v>
      </c>
      <c r="J1084" s="39" t="n">
        <v>1597.99</v>
      </c>
      <c r="K1084" s="37" t="s">
        <v>322</v>
      </c>
      <c r="L1084" s="39" t="n">
        <v>233.95</v>
      </c>
      <c r="M1084" s="39" t="n">
        <v>174.85</v>
      </c>
      <c r="N1084" s="39" t="n">
        <f aca="false">J1084*Resumo!$C$7</f>
        <v>3.19598</v>
      </c>
      <c r="O1084" s="39" t="n">
        <f aca="false">J1084*Resumo!$C$8</f>
        <v>3.19598</v>
      </c>
      <c r="P1084" s="39" t="n">
        <f aca="false">Resumo!$C$10*CEILING(I1084/100,1)</f>
        <v>2</v>
      </c>
      <c r="Q1084" s="39" t="n">
        <f aca="false">Resumo!$C$9</f>
        <v>11.9</v>
      </c>
      <c r="R1084" s="39" t="n">
        <f aca="false">SUM(M1084:Q1084)*Resumo!$C$11</f>
        <v>10.7328078</v>
      </c>
      <c r="S1084" s="39" t="n">
        <f aca="false">SUM(M1084:R1084)</f>
        <v>205.8747678</v>
      </c>
      <c r="T1084" s="39" t="n">
        <f aca="false">S1084/(1-Resumo!$C$5)</f>
        <v>233.948599772727</v>
      </c>
      <c r="U1084" s="39" t="n">
        <v>239.25</v>
      </c>
      <c r="V1084" s="39" t="n">
        <f aca="false">J1084*Resumo!$B$6</f>
        <v>1.59799</v>
      </c>
      <c r="W1084" s="39" t="n">
        <f aca="false">J1084*Resumo!$B$7</f>
        <v>3.19598</v>
      </c>
      <c r="X1084" s="39" t="n">
        <f aca="false">Resumo!$B$9</f>
        <v>1</v>
      </c>
      <c r="Y1084" s="39" t="n">
        <f aca="false">Resumo!$B$10*CEILING(I1084/100,1)</f>
        <v>9</v>
      </c>
      <c r="Z1084" s="39" t="n">
        <f aca="false">Resumo!$B$12*CEILING(I1084,1)</f>
        <v>7.5</v>
      </c>
      <c r="AA1084" s="39" t="n">
        <f aca="false">Resumo!$B$13*CEILING(I1084,1)</f>
        <v>56.25</v>
      </c>
      <c r="AB1084" s="39" t="n">
        <f aca="false">SUM(U1084:AA1084)</f>
        <v>317.79397</v>
      </c>
      <c r="AC1084" s="39" t="n">
        <f aca="false">AB1084/(1-Resumo!$B$5)</f>
        <v>361.129511363636</v>
      </c>
      <c r="AD1084" s="39" t="n">
        <f aca="false">(AB1084-AA1084)/(1-Resumo!$B$5)</f>
        <v>297.209056818182</v>
      </c>
      <c r="AE1084" s="39" t="n">
        <f aca="false">AC1084-T1084</f>
        <v>127.180911590909</v>
      </c>
      <c r="AF1084" s="40" t="n">
        <f aca="false">AC1084/T1084-1</f>
        <v>0.54362758193236</v>
      </c>
      <c r="AG1084" s="37" t="str">
        <f aca="false">IF(AC1084&lt;T1084,"SIM","NÃO")</f>
        <v>NÃO</v>
      </c>
      <c r="AH1084" s="37" t="n">
        <v>8</v>
      </c>
      <c r="AI1084" s="37" t="n">
        <v>5</v>
      </c>
      <c r="AJ1084" s="37" t="s">
        <v>323</v>
      </c>
    </row>
    <row r="1085" customFormat="false" ht="15" hidden="false" customHeight="false" outlineLevel="0" collapsed="false">
      <c r="A1085" s="37" t="n">
        <v>377446782</v>
      </c>
      <c r="B1085" s="38" t="n">
        <v>46250.5063425926</v>
      </c>
      <c r="C1085" s="37" t="s">
        <v>359</v>
      </c>
      <c r="D1085" s="37" t="s">
        <v>1354</v>
      </c>
      <c r="E1085" s="37" t="n">
        <v>24422400</v>
      </c>
      <c r="F1085" s="37" t="s">
        <v>140</v>
      </c>
      <c r="G1085" s="37" t="s">
        <v>207</v>
      </c>
      <c r="H1085" s="37" t="s">
        <v>175</v>
      </c>
      <c r="I1085" s="37" t="n">
        <v>106.5</v>
      </c>
      <c r="J1085" s="39" t="n">
        <v>1289.99</v>
      </c>
      <c r="K1085" s="37" t="s">
        <v>498</v>
      </c>
      <c r="L1085" s="39" t="n">
        <v>193.73</v>
      </c>
      <c r="M1085" s="39" t="n">
        <v>144.44</v>
      </c>
      <c r="N1085" s="39" t="n">
        <f aca="false">J1085*Resumo!$C$7</f>
        <v>2.57998</v>
      </c>
      <c r="O1085" s="39" t="n">
        <f aca="false">J1085*Resumo!$C$8</f>
        <v>2.57998</v>
      </c>
      <c r="P1085" s="39" t="n">
        <f aca="false">Resumo!$C$10*CEILING(I1085/100,1)</f>
        <v>2</v>
      </c>
      <c r="Q1085" s="39" t="n">
        <f aca="false">Resumo!$C$9</f>
        <v>11.9</v>
      </c>
      <c r="R1085" s="39" t="n">
        <f aca="false">SUM(M1085:Q1085)*Resumo!$C$11</f>
        <v>8.9924978</v>
      </c>
      <c r="S1085" s="39" t="n">
        <f aca="false">SUM(M1085:R1085)</f>
        <v>172.4924578</v>
      </c>
      <c r="T1085" s="39" t="n">
        <f aca="false">S1085/(1-Resumo!$C$5)</f>
        <v>196.014156590909</v>
      </c>
      <c r="U1085" s="39" t="n">
        <v>214.11</v>
      </c>
      <c r="V1085" s="39" t="n">
        <f aca="false">J1085*Resumo!$B$6</f>
        <v>1.28999</v>
      </c>
      <c r="W1085" s="39" t="n">
        <f aca="false">J1085*Resumo!$B$7</f>
        <v>2.57998</v>
      </c>
      <c r="X1085" s="39" t="n">
        <f aca="false">Resumo!$B$9</f>
        <v>1</v>
      </c>
      <c r="Y1085" s="39" t="n">
        <f aca="false">Resumo!$B$10*CEILING(I1085/100,1)</f>
        <v>9</v>
      </c>
      <c r="Z1085" s="39" t="n">
        <f aca="false">Resumo!$B$12*CEILING(I1085,1)</f>
        <v>6.42</v>
      </c>
      <c r="AA1085" s="39" t="n">
        <f aca="false">Resumo!$B$13*CEILING(I1085,1)</f>
        <v>48.15</v>
      </c>
      <c r="AB1085" s="39" t="n">
        <f aca="false">SUM(U1085:AA1085)</f>
        <v>282.54997</v>
      </c>
      <c r="AC1085" s="39" t="n">
        <f aca="false">AB1085/(1-Resumo!$B$5)</f>
        <v>321.079511363636</v>
      </c>
      <c r="AD1085" s="39" t="n">
        <f aca="false">(AB1085-AA1085)/(1-Resumo!$B$5)</f>
        <v>266.363602272727</v>
      </c>
      <c r="AE1085" s="39" t="n">
        <f aca="false">AC1085-T1085</f>
        <v>125.065354772727</v>
      </c>
      <c r="AF1085" s="40" t="n">
        <f aca="false">AC1085/T1085-1</f>
        <v>0.638042460544035</v>
      </c>
      <c r="AG1085" s="37" t="str">
        <f aca="false">IF(AC1085&lt;T1085,"SIM","NÃO")</f>
        <v>NÃO</v>
      </c>
      <c r="AH1085" s="37" t="n">
        <v>10</v>
      </c>
      <c r="AI1085" s="37" t="n">
        <v>7</v>
      </c>
      <c r="AJ1085" s="37" t="s">
        <v>323</v>
      </c>
    </row>
    <row r="1086" customFormat="false" ht="15" hidden="false" customHeight="false" outlineLevel="0" collapsed="false">
      <c r="A1086" s="37" t="n">
        <v>377448133</v>
      </c>
      <c r="B1086" s="38" t="n">
        <v>46250.5084143519</v>
      </c>
      <c r="C1086" s="37" t="s">
        <v>320</v>
      </c>
      <c r="D1086" s="37" t="s">
        <v>1355</v>
      </c>
      <c r="E1086" s="37" t="n">
        <v>20961020</v>
      </c>
      <c r="F1086" s="37" t="s">
        <v>139</v>
      </c>
      <c r="G1086" s="37" t="s">
        <v>198</v>
      </c>
      <c r="H1086" s="37" t="s">
        <v>171</v>
      </c>
      <c r="I1086" s="37" t="n">
        <v>51.7</v>
      </c>
      <c r="J1086" s="39" t="n">
        <v>659.99</v>
      </c>
      <c r="K1086" s="37" t="s">
        <v>322</v>
      </c>
      <c r="L1086" s="39" t="n">
        <v>114.31</v>
      </c>
      <c r="M1086" s="39" t="n">
        <v>79.81</v>
      </c>
      <c r="N1086" s="39" t="n">
        <f aca="false">J1086*Resumo!$C$7</f>
        <v>1.31998</v>
      </c>
      <c r="O1086" s="39" t="n">
        <f aca="false">J1086*Resumo!$C$8</f>
        <v>1.31998</v>
      </c>
      <c r="P1086" s="39" t="n">
        <f aca="false">Resumo!$C$10*CEILING(I1086/100,1)</f>
        <v>1</v>
      </c>
      <c r="Q1086" s="39" t="n">
        <f aca="false">Resumo!$C$9</f>
        <v>11.9</v>
      </c>
      <c r="R1086" s="39" t="n">
        <f aca="false">SUM(M1086:Q1086)*Resumo!$C$11</f>
        <v>5.2442478</v>
      </c>
      <c r="S1086" s="39" t="n">
        <f aca="false">SUM(M1086:R1086)</f>
        <v>100.5942078</v>
      </c>
      <c r="T1086" s="39" t="n">
        <f aca="false">S1086/(1-Resumo!$C$5)</f>
        <v>114.311599772727</v>
      </c>
      <c r="U1086" s="39" t="n">
        <v>112.3</v>
      </c>
      <c r="V1086" s="39" t="n">
        <f aca="false">J1086*Resumo!$B$6</f>
        <v>0.65999</v>
      </c>
      <c r="W1086" s="39" t="n">
        <f aca="false">J1086*Resumo!$B$7</f>
        <v>1.31998</v>
      </c>
      <c r="X1086" s="39" t="n">
        <f aca="false">Resumo!$B$9</f>
        <v>1</v>
      </c>
      <c r="Y1086" s="39" t="n">
        <f aca="false">Resumo!$B$10*CEILING(I1086/100,1)</f>
        <v>4.5</v>
      </c>
      <c r="Z1086" s="39" t="n">
        <f aca="false">Resumo!$B$12*CEILING(I1086,1)</f>
        <v>3.12</v>
      </c>
      <c r="AA1086" s="39" t="n">
        <f aca="false">Resumo!$B$13*CEILING(I1086,1)</f>
        <v>23.4</v>
      </c>
      <c r="AB1086" s="39" t="n">
        <f aca="false">SUM(U1086:AA1086)</f>
        <v>146.29997</v>
      </c>
      <c r="AC1086" s="39" t="n">
        <f aca="false">AB1086/(1-Resumo!$B$5)</f>
        <v>166.249965909091</v>
      </c>
      <c r="AD1086" s="39" t="n">
        <f aca="false">(AB1086-AA1086)/(1-Resumo!$B$5)</f>
        <v>139.659056818182</v>
      </c>
      <c r="AE1086" s="39" t="n">
        <f aca="false">AC1086-T1086</f>
        <v>51.9383661363636</v>
      </c>
      <c r="AF1086" s="40" t="n">
        <f aca="false">AC1086/T1086-1</f>
        <v>0.45435779255672</v>
      </c>
      <c r="AG1086" s="37" t="str">
        <f aca="false">IF(AC1086&lt;T1086,"SIM","NÃO")</f>
        <v>NÃO</v>
      </c>
      <c r="AH1086" s="37" t="n">
        <v>8</v>
      </c>
      <c r="AI1086" s="37" t="n">
        <v>5</v>
      </c>
      <c r="AJ1086" s="37" t="s">
        <v>323</v>
      </c>
    </row>
    <row r="1087" customFormat="false" ht="15" hidden="false" customHeight="false" outlineLevel="0" collapsed="false">
      <c r="A1087" s="37" t="n">
        <v>377458800</v>
      </c>
      <c r="B1087" s="38" t="n">
        <v>46250.5298611111</v>
      </c>
      <c r="C1087" s="37" t="s">
        <v>320</v>
      </c>
      <c r="D1087" s="37" t="s">
        <v>1356</v>
      </c>
      <c r="E1087" s="37" t="n">
        <v>21852540</v>
      </c>
      <c r="F1087" s="37" t="s">
        <v>139</v>
      </c>
      <c r="G1087" s="37" t="s">
        <v>198</v>
      </c>
      <c r="H1087" s="37" t="s">
        <v>173</v>
      </c>
      <c r="I1087" s="37" t="n">
        <v>78.7</v>
      </c>
      <c r="J1087" s="39" t="n">
        <v>1442.46</v>
      </c>
      <c r="K1087" s="37" t="s">
        <v>322</v>
      </c>
      <c r="L1087" s="39" t="n">
        <v>139.37</v>
      </c>
      <c r="M1087" s="39" t="n">
        <v>97.6</v>
      </c>
      <c r="N1087" s="39" t="n">
        <f aca="false">J1087*Resumo!$C$7</f>
        <v>2.88492</v>
      </c>
      <c r="O1087" s="39" t="n">
        <f aca="false">J1087*Resumo!$C$8</f>
        <v>2.88492</v>
      </c>
      <c r="P1087" s="39" t="n">
        <f aca="false">Resumo!$C$10*CEILING(I1087/100,1)</f>
        <v>1</v>
      </c>
      <c r="Q1087" s="39" t="n">
        <f aca="false">Resumo!$C$9</f>
        <v>11.9</v>
      </c>
      <c r="R1087" s="39" t="n">
        <f aca="false">SUM(M1087:Q1087)*Resumo!$C$11</f>
        <v>6.3948412</v>
      </c>
      <c r="S1087" s="39" t="n">
        <f aca="false">SUM(M1087:R1087)</f>
        <v>122.6646812</v>
      </c>
      <c r="T1087" s="39" t="n">
        <f aca="false">S1087/(1-Resumo!$C$5)</f>
        <v>139.391683181818</v>
      </c>
      <c r="U1087" s="39" t="n">
        <v>134.39</v>
      </c>
      <c r="V1087" s="39" t="n">
        <f aca="false">J1087*Resumo!$B$6</f>
        <v>1.44246</v>
      </c>
      <c r="W1087" s="39" t="n">
        <f aca="false">J1087*Resumo!$B$7</f>
        <v>2.88492</v>
      </c>
      <c r="X1087" s="39" t="n">
        <f aca="false">Resumo!$B$9</f>
        <v>1</v>
      </c>
      <c r="Y1087" s="39" t="n">
        <f aca="false">Resumo!$B$10*CEILING(I1087/100,1)</f>
        <v>4.5</v>
      </c>
      <c r="Z1087" s="39" t="n">
        <f aca="false">Resumo!$B$12*CEILING(I1087,1)</f>
        <v>4.74</v>
      </c>
      <c r="AA1087" s="39" t="n">
        <f aca="false">Resumo!$B$13*CEILING(I1087,1)</f>
        <v>35.55</v>
      </c>
      <c r="AB1087" s="39" t="n">
        <f aca="false">SUM(U1087:AA1087)</f>
        <v>184.50738</v>
      </c>
      <c r="AC1087" s="39" t="n">
        <f aca="false">AB1087/(1-Resumo!$B$5)</f>
        <v>209.667477272727</v>
      </c>
      <c r="AD1087" s="39" t="n">
        <f aca="false">(AB1087-AA1087)/(1-Resumo!$B$5)</f>
        <v>169.26975</v>
      </c>
      <c r="AE1087" s="39" t="n">
        <f aca="false">AC1087-T1087</f>
        <v>70.2757940909091</v>
      </c>
      <c r="AF1087" s="40" t="n">
        <f aca="false">AC1087/T1087-1</f>
        <v>0.504160596147215</v>
      </c>
      <c r="AG1087" s="37" t="str">
        <f aca="false">IF(AC1087&lt;T1087,"SIM","NÃO")</f>
        <v>NÃO</v>
      </c>
      <c r="AH1087" s="37" t="n">
        <v>8</v>
      </c>
      <c r="AI1087" s="37" t="n">
        <v>5</v>
      </c>
      <c r="AJ1087" s="37" t="s">
        <v>323</v>
      </c>
    </row>
    <row r="1088" customFormat="false" ht="15" hidden="false" customHeight="false" outlineLevel="0" collapsed="false">
      <c r="A1088" s="37" t="n">
        <v>377461632</v>
      </c>
      <c r="B1088" s="38" t="n">
        <v>46250.5355439815</v>
      </c>
      <c r="C1088" s="37" t="s">
        <v>325</v>
      </c>
      <c r="D1088" s="37" t="s">
        <v>1357</v>
      </c>
      <c r="E1088" s="37" t="n">
        <v>22270012</v>
      </c>
      <c r="F1088" s="37" t="s">
        <v>139</v>
      </c>
      <c r="G1088" s="37" t="s">
        <v>198</v>
      </c>
      <c r="H1088" s="37" t="s">
        <v>171</v>
      </c>
      <c r="I1088" s="37" t="n">
        <v>52.3</v>
      </c>
      <c r="J1088" s="39" t="n">
        <v>620</v>
      </c>
      <c r="K1088" s="37" t="s">
        <v>322</v>
      </c>
      <c r="L1088" s="39" t="n">
        <v>114.13</v>
      </c>
      <c r="M1088" s="39" t="n">
        <v>79.81</v>
      </c>
      <c r="N1088" s="39" t="n">
        <f aca="false">J1088*Resumo!$C$7</f>
        <v>1.24</v>
      </c>
      <c r="O1088" s="39" t="n">
        <f aca="false">J1088*Resumo!$C$8</f>
        <v>1.24</v>
      </c>
      <c r="P1088" s="39" t="n">
        <f aca="false">Resumo!$C$10*CEILING(I1088/100,1)</f>
        <v>1</v>
      </c>
      <c r="Q1088" s="39" t="n">
        <f aca="false">Resumo!$C$9</f>
        <v>11.9</v>
      </c>
      <c r="R1088" s="39" t="n">
        <f aca="false">SUM(M1088:Q1088)*Resumo!$C$11</f>
        <v>5.23545</v>
      </c>
      <c r="S1088" s="39" t="n">
        <f aca="false">SUM(M1088:R1088)</f>
        <v>100.42545</v>
      </c>
      <c r="T1088" s="39" t="n">
        <f aca="false">S1088/(1-Resumo!$C$5)</f>
        <v>114.119829545455</v>
      </c>
      <c r="U1088" s="39" t="n">
        <v>112.3</v>
      </c>
      <c r="V1088" s="39" t="n">
        <f aca="false">J1088*Resumo!$B$6</f>
        <v>0.62</v>
      </c>
      <c r="W1088" s="39" t="n">
        <f aca="false">J1088*Resumo!$B$7</f>
        <v>1.24</v>
      </c>
      <c r="X1088" s="39" t="n">
        <f aca="false">Resumo!$B$9</f>
        <v>1</v>
      </c>
      <c r="Y1088" s="39" t="n">
        <f aca="false">Resumo!$B$10*CEILING(I1088/100,1)</f>
        <v>4.5</v>
      </c>
      <c r="Z1088" s="39" t="n">
        <f aca="false">Resumo!$B$12*CEILING(I1088,1)</f>
        <v>3.18</v>
      </c>
      <c r="AA1088" s="39" t="n">
        <f aca="false">Resumo!$B$13*CEILING(I1088,1)</f>
        <v>23.85</v>
      </c>
      <c r="AB1088" s="39" t="n">
        <f aca="false">SUM(U1088:AA1088)</f>
        <v>146.69</v>
      </c>
      <c r="AC1088" s="39" t="n">
        <f aca="false">AB1088/(1-Resumo!$B$5)</f>
        <v>166.693181818182</v>
      </c>
      <c r="AD1088" s="39" t="n">
        <f aca="false">(AB1088-AA1088)/(1-Resumo!$B$5)</f>
        <v>139.590909090909</v>
      </c>
      <c r="AE1088" s="39" t="n">
        <f aca="false">AC1088-T1088</f>
        <v>52.5733522727273</v>
      </c>
      <c r="AF1088" s="40" t="n">
        <f aca="false">AC1088/T1088-1</f>
        <v>0.460685513482887</v>
      </c>
      <c r="AG1088" s="37" t="str">
        <f aca="false">IF(AC1088&lt;T1088,"SIM","NÃO")</f>
        <v>NÃO</v>
      </c>
      <c r="AH1088" s="37" t="n">
        <v>8</v>
      </c>
      <c r="AI1088" s="37" t="n">
        <v>5</v>
      </c>
      <c r="AJ1088" s="37" t="s">
        <v>323</v>
      </c>
    </row>
    <row r="1089" customFormat="false" ht="15" hidden="false" customHeight="false" outlineLevel="0" collapsed="false">
      <c r="A1089" s="37" t="n">
        <v>377462623</v>
      </c>
      <c r="B1089" s="38" t="n">
        <v>46250.5373726852</v>
      </c>
      <c r="C1089" s="37" t="s">
        <v>325</v>
      </c>
      <c r="D1089" s="37" t="s">
        <v>1358</v>
      </c>
      <c r="E1089" s="37" t="n">
        <v>22260040</v>
      </c>
      <c r="F1089" s="37" t="s">
        <v>139</v>
      </c>
      <c r="G1089" s="37" t="s">
        <v>198</v>
      </c>
      <c r="H1089" s="37" t="s">
        <v>175</v>
      </c>
      <c r="I1089" s="37" t="n">
        <v>104.6</v>
      </c>
      <c r="J1089" s="39" t="n">
        <v>1280.36</v>
      </c>
      <c r="K1089" s="37" t="s">
        <v>322</v>
      </c>
      <c r="L1089" s="39" t="n">
        <v>185.77</v>
      </c>
      <c r="M1089" s="39" t="n">
        <v>135.94</v>
      </c>
      <c r="N1089" s="39" t="n">
        <f aca="false">J1089*Resumo!$C$7</f>
        <v>2.56072</v>
      </c>
      <c r="O1089" s="39" t="n">
        <f aca="false">J1089*Resumo!$C$8</f>
        <v>2.56072</v>
      </c>
      <c r="P1089" s="39" t="n">
        <f aca="false">Resumo!$C$10*CEILING(I1089/100,1)</f>
        <v>2</v>
      </c>
      <c r="Q1089" s="39" t="n">
        <f aca="false">Resumo!$C$9</f>
        <v>11.9</v>
      </c>
      <c r="R1089" s="39" t="n">
        <f aca="false">SUM(M1089:Q1089)*Resumo!$C$11</f>
        <v>8.5228792</v>
      </c>
      <c r="S1089" s="39" t="n">
        <f aca="false">SUM(M1089:R1089)</f>
        <v>163.4843192</v>
      </c>
      <c r="T1089" s="39" t="n">
        <f aca="false">S1089/(1-Resumo!$C$5)</f>
        <v>185.777635454545</v>
      </c>
      <c r="U1089" s="39" t="n">
        <v>201.59</v>
      </c>
      <c r="V1089" s="39" t="n">
        <f aca="false">J1089*Resumo!$B$6</f>
        <v>1.28036</v>
      </c>
      <c r="W1089" s="39" t="n">
        <f aca="false">J1089*Resumo!$B$7</f>
        <v>2.56072</v>
      </c>
      <c r="X1089" s="39" t="n">
        <f aca="false">Resumo!$B$9</f>
        <v>1</v>
      </c>
      <c r="Y1089" s="39" t="n">
        <f aca="false">Resumo!$B$10*CEILING(I1089/100,1)</f>
        <v>9</v>
      </c>
      <c r="Z1089" s="39" t="n">
        <f aca="false">Resumo!$B$12*CEILING(I1089,1)</f>
        <v>6.3</v>
      </c>
      <c r="AA1089" s="39" t="n">
        <f aca="false">Resumo!$B$13*CEILING(I1089,1)</f>
        <v>47.25</v>
      </c>
      <c r="AB1089" s="39" t="n">
        <f aca="false">SUM(U1089:AA1089)</f>
        <v>268.98108</v>
      </c>
      <c r="AC1089" s="39" t="n">
        <f aca="false">AB1089/(1-Resumo!$B$5)</f>
        <v>305.660318181818</v>
      </c>
      <c r="AD1089" s="39" t="n">
        <f aca="false">(AB1089-AA1089)/(1-Resumo!$B$5)</f>
        <v>251.967136363636</v>
      </c>
      <c r="AE1089" s="39" t="n">
        <f aca="false">AC1089-T1089</f>
        <v>119.882682727273</v>
      </c>
      <c r="AF1089" s="40" t="n">
        <f aca="false">AC1089/T1089-1</f>
        <v>0.645302016219302</v>
      </c>
      <c r="AG1089" s="37" t="str">
        <f aca="false">IF(AC1089&lt;T1089,"SIM","NÃO")</f>
        <v>NÃO</v>
      </c>
      <c r="AH1089" s="37" t="n">
        <v>8</v>
      </c>
      <c r="AI1089" s="37" t="n">
        <v>5</v>
      </c>
      <c r="AJ1089" s="37" t="s">
        <v>323</v>
      </c>
    </row>
    <row r="1090" customFormat="false" ht="15" hidden="false" customHeight="false" outlineLevel="0" collapsed="false">
      <c r="A1090" s="37" t="n">
        <v>377486574</v>
      </c>
      <c r="B1090" s="38" t="n">
        <v>46250.5784837963</v>
      </c>
      <c r="C1090" s="37" t="s">
        <v>325</v>
      </c>
      <c r="D1090" s="37" t="s">
        <v>1359</v>
      </c>
      <c r="E1090" s="37" t="n">
        <v>21380400</v>
      </c>
      <c r="F1090" s="37" t="s">
        <v>139</v>
      </c>
      <c r="G1090" s="37" t="s">
        <v>198</v>
      </c>
      <c r="H1090" s="37" t="s">
        <v>172</v>
      </c>
      <c r="I1090" s="37" t="n">
        <v>69.15</v>
      </c>
      <c r="J1090" s="39" t="n">
        <v>684</v>
      </c>
      <c r="K1090" s="37" t="s">
        <v>322</v>
      </c>
      <c r="L1090" s="39" t="n">
        <v>124.49</v>
      </c>
      <c r="M1090" s="39" t="n">
        <v>88.2</v>
      </c>
      <c r="N1090" s="39" t="n">
        <f aca="false">J1090*Resumo!$C$7</f>
        <v>1.368</v>
      </c>
      <c r="O1090" s="39" t="n">
        <f aca="false">J1090*Resumo!$C$8</f>
        <v>1.368</v>
      </c>
      <c r="P1090" s="39" t="n">
        <f aca="false">Resumo!$C$10*CEILING(I1090/100,1)</f>
        <v>1</v>
      </c>
      <c r="Q1090" s="39" t="n">
        <f aca="false">Resumo!$C$9</f>
        <v>11.9</v>
      </c>
      <c r="R1090" s="39" t="n">
        <f aca="false">SUM(M1090:Q1090)*Resumo!$C$11</f>
        <v>5.71098</v>
      </c>
      <c r="S1090" s="39" t="n">
        <f aca="false">SUM(M1090:R1090)</f>
        <v>109.54698</v>
      </c>
      <c r="T1090" s="39" t="n">
        <f aca="false">S1090/(1-Resumo!$C$5)</f>
        <v>124.485204545455</v>
      </c>
      <c r="U1090" s="39" t="n">
        <v>131.02</v>
      </c>
      <c r="V1090" s="39" t="n">
        <f aca="false">J1090*Resumo!$B$6</f>
        <v>0.684</v>
      </c>
      <c r="W1090" s="39" t="n">
        <f aca="false">J1090*Resumo!$B$7</f>
        <v>1.368</v>
      </c>
      <c r="X1090" s="39" t="n">
        <f aca="false">Resumo!$B$9</f>
        <v>1</v>
      </c>
      <c r="Y1090" s="39" t="n">
        <f aca="false">Resumo!$B$10*CEILING(I1090/100,1)</f>
        <v>4.5</v>
      </c>
      <c r="Z1090" s="39" t="n">
        <f aca="false">Resumo!$B$12*CEILING(I1090,1)</f>
        <v>4.2</v>
      </c>
      <c r="AA1090" s="39" t="n">
        <f aca="false">Resumo!$B$13*CEILING(I1090,1)</f>
        <v>31.5</v>
      </c>
      <c r="AB1090" s="39" t="n">
        <f aca="false">SUM(U1090:AA1090)</f>
        <v>174.272</v>
      </c>
      <c r="AC1090" s="39" t="n">
        <f aca="false">AB1090/(1-Resumo!$B$5)</f>
        <v>198.036363636364</v>
      </c>
      <c r="AD1090" s="39" t="n">
        <f aca="false">(AB1090-AA1090)/(1-Resumo!$B$5)</f>
        <v>162.240909090909</v>
      </c>
      <c r="AE1090" s="39" t="n">
        <f aca="false">AC1090-T1090</f>
        <v>73.5511590909091</v>
      </c>
      <c r="AF1090" s="40" t="n">
        <f aca="false">AC1090/T1090-1</f>
        <v>0.590842577312492</v>
      </c>
      <c r="AG1090" s="37" t="str">
        <f aca="false">IF(AC1090&lt;T1090,"SIM","NÃO")</f>
        <v>NÃO</v>
      </c>
      <c r="AH1090" s="37" t="n">
        <v>8</v>
      </c>
      <c r="AI1090" s="37" t="n">
        <v>5</v>
      </c>
      <c r="AJ1090" s="37" t="s">
        <v>323</v>
      </c>
    </row>
    <row r="1091" customFormat="false" ht="15" hidden="false" customHeight="false" outlineLevel="0" collapsed="false">
      <c r="A1091" s="37" t="n">
        <v>377579486</v>
      </c>
      <c r="B1091" s="38" t="n">
        <v>46250.5955092593</v>
      </c>
      <c r="C1091" s="37" t="s">
        <v>325</v>
      </c>
      <c r="D1091" s="37" t="s">
        <v>1360</v>
      </c>
      <c r="E1091" s="37" t="n">
        <v>21042120</v>
      </c>
      <c r="F1091" s="37" t="s">
        <v>139</v>
      </c>
      <c r="G1091" s="37" t="s">
        <v>198</v>
      </c>
      <c r="H1091" s="37" t="s">
        <v>172</v>
      </c>
      <c r="I1091" s="37" t="n">
        <v>66.8</v>
      </c>
      <c r="J1091" s="39" t="n">
        <v>574.1</v>
      </c>
      <c r="K1091" s="37" t="s">
        <v>322</v>
      </c>
      <c r="L1091" s="39" t="n">
        <v>123.97</v>
      </c>
      <c r="M1091" s="39" t="n">
        <v>88.2</v>
      </c>
      <c r="N1091" s="39" t="n">
        <f aca="false">J1091*Resumo!$C$7</f>
        <v>1.1482</v>
      </c>
      <c r="O1091" s="39" t="n">
        <f aca="false">J1091*Resumo!$C$8</f>
        <v>1.1482</v>
      </c>
      <c r="P1091" s="39" t="n">
        <f aca="false">Resumo!$C$10*CEILING(I1091/100,1)</f>
        <v>1</v>
      </c>
      <c r="Q1091" s="39" t="n">
        <f aca="false">Resumo!$C$9</f>
        <v>11.9</v>
      </c>
      <c r="R1091" s="39" t="n">
        <f aca="false">SUM(M1091:Q1091)*Resumo!$C$11</f>
        <v>5.686802</v>
      </c>
      <c r="S1091" s="39" t="n">
        <f aca="false">SUM(M1091:R1091)</f>
        <v>109.083202</v>
      </c>
      <c r="T1091" s="39" t="n">
        <f aca="false">S1091/(1-Resumo!$C$5)</f>
        <v>123.958184090909</v>
      </c>
      <c r="U1091" s="39" t="n">
        <v>131.02</v>
      </c>
      <c r="V1091" s="39" t="n">
        <f aca="false">J1091*Resumo!$B$6</f>
        <v>0.5741</v>
      </c>
      <c r="W1091" s="39" t="n">
        <f aca="false">J1091*Resumo!$B$7</f>
        <v>1.1482</v>
      </c>
      <c r="X1091" s="39" t="n">
        <f aca="false">Resumo!$B$9</f>
        <v>1</v>
      </c>
      <c r="Y1091" s="39" t="n">
        <f aca="false">Resumo!$B$10*CEILING(I1091/100,1)</f>
        <v>4.5</v>
      </c>
      <c r="Z1091" s="39" t="n">
        <f aca="false">Resumo!$B$12*CEILING(I1091,1)</f>
        <v>4.02</v>
      </c>
      <c r="AA1091" s="39" t="n">
        <f aca="false">Resumo!$B$13*CEILING(I1091,1)</f>
        <v>30.15</v>
      </c>
      <c r="AB1091" s="39" t="n">
        <f aca="false">SUM(U1091:AA1091)</f>
        <v>172.4123</v>
      </c>
      <c r="AC1091" s="39" t="n">
        <f aca="false">AB1091/(1-Resumo!$B$5)</f>
        <v>195.923068181818</v>
      </c>
      <c r="AD1091" s="39" t="n">
        <f aca="false">(AB1091-AA1091)/(1-Resumo!$B$5)</f>
        <v>161.661704545455</v>
      </c>
      <c r="AE1091" s="39" t="n">
        <f aca="false">AC1091-T1091</f>
        <v>71.9648840909091</v>
      </c>
      <c r="AF1091" s="40" t="n">
        <f aca="false">AC1091/T1091-1</f>
        <v>0.580557747103903</v>
      </c>
      <c r="AG1091" s="37" t="str">
        <f aca="false">IF(AC1091&lt;T1091,"SIM","NÃO")</f>
        <v>NÃO</v>
      </c>
      <c r="AH1091" s="37" t="n">
        <v>8</v>
      </c>
      <c r="AI1091" s="37" t="n">
        <v>5</v>
      </c>
      <c r="AJ1091" s="37" t="s">
        <v>323</v>
      </c>
    </row>
    <row r="1092" customFormat="false" ht="15" hidden="false" customHeight="false" outlineLevel="0" collapsed="false">
      <c r="A1092" s="37" t="n">
        <v>377500684</v>
      </c>
      <c r="B1092" s="38" t="n">
        <v>46250.6007986111</v>
      </c>
      <c r="C1092" s="37" t="s">
        <v>320</v>
      </c>
      <c r="D1092" s="37" t="s">
        <v>1361</v>
      </c>
      <c r="E1092" s="37" t="n">
        <v>23535230</v>
      </c>
      <c r="F1092" s="37" t="s">
        <v>139</v>
      </c>
      <c r="G1092" s="37" t="s">
        <v>198</v>
      </c>
      <c r="H1092" s="37" t="s">
        <v>168</v>
      </c>
      <c r="I1092" s="37" t="n">
        <v>27.5</v>
      </c>
      <c r="J1092" s="39" t="n">
        <v>342.07</v>
      </c>
      <c r="K1092" s="37" t="s">
        <v>498</v>
      </c>
      <c r="L1092" s="39" t="n">
        <v>80.4</v>
      </c>
      <c r="M1092" s="39" t="n">
        <v>54.1</v>
      </c>
      <c r="N1092" s="39" t="n">
        <f aca="false">J1092*Resumo!$C$7</f>
        <v>0.68414</v>
      </c>
      <c r="O1092" s="39" t="n">
        <f aca="false">J1092*Resumo!$C$8</f>
        <v>0.68414</v>
      </c>
      <c r="P1092" s="39" t="n">
        <f aca="false">Resumo!$C$10*CEILING(I1092/100,1)</f>
        <v>1</v>
      </c>
      <c r="Q1092" s="39" t="n">
        <f aca="false">Resumo!$C$9</f>
        <v>11.9</v>
      </c>
      <c r="R1092" s="39" t="n">
        <f aca="false">SUM(M1092:Q1092)*Resumo!$C$11</f>
        <v>3.7602554</v>
      </c>
      <c r="S1092" s="39" t="n">
        <f aca="false">SUM(M1092:R1092)</f>
        <v>72.1285354</v>
      </c>
      <c r="T1092" s="39" t="n">
        <f aca="false">S1092/(1-Resumo!$C$5)</f>
        <v>81.9642447727273</v>
      </c>
      <c r="U1092" s="39" t="n">
        <v>82.21</v>
      </c>
      <c r="V1092" s="39" t="n">
        <f aca="false">J1092*Resumo!$B$6</f>
        <v>0.34207</v>
      </c>
      <c r="W1092" s="39" t="n">
        <f aca="false">J1092*Resumo!$B$7</f>
        <v>0.68414</v>
      </c>
      <c r="X1092" s="39" t="n">
        <f aca="false">Resumo!$B$9</f>
        <v>1</v>
      </c>
      <c r="Y1092" s="39" t="n">
        <f aca="false">Resumo!$B$10*CEILING(I1092/100,1)</f>
        <v>4.5</v>
      </c>
      <c r="Z1092" s="39" t="n">
        <f aca="false">Resumo!$B$12*CEILING(I1092,1)</f>
        <v>1.68</v>
      </c>
      <c r="AA1092" s="39" t="n">
        <f aca="false">Resumo!$B$13*CEILING(I1092,1)</f>
        <v>12.6</v>
      </c>
      <c r="AB1092" s="39" t="n">
        <f aca="false">SUM(U1092:AA1092)</f>
        <v>103.01621</v>
      </c>
      <c r="AC1092" s="39" t="n">
        <f aca="false">AB1092/(1-Resumo!$B$5)</f>
        <v>117.063875</v>
      </c>
      <c r="AD1092" s="39" t="n">
        <f aca="false">(AB1092-AA1092)/(1-Resumo!$B$5)</f>
        <v>102.745693181818</v>
      </c>
      <c r="AE1092" s="39" t="n">
        <f aca="false">AC1092-T1092</f>
        <v>35.0996302272727</v>
      </c>
      <c r="AF1092" s="40" t="n">
        <f aca="false">AC1092/T1092-1</f>
        <v>0.428230996632714</v>
      </c>
      <c r="AG1092" s="37" t="str">
        <f aca="false">IF(AC1092&lt;T1092,"SIM","NÃO")</f>
        <v>NÃO</v>
      </c>
      <c r="AH1092" s="37" t="n">
        <v>8</v>
      </c>
      <c r="AI1092" s="37" t="n">
        <v>5</v>
      </c>
      <c r="AJ1092" s="37" t="s">
        <v>323</v>
      </c>
    </row>
    <row r="1093" customFormat="false" ht="15" hidden="false" customHeight="false" outlineLevel="0" collapsed="false">
      <c r="A1093" s="37" t="n">
        <v>377503996</v>
      </c>
      <c r="B1093" s="38" t="n">
        <v>46250.6123032407</v>
      </c>
      <c r="C1093" s="37" t="s">
        <v>355</v>
      </c>
      <c r="D1093" s="37" t="s">
        <v>1362</v>
      </c>
      <c r="E1093" s="37" t="n">
        <v>24726460</v>
      </c>
      <c r="F1093" s="37" t="s">
        <v>140</v>
      </c>
      <c r="G1093" s="37" t="s">
        <v>207</v>
      </c>
      <c r="H1093" s="37" t="s">
        <v>170</v>
      </c>
      <c r="I1093" s="37" t="n">
        <v>48.6</v>
      </c>
      <c r="J1093" s="39" t="n">
        <v>699.99</v>
      </c>
      <c r="K1093" s="37" t="s">
        <v>498</v>
      </c>
      <c r="L1093" s="39" t="n">
        <v>119.26</v>
      </c>
      <c r="M1093" s="39" t="n">
        <v>82.25</v>
      </c>
      <c r="N1093" s="39" t="n">
        <f aca="false">J1093*Resumo!$C$7</f>
        <v>1.39998</v>
      </c>
      <c r="O1093" s="39" t="n">
        <f aca="false">J1093*Resumo!$C$8</f>
        <v>1.39998</v>
      </c>
      <c r="P1093" s="39" t="n">
        <f aca="false">Resumo!$C$10*CEILING(I1093/100,1)</f>
        <v>1</v>
      </c>
      <c r="Q1093" s="39" t="n">
        <f aca="false">Resumo!$C$9</f>
        <v>11.9</v>
      </c>
      <c r="R1093" s="39" t="n">
        <f aca="false">SUM(M1093:Q1093)*Resumo!$C$11</f>
        <v>5.3872478</v>
      </c>
      <c r="S1093" s="39" t="n">
        <f aca="false">SUM(M1093:R1093)</f>
        <v>103.3372078</v>
      </c>
      <c r="T1093" s="39" t="n">
        <f aca="false">S1093/(1-Resumo!$C$5)</f>
        <v>117.428645227273</v>
      </c>
      <c r="U1093" s="39" t="n">
        <v>114.95</v>
      </c>
      <c r="V1093" s="39" t="n">
        <f aca="false">J1093*Resumo!$B$6</f>
        <v>0.69999</v>
      </c>
      <c r="W1093" s="39" t="n">
        <f aca="false">J1093*Resumo!$B$7</f>
        <v>1.39998</v>
      </c>
      <c r="X1093" s="39" t="n">
        <f aca="false">Resumo!$B$9</f>
        <v>1</v>
      </c>
      <c r="Y1093" s="39" t="n">
        <f aca="false">Resumo!$B$10*CEILING(I1093/100,1)</f>
        <v>4.5</v>
      </c>
      <c r="Z1093" s="39" t="n">
        <f aca="false">Resumo!$B$12*CEILING(I1093,1)</f>
        <v>2.94</v>
      </c>
      <c r="AA1093" s="39" t="n">
        <f aca="false">Resumo!$B$13*CEILING(I1093,1)</f>
        <v>22.05</v>
      </c>
      <c r="AB1093" s="39" t="n">
        <f aca="false">SUM(U1093:AA1093)</f>
        <v>147.53997</v>
      </c>
      <c r="AC1093" s="39" t="n">
        <f aca="false">AB1093/(1-Resumo!$B$5)</f>
        <v>167.659056818182</v>
      </c>
      <c r="AD1093" s="39" t="n">
        <f aca="false">(AB1093-AA1093)/(1-Resumo!$B$5)</f>
        <v>142.602238636364</v>
      </c>
      <c r="AE1093" s="39" t="n">
        <f aca="false">AC1093-T1093</f>
        <v>50.2304115909091</v>
      </c>
      <c r="AF1093" s="40" t="n">
        <f aca="false">AC1093/T1093-1</f>
        <v>0.427752627935821</v>
      </c>
      <c r="AG1093" s="37" t="str">
        <f aca="false">IF(AC1093&lt;T1093,"SIM","NÃO")</f>
        <v>NÃO</v>
      </c>
      <c r="AH1093" s="37" t="n">
        <v>10</v>
      </c>
      <c r="AI1093" s="37" t="n">
        <v>7</v>
      </c>
      <c r="AJ1093" s="37" t="s">
        <v>323</v>
      </c>
    </row>
    <row r="1094" customFormat="false" ht="15" hidden="false" customHeight="false" outlineLevel="0" collapsed="false">
      <c r="A1094" s="37" t="n">
        <v>377509946</v>
      </c>
      <c r="B1094" s="38" t="n">
        <v>46250.6146412037</v>
      </c>
      <c r="C1094" s="37" t="s">
        <v>320</v>
      </c>
      <c r="D1094" s="37" t="s">
        <v>1363</v>
      </c>
      <c r="E1094" s="37" t="n">
        <v>27343270</v>
      </c>
      <c r="F1094" s="37" t="s">
        <v>233</v>
      </c>
      <c r="G1094" s="37" t="s">
        <v>201</v>
      </c>
      <c r="H1094" s="37" t="s">
        <v>170</v>
      </c>
      <c r="I1094" s="37" t="n">
        <v>48.3</v>
      </c>
      <c r="J1094" s="39" t="n">
        <v>449.99</v>
      </c>
      <c r="K1094" s="37" t="s">
        <v>498</v>
      </c>
      <c r="L1094" s="39" t="n">
        <v>132.08</v>
      </c>
      <c r="M1094" s="39" t="n">
        <v>94</v>
      </c>
      <c r="N1094" s="39" t="n">
        <f aca="false">J1094*Resumo!$C$7</f>
        <v>0.89998</v>
      </c>
      <c r="O1094" s="39" t="n">
        <f aca="false">J1094*Resumo!$C$8</f>
        <v>0.89998</v>
      </c>
      <c r="P1094" s="39" t="n">
        <f aca="false">Resumo!$C$10*CEILING(I1094/100,1)</f>
        <v>1</v>
      </c>
      <c r="Q1094" s="39" t="n">
        <f aca="false">Resumo!$C$9</f>
        <v>11.9</v>
      </c>
      <c r="R1094" s="39" t="n">
        <f aca="false">SUM(M1094:Q1094)*Resumo!$C$11</f>
        <v>5.9784978</v>
      </c>
      <c r="S1094" s="39" t="n">
        <f aca="false">SUM(M1094:R1094)</f>
        <v>114.6784578</v>
      </c>
      <c r="T1094" s="39" t="n">
        <f aca="false">S1094/(1-Resumo!$C$5)</f>
        <v>130.316429318182</v>
      </c>
      <c r="U1094" s="39" t="n">
        <v>124.38</v>
      </c>
      <c r="V1094" s="39" t="n">
        <f aca="false">J1094*Resumo!$B$6</f>
        <v>0.44999</v>
      </c>
      <c r="W1094" s="39" t="n">
        <f aca="false">J1094*Resumo!$B$7</f>
        <v>0.89998</v>
      </c>
      <c r="X1094" s="39" t="n">
        <f aca="false">Resumo!$B$9</f>
        <v>1</v>
      </c>
      <c r="Y1094" s="39" t="n">
        <f aca="false">Resumo!$B$10*CEILING(I1094/100,1)</f>
        <v>4.5</v>
      </c>
      <c r="Z1094" s="39" t="n">
        <f aca="false">Resumo!$B$12*CEILING(I1094,1)</f>
        <v>2.94</v>
      </c>
      <c r="AA1094" s="39" t="n">
        <f aca="false">Resumo!$B$13*CEILING(I1094,1)</f>
        <v>22.05</v>
      </c>
      <c r="AB1094" s="39" t="n">
        <f aca="false">SUM(U1094:AA1094)</f>
        <v>156.21997</v>
      </c>
      <c r="AC1094" s="39" t="n">
        <f aca="false">AB1094/(1-Resumo!$B$5)</f>
        <v>177.522693181818</v>
      </c>
      <c r="AD1094" s="39" t="n">
        <f aca="false">(AB1094-AA1094)/(1-Resumo!$B$5)</f>
        <v>152.465875</v>
      </c>
      <c r="AE1094" s="39" t="n">
        <f aca="false">AC1094-T1094</f>
        <v>47.2062638636364</v>
      </c>
      <c r="AF1094" s="40" t="n">
        <f aca="false">AC1094/T1094-1</f>
        <v>0.362243380290731</v>
      </c>
      <c r="AG1094" s="37" t="str">
        <f aca="false">IF(AC1094&lt;T1094,"SIM","NÃO")</f>
        <v>NÃO</v>
      </c>
      <c r="AH1094" s="37" t="n">
        <v>13</v>
      </c>
      <c r="AI1094" s="37" t="n">
        <v>10</v>
      </c>
      <c r="AJ1094" s="37" t="s">
        <v>327</v>
      </c>
    </row>
    <row r="1095" customFormat="false" ht="15" hidden="false" customHeight="false" outlineLevel="0" collapsed="false">
      <c r="A1095" s="37" t="n">
        <v>377602185</v>
      </c>
      <c r="B1095" s="38" t="n">
        <v>46250.6302199074</v>
      </c>
      <c r="C1095" s="37" t="s">
        <v>325</v>
      </c>
      <c r="D1095" s="37" t="s">
        <v>1364</v>
      </c>
      <c r="E1095" s="37" t="n">
        <v>24804141</v>
      </c>
      <c r="F1095" s="37" t="s">
        <v>154</v>
      </c>
      <c r="G1095" s="37" t="s">
        <v>201</v>
      </c>
      <c r="H1095" s="37" t="s">
        <v>172</v>
      </c>
      <c r="I1095" s="37" t="n">
        <v>69.15</v>
      </c>
      <c r="J1095" s="39" t="n">
        <v>707</v>
      </c>
      <c r="K1095" s="37" t="s">
        <v>498</v>
      </c>
      <c r="L1095" s="39" t="n">
        <v>158.25</v>
      </c>
      <c r="M1095" s="39" t="n">
        <v>113.9</v>
      </c>
      <c r="N1095" s="39" t="n">
        <f aca="false">J1095*Resumo!$C$7</f>
        <v>1.414</v>
      </c>
      <c r="O1095" s="39" t="n">
        <f aca="false">J1095*Resumo!$C$8</f>
        <v>1.414</v>
      </c>
      <c r="P1095" s="39" t="n">
        <f aca="false">Resumo!$C$10*CEILING(I1095/100,1)</f>
        <v>1</v>
      </c>
      <c r="Q1095" s="39" t="n">
        <f aca="false">Resumo!$C$9</f>
        <v>11.9</v>
      </c>
      <c r="R1095" s="39" t="n">
        <f aca="false">SUM(M1095:Q1095)*Resumo!$C$11</f>
        <v>7.12954</v>
      </c>
      <c r="S1095" s="39" t="n">
        <f aca="false">SUM(M1095:R1095)</f>
        <v>136.75754</v>
      </c>
      <c r="T1095" s="39" t="n">
        <f aca="false">S1095/(1-Resumo!$C$5)</f>
        <v>155.406295454545</v>
      </c>
      <c r="U1095" s="39" t="n">
        <v>149.5</v>
      </c>
      <c r="V1095" s="39" t="n">
        <f aca="false">J1095*Resumo!$B$6</f>
        <v>0.707</v>
      </c>
      <c r="W1095" s="39" t="n">
        <f aca="false">J1095*Resumo!$B$7</f>
        <v>1.414</v>
      </c>
      <c r="X1095" s="39" t="n">
        <f aca="false">Resumo!$B$9</f>
        <v>1</v>
      </c>
      <c r="Y1095" s="39" t="n">
        <f aca="false">Resumo!$B$10*CEILING(I1095/100,1)</f>
        <v>4.5</v>
      </c>
      <c r="Z1095" s="39" t="n">
        <f aca="false">Resumo!$B$12*CEILING(I1095,1)</f>
        <v>4.2</v>
      </c>
      <c r="AA1095" s="39" t="n">
        <f aca="false">Resumo!$B$13*CEILING(I1095,1)</f>
        <v>31.5</v>
      </c>
      <c r="AB1095" s="39" t="n">
        <f aca="false">SUM(U1095:AA1095)</f>
        <v>192.821</v>
      </c>
      <c r="AC1095" s="39" t="n">
        <f aca="false">AB1095/(1-Resumo!$B$5)</f>
        <v>219.114772727273</v>
      </c>
      <c r="AD1095" s="39" t="n">
        <f aca="false">(AB1095-AA1095)/(1-Resumo!$B$5)</f>
        <v>183.319318181818</v>
      </c>
      <c r="AE1095" s="39" t="n">
        <f aca="false">AC1095-T1095</f>
        <v>63.7084772727273</v>
      </c>
      <c r="AF1095" s="40" t="n">
        <f aca="false">AC1095/T1095-1</f>
        <v>0.409947853697866</v>
      </c>
      <c r="AG1095" s="37" t="str">
        <f aca="false">IF(AC1095&lt;T1095,"SIM","NÃO")</f>
        <v>NÃO</v>
      </c>
      <c r="AH1095" s="37" t="n">
        <v>13</v>
      </c>
      <c r="AI1095" s="37" t="n">
        <v>7</v>
      </c>
      <c r="AJ1095" s="37" t="s">
        <v>323</v>
      </c>
    </row>
    <row r="1096" customFormat="false" ht="15" hidden="false" customHeight="false" outlineLevel="0" collapsed="false">
      <c r="A1096" s="37" t="n">
        <v>377540596</v>
      </c>
      <c r="B1096" s="38" t="n">
        <v>46250.6592592593</v>
      </c>
      <c r="C1096" s="37" t="s">
        <v>320</v>
      </c>
      <c r="D1096" s="37" t="s">
        <v>1365</v>
      </c>
      <c r="E1096" s="37" t="n">
        <v>26041070</v>
      </c>
      <c r="F1096" s="37" t="s">
        <v>142</v>
      </c>
      <c r="G1096" s="37" t="s">
        <v>207</v>
      </c>
      <c r="H1096" s="37" t="s">
        <v>169</v>
      </c>
      <c r="I1096" s="37" t="n">
        <v>37.2</v>
      </c>
      <c r="J1096" s="39" t="n">
        <v>429.99</v>
      </c>
      <c r="K1096" s="37" t="s">
        <v>322</v>
      </c>
      <c r="L1096" s="39" t="n">
        <v>113.01</v>
      </c>
      <c r="M1096" s="39" t="n">
        <v>79.65</v>
      </c>
      <c r="N1096" s="39" t="n">
        <f aca="false">J1096*Resumo!$C$7</f>
        <v>0.85998</v>
      </c>
      <c r="O1096" s="39" t="n">
        <f aca="false">J1096*Resumo!$C$8</f>
        <v>0.85998</v>
      </c>
      <c r="P1096" s="39" t="n">
        <f aca="false">Resumo!$C$10*CEILING(I1096/100,1)</f>
        <v>1</v>
      </c>
      <c r="Q1096" s="39" t="n">
        <f aca="false">Resumo!$C$9</f>
        <v>11.9</v>
      </c>
      <c r="R1096" s="39" t="n">
        <f aca="false">SUM(M1096:Q1096)*Resumo!$C$11</f>
        <v>5.1848478</v>
      </c>
      <c r="S1096" s="39" t="n">
        <f aca="false">SUM(M1096:R1096)</f>
        <v>99.4548078</v>
      </c>
      <c r="T1096" s="39" t="n">
        <f aca="false">S1096/(1-Resumo!$C$5)</f>
        <v>113.016827045455</v>
      </c>
      <c r="U1096" s="39" t="n">
        <v>93.97</v>
      </c>
      <c r="V1096" s="39" t="n">
        <f aca="false">J1096*Resumo!$B$6</f>
        <v>0.42999</v>
      </c>
      <c r="W1096" s="39" t="n">
        <f aca="false">J1096*Resumo!$B$7</f>
        <v>0.85998</v>
      </c>
      <c r="X1096" s="39" t="n">
        <f aca="false">Resumo!$B$9</f>
        <v>1</v>
      </c>
      <c r="Y1096" s="39" t="n">
        <f aca="false">Resumo!$B$10*CEILING(I1096/100,1)</f>
        <v>4.5</v>
      </c>
      <c r="Z1096" s="39" t="n">
        <f aca="false">Resumo!$B$12*CEILING(I1096,1)</f>
        <v>2.28</v>
      </c>
      <c r="AA1096" s="39" t="n">
        <f aca="false">Resumo!$B$13*CEILING(I1096,1)</f>
        <v>17.1</v>
      </c>
      <c r="AB1096" s="39" t="n">
        <f aca="false">SUM(U1096:AA1096)</f>
        <v>120.13997</v>
      </c>
      <c r="AC1096" s="39" t="n">
        <f aca="false">AB1096/(1-Resumo!$B$5)</f>
        <v>136.522693181818</v>
      </c>
      <c r="AD1096" s="39" t="n">
        <f aca="false">(AB1096-AA1096)/(1-Resumo!$B$5)</f>
        <v>117.090875</v>
      </c>
      <c r="AE1096" s="39" t="n">
        <f aca="false">AC1096-T1096</f>
        <v>23.5058661363636</v>
      </c>
      <c r="AF1096" s="40" t="n">
        <f aca="false">AC1096/T1096-1</f>
        <v>0.207985542957331</v>
      </c>
      <c r="AG1096" s="37" t="str">
        <f aca="false">IF(AC1096&lt;T1096,"SIM","NÃO")</f>
        <v>NÃO</v>
      </c>
      <c r="AH1096" s="37" t="n">
        <v>10</v>
      </c>
      <c r="AI1096" s="37" t="n">
        <v>5</v>
      </c>
      <c r="AJ1096" s="37" t="s">
        <v>323</v>
      </c>
    </row>
    <row r="1097" customFormat="false" ht="15" hidden="false" customHeight="false" outlineLevel="0" collapsed="false">
      <c r="A1097" s="37" t="n">
        <v>377547866</v>
      </c>
      <c r="B1097" s="38" t="n">
        <v>46250.6696643519</v>
      </c>
      <c r="C1097" s="37" t="s">
        <v>325</v>
      </c>
      <c r="D1097" s="37" t="s">
        <v>1366</v>
      </c>
      <c r="E1097" s="37" t="n">
        <v>26010390</v>
      </c>
      <c r="F1097" s="37" t="s">
        <v>142</v>
      </c>
      <c r="G1097" s="37" t="s">
        <v>207</v>
      </c>
      <c r="H1097" s="37" t="s">
        <v>169</v>
      </c>
      <c r="I1097" s="37" t="n">
        <v>36.8</v>
      </c>
      <c r="J1097" s="39" t="n">
        <v>444.99</v>
      </c>
      <c r="K1097" s="37" t="s">
        <v>322</v>
      </c>
      <c r="L1097" s="39" t="n">
        <v>113.09</v>
      </c>
      <c r="M1097" s="39" t="n">
        <v>79.65</v>
      </c>
      <c r="N1097" s="39" t="n">
        <f aca="false">J1097*Resumo!$C$7</f>
        <v>0.88998</v>
      </c>
      <c r="O1097" s="39" t="n">
        <f aca="false">J1097*Resumo!$C$8</f>
        <v>0.88998</v>
      </c>
      <c r="P1097" s="39" t="n">
        <f aca="false">Resumo!$C$10*CEILING(I1097/100,1)</f>
        <v>1</v>
      </c>
      <c r="Q1097" s="39" t="n">
        <f aca="false">Resumo!$C$9</f>
        <v>11.9</v>
      </c>
      <c r="R1097" s="39" t="n">
        <f aca="false">SUM(M1097:Q1097)*Resumo!$C$11</f>
        <v>5.1881478</v>
      </c>
      <c r="S1097" s="39" t="n">
        <f aca="false">SUM(M1097:R1097)</f>
        <v>99.5181078</v>
      </c>
      <c r="T1097" s="39" t="n">
        <f aca="false">S1097/(1-Resumo!$C$5)</f>
        <v>113.088758863636</v>
      </c>
      <c r="U1097" s="39" t="n">
        <v>93.97</v>
      </c>
      <c r="V1097" s="39" t="n">
        <f aca="false">J1097*Resumo!$B$6</f>
        <v>0.44499</v>
      </c>
      <c r="W1097" s="39" t="n">
        <f aca="false">J1097*Resumo!$B$7</f>
        <v>0.88998</v>
      </c>
      <c r="X1097" s="39" t="n">
        <f aca="false">Resumo!$B$9</f>
        <v>1</v>
      </c>
      <c r="Y1097" s="39" t="n">
        <f aca="false">Resumo!$B$10*CEILING(I1097/100,1)</f>
        <v>4.5</v>
      </c>
      <c r="Z1097" s="39" t="n">
        <f aca="false">Resumo!$B$12*CEILING(I1097,1)</f>
        <v>2.22</v>
      </c>
      <c r="AA1097" s="39" t="n">
        <f aca="false">Resumo!$B$13*CEILING(I1097,1)</f>
        <v>16.65</v>
      </c>
      <c r="AB1097" s="39" t="n">
        <f aca="false">SUM(U1097:AA1097)</f>
        <v>119.67497</v>
      </c>
      <c r="AC1097" s="39" t="n">
        <f aca="false">AB1097/(1-Resumo!$B$5)</f>
        <v>135.994284090909</v>
      </c>
      <c r="AD1097" s="39" t="n">
        <f aca="false">(AB1097-AA1097)/(1-Resumo!$B$5)</f>
        <v>117.073829545455</v>
      </c>
      <c r="AE1097" s="39" t="n">
        <f aca="false">AC1097-T1097</f>
        <v>22.9055252272727</v>
      </c>
      <c r="AF1097" s="40" t="n">
        <f aca="false">AC1097/T1097-1</f>
        <v>0.20254466896124</v>
      </c>
      <c r="AG1097" s="37" t="str">
        <f aca="false">IF(AC1097&lt;T1097,"SIM","NÃO")</f>
        <v>NÃO</v>
      </c>
      <c r="AH1097" s="37" t="n">
        <v>10</v>
      </c>
      <c r="AI1097" s="37" t="n">
        <v>5</v>
      </c>
      <c r="AJ1097" s="37" t="s">
        <v>323</v>
      </c>
    </row>
    <row r="1098" customFormat="false" ht="15" hidden="false" customHeight="false" outlineLevel="0" collapsed="false">
      <c r="A1098" s="37" t="n">
        <v>377547749</v>
      </c>
      <c r="B1098" s="38" t="n">
        <v>46250.6697222222</v>
      </c>
      <c r="C1098" s="37" t="s">
        <v>325</v>
      </c>
      <c r="D1098" s="37" t="s">
        <v>1367</v>
      </c>
      <c r="E1098" s="37" t="n">
        <v>22730170</v>
      </c>
      <c r="F1098" s="37" t="s">
        <v>139</v>
      </c>
      <c r="G1098" s="37" t="s">
        <v>198</v>
      </c>
      <c r="H1098" s="37" t="s">
        <v>174</v>
      </c>
      <c r="I1098" s="37" t="n">
        <v>81.7</v>
      </c>
      <c r="J1098" s="39" t="n">
        <v>563</v>
      </c>
      <c r="K1098" s="37" t="s">
        <v>322</v>
      </c>
      <c r="L1098" s="39" t="n">
        <v>161.8</v>
      </c>
      <c r="M1098" s="39" t="n">
        <v>119.8</v>
      </c>
      <c r="N1098" s="39" t="n">
        <f aca="false">J1098*Resumo!$C$7</f>
        <v>1.126</v>
      </c>
      <c r="O1098" s="39" t="n">
        <f aca="false">J1098*Resumo!$C$8</f>
        <v>1.126</v>
      </c>
      <c r="P1098" s="39" t="n">
        <f aca="false">Resumo!$C$10*CEILING(I1098/100,1)</f>
        <v>1</v>
      </c>
      <c r="Q1098" s="39" t="n">
        <f aca="false">Resumo!$C$9</f>
        <v>11.9</v>
      </c>
      <c r="R1098" s="39" t="n">
        <f aca="false">SUM(M1098:Q1098)*Resumo!$C$11</f>
        <v>7.42236</v>
      </c>
      <c r="S1098" s="39" t="n">
        <f aca="false">SUM(M1098:R1098)</f>
        <v>142.37436</v>
      </c>
      <c r="T1098" s="39" t="n">
        <f aca="false">S1098/(1-Resumo!$C$5)</f>
        <v>161.789045454545</v>
      </c>
      <c r="U1098" s="39" t="n">
        <v>167.99</v>
      </c>
      <c r="V1098" s="39" t="n">
        <f aca="false">J1098*Resumo!$B$6</f>
        <v>0.563</v>
      </c>
      <c r="W1098" s="39" t="n">
        <f aca="false">J1098*Resumo!$B$7</f>
        <v>1.126</v>
      </c>
      <c r="X1098" s="39" t="n">
        <f aca="false">Resumo!$B$9</f>
        <v>1</v>
      </c>
      <c r="Y1098" s="39" t="n">
        <f aca="false">Resumo!$B$10*CEILING(I1098/100,1)</f>
        <v>4.5</v>
      </c>
      <c r="Z1098" s="39" t="n">
        <f aca="false">Resumo!$B$12*CEILING(I1098,1)</f>
        <v>4.92</v>
      </c>
      <c r="AA1098" s="39" t="n">
        <f aca="false">Resumo!$B$13*CEILING(I1098,1)</f>
        <v>36.9</v>
      </c>
      <c r="AB1098" s="39" t="n">
        <f aca="false">SUM(U1098:AA1098)</f>
        <v>216.999</v>
      </c>
      <c r="AC1098" s="39" t="n">
        <f aca="false">AB1098/(1-Resumo!$B$5)</f>
        <v>246.589772727273</v>
      </c>
      <c r="AD1098" s="39" t="n">
        <f aca="false">(AB1098-AA1098)/(1-Resumo!$B$5)</f>
        <v>204.657954545455</v>
      </c>
      <c r="AE1098" s="39" t="n">
        <f aca="false">AC1098-T1098</f>
        <v>84.8007272727273</v>
      </c>
      <c r="AF1098" s="40" t="n">
        <f aca="false">AC1098/T1098-1</f>
        <v>0.524143813534965</v>
      </c>
      <c r="AG1098" s="37" t="str">
        <f aca="false">IF(AC1098&lt;T1098,"SIM","NÃO")</f>
        <v>NÃO</v>
      </c>
      <c r="AH1098" s="37" t="n">
        <v>8</v>
      </c>
      <c r="AI1098" s="37" t="n">
        <v>5</v>
      </c>
      <c r="AJ1098" s="37" t="s">
        <v>323</v>
      </c>
    </row>
    <row r="1099" customFormat="false" ht="15" hidden="false" customHeight="false" outlineLevel="0" collapsed="false">
      <c r="A1099" s="37" t="n">
        <v>377544315</v>
      </c>
      <c r="B1099" s="38" t="n">
        <v>46250.6702662037</v>
      </c>
      <c r="C1099" s="37" t="s">
        <v>355</v>
      </c>
      <c r="D1099" s="37" t="s">
        <v>1368</v>
      </c>
      <c r="E1099" s="37" t="n">
        <v>22450130</v>
      </c>
      <c r="F1099" s="37" t="s">
        <v>139</v>
      </c>
      <c r="G1099" s="37" t="s">
        <v>198</v>
      </c>
      <c r="H1099" s="37" t="s">
        <v>167</v>
      </c>
      <c r="I1099" s="37" t="n">
        <v>15.05</v>
      </c>
      <c r="J1099" s="39" t="n">
        <v>228.79</v>
      </c>
      <c r="K1099" s="37" t="s">
        <v>498</v>
      </c>
      <c r="L1099" s="39" t="n">
        <v>63.84</v>
      </c>
      <c r="M1099" s="39" t="n">
        <v>39.83</v>
      </c>
      <c r="N1099" s="39" t="n">
        <f aca="false">J1099*Resumo!$C$7</f>
        <v>0.45758</v>
      </c>
      <c r="O1099" s="39" t="n">
        <f aca="false">J1099*Resumo!$C$8</f>
        <v>0.45758</v>
      </c>
      <c r="P1099" s="39" t="n">
        <f aca="false">Resumo!$C$10*CEILING(I1099/100,1)</f>
        <v>1</v>
      </c>
      <c r="Q1099" s="39" t="n">
        <f aca="false">Resumo!$C$9</f>
        <v>11.9</v>
      </c>
      <c r="R1099" s="39" t="n">
        <f aca="false">SUM(M1099:Q1099)*Resumo!$C$11</f>
        <v>2.9504838</v>
      </c>
      <c r="S1099" s="39" t="n">
        <f aca="false">SUM(M1099:R1099)</f>
        <v>56.5956438</v>
      </c>
      <c r="T1099" s="39" t="n">
        <f aca="false">S1099/(1-Resumo!$C$5)</f>
        <v>64.3132315909091</v>
      </c>
      <c r="U1099" s="39" t="n">
        <v>46.98</v>
      </c>
      <c r="V1099" s="39" t="n">
        <f aca="false">J1099*Resumo!$B$6</f>
        <v>0.22879</v>
      </c>
      <c r="W1099" s="39" t="n">
        <f aca="false">J1099*Resumo!$B$7</f>
        <v>0.45758</v>
      </c>
      <c r="X1099" s="39" t="n">
        <f aca="false">Resumo!$B$9</f>
        <v>1</v>
      </c>
      <c r="Y1099" s="39" t="n">
        <f aca="false">Resumo!$B$10*CEILING(I1099/100,1)</f>
        <v>4.5</v>
      </c>
      <c r="Z1099" s="39" t="n">
        <f aca="false">Resumo!$B$12*CEILING(I1099,1)</f>
        <v>0.96</v>
      </c>
      <c r="AA1099" s="39" t="n">
        <f aca="false">Resumo!$B$13*CEILING(I1099,1)</f>
        <v>7.2</v>
      </c>
      <c r="AB1099" s="39" t="n">
        <f aca="false">SUM(U1099:AA1099)</f>
        <v>61.32637</v>
      </c>
      <c r="AC1099" s="39" t="n">
        <f aca="false">AB1099/(1-Resumo!$B$5)</f>
        <v>69.6890568181818</v>
      </c>
      <c r="AD1099" s="39" t="n">
        <f aca="false">(AB1099-AA1099)/(1-Resumo!$B$5)</f>
        <v>61.5072386363636</v>
      </c>
      <c r="AE1099" s="39" t="n">
        <f aca="false">AC1099-T1099</f>
        <v>5.37582522727273</v>
      </c>
      <c r="AF1099" s="40" t="n">
        <f aca="false">AC1099/T1099-1</f>
        <v>0.0835881683176472</v>
      </c>
      <c r="AG1099" s="37" t="str">
        <f aca="false">IF(AC1099&lt;T1099,"SIM","NÃO")</f>
        <v>NÃO</v>
      </c>
      <c r="AH1099" s="37" t="n">
        <v>8</v>
      </c>
      <c r="AI1099" s="37" t="n">
        <v>5</v>
      </c>
      <c r="AJ1099" s="37" t="s">
        <v>323</v>
      </c>
    </row>
    <row r="1100" customFormat="false" ht="15" hidden="false" customHeight="false" outlineLevel="0" collapsed="false">
      <c r="A1100" s="37" t="n">
        <v>377553221</v>
      </c>
      <c r="B1100" s="38" t="n">
        <v>46250.6785069444</v>
      </c>
      <c r="C1100" s="37" t="s">
        <v>320</v>
      </c>
      <c r="D1100" s="37" t="s">
        <v>1369</v>
      </c>
      <c r="E1100" s="37" t="n">
        <v>28942820</v>
      </c>
      <c r="F1100" s="37" t="s">
        <v>278</v>
      </c>
      <c r="G1100" s="37" t="s">
        <v>201</v>
      </c>
      <c r="H1100" s="37" t="s">
        <v>168</v>
      </c>
      <c r="I1100" s="37" t="n">
        <v>30.5</v>
      </c>
      <c r="J1100" s="39" t="n">
        <v>499.99</v>
      </c>
      <c r="K1100" s="37" t="s">
        <v>498</v>
      </c>
      <c r="L1100" s="39" t="n">
        <v>109.41</v>
      </c>
      <c r="M1100" s="39" t="n">
        <v>76.5</v>
      </c>
      <c r="N1100" s="39" t="n">
        <f aca="false">J1100*Resumo!$C$7</f>
        <v>0.99998</v>
      </c>
      <c r="O1100" s="39" t="n">
        <f aca="false">J1100*Resumo!$C$8</f>
        <v>0.99998</v>
      </c>
      <c r="P1100" s="39" t="n">
        <f aca="false">Resumo!$C$10*CEILING(I1100/100,1)</f>
        <v>1</v>
      </c>
      <c r="Q1100" s="39" t="n">
        <f aca="false">Resumo!$C$9</f>
        <v>11.9</v>
      </c>
      <c r="R1100" s="39" t="n">
        <f aca="false">SUM(M1100:Q1100)*Resumo!$C$11</f>
        <v>5.0269978</v>
      </c>
      <c r="S1100" s="39" t="n">
        <f aca="false">SUM(M1100:R1100)</f>
        <v>96.4269578</v>
      </c>
      <c r="T1100" s="39" t="n">
        <f aca="false">S1100/(1-Resumo!$C$5)</f>
        <v>109.576088409091</v>
      </c>
      <c r="U1100" s="39" t="n">
        <v>114.95</v>
      </c>
      <c r="V1100" s="39" t="n">
        <f aca="false">J1100*Resumo!$B$6</f>
        <v>0.49999</v>
      </c>
      <c r="W1100" s="39" t="n">
        <f aca="false">J1100*Resumo!$B$7</f>
        <v>0.99998</v>
      </c>
      <c r="X1100" s="39" t="n">
        <f aca="false">Resumo!$B$9</f>
        <v>1</v>
      </c>
      <c r="Y1100" s="39" t="n">
        <f aca="false">Resumo!$B$10*CEILING(I1100/100,1)</f>
        <v>4.5</v>
      </c>
      <c r="Z1100" s="39" t="n">
        <f aca="false">Resumo!$B$12*CEILING(I1100,1)</f>
        <v>1.86</v>
      </c>
      <c r="AA1100" s="39" t="n">
        <f aca="false">Resumo!$B$13*CEILING(I1100,1)</f>
        <v>13.95</v>
      </c>
      <c r="AB1100" s="39" t="n">
        <f aca="false">SUM(U1100:AA1100)</f>
        <v>137.75997</v>
      </c>
      <c r="AC1100" s="39" t="n">
        <f aca="false">AB1100/(1-Resumo!$B$5)</f>
        <v>156.545420454545</v>
      </c>
      <c r="AD1100" s="39" t="n">
        <f aca="false">(AB1100-AA1100)/(1-Resumo!$B$5)</f>
        <v>140.693147727273</v>
      </c>
      <c r="AE1100" s="39" t="n">
        <f aca="false">AC1100-T1100</f>
        <v>46.9693320454546</v>
      </c>
      <c r="AF1100" s="40" t="n">
        <f aca="false">AC1100/T1100-1</f>
        <v>0.428645817964404</v>
      </c>
      <c r="AG1100" s="37" t="str">
        <f aca="false">IF(AC1100&lt;T1100,"SIM","NÃO")</f>
        <v>NÃO</v>
      </c>
      <c r="AH1100" s="37" t="n">
        <v>13</v>
      </c>
      <c r="AI1100" s="37" t="n">
        <v>10</v>
      </c>
      <c r="AJ1100" s="37" t="s">
        <v>327</v>
      </c>
    </row>
    <row r="1101" customFormat="false" ht="15" hidden="false" customHeight="false" outlineLevel="0" collapsed="false">
      <c r="A1101" s="37" t="n">
        <v>377554795</v>
      </c>
      <c r="B1101" s="38" t="n">
        <v>46250.6811111111</v>
      </c>
      <c r="C1101" s="37" t="s">
        <v>359</v>
      </c>
      <c r="D1101" s="37" t="s">
        <v>1370</v>
      </c>
      <c r="E1101" s="37" t="n">
        <v>22610001</v>
      </c>
      <c r="F1101" s="37" t="s">
        <v>139</v>
      </c>
      <c r="G1101" s="37" t="s">
        <v>198</v>
      </c>
      <c r="H1101" s="37" t="s">
        <v>170</v>
      </c>
      <c r="I1101" s="37" t="n">
        <v>41</v>
      </c>
      <c r="J1101" s="39" t="n">
        <v>509.99</v>
      </c>
      <c r="K1101" s="37" t="s">
        <v>498</v>
      </c>
      <c r="L1101" s="39" t="n">
        <v>100.84</v>
      </c>
      <c r="M1101" s="39" t="n">
        <v>71</v>
      </c>
      <c r="N1101" s="39" t="n">
        <f aca="false">J1101*Resumo!$C$7</f>
        <v>1.01998</v>
      </c>
      <c r="O1101" s="39" t="n">
        <f aca="false">J1101*Resumo!$C$8</f>
        <v>1.01998</v>
      </c>
      <c r="P1101" s="39" t="n">
        <f aca="false">Resumo!$C$10*CEILING(I1101/100,1)</f>
        <v>1</v>
      </c>
      <c r="Q1101" s="39" t="n">
        <f aca="false">Resumo!$C$9</f>
        <v>11.9</v>
      </c>
      <c r="R1101" s="39" t="n">
        <f aca="false">SUM(M1101:Q1101)*Resumo!$C$11</f>
        <v>4.7266978</v>
      </c>
      <c r="S1101" s="39" t="n">
        <f aca="false">SUM(M1101:R1101)</f>
        <v>90.6666578</v>
      </c>
      <c r="T1101" s="39" t="n">
        <f aca="false">S1101/(1-Resumo!$C$5)</f>
        <v>103.030292954545</v>
      </c>
      <c r="U1101" s="39" t="n">
        <v>93.97</v>
      </c>
      <c r="V1101" s="39" t="n">
        <f aca="false">J1101*Resumo!$B$6</f>
        <v>0.50999</v>
      </c>
      <c r="W1101" s="39" t="n">
        <f aca="false">J1101*Resumo!$B$7</f>
        <v>1.01998</v>
      </c>
      <c r="X1101" s="39" t="n">
        <f aca="false">Resumo!$B$9</f>
        <v>1</v>
      </c>
      <c r="Y1101" s="39" t="n">
        <f aca="false">Resumo!$B$10*CEILING(I1101/100,1)</f>
        <v>4.5</v>
      </c>
      <c r="Z1101" s="39" t="n">
        <f aca="false">Resumo!$B$12*CEILING(I1101,1)</f>
        <v>2.46</v>
      </c>
      <c r="AA1101" s="39" t="n">
        <f aca="false">Resumo!$B$13*CEILING(I1101,1)</f>
        <v>18.45</v>
      </c>
      <c r="AB1101" s="39" t="n">
        <f aca="false">SUM(U1101:AA1101)</f>
        <v>121.90997</v>
      </c>
      <c r="AC1101" s="39" t="n">
        <f aca="false">AB1101/(1-Resumo!$B$5)</f>
        <v>138.534056818182</v>
      </c>
      <c r="AD1101" s="39" t="n">
        <f aca="false">(AB1101-AA1101)/(1-Resumo!$B$5)</f>
        <v>117.568147727273</v>
      </c>
      <c r="AE1101" s="39" t="n">
        <f aca="false">AC1101-T1101</f>
        <v>35.5037638636364</v>
      </c>
      <c r="AF1101" s="40" t="n">
        <f aca="false">AC1101/T1101-1</f>
        <v>0.344595388846461</v>
      </c>
      <c r="AG1101" s="37" t="str">
        <f aca="false">IF(AC1101&lt;T1101,"SIM","NÃO")</f>
        <v>NÃO</v>
      </c>
      <c r="AH1101" s="37" t="n">
        <v>8</v>
      </c>
      <c r="AI1101" s="37" t="n">
        <v>5</v>
      </c>
      <c r="AJ1101" s="37" t="s">
        <v>323</v>
      </c>
    </row>
    <row r="1102" customFormat="false" ht="15" hidden="false" customHeight="false" outlineLevel="0" collapsed="false">
      <c r="A1102" s="37" t="n">
        <v>377575083</v>
      </c>
      <c r="B1102" s="38" t="n">
        <v>46250.7134143519</v>
      </c>
      <c r="C1102" s="37" t="s">
        <v>320</v>
      </c>
      <c r="D1102" s="37" t="s">
        <v>1371</v>
      </c>
      <c r="E1102" s="37" t="n">
        <v>21862560</v>
      </c>
      <c r="F1102" s="37" t="s">
        <v>139</v>
      </c>
      <c r="G1102" s="37" t="s">
        <v>198</v>
      </c>
      <c r="H1102" s="37" t="s">
        <v>168</v>
      </c>
      <c r="I1102" s="37" t="n">
        <v>30.5</v>
      </c>
      <c r="J1102" s="39" t="n">
        <v>413.55</v>
      </c>
      <c r="K1102" s="37" t="s">
        <v>322</v>
      </c>
      <c r="L1102" s="39" t="n">
        <v>82.32</v>
      </c>
      <c r="M1102" s="39" t="n">
        <v>54.1</v>
      </c>
      <c r="N1102" s="39" t="n">
        <f aca="false">J1102*Resumo!$C$7</f>
        <v>0.8271</v>
      </c>
      <c r="O1102" s="39" t="n">
        <f aca="false">J1102*Resumo!$C$8</f>
        <v>0.8271</v>
      </c>
      <c r="P1102" s="39" t="n">
        <f aca="false">Resumo!$C$10*CEILING(I1102/100,1)</f>
        <v>1</v>
      </c>
      <c r="Q1102" s="39" t="n">
        <f aca="false">Resumo!$C$9</f>
        <v>11.9</v>
      </c>
      <c r="R1102" s="39" t="n">
        <f aca="false">SUM(M1102:Q1102)*Resumo!$C$11</f>
        <v>3.775981</v>
      </c>
      <c r="S1102" s="39" t="n">
        <f aca="false">SUM(M1102:R1102)</f>
        <v>72.430181</v>
      </c>
      <c r="T1102" s="39" t="n">
        <f aca="false">S1102/(1-Resumo!$C$5)</f>
        <v>82.3070238636364</v>
      </c>
      <c r="U1102" s="39" t="n">
        <v>82.21</v>
      </c>
      <c r="V1102" s="39" t="n">
        <f aca="false">J1102*Resumo!$B$6</f>
        <v>0.41355</v>
      </c>
      <c r="W1102" s="39" t="n">
        <f aca="false">J1102*Resumo!$B$7</f>
        <v>0.8271</v>
      </c>
      <c r="X1102" s="39" t="n">
        <f aca="false">Resumo!$B$9</f>
        <v>1</v>
      </c>
      <c r="Y1102" s="39" t="n">
        <f aca="false">Resumo!$B$10*CEILING(I1102/100,1)</f>
        <v>4.5</v>
      </c>
      <c r="Z1102" s="39" t="n">
        <f aca="false">Resumo!$B$12*CEILING(I1102,1)</f>
        <v>1.86</v>
      </c>
      <c r="AA1102" s="39" t="n">
        <f aca="false">Resumo!$B$13*CEILING(I1102,1)</f>
        <v>13.95</v>
      </c>
      <c r="AB1102" s="39" t="n">
        <f aca="false">SUM(U1102:AA1102)</f>
        <v>104.76065</v>
      </c>
      <c r="AC1102" s="39" t="n">
        <f aca="false">AB1102/(1-Resumo!$B$5)</f>
        <v>119.046193181818</v>
      </c>
      <c r="AD1102" s="39" t="n">
        <f aca="false">(AB1102-AA1102)/(1-Resumo!$B$5)</f>
        <v>103.193920454545</v>
      </c>
      <c r="AE1102" s="39" t="n">
        <f aca="false">AC1102-T1102</f>
        <v>36.7391693181818</v>
      </c>
      <c r="AF1102" s="40" t="n">
        <f aca="false">AC1102/T1102-1</f>
        <v>0.446367364455433</v>
      </c>
      <c r="AG1102" s="37" t="str">
        <f aca="false">IF(AC1102&lt;T1102,"SIM","NÃO")</f>
        <v>NÃO</v>
      </c>
      <c r="AH1102" s="37" t="n">
        <v>8</v>
      </c>
      <c r="AI1102" s="37" t="n">
        <v>5</v>
      </c>
      <c r="AJ1102" s="37" t="s">
        <v>323</v>
      </c>
    </row>
    <row r="1103" customFormat="false" ht="15" hidden="false" customHeight="false" outlineLevel="0" collapsed="false">
      <c r="A1103" s="37" t="n">
        <v>377591884</v>
      </c>
      <c r="B1103" s="38" t="n">
        <v>46250.7393402778</v>
      </c>
      <c r="C1103" s="37" t="s">
        <v>320</v>
      </c>
      <c r="D1103" s="37" t="s">
        <v>1372</v>
      </c>
      <c r="E1103" s="37" t="n">
        <v>25212672</v>
      </c>
      <c r="F1103" s="37" t="s">
        <v>141</v>
      </c>
      <c r="G1103" s="37" t="s">
        <v>207</v>
      </c>
      <c r="H1103" s="37" t="s">
        <v>171</v>
      </c>
      <c r="I1103" s="37" t="n">
        <v>59.9</v>
      </c>
      <c r="J1103" s="39" t="n">
        <v>901.58</v>
      </c>
      <c r="K1103" s="37" t="s">
        <v>322</v>
      </c>
      <c r="L1103" s="39" t="n">
        <v>129.6</v>
      </c>
      <c r="M1103" s="39" t="n">
        <v>91.6</v>
      </c>
      <c r="N1103" s="39" t="n">
        <f aca="false">J1103*Resumo!$C$7</f>
        <v>1.80316</v>
      </c>
      <c r="O1103" s="39" t="n">
        <f aca="false">J1103*Resumo!$C$8</f>
        <v>1.80316</v>
      </c>
      <c r="P1103" s="39" t="n">
        <f aca="false">Resumo!$C$10*CEILING(I1103/100,1)</f>
        <v>1</v>
      </c>
      <c r="Q1103" s="39" t="n">
        <f aca="false">Resumo!$C$9</f>
        <v>11.9</v>
      </c>
      <c r="R1103" s="39" t="n">
        <f aca="false">SUM(M1103:Q1103)*Resumo!$C$11</f>
        <v>5.9458476</v>
      </c>
      <c r="S1103" s="39" t="n">
        <f aca="false">SUM(M1103:R1103)</f>
        <v>114.0521676</v>
      </c>
      <c r="T1103" s="39" t="n">
        <f aca="false">S1103/(1-Resumo!$C$5)</f>
        <v>129.604735909091</v>
      </c>
      <c r="U1103" s="39" t="n">
        <v>112.3</v>
      </c>
      <c r="V1103" s="39" t="n">
        <f aca="false">J1103*Resumo!$B$6</f>
        <v>0.90158</v>
      </c>
      <c r="W1103" s="39" t="n">
        <f aca="false">J1103*Resumo!$B$7</f>
        <v>1.80316</v>
      </c>
      <c r="X1103" s="39" t="n">
        <f aca="false">Resumo!$B$9</f>
        <v>1</v>
      </c>
      <c r="Y1103" s="39" t="n">
        <f aca="false">Resumo!$B$10*CEILING(I1103/100,1)</f>
        <v>4.5</v>
      </c>
      <c r="Z1103" s="39" t="n">
        <f aca="false">Resumo!$B$12*CEILING(I1103,1)</f>
        <v>3.6</v>
      </c>
      <c r="AA1103" s="39" t="n">
        <f aca="false">Resumo!$B$13*CEILING(I1103,1)</f>
        <v>27</v>
      </c>
      <c r="AB1103" s="39" t="n">
        <f aca="false">SUM(U1103:AA1103)</f>
        <v>151.10474</v>
      </c>
      <c r="AC1103" s="39" t="n">
        <f aca="false">AB1103/(1-Resumo!$B$5)</f>
        <v>171.709931818182</v>
      </c>
      <c r="AD1103" s="39" t="n">
        <f aca="false">(AB1103-AA1103)/(1-Resumo!$B$5)</f>
        <v>141.028113636364</v>
      </c>
      <c r="AE1103" s="39" t="n">
        <f aca="false">AC1103-T1103</f>
        <v>42.1051959090909</v>
      </c>
      <c r="AF1103" s="40" t="n">
        <f aca="false">AC1103/T1103-1</f>
        <v>0.324873899196283</v>
      </c>
      <c r="AG1103" s="37" t="str">
        <f aca="false">IF(AC1103&lt;T1103,"SIM","NÃO")</f>
        <v>NÃO</v>
      </c>
      <c r="AH1103" s="37" t="n">
        <v>10</v>
      </c>
      <c r="AI1103" s="37" t="n">
        <v>5</v>
      </c>
      <c r="AJ1103" s="37" t="s">
        <v>323</v>
      </c>
    </row>
    <row r="1104" customFormat="false" ht="15" hidden="false" customHeight="false" outlineLevel="0" collapsed="false">
      <c r="A1104" s="37" t="n">
        <v>377666582</v>
      </c>
      <c r="B1104" s="38" t="n">
        <v>46250.749375</v>
      </c>
      <c r="C1104" s="37" t="s">
        <v>325</v>
      </c>
      <c r="D1104" s="37" t="s">
        <v>1373</v>
      </c>
      <c r="E1104" s="37" t="n">
        <v>24430500</v>
      </c>
      <c r="F1104" s="37" t="s">
        <v>140</v>
      </c>
      <c r="G1104" s="37" t="s">
        <v>207</v>
      </c>
      <c r="H1104" s="37" t="s">
        <v>171</v>
      </c>
      <c r="I1104" s="37" t="n">
        <v>52.3</v>
      </c>
      <c r="J1104" s="39" t="n">
        <v>640.18</v>
      </c>
      <c r="K1104" s="37" t="s">
        <v>498</v>
      </c>
      <c r="L1104" s="39" t="n">
        <v>127.4</v>
      </c>
      <c r="M1104" s="39" t="n">
        <v>91.6</v>
      </c>
      <c r="N1104" s="39" t="n">
        <f aca="false">J1104*Resumo!$C$7</f>
        <v>1.28036</v>
      </c>
      <c r="O1104" s="39" t="n">
        <f aca="false">J1104*Resumo!$C$8</f>
        <v>1.28036</v>
      </c>
      <c r="P1104" s="39" t="n">
        <f aca="false">Resumo!$C$10*CEILING(I1104/100,1)</f>
        <v>1</v>
      </c>
      <c r="Q1104" s="39" t="n">
        <f aca="false">Resumo!$C$9</f>
        <v>11.9</v>
      </c>
      <c r="R1104" s="39" t="n">
        <f aca="false">SUM(M1104:Q1104)*Resumo!$C$11</f>
        <v>5.8883396</v>
      </c>
      <c r="S1104" s="39" t="n">
        <f aca="false">SUM(M1104:R1104)</f>
        <v>112.9490596</v>
      </c>
      <c r="T1104" s="39" t="n">
        <f aca="false">S1104/(1-Resumo!$C$5)</f>
        <v>128.351204090909</v>
      </c>
      <c r="U1104" s="39" t="n">
        <v>128.14</v>
      </c>
      <c r="V1104" s="39" t="n">
        <f aca="false">J1104*Resumo!$B$6</f>
        <v>0.64018</v>
      </c>
      <c r="W1104" s="39" t="n">
        <f aca="false">J1104*Resumo!$B$7</f>
        <v>1.28036</v>
      </c>
      <c r="X1104" s="39" t="n">
        <f aca="false">Resumo!$B$9</f>
        <v>1</v>
      </c>
      <c r="Y1104" s="39" t="n">
        <f aca="false">Resumo!$B$10*CEILING(I1104/100,1)</f>
        <v>4.5</v>
      </c>
      <c r="Z1104" s="39" t="n">
        <f aca="false">Resumo!$B$12*CEILING(I1104,1)</f>
        <v>3.18</v>
      </c>
      <c r="AA1104" s="39" t="n">
        <f aca="false">Resumo!$B$13*CEILING(I1104,1)</f>
        <v>23.85</v>
      </c>
      <c r="AB1104" s="39" t="n">
        <f aca="false">SUM(U1104:AA1104)</f>
        <v>162.59054</v>
      </c>
      <c r="AC1104" s="39" t="n">
        <f aca="false">AB1104/(1-Resumo!$B$5)</f>
        <v>184.761977272727</v>
      </c>
      <c r="AD1104" s="39" t="n">
        <f aca="false">(AB1104-AA1104)/(1-Resumo!$B$5)</f>
        <v>157.659704545455</v>
      </c>
      <c r="AE1104" s="39" t="n">
        <f aca="false">AC1104-T1104</f>
        <v>56.4107731818182</v>
      </c>
      <c r="AF1104" s="40" t="n">
        <f aca="false">AC1104/T1104-1</f>
        <v>0.439503264354757</v>
      </c>
      <c r="AG1104" s="37" t="str">
        <f aca="false">IF(AC1104&lt;T1104,"SIM","NÃO")</f>
        <v>NÃO</v>
      </c>
      <c r="AH1104" s="37" t="n">
        <v>10</v>
      </c>
      <c r="AI1104" s="37" t="n">
        <v>7</v>
      </c>
      <c r="AJ1104" s="37" t="s">
        <v>323</v>
      </c>
    </row>
    <row r="1105" customFormat="false" ht="15" hidden="false" customHeight="false" outlineLevel="0" collapsed="false">
      <c r="A1105" s="37" t="n">
        <v>377603216</v>
      </c>
      <c r="B1105" s="38" t="n">
        <v>46250.7569328704</v>
      </c>
      <c r="C1105" s="37" t="s">
        <v>320</v>
      </c>
      <c r="D1105" s="37" t="s">
        <v>632</v>
      </c>
      <c r="E1105" s="37" t="n">
        <v>23860000</v>
      </c>
      <c r="F1105" s="37" t="s">
        <v>203</v>
      </c>
      <c r="G1105" s="37" t="s">
        <v>201</v>
      </c>
      <c r="H1105" s="37" t="s">
        <v>168</v>
      </c>
      <c r="I1105" s="37" t="n">
        <v>27</v>
      </c>
      <c r="J1105" s="39" t="n">
        <v>329.99</v>
      </c>
      <c r="K1105" s="37" t="s">
        <v>498</v>
      </c>
      <c r="L1105" s="39" t="n">
        <v>106.55</v>
      </c>
      <c r="M1105" s="39" t="n">
        <v>76.5</v>
      </c>
      <c r="N1105" s="39" t="n">
        <f aca="false">J1105*Resumo!$C$7</f>
        <v>0.65998</v>
      </c>
      <c r="O1105" s="39" t="n">
        <f aca="false">J1105*Resumo!$C$8</f>
        <v>0.65998</v>
      </c>
      <c r="P1105" s="39" t="n">
        <f aca="false">Resumo!$C$10*CEILING(I1105/100,1)</f>
        <v>1</v>
      </c>
      <c r="Q1105" s="39" t="n">
        <f aca="false">Resumo!$C$9</f>
        <v>11.9</v>
      </c>
      <c r="R1105" s="39" t="n">
        <f aca="false">SUM(M1105:Q1105)*Resumo!$C$11</f>
        <v>4.9895978</v>
      </c>
      <c r="S1105" s="39" t="n">
        <f aca="false">SUM(M1105:R1105)</f>
        <v>95.7095578</v>
      </c>
      <c r="T1105" s="39" t="n">
        <f aca="false">S1105/(1-Resumo!$C$5)</f>
        <v>108.760861136364</v>
      </c>
      <c r="U1105" s="39" t="n">
        <v>108.83</v>
      </c>
      <c r="V1105" s="39" t="n">
        <f aca="false">J1105*Resumo!$B$6</f>
        <v>0.32999</v>
      </c>
      <c r="W1105" s="39" t="n">
        <f aca="false">J1105*Resumo!$B$7</f>
        <v>0.65998</v>
      </c>
      <c r="X1105" s="39" t="n">
        <f aca="false">Resumo!$B$9</f>
        <v>1</v>
      </c>
      <c r="Y1105" s="39" t="n">
        <f aca="false">Resumo!$B$10*CEILING(I1105/100,1)</f>
        <v>4.5</v>
      </c>
      <c r="Z1105" s="39" t="n">
        <f aca="false">Resumo!$B$12*CEILING(I1105,1)</f>
        <v>1.62</v>
      </c>
      <c r="AA1105" s="39" t="n">
        <f aca="false">Resumo!$B$13*CEILING(I1105,1)</f>
        <v>12.15</v>
      </c>
      <c r="AB1105" s="39" t="n">
        <f aca="false">SUM(U1105:AA1105)</f>
        <v>129.08997</v>
      </c>
      <c r="AC1105" s="39" t="n">
        <f aca="false">AB1105/(1-Resumo!$B$5)</f>
        <v>146.693147727273</v>
      </c>
      <c r="AD1105" s="39" t="n">
        <f aca="false">(AB1105-AA1105)/(1-Resumo!$B$5)</f>
        <v>132.886329545455</v>
      </c>
      <c r="AE1105" s="39" t="n">
        <f aca="false">AC1105-T1105</f>
        <v>37.9322865909091</v>
      </c>
      <c r="AF1105" s="40" t="n">
        <f aca="false">AC1105/T1105-1</f>
        <v>0.348767802999922</v>
      </c>
      <c r="AG1105" s="37" t="str">
        <f aca="false">IF(AC1105&lt;T1105,"SIM","NÃO")</f>
        <v>NÃO</v>
      </c>
      <c r="AH1105" s="37" t="n">
        <v>13</v>
      </c>
      <c r="AI1105" s="37" t="n">
        <v>10</v>
      </c>
      <c r="AJ1105" s="37" t="s">
        <v>327</v>
      </c>
    </row>
    <row r="1106" customFormat="false" ht="15" hidden="false" customHeight="false" outlineLevel="0" collapsed="false">
      <c r="A1106" s="37" t="n">
        <v>377614421</v>
      </c>
      <c r="B1106" s="38" t="n">
        <v>46250.7797106481</v>
      </c>
      <c r="C1106" s="37" t="s">
        <v>320</v>
      </c>
      <c r="D1106" s="37" t="s">
        <v>1374</v>
      </c>
      <c r="E1106" s="37" t="n">
        <v>21625060</v>
      </c>
      <c r="F1106" s="37" t="s">
        <v>139</v>
      </c>
      <c r="G1106" s="37" t="s">
        <v>198</v>
      </c>
      <c r="H1106" s="37" t="s">
        <v>171</v>
      </c>
      <c r="I1106" s="37" t="n">
        <v>52.3</v>
      </c>
      <c r="J1106" s="39" t="n">
        <v>577.12</v>
      </c>
      <c r="K1106" s="37" t="s">
        <v>322</v>
      </c>
      <c r="L1106" s="39" t="n">
        <v>113.91</v>
      </c>
      <c r="M1106" s="39" t="n">
        <v>79.81</v>
      </c>
      <c r="N1106" s="39" t="n">
        <f aca="false">J1106*Resumo!$C$7</f>
        <v>1.15424</v>
      </c>
      <c r="O1106" s="39" t="n">
        <f aca="false">J1106*Resumo!$C$8</f>
        <v>1.15424</v>
      </c>
      <c r="P1106" s="39" t="n">
        <f aca="false">Resumo!$C$10*CEILING(I1106/100,1)</f>
        <v>1</v>
      </c>
      <c r="Q1106" s="39" t="n">
        <f aca="false">Resumo!$C$9</f>
        <v>11.9</v>
      </c>
      <c r="R1106" s="39" t="n">
        <f aca="false">SUM(M1106:Q1106)*Resumo!$C$11</f>
        <v>5.2260164</v>
      </c>
      <c r="S1106" s="39" t="n">
        <f aca="false">SUM(M1106:R1106)</f>
        <v>100.2444964</v>
      </c>
      <c r="T1106" s="39" t="n">
        <f aca="false">S1106/(1-Resumo!$C$5)</f>
        <v>113.914200454545</v>
      </c>
      <c r="U1106" s="39" t="n">
        <v>112.3</v>
      </c>
      <c r="V1106" s="39" t="n">
        <f aca="false">J1106*Resumo!$B$6</f>
        <v>0.57712</v>
      </c>
      <c r="W1106" s="39" t="n">
        <f aca="false">J1106*Resumo!$B$7</f>
        <v>1.15424</v>
      </c>
      <c r="X1106" s="39" t="n">
        <f aca="false">Resumo!$B$9</f>
        <v>1</v>
      </c>
      <c r="Y1106" s="39" t="n">
        <f aca="false">Resumo!$B$10*CEILING(I1106/100,1)</f>
        <v>4.5</v>
      </c>
      <c r="Z1106" s="39" t="n">
        <f aca="false">Resumo!$B$12*CEILING(I1106,1)</f>
        <v>3.18</v>
      </c>
      <c r="AA1106" s="39" t="n">
        <f aca="false">Resumo!$B$13*CEILING(I1106,1)</f>
        <v>23.85</v>
      </c>
      <c r="AB1106" s="39" t="n">
        <f aca="false">SUM(U1106:AA1106)</f>
        <v>146.56136</v>
      </c>
      <c r="AC1106" s="39" t="n">
        <f aca="false">AB1106/(1-Resumo!$B$5)</f>
        <v>166.547</v>
      </c>
      <c r="AD1106" s="39" t="n">
        <f aca="false">(AB1106-AA1106)/(1-Resumo!$B$5)</f>
        <v>139.444727272727</v>
      </c>
      <c r="AE1106" s="39" t="n">
        <f aca="false">AC1106-T1106</f>
        <v>52.6327995454545</v>
      </c>
      <c r="AF1106" s="40" t="n">
        <f aca="false">AC1106/T1106-1</f>
        <v>0.462038967358212</v>
      </c>
      <c r="AG1106" s="37" t="str">
        <f aca="false">IF(AC1106&lt;T1106,"SIM","NÃO")</f>
        <v>NÃO</v>
      </c>
      <c r="AH1106" s="37" t="n">
        <v>8</v>
      </c>
      <c r="AI1106" s="37" t="n">
        <v>5</v>
      </c>
      <c r="AJ1106" s="37" t="s">
        <v>323</v>
      </c>
    </row>
    <row r="1107" customFormat="false" ht="15" hidden="false" customHeight="false" outlineLevel="0" collapsed="false">
      <c r="A1107" s="37" t="n">
        <v>377625507</v>
      </c>
      <c r="B1107" s="38" t="n">
        <v>46250.8038078704</v>
      </c>
      <c r="C1107" s="37" t="s">
        <v>320</v>
      </c>
      <c r="D1107" s="37" t="s">
        <v>1375</v>
      </c>
      <c r="E1107" s="37" t="n">
        <v>23933115</v>
      </c>
      <c r="F1107" s="37" t="s">
        <v>149</v>
      </c>
      <c r="G1107" s="37" t="s">
        <v>201</v>
      </c>
      <c r="H1107" s="37" t="s">
        <v>171</v>
      </c>
      <c r="I1107" s="37" t="n">
        <v>59.9</v>
      </c>
      <c r="J1107" s="39" t="n">
        <v>901.58</v>
      </c>
      <c r="K1107" s="37" t="s">
        <v>498</v>
      </c>
      <c r="L1107" s="39" t="n">
        <v>146.55</v>
      </c>
      <c r="M1107" s="39" t="n">
        <v>103.6</v>
      </c>
      <c r="N1107" s="39" t="n">
        <f aca="false">J1107*Resumo!$C$7</f>
        <v>1.80316</v>
      </c>
      <c r="O1107" s="39" t="n">
        <f aca="false">J1107*Resumo!$C$8</f>
        <v>1.80316</v>
      </c>
      <c r="P1107" s="39" t="n">
        <f aca="false">Resumo!$C$10*CEILING(I1107/100,1)</f>
        <v>1</v>
      </c>
      <c r="Q1107" s="39" t="n">
        <f aca="false">Resumo!$C$9</f>
        <v>11.9</v>
      </c>
      <c r="R1107" s="39" t="n">
        <f aca="false">SUM(M1107:Q1107)*Resumo!$C$11</f>
        <v>6.6058476</v>
      </c>
      <c r="S1107" s="39" t="n">
        <f aca="false">SUM(M1107:R1107)</f>
        <v>126.7121676</v>
      </c>
      <c r="T1107" s="39" t="n">
        <f aca="false">S1107/(1-Resumo!$C$5)</f>
        <v>143.991099545455</v>
      </c>
      <c r="U1107" s="39" t="n">
        <v>142.32</v>
      </c>
      <c r="V1107" s="39" t="n">
        <f aca="false">J1107*Resumo!$B$6</f>
        <v>0.90158</v>
      </c>
      <c r="W1107" s="39" t="n">
        <f aca="false">J1107*Resumo!$B$7</f>
        <v>1.80316</v>
      </c>
      <c r="X1107" s="39" t="n">
        <f aca="false">Resumo!$B$9</f>
        <v>1</v>
      </c>
      <c r="Y1107" s="39" t="n">
        <f aca="false">Resumo!$B$10*CEILING(I1107/100,1)</f>
        <v>4.5</v>
      </c>
      <c r="Z1107" s="39" t="n">
        <f aca="false">Resumo!$B$12*CEILING(I1107,1)</f>
        <v>3.6</v>
      </c>
      <c r="AA1107" s="39" t="n">
        <f aca="false">Resumo!$B$13*CEILING(I1107,1)</f>
        <v>27</v>
      </c>
      <c r="AB1107" s="39" t="n">
        <f aca="false">SUM(U1107:AA1107)</f>
        <v>181.12474</v>
      </c>
      <c r="AC1107" s="39" t="n">
        <f aca="false">AB1107/(1-Resumo!$B$5)</f>
        <v>205.823568181818</v>
      </c>
      <c r="AD1107" s="39" t="n">
        <f aca="false">(AB1107-AA1107)/(1-Resumo!$B$5)</f>
        <v>175.14175</v>
      </c>
      <c r="AE1107" s="39" t="n">
        <f aca="false">AC1107-T1107</f>
        <v>61.8324686363636</v>
      </c>
      <c r="AF1107" s="40" t="n">
        <f aca="false">AC1107/T1107-1</f>
        <v>0.429418685123969</v>
      </c>
      <c r="AG1107" s="37" t="str">
        <f aca="false">IF(AC1107&lt;T1107,"SIM","NÃO")</f>
        <v>NÃO</v>
      </c>
      <c r="AH1107" s="37" t="n">
        <v>13</v>
      </c>
      <c r="AI1107" s="37" t="n">
        <v>10</v>
      </c>
      <c r="AJ1107" s="37" t="s">
        <v>323</v>
      </c>
    </row>
    <row r="1108" customFormat="false" ht="15" hidden="false" customHeight="false" outlineLevel="0" collapsed="false">
      <c r="A1108" s="37" t="n">
        <v>377630378</v>
      </c>
      <c r="B1108" s="38" t="n">
        <v>46250.8123726852</v>
      </c>
      <c r="C1108" s="37" t="s">
        <v>320</v>
      </c>
      <c r="D1108" s="37" t="s">
        <v>941</v>
      </c>
      <c r="E1108" s="37" t="n">
        <v>21230354</v>
      </c>
      <c r="F1108" s="37" t="s">
        <v>139</v>
      </c>
      <c r="G1108" s="37" t="s">
        <v>198</v>
      </c>
      <c r="H1108" s="37" t="s">
        <v>168</v>
      </c>
      <c r="I1108" s="37" t="n">
        <v>27.5</v>
      </c>
      <c r="J1108" s="39" t="n">
        <v>342.07</v>
      </c>
      <c r="K1108" s="37" t="s">
        <v>322</v>
      </c>
      <c r="L1108" s="39" t="n">
        <v>81.95</v>
      </c>
      <c r="M1108" s="39" t="n">
        <v>54.1</v>
      </c>
      <c r="N1108" s="39" t="n">
        <f aca="false">J1108*Resumo!$C$7</f>
        <v>0.68414</v>
      </c>
      <c r="O1108" s="39" t="n">
        <f aca="false">J1108*Resumo!$C$8</f>
        <v>0.68414</v>
      </c>
      <c r="P1108" s="39" t="n">
        <f aca="false">Resumo!$C$10*CEILING(I1108/100,1)</f>
        <v>1</v>
      </c>
      <c r="Q1108" s="39" t="n">
        <f aca="false">Resumo!$C$9</f>
        <v>11.9</v>
      </c>
      <c r="R1108" s="39" t="n">
        <f aca="false">SUM(M1108:Q1108)*Resumo!$C$11</f>
        <v>3.7602554</v>
      </c>
      <c r="S1108" s="39" t="n">
        <f aca="false">SUM(M1108:R1108)</f>
        <v>72.1285354</v>
      </c>
      <c r="T1108" s="39" t="n">
        <f aca="false">S1108/(1-Resumo!$C$5)</f>
        <v>81.9642447727273</v>
      </c>
      <c r="U1108" s="39" t="n">
        <v>82.21</v>
      </c>
      <c r="V1108" s="39" t="n">
        <f aca="false">J1108*Resumo!$B$6</f>
        <v>0.34207</v>
      </c>
      <c r="W1108" s="39" t="n">
        <f aca="false">J1108*Resumo!$B$7</f>
        <v>0.68414</v>
      </c>
      <c r="X1108" s="39" t="n">
        <f aca="false">Resumo!$B$9</f>
        <v>1</v>
      </c>
      <c r="Y1108" s="39" t="n">
        <f aca="false">Resumo!$B$10*CEILING(I1108/100,1)</f>
        <v>4.5</v>
      </c>
      <c r="Z1108" s="39" t="n">
        <f aca="false">Resumo!$B$12*CEILING(I1108,1)</f>
        <v>1.68</v>
      </c>
      <c r="AA1108" s="39" t="n">
        <f aca="false">Resumo!$B$13*CEILING(I1108,1)</f>
        <v>12.6</v>
      </c>
      <c r="AB1108" s="39" t="n">
        <f aca="false">SUM(U1108:AA1108)</f>
        <v>103.01621</v>
      </c>
      <c r="AC1108" s="39" t="n">
        <f aca="false">AB1108/(1-Resumo!$B$5)</f>
        <v>117.063875</v>
      </c>
      <c r="AD1108" s="39" t="n">
        <f aca="false">(AB1108-AA1108)/(1-Resumo!$B$5)</f>
        <v>102.745693181818</v>
      </c>
      <c r="AE1108" s="39" t="n">
        <f aca="false">AC1108-T1108</f>
        <v>35.0996302272727</v>
      </c>
      <c r="AF1108" s="40" t="n">
        <f aca="false">AC1108/T1108-1</f>
        <v>0.428230996632714</v>
      </c>
      <c r="AG1108" s="37" t="str">
        <f aca="false">IF(AC1108&lt;T1108,"SIM","NÃO")</f>
        <v>NÃO</v>
      </c>
      <c r="AH1108" s="37" t="n">
        <v>8</v>
      </c>
      <c r="AI1108" s="37" t="n">
        <v>5</v>
      </c>
      <c r="AJ1108" s="37" t="s">
        <v>323</v>
      </c>
    </row>
    <row r="1109" customFormat="false" ht="15" hidden="false" customHeight="false" outlineLevel="0" collapsed="false">
      <c r="A1109" s="37" t="n">
        <v>377640403</v>
      </c>
      <c r="B1109" s="38" t="n">
        <v>46250.8284953704</v>
      </c>
      <c r="C1109" s="37" t="s">
        <v>320</v>
      </c>
      <c r="D1109" s="37" t="s">
        <v>1376</v>
      </c>
      <c r="E1109" s="37" t="n">
        <v>21073160</v>
      </c>
      <c r="F1109" s="37" t="s">
        <v>139</v>
      </c>
      <c r="G1109" s="37" t="s">
        <v>198</v>
      </c>
      <c r="H1109" s="37" t="s">
        <v>169</v>
      </c>
      <c r="I1109" s="37" t="n">
        <v>39.8</v>
      </c>
      <c r="J1109" s="39" t="n">
        <v>449.99</v>
      </c>
      <c r="K1109" s="37" t="s">
        <v>322</v>
      </c>
      <c r="L1109" s="39" t="n">
        <v>92.01</v>
      </c>
      <c r="M1109" s="39" t="n">
        <v>62.05</v>
      </c>
      <c r="N1109" s="39" t="n">
        <f aca="false">J1109*Resumo!$C$7</f>
        <v>0.89998</v>
      </c>
      <c r="O1109" s="39" t="n">
        <f aca="false">J1109*Resumo!$C$8</f>
        <v>0.89998</v>
      </c>
      <c r="P1109" s="39" t="n">
        <f aca="false">Resumo!$C$10*CEILING(I1109/100,1)</f>
        <v>1</v>
      </c>
      <c r="Q1109" s="39" t="n">
        <f aca="false">Resumo!$C$9</f>
        <v>11.9</v>
      </c>
      <c r="R1109" s="39" t="n">
        <f aca="false">SUM(M1109:Q1109)*Resumo!$C$11</f>
        <v>4.2212478</v>
      </c>
      <c r="S1109" s="39" t="n">
        <f aca="false">SUM(M1109:R1109)</f>
        <v>80.9712078</v>
      </c>
      <c r="T1109" s="39" t="n">
        <f aca="false">S1109/(1-Resumo!$C$5)</f>
        <v>92.0127361363636</v>
      </c>
      <c r="U1109" s="39" t="n">
        <v>93.97</v>
      </c>
      <c r="V1109" s="39" t="n">
        <f aca="false">J1109*Resumo!$B$6</f>
        <v>0.44999</v>
      </c>
      <c r="W1109" s="39" t="n">
        <f aca="false">J1109*Resumo!$B$7</f>
        <v>0.89998</v>
      </c>
      <c r="X1109" s="39" t="n">
        <f aca="false">Resumo!$B$9</f>
        <v>1</v>
      </c>
      <c r="Y1109" s="39" t="n">
        <f aca="false">Resumo!$B$10*CEILING(I1109/100,1)</f>
        <v>4.5</v>
      </c>
      <c r="Z1109" s="39" t="n">
        <f aca="false">Resumo!$B$12*CEILING(I1109,1)</f>
        <v>2.4</v>
      </c>
      <c r="AA1109" s="39" t="n">
        <f aca="false">Resumo!$B$13*CEILING(I1109,1)</f>
        <v>18</v>
      </c>
      <c r="AB1109" s="39" t="n">
        <f aca="false">SUM(U1109:AA1109)</f>
        <v>121.21997</v>
      </c>
      <c r="AC1109" s="39" t="n">
        <f aca="false">AB1109/(1-Resumo!$B$5)</f>
        <v>137.749965909091</v>
      </c>
      <c r="AD1109" s="39" t="n">
        <f aca="false">(AB1109-AA1109)/(1-Resumo!$B$5)</f>
        <v>117.295420454545</v>
      </c>
      <c r="AE1109" s="39" t="n">
        <f aca="false">AC1109-T1109</f>
        <v>45.7372297727273</v>
      </c>
      <c r="AF1109" s="40" t="n">
        <f aca="false">AC1109/T1109-1</f>
        <v>0.497074988672702</v>
      </c>
      <c r="AG1109" s="37" t="str">
        <f aca="false">IF(AC1109&lt;T1109,"SIM","NÃO")</f>
        <v>NÃO</v>
      </c>
      <c r="AH1109" s="37" t="n">
        <v>8</v>
      </c>
      <c r="AI1109" s="37" t="n">
        <v>5</v>
      </c>
      <c r="AJ1109" s="37" t="s">
        <v>323</v>
      </c>
    </row>
    <row r="1110" customFormat="false" ht="15" hidden="false" customHeight="false" outlineLevel="0" collapsed="false">
      <c r="A1110" s="37" t="n">
        <v>377648057</v>
      </c>
      <c r="B1110" s="38" t="n">
        <v>46250.8415856482</v>
      </c>
      <c r="C1110" s="37" t="s">
        <v>320</v>
      </c>
      <c r="D1110" s="37" t="s">
        <v>1377</v>
      </c>
      <c r="E1110" s="37" t="n">
        <v>26296528</v>
      </c>
      <c r="F1110" s="37" t="s">
        <v>142</v>
      </c>
      <c r="G1110" s="37" t="s">
        <v>207</v>
      </c>
      <c r="H1110" s="37" t="s">
        <v>168</v>
      </c>
      <c r="I1110" s="37" t="n">
        <v>30.5</v>
      </c>
      <c r="J1110" s="39" t="n">
        <v>413.55</v>
      </c>
      <c r="K1110" s="37" t="s">
        <v>322</v>
      </c>
      <c r="L1110" s="39" t="n">
        <v>101.37</v>
      </c>
      <c r="M1110" s="39" t="n">
        <v>70</v>
      </c>
      <c r="N1110" s="39" t="n">
        <f aca="false">J1110*Resumo!$C$7</f>
        <v>0.8271</v>
      </c>
      <c r="O1110" s="39" t="n">
        <f aca="false">J1110*Resumo!$C$8</f>
        <v>0.8271</v>
      </c>
      <c r="P1110" s="39" t="n">
        <f aca="false">Resumo!$C$10*CEILING(I1110/100,1)</f>
        <v>1</v>
      </c>
      <c r="Q1110" s="39" t="n">
        <f aca="false">Resumo!$C$9</f>
        <v>11.9</v>
      </c>
      <c r="R1110" s="39" t="n">
        <f aca="false">SUM(M1110:Q1110)*Resumo!$C$11</f>
        <v>4.650481</v>
      </c>
      <c r="S1110" s="39" t="n">
        <f aca="false">SUM(M1110:R1110)</f>
        <v>89.204681</v>
      </c>
      <c r="T1110" s="39" t="n">
        <f aca="false">S1110/(1-Resumo!$C$5)</f>
        <v>101.368955681818</v>
      </c>
      <c r="U1110" s="39" t="n">
        <v>82.21</v>
      </c>
      <c r="V1110" s="39" t="n">
        <f aca="false">J1110*Resumo!$B$6</f>
        <v>0.41355</v>
      </c>
      <c r="W1110" s="39" t="n">
        <f aca="false">J1110*Resumo!$B$7</f>
        <v>0.8271</v>
      </c>
      <c r="X1110" s="39" t="n">
        <f aca="false">Resumo!$B$9</f>
        <v>1</v>
      </c>
      <c r="Y1110" s="39" t="n">
        <f aca="false">Resumo!$B$10*CEILING(I1110/100,1)</f>
        <v>4.5</v>
      </c>
      <c r="Z1110" s="39" t="n">
        <f aca="false">Resumo!$B$12*CEILING(I1110,1)</f>
        <v>1.86</v>
      </c>
      <c r="AA1110" s="39" t="n">
        <f aca="false">Resumo!$B$13*CEILING(I1110,1)</f>
        <v>13.95</v>
      </c>
      <c r="AB1110" s="39" t="n">
        <f aca="false">SUM(U1110:AA1110)</f>
        <v>104.76065</v>
      </c>
      <c r="AC1110" s="39" t="n">
        <f aca="false">AB1110/(1-Resumo!$B$5)</f>
        <v>119.046193181818</v>
      </c>
      <c r="AD1110" s="39" t="n">
        <f aca="false">(AB1110-AA1110)/(1-Resumo!$B$5)</f>
        <v>103.193920454545</v>
      </c>
      <c r="AE1110" s="39" t="n">
        <f aca="false">AC1110-T1110</f>
        <v>17.6772375</v>
      </c>
      <c r="AF1110" s="40" t="n">
        <f aca="false">AC1110/T1110-1</f>
        <v>0.174385119991629</v>
      </c>
      <c r="AG1110" s="37" t="str">
        <f aca="false">IF(AC1110&lt;T1110,"SIM","NÃO")</f>
        <v>NÃO</v>
      </c>
      <c r="AH1110" s="37" t="n">
        <v>10</v>
      </c>
      <c r="AI1110" s="37" t="n">
        <v>5</v>
      </c>
      <c r="AJ1110" s="37" t="s">
        <v>323</v>
      </c>
    </row>
    <row r="1111" customFormat="false" ht="15" hidden="false" customHeight="false" outlineLevel="0" collapsed="false">
      <c r="A1111" s="37" t="n">
        <v>377650352</v>
      </c>
      <c r="B1111" s="38" t="n">
        <v>46250.8458101852</v>
      </c>
      <c r="C1111" s="37" t="s">
        <v>320</v>
      </c>
      <c r="D1111" s="37" t="s">
        <v>1378</v>
      </c>
      <c r="E1111" s="37" t="n">
        <v>25812742</v>
      </c>
      <c r="F1111" s="37" t="s">
        <v>214</v>
      </c>
      <c r="G1111" s="37" t="s">
        <v>201</v>
      </c>
      <c r="H1111" s="37" t="s">
        <v>172</v>
      </c>
      <c r="I1111" s="37" t="n">
        <v>68.74</v>
      </c>
      <c r="J1111" s="39" t="n">
        <v>999.99</v>
      </c>
      <c r="K1111" s="37" t="s">
        <v>498</v>
      </c>
      <c r="L1111" s="39" t="n">
        <v>159.15</v>
      </c>
      <c r="M1111" s="39" t="n">
        <v>113.9</v>
      </c>
      <c r="N1111" s="39" t="n">
        <f aca="false">J1111*Resumo!$C$7</f>
        <v>1.99998</v>
      </c>
      <c r="O1111" s="39" t="n">
        <f aca="false">J1111*Resumo!$C$8</f>
        <v>1.99998</v>
      </c>
      <c r="P1111" s="39" t="n">
        <f aca="false">Resumo!$C$10*CEILING(I1111/100,1)</f>
        <v>1</v>
      </c>
      <c r="Q1111" s="39" t="n">
        <f aca="false">Resumo!$C$9</f>
        <v>11.9</v>
      </c>
      <c r="R1111" s="39" t="n">
        <f aca="false">SUM(M1111:Q1111)*Resumo!$C$11</f>
        <v>7.1939978</v>
      </c>
      <c r="S1111" s="39" t="n">
        <f aca="false">SUM(M1111:R1111)</f>
        <v>137.9939578</v>
      </c>
      <c r="T1111" s="39" t="n">
        <f aca="false">S1111/(1-Resumo!$C$5)</f>
        <v>156.811315681818</v>
      </c>
      <c r="U1111" s="39" t="n">
        <v>166.05</v>
      </c>
      <c r="V1111" s="39" t="n">
        <f aca="false">J1111*Resumo!$B$6</f>
        <v>0.99999</v>
      </c>
      <c r="W1111" s="39" t="n">
        <f aca="false">J1111*Resumo!$B$7</f>
        <v>1.99998</v>
      </c>
      <c r="X1111" s="39" t="n">
        <f aca="false">Resumo!$B$9</f>
        <v>1</v>
      </c>
      <c r="Y1111" s="39" t="n">
        <f aca="false">Resumo!$B$10*CEILING(I1111/100,1)</f>
        <v>4.5</v>
      </c>
      <c r="Z1111" s="39" t="n">
        <f aca="false">Resumo!$B$12*CEILING(I1111,1)</f>
        <v>4.14</v>
      </c>
      <c r="AA1111" s="39" t="n">
        <f aca="false">Resumo!$B$13*CEILING(I1111,1)</f>
        <v>31.05</v>
      </c>
      <c r="AB1111" s="39" t="n">
        <f aca="false">SUM(U1111:AA1111)</f>
        <v>209.73997</v>
      </c>
      <c r="AC1111" s="39" t="n">
        <f aca="false">AB1111/(1-Resumo!$B$5)</f>
        <v>238.340875</v>
      </c>
      <c r="AD1111" s="39" t="n">
        <f aca="false">(AB1111-AA1111)/(1-Resumo!$B$5)</f>
        <v>203.056784090909</v>
      </c>
      <c r="AE1111" s="39" t="n">
        <f aca="false">AC1111-T1111</f>
        <v>81.5295593181819</v>
      </c>
      <c r="AF1111" s="40" t="n">
        <f aca="false">AC1111/T1111-1</f>
        <v>0.519921403399302</v>
      </c>
      <c r="AG1111" s="37" t="str">
        <f aca="false">IF(AC1111&lt;T1111,"SIM","NÃO")</f>
        <v>NÃO</v>
      </c>
      <c r="AH1111" s="37" t="n">
        <v>13</v>
      </c>
      <c r="AI1111" s="37" t="n">
        <v>8</v>
      </c>
      <c r="AJ1111" s="37" t="s">
        <v>327</v>
      </c>
    </row>
    <row r="1112" customFormat="false" ht="15" hidden="false" customHeight="false" outlineLevel="0" collapsed="false">
      <c r="A1112" s="37" t="n">
        <v>377654012</v>
      </c>
      <c r="B1112" s="38" t="n">
        <v>46250.8520717593</v>
      </c>
      <c r="C1112" s="37" t="s">
        <v>320</v>
      </c>
      <c r="D1112" s="37" t="s">
        <v>1379</v>
      </c>
      <c r="E1112" s="37" t="n">
        <v>20920050</v>
      </c>
      <c r="F1112" s="37" t="s">
        <v>139</v>
      </c>
      <c r="G1112" s="37" t="s">
        <v>198</v>
      </c>
      <c r="H1112" s="37" t="s">
        <v>171</v>
      </c>
      <c r="I1112" s="37" t="n">
        <v>52.3</v>
      </c>
      <c r="J1112" s="39" t="n">
        <v>699.99</v>
      </c>
      <c r="K1112" s="37" t="s">
        <v>322</v>
      </c>
      <c r="L1112" s="39" t="n">
        <v>114.5</v>
      </c>
      <c r="M1112" s="39" t="n">
        <v>79.81</v>
      </c>
      <c r="N1112" s="39" t="n">
        <f aca="false">J1112*Resumo!$C$7</f>
        <v>1.39998</v>
      </c>
      <c r="O1112" s="39" t="n">
        <f aca="false">J1112*Resumo!$C$8</f>
        <v>1.39998</v>
      </c>
      <c r="P1112" s="39" t="n">
        <f aca="false">Resumo!$C$10*CEILING(I1112/100,1)</f>
        <v>1</v>
      </c>
      <c r="Q1112" s="39" t="n">
        <f aca="false">Resumo!$C$9</f>
        <v>11.9</v>
      </c>
      <c r="R1112" s="39" t="n">
        <f aca="false">SUM(M1112:Q1112)*Resumo!$C$11</f>
        <v>5.2530478</v>
      </c>
      <c r="S1112" s="39" t="n">
        <f aca="false">SUM(M1112:R1112)</f>
        <v>100.7630078</v>
      </c>
      <c r="T1112" s="39" t="n">
        <f aca="false">S1112/(1-Resumo!$C$5)</f>
        <v>114.503417954545</v>
      </c>
      <c r="U1112" s="39" t="n">
        <v>112.3</v>
      </c>
      <c r="V1112" s="39" t="n">
        <f aca="false">J1112*Resumo!$B$6</f>
        <v>0.69999</v>
      </c>
      <c r="W1112" s="39" t="n">
        <f aca="false">J1112*Resumo!$B$7</f>
        <v>1.39998</v>
      </c>
      <c r="X1112" s="39" t="n">
        <f aca="false">Resumo!$B$9</f>
        <v>1</v>
      </c>
      <c r="Y1112" s="39" t="n">
        <f aca="false">Resumo!$B$10*CEILING(I1112/100,1)</f>
        <v>4.5</v>
      </c>
      <c r="Z1112" s="39" t="n">
        <f aca="false">Resumo!$B$12*CEILING(I1112,1)</f>
        <v>3.18</v>
      </c>
      <c r="AA1112" s="39" t="n">
        <f aca="false">Resumo!$B$13*CEILING(I1112,1)</f>
        <v>23.85</v>
      </c>
      <c r="AB1112" s="39" t="n">
        <f aca="false">SUM(U1112:AA1112)</f>
        <v>146.92997</v>
      </c>
      <c r="AC1112" s="39" t="n">
        <f aca="false">AB1112/(1-Resumo!$B$5)</f>
        <v>166.965875</v>
      </c>
      <c r="AD1112" s="39" t="n">
        <f aca="false">(AB1112-AA1112)/(1-Resumo!$B$5)</f>
        <v>139.863602272727</v>
      </c>
      <c r="AE1112" s="39" t="n">
        <f aca="false">AC1112-T1112</f>
        <v>52.4624570454545</v>
      </c>
      <c r="AF1112" s="40" t="n">
        <f aca="false">AC1112/T1112-1</f>
        <v>0.458173720772952</v>
      </c>
      <c r="AG1112" s="37" t="str">
        <f aca="false">IF(AC1112&lt;T1112,"SIM","NÃO")</f>
        <v>NÃO</v>
      </c>
      <c r="AH1112" s="37" t="n">
        <v>8</v>
      </c>
      <c r="AI1112" s="37" t="n">
        <v>5</v>
      </c>
      <c r="AJ1112" s="37" t="s">
        <v>323</v>
      </c>
    </row>
    <row r="1113" customFormat="false" ht="15" hidden="false" customHeight="false" outlineLevel="0" collapsed="false">
      <c r="A1113" s="37" t="n">
        <v>377657527</v>
      </c>
      <c r="B1113" s="38" t="n">
        <v>46250.8632291667</v>
      </c>
      <c r="C1113" s="37" t="s">
        <v>352</v>
      </c>
      <c r="D1113" s="37" t="s">
        <v>1380</v>
      </c>
      <c r="E1113" s="37" t="n">
        <v>26115460</v>
      </c>
      <c r="F1113" s="37" t="s">
        <v>145</v>
      </c>
      <c r="G1113" s="37" t="s">
        <v>207</v>
      </c>
      <c r="H1113" s="37" t="s">
        <v>172</v>
      </c>
      <c r="I1113" s="37" t="n">
        <v>66.8</v>
      </c>
      <c r="J1113" s="39" t="n">
        <v>749.99</v>
      </c>
      <c r="K1113" s="37" t="s">
        <v>498</v>
      </c>
      <c r="L1113" s="39" t="n">
        <v>141.41</v>
      </c>
      <c r="M1113" s="39" t="n">
        <v>100.9</v>
      </c>
      <c r="N1113" s="39" t="n">
        <f aca="false">J1113*Resumo!$C$7</f>
        <v>1.49998</v>
      </c>
      <c r="O1113" s="39" t="n">
        <f aca="false">J1113*Resumo!$C$8</f>
        <v>1.49998</v>
      </c>
      <c r="P1113" s="39" t="n">
        <f aca="false">Resumo!$C$10*CEILING(I1113/100,1)</f>
        <v>1</v>
      </c>
      <c r="Q1113" s="39" t="n">
        <f aca="false">Resumo!$C$9</f>
        <v>11.9</v>
      </c>
      <c r="R1113" s="39" t="n">
        <f aca="false">SUM(M1113:Q1113)*Resumo!$C$11</f>
        <v>6.4239978</v>
      </c>
      <c r="S1113" s="39" t="n">
        <f aca="false">SUM(M1113:R1113)</f>
        <v>123.2239578</v>
      </c>
      <c r="T1113" s="39" t="n">
        <f aca="false">S1113/(1-Resumo!$C$5)</f>
        <v>140.027224772727</v>
      </c>
      <c r="U1113" s="39" t="n">
        <v>131.02</v>
      </c>
      <c r="V1113" s="39" t="n">
        <f aca="false">J1113*Resumo!$B$6</f>
        <v>0.74999</v>
      </c>
      <c r="W1113" s="39" t="n">
        <f aca="false">J1113*Resumo!$B$7</f>
        <v>1.49998</v>
      </c>
      <c r="X1113" s="39" t="n">
        <f aca="false">Resumo!$B$9</f>
        <v>1</v>
      </c>
      <c r="Y1113" s="39" t="n">
        <f aca="false">Resumo!$B$10*CEILING(I1113/100,1)</f>
        <v>4.5</v>
      </c>
      <c r="Z1113" s="39" t="n">
        <f aca="false">Resumo!$B$12*CEILING(I1113,1)</f>
        <v>4.02</v>
      </c>
      <c r="AA1113" s="39" t="n">
        <f aca="false">Resumo!$B$13*CEILING(I1113,1)</f>
        <v>30.15</v>
      </c>
      <c r="AB1113" s="39" t="n">
        <f aca="false">SUM(U1113:AA1113)</f>
        <v>172.93997</v>
      </c>
      <c r="AC1113" s="39" t="n">
        <f aca="false">AB1113/(1-Resumo!$B$5)</f>
        <v>196.522693181818</v>
      </c>
      <c r="AD1113" s="39" t="n">
        <f aca="false">(AB1113-AA1113)/(1-Resumo!$B$5)</f>
        <v>162.261329545455</v>
      </c>
      <c r="AE1113" s="39" t="n">
        <f aca="false">AC1113-T1113</f>
        <v>56.4954684090909</v>
      </c>
      <c r="AF1113" s="40" t="n">
        <f aca="false">AC1113/T1113-1</f>
        <v>0.403460602042113</v>
      </c>
      <c r="AG1113" s="37" t="str">
        <f aca="false">IF(AC1113&lt;T1113,"SIM","NÃO")</f>
        <v>NÃO</v>
      </c>
      <c r="AH1113" s="37" t="n">
        <v>10</v>
      </c>
      <c r="AI1113" s="37" t="n">
        <v>5</v>
      </c>
      <c r="AJ1113" s="37" t="s">
        <v>323</v>
      </c>
    </row>
    <row r="1114" customFormat="false" ht="15" hidden="false" customHeight="false" outlineLevel="0" collapsed="false">
      <c r="A1114" s="37" t="n">
        <v>377663501</v>
      </c>
      <c r="B1114" s="38" t="n">
        <v>46250.8693055556</v>
      </c>
      <c r="C1114" s="37" t="s">
        <v>320</v>
      </c>
      <c r="D1114" s="37" t="s">
        <v>538</v>
      </c>
      <c r="E1114" s="37" t="n">
        <v>22725441</v>
      </c>
      <c r="F1114" s="37" t="s">
        <v>139</v>
      </c>
      <c r="G1114" s="37" t="s">
        <v>198</v>
      </c>
      <c r="H1114" s="37" t="s">
        <v>167</v>
      </c>
      <c r="I1114" s="37" t="n">
        <v>17.2</v>
      </c>
      <c r="J1114" s="39" t="n">
        <v>269.99</v>
      </c>
      <c r="K1114" s="37" t="s">
        <v>322</v>
      </c>
      <c r="L1114" s="39" t="n">
        <v>64.51</v>
      </c>
      <c r="M1114" s="39" t="n">
        <v>39.83</v>
      </c>
      <c r="N1114" s="39" t="n">
        <f aca="false">J1114*Resumo!$C$7</f>
        <v>0.53998</v>
      </c>
      <c r="O1114" s="39" t="n">
        <f aca="false">J1114*Resumo!$C$8</f>
        <v>0.53998</v>
      </c>
      <c r="P1114" s="39" t="n">
        <f aca="false">Resumo!$C$10*CEILING(I1114/100,1)</f>
        <v>1</v>
      </c>
      <c r="Q1114" s="39" t="n">
        <f aca="false">Resumo!$C$9</f>
        <v>11.9</v>
      </c>
      <c r="R1114" s="39" t="n">
        <f aca="false">SUM(M1114:Q1114)*Resumo!$C$11</f>
        <v>2.9595478</v>
      </c>
      <c r="S1114" s="39" t="n">
        <f aca="false">SUM(M1114:R1114)</f>
        <v>56.7695078</v>
      </c>
      <c r="T1114" s="39" t="n">
        <f aca="false">S1114/(1-Resumo!$C$5)</f>
        <v>64.5108043181818</v>
      </c>
      <c r="U1114" s="39" t="n">
        <v>46.98</v>
      </c>
      <c r="V1114" s="39" t="n">
        <f aca="false">J1114*Resumo!$B$6</f>
        <v>0.26999</v>
      </c>
      <c r="W1114" s="39" t="n">
        <f aca="false">J1114*Resumo!$B$7</f>
        <v>0.53998</v>
      </c>
      <c r="X1114" s="39" t="n">
        <f aca="false">Resumo!$B$9</f>
        <v>1</v>
      </c>
      <c r="Y1114" s="39" t="n">
        <f aca="false">Resumo!$B$10*CEILING(I1114/100,1)</f>
        <v>4.5</v>
      </c>
      <c r="Z1114" s="39" t="n">
        <f aca="false">Resumo!$B$12*CEILING(I1114,1)</f>
        <v>1.08</v>
      </c>
      <c r="AA1114" s="39" t="n">
        <f aca="false">Resumo!$B$13*CEILING(I1114,1)</f>
        <v>8.1</v>
      </c>
      <c r="AB1114" s="39" t="n">
        <f aca="false">SUM(U1114:AA1114)</f>
        <v>62.46997</v>
      </c>
      <c r="AC1114" s="39" t="n">
        <f aca="false">AB1114/(1-Resumo!$B$5)</f>
        <v>70.9886022727273</v>
      </c>
      <c r="AD1114" s="39" t="n">
        <f aca="false">(AB1114-AA1114)/(1-Resumo!$B$5)</f>
        <v>61.7840568181818</v>
      </c>
      <c r="AE1114" s="39" t="n">
        <f aca="false">AC1114-T1114</f>
        <v>6.47779795454545</v>
      </c>
      <c r="AF1114" s="40" t="n">
        <f aca="false">AC1114/T1114-1</f>
        <v>0.10041415578382</v>
      </c>
      <c r="AG1114" s="37" t="str">
        <f aca="false">IF(AC1114&lt;T1114,"SIM","NÃO")</f>
        <v>NÃO</v>
      </c>
      <c r="AH1114" s="37" t="n">
        <v>8</v>
      </c>
      <c r="AI1114" s="37" t="n">
        <v>5</v>
      </c>
      <c r="AJ1114" s="37" t="s">
        <v>323</v>
      </c>
    </row>
    <row r="1115" customFormat="false" ht="15" hidden="false" customHeight="false" outlineLevel="0" collapsed="false">
      <c r="A1115" s="37" t="n">
        <v>377665813</v>
      </c>
      <c r="B1115" s="38" t="n">
        <v>46250.8774537037</v>
      </c>
      <c r="C1115" s="37" t="s">
        <v>341</v>
      </c>
      <c r="D1115" s="37" t="s">
        <v>1381</v>
      </c>
      <c r="E1115" s="37" t="n">
        <v>21330650</v>
      </c>
      <c r="F1115" s="37" t="s">
        <v>139</v>
      </c>
      <c r="G1115" s="37" t="s">
        <v>198</v>
      </c>
      <c r="H1115" s="37" t="s">
        <v>169</v>
      </c>
      <c r="I1115" s="37" t="n">
        <v>39.8</v>
      </c>
      <c r="J1115" s="39" t="n">
        <v>629.99</v>
      </c>
      <c r="K1115" s="37" t="s">
        <v>322</v>
      </c>
      <c r="L1115" s="39" t="n">
        <v>92.87</v>
      </c>
      <c r="M1115" s="39" t="n">
        <v>62.05</v>
      </c>
      <c r="N1115" s="39" t="n">
        <f aca="false">J1115*Resumo!$C$7</f>
        <v>1.25998</v>
      </c>
      <c r="O1115" s="39" t="n">
        <f aca="false">J1115*Resumo!$C$8</f>
        <v>1.25998</v>
      </c>
      <c r="P1115" s="39" t="n">
        <f aca="false">Resumo!$C$10*CEILING(I1115/100,1)</f>
        <v>1</v>
      </c>
      <c r="Q1115" s="39" t="n">
        <f aca="false">Resumo!$C$9</f>
        <v>11.9</v>
      </c>
      <c r="R1115" s="39" t="n">
        <f aca="false">SUM(M1115:Q1115)*Resumo!$C$11</f>
        <v>4.2608478</v>
      </c>
      <c r="S1115" s="39" t="n">
        <f aca="false">SUM(M1115:R1115)</f>
        <v>81.7308078</v>
      </c>
      <c r="T1115" s="39" t="n">
        <f aca="false">S1115/(1-Resumo!$C$5)</f>
        <v>92.8759179545454</v>
      </c>
      <c r="U1115" s="39" t="n">
        <v>93.97</v>
      </c>
      <c r="V1115" s="39" t="n">
        <f aca="false">J1115*Resumo!$B$6</f>
        <v>0.62999</v>
      </c>
      <c r="W1115" s="39" t="n">
        <f aca="false">J1115*Resumo!$B$7</f>
        <v>1.25998</v>
      </c>
      <c r="X1115" s="39" t="n">
        <f aca="false">Resumo!$B$9</f>
        <v>1</v>
      </c>
      <c r="Y1115" s="39" t="n">
        <f aca="false">Resumo!$B$10*CEILING(I1115/100,1)</f>
        <v>4.5</v>
      </c>
      <c r="Z1115" s="39" t="n">
        <f aca="false">Resumo!$B$12*CEILING(I1115,1)</f>
        <v>2.4</v>
      </c>
      <c r="AA1115" s="39" t="n">
        <f aca="false">Resumo!$B$13*CEILING(I1115,1)</f>
        <v>18</v>
      </c>
      <c r="AB1115" s="39" t="n">
        <f aca="false">SUM(U1115:AA1115)</f>
        <v>121.75997</v>
      </c>
      <c r="AC1115" s="39" t="n">
        <f aca="false">AB1115/(1-Resumo!$B$5)</f>
        <v>138.363602272727</v>
      </c>
      <c r="AD1115" s="39" t="n">
        <f aca="false">(AB1115-AA1115)/(1-Resumo!$B$5)</f>
        <v>117.909056818182</v>
      </c>
      <c r="AE1115" s="39" t="n">
        <f aca="false">AC1115-T1115</f>
        <v>45.4876843181818</v>
      </c>
      <c r="AF1115" s="40" t="n">
        <f aca="false">AC1115/T1115-1</f>
        <v>0.489768341675439</v>
      </c>
      <c r="AG1115" s="37" t="str">
        <f aca="false">IF(AC1115&lt;T1115,"SIM","NÃO")</f>
        <v>NÃO</v>
      </c>
      <c r="AH1115" s="37" t="n">
        <v>8</v>
      </c>
      <c r="AI1115" s="37" t="n">
        <v>5</v>
      </c>
      <c r="AJ1115" s="37" t="s">
        <v>323</v>
      </c>
    </row>
    <row r="1116" customFormat="false" ht="15" hidden="false" customHeight="false" outlineLevel="0" collapsed="false">
      <c r="A1116" s="37" t="n">
        <v>377681242</v>
      </c>
      <c r="B1116" s="38" t="n">
        <v>46250.9013541667</v>
      </c>
      <c r="C1116" s="37" t="s">
        <v>325</v>
      </c>
      <c r="D1116" s="37" t="s">
        <v>1382</v>
      </c>
      <c r="E1116" s="37" t="n">
        <v>24715330</v>
      </c>
      <c r="F1116" s="37" t="s">
        <v>140</v>
      </c>
      <c r="G1116" s="37" t="s">
        <v>207</v>
      </c>
      <c r="H1116" s="37" t="s">
        <v>171</v>
      </c>
      <c r="I1116" s="37" t="n">
        <v>56.7</v>
      </c>
      <c r="J1116" s="39" t="n">
        <v>613</v>
      </c>
      <c r="K1116" s="37" t="s">
        <v>498</v>
      </c>
      <c r="L1116" s="39" t="n">
        <v>129.33</v>
      </c>
      <c r="M1116" s="39" t="n">
        <v>91.6</v>
      </c>
      <c r="N1116" s="39" t="n">
        <f aca="false">J1116*Resumo!$C$7</f>
        <v>1.226</v>
      </c>
      <c r="O1116" s="39" t="n">
        <f aca="false">J1116*Resumo!$C$8</f>
        <v>1.226</v>
      </c>
      <c r="P1116" s="39" t="n">
        <f aca="false">Resumo!$C$10*CEILING(I1116/100,1)</f>
        <v>1</v>
      </c>
      <c r="Q1116" s="39" t="n">
        <f aca="false">Resumo!$C$9</f>
        <v>11.9</v>
      </c>
      <c r="R1116" s="39" t="n">
        <f aca="false">SUM(M1116:Q1116)*Resumo!$C$11</f>
        <v>5.88236</v>
      </c>
      <c r="S1116" s="39" t="n">
        <f aca="false">SUM(M1116:R1116)</f>
        <v>112.83436</v>
      </c>
      <c r="T1116" s="39" t="n">
        <f aca="false">S1116/(1-Resumo!$C$5)</f>
        <v>128.220863636364</v>
      </c>
      <c r="U1116" s="39" t="n">
        <v>128.14</v>
      </c>
      <c r="V1116" s="39" t="n">
        <f aca="false">J1116*Resumo!$B$6</f>
        <v>0.613</v>
      </c>
      <c r="W1116" s="39" t="n">
        <f aca="false">J1116*Resumo!$B$7</f>
        <v>1.226</v>
      </c>
      <c r="X1116" s="39" t="n">
        <f aca="false">Resumo!$B$9</f>
        <v>1</v>
      </c>
      <c r="Y1116" s="39" t="n">
        <f aca="false">Resumo!$B$10*CEILING(I1116/100,1)</f>
        <v>4.5</v>
      </c>
      <c r="Z1116" s="39" t="n">
        <f aca="false">Resumo!$B$12*CEILING(I1116,1)</f>
        <v>3.42</v>
      </c>
      <c r="AA1116" s="39" t="n">
        <f aca="false">Resumo!$B$13*CEILING(I1116,1)</f>
        <v>25.65</v>
      </c>
      <c r="AB1116" s="39" t="n">
        <f aca="false">SUM(U1116:AA1116)</f>
        <v>164.549</v>
      </c>
      <c r="AC1116" s="39" t="n">
        <f aca="false">AB1116/(1-Resumo!$B$5)</f>
        <v>186.9875</v>
      </c>
      <c r="AD1116" s="39" t="n">
        <f aca="false">(AB1116-AA1116)/(1-Resumo!$B$5)</f>
        <v>157.839772727273</v>
      </c>
      <c r="AE1116" s="39" t="n">
        <f aca="false">AC1116-T1116</f>
        <v>58.7666363636363</v>
      </c>
      <c r="AF1116" s="40" t="n">
        <f aca="false">AC1116/T1116-1</f>
        <v>0.458323510675294</v>
      </c>
      <c r="AG1116" s="37" t="str">
        <f aca="false">IF(AC1116&lt;T1116,"SIM","NÃO")</f>
        <v>NÃO</v>
      </c>
      <c r="AH1116" s="37" t="n">
        <v>10</v>
      </c>
      <c r="AI1116" s="37" t="n">
        <v>7</v>
      </c>
      <c r="AJ1116" s="37" t="s">
        <v>323</v>
      </c>
    </row>
    <row r="1117" customFormat="false" ht="15" hidden="false" customHeight="false" outlineLevel="0" collapsed="false">
      <c r="A1117" s="37" t="n">
        <v>377689287</v>
      </c>
      <c r="B1117" s="38" t="n">
        <v>46250.916724537</v>
      </c>
      <c r="C1117" s="37" t="s">
        <v>320</v>
      </c>
      <c r="D1117" s="37" t="s">
        <v>1383</v>
      </c>
      <c r="E1117" s="37" t="n">
        <v>22753315</v>
      </c>
      <c r="F1117" s="37" t="s">
        <v>139</v>
      </c>
      <c r="G1117" s="37" t="s">
        <v>198</v>
      </c>
      <c r="H1117" s="37" t="s">
        <v>175</v>
      </c>
      <c r="I1117" s="37" t="n">
        <v>106.5</v>
      </c>
      <c r="J1117" s="39" t="n">
        <v>1132.29</v>
      </c>
      <c r="K1117" s="37" t="s">
        <v>322</v>
      </c>
      <c r="L1117" s="39" t="n">
        <v>185.06</v>
      </c>
      <c r="M1117" s="39" t="n">
        <v>135.94</v>
      </c>
      <c r="N1117" s="39" t="n">
        <f aca="false">J1117*Resumo!$C$7</f>
        <v>2.26458</v>
      </c>
      <c r="O1117" s="39" t="n">
        <f aca="false">J1117*Resumo!$C$8</f>
        <v>2.26458</v>
      </c>
      <c r="P1117" s="39" t="n">
        <f aca="false">Resumo!$C$10*CEILING(I1117/100,1)</f>
        <v>2</v>
      </c>
      <c r="Q1117" s="39" t="n">
        <f aca="false">Resumo!$C$9</f>
        <v>11.9</v>
      </c>
      <c r="R1117" s="39" t="n">
        <f aca="false">SUM(M1117:Q1117)*Resumo!$C$11</f>
        <v>8.4903038</v>
      </c>
      <c r="S1117" s="39" t="n">
        <f aca="false">SUM(M1117:R1117)</f>
        <v>162.8594638</v>
      </c>
      <c r="T1117" s="39" t="n">
        <f aca="false">S1117/(1-Resumo!$C$5)</f>
        <v>185.0675725</v>
      </c>
      <c r="U1117" s="39" t="n">
        <v>201.59</v>
      </c>
      <c r="V1117" s="39" t="n">
        <f aca="false">J1117*Resumo!$B$6</f>
        <v>1.13229</v>
      </c>
      <c r="W1117" s="39" t="n">
        <f aca="false">J1117*Resumo!$B$7</f>
        <v>2.26458</v>
      </c>
      <c r="X1117" s="39" t="n">
        <f aca="false">Resumo!$B$9</f>
        <v>1</v>
      </c>
      <c r="Y1117" s="39" t="n">
        <f aca="false">Resumo!$B$10*CEILING(I1117/100,1)</f>
        <v>9</v>
      </c>
      <c r="Z1117" s="39" t="n">
        <f aca="false">Resumo!$B$12*CEILING(I1117,1)</f>
        <v>6.42</v>
      </c>
      <c r="AA1117" s="39" t="n">
        <f aca="false">Resumo!$B$13*CEILING(I1117,1)</f>
        <v>48.15</v>
      </c>
      <c r="AB1117" s="39" t="n">
        <f aca="false">SUM(U1117:AA1117)</f>
        <v>269.55687</v>
      </c>
      <c r="AC1117" s="39" t="n">
        <f aca="false">AB1117/(1-Resumo!$B$5)</f>
        <v>306.314625</v>
      </c>
      <c r="AD1117" s="39" t="n">
        <f aca="false">(AB1117-AA1117)/(1-Resumo!$B$5)</f>
        <v>251.598715909091</v>
      </c>
      <c r="AE1117" s="39" t="n">
        <f aca="false">AC1117-T1117</f>
        <v>121.2470525</v>
      </c>
      <c r="AF1117" s="40" t="n">
        <f aca="false">AC1117/T1117-1</f>
        <v>0.655150174944884</v>
      </c>
      <c r="AG1117" s="37" t="str">
        <f aca="false">IF(AC1117&lt;T1117,"SIM","NÃO")</f>
        <v>NÃO</v>
      </c>
      <c r="AH1117" s="37" t="n">
        <v>8</v>
      </c>
      <c r="AI1117" s="37" t="n">
        <v>5</v>
      </c>
      <c r="AJ1117" s="37" t="s">
        <v>323</v>
      </c>
    </row>
    <row r="1118" customFormat="false" ht="15" hidden="false" customHeight="false" outlineLevel="0" collapsed="false">
      <c r="A1118" s="37" t="n">
        <v>377695604</v>
      </c>
      <c r="B1118" s="38" t="n">
        <v>46250.9296643519</v>
      </c>
      <c r="C1118" s="37" t="s">
        <v>320</v>
      </c>
      <c r="D1118" s="37" t="s">
        <v>577</v>
      </c>
      <c r="E1118" s="37" t="n">
        <v>23970000</v>
      </c>
      <c r="F1118" s="37" t="s">
        <v>206</v>
      </c>
      <c r="G1118" s="37" t="s">
        <v>201</v>
      </c>
      <c r="H1118" s="37" t="s">
        <v>172</v>
      </c>
      <c r="I1118" s="37" t="n">
        <v>66.8</v>
      </c>
      <c r="J1118" s="39" t="n">
        <v>719.99</v>
      </c>
      <c r="K1118" s="37" t="s">
        <v>498</v>
      </c>
      <c r="L1118" s="39" t="n">
        <v>156.78</v>
      </c>
      <c r="M1118" s="39" t="n">
        <v>113.9</v>
      </c>
      <c r="N1118" s="39" t="n">
        <f aca="false">J1118*Resumo!$C$7</f>
        <v>1.43998</v>
      </c>
      <c r="O1118" s="39" t="n">
        <f aca="false">J1118*Resumo!$C$8</f>
        <v>1.43998</v>
      </c>
      <c r="P1118" s="39" t="n">
        <f aca="false">Resumo!$C$10*CEILING(I1118/100,1)</f>
        <v>1</v>
      </c>
      <c r="Q1118" s="39" t="n">
        <f aca="false">Resumo!$C$9</f>
        <v>11.9</v>
      </c>
      <c r="R1118" s="39" t="n">
        <f aca="false">SUM(M1118:Q1118)*Resumo!$C$11</f>
        <v>7.1323978</v>
      </c>
      <c r="S1118" s="39" t="n">
        <f aca="false">SUM(M1118:R1118)</f>
        <v>136.8123578</v>
      </c>
      <c r="T1118" s="39" t="n">
        <f aca="false">S1118/(1-Resumo!$C$5)</f>
        <v>155.468588409091</v>
      </c>
      <c r="U1118" s="39" t="n">
        <v>166.05</v>
      </c>
      <c r="V1118" s="39" t="n">
        <f aca="false">J1118*Resumo!$B$6</f>
        <v>0.71999</v>
      </c>
      <c r="W1118" s="39" t="n">
        <f aca="false">J1118*Resumo!$B$7</f>
        <v>1.43998</v>
      </c>
      <c r="X1118" s="39" t="n">
        <f aca="false">Resumo!$B$9</f>
        <v>1</v>
      </c>
      <c r="Y1118" s="39" t="n">
        <f aca="false">Resumo!$B$10*CEILING(I1118/100,1)</f>
        <v>4.5</v>
      </c>
      <c r="Z1118" s="39" t="n">
        <f aca="false">Resumo!$B$12*CEILING(I1118,1)</f>
        <v>4.02</v>
      </c>
      <c r="AA1118" s="39" t="n">
        <f aca="false">Resumo!$B$13*CEILING(I1118,1)</f>
        <v>30.15</v>
      </c>
      <c r="AB1118" s="39" t="n">
        <f aca="false">SUM(U1118:AA1118)</f>
        <v>207.87997</v>
      </c>
      <c r="AC1118" s="39" t="n">
        <f aca="false">AB1118/(1-Resumo!$B$5)</f>
        <v>236.227238636364</v>
      </c>
      <c r="AD1118" s="39" t="n">
        <f aca="false">(AB1118-AA1118)/(1-Resumo!$B$5)</f>
        <v>201.965875</v>
      </c>
      <c r="AE1118" s="39" t="n">
        <f aca="false">AC1118-T1118</f>
        <v>80.7586502272728</v>
      </c>
      <c r="AF1118" s="40" t="n">
        <f aca="false">AC1118/T1118-1</f>
        <v>0.519453164485994</v>
      </c>
      <c r="AG1118" s="37" t="str">
        <f aca="false">IF(AC1118&lt;T1118,"SIM","NÃO")</f>
        <v>NÃO</v>
      </c>
      <c r="AH1118" s="37" t="n">
        <v>13</v>
      </c>
      <c r="AI1118" s="37" t="n">
        <v>10</v>
      </c>
      <c r="AJ1118" s="37" t="s">
        <v>327</v>
      </c>
    </row>
    <row r="1119" customFormat="false" ht="15" hidden="false" customHeight="false" outlineLevel="0" collapsed="false">
      <c r="A1119" s="37" t="n">
        <v>377708260</v>
      </c>
      <c r="B1119" s="38" t="n">
        <v>46250.953587963</v>
      </c>
      <c r="C1119" s="37" t="s">
        <v>325</v>
      </c>
      <c r="D1119" s="37" t="s">
        <v>1384</v>
      </c>
      <c r="E1119" s="37" t="n">
        <v>25555150</v>
      </c>
      <c r="F1119" s="37" t="s">
        <v>147</v>
      </c>
      <c r="G1119" s="37" t="s">
        <v>207</v>
      </c>
      <c r="H1119" s="37" t="s">
        <v>169</v>
      </c>
      <c r="I1119" s="37" t="n">
        <v>36.8</v>
      </c>
      <c r="J1119" s="39" t="n">
        <v>419</v>
      </c>
      <c r="K1119" s="37" t="s">
        <v>498</v>
      </c>
      <c r="L1119" s="39" t="n">
        <v>113.45</v>
      </c>
      <c r="M1119" s="39" t="n">
        <v>79.65</v>
      </c>
      <c r="N1119" s="39" t="n">
        <f aca="false">J1119*Resumo!$C$7</f>
        <v>0.838</v>
      </c>
      <c r="O1119" s="39" t="n">
        <f aca="false">J1119*Resumo!$C$8</f>
        <v>0.838</v>
      </c>
      <c r="P1119" s="39" t="n">
        <f aca="false">Resumo!$C$10*CEILING(I1119/100,1)</f>
        <v>1</v>
      </c>
      <c r="Q1119" s="39" t="n">
        <f aca="false">Resumo!$C$9</f>
        <v>11.9</v>
      </c>
      <c r="R1119" s="39" t="n">
        <f aca="false">SUM(M1119:Q1119)*Resumo!$C$11</f>
        <v>5.18243</v>
      </c>
      <c r="S1119" s="39" t="n">
        <f aca="false">SUM(M1119:R1119)</f>
        <v>99.40843</v>
      </c>
      <c r="T1119" s="39" t="n">
        <f aca="false">S1119/(1-Resumo!$C$5)</f>
        <v>112.964125</v>
      </c>
      <c r="U1119" s="39" t="n">
        <v>93.97</v>
      </c>
      <c r="V1119" s="39" t="n">
        <f aca="false">J1119*Resumo!$B$6</f>
        <v>0.419</v>
      </c>
      <c r="W1119" s="39" t="n">
        <f aca="false">J1119*Resumo!$B$7</f>
        <v>0.838</v>
      </c>
      <c r="X1119" s="39" t="n">
        <f aca="false">Resumo!$B$9</f>
        <v>1</v>
      </c>
      <c r="Y1119" s="39" t="n">
        <f aca="false">Resumo!$B$10*CEILING(I1119/100,1)</f>
        <v>4.5</v>
      </c>
      <c r="Z1119" s="39" t="n">
        <f aca="false">Resumo!$B$12*CEILING(I1119,1)</f>
        <v>2.22</v>
      </c>
      <c r="AA1119" s="39" t="n">
        <f aca="false">Resumo!$B$13*CEILING(I1119,1)</f>
        <v>16.65</v>
      </c>
      <c r="AB1119" s="39" t="n">
        <f aca="false">SUM(U1119:AA1119)</f>
        <v>119.597</v>
      </c>
      <c r="AC1119" s="39" t="n">
        <f aca="false">AB1119/(1-Resumo!$B$5)</f>
        <v>135.905681818182</v>
      </c>
      <c r="AD1119" s="39" t="n">
        <f aca="false">(AB1119-AA1119)/(1-Resumo!$B$5)</f>
        <v>116.985227272727</v>
      </c>
      <c r="AE1119" s="39" t="n">
        <f aca="false">AC1119-T1119</f>
        <v>22.9415568181818</v>
      </c>
      <c r="AF1119" s="40" t="n">
        <f aca="false">AC1119/T1119-1</f>
        <v>0.203087102371499</v>
      </c>
      <c r="AG1119" s="37" t="str">
        <f aca="false">IF(AC1119&lt;T1119,"SIM","NÃO")</f>
        <v>NÃO</v>
      </c>
      <c r="AH1119" s="37" t="n">
        <v>10</v>
      </c>
      <c r="AI1119" s="37" t="n">
        <v>5</v>
      </c>
      <c r="AJ1119" s="37" t="s">
        <v>323</v>
      </c>
    </row>
    <row r="1120" customFormat="false" ht="15" hidden="false" customHeight="false" outlineLevel="0" collapsed="false">
      <c r="A1120" s="37" t="n">
        <v>377708593</v>
      </c>
      <c r="B1120" s="38" t="n">
        <v>46250.9542592593</v>
      </c>
      <c r="C1120" s="37" t="s">
        <v>320</v>
      </c>
      <c r="D1120" s="37" t="s">
        <v>1385</v>
      </c>
      <c r="E1120" s="37" t="n">
        <v>21620590</v>
      </c>
      <c r="F1120" s="37" t="s">
        <v>139</v>
      </c>
      <c r="G1120" s="37" t="s">
        <v>198</v>
      </c>
      <c r="H1120" s="37" t="s">
        <v>168</v>
      </c>
      <c r="I1120" s="37" t="n">
        <v>34.4</v>
      </c>
      <c r="J1120" s="39" t="n">
        <v>439.69</v>
      </c>
      <c r="K1120" s="37" t="s">
        <v>322</v>
      </c>
      <c r="L1120" s="39" t="n">
        <v>82.43</v>
      </c>
      <c r="M1120" s="39" t="n">
        <v>54.1</v>
      </c>
      <c r="N1120" s="39" t="n">
        <f aca="false">J1120*Resumo!$C$7</f>
        <v>0.87938</v>
      </c>
      <c r="O1120" s="39" t="n">
        <f aca="false">J1120*Resumo!$C$8</f>
        <v>0.87938</v>
      </c>
      <c r="P1120" s="39" t="n">
        <f aca="false">Resumo!$C$10*CEILING(I1120/100,1)</f>
        <v>1</v>
      </c>
      <c r="Q1120" s="39" t="n">
        <f aca="false">Resumo!$C$9</f>
        <v>11.9</v>
      </c>
      <c r="R1120" s="39" t="n">
        <f aca="false">SUM(M1120:Q1120)*Resumo!$C$11</f>
        <v>3.7817318</v>
      </c>
      <c r="S1120" s="39" t="n">
        <f aca="false">SUM(M1120:R1120)</f>
        <v>72.5404918</v>
      </c>
      <c r="T1120" s="39" t="n">
        <f aca="false">S1120/(1-Resumo!$C$5)</f>
        <v>82.4323770454545</v>
      </c>
      <c r="U1120" s="39" t="n">
        <v>82.21</v>
      </c>
      <c r="V1120" s="39" t="n">
        <f aca="false">J1120*Resumo!$B$6</f>
        <v>0.43969</v>
      </c>
      <c r="W1120" s="39" t="n">
        <f aca="false">J1120*Resumo!$B$7</f>
        <v>0.87938</v>
      </c>
      <c r="X1120" s="39" t="n">
        <f aca="false">Resumo!$B$9</f>
        <v>1</v>
      </c>
      <c r="Y1120" s="39" t="n">
        <f aca="false">Resumo!$B$10*CEILING(I1120/100,1)</f>
        <v>4.5</v>
      </c>
      <c r="Z1120" s="39" t="n">
        <f aca="false">Resumo!$B$12*CEILING(I1120,1)</f>
        <v>2.1</v>
      </c>
      <c r="AA1120" s="39" t="n">
        <f aca="false">Resumo!$B$13*CEILING(I1120,1)</f>
        <v>15.75</v>
      </c>
      <c r="AB1120" s="39" t="n">
        <f aca="false">SUM(U1120:AA1120)</f>
        <v>106.87907</v>
      </c>
      <c r="AC1120" s="39" t="n">
        <f aca="false">AB1120/(1-Resumo!$B$5)</f>
        <v>121.453488636364</v>
      </c>
      <c r="AD1120" s="39" t="n">
        <f aca="false">(AB1120-AA1120)/(1-Resumo!$B$5)</f>
        <v>103.555761363636</v>
      </c>
      <c r="AE1120" s="39" t="n">
        <f aca="false">AC1120-T1120</f>
        <v>39.0211115909091</v>
      </c>
      <c r="AF1120" s="40" t="n">
        <f aca="false">AC1120/T1120-1</f>
        <v>0.473371179984197</v>
      </c>
      <c r="AG1120" s="37" t="str">
        <f aca="false">IF(AC1120&lt;T1120,"SIM","NÃO")</f>
        <v>NÃO</v>
      </c>
      <c r="AH1120" s="37" t="n">
        <v>8</v>
      </c>
      <c r="AI1120" s="37" t="n">
        <v>5</v>
      </c>
      <c r="AJ1120" s="37" t="s">
        <v>323</v>
      </c>
    </row>
    <row r="1121" customFormat="false" ht="15" hidden="false" customHeight="false" outlineLevel="0" collapsed="false">
      <c r="A1121" s="37" t="n">
        <v>377723161</v>
      </c>
      <c r="B1121" s="38" t="n">
        <v>46250.9854976852</v>
      </c>
      <c r="C1121" s="37" t="s">
        <v>325</v>
      </c>
      <c r="D1121" s="37" t="s">
        <v>819</v>
      </c>
      <c r="E1121" s="37" t="n">
        <v>23098006</v>
      </c>
      <c r="F1121" s="37" t="s">
        <v>139</v>
      </c>
      <c r="G1121" s="37" t="s">
        <v>198</v>
      </c>
      <c r="H1121" s="37" t="s">
        <v>168</v>
      </c>
      <c r="I1121" s="37" t="n">
        <v>31.4</v>
      </c>
      <c r="J1121" s="39" t="n">
        <v>368.32</v>
      </c>
      <c r="K1121" s="37" t="s">
        <v>498</v>
      </c>
      <c r="L1121" s="39" t="n">
        <v>82.56</v>
      </c>
      <c r="M1121" s="39" t="n">
        <v>54.1</v>
      </c>
      <c r="N1121" s="39" t="n">
        <f aca="false">J1121*Resumo!$C$7</f>
        <v>0.73664</v>
      </c>
      <c r="O1121" s="39" t="n">
        <f aca="false">J1121*Resumo!$C$8</f>
        <v>0.73664</v>
      </c>
      <c r="P1121" s="39" t="n">
        <f aca="false">Resumo!$C$10*CEILING(I1121/100,1)</f>
        <v>1</v>
      </c>
      <c r="Q1121" s="39" t="n">
        <f aca="false">Resumo!$C$9</f>
        <v>11.9</v>
      </c>
      <c r="R1121" s="39" t="n">
        <f aca="false">SUM(M1121:Q1121)*Resumo!$C$11</f>
        <v>3.7660304</v>
      </c>
      <c r="S1121" s="39" t="n">
        <f aca="false">SUM(M1121:R1121)</f>
        <v>72.2393104</v>
      </c>
      <c r="T1121" s="39" t="n">
        <f aca="false">S1121/(1-Resumo!$C$5)</f>
        <v>82.0901254545455</v>
      </c>
      <c r="U1121" s="39" t="n">
        <v>82.21</v>
      </c>
      <c r="V1121" s="39" t="n">
        <f aca="false">J1121*Resumo!$B$6</f>
        <v>0.36832</v>
      </c>
      <c r="W1121" s="39" t="n">
        <f aca="false">J1121*Resumo!$B$7</f>
        <v>0.73664</v>
      </c>
      <c r="X1121" s="39" t="n">
        <f aca="false">Resumo!$B$9</f>
        <v>1</v>
      </c>
      <c r="Y1121" s="39" t="n">
        <f aca="false">Resumo!$B$10*CEILING(I1121/100,1)</f>
        <v>4.5</v>
      </c>
      <c r="Z1121" s="39" t="n">
        <f aca="false">Resumo!$B$12*CEILING(I1121,1)</f>
        <v>1.92</v>
      </c>
      <c r="AA1121" s="39" t="n">
        <f aca="false">Resumo!$B$13*CEILING(I1121,1)</f>
        <v>14.4</v>
      </c>
      <c r="AB1121" s="39" t="n">
        <f aca="false">SUM(U1121:AA1121)</f>
        <v>105.13496</v>
      </c>
      <c r="AC1121" s="39" t="n">
        <f aca="false">AB1121/(1-Resumo!$B$5)</f>
        <v>119.471545454545</v>
      </c>
      <c r="AD1121" s="39" t="n">
        <f aca="false">(AB1121-AA1121)/(1-Resumo!$B$5)</f>
        <v>103.107909090909</v>
      </c>
      <c r="AE1121" s="39" t="n">
        <f aca="false">AC1121-T1121</f>
        <v>37.38142</v>
      </c>
      <c r="AF1121" s="40" t="n">
        <f aca="false">AC1121/T1121-1</f>
        <v>0.455370482052664</v>
      </c>
      <c r="AG1121" s="37" t="str">
        <f aca="false">IF(AC1121&lt;T1121,"SIM","NÃO")</f>
        <v>NÃO</v>
      </c>
      <c r="AH1121" s="37" t="n">
        <v>8</v>
      </c>
      <c r="AI1121" s="37" t="n">
        <v>5</v>
      </c>
      <c r="AJ1121" s="37" t="s">
        <v>323</v>
      </c>
    </row>
    <row r="1122" customFormat="false" ht="15" hidden="false" customHeight="false" outlineLevel="0" collapsed="false">
      <c r="A1122" s="37" t="n">
        <v>377730968</v>
      </c>
      <c r="B1122" s="38" t="n">
        <v>46251.0041319444</v>
      </c>
      <c r="C1122" s="37" t="s">
        <v>320</v>
      </c>
      <c r="D1122" s="37" t="s">
        <v>1386</v>
      </c>
      <c r="E1122" s="37" t="n">
        <v>22785200</v>
      </c>
      <c r="F1122" s="37" t="s">
        <v>139</v>
      </c>
      <c r="G1122" s="37" t="s">
        <v>198</v>
      </c>
      <c r="H1122" s="37" t="s">
        <v>168</v>
      </c>
      <c r="I1122" s="37" t="n">
        <v>34.4</v>
      </c>
      <c r="J1122" s="39" t="n">
        <v>499.98</v>
      </c>
      <c r="K1122" s="37" t="s">
        <v>322</v>
      </c>
      <c r="L1122" s="39" t="n">
        <v>82.73</v>
      </c>
      <c r="M1122" s="39" t="n">
        <v>54.1</v>
      </c>
      <c r="N1122" s="39" t="n">
        <f aca="false">J1122*Resumo!$C$7</f>
        <v>0.99996</v>
      </c>
      <c r="O1122" s="39" t="n">
        <f aca="false">J1122*Resumo!$C$8</f>
        <v>0.99996</v>
      </c>
      <c r="P1122" s="39" t="n">
        <f aca="false">Resumo!$C$10*CEILING(I1122/100,1)</f>
        <v>1</v>
      </c>
      <c r="Q1122" s="39" t="n">
        <f aca="false">Resumo!$C$9</f>
        <v>11.9</v>
      </c>
      <c r="R1122" s="39" t="n">
        <f aca="false">SUM(M1122:Q1122)*Resumo!$C$11</f>
        <v>3.7949956</v>
      </c>
      <c r="S1122" s="39" t="n">
        <f aca="false">SUM(M1122:R1122)</f>
        <v>72.7949156</v>
      </c>
      <c r="T1122" s="39" t="n">
        <f aca="false">S1122/(1-Resumo!$C$5)</f>
        <v>82.721495</v>
      </c>
      <c r="U1122" s="39" t="n">
        <v>82.21</v>
      </c>
      <c r="V1122" s="39" t="n">
        <f aca="false">J1122*Resumo!$B$6</f>
        <v>0.49998</v>
      </c>
      <c r="W1122" s="39" t="n">
        <f aca="false">J1122*Resumo!$B$7</f>
        <v>0.99996</v>
      </c>
      <c r="X1122" s="39" t="n">
        <f aca="false">Resumo!$B$9</f>
        <v>1</v>
      </c>
      <c r="Y1122" s="39" t="n">
        <f aca="false">Resumo!$B$10*CEILING(I1122/100,1)</f>
        <v>4.5</v>
      </c>
      <c r="Z1122" s="39" t="n">
        <f aca="false">Resumo!$B$12*CEILING(I1122,1)</f>
        <v>2.1</v>
      </c>
      <c r="AA1122" s="39" t="n">
        <f aca="false">Resumo!$B$13*CEILING(I1122,1)</f>
        <v>15.75</v>
      </c>
      <c r="AB1122" s="39" t="n">
        <f aca="false">SUM(U1122:AA1122)</f>
        <v>107.05994</v>
      </c>
      <c r="AC1122" s="39" t="n">
        <f aca="false">AB1122/(1-Resumo!$B$5)</f>
        <v>121.659022727273</v>
      </c>
      <c r="AD1122" s="39" t="n">
        <f aca="false">(AB1122-AA1122)/(1-Resumo!$B$5)</f>
        <v>103.761295454545</v>
      </c>
      <c r="AE1122" s="39" t="n">
        <f aca="false">AC1122-T1122</f>
        <v>38.9375277272727</v>
      </c>
      <c r="AF1122" s="40" t="n">
        <f aca="false">AC1122/T1122-1</f>
        <v>0.470706286525319</v>
      </c>
      <c r="AG1122" s="37" t="str">
        <f aca="false">IF(AC1122&lt;T1122,"SIM","NÃO")</f>
        <v>NÃO</v>
      </c>
      <c r="AH1122" s="37" t="n">
        <v>8</v>
      </c>
      <c r="AI1122" s="37" t="n">
        <v>5</v>
      </c>
      <c r="AJ1122" s="37" t="s">
        <v>323</v>
      </c>
    </row>
    <row r="1123" customFormat="false" ht="15" hidden="false" customHeight="false" outlineLevel="0" collapsed="false">
      <c r="A1123" s="37" t="n">
        <v>377827780</v>
      </c>
      <c r="B1123" s="38" t="n">
        <v>46251.2829861111</v>
      </c>
      <c r="C1123" s="37" t="s">
        <v>320</v>
      </c>
      <c r="D1123" s="37" t="s">
        <v>1387</v>
      </c>
      <c r="E1123" s="37" t="n">
        <v>23555100</v>
      </c>
      <c r="F1123" s="37" t="s">
        <v>139</v>
      </c>
      <c r="G1123" s="37" t="s">
        <v>198</v>
      </c>
      <c r="H1123" s="37" t="s">
        <v>170</v>
      </c>
      <c r="I1123" s="37" t="n">
        <v>45.3</v>
      </c>
      <c r="J1123" s="39" t="n">
        <v>630.04</v>
      </c>
      <c r="K1123" s="37" t="s">
        <v>498</v>
      </c>
      <c r="L1123" s="39" t="n">
        <v>103.97</v>
      </c>
      <c r="M1123" s="39" t="n">
        <v>71</v>
      </c>
      <c r="N1123" s="39" t="n">
        <f aca="false">J1123*Resumo!$C$7</f>
        <v>1.26008</v>
      </c>
      <c r="O1123" s="39" t="n">
        <f aca="false">J1123*Resumo!$C$8</f>
        <v>1.26008</v>
      </c>
      <c r="P1123" s="39" t="n">
        <f aca="false">Resumo!$C$10*CEILING(I1123/100,1)</f>
        <v>1</v>
      </c>
      <c r="Q1123" s="39" t="n">
        <f aca="false">Resumo!$C$9</f>
        <v>11.9</v>
      </c>
      <c r="R1123" s="39" t="n">
        <f aca="false">SUM(M1123:Q1123)*Resumo!$C$11</f>
        <v>4.7531088</v>
      </c>
      <c r="S1123" s="39" t="n">
        <f aca="false">SUM(M1123:R1123)</f>
        <v>91.1732688</v>
      </c>
      <c r="T1123" s="39" t="n">
        <f aca="false">S1123/(1-Resumo!$C$5)</f>
        <v>103.605987272727</v>
      </c>
      <c r="U1123" s="39" t="n">
        <v>93.97</v>
      </c>
      <c r="V1123" s="39" t="n">
        <f aca="false">J1123*Resumo!$B$6</f>
        <v>0.63004</v>
      </c>
      <c r="W1123" s="39" t="n">
        <f aca="false">J1123*Resumo!$B$7</f>
        <v>1.26008</v>
      </c>
      <c r="X1123" s="39" t="n">
        <f aca="false">Resumo!$B$9</f>
        <v>1</v>
      </c>
      <c r="Y1123" s="39" t="n">
        <f aca="false">Resumo!$B$10*CEILING(I1123/100,1)</f>
        <v>4.5</v>
      </c>
      <c r="Z1123" s="39" t="n">
        <f aca="false">Resumo!$B$12*CEILING(I1123,1)</f>
        <v>2.76</v>
      </c>
      <c r="AA1123" s="39" t="n">
        <f aca="false">Resumo!$B$13*CEILING(I1123,1)</f>
        <v>20.7</v>
      </c>
      <c r="AB1123" s="39" t="n">
        <f aca="false">SUM(U1123:AA1123)</f>
        <v>124.82012</v>
      </c>
      <c r="AC1123" s="39" t="n">
        <f aca="false">AB1123/(1-Resumo!$B$5)</f>
        <v>141.841045454545</v>
      </c>
      <c r="AD1123" s="39" t="n">
        <f aca="false">(AB1123-AA1123)/(1-Resumo!$B$5)</f>
        <v>118.318318181818</v>
      </c>
      <c r="AE1123" s="39" t="n">
        <f aca="false">AC1123-T1123</f>
        <v>38.2350581818182</v>
      </c>
      <c r="AF1123" s="40" t="n">
        <f aca="false">AC1123/T1123-1</f>
        <v>0.369042940357975</v>
      </c>
      <c r="AG1123" s="37" t="str">
        <f aca="false">IF(AC1123&lt;T1123,"SIM","NÃO")</f>
        <v>NÃO</v>
      </c>
      <c r="AH1123" s="37" t="n">
        <v>8</v>
      </c>
      <c r="AI1123" s="37" t="n">
        <v>5</v>
      </c>
      <c r="AJ1123" s="37" t="s">
        <v>323</v>
      </c>
    </row>
    <row r="1124" customFormat="false" ht="15" hidden="false" customHeight="false" outlineLevel="0" collapsed="false">
      <c r="A1124" s="37" t="n">
        <v>377842701</v>
      </c>
      <c r="B1124" s="38" t="n">
        <v>46251.3209375</v>
      </c>
      <c r="C1124" s="37" t="s">
        <v>320</v>
      </c>
      <c r="D1124" s="37" t="s">
        <v>1388</v>
      </c>
      <c r="E1124" s="37" t="n">
        <v>25212310</v>
      </c>
      <c r="F1124" s="37" t="s">
        <v>141</v>
      </c>
      <c r="G1124" s="37" t="s">
        <v>207</v>
      </c>
      <c r="H1124" s="37" t="s">
        <v>171</v>
      </c>
      <c r="I1124" s="37" t="n">
        <v>52.3</v>
      </c>
      <c r="J1124" s="39" t="n">
        <v>577.12</v>
      </c>
      <c r="K1124" s="37" t="s">
        <v>322</v>
      </c>
      <c r="L1124" s="39" t="n">
        <v>128.03</v>
      </c>
      <c r="M1124" s="39" t="n">
        <v>91.6</v>
      </c>
      <c r="N1124" s="39" t="n">
        <f aca="false">J1124*Resumo!$C$7</f>
        <v>1.15424</v>
      </c>
      <c r="O1124" s="39" t="n">
        <f aca="false">J1124*Resumo!$C$8</f>
        <v>1.15424</v>
      </c>
      <c r="P1124" s="39" t="n">
        <f aca="false">Resumo!$C$10*CEILING(I1124/100,1)</f>
        <v>1</v>
      </c>
      <c r="Q1124" s="39" t="n">
        <f aca="false">Resumo!$C$9</f>
        <v>11.9</v>
      </c>
      <c r="R1124" s="39" t="n">
        <f aca="false">SUM(M1124:Q1124)*Resumo!$C$11</f>
        <v>5.8744664</v>
      </c>
      <c r="S1124" s="39" t="n">
        <f aca="false">SUM(M1124:R1124)</f>
        <v>112.6829464</v>
      </c>
      <c r="T1124" s="39" t="n">
        <f aca="false">S1124/(1-Resumo!$C$5)</f>
        <v>128.048802727273</v>
      </c>
      <c r="U1124" s="39" t="n">
        <v>112.3</v>
      </c>
      <c r="V1124" s="39" t="n">
        <f aca="false">J1124*Resumo!$B$6</f>
        <v>0.57712</v>
      </c>
      <c r="W1124" s="39" t="n">
        <f aca="false">J1124*Resumo!$B$7</f>
        <v>1.15424</v>
      </c>
      <c r="X1124" s="39" t="n">
        <f aca="false">Resumo!$B$9</f>
        <v>1</v>
      </c>
      <c r="Y1124" s="39" t="n">
        <f aca="false">Resumo!$B$10*CEILING(I1124/100,1)</f>
        <v>4.5</v>
      </c>
      <c r="Z1124" s="39" t="n">
        <f aca="false">Resumo!$B$12*CEILING(I1124,1)</f>
        <v>3.18</v>
      </c>
      <c r="AA1124" s="39" t="n">
        <f aca="false">Resumo!$B$13*CEILING(I1124,1)</f>
        <v>23.85</v>
      </c>
      <c r="AB1124" s="39" t="n">
        <f aca="false">SUM(U1124:AA1124)</f>
        <v>146.56136</v>
      </c>
      <c r="AC1124" s="39" t="n">
        <f aca="false">AB1124/(1-Resumo!$B$5)</f>
        <v>166.547</v>
      </c>
      <c r="AD1124" s="39" t="n">
        <f aca="false">(AB1124-AA1124)/(1-Resumo!$B$5)</f>
        <v>139.444727272727</v>
      </c>
      <c r="AE1124" s="39" t="n">
        <f aca="false">AC1124-T1124</f>
        <v>38.4981972727273</v>
      </c>
      <c r="AF1124" s="40" t="n">
        <f aca="false">AC1124/T1124-1</f>
        <v>0.30065253600788</v>
      </c>
      <c r="AG1124" s="37" t="str">
        <f aca="false">IF(AC1124&lt;T1124,"SIM","NÃO")</f>
        <v>NÃO</v>
      </c>
      <c r="AH1124" s="37" t="n">
        <v>10</v>
      </c>
      <c r="AI1124" s="37" t="n">
        <v>5</v>
      </c>
      <c r="AJ1124" s="37" t="s">
        <v>323</v>
      </c>
    </row>
    <row r="1125" customFormat="false" ht="15" hidden="false" customHeight="false" outlineLevel="0" collapsed="false">
      <c r="A1125" s="37" t="n">
        <v>377866314</v>
      </c>
      <c r="B1125" s="38" t="n">
        <v>46251.3739699074</v>
      </c>
      <c r="C1125" s="37" t="s">
        <v>320</v>
      </c>
      <c r="D1125" s="37" t="s">
        <v>1389</v>
      </c>
      <c r="E1125" s="37" t="n">
        <v>21311281</v>
      </c>
      <c r="F1125" s="37" t="s">
        <v>139</v>
      </c>
      <c r="G1125" s="37" t="s">
        <v>198</v>
      </c>
      <c r="H1125" s="37" t="s">
        <v>171</v>
      </c>
      <c r="I1125" s="37" t="n">
        <v>52.3</v>
      </c>
      <c r="J1125" s="39" t="n">
        <v>699.99</v>
      </c>
      <c r="K1125" s="37" t="s">
        <v>322</v>
      </c>
      <c r="L1125" s="39" t="n">
        <v>114.5</v>
      </c>
      <c r="M1125" s="39" t="n">
        <v>79.81</v>
      </c>
      <c r="N1125" s="39" t="n">
        <f aca="false">J1125*Resumo!$C$7</f>
        <v>1.39998</v>
      </c>
      <c r="O1125" s="39" t="n">
        <f aca="false">J1125*Resumo!$C$8</f>
        <v>1.39998</v>
      </c>
      <c r="P1125" s="39" t="n">
        <f aca="false">Resumo!$C$10*CEILING(I1125/100,1)</f>
        <v>1</v>
      </c>
      <c r="Q1125" s="39" t="n">
        <f aca="false">Resumo!$C$9</f>
        <v>11.9</v>
      </c>
      <c r="R1125" s="39" t="n">
        <f aca="false">SUM(M1125:Q1125)*Resumo!$C$11</f>
        <v>5.2530478</v>
      </c>
      <c r="S1125" s="39" t="n">
        <f aca="false">SUM(M1125:R1125)</f>
        <v>100.7630078</v>
      </c>
      <c r="T1125" s="39" t="n">
        <f aca="false">S1125/(1-Resumo!$C$5)</f>
        <v>114.503417954545</v>
      </c>
      <c r="U1125" s="39" t="n">
        <v>112.3</v>
      </c>
      <c r="V1125" s="39" t="n">
        <f aca="false">J1125*Resumo!$B$6</f>
        <v>0.69999</v>
      </c>
      <c r="W1125" s="39" t="n">
        <f aca="false">J1125*Resumo!$B$7</f>
        <v>1.39998</v>
      </c>
      <c r="X1125" s="39" t="n">
        <f aca="false">Resumo!$B$9</f>
        <v>1</v>
      </c>
      <c r="Y1125" s="39" t="n">
        <f aca="false">Resumo!$B$10*CEILING(I1125/100,1)</f>
        <v>4.5</v>
      </c>
      <c r="Z1125" s="39" t="n">
        <f aca="false">Resumo!$B$12*CEILING(I1125,1)</f>
        <v>3.18</v>
      </c>
      <c r="AA1125" s="39" t="n">
        <f aca="false">Resumo!$B$13*CEILING(I1125,1)</f>
        <v>23.85</v>
      </c>
      <c r="AB1125" s="39" t="n">
        <f aca="false">SUM(U1125:AA1125)</f>
        <v>146.92997</v>
      </c>
      <c r="AC1125" s="39" t="n">
        <f aca="false">AB1125/(1-Resumo!$B$5)</f>
        <v>166.965875</v>
      </c>
      <c r="AD1125" s="39" t="n">
        <f aca="false">(AB1125-AA1125)/(1-Resumo!$B$5)</f>
        <v>139.863602272727</v>
      </c>
      <c r="AE1125" s="39" t="n">
        <f aca="false">AC1125-T1125</f>
        <v>52.4624570454545</v>
      </c>
      <c r="AF1125" s="40" t="n">
        <f aca="false">AC1125/T1125-1</f>
        <v>0.458173720772952</v>
      </c>
      <c r="AG1125" s="37" t="str">
        <f aca="false">IF(AC1125&lt;T1125,"SIM","NÃO")</f>
        <v>NÃO</v>
      </c>
      <c r="AH1125" s="37" t="n">
        <v>8</v>
      </c>
      <c r="AI1125" s="37" t="n">
        <v>5</v>
      </c>
      <c r="AJ1125" s="37" t="s">
        <v>323</v>
      </c>
    </row>
    <row r="1126" customFormat="false" ht="15" hidden="false" customHeight="false" outlineLevel="0" collapsed="false">
      <c r="A1126" s="37" t="n">
        <v>377889460</v>
      </c>
      <c r="B1126" s="38" t="n">
        <v>46251.4180671296</v>
      </c>
      <c r="C1126" s="37" t="s">
        <v>325</v>
      </c>
      <c r="D1126" s="37" t="s">
        <v>1390</v>
      </c>
      <c r="E1126" s="37" t="n">
        <v>23092370</v>
      </c>
      <c r="F1126" s="37" t="s">
        <v>139</v>
      </c>
      <c r="G1126" s="37" t="s">
        <v>198</v>
      </c>
      <c r="H1126" s="37" t="s">
        <v>168</v>
      </c>
      <c r="I1126" s="37" t="n">
        <v>27.6</v>
      </c>
      <c r="J1126" s="39" t="n">
        <v>599.99</v>
      </c>
      <c r="K1126" s="37" t="s">
        <v>498</v>
      </c>
      <c r="L1126" s="39" t="n">
        <v>81.63</v>
      </c>
      <c r="M1126" s="39" t="n">
        <v>54.1</v>
      </c>
      <c r="N1126" s="39" t="n">
        <f aca="false">J1126*Resumo!$C$7</f>
        <v>1.19998</v>
      </c>
      <c r="O1126" s="39" t="n">
        <f aca="false">J1126*Resumo!$C$8</f>
        <v>1.19998</v>
      </c>
      <c r="P1126" s="39" t="n">
        <f aca="false">Resumo!$C$10*CEILING(I1126/100,1)</f>
        <v>1</v>
      </c>
      <c r="Q1126" s="39" t="n">
        <f aca="false">Resumo!$C$9</f>
        <v>11.9</v>
      </c>
      <c r="R1126" s="39" t="n">
        <f aca="false">SUM(M1126:Q1126)*Resumo!$C$11</f>
        <v>3.8169978</v>
      </c>
      <c r="S1126" s="39" t="n">
        <f aca="false">SUM(M1126:R1126)</f>
        <v>73.2169578</v>
      </c>
      <c r="T1126" s="39" t="n">
        <f aca="false">S1126/(1-Resumo!$C$5)</f>
        <v>83.2010884090909</v>
      </c>
      <c r="U1126" s="39" t="n">
        <v>82.21</v>
      </c>
      <c r="V1126" s="39" t="n">
        <f aca="false">J1126*Resumo!$B$6</f>
        <v>0.59999</v>
      </c>
      <c r="W1126" s="39" t="n">
        <f aca="false">J1126*Resumo!$B$7</f>
        <v>1.19998</v>
      </c>
      <c r="X1126" s="39" t="n">
        <f aca="false">Resumo!$B$9</f>
        <v>1</v>
      </c>
      <c r="Y1126" s="39" t="n">
        <f aca="false">Resumo!$B$10*CEILING(I1126/100,1)</f>
        <v>4.5</v>
      </c>
      <c r="Z1126" s="39" t="n">
        <f aca="false">Resumo!$B$12*CEILING(I1126,1)</f>
        <v>1.68</v>
      </c>
      <c r="AA1126" s="39" t="n">
        <f aca="false">Resumo!$B$13*CEILING(I1126,1)</f>
        <v>12.6</v>
      </c>
      <c r="AB1126" s="39" t="n">
        <f aca="false">SUM(U1126:AA1126)</f>
        <v>103.78997</v>
      </c>
      <c r="AC1126" s="39" t="n">
        <f aca="false">AB1126/(1-Resumo!$B$5)</f>
        <v>117.943147727273</v>
      </c>
      <c r="AD1126" s="39" t="n">
        <f aca="false">(AB1126-AA1126)/(1-Resumo!$B$5)</f>
        <v>103.624965909091</v>
      </c>
      <c r="AE1126" s="39" t="n">
        <f aca="false">AC1126-T1126</f>
        <v>34.7420593181818</v>
      </c>
      <c r="AF1126" s="40" t="n">
        <f aca="false">AC1126/T1126-1</f>
        <v>0.417567365794048</v>
      </c>
      <c r="AG1126" s="37" t="str">
        <f aca="false">IF(AC1126&lt;T1126,"SIM","NÃO")</f>
        <v>NÃO</v>
      </c>
      <c r="AH1126" s="37" t="n">
        <v>8</v>
      </c>
      <c r="AI1126" s="37" t="n">
        <v>5</v>
      </c>
      <c r="AJ1126" s="37" t="s">
        <v>323</v>
      </c>
    </row>
    <row r="1127" customFormat="false" ht="15" hidden="false" customHeight="false" outlineLevel="0" collapsed="false">
      <c r="A1127" s="37" t="n">
        <v>377894933</v>
      </c>
      <c r="B1127" s="38" t="n">
        <v>46251.4285648148</v>
      </c>
      <c r="C1127" s="37" t="s">
        <v>355</v>
      </c>
      <c r="D1127" s="37" t="s">
        <v>1391</v>
      </c>
      <c r="E1127" s="37" t="n">
        <v>28024731</v>
      </c>
      <c r="F1127" s="37" t="s">
        <v>144</v>
      </c>
      <c r="G1127" s="37" t="s">
        <v>201</v>
      </c>
      <c r="H1127" s="37" t="s">
        <v>175</v>
      </c>
      <c r="I1127" s="37" t="n">
        <v>117</v>
      </c>
      <c r="J1127" s="39" t="n">
        <v>1300.8</v>
      </c>
      <c r="K1127" s="37" t="s">
        <v>498</v>
      </c>
      <c r="L1127" s="39" t="n">
        <v>219.61</v>
      </c>
      <c r="M1127" s="39" t="n">
        <v>161.81</v>
      </c>
      <c r="N1127" s="39" t="n">
        <f aca="false">J1127*Resumo!$C$7</f>
        <v>2.6016</v>
      </c>
      <c r="O1127" s="39" t="n">
        <f aca="false">J1127*Resumo!$C$8</f>
        <v>2.6016</v>
      </c>
      <c r="P1127" s="39" t="n">
        <f aca="false">Resumo!$C$10*CEILING(I1127/100,1)</f>
        <v>2</v>
      </c>
      <c r="Q1127" s="39" t="n">
        <f aca="false">Resumo!$C$9</f>
        <v>11.9</v>
      </c>
      <c r="R1127" s="39" t="n">
        <f aca="false">SUM(M1127:Q1127)*Resumo!$C$11</f>
        <v>9.950226</v>
      </c>
      <c r="S1127" s="39" t="n">
        <f aca="false">SUM(M1127:R1127)</f>
        <v>190.863426</v>
      </c>
      <c r="T1127" s="39" t="n">
        <f aca="false">S1127/(1-Resumo!$C$5)</f>
        <v>216.890256818182</v>
      </c>
      <c r="U1127" s="39" t="n">
        <v>236.82</v>
      </c>
      <c r="V1127" s="39" t="n">
        <f aca="false">J1127*Resumo!$B$6</f>
        <v>1.3008</v>
      </c>
      <c r="W1127" s="39" t="n">
        <f aca="false">J1127*Resumo!$B$7</f>
        <v>2.6016</v>
      </c>
      <c r="X1127" s="39" t="n">
        <f aca="false">Resumo!$B$9</f>
        <v>1</v>
      </c>
      <c r="Y1127" s="39" t="n">
        <f aca="false">Resumo!$B$10*CEILING(I1127/100,1)</f>
        <v>9</v>
      </c>
      <c r="Z1127" s="39" t="n">
        <f aca="false">Resumo!$B$12*CEILING(I1127,1)</f>
        <v>7.02</v>
      </c>
      <c r="AA1127" s="39" t="n">
        <f aca="false">Resumo!$B$13*CEILING(I1127,1)</f>
        <v>52.65</v>
      </c>
      <c r="AB1127" s="39" t="n">
        <f aca="false">SUM(U1127:AA1127)</f>
        <v>310.3924</v>
      </c>
      <c r="AC1127" s="39" t="n">
        <f aca="false">AB1127/(1-Resumo!$B$5)</f>
        <v>352.718636363636</v>
      </c>
      <c r="AD1127" s="39" t="n">
        <f aca="false">(AB1127-AA1127)/(1-Resumo!$B$5)</f>
        <v>292.889090909091</v>
      </c>
      <c r="AE1127" s="39" t="n">
        <f aca="false">AC1127-T1127</f>
        <v>135.828379545455</v>
      </c>
      <c r="AF1127" s="40" t="n">
        <f aca="false">AC1127/T1127-1</f>
        <v>0.626253947678797</v>
      </c>
      <c r="AG1127" s="37" t="str">
        <f aca="false">IF(AC1127&lt;T1127,"SIM","NÃO")</f>
        <v>NÃO</v>
      </c>
      <c r="AH1127" s="37" t="n">
        <v>13</v>
      </c>
      <c r="AI1127" s="37" t="n">
        <v>11</v>
      </c>
      <c r="AJ1127" s="37" t="s">
        <v>323</v>
      </c>
    </row>
    <row r="1128" customFormat="false" ht="15" hidden="false" customHeight="false" outlineLevel="0" collapsed="false">
      <c r="A1128" s="37" t="n">
        <v>377912090</v>
      </c>
      <c r="B1128" s="38" t="n">
        <v>46251.4525231482</v>
      </c>
      <c r="C1128" s="37" t="s">
        <v>320</v>
      </c>
      <c r="D1128" s="37" t="s">
        <v>1392</v>
      </c>
      <c r="E1128" s="37" t="n">
        <v>24725170</v>
      </c>
      <c r="F1128" s="37" t="s">
        <v>140</v>
      </c>
      <c r="G1128" s="37" t="s">
        <v>207</v>
      </c>
      <c r="H1128" s="37" t="s">
        <v>169</v>
      </c>
      <c r="I1128" s="37" t="n">
        <v>35.9</v>
      </c>
      <c r="J1128" s="39" t="n">
        <v>619.99</v>
      </c>
      <c r="K1128" s="37" t="s">
        <v>498</v>
      </c>
      <c r="L1128" s="39" t="n">
        <v>113.9</v>
      </c>
      <c r="M1128" s="39" t="n">
        <v>79.65</v>
      </c>
      <c r="N1128" s="39" t="n">
        <f aca="false">J1128*Resumo!$C$7</f>
        <v>1.23998</v>
      </c>
      <c r="O1128" s="39" t="n">
        <f aca="false">J1128*Resumo!$C$8</f>
        <v>1.23998</v>
      </c>
      <c r="P1128" s="39" t="n">
        <f aca="false">Resumo!$C$10*CEILING(I1128/100,1)</f>
        <v>1</v>
      </c>
      <c r="Q1128" s="39" t="n">
        <f aca="false">Resumo!$C$9</f>
        <v>11.9</v>
      </c>
      <c r="R1128" s="39" t="n">
        <f aca="false">SUM(M1128:Q1128)*Resumo!$C$11</f>
        <v>5.2266478</v>
      </c>
      <c r="S1128" s="39" t="n">
        <f aca="false">SUM(M1128:R1128)</f>
        <v>100.2566078</v>
      </c>
      <c r="T1128" s="39" t="n">
        <f aca="false">S1128/(1-Resumo!$C$5)</f>
        <v>113.927963409091</v>
      </c>
      <c r="U1128" s="39" t="n">
        <v>114.95</v>
      </c>
      <c r="V1128" s="39" t="n">
        <f aca="false">J1128*Resumo!$B$6</f>
        <v>0.61999</v>
      </c>
      <c r="W1128" s="39" t="n">
        <f aca="false">J1128*Resumo!$B$7</f>
        <v>1.23998</v>
      </c>
      <c r="X1128" s="39" t="n">
        <f aca="false">Resumo!$B$9</f>
        <v>1</v>
      </c>
      <c r="Y1128" s="39" t="n">
        <f aca="false">Resumo!$B$10*CEILING(I1128/100,1)</f>
        <v>4.5</v>
      </c>
      <c r="Z1128" s="39" t="n">
        <f aca="false">Resumo!$B$12*CEILING(I1128,1)</f>
        <v>2.16</v>
      </c>
      <c r="AA1128" s="39" t="n">
        <f aca="false">Resumo!$B$13*CEILING(I1128,1)</f>
        <v>16.2</v>
      </c>
      <c r="AB1128" s="39" t="n">
        <f aca="false">SUM(U1128:AA1128)</f>
        <v>140.66997</v>
      </c>
      <c r="AC1128" s="39" t="n">
        <f aca="false">AB1128/(1-Resumo!$B$5)</f>
        <v>159.852238636364</v>
      </c>
      <c r="AD1128" s="39" t="n">
        <f aca="false">(AB1128-AA1128)/(1-Resumo!$B$5)</f>
        <v>141.443147727273</v>
      </c>
      <c r="AE1128" s="39" t="n">
        <f aca="false">AC1128-T1128</f>
        <v>45.9242752272727</v>
      </c>
      <c r="AF1128" s="40" t="n">
        <f aca="false">AC1128/T1128-1</f>
        <v>0.403099237913773</v>
      </c>
      <c r="AG1128" s="37" t="str">
        <f aca="false">IF(AC1128&lt;T1128,"SIM","NÃO")</f>
        <v>NÃO</v>
      </c>
      <c r="AH1128" s="37" t="n">
        <v>10</v>
      </c>
      <c r="AI1128" s="37" t="n">
        <v>7</v>
      </c>
      <c r="AJ1128" s="37" t="s">
        <v>323</v>
      </c>
    </row>
    <row r="1129" customFormat="false" ht="15" hidden="false" customHeight="false" outlineLevel="0" collapsed="false">
      <c r="A1129" s="37" t="n">
        <v>377938667</v>
      </c>
      <c r="B1129" s="38" t="n">
        <v>46251.4942939815</v>
      </c>
      <c r="C1129" s="37" t="s">
        <v>320</v>
      </c>
      <c r="D1129" s="37" t="s">
        <v>409</v>
      </c>
      <c r="E1129" s="37" t="n">
        <v>28880000</v>
      </c>
      <c r="F1129" s="37" t="s">
        <v>276</v>
      </c>
      <c r="G1129" s="37" t="s">
        <v>201</v>
      </c>
      <c r="H1129" s="37" t="s">
        <v>171</v>
      </c>
      <c r="I1129" s="37" t="n">
        <v>52.3</v>
      </c>
      <c r="J1129" s="39" t="n">
        <v>699.99</v>
      </c>
      <c r="K1129" s="37" t="s">
        <v>498</v>
      </c>
      <c r="L1129" s="39" t="n">
        <v>142.01</v>
      </c>
      <c r="M1129" s="39" t="n">
        <v>103.6</v>
      </c>
      <c r="N1129" s="39" t="n">
        <f aca="false">J1129*Resumo!$C$7</f>
        <v>1.39998</v>
      </c>
      <c r="O1129" s="39" t="n">
        <f aca="false">J1129*Resumo!$C$8</f>
        <v>1.39998</v>
      </c>
      <c r="P1129" s="39" t="n">
        <f aca="false">Resumo!$C$10*CEILING(I1129/100,1)</f>
        <v>1</v>
      </c>
      <c r="Q1129" s="39" t="n">
        <f aca="false">Resumo!$C$9</f>
        <v>11.9</v>
      </c>
      <c r="R1129" s="39" t="n">
        <f aca="false">SUM(M1129:Q1129)*Resumo!$C$11</f>
        <v>6.5614978</v>
      </c>
      <c r="S1129" s="39" t="n">
        <f aca="false">SUM(M1129:R1129)</f>
        <v>125.8614578</v>
      </c>
      <c r="T1129" s="39" t="n">
        <f aca="false">S1129/(1-Resumo!$C$5)</f>
        <v>143.024383863636</v>
      </c>
      <c r="U1129" s="39" t="n">
        <v>142.32</v>
      </c>
      <c r="V1129" s="39" t="n">
        <f aca="false">J1129*Resumo!$B$6</f>
        <v>0.69999</v>
      </c>
      <c r="W1129" s="39" t="n">
        <f aca="false">J1129*Resumo!$B$7</f>
        <v>1.39998</v>
      </c>
      <c r="X1129" s="39" t="n">
        <f aca="false">Resumo!$B$9</f>
        <v>1</v>
      </c>
      <c r="Y1129" s="39" t="n">
        <f aca="false">Resumo!$B$10*CEILING(I1129/100,1)</f>
        <v>4.5</v>
      </c>
      <c r="Z1129" s="39" t="n">
        <f aca="false">Resumo!$B$12*CEILING(I1129,1)</f>
        <v>3.18</v>
      </c>
      <c r="AA1129" s="39" t="n">
        <f aca="false">Resumo!$B$13*CEILING(I1129,1)</f>
        <v>23.85</v>
      </c>
      <c r="AB1129" s="39" t="n">
        <f aca="false">SUM(U1129:AA1129)</f>
        <v>176.94997</v>
      </c>
      <c r="AC1129" s="39" t="n">
        <f aca="false">AB1129/(1-Resumo!$B$5)</f>
        <v>201.079511363636</v>
      </c>
      <c r="AD1129" s="39" t="n">
        <f aca="false">(AB1129-AA1129)/(1-Resumo!$B$5)</f>
        <v>173.977238636364</v>
      </c>
      <c r="AE1129" s="39" t="n">
        <f aca="false">AC1129-T1129</f>
        <v>58.0551275</v>
      </c>
      <c r="AF1129" s="40" t="n">
        <f aca="false">AC1129/T1129-1</f>
        <v>0.405910698104118</v>
      </c>
      <c r="AG1129" s="37" t="str">
        <f aca="false">IF(AC1129&lt;T1129,"SIM","NÃO")</f>
        <v>NÃO</v>
      </c>
      <c r="AH1129" s="37" t="n">
        <v>13</v>
      </c>
      <c r="AI1129" s="37" t="n">
        <v>10</v>
      </c>
      <c r="AJ1129" s="37" t="s">
        <v>327</v>
      </c>
    </row>
    <row r="1130" customFormat="false" ht="15" hidden="false" customHeight="false" outlineLevel="0" collapsed="false">
      <c r="A1130" s="37" t="n">
        <v>377955657</v>
      </c>
      <c r="B1130" s="38" t="n">
        <v>46251.5200462963</v>
      </c>
      <c r="C1130" s="37" t="s">
        <v>325</v>
      </c>
      <c r="D1130" s="37" t="s">
        <v>1393</v>
      </c>
      <c r="E1130" s="37" t="n">
        <v>21220410</v>
      </c>
      <c r="F1130" s="37" t="s">
        <v>139</v>
      </c>
      <c r="G1130" s="37" t="s">
        <v>198</v>
      </c>
      <c r="H1130" s="37" t="s">
        <v>175</v>
      </c>
      <c r="I1130" s="37" t="n">
        <v>106.5</v>
      </c>
      <c r="J1130" s="39" t="n">
        <v>1099.99</v>
      </c>
      <c r="K1130" s="37" t="s">
        <v>322</v>
      </c>
      <c r="L1130" s="39" t="n">
        <v>184.91</v>
      </c>
      <c r="M1130" s="39" t="n">
        <v>135.94</v>
      </c>
      <c r="N1130" s="39" t="n">
        <f aca="false">J1130*Resumo!$C$7</f>
        <v>2.19998</v>
      </c>
      <c r="O1130" s="39" t="n">
        <f aca="false">J1130*Resumo!$C$8</f>
        <v>2.19998</v>
      </c>
      <c r="P1130" s="39" t="n">
        <f aca="false">Resumo!$C$10*CEILING(I1130/100,1)</f>
        <v>2</v>
      </c>
      <c r="Q1130" s="39" t="n">
        <f aca="false">Resumo!$C$9</f>
        <v>11.9</v>
      </c>
      <c r="R1130" s="39" t="n">
        <f aca="false">SUM(M1130:Q1130)*Resumo!$C$11</f>
        <v>8.4831978</v>
      </c>
      <c r="S1130" s="39" t="n">
        <f aca="false">SUM(M1130:R1130)</f>
        <v>162.7231578</v>
      </c>
      <c r="T1130" s="39" t="n">
        <f aca="false">S1130/(1-Resumo!$C$5)</f>
        <v>184.912679318182</v>
      </c>
      <c r="U1130" s="39" t="n">
        <v>201.59</v>
      </c>
      <c r="V1130" s="39" t="n">
        <f aca="false">J1130*Resumo!$B$6</f>
        <v>1.09999</v>
      </c>
      <c r="W1130" s="39" t="n">
        <f aca="false">J1130*Resumo!$B$7</f>
        <v>2.19998</v>
      </c>
      <c r="X1130" s="39" t="n">
        <f aca="false">Resumo!$B$9</f>
        <v>1</v>
      </c>
      <c r="Y1130" s="39" t="n">
        <f aca="false">Resumo!$B$10*CEILING(I1130/100,1)</f>
        <v>9</v>
      </c>
      <c r="Z1130" s="39" t="n">
        <f aca="false">Resumo!$B$12*CEILING(I1130,1)</f>
        <v>6.42</v>
      </c>
      <c r="AA1130" s="39" t="n">
        <f aca="false">Resumo!$B$13*CEILING(I1130,1)</f>
        <v>48.15</v>
      </c>
      <c r="AB1130" s="39" t="n">
        <f aca="false">SUM(U1130:AA1130)</f>
        <v>269.45997</v>
      </c>
      <c r="AC1130" s="39" t="n">
        <f aca="false">AB1130/(1-Resumo!$B$5)</f>
        <v>306.204511363636</v>
      </c>
      <c r="AD1130" s="39" t="n">
        <f aca="false">(AB1130-AA1130)/(1-Resumo!$B$5)</f>
        <v>251.488602272727</v>
      </c>
      <c r="AE1130" s="39" t="n">
        <f aca="false">AC1130-T1130</f>
        <v>121.291832045455</v>
      </c>
      <c r="AF1130" s="40" t="n">
        <f aca="false">AC1130/T1130-1</f>
        <v>0.655941131201425</v>
      </c>
      <c r="AG1130" s="37" t="str">
        <f aca="false">IF(AC1130&lt;T1130,"SIM","NÃO")</f>
        <v>NÃO</v>
      </c>
      <c r="AH1130" s="37" t="n">
        <v>8</v>
      </c>
      <c r="AI1130" s="37" t="n">
        <v>5</v>
      </c>
      <c r="AJ1130" s="37" t="s">
        <v>323</v>
      </c>
    </row>
    <row r="1131" customFormat="false" ht="15" hidden="false" customHeight="false" outlineLevel="0" collapsed="false">
      <c r="A1131" s="37" t="n">
        <v>377963471</v>
      </c>
      <c r="B1131" s="38" t="n">
        <v>46251.5360069444</v>
      </c>
      <c r="C1131" s="37" t="s">
        <v>352</v>
      </c>
      <c r="D1131" s="37" t="s">
        <v>1107</v>
      </c>
      <c r="E1131" s="37" t="n">
        <v>21520050</v>
      </c>
      <c r="F1131" s="37" t="s">
        <v>139</v>
      </c>
      <c r="G1131" s="37" t="s">
        <v>198</v>
      </c>
      <c r="H1131" s="37" t="s">
        <v>177</v>
      </c>
      <c r="I1131" s="37" t="n">
        <v>158.8</v>
      </c>
      <c r="J1131" s="39" t="n">
        <v>1746.98</v>
      </c>
      <c r="K1131" s="37" t="s">
        <v>322</v>
      </c>
      <c r="L1131" s="39" t="n">
        <v>255.33</v>
      </c>
      <c r="M1131" s="39" t="n">
        <v>192.1</v>
      </c>
      <c r="N1131" s="39" t="n">
        <f aca="false">J1131*Resumo!$C$7</f>
        <v>3.49396</v>
      </c>
      <c r="O1131" s="39" t="n">
        <f aca="false">J1131*Resumo!$C$8</f>
        <v>3.49396</v>
      </c>
      <c r="P1131" s="39" t="n">
        <f aca="false">Resumo!$C$10*CEILING(I1131/100,1)</f>
        <v>2</v>
      </c>
      <c r="Q1131" s="39" t="n">
        <f aca="false">Resumo!$C$9</f>
        <v>11.9</v>
      </c>
      <c r="R1131" s="39" t="n">
        <f aca="false">SUM(M1131:Q1131)*Resumo!$C$11</f>
        <v>11.7143356</v>
      </c>
      <c r="S1131" s="39" t="n">
        <f aca="false">SUM(M1131:R1131)</f>
        <v>224.7022556</v>
      </c>
      <c r="T1131" s="39" t="n">
        <f aca="false">S1131/(1-Resumo!$C$5)</f>
        <v>255.343472272727</v>
      </c>
      <c r="U1131" s="39" t="n">
        <v>271.15</v>
      </c>
      <c r="V1131" s="39" t="n">
        <f aca="false">J1131*Resumo!$B$6</f>
        <v>1.74698</v>
      </c>
      <c r="W1131" s="39" t="n">
        <f aca="false">J1131*Resumo!$B$7</f>
        <v>3.49396</v>
      </c>
      <c r="X1131" s="39" t="n">
        <f aca="false">Resumo!$B$9</f>
        <v>1</v>
      </c>
      <c r="Y1131" s="39" t="n">
        <f aca="false">Resumo!$B$10*CEILING(I1131/100,1)</f>
        <v>9</v>
      </c>
      <c r="Z1131" s="39" t="n">
        <f aca="false">Resumo!$B$12*CEILING(I1131,1)</f>
        <v>9.54</v>
      </c>
      <c r="AA1131" s="39" t="n">
        <f aca="false">Resumo!$B$13*CEILING(I1131,1)</f>
        <v>71.55</v>
      </c>
      <c r="AB1131" s="39" t="n">
        <f aca="false">SUM(U1131:AA1131)</f>
        <v>367.48094</v>
      </c>
      <c r="AC1131" s="39" t="n">
        <f aca="false">AB1131/(1-Resumo!$B$5)</f>
        <v>417.591977272727</v>
      </c>
      <c r="AD1131" s="39" t="n">
        <f aca="false">(AB1131-AA1131)/(1-Resumo!$B$5)</f>
        <v>336.285159090909</v>
      </c>
      <c r="AE1131" s="39" t="n">
        <f aca="false">AC1131-T1131</f>
        <v>162.248505</v>
      </c>
      <c r="AF1131" s="40" t="n">
        <f aca="false">AC1131/T1131-1</f>
        <v>0.635412777761186</v>
      </c>
      <c r="AG1131" s="37" t="str">
        <f aca="false">IF(AC1131&lt;T1131,"SIM","NÃO")</f>
        <v>NÃO</v>
      </c>
      <c r="AH1131" s="37" t="n">
        <v>8</v>
      </c>
      <c r="AI1131" s="37" t="n">
        <v>5</v>
      </c>
      <c r="AJ1131" s="37" t="s">
        <v>323</v>
      </c>
    </row>
    <row r="1132" customFormat="false" ht="15" hidden="false" customHeight="false" outlineLevel="0" collapsed="false">
      <c r="A1132" s="37" t="n">
        <v>377967007</v>
      </c>
      <c r="B1132" s="38" t="n">
        <v>46251.5399884259</v>
      </c>
      <c r="C1132" s="37" t="s">
        <v>320</v>
      </c>
      <c r="D1132" s="37" t="s">
        <v>1394</v>
      </c>
      <c r="E1132" s="37" t="n">
        <v>27971791</v>
      </c>
      <c r="F1132" s="37" t="s">
        <v>146</v>
      </c>
      <c r="G1132" s="37" t="s">
        <v>201</v>
      </c>
      <c r="H1132" s="37" t="s">
        <v>171</v>
      </c>
      <c r="I1132" s="37" t="n">
        <v>60</v>
      </c>
      <c r="J1132" s="39" t="n">
        <v>793.39</v>
      </c>
      <c r="K1132" s="37" t="s">
        <v>498</v>
      </c>
      <c r="L1132" s="39" t="n">
        <v>146.05</v>
      </c>
      <c r="M1132" s="39" t="n">
        <v>103.6</v>
      </c>
      <c r="N1132" s="39" t="n">
        <f aca="false">J1132*Resumo!$C$7</f>
        <v>1.58678</v>
      </c>
      <c r="O1132" s="39" t="n">
        <f aca="false">J1132*Resumo!$C$8</f>
        <v>1.58678</v>
      </c>
      <c r="P1132" s="39" t="n">
        <f aca="false">Resumo!$C$10*CEILING(I1132/100,1)</f>
        <v>1</v>
      </c>
      <c r="Q1132" s="39" t="n">
        <f aca="false">Resumo!$C$9</f>
        <v>11.9</v>
      </c>
      <c r="R1132" s="39" t="n">
        <f aca="false">SUM(M1132:Q1132)*Resumo!$C$11</f>
        <v>6.5820458</v>
      </c>
      <c r="S1132" s="39" t="n">
        <f aca="false">SUM(M1132:R1132)</f>
        <v>126.2556058</v>
      </c>
      <c r="T1132" s="39" t="n">
        <f aca="false">S1132/(1-Resumo!$C$5)</f>
        <v>143.472279318182</v>
      </c>
      <c r="U1132" s="39" t="n">
        <v>162.04</v>
      </c>
      <c r="V1132" s="39" t="n">
        <f aca="false">J1132*Resumo!$B$6</f>
        <v>0.79339</v>
      </c>
      <c r="W1132" s="39" t="n">
        <f aca="false">J1132*Resumo!$B$7</f>
        <v>1.58678</v>
      </c>
      <c r="X1132" s="39" t="n">
        <f aca="false">Resumo!$B$9</f>
        <v>1</v>
      </c>
      <c r="Y1132" s="39" t="n">
        <f aca="false">Resumo!$B$10*CEILING(I1132/100,1)</f>
        <v>4.5</v>
      </c>
      <c r="Z1132" s="39" t="n">
        <f aca="false">Resumo!$B$12*CEILING(I1132,1)</f>
        <v>3.6</v>
      </c>
      <c r="AA1132" s="39" t="n">
        <f aca="false">Resumo!$B$13*CEILING(I1132,1)</f>
        <v>27</v>
      </c>
      <c r="AB1132" s="39" t="n">
        <f aca="false">SUM(U1132:AA1132)</f>
        <v>200.52017</v>
      </c>
      <c r="AC1132" s="39" t="n">
        <f aca="false">AB1132/(1-Resumo!$B$5)</f>
        <v>227.863829545455</v>
      </c>
      <c r="AD1132" s="39" t="n">
        <f aca="false">(AB1132-AA1132)/(1-Resumo!$B$5)</f>
        <v>197.182011363636</v>
      </c>
      <c r="AE1132" s="39" t="n">
        <f aca="false">AC1132-T1132</f>
        <v>84.3915502272727</v>
      </c>
      <c r="AF1132" s="40" t="n">
        <f aca="false">AC1132/T1132-1</f>
        <v>0.588208054045866</v>
      </c>
      <c r="AG1132" s="37" t="str">
        <f aca="false">IF(AC1132&lt;T1132,"SIM","NÃO")</f>
        <v>NÃO</v>
      </c>
      <c r="AH1132" s="37" t="n">
        <v>13</v>
      </c>
      <c r="AI1132" s="37" t="n">
        <v>11</v>
      </c>
      <c r="AJ1132" s="37" t="s">
        <v>323</v>
      </c>
    </row>
    <row r="1133" customFormat="false" ht="15" hidden="false" customHeight="false" outlineLevel="0" collapsed="false">
      <c r="A1133" s="37" t="n">
        <v>377973538</v>
      </c>
      <c r="B1133" s="38" t="n">
        <v>46251.5596990741</v>
      </c>
      <c r="C1133" s="37" t="s">
        <v>341</v>
      </c>
      <c r="D1133" s="37" t="s">
        <v>1395</v>
      </c>
      <c r="E1133" s="37" t="n">
        <v>21220220</v>
      </c>
      <c r="F1133" s="37" t="s">
        <v>139</v>
      </c>
      <c r="G1133" s="37" t="s">
        <v>198</v>
      </c>
      <c r="H1133" s="37" t="s">
        <v>168</v>
      </c>
      <c r="I1133" s="37" t="n">
        <v>33.3</v>
      </c>
      <c r="J1133" s="39" t="n">
        <v>509.99</v>
      </c>
      <c r="K1133" s="37" t="s">
        <v>322</v>
      </c>
      <c r="L1133" s="39" t="n">
        <v>82.77</v>
      </c>
      <c r="M1133" s="39" t="n">
        <v>54.1</v>
      </c>
      <c r="N1133" s="39" t="n">
        <f aca="false">J1133*Resumo!$C$7</f>
        <v>1.01998</v>
      </c>
      <c r="O1133" s="39" t="n">
        <f aca="false">J1133*Resumo!$C$8</f>
        <v>1.01998</v>
      </c>
      <c r="P1133" s="39" t="n">
        <f aca="false">Resumo!$C$10*CEILING(I1133/100,1)</f>
        <v>1</v>
      </c>
      <c r="Q1133" s="39" t="n">
        <f aca="false">Resumo!$C$9</f>
        <v>11.9</v>
      </c>
      <c r="R1133" s="39" t="n">
        <f aca="false">SUM(M1133:Q1133)*Resumo!$C$11</f>
        <v>3.7971978</v>
      </c>
      <c r="S1133" s="39" t="n">
        <f aca="false">SUM(M1133:R1133)</f>
        <v>72.8371578</v>
      </c>
      <c r="T1133" s="39" t="n">
        <f aca="false">S1133/(1-Resumo!$C$5)</f>
        <v>82.7694975</v>
      </c>
      <c r="U1133" s="39" t="n">
        <v>82.21</v>
      </c>
      <c r="V1133" s="39" t="n">
        <f aca="false">J1133*Resumo!$B$6</f>
        <v>0.50999</v>
      </c>
      <c r="W1133" s="39" t="n">
        <f aca="false">J1133*Resumo!$B$7</f>
        <v>1.01998</v>
      </c>
      <c r="X1133" s="39" t="n">
        <f aca="false">Resumo!$B$9</f>
        <v>1</v>
      </c>
      <c r="Y1133" s="39" t="n">
        <f aca="false">Resumo!$B$10*CEILING(I1133/100,1)</f>
        <v>4.5</v>
      </c>
      <c r="Z1133" s="39" t="n">
        <f aca="false">Resumo!$B$12*CEILING(I1133,1)</f>
        <v>2.04</v>
      </c>
      <c r="AA1133" s="39" t="n">
        <f aca="false">Resumo!$B$13*CEILING(I1133,1)</f>
        <v>15.3</v>
      </c>
      <c r="AB1133" s="39" t="n">
        <f aca="false">SUM(U1133:AA1133)</f>
        <v>106.57997</v>
      </c>
      <c r="AC1133" s="39" t="n">
        <f aca="false">AB1133/(1-Resumo!$B$5)</f>
        <v>121.113602272727</v>
      </c>
      <c r="AD1133" s="39" t="n">
        <f aca="false">(AB1133-AA1133)/(1-Resumo!$B$5)</f>
        <v>103.727238636364</v>
      </c>
      <c r="AE1133" s="39" t="n">
        <f aca="false">AC1133-T1133</f>
        <v>38.3441047727273</v>
      </c>
      <c r="AF1133" s="40" t="n">
        <f aca="false">AC1133/T1133-1</f>
        <v>0.463263713455881</v>
      </c>
      <c r="AG1133" s="37" t="str">
        <f aca="false">IF(AC1133&lt;T1133,"SIM","NÃO")</f>
        <v>NÃO</v>
      </c>
      <c r="AH1133" s="37" t="n">
        <v>8</v>
      </c>
      <c r="AI1133" s="37" t="n">
        <v>5</v>
      </c>
      <c r="AJ1133" s="37" t="s">
        <v>323</v>
      </c>
    </row>
    <row r="1134" customFormat="false" ht="15" hidden="false" customHeight="false" outlineLevel="0" collapsed="false">
      <c r="A1134" s="37" t="n">
        <v>377984575</v>
      </c>
      <c r="B1134" s="38" t="n">
        <v>46251.5732175926</v>
      </c>
      <c r="C1134" s="37" t="s">
        <v>325</v>
      </c>
      <c r="D1134" s="37" t="s">
        <v>1396</v>
      </c>
      <c r="E1134" s="37" t="n">
        <v>28908050</v>
      </c>
      <c r="F1134" s="37" t="s">
        <v>152</v>
      </c>
      <c r="G1134" s="37" t="s">
        <v>201</v>
      </c>
      <c r="H1134" s="37" t="s">
        <v>168</v>
      </c>
      <c r="I1134" s="37" t="n">
        <v>27.6</v>
      </c>
      <c r="J1134" s="39" t="n">
        <v>379.98</v>
      </c>
      <c r="K1134" s="37" t="s">
        <v>498</v>
      </c>
      <c r="L1134" s="39" t="n">
        <v>107.31</v>
      </c>
      <c r="M1134" s="39" t="n">
        <v>76.5</v>
      </c>
      <c r="N1134" s="39" t="n">
        <f aca="false">J1134*Resumo!$C$7</f>
        <v>0.75996</v>
      </c>
      <c r="O1134" s="39" t="n">
        <f aca="false">J1134*Resumo!$C$8</f>
        <v>0.75996</v>
      </c>
      <c r="P1134" s="39" t="n">
        <f aca="false">Resumo!$C$10*CEILING(I1134/100,1)</f>
        <v>1</v>
      </c>
      <c r="Q1134" s="39" t="n">
        <f aca="false">Resumo!$C$9</f>
        <v>11.9</v>
      </c>
      <c r="R1134" s="39" t="n">
        <f aca="false">SUM(M1134:Q1134)*Resumo!$C$11</f>
        <v>5.0005956</v>
      </c>
      <c r="S1134" s="39" t="n">
        <f aca="false">SUM(M1134:R1134)</f>
        <v>95.9205156</v>
      </c>
      <c r="T1134" s="39" t="n">
        <f aca="false">S1134/(1-Resumo!$C$5)</f>
        <v>109.000585909091</v>
      </c>
      <c r="U1134" s="39" t="n">
        <v>114.95</v>
      </c>
      <c r="V1134" s="39" t="n">
        <f aca="false">J1134*Resumo!$B$6</f>
        <v>0.37998</v>
      </c>
      <c r="W1134" s="39" t="n">
        <f aca="false">J1134*Resumo!$B$7</f>
        <v>0.75996</v>
      </c>
      <c r="X1134" s="39" t="n">
        <f aca="false">Resumo!$B$9</f>
        <v>1</v>
      </c>
      <c r="Y1134" s="39" t="n">
        <f aca="false">Resumo!$B$10*CEILING(I1134/100,1)</f>
        <v>4.5</v>
      </c>
      <c r="Z1134" s="39" t="n">
        <f aca="false">Resumo!$B$12*CEILING(I1134,1)</f>
        <v>1.68</v>
      </c>
      <c r="AA1134" s="39" t="n">
        <f aca="false">Resumo!$B$13*CEILING(I1134,1)</f>
        <v>12.6</v>
      </c>
      <c r="AB1134" s="39" t="n">
        <f aca="false">SUM(U1134:AA1134)</f>
        <v>135.86994</v>
      </c>
      <c r="AC1134" s="39" t="n">
        <f aca="false">AB1134/(1-Resumo!$B$5)</f>
        <v>154.397659090909</v>
      </c>
      <c r="AD1134" s="39" t="n">
        <f aca="false">(AB1134-AA1134)/(1-Resumo!$B$5)</f>
        <v>140.079477272727</v>
      </c>
      <c r="AE1134" s="39" t="n">
        <f aca="false">AC1134-T1134</f>
        <v>45.3970731818182</v>
      </c>
      <c r="AF1134" s="40" t="n">
        <f aca="false">AC1134/T1134-1</f>
        <v>0.41648467118957</v>
      </c>
      <c r="AG1134" s="37" t="str">
        <f aca="false">IF(AC1134&lt;T1134,"SIM","NÃO")</f>
        <v>NÃO</v>
      </c>
      <c r="AH1134" s="37" t="n">
        <v>13</v>
      </c>
      <c r="AI1134" s="37" t="n">
        <v>10</v>
      </c>
      <c r="AJ1134" s="37" t="s">
        <v>323</v>
      </c>
    </row>
    <row r="1135" customFormat="false" ht="15" hidden="false" customHeight="false" outlineLevel="0" collapsed="false">
      <c r="A1135" s="37" t="n">
        <v>377985822</v>
      </c>
      <c r="B1135" s="38" t="n">
        <v>46251.5751851852</v>
      </c>
      <c r="C1135" s="37" t="s">
        <v>352</v>
      </c>
      <c r="D1135" s="37" t="s">
        <v>1397</v>
      </c>
      <c r="E1135" s="37" t="n">
        <v>24417180</v>
      </c>
      <c r="F1135" s="37" t="s">
        <v>140</v>
      </c>
      <c r="G1135" s="37" t="s">
        <v>207</v>
      </c>
      <c r="H1135" s="37" t="s">
        <v>172</v>
      </c>
      <c r="I1135" s="37" t="n">
        <v>67.3</v>
      </c>
      <c r="J1135" s="39" t="n">
        <v>622.49</v>
      </c>
      <c r="K1135" s="37" t="s">
        <v>498</v>
      </c>
      <c r="L1135" s="39" t="n">
        <v>141.33</v>
      </c>
      <c r="M1135" s="39" t="n">
        <v>100.9</v>
      </c>
      <c r="N1135" s="39" t="n">
        <f aca="false">J1135*Resumo!$C$7</f>
        <v>1.24498</v>
      </c>
      <c r="O1135" s="39" t="n">
        <f aca="false">J1135*Resumo!$C$8</f>
        <v>1.24498</v>
      </c>
      <c r="P1135" s="39" t="n">
        <f aca="false">Resumo!$C$10*CEILING(I1135/100,1)</f>
        <v>1</v>
      </c>
      <c r="Q1135" s="39" t="n">
        <f aca="false">Resumo!$C$9</f>
        <v>11.9</v>
      </c>
      <c r="R1135" s="39" t="n">
        <f aca="false">SUM(M1135:Q1135)*Resumo!$C$11</f>
        <v>6.3959478</v>
      </c>
      <c r="S1135" s="39" t="n">
        <f aca="false">SUM(M1135:R1135)</f>
        <v>122.6859078</v>
      </c>
      <c r="T1135" s="39" t="n">
        <f aca="false">S1135/(1-Resumo!$C$5)</f>
        <v>139.415804318182</v>
      </c>
      <c r="U1135" s="39" t="n">
        <v>149.5</v>
      </c>
      <c r="V1135" s="39" t="n">
        <f aca="false">J1135*Resumo!$B$6</f>
        <v>0.62249</v>
      </c>
      <c r="W1135" s="39" t="n">
        <f aca="false">J1135*Resumo!$B$7</f>
        <v>1.24498</v>
      </c>
      <c r="X1135" s="39" t="n">
        <f aca="false">Resumo!$B$9</f>
        <v>1</v>
      </c>
      <c r="Y1135" s="39" t="n">
        <f aca="false">Resumo!$B$10*CEILING(I1135/100,1)</f>
        <v>4.5</v>
      </c>
      <c r="Z1135" s="39" t="n">
        <f aca="false">Resumo!$B$12*CEILING(I1135,1)</f>
        <v>4.08</v>
      </c>
      <c r="AA1135" s="39" t="n">
        <f aca="false">Resumo!$B$13*CEILING(I1135,1)</f>
        <v>30.6</v>
      </c>
      <c r="AB1135" s="39" t="n">
        <f aca="false">SUM(U1135:AA1135)</f>
        <v>191.54747</v>
      </c>
      <c r="AC1135" s="39" t="n">
        <f aca="false">AB1135/(1-Resumo!$B$5)</f>
        <v>217.667579545455</v>
      </c>
      <c r="AD1135" s="39" t="n">
        <f aca="false">(AB1135-AA1135)/(1-Resumo!$B$5)</f>
        <v>182.894852272727</v>
      </c>
      <c r="AE1135" s="39" t="n">
        <f aca="false">AC1135-T1135</f>
        <v>78.2517752272727</v>
      </c>
      <c r="AF1135" s="40" t="n">
        <f aca="false">AC1135/T1135-1</f>
        <v>0.561283389712995</v>
      </c>
      <c r="AG1135" s="37" t="str">
        <f aca="false">IF(AC1135&lt;T1135,"SIM","NÃO")</f>
        <v>NÃO</v>
      </c>
      <c r="AH1135" s="37" t="n">
        <v>10</v>
      </c>
      <c r="AI1135" s="37" t="n">
        <v>7</v>
      </c>
      <c r="AJ1135" s="37" t="s">
        <v>323</v>
      </c>
    </row>
    <row r="1136" customFormat="false" ht="15" hidden="false" customHeight="false" outlineLevel="0" collapsed="false">
      <c r="A1136" s="37" t="n">
        <v>377989186</v>
      </c>
      <c r="B1136" s="38" t="n">
        <v>46251.580625</v>
      </c>
      <c r="C1136" s="37" t="s">
        <v>320</v>
      </c>
      <c r="D1136" s="37" t="s">
        <v>1398</v>
      </c>
      <c r="E1136" s="37" t="n">
        <v>20251370</v>
      </c>
      <c r="F1136" s="37" t="s">
        <v>139</v>
      </c>
      <c r="G1136" s="37" t="s">
        <v>198</v>
      </c>
      <c r="H1136" s="37" t="s">
        <v>169</v>
      </c>
      <c r="I1136" s="37" t="n">
        <v>39</v>
      </c>
      <c r="J1136" s="39" t="n">
        <v>539.99</v>
      </c>
      <c r="K1136" s="37" t="s">
        <v>322</v>
      </c>
      <c r="L1136" s="39" t="n">
        <v>92.44</v>
      </c>
      <c r="M1136" s="39" t="n">
        <v>62.05</v>
      </c>
      <c r="N1136" s="39" t="n">
        <f aca="false">J1136*Resumo!$C$7</f>
        <v>1.07998</v>
      </c>
      <c r="O1136" s="39" t="n">
        <f aca="false">J1136*Resumo!$C$8</f>
        <v>1.07998</v>
      </c>
      <c r="P1136" s="39" t="n">
        <f aca="false">Resumo!$C$10*CEILING(I1136/100,1)</f>
        <v>1</v>
      </c>
      <c r="Q1136" s="39" t="n">
        <f aca="false">Resumo!$C$9</f>
        <v>11.9</v>
      </c>
      <c r="R1136" s="39" t="n">
        <f aca="false">SUM(M1136:Q1136)*Resumo!$C$11</f>
        <v>4.2410478</v>
      </c>
      <c r="S1136" s="39" t="n">
        <f aca="false">SUM(M1136:R1136)</f>
        <v>81.3510078</v>
      </c>
      <c r="T1136" s="39" t="n">
        <f aca="false">S1136/(1-Resumo!$C$5)</f>
        <v>92.4443270454546</v>
      </c>
      <c r="U1136" s="39" t="n">
        <v>93.97</v>
      </c>
      <c r="V1136" s="39" t="n">
        <f aca="false">J1136*Resumo!$B$6</f>
        <v>0.53999</v>
      </c>
      <c r="W1136" s="39" t="n">
        <f aca="false">J1136*Resumo!$B$7</f>
        <v>1.07998</v>
      </c>
      <c r="X1136" s="39" t="n">
        <f aca="false">Resumo!$B$9</f>
        <v>1</v>
      </c>
      <c r="Y1136" s="39" t="n">
        <f aca="false">Resumo!$B$10*CEILING(I1136/100,1)</f>
        <v>4.5</v>
      </c>
      <c r="Z1136" s="39" t="n">
        <f aca="false">Resumo!$B$12*CEILING(I1136,1)</f>
        <v>2.34</v>
      </c>
      <c r="AA1136" s="39" t="n">
        <f aca="false">Resumo!$B$13*CEILING(I1136,1)</f>
        <v>17.55</v>
      </c>
      <c r="AB1136" s="39" t="n">
        <f aca="false">SUM(U1136:AA1136)</f>
        <v>120.97997</v>
      </c>
      <c r="AC1136" s="39" t="n">
        <f aca="false">AB1136/(1-Resumo!$B$5)</f>
        <v>137.477238636364</v>
      </c>
      <c r="AD1136" s="39" t="n">
        <f aca="false">(AB1136-AA1136)/(1-Resumo!$B$5)</f>
        <v>117.534056818182</v>
      </c>
      <c r="AE1136" s="39" t="n">
        <f aca="false">AC1136-T1136</f>
        <v>45.0329115909091</v>
      </c>
      <c r="AF1136" s="40" t="n">
        <f aca="false">AC1136/T1136-1</f>
        <v>0.487135479592669</v>
      </c>
      <c r="AG1136" s="37" t="str">
        <f aca="false">IF(AC1136&lt;T1136,"SIM","NÃO")</f>
        <v>NÃO</v>
      </c>
      <c r="AH1136" s="37" t="n">
        <v>8</v>
      </c>
      <c r="AI1136" s="37" t="n">
        <v>5</v>
      </c>
      <c r="AJ1136" s="37" t="s">
        <v>323</v>
      </c>
    </row>
    <row r="1137" customFormat="false" ht="15" hidden="false" customHeight="false" outlineLevel="0" collapsed="false">
      <c r="A1137" s="37" t="n">
        <v>377990946</v>
      </c>
      <c r="B1137" s="38" t="n">
        <v>46251.5839351852</v>
      </c>
      <c r="C1137" s="37" t="s">
        <v>325</v>
      </c>
      <c r="D1137" s="37" t="s">
        <v>1399</v>
      </c>
      <c r="E1137" s="37" t="n">
        <v>28994172</v>
      </c>
      <c r="F1137" s="37" t="s">
        <v>281</v>
      </c>
      <c r="G1137" s="37" t="s">
        <v>201</v>
      </c>
      <c r="H1137" s="37" t="s">
        <v>168</v>
      </c>
      <c r="I1137" s="37" t="n">
        <v>27.5</v>
      </c>
      <c r="J1137" s="39" t="n">
        <v>399.98</v>
      </c>
      <c r="K1137" s="37" t="s">
        <v>498</v>
      </c>
      <c r="L1137" s="39" t="n">
        <v>107.4</v>
      </c>
      <c r="M1137" s="39" t="n">
        <v>76.5</v>
      </c>
      <c r="N1137" s="39" t="n">
        <f aca="false">J1137*Resumo!$C$7</f>
        <v>0.79996</v>
      </c>
      <c r="O1137" s="39" t="n">
        <f aca="false">J1137*Resumo!$C$8</f>
        <v>0.79996</v>
      </c>
      <c r="P1137" s="39" t="n">
        <f aca="false">Resumo!$C$10*CEILING(I1137/100,1)</f>
        <v>1</v>
      </c>
      <c r="Q1137" s="39" t="n">
        <f aca="false">Resumo!$C$9</f>
        <v>11.9</v>
      </c>
      <c r="R1137" s="39" t="n">
        <f aca="false">SUM(M1137:Q1137)*Resumo!$C$11</f>
        <v>5.0049956</v>
      </c>
      <c r="S1137" s="39" t="n">
        <f aca="false">SUM(M1137:R1137)</f>
        <v>96.0049156</v>
      </c>
      <c r="T1137" s="39" t="n">
        <f aca="false">S1137/(1-Resumo!$C$5)</f>
        <v>109.096495</v>
      </c>
      <c r="U1137" s="39" t="n">
        <v>114.95</v>
      </c>
      <c r="V1137" s="39" t="n">
        <f aca="false">J1137*Resumo!$B$6</f>
        <v>0.39998</v>
      </c>
      <c r="W1137" s="39" t="n">
        <f aca="false">J1137*Resumo!$B$7</f>
        <v>0.79996</v>
      </c>
      <c r="X1137" s="39" t="n">
        <f aca="false">Resumo!$B$9</f>
        <v>1</v>
      </c>
      <c r="Y1137" s="39" t="n">
        <f aca="false">Resumo!$B$10*CEILING(I1137/100,1)</f>
        <v>4.5</v>
      </c>
      <c r="Z1137" s="39" t="n">
        <f aca="false">Resumo!$B$12*CEILING(I1137,1)</f>
        <v>1.68</v>
      </c>
      <c r="AA1137" s="39" t="n">
        <f aca="false">Resumo!$B$13*CEILING(I1137,1)</f>
        <v>12.6</v>
      </c>
      <c r="AB1137" s="39" t="n">
        <f aca="false">SUM(U1137:AA1137)</f>
        <v>135.92994</v>
      </c>
      <c r="AC1137" s="39" t="n">
        <f aca="false">AB1137/(1-Resumo!$B$5)</f>
        <v>154.465840909091</v>
      </c>
      <c r="AD1137" s="39" t="n">
        <f aca="false">(AB1137-AA1137)/(1-Resumo!$B$5)</f>
        <v>140.147659090909</v>
      </c>
      <c r="AE1137" s="39" t="n">
        <f aca="false">AC1137-T1137</f>
        <v>45.3693459090909</v>
      </c>
      <c r="AF1137" s="40" t="n">
        <f aca="false">AC1137/T1137-1</f>
        <v>0.415864376844471</v>
      </c>
      <c r="AG1137" s="37" t="str">
        <f aca="false">IF(AC1137&lt;T1137,"SIM","NÃO")</f>
        <v>NÃO</v>
      </c>
      <c r="AH1137" s="37" t="n">
        <v>13</v>
      </c>
      <c r="AI1137" s="37" t="n">
        <v>10</v>
      </c>
      <c r="AJ1137" s="37" t="s">
        <v>327</v>
      </c>
    </row>
    <row r="1138" customFormat="false" ht="15" hidden="false" customHeight="false" outlineLevel="0" collapsed="false">
      <c r="A1138" s="37" t="n">
        <v>377990405</v>
      </c>
      <c r="B1138" s="38" t="n">
        <v>46251.5846643519</v>
      </c>
      <c r="C1138" s="37" t="s">
        <v>341</v>
      </c>
      <c r="D1138" s="37" t="s">
        <v>544</v>
      </c>
      <c r="E1138" s="37" t="n">
        <v>22451265</v>
      </c>
      <c r="F1138" s="37" t="s">
        <v>139</v>
      </c>
      <c r="G1138" s="37" t="s">
        <v>198</v>
      </c>
      <c r="H1138" s="37" t="s">
        <v>168</v>
      </c>
      <c r="I1138" s="37" t="n">
        <v>22.4</v>
      </c>
      <c r="J1138" s="39" t="n">
        <v>559.99</v>
      </c>
      <c r="K1138" s="37" t="s">
        <v>498</v>
      </c>
      <c r="L1138" s="39" t="n">
        <v>78.89</v>
      </c>
      <c r="M1138" s="39" t="n">
        <v>54.1</v>
      </c>
      <c r="N1138" s="39" t="n">
        <f aca="false">J1138*Resumo!$C$7</f>
        <v>1.11998</v>
      </c>
      <c r="O1138" s="39" t="n">
        <f aca="false">J1138*Resumo!$C$8</f>
        <v>1.11998</v>
      </c>
      <c r="P1138" s="39" t="n">
        <f aca="false">Resumo!$C$10*CEILING(I1138/100,1)</f>
        <v>1</v>
      </c>
      <c r="Q1138" s="39" t="n">
        <f aca="false">Resumo!$C$9</f>
        <v>11.9</v>
      </c>
      <c r="R1138" s="39" t="n">
        <f aca="false">SUM(M1138:Q1138)*Resumo!$C$11</f>
        <v>3.8081978</v>
      </c>
      <c r="S1138" s="39" t="n">
        <f aca="false">SUM(M1138:R1138)</f>
        <v>73.0481578</v>
      </c>
      <c r="T1138" s="39" t="n">
        <f aca="false">S1138/(1-Resumo!$C$5)</f>
        <v>83.0092702272727</v>
      </c>
      <c r="U1138" s="39" t="n">
        <v>82.21</v>
      </c>
      <c r="V1138" s="39" t="n">
        <f aca="false">J1138*Resumo!$B$6</f>
        <v>0.55999</v>
      </c>
      <c r="W1138" s="39" t="n">
        <f aca="false">J1138*Resumo!$B$7</f>
        <v>1.11998</v>
      </c>
      <c r="X1138" s="39" t="n">
        <f aca="false">Resumo!$B$9</f>
        <v>1</v>
      </c>
      <c r="Y1138" s="39" t="n">
        <f aca="false">Resumo!$B$10*CEILING(I1138/100,1)</f>
        <v>4.5</v>
      </c>
      <c r="Z1138" s="39" t="n">
        <f aca="false">Resumo!$B$12*CEILING(I1138,1)</f>
        <v>1.38</v>
      </c>
      <c r="AA1138" s="39" t="n">
        <f aca="false">Resumo!$B$13*CEILING(I1138,1)</f>
        <v>10.35</v>
      </c>
      <c r="AB1138" s="39" t="n">
        <f aca="false">SUM(U1138:AA1138)</f>
        <v>101.11997</v>
      </c>
      <c r="AC1138" s="39" t="n">
        <f aca="false">AB1138/(1-Resumo!$B$5)</f>
        <v>114.909056818182</v>
      </c>
      <c r="AD1138" s="39" t="n">
        <f aca="false">(AB1138-AA1138)/(1-Resumo!$B$5)</f>
        <v>103.147693181818</v>
      </c>
      <c r="AE1138" s="39" t="n">
        <f aca="false">AC1138-T1138</f>
        <v>31.8997865909091</v>
      </c>
      <c r="AF1138" s="40" t="n">
        <f aca="false">AC1138/T1138-1</f>
        <v>0.384291856844061</v>
      </c>
      <c r="AG1138" s="37" t="str">
        <f aca="false">IF(AC1138&lt;T1138,"SIM","NÃO")</f>
        <v>NÃO</v>
      </c>
      <c r="AH1138" s="37" t="n">
        <v>8</v>
      </c>
      <c r="AI1138" s="37" t="n">
        <v>5</v>
      </c>
      <c r="AJ1138" s="37" t="s">
        <v>323</v>
      </c>
    </row>
    <row r="1139" customFormat="false" ht="15" hidden="false" customHeight="false" outlineLevel="0" collapsed="false">
      <c r="A1139" s="37" t="n">
        <v>377998376</v>
      </c>
      <c r="B1139" s="38" t="n">
        <v>46251.6241203704</v>
      </c>
      <c r="C1139" s="37" t="s">
        <v>352</v>
      </c>
      <c r="D1139" s="37" t="s">
        <v>1400</v>
      </c>
      <c r="E1139" s="37" t="n">
        <v>25884000</v>
      </c>
      <c r="F1139" s="37" t="s">
        <v>218</v>
      </c>
      <c r="G1139" s="37" t="s">
        <v>201</v>
      </c>
      <c r="H1139" s="37" t="s">
        <v>175</v>
      </c>
      <c r="I1139" s="37" t="n">
        <v>105.65</v>
      </c>
      <c r="J1139" s="39" t="n">
        <v>1279.99</v>
      </c>
      <c r="K1139" s="37" t="s">
        <v>498</v>
      </c>
      <c r="L1139" s="39" t="n">
        <v>213.9</v>
      </c>
      <c r="M1139" s="39" t="n">
        <v>161.81</v>
      </c>
      <c r="N1139" s="39" t="n">
        <f aca="false">J1139*Resumo!$C$7</f>
        <v>2.55998</v>
      </c>
      <c r="O1139" s="39" t="n">
        <f aca="false">J1139*Resumo!$C$8</f>
        <v>2.55998</v>
      </c>
      <c r="P1139" s="39" t="n">
        <f aca="false">Resumo!$C$10*CEILING(I1139/100,1)</f>
        <v>2</v>
      </c>
      <c r="Q1139" s="39" t="n">
        <f aca="false">Resumo!$C$9</f>
        <v>11.9</v>
      </c>
      <c r="R1139" s="39" t="n">
        <f aca="false">SUM(M1139:Q1139)*Resumo!$C$11</f>
        <v>9.9456478</v>
      </c>
      <c r="S1139" s="39" t="n">
        <f aca="false">SUM(M1139:R1139)</f>
        <v>190.7756078</v>
      </c>
      <c r="T1139" s="39" t="n">
        <f aca="false">S1139/(1-Resumo!$C$5)</f>
        <v>216.790463409091</v>
      </c>
      <c r="U1139" s="39" t="n">
        <v>236.82</v>
      </c>
      <c r="V1139" s="39" t="n">
        <f aca="false">J1139*Resumo!$B$6</f>
        <v>1.27999</v>
      </c>
      <c r="W1139" s="39" t="n">
        <f aca="false">J1139*Resumo!$B$7</f>
        <v>2.55998</v>
      </c>
      <c r="X1139" s="39" t="n">
        <f aca="false">Resumo!$B$9</f>
        <v>1</v>
      </c>
      <c r="Y1139" s="39" t="n">
        <f aca="false">Resumo!$B$10*CEILING(I1139/100,1)</f>
        <v>9</v>
      </c>
      <c r="Z1139" s="39" t="n">
        <f aca="false">Resumo!$B$12*CEILING(I1139,1)</f>
        <v>6.36</v>
      </c>
      <c r="AA1139" s="39" t="n">
        <f aca="false">Resumo!$B$13*CEILING(I1139,1)</f>
        <v>47.7</v>
      </c>
      <c r="AB1139" s="39" t="n">
        <f aca="false">SUM(U1139:AA1139)</f>
        <v>304.71997</v>
      </c>
      <c r="AC1139" s="39" t="n">
        <f aca="false">AB1139/(1-Resumo!$B$5)</f>
        <v>346.272693181818</v>
      </c>
      <c r="AD1139" s="39" t="n">
        <f aca="false">(AB1139-AA1139)/(1-Resumo!$B$5)</f>
        <v>292.068147727273</v>
      </c>
      <c r="AE1139" s="39" t="n">
        <f aca="false">AC1139-T1139</f>
        <v>129.482229772727</v>
      </c>
      <c r="AF1139" s="40" t="n">
        <f aca="false">AC1139/T1139-1</f>
        <v>0.597269029903728</v>
      </c>
      <c r="AG1139" s="37" t="str">
        <f aca="false">IF(AC1139&lt;T1139,"SIM","NÃO")</f>
        <v>NÃO</v>
      </c>
      <c r="AH1139" s="37" t="n">
        <v>13</v>
      </c>
      <c r="AI1139" s="37" t="n">
        <v>10</v>
      </c>
      <c r="AJ1139" s="37" t="s">
        <v>327</v>
      </c>
    </row>
    <row r="1140" customFormat="false" ht="15" hidden="false" customHeight="false" outlineLevel="0" collapsed="false">
      <c r="A1140" s="37" t="n">
        <v>378021939</v>
      </c>
      <c r="B1140" s="38" t="n">
        <v>46251.6386574074</v>
      </c>
      <c r="C1140" s="37" t="s">
        <v>320</v>
      </c>
      <c r="D1140" s="37" t="s">
        <v>1401</v>
      </c>
      <c r="E1140" s="37" t="n">
        <v>24315571</v>
      </c>
      <c r="F1140" s="37" t="s">
        <v>143</v>
      </c>
      <c r="G1140" s="37" t="s">
        <v>207</v>
      </c>
      <c r="H1140" s="37" t="s">
        <v>167</v>
      </c>
      <c r="I1140" s="37" t="n">
        <v>17.2</v>
      </c>
      <c r="J1140" s="39" t="n">
        <v>223.34</v>
      </c>
      <c r="K1140" s="37" t="s">
        <v>322</v>
      </c>
      <c r="L1140" s="39" t="n">
        <v>74.92</v>
      </c>
      <c r="M1140" s="39" t="n">
        <v>48.69</v>
      </c>
      <c r="N1140" s="39" t="n">
        <f aca="false">J1140*Resumo!$C$7</f>
        <v>0.44668</v>
      </c>
      <c r="O1140" s="39" t="n">
        <f aca="false">J1140*Resumo!$C$8</f>
        <v>0.44668</v>
      </c>
      <c r="P1140" s="39" t="n">
        <f aca="false">Resumo!$C$10*CEILING(I1140/100,1)</f>
        <v>1</v>
      </c>
      <c r="Q1140" s="39" t="n">
        <f aca="false">Resumo!$C$9</f>
        <v>11.9</v>
      </c>
      <c r="R1140" s="39" t="n">
        <f aca="false">SUM(M1140:Q1140)*Resumo!$C$11</f>
        <v>3.4365848</v>
      </c>
      <c r="S1140" s="39" t="n">
        <f aca="false">SUM(M1140:R1140)</f>
        <v>65.9199448</v>
      </c>
      <c r="T1140" s="39" t="n">
        <f aca="false">S1140/(1-Resumo!$C$5)</f>
        <v>74.9090281818182</v>
      </c>
      <c r="U1140" s="39" t="n">
        <v>57.47</v>
      </c>
      <c r="V1140" s="39" t="n">
        <f aca="false">J1140*Resumo!$B$6</f>
        <v>0.22334</v>
      </c>
      <c r="W1140" s="39" t="n">
        <f aca="false">J1140*Resumo!$B$7</f>
        <v>0.44668</v>
      </c>
      <c r="X1140" s="39" t="n">
        <f aca="false">Resumo!$B$9</f>
        <v>1</v>
      </c>
      <c r="Y1140" s="39" t="n">
        <f aca="false">Resumo!$B$10*CEILING(I1140/100,1)</f>
        <v>4.5</v>
      </c>
      <c r="Z1140" s="39" t="n">
        <f aca="false">Resumo!$B$12*CEILING(I1140,1)</f>
        <v>1.08</v>
      </c>
      <c r="AA1140" s="39" t="n">
        <f aca="false">Resumo!$B$13*CEILING(I1140,1)</f>
        <v>8.1</v>
      </c>
      <c r="AB1140" s="39" t="n">
        <f aca="false">SUM(U1140:AA1140)</f>
        <v>72.82002</v>
      </c>
      <c r="AC1140" s="39" t="n">
        <f aca="false">AB1140/(1-Resumo!$B$5)</f>
        <v>82.7500227272727</v>
      </c>
      <c r="AD1140" s="39" t="n">
        <f aca="false">(AB1140-AA1140)/(1-Resumo!$B$5)</f>
        <v>73.5454772727273</v>
      </c>
      <c r="AE1140" s="39" t="n">
        <f aca="false">AC1140-T1140</f>
        <v>7.84099454545455</v>
      </c>
      <c r="AF1140" s="40" t="n">
        <f aca="false">AC1140/T1140-1</f>
        <v>0.104673558525189</v>
      </c>
      <c r="AG1140" s="37" t="str">
        <f aca="false">IF(AC1140&lt;T1140,"SIM","NÃO")</f>
        <v>NÃO</v>
      </c>
      <c r="AH1140" s="37" t="n">
        <v>10</v>
      </c>
      <c r="AI1140" s="37" t="n">
        <v>7</v>
      </c>
      <c r="AJ1140" s="37" t="s">
        <v>323</v>
      </c>
    </row>
    <row r="1141" customFormat="false" ht="15" hidden="false" customHeight="false" outlineLevel="0" collapsed="false">
      <c r="A1141" s="37" t="n">
        <v>378022429</v>
      </c>
      <c r="B1141" s="38" t="n">
        <v>46251.6394097222</v>
      </c>
      <c r="C1141" s="37" t="s">
        <v>325</v>
      </c>
      <c r="D1141" s="37" t="s">
        <v>1402</v>
      </c>
      <c r="E1141" s="37" t="n">
        <v>24456595</v>
      </c>
      <c r="F1141" s="37" t="s">
        <v>140</v>
      </c>
      <c r="G1141" s="37" t="s">
        <v>207</v>
      </c>
      <c r="H1141" s="37" t="s">
        <v>171</v>
      </c>
      <c r="I1141" s="37" t="n">
        <v>52.3</v>
      </c>
      <c r="J1141" s="39" t="n">
        <v>637.43</v>
      </c>
      <c r="K1141" s="37" t="s">
        <v>498</v>
      </c>
      <c r="L1141" s="39" t="n">
        <v>127.4</v>
      </c>
      <c r="M1141" s="39" t="n">
        <v>91.6</v>
      </c>
      <c r="N1141" s="39" t="n">
        <f aca="false">J1141*Resumo!$C$7</f>
        <v>1.27486</v>
      </c>
      <c r="O1141" s="39" t="n">
        <f aca="false">J1141*Resumo!$C$8</f>
        <v>1.27486</v>
      </c>
      <c r="P1141" s="39" t="n">
        <f aca="false">Resumo!$C$10*CEILING(I1141/100,1)</f>
        <v>1</v>
      </c>
      <c r="Q1141" s="39" t="n">
        <f aca="false">Resumo!$C$9</f>
        <v>11.9</v>
      </c>
      <c r="R1141" s="39" t="n">
        <f aca="false">SUM(M1141:Q1141)*Resumo!$C$11</f>
        <v>5.8877346</v>
      </c>
      <c r="S1141" s="39" t="n">
        <f aca="false">SUM(M1141:R1141)</f>
        <v>112.9374546</v>
      </c>
      <c r="T1141" s="39" t="n">
        <f aca="false">S1141/(1-Resumo!$C$5)</f>
        <v>128.338016590909</v>
      </c>
      <c r="U1141" s="39" t="n">
        <v>128.14</v>
      </c>
      <c r="V1141" s="39" t="n">
        <f aca="false">J1141*Resumo!$B$6</f>
        <v>0.63743</v>
      </c>
      <c r="W1141" s="39" t="n">
        <f aca="false">J1141*Resumo!$B$7</f>
        <v>1.27486</v>
      </c>
      <c r="X1141" s="39" t="n">
        <f aca="false">Resumo!$B$9</f>
        <v>1</v>
      </c>
      <c r="Y1141" s="39" t="n">
        <f aca="false">Resumo!$B$10*CEILING(I1141/100,1)</f>
        <v>4.5</v>
      </c>
      <c r="Z1141" s="39" t="n">
        <f aca="false">Resumo!$B$12*CEILING(I1141,1)</f>
        <v>3.18</v>
      </c>
      <c r="AA1141" s="39" t="n">
        <f aca="false">Resumo!$B$13*CEILING(I1141,1)</f>
        <v>23.85</v>
      </c>
      <c r="AB1141" s="39" t="n">
        <f aca="false">SUM(U1141:AA1141)</f>
        <v>162.58229</v>
      </c>
      <c r="AC1141" s="39" t="n">
        <f aca="false">AB1141/(1-Resumo!$B$5)</f>
        <v>184.752602272727</v>
      </c>
      <c r="AD1141" s="39" t="n">
        <f aca="false">(AB1141-AA1141)/(1-Resumo!$B$5)</f>
        <v>157.650329545455</v>
      </c>
      <c r="AE1141" s="39" t="n">
        <f aca="false">AC1141-T1141</f>
        <v>56.4145856818182</v>
      </c>
      <c r="AF1141" s="40" t="n">
        <f aca="false">AC1141/T1141-1</f>
        <v>0.43957813265609</v>
      </c>
      <c r="AG1141" s="37" t="str">
        <f aca="false">IF(AC1141&lt;T1141,"SIM","NÃO")</f>
        <v>NÃO</v>
      </c>
      <c r="AH1141" s="37" t="n">
        <v>10</v>
      </c>
      <c r="AI1141" s="37" t="n">
        <v>7</v>
      </c>
      <c r="AJ1141" s="37" t="s">
        <v>323</v>
      </c>
    </row>
    <row r="1142" customFormat="false" ht="15" hidden="false" customHeight="false" outlineLevel="0" collapsed="false">
      <c r="A1142" s="37" t="n">
        <v>378022877</v>
      </c>
      <c r="B1142" s="38" t="n">
        <v>46251.6402199074</v>
      </c>
      <c r="C1142" s="37" t="s">
        <v>320</v>
      </c>
      <c r="D1142" s="37" t="s">
        <v>1403</v>
      </c>
      <c r="E1142" s="37" t="n">
        <v>22610020</v>
      </c>
      <c r="F1142" s="37" t="s">
        <v>139</v>
      </c>
      <c r="G1142" s="37" t="s">
        <v>198</v>
      </c>
      <c r="H1142" s="37" t="s">
        <v>170</v>
      </c>
      <c r="I1142" s="37" t="n">
        <v>41</v>
      </c>
      <c r="J1142" s="39" t="n">
        <v>559.99</v>
      </c>
      <c r="K1142" s="37" t="s">
        <v>498</v>
      </c>
      <c r="L1142" s="39" t="n">
        <v>101.09</v>
      </c>
      <c r="M1142" s="39" t="n">
        <v>71</v>
      </c>
      <c r="N1142" s="39" t="n">
        <f aca="false">J1142*Resumo!$C$7</f>
        <v>1.11998</v>
      </c>
      <c r="O1142" s="39" t="n">
        <f aca="false">J1142*Resumo!$C$8</f>
        <v>1.11998</v>
      </c>
      <c r="P1142" s="39" t="n">
        <f aca="false">Resumo!$C$10*CEILING(I1142/100,1)</f>
        <v>1</v>
      </c>
      <c r="Q1142" s="39" t="n">
        <f aca="false">Resumo!$C$9</f>
        <v>11.9</v>
      </c>
      <c r="R1142" s="39" t="n">
        <f aca="false">SUM(M1142:Q1142)*Resumo!$C$11</f>
        <v>4.7376978</v>
      </c>
      <c r="S1142" s="39" t="n">
        <f aca="false">SUM(M1142:R1142)</f>
        <v>90.8776578</v>
      </c>
      <c r="T1142" s="39" t="n">
        <f aca="false">S1142/(1-Resumo!$C$5)</f>
        <v>103.270065681818</v>
      </c>
      <c r="U1142" s="39" t="n">
        <v>93.97</v>
      </c>
      <c r="V1142" s="39" t="n">
        <f aca="false">J1142*Resumo!$B$6</f>
        <v>0.55999</v>
      </c>
      <c r="W1142" s="39" t="n">
        <f aca="false">J1142*Resumo!$B$7</f>
        <v>1.11998</v>
      </c>
      <c r="X1142" s="39" t="n">
        <f aca="false">Resumo!$B$9</f>
        <v>1</v>
      </c>
      <c r="Y1142" s="39" t="n">
        <f aca="false">Resumo!$B$10*CEILING(I1142/100,1)</f>
        <v>4.5</v>
      </c>
      <c r="Z1142" s="39" t="n">
        <f aca="false">Resumo!$B$12*CEILING(I1142,1)</f>
        <v>2.46</v>
      </c>
      <c r="AA1142" s="39" t="n">
        <f aca="false">Resumo!$B$13*CEILING(I1142,1)</f>
        <v>18.45</v>
      </c>
      <c r="AB1142" s="39" t="n">
        <f aca="false">SUM(U1142:AA1142)</f>
        <v>122.05997</v>
      </c>
      <c r="AC1142" s="39" t="n">
        <f aca="false">AB1142/(1-Resumo!$B$5)</f>
        <v>138.704511363636</v>
      </c>
      <c r="AD1142" s="39" t="n">
        <f aca="false">(AB1142-AA1142)/(1-Resumo!$B$5)</f>
        <v>117.738602272727</v>
      </c>
      <c r="AE1142" s="39" t="n">
        <f aca="false">AC1142-T1142</f>
        <v>35.4344456818182</v>
      </c>
      <c r="AF1142" s="40" t="n">
        <f aca="false">AC1142/T1142-1</f>
        <v>0.343124074221024</v>
      </c>
      <c r="AG1142" s="37" t="str">
        <f aca="false">IF(AC1142&lt;T1142,"SIM","NÃO")</f>
        <v>NÃO</v>
      </c>
      <c r="AH1142" s="37" t="n">
        <v>8</v>
      </c>
      <c r="AI1142" s="37" t="n">
        <v>5</v>
      </c>
      <c r="AJ1142" s="37" t="s">
        <v>323</v>
      </c>
    </row>
    <row r="1143" customFormat="false" ht="15" hidden="false" customHeight="false" outlineLevel="0" collapsed="false">
      <c r="A1143" s="37" t="n">
        <v>378024572</v>
      </c>
      <c r="B1143" s="38" t="n">
        <v>46251.6427199074</v>
      </c>
      <c r="C1143" s="37" t="s">
        <v>325</v>
      </c>
      <c r="D1143" s="37" t="s">
        <v>1404</v>
      </c>
      <c r="E1143" s="37" t="n">
        <v>26275010</v>
      </c>
      <c r="F1143" s="37" t="s">
        <v>142</v>
      </c>
      <c r="G1143" s="37" t="s">
        <v>207</v>
      </c>
      <c r="H1143" s="37" t="s">
        <v>171</v>
      </c>
      <c r="I1143" s="37" t="n">
        <v>52.3</v>
      </c>
      <c r="J1143" s="39" t="n">
        <v>640.44</v>
      </c>
      <c r="K1143" s="37" t="s">
        <v>322</v>
      </c>
      <c r="L1143" s="39" t="n">
        <v>128.35</v>
      </c>
      <c r="M1143" s="39" t="n">
        <v>91.6</v>
      </c>
      <c r="N1143" s="39" t="n">
        <f aca="false">J1143*Resumo!$C$7</f>
        <v>1.28088</v>
      </c>
      <c r="O1143" s="39" t="n">
        <f aca="false">J1143*Resumo!$C$8</f>
        <v>1.28088</v>
      </c>
      <c r="P1143" s="39" t="n">
        <f aca="false">Resumo!$C$10*CEILING(I1143/100,1)</f>
        <v>1</v>
      </c>
      <c r="Q1143" s="39" t="n">
        <f aca="false">Resumo!$C$9</f>
        <v>11.9</v>
      </c>
      <c r="R1143" s="39" t="n">
        <f aca="false">SUM(M1143:Q1143)*Resumo!$C$11</f>
        <v>5.8883968</v>
      </c>
      <c r="S1143" s="39" t="n">
        <f aca="false">SUM(M1143:R1143)</f>
        <v>112.9501568</v>
      </c>
      <c r="T1143" s="39" t="n">
        <f aca="false">S1143/(1-Resumo!$C$5)</f>
        <v>128.352450909091</v>
      </c>
      <c r="U1143" s="39" t="n">
        <v>112.3</v>
      </c>
      <c r="V1143" s="39" t="n">
        <f aca="false">J1143*Resumo!$B$6</f>
        <v>0.64044</v>
      </c>
      <c r="W1143" s="39" t="n">
        <f aca="false">J1143*Resumo!$B$7</f>
        <v>1.28088</v>
      </c>
      <c r="X1143" s="39" t="n">
        <f aca="false">Resumo!$B$9</f>
        <v>1</v>
      </c>
      <c r="Y1143" s="39" t="n">
        <f aca="false">Resumo!$B$10*CEILING(I1143/100,1)</f>
        <v>4.5</v>
      </c>
      <c r="Z1143" s="39" t="n">
        <f aca="false">Resumo!$B$12*CEILING(I1143,1)</f>
        <v>3.18</v>
      </c>
      <c r="AA1143" s="39" t="n">
        <f aca="false">Resumo!$B$13*CEILING(I1143,1)</f>
        <v>23.85</v>
      </c>
      <c r="AB1143" s="39" t="n">
        <f aca="false">SUM(U1143:AA1143)</f>
        <v>146.75132</v>
      </c>
      <c r="AC1143" s="39" t="n">
        <f aca="false">AB1143/(1-Resumo!$B$5)</f>
        <v>166.762863636364</v>
      </c>
      <c r="AD1143" s="39" t="n">
        <f aca="false">(AB1143-AA1143)/(1-Resumo!$B$5)</f>
        <v>139.660590909091</v>
      </c>
      <c r="AE1143" s="39" t="n">
        <f aca="false">AC1143-T1143</f>
        <v>38.4104127272727</v>
      </c>
      <c r="AF1143" s="40" t="n">
        <f aca="false">AC1143/T1143-1</f>
        <v>0.299257337551567</v>
      </c>
      <c r="AG1143" s="37" t="str">
        <f aca="false">IF(AC1143&lt;T1143,"SIM","NÃO")</f>
        <v>NÃO</v>
      </c>
      <c r="AH1143" s="37" t="n">
        <v>10</v>
      </c>
      <c r="AI1143" s="37" t="n">
        <v>5</v>
      </c>
      <c r="AJ1143" s="37" t="s">
        <v>323</v>
      </c>
    </row>
    <row r="1144" customFormat="false" ht="15" hidden="false" customHeight="false" outlineLevel="0" collapsed="false">
      <c r="A1144" s="37" t="n">
        <v>378024347</v>
      </c>
      <c r="B1144" s="38" t="n">
        <v>46251.6428935185</v>
      </c>
      <c r="C1144" s="37" t="s">
        <v>325</v>
      </c>
      <c r="D1144" s="37" t="s">
        <v>1405</v>
      </c>
      <c r="E1144" s="37" t="n">
        <v>21911430</v>
      </c>
      <c r="F1144" s="37" t="s">
        <v>139</v>
      </c>
      <c r="G1144" s="37" t="s">
        <v>198</v>
      </c>
      <c r="H1144" s="37" t="s">
        <v>171</v>
      </c>
      <c r="I1144" s="37" t="n">
        <v>57</v>
      </c>
      <c r="J1144" s="39" t="n">
        <v>692.99</v>
      </c>
      <c r="K1144" s="37" t="s">
        <v>322</v>
      </c>
      <c r="L1144" s="39" t="n">
        <v>114.48</v>
      </c>
      <c r="M1144" s="39" t="n">
        <v>79.81</v>
      </c>
      <c r="N1144" s="39" t="n">
        <f aca="false">J1144*Resumo!$C$7</f>
        <v>1.38598</v>
      </c>
      <c r="O1144" s="39" t="n">
        <f aca="false">J1144*Resumo!$C$8</f>
        <v>1.38598</v>
      </c>
      <c r="P1144" s="39" t="n">
        <f aca="false">Resumo!$C$10*CEILING(I1144/100,1)</f>
        <v>1</v>
      </c>
      <c r="Q1144" s="39" t="n">
        <f aca="false">Resumo!$C$9</f>
        <v>11.9</v>
      </c>
      <c r="R1144" s="39" t="n">
        <f aca="false">SUM(M1144:Q1144)*Resumo!$C$11</f>
        <v>5.2515078</v>
      </c>
      <c r="S1144" s="39" t="n">
        <f aca="false">SUM(M1144:R1144)</f>
        <v>100.7334678</v>
      </c>
      <c r="T1144" s="39" t="n">
        <f aca="false">S1144/(1-Resumo!$C$5)</f>
        <v>114.469849772727</v>
      </c>
      <c r="U1144" s="39" t="n">
        <v>112.3</v>
      </c>
      <c r="V1144" s="39" t="n">
        <f aca="false">J1144*Resumo!$B$6</f>
        <v>0.69299</v>
      </c>
      <c r="W1144" s="39" t="n">
        <f aca="false">J1144*Resumo!$B$7</f>
        <v>1.38598</v>
      </c>
      <c r="X1144" s="39" t="n">
        <f aca="false">Resumo!$B$9</f>
        <v>1</v>
      </c>
      <c r="Y1144" s="39" t="n">
        <f aca="false">Resumo!$B$10*CEILING(I1144/100,1)</f>
        <v>4.5</v>
      </c>
      <c r="Z1144" s="39" t="n">
        <f aca="false">Resumo!$B$12*CEILING(I1144,1)</f>
        <v>3.42</v>
      </c>
      <c r="AA1144" s="39" t="n">
        <f aca="false">Resumo!$B$13*CEILING(I1144,1)</f>
        <v>25.65</v>
      </c>
      <c r="AB1144" s="39" t="n">
        <f aca="false">SUM(U1144:AA1144)</f>
        <v>148.94897</v>
      </c>
      <c r="AC1144" s="39" t="n">
        <f aca="false">AB1144/(1-Resumo!$B$5)</f>
        <v>169.260193181818</v>
      </c>
      <c r="AD1144" s="39" t="n">
        <f aca="false">(AB1144-AA1144)/(1-Resumo!$B$5)</f>
        <v>140.112465909091</v>
      </c>
      <c r="AE1144" s="39" t="n">
        <f aca="false">AC1144-T1144</f>
        <v>54.7903434090909</v>
      </c>
      <c r="AF1144" s="40" t="n">
        <f aca="false">AC1144/T1144-1</f>
        <v>0.478644320036007</v>
      </c>
      <c r="AG1144" s="37" t="str">
        <f aca="false">IF(AC1144&lt;T1144,"SIM","NÃO")</f>
        <v>NÃO</v>
      </c>
      <c r="AH1144" s="37" t="n">
        <v>8</v>
      </c>
      <c r="AI1144" s="37" t="n">
        <v>5</v>
      </c>
      <c r="AJ1144" s="37" t="s">
        <v>323</v>
      </c>
    </row>
    <row r="1145" customFormat="false" ht="15" hidden="false" customHeight="false" outlineLevel="0" collapsed="false">
      <c r="A1145" s="37" t="n">
        <v>378036655</v>
      </c>
      <c r="B1145" s="38" t="n">
        <v>46251.6640856482</v>
      </c>
      <c r="C1145" s="37" t="s">
        <v>320</v>
      </c>
      <c r="D1145" s="37" t="s">
        <v>1406</v>
      </c>
      <c r="E1145" s="37" t="n">
        <v>25956120</v>
      </c>
      <c r="F1145" s="37" t="s">
        <v>221</v>
      </c>
      <c r="G1145" s="37" t="s">
        <v>201</v>
      </c>
      <c r="H1145" s="37" t="s">
        <v>168</v>
      </c>
      <c r="I1145" s="37" t="n">
        <v>31.9</v>
      </c>
      <c r="J1145" s="39" t="n">
        <v>518.79</v>
      </c>
      <c r="K1145" s="37" t="s">
        <v>498</v>
      </c>
      <c r="L1145" s="39" t="n">
        <v>110.01</v>
      </c>
      <c r="M1145" s="39" t="n">
        <v>76.5</v>
      </c>
      <c r="N1145" s="39" t="n">
        <f aca="false">J1145*Resumo!$C$7</f>
        <v>1.03758</v>
      </c>
      <c r="O1145" s="39" t="n">
        <f aca="false">J1145*Resumo!$C$8</f>
        <v>1.03758</v>
      </c>
      <c r="P1145" s="39" t="n">
        <f aca="false">Resumo!$C$10*CEILING(I1145/100,1)</f>
        <v>1</v>
      </c>
      <c r="Q1145" s="39" t="n">
        <f aca="false">Resumo!$C$9</f>
        <v>11.9</v>
      </c>
      <c r="R1145" s="39" t="n">
        <f aca="false">SUM(M1145:Q1145)*Resumo!$C$11</f>
        <v>5.0311338</v>
      </c>
      <c r="S1145" s="39" t="n">
        <f aca="false">SUM(M1145:R1145)</f>
        <v>96.5062938</v>
      </c>
      <c r="T1145" s="39" t="n">
        <f aca="false">S1145/(1-Resumo!$C$5)</f>
        <v>109.666242954545</v>
      </c>
      <c r="U1145" s="39" t="n">
        <v>120.78</v>
      </c>
      <c r="V1145" s="39" t="n">
        <f aca="false">J1145*Resumo!$B$6</f>
        <v>0.51879</v>
      </c>
      <c r="W1145" s="39" t="n">
        <f aca="false">J1145*Resumo!$B$7</f>
        <v>1.03758</v>
      </c>
      <c r="X1145" s="39" t="n">
        <f aca="false">Resumo!$B$9</f>
        <v>1</v>
      </c>
      <c r="Y1145" s="39" t="n">
        <f aca="false">Resumo!$B$10*CEILING(I1145/100,1)</f>
        <v>4.5</v>
      </c>
      <c r="Z1145" s="39" t="n">
        <f aca="false">Resumo!$B$12*CEILING(I1145,1)</f>
        <v>1.92</v>
      </c>
      <c r="AA1145" s="39" t="n">
        <f aca="false">Resumo!$B$13*CEILING(I1145,1)</f>
        <v>14.4</v>
      </c>
      <c r="AB1145" s="39" t="n">
        <f aca="false">SUM(U1145:AA1145)</f>
        <v>144.15637</v>
      </c>
      <c r="AC1145" s="39" t="n">
        <f aca="false">AB1145/(1-Resumo!$B$5)</f>
        <v>163.814056818182</v>
      </c>
      <c r="AD1145" s="39" t="n">
        <f aca="false">(AB1145-AA1145)/(1-Resumo!$B$5)</f>
        <v>147.450420454545</v>
      </c>
      <c r="AE1145" s="39" t="n">
        <f aca="false">AC1145-T1145</f>
        <v>54.1478138636364</v>
      </c>
      <c r="AF1145" s="40" t="n">
        <f aca="false">AC1145/T1145-1</f>
        <v>0.493750970260553</v>
      </c>
      <c r="AG1145" s="37" t="str">
        <f aca="false">IF(AC1145&lt;T1145,"SIM","NÃO")</f>
        <v>NÃO</v>
      </c>
      <c r="AH1145" s="37" t="n">
        <v>13</v>
      </c>
      <c r="AI1145" s="37" t="n">
        <v>10</v>
      </c>
      <c r="AJ1145" s="37" t="s">
        <v>327</v>
      </c>
    </row>
    <row r="1146" customFormat="false" ht="15" hidden="false" customHeight="false" outlineLevel="0" collapsed="false">
      <c r="A1146" s="37" t="n">
        <v>378047311</v>
      </c>
      <c r="B1146" s="38" t="n">
        <v>46251.6833101852</v>
      </c>
      <c r="C1146" s="37" t="s">
        <v>320</v>
      </c>
      <c r="D1146" s="37" t="s">
        <v>663</v>
      </c>
      <c r="E1146" s="37" t="n">
        <v>28300000</v>
      </c>
      <c r="F1146" s="37" t="s">
        <v>248</v>
      </c>
      <c r="G1146" s="37" t="s">
        <v>201</v>
      </c>
      <c r="H1146" s="37" t="s">
        <v>168</v>
      </c>
      <c r="I1146" s="37" t="n">
        <v>28.8</v>
      </c>
      <c r="J1146" s="39" t="n">
        <v>929.99</v>
      </c>
      <c r="K1146" s="37" t="s">
        <v>498</v>
      </c>
      <c r="L1146" s="39" t="n">
        <v>110.43</v>
      </c>
      <c r="M1146" s="39" t="n">
        <v>76.5</v>
      </c>
      <c r="N1146" s="39" t="n">
        <f aca="false">J1146*Resumo!$C$7</f>
        <v>1.85998</v>
      </c>
      <c r="O1146" s="39" t="n">
        <f aca="false">J1146*Resumo!$C$8</f>
        <v>1.85998</v>
      </c>
      <c r="P1146" s="39" t="n">
        <f aca="false">Resumo!$C$10*CEILING(I1146/100,1)</f>
        <v>1</v>
      </c>
      <c r="Q1146" s="39" t="n">
        <f aca="false">Resumo!$C$9</f>
        <v>11.9</v>
      </c>
      <c r="R1146" s="39" t="n">
        <f aca="false">SUM(M1146:Q1146)*Resumo!$C$11</f>
        <v>5.1215978</v>
      </c>
      <c r="S1146" s="39" t="n">
        <f aca="false">SUM(M1146:R1146)</f>
        <v>98.2415578</v>
      </c>
      <c r="T1146" s="39" t="n">
        <f aca="false">S1146/(1-Resumo!$C$5)</f>
        <v>111.638133863636</v>
      </c>
      <c r="U1146" s="39" t="n">
        <v>138.29</v>
      </c>
      <c r="V1146" s="39" t="n">
        <f aca="false">J1146*Resumo!$B$6</f>
        <v>0.92999</v>
      </c>
      <c r="W1146" s="39" t="n">
        <f aca="false">J1146*Resumo!$B$7</f>
        <v>1.85998</v>
      </c>
      <c r="X1146" s="39" t="n">
        <f aca="false">Resumo!$B$9</f>
        <v>1</v>
      </c>
      <c r="Y1146" s="39" t="n">
        <f aca="false">Resumo!$B$10*CEILING(I1146/100,1)</f>
        <v>4.5</v>
      </c>
      <c r="Z1146" s="39" t="n">
        <f aca="false">Resumo!$B$12*CEILING(I1146,1)</f>
        <v>1.74</v>
      </c>
      <c r="AA1146" s="39" t="n">
        <f aca="false">Resumo!$B$13*CEILING(I1146,1)</f>
        <v>13.05</v>
      </c>
      <c r="AB1146" s="39" t="n">
        <f aca="false">SUM(U1146:AA1146)</f>
        <v>161.36997</v>
      </c>
      <c r="AC1146" s="39" t="n">
        <f aca="false">AB1146/(1-Resumo!$B$5)</f>
        <v>183.374965909091</v>
      </c>
      <c r="AD1146" s="39" t="n">
        <f aca="false">(AB1146-AA1146)/(1-Resumo!$B$5)</f>
        <v>168.545420454545</v>
      </c>
      <c r="AE1146" s="39" t="n">
        <f aca="false">AC1146-T1146</f>
        <v>71.7368320454545</v>
      </c>
      <c r="AF1146" s="40" t="n">
        <f aca="false">AC1146/T1146-1</f>
        <v>0.642583582891842</v>
      </c>
      <c r="AG1146" s="37" t="str">
        <f aca="false">IF(AC1146&lt;T1146,"SIM","NÃO")</f>
        <v>NÃO</v>
      </c>
      <c r="AH1146" s="37" t="n">
        <v>13</v>
      </c>
      <c r="AI1146" s="37" t="n">
        <v>11</v>
      </c>
      <c r="AJ1146" s="37" t="s">
        <v>327</v>
      </c>
    </row>
    <row r="1147" customFormat="false" ht="15" hidden="false" customHeight="false" outlineLevel="0" collapsed="false">
      <c r="A1147" s="37" t="n">
        <v>378052959</v>
      </c>
      <c r="B1147" s="38" t="n">
        <v>46251.6934375</v>
      </c>
      <c r="C1147" s="37" t="s">
        <v>320</v>
      </c>
      <c r="D1147" s="37" t="s">
        <v>1407</v>
      </c>
      <c r="E1147" s="37" t="n">
        <v>28981446</v>
      </c>
      <c r="F1147" s="37" t="s">
        <v>153</v>
      </c>
      <c r="G1147" s="37" t="s">
        <v>201</v>
      </c>
      <c r="H1147" s="37" t="s">
        <v>168</v>
      </c>
      <c r="I1147" s="37" t="n">
        <v>27</v>
      </c>
      <c r="J1147" s="39" t="n">
        <v>349.99</v>
      </c>
      <c r="K1147" s="37" t="s">
        <v>498</v>
      </c>
      <c r="L1147" s="39" t="n">
        <v>106.64</v>
      </c>
      <c r="M1147" s="39" t="n">
        <v>76.5</v>
      </c>
      <c r="N1147" s="39" t="n">
        <f aca="false">J1147*Resumo!$C$7</f>
        <v>0.69998</v>
      </c>
      <c r="O1147" s="39" t="n">
        <f aca="false">J1147*Resumo!$C$8</f>
        <v>0.69998</v>
      </c>
      <c r="P1147" s="39" t="n">
        <f aca="false">Resumo!$C$10*CEILING(I1147/100,1)</f>
        <v>1</v>
      </c>
      <c r="Q1147" s="39" t="n">
        <f aca="false">Resumo!$C$9</f>
        <v>11.9</v>
      </c>
      <c r="R1147" s="39" t="n">
        <f aca="false">SUM(M1147:Q1147)*Resumo!$C$11</f>
        <v>4.9939978</v>
      </c>
      <c r="S1147" s="39" t="n">
        <f aca="false">SUM(M1147:R1147)</f>
        <v>95.7939578</v>
      </c>
      <c r="T1147" s="39" t="n">
        <f aca="false">S1147/(1-Resumo!$C$5)</f>
        <v>108.856770227273</v>
      </c>
      <c r="U1147" s="39" t="n">
        <v>114.95</v>
      </c>
      <c r="V1147" s="39" t="n">
        <f aca="false">J1147*Resumo!$B$6</f>
        <v>0.34999</v>
      </c>
      <c r="W1147" s="39" t="n">
        <f aca="false">J1147*Resumo!$B$7</f>
        <v>0.69998</v>
      </c>
      <c r="X1147" s="39" t="n">
        <f aca="false">Resumo!$B$9</f>
        <v>1</v>
      </c>
      <c r="Y1147" s="39" t="n">
        <f aca="false">Resumo!$B$10*CEILING(I1147/100,1)</f>
        <v>4.5</v>
      </c>
      <c r="Z1147" s="39" t="n">
        <f aca="false">Resumo!$B$12*CEILING(I1147,1)</f>
        <v>1.62</v>
      </c>
      <c r="AA1147" s="39" t="n">
        <f aca="false">Resumo!$B$13*CEILING(I1147,1)</f>
        <v>12.15</v>
      </c>
      <c r="AB1147" s="39" t="n">
        <f aca="false">SUM(U1147:AA1147)</f>
        <v>135.26997</v>
      </c>
      <c r="AC1147" s="39" t="n">
        <f aca="false">AB1147/(1-Resumo!$B$5)</f>
        <v>153.715875</v>
      </c>
      <c r="AD1147" s="39" t="n">
        <f aca="false">(AB1147-AA1147)/(1-Resumo!$B$5)</f>
        <v>139.909056818182</v>
      </c>
      <c r="AE1147" s="39" t="n">
        <f aca="false">AC1147-T1147</f>
        <v>44.8591047727273</v>
      </c>
      <c r="AF1147" s="40" t="n">
        <f aca="false">AC1147/T1147-1</f>
        <v>0.41209292429924</v>
      </c>
      <c r="AG1147" s="37" t="str">
        <f aca="false">IF(AC1147&lt;T1147,"SIM","NÃO")</f>
        <v>NÃO</v>
      </c>
      <c r="AH1147" s="37" t="n">
        <v>13</v>
      </c>
      <c r="AI1147" s="37" t="n">
        <v>10</v>
      </c>
      <c r="AJ1147" s="37" t="s">
        <v>323</v>
      </c>
    </row>
    <row r="1148" customFormat="false" ht="15" hidden="false" customHeight="false" outlineLevel="0" collapsed="false">
      <c r="A1148" s="37" t="n">
        <v>378053402</v>
      </c>
      <c r="B1148" s="38" t="n">
        <v>46251.6972222222</v>
      </c>
      <c r="C1148" s="37" t="s">
        <v>352</v>
      </c>
      <c r="D1148" s="37" t="s">
        <v>1408</v>
      </c>
      <c r="E1148" s="37" t="n">
        <v>25571210</v>
      </c>
      <c r="F1148" s="37" t="s">
        <v>147</v>
      </c>
      <c r="G1148" s="37" t="s">
        <v>207</v>
      </c>
      <c r="H1148" s="37" t="s">
        <v>170</v>
      </c>
      <c r="I1148" s="37" t="n">
        <v>46.8</v>
      </c>
      <c r="J1148" s="39" t="n">
        <v>587.49</v>
      </c>
      <c r="K1148" s="37" t="s">
        <v>498</v>
      </c>
      <c r="L1148" s="39" t="n">
        <v>117.69</v>
      </c>
      <c r="M1148" s="39" t="n">
        <v>82.25</v>
      </c>
      <c r="N1148" s="39" t="n">
        <f aca="false">J1148*Resumo!$C$7</f>
        <v>1.17498</v>
      </c>
      <c r="O1148" s="39" t="n">
        <f aca="false">J1148*Resumo!$C$8</f>
        <v>1.17498</v>
      </c>
      <c r="P1148" s="39" t="n">
        <f aca="false">Resumo!$C$10*CEILING(I1148/100,1)</f>
        <v>1</v>
      </c>
      <c r="Q1148" s="39" t="n">
        <f aca="false">Resumo!$C$9</f>
        <v>11.9</v>
      </c>
      <c r="R1148" s="39" t="n">
        <f aca="false">SUM(M1148:Q1148)*Resumo!$C$11</f>
        <v>5.3624978</v>
      </c>
      <c r="S1148" s="39" t="n">
        <f aca="false">SUM(M1148:R1148)</f>
        <v>102.8624578</v>
      </c>
      <c r="T1148" s="39" t="n">
        <f aca="false">S1148/(1-Resumo!$C$5)</f>
        <v>116.889156590909</v>
      </c>
      <c r="U1148" s="39" t="n">
        <v>93.97</v>
      </c>
      <c r="V1148" s="39" t="n">
        <f aca="false">J1148*Resumo!$B$6</f>
        <v>0.58749</v>
      </c>
      <c r="W1148" s="39" t="n">
        <f aca="false">J1148*Resumo!$B$7</f>
        <v>1.17498</v>
      </c>
      <c r="X1148" s="39" t="n">
        <f aca="false">Resumo!$B$9</f>
        <v>1</v>
      </c>
      <c r="Y1148" s="39" t="n">
        <f aca="false">Resumo!$B$10*CEILING(I1148/100,1)</f>
        <v>4.5</v>
      </c>
      <c r="Z1148" s="39" t="n">
        <f aca="false">Resumo!$B$12*CEILING(I1148,1)</f>
        <v>2.82</v>
      </c>
      <c r="AA1148" s="39" t="n">
        <f aca="false">Resumo!$B$13*CEILING(I1148,1)</f>
        <v>21.15</v>
      </c>
      <c r="AB1148" s="39" t="n">
        <f aca="false">SUM(U1148:AA1148)</f>
        <v>125.20247</v>
      </c>
      <c r="AC1148" s="39" t="n">
        <f aca="false">AB1148/(1-Resumo!$B$5)</f>
        <v>142.275534090909</v>
      </c>
      <c r="AD1148" s="39" t="n">
        <f aca="false">(AB1148-AA1148)/(1-Resumo!$B$5)</f>
        <v>118.241443181818</v>
      </c>
      <c r="AE1148" s="39" t="n">
        <f aca="false">AC1148-T1148</f>
        <v>25.3863775</v>
      </c>
      <c r="AF1148" s="40" t="n">
        <f aca="false">AC1148/T1148-1</f>
        <v>0.217183340528735</v>
      </c>
      <c r="AG1148" s="37" t="str">
        <f aca="false">IF(AC1148&lt;T1148,"SIM","NÃO")</f>
        <v>NÃO</v>
      </c>
      <c r="AH1148" s="37" t="n">
        <v>10</v>
      </c>
      <c r="AI1148" s="37" t="n">
        <v>5</v>
      </c>
      <c r="AJ1148" s="37" t="s">
        <v>323</v>
      </c>
    </row>
    <row r="1149" customFormat="false" ht="15" hidden="false" customHeight="false" outlineLevel="0" collapsed="false">
      <c r="A1149" s="37" t="n">
        <v>378066536</v>
      </c>
      <c r="B1149" s="38" t="n">
        <v>46251.7174652778</v>
      </c>
      <c r="C1149" s="37" t="s">
        <v>320</v>
      </c>
      <c r="D1149" s="37" t="s">
        <v>1409</v>
      </c>
      <c r="E1149" s="37" t="n">
        <v>20760120</v>
      </c>
      <c r="F1149" s="37" t="s">
        <v>139</v>
      </c>
      <c r="G1149" s="37" t="s">
        <v>198</v>
      </c>
      <c r="H1149" s="37" t="s">
        <v>169</v>
      </c>
      <c r="I1149" s="37" t="n">
        <v>35.3</v>
      </c>
      <c r="J1149" s="39" t="n">
        <v>441.87</v>
      </c>
      <c r="K1149" s="37" t="s">
        <v>322</v>
      </c>
      <c r="L1149" s="39" t="n">
        <v>91.97</v>
      </c>
      <c r="M1149" s="39" t="n">
        <v>62.05</v>
      </c>
      <c r="N1149" s="39" t="n">
        <f aca="false">J1149*Resumo!$C$7</f>
        <v>0.88374</v>
      </c>
      <c r="O1149" s="39" t="n">
        <f aca="false">J1149*Resumo!$C$8</f>
        <v>0.88374</v>
      </c>
      <c r="P1149" s="39" t="n">
        <f aca="false">Resumo!$C$10*CEILING(I1149/100,1)</f>
        <v>1</v>
      </c>
      <c r="Q1149" s="39" t="n">
        <f aca="false">Resumo!$C$9</f>
        <v>11.9</v>
      </c>
      <c r="R1149" s="39" t="n">
        <f aca="false">SUM(M1149:Q1149)*Resumo!$C$11</f>
        <v>4.2194614</v>
      </c>
      <c r="S1149" s="39" t="n">
        <f aca="false">SUM(M1149:R1149)</f>
        <v>80.9369414</v>
      </c>
      <c r="T1149" s="39" t="n">
        <f aca="false">S1149/(1-Resumo!$C$5)</f>
        <v>91.9737970454546</v>
      </c>
      <c r="U1149" s="39" t="n">
        <v>93.97</v>
      </c>
      <c r="V1149" s="39" t="n">
        <f aca="false">J1149*Resumo!$B$6</f>
        <v>0.44187</v>
      </c>
      <c r="W1149" s="39" t="n">
        <f aca="false">J1149*Resumo!$B$7</f>
        <v>0.88374</v>
      </c>
      <c r="X1149" s="39" t="n">
        <f aca="false">Resumo!$B$9</f>
        <v>1</v>
      </c>
      <c r="Y1149" s="39" t="n">
        <f aca="false">Resumo!$B$10*CEILING(I1149/100,1)</f>
        <v>4.5</v>
      </c>
      <c r="Z1149" s="39" t="n">
        <f aca="false">Resumo!$B$12*CEILING(I1149,1)</f>
        <v>2.16</v>
      </c>
      <c r="AA1149" s="39" t="n">
        <f aca="false">Resumo!$B$13*CEILING(I1149,1)</f>
        <v>16.2</v>
      </c>
      <c r="AB1149" s="39" t="n">
        <f aca="false">SUM(U1149:AA1149)</f>
        <v>119.15561</v>
      </c>
      <c r="AC1149" s="39" t="n">
        <f aca="false">AB1149/(1-Resumo!$B$5)</f>
        <v>135.404102272727</v>
      </c>
      <c r="AD1149" s="39" t="n">
        <f aca="false">(AB1149-AA1149)/(1-Resumo!$B$5)</f>
        <v>116.995011363636</v>
      </c>
      <c r="AE1149" s="39" t="n">
        <f aca="false">AC1149-T1149</f>
        <v>43.4303052272727</v>
      </c>
      <c r="AF1149" s="40" t="n">
        <f aca="false">AC1149/T1149-1</f>
        <v>0.472203025453097</v>
      </c>
      <c r="AG1149" s="37" t="str">
        <f aca="false">IF(AC1149&lt;T1149,"SIM","NÃO")</f>
        <v>NÃO</v>
      </c>
      <c r="AH1149" s="37" t="n">
        <v>8</v>
      </c>
      <c r="AI1149" s="37" t="n">
        <v>5</v>
      </c>
      <c r="AJ1149" s="37" t="s">
        <v>323</v>
      </c>
    </row>
    <row r="1150" customFormat="false" ht="15" hidden="false" customHeight="false" outlineLevel="0" collapsed="false">
      <c r="A1150" s="37" t="n">
        <v>378067473</v>
      </c>
      <c r="B1150" s="38" t="n">
        <v>46251.719212963</v>
      </c>
      <c r="C1150" s="37" t="s">
        <v>320</v>
      </c>
      <c r="D1150" s="37" t="s">
        <v>887</v>
      </c>
      <c r="E1150" s="37" t="n">
        <v>22740362</v>
      </c>
      <c r="F1150" s="37" t="s">
        <v>139</v>
      </c>
      <c r="G1150" s="37" t="s">
        <v>198</v>
      </c>
      <c r="H1150" s="37" t="s">
        <v>167</v>
      </c>
      <c r="I1150" s="37" t="n">
        <v>17.2</v>
      </c>
      <c r="J1150" s="39" t="n">
        <v>223.34</v>
      </c>
      <c r="K1150" s="37" t="s">
        <v>322</v>
      </c>
      <c r="L1150" s="39" t="n">
        <v>64.3</v>
      </c>
      <c r="M1150" s="39" t="n">
        <v>39.83</v>
      </c>
      <c r="N1150" s="39" t="n">
        <f aca="false">J1150*Resumo!$C$7</f>
        <v>0.44668</v>
      </c>
      <c r="O1150" s="39" t="n">
        <f aca="false">J1150*Resumo!$C$8</f>
        <v>0.44668</v>
      </c>
      <c r="P1150" s="39" t="n">
        <f aca="false">Resumo!$C$10*CEILING(I1150/100,1)</f>
        <v>1</v>
      </c>
      <c r="Q1150" s="39" t="n">
        <f aca="false">Resumo!$C$9</f>
        <v>11.9</v>
      </c>
      <c r="R1150" s="39" t="n">
        <f aca="false">SUM(M1150:Q1150)*Resumo!$C$11</f>
        <v>2.9492848</v>
      </c>
      <c r="S1150" s="39" t="n">
        <f aca="false">SUM(M1150:R1150)</f>
        <v>56.5726448</v>
      </c>
      <c r="T1150" s="39" t="n">
        <f aca="false">S1150/(1-Resumo!$C$5)</f>
        <v>64.2870963636364</v>
      </c>
      <c r="U1150" s="39" t="n">
        <v>46.98</v>
      </c>
      <c r="V1150" s="39" t="n">
        <f aca="false">J1150*Resumo!$B$6</f>
        <v>0.22334</v>
      </c>
      <c r="W1150" s="39" t="n">
        <f aca="false">J1150*Resumo!$B$7</f>
        <v>0.44668</v>
      </c>
      <c r="X1150" s="39" t="n">
        <f aca="false">Resumo!$B$9</f>
        <v>1</v>
      </c>
      <c r="Y1150" s="39" t="n">
        <f aca="false">Resumo!$B$10*CEILING(I1150/100,1)</f>
        <v>4.5</v>
      </c>
      <c r="Z1150" s="39" t="n">
        <f aca="false">Resumo!$B$12*CEILING(I1150,1)</f>
        <v>1.08</v>
      </c>
      <c r="AA1150" s="39" t="n">
        <f aca="false">Resumo!$B$13*CEILING(I1150,1)</f>
        <v>8.1</v>
      </c>
      <c r="AB1150" s="39" t="n">
        <f aca="false">SUM(U1150:AA1150)</f>
        <v>62.33002</v>
      </c>
      <c r="AC1150" s="39" t="n">
        <f aca="false">AB1150/(1-Resumo!$B$5)</f>
        <v>70.8295681818182</v>
      </c>
      <c r="AD1150" s="39" t="n">
        <f aca="false">(AB1150-AA1150)/(1-Resumo!$B$5)</f>
        <v>61.6250227272727</v>
      </c>
      <c r="AE1150" s="39" t="n">
        <f aca="false">AC1150-T1150</f>
        <v>6.54247181818181</v>
      </c>
      <c r="AF1150" s="40" t="n">
        <f aca="false">AC1150/T1150-1</f>
        <v>0.101769595894869</v>
      </c>
      <c r="AG1150" s="37" t="str">
        <f aca="false">IF(AC1150&lt;T1150,"SIM","NÃO")</f>
        <v>NÃO</v>
      </c>
      <c r="AH1150" s="37" t="n">
        <v>8</v>
      </c>
      <c r="AI1150" s="37" t="n">
        <v>5</v>
      </c>
      <c r="AJ1150" s="37" t="s">
        <v>323</v>
      </c>
    </row>
    <row r="1151" customFormat="false" ht="15" hidden="false" customHeight="false" outlineLevel="0" collapsed="false">
      <c r="A1151" s="37" t="n">
        <v>378079460</v>
      </c>
      <c r="B1151" s="38" t="n">
        <v>46251.7431018519</v>
      </c>
      <c r="C1151" s="37" t="s">
        <v>325</v>
      </c>
      <c r="D1151" s="37" t="s">
        <v>1410</v>
      </c>
      <c r="E1151" s="37" t="n">
        <v>26435160</v>
      </c>
      <c r="F1151" s="37" t="s">
        <v>223</v>
      </c>
      <c r="G1151" s="37" t="s">
        <v>201</v>
      </c>
      <c r="H1151" s="37" t="s">
        <v>173</v>
      </c>
      <c r="I1151" s="37" t="n">
        <v>79.26</v>
      </c>
      <c r="J1151" s="39" t="n">
        <v>746</v>
      </c>
      <c r="K1151" s="37" t="s">
        <v>498</v>
      </c>
      <c r="L1151" s="39" t="n">
        <v>171.03</v>
      </c>
      <c r="M1151" s="39" t="n">
        <v>124.16</v>
      </c>
      <c r="N1151" s="39" t="n">
        <f aca="false">J1151*Resumo!$C$7</f>
        <v>1.492</v>
      </c>
      <c r="O1151" s="39" t="n">
        <f aca="false">J1151*Resumo!$C$8</f>
        <v>1.492</v>
      </c>
      <c r="P1151" s="39" t="n">
        <f aca="false">Resumo!$C$10*CEILING(I1151/100,1)</f>
        <v>1</v>
      </c>
      <c r="Q1151" s="39" t="n">
        <f aca="false">Resumo!$C$9</f>
        <v>11.9</v>
      </c>
      <c r="R1151" s="39" t="n">
        <f aca="false">SUM(M1151:Q1151)*Resumo!$C$11</f>
        <v>7.70242</v>
      </c>
      <c r="S1151" s="39" t="n">
        <f aca="false">SUM(M1151:R1151)</f>
        <v>147.74642</v>
      </c>
      <c r="T1151" s="39" t="n">
        <f aca="false">S1151/(1-Resumo!$C$5)</f>
        <v>167.893659090909</v>
      </c>
      <c r="U1151" s="39" t="n">
        <v>134.39</v>
      </c>
      <c r="V1151" s="39" t="n">
        <f aca="false">J1151*Resumo!$B$6</f>
        <v>0.746</v>
      </c>
      <c r="W1151" s="39" t="n">
        <f aca="false">J1151*Resumo!$B$7</f>
        <v>1.492</v>
      </c>
      <c r="X1151" s="39" t="n">
        <f aca="false">Resumo!$B$9</f>
        <v>1</v>
      </c>
      <c r="Y1151" s="39" t="n">
        <f aca="false">Resumo!$B$10*CEILING(I1151/100,1)</f>
        <v>4.5</v>
      </c>
      <c r="Z1151" s="39" t="n">
        <f aca="false">Resumo!$B$12*CEILING(I1151,1)</f>
        <v>4.8</v>
      </c>
      <c r="AA1151" s="39" t="n">
        <f aca="false">Resumo!$B$13*CEILING(I1151,1)</f>
        <v>36</v>
      </c>
      <c r="AB1151" s="39" t="n">
        <f aca="false">SUM(U1151:AA1151)</f>
        <v>182.928</v>
      </c>
      <c r="AC1151" s="39" t="n">
        <f aca="false">AB1151/(1-Resumo!$B$5)</f>
        <v>207.872727272727</v>
      </c>
      <c r="AD1151" s="39" t="n">
        <f aca="false">(AB1151-AA1151)/(1-Resumo!$B$5)</f>
        <v>166.963636363636</v>
      </c>
      <c r="AE1151" s="39" t="n">
        <f aca="false">AC1151-T1151</f>
        <v>39.9790681818182</v>
      </c>
      <c r="AF1151" s="40" t="n">
        <f aca="false">AC1151/T1151-1</f>
        <v>0.238121370385827</v>
      </c>
      <c r="AG1151" s="37" t="str">
        <f aca="false">IF(AC1151&lt;T1151,"SIM","NÃO")</f>
        <v>NÃO</v>
      </c>
      <c r="AH1151" s="37" t="n">
        <v>13</v>
      </c>
      <c r="AI1151" s="37" t="n">
        <v>5</v>
      </c>
      <c r="AJ1151" s="37" t="s">
        <v>327</v>
      </c>
    </row>
    <row r="1152" customFormat="false" ht="15" hidden="false" customHeight="false" outlineLevel="0" collapsed="false">
      <c r="A1152" s="37" t="n">
        <v>378087939</v>
      </c>
      <c r="B1152" s="38" t="n">
        <v>46251.759849537</v>
      </c>
      <c r="C1152" s="37" t="s">
        <v>325</v>
      </c>
      <c r="D1152" s="37" t="s">
        <v>1411</v>
      </c>
      <c r="E1152" s="37" t="n">
        <v>23515162</v>
      </c>
      <c r="F1152" s="37" t="s">
        <v>139</v>
      </c>
      <c r="G1152" s="37" t="s">
        <v>198</v>
      </c>
      <c r="H1152" s="37" t="s">
        <v>168</v>
      </c>
      <c r="I1152" s="37" t="n">
        <v>22.6</v>
      </c>
      <c r="J1152" s="39" t="n">
        <v>474</v>
      </c>
      <c r="K1152" s="37" t="s">
        <v>498</v>
      </c>
      <c r="L1152" s="39" t="n">
        <v>78.48</v>
      </c>
      <c r="M1152" s="39" t="n">
        <v>54.1</v>
      </c>
      <c r="N1152" s="39" t="n">
        <f aca="false">J1152*Resumo!$C$7</f>
        <v>0.948</v>
      </c>
      <c r="O1152" s="39" t="n">
        <f aca="false">J1152*Resumo!$C$8</f>
        <v>0.948</v>
      </c>
      <c r="P1152" s="39" t="n">
        <f aca="false">Resumo!$C$10*CEILING(I1152/100,1)</f>
        <v>1</v>
      </c>
      <c r="Q1152" s="39" t="n">
        <f aca="false">Resumo!$C$9</f>
        <v>11.9</v>
      </c>
      <c r="R1152" s="39" t="n">
        <f aca="false">SUM(M1152:Q1152)*Resumo!$C$11</f>
        <v>3.78928</v>
      </c>
      <c r="S1152" s="39" t="n">
        <f aca="false">SUM(M1152:R1152)</f>
        <v>72.68528</v>
      </c>
      <c r="T1152" s="39" t="n">
        <f aca="false">S1152/(1-Resumo!$C$5)</f>
        <v>82.5969090909091</v>
      </c>
      <c r="U1152" s="39" t="n">
        <v>82.21</v>
      </c>
      <c r="V1152" s="39" t="n">
        <f aca="false">J1152*Resumo!$B$6</f>
        <v>0.474</v>
      </c>
      <c r="W1152" s="39" t="n">
        <f aca="false">J1152*Resumo!$B$7</f>
        <v>0.948</v>
      </c>
      <c r="X1152" s="39" t="n">
        <f aca="false">Resumo!$B$9</f>
        <v>1</v>
      </c>
      <c r="Y1152" s="39" t="n">
        <f aca="false">Resumo!$B$10*CEILING(I1152/100,1)</f>
        <v>4.5</v>
      </c>
      <c r="Z1152" s="39" t="n">
        <f aca="false">Resumo!$B$12*CEILING(I1152,1)</f>
        <v>1.38</v>
      </c>
      <c r="AA1152" s="39" t="n">
        <f aca="false">Resumo!$B$13*CEILING(I1152,1)</f>
        <v>10.35</v>
      </c>
      <c r="AB1152" s="39" t="n">
        <f aca="false">SUM(U1152:AA1152)</f>
        <v>100.862</v>
      </c>
      <c r="AC1152" s="39" t="n">
        <f aca="false">AB1152/(1-Resumo!$B$5)</f>
        <v>114.615909090909</v>
      </c>
      <c r="AD1152" s="39" t="n">
        <f aca="false">(AB1152-AA1152)/(1-Resumo!$B$5)</f>
        <v>102.854545454545</v>
      </c>
      <c r="AE1152" s="39" t="n">
        <f aca="false">AC1152-T1152</f>
        <v>32.019</v>
      </c>
      <c r="AF1152" s="40" t="n">
        <f aca="false">AC1152/T1152-1</f>
        <v>0.387653731264432</v>
      </c>
      <c r="AG1152" s="37" t="str">
        <f aca="false">IF(AC1152&lt;T1152,"SIM","NÃO")</f>
        <v>NÃO</v>
      </c>
      <c r="AH1152" s="37" t="n">
        <v>8</v>
      </c>
      <c r="AI1152" s="37" t="n">
        <v>5</v>
      </c>
      <c r="AJ1152" s="37" t="s">
        <v>323</v>
      </c>
    </row>
    <row r="1153" customFormat="false" ht="15" hidden="false" customHeight="false" outlineLevel="0" collapsed="false">
      <c r="A1153" s="37" t="n">
        <v>378087984</v>
      </c>
      <c r="B1153" s="38" t="n">
        <v>46251.7599537037</v>
      </c>
      <c r="C1153" s="37" t="s">
        <v>325</v>
      </c>
      <c r="D1153" s="37" t="s">
        <v>1412</v>
      </c>
      <c r="E1153" s="37" t="n">
        <v>25245640</v>
      </c>
      <c r="F1153" s="37" t="s">
        <v>141</v>
      </c>
      <c r="G1153" s="37" t="s">
        <v>207</v>
      </c>
      <c r="H1153" s="37" t="s">
        <v>171</v>
      </c>
      <c r="I1153" s="37" t="n">
        <v>51.3</v>
      </c>
      <c r="J1153" s="39" t="n">
        <v>993.71</v>
      </c>
      <c r="K1153" s="37" t="s">
        <v>322</v>
      </c>
      <c r="L1153" s="39" t="n">
        <v>130.06</v>
      </c>
      <c r="M1153" s="39" t="n">
        <v>91.6</v>
      </c>
      <c r="N1153" s="39" t="n">
        <f aca="false">J1153*Resumo!$C$7</f>
        <v>1.98742</v>
      </c>
      <c r="O1153" s="39" t="n">
        <f aca="false">J1153*Resumo!$C$8</f>
        <v>1.98742</v>
      </c>
      <c r="P1153" s="39" t="n">
        <f aca="false">Resumo!$C$10*CEILING(I1153/100,1)</f>
        <v>1</v>
      </c>
      <c r="Q1153" s="39" t="n">
        <f aca="false">Resumo!$C$9</f>
        <v>11.9</v>
      </c>
      <c r="R1153" s="39" t="n">
        <f aca="false">SUM(M1153:Q1153)*Resumo!$C$11</f>
        <v>5.9661162</v>
      </c>
      <c r="S1153" s="39" t="n">
        <f aca="false">SUM(M1153:R1153)</f>
        <v>114.4409562</v>
      </c>
      <c r="T1153" s="39" t="n">
        <f aca="false">S1153/(1-Resumo!$C$5)</f>
        <v>130.046541136364</v>
      </c>
      <c r="U1153" s="39" t="n">
        <v>112.3</v>
      </c>
      <c r="V1153" s="39" t="n">
        <f aca="false">J1153*Resumo!$B$6</f>
        <v>0.99371</v>
      </c>
      <c r="W1153" s="39" t="n">
        <f aca="false">J1153*Resumo!$B$7</f>
        <v>1.98742</v>
      </c>
      <c r="X1153" s="39" t="n">
        <f aca="false">Resumo!$B$9</f>
        <v>1</v>
      </c>
      <c r="Y1153" s="39" t="n">
        <f aca="false">Resumo!$B$10*CEILING(I1153/100,1)</f>
        <v>4.5</v>
      </c>
      <c r="Z1153" s="39" t="n">
        <f aca="false">Resumo!$B$12*CEILING(I1153,1)</f>
        <v>3.12</v>
      </c>
      <c r="AA1153" s="39" t="n">
        <f aca="false">Resumo!$B$13*CEILING(I1153,1)</f>
        <v>23.4</v>
      </c>
      <c r="AB1153" s="39" t="n">
        <f aca="false">SUM(U1153:AA1153)</f>
        <v>147.30113</v>
      </c>
      <c r="AC1153" s="39" t="n">
        <f aca="false">AB1153/(1-Resumo!$B$5)</f>
        <v>167.387647727273</v>
      </c>
      <c r="AD1153" s="39" t="n">
        <f aca="false">(AB1153-AA1153)/(1-Resumo!$B$5)</f>
        <v>140.796738636364</v>
      </c>
      <c r="AE1153" s="39" t="n">
        <f aca="false">AC1153-T1153</f>
        <v>37.3411065909091</v>
      </c>
      <c r="AF1153" s="40" t="n">
        <f aca="false">AC1153/T1153-1</f>
        <v>0.287136484097291</v>
      </c>
      <c r="AG1153" s="37" t="str">
        <f aca="false">IF(AC1153&lt;T1153,"SIM","NÃO")</f>
        <v>NÃO</v>
      </c>
      <c r="AH1153" s="37" t="n">
        <v>10</v>
      </c>
      <c r="AI1153" s="37" t="n">
        <v>5</v>
      </c>
      <c r="AJ1153" s="37" t="s">
        <v>323</v>
      </c>
    </row>
    <row r="1154" customFormat="false" ht="15" hidden="false" customHeight="false" outlineLevel="0" collapsed="false">
      <c r="A1154" s="37" t="n">
        <v>378090390</v>
      </c>
      <c r="B1154" s="38" t="n">
        <v>46251.7650231482</v>
      </c>
      <c r="C1154" s="37" t="s">
        <v>320</v>
      </c>
      <c r="D1154" s="37" t="s">
        <v>1413</v>
      </c>
      <c r="E1154" s="37" t="n">
        <v>28895622</v>
      </c>
      <c r="F1154" s="37" t="s">
        <v>158</v>
      </c>
      <c r="G1154" s="37" t="s">
        <v>201</v>
      </c>
      <c r="H1154" s="37" t="s">
        <v>170</v>
      </c>
      <c r="I1154" s="37" t="n">
        <v>41</v>
      </c>
      <c r="J1154" s="39" t="n">
        <v>559.99</v>
      </c>
      <c r="K1154" s="37" t="s">
        <v>498</v>
      </c>
      <c r="L1154" s="39" t="n">
        <v>128.53</v>
      </c>
      <c r="M1154" s="39" t="n">
        <v>94</v>
      </c>
      <c r="N1154" s="39" t="n">
        <f aca="false">J1154*Resumo!$C$7</f>
        <v>1.11998</v>
      </c>
      <c r="O1154" s="39" t="n">
        <f aca="false">J1154*Resumo!$C$8</f>
        <v>1.11998</v>
      </c>
      <c r="P1154" s="39" t="n">
        <f aca="false">Resumo!$C$10*CEILING(I1154/100,1)</f>
        <v>1</v>
      </c>
      <c r="Q1154" s="39" t="n">
        <f aca="false">Resumo!$C$9</f>
        <v>11.9</v>
      </c>
      <c r="R1154" s="39" t="n">
        <f aca="false">SUM(M1154:Q1154)*Resumo!$C$11</f>
        <v>6.0026978</v>
      </c>
      <c r="S1154" s="39" t="n">
        <f aca="false">SUM(M1154:R1154)</f>
        <v>115.1426578</v>
      </c>
      <c r="T1154" s="39" t="n">
        <f aca="false">S1154/(1-Resumo!$C$5)</f>
        <v>130.843929318182</v>
      </c>
      <c r="U1154" s="39" t="n">
        <v>129.29</v>
      </c>
      <c r="V1154" s="39" t="n">
        <f aca="false">J1154*Resumo!$B$6</f>
        <v>0.55999</v>
      </c>
      <c r="W1154" s="39" t="n">
        <f aca="false">J1154*Resumo!$B$7</f>
        <v>1.11998</v>
      </c>
      <c r="X1154" s="39" t="n">
        <f aca="false">Resumo!$B$9</f>
        <v>1</v>
      </c>
      <c r="Y1154" s="39" t="n">
        <f aca="false">Resumo!$B$10*CEILING(I1154/100,1)</f>
        <v>4.5</v>
      </c>
      <c r="Z1154" s="39" t="n">
        <f aca="false">Resumo!$B$12*CEILING(I1154,1)</f>
        <v>2.46</v>
      </c>
      <c r="AA1154" s="39" t="n">
        <f aca="false">Resumo!$B$13*CEILING(I1154,1)</f>
        <v>18.45</v>
      </c>
      <c r="AB1154" s="39" t="n">
        <f aca="false">SUM(U1154:AA1154)</f>
        <v>157.37997</v>
      </c>
      <c r="AC1154" s="39" t="n">
        <f aca="false">AB1154/(1-Resumo!$B$5)</f>
        <v>178.840875</v>
      </c>
      <c r="AD1154" s="39" t="n">
        <f aca="false">(AB1154-AA1154)/(1-Resumo!$B$5)</f>
        <v>157.874965909091</v>
      </c>
      <c r="AE1154" s="39" t="n">
        <f aca="false">AC1154-T1154</f>
        <v>47.9969456818182</v>
      </c>
      <c r="AF1154" s="40" t="n">
        <f aca="false">AC1154/T1154-1</f>
        <v>0.366825927132629</v>
      </c>
      <c r="AG1154" s="37" t="str">
        <f aca="false">IF(AC1154&lt;T1154,"SIM","NÃO")</f>
        <v>NÃO</v>
      </c>
      <c r="AH1154" s="37" t="n">
        <v>13</v>
      </c>
      <c r="AI1154" s="37" t="n">
        <v>10</v>
      </c>
      <c r="AJ1154" s="37" t="s">
        <v>323</v>
      </c>
    </row>
    <row r="1155" customFormat="false" ht="15" hidden="false" customHeight="false" outlineLevel="0" collapsed="false">
      <c r="A1155" s="37" t="n">
        <v>378095002</v>
      </c>
      <c r="B1155" s="38" t="n">
        <v>46251.7744328704</v>
      </c>
      <c r="C1155" s="37" t="s">
        <v>320</v>
      </c>
      <c r="D1155" s="37" t="s">
        <v>1414</v>
      </c>
      <c r="E1155" s="37" t="n">
        <v>26510110</v>
      </c>
      <c r="F1155" s="37" t="s">
        <v>224</v>
      </c>
      <c r="G1155" s="37" t="s">
        <v>207</v>
      </c>
      <c r="H1155" s="37" t="s">
        <v>176</v>
      </c>
      <c r="I1155" s="37" t="n">
        <v>124.2</v>
      </c>
      <c r="J1155" s="39" t="n">
        <v>1567.98</v>
      </c>
      <c r="K1155" s="37" t="s">
        <v>498</v>
      </c>
      <c r="L1155" s="39" t="n">
        <v>236.48</v>
      </c>
      <c r="M1155" s="39" t="n">
        <v>183.45</v>
      </c>
      <c r="N1155" s="39" t="n">
        <f aca="false">J1155*Resumo!$C$7</f>
        <v>3.13596</v>
      </c>
      <c r="O1155" s="39" t="n">
        <f aca="false">J1155*Resumo!$C$8</f>
        <v>3.13596</v>
      </c>
      <c r="P1155" s="39" t="n">
        <f aca="false">Resumo!$C$10*CEILING(I1155/100,1)</f>
        <v>2</v>
      </c>
      <c r="Q1155" s="39" t="n">
        <f aca="false">Resumo!$C$9</f>
        <v>11.9</v>
      </c>
      <c r="R1155" s="39" t="n">
        <f aca="false">SUM(M1155:Q1155)*Resumo!$C$11</f>
        <v>11.1992056</v>
      </c>
      <c r="S1155" s="39" t="n">
        <f aca="false">SUM(M1155:R1155)</f>
        <v>214.8211256</v>
      </c>
      <c r="T1155" s="39" t="n">
        <f aca="false">S1155/(1-Resumo!$C$5)</f>
        <v>244.114915454545</v>
      </c>
      <c r="U1155" s="39" t="n">
        <v>239.25</v>
      </c>
      <c r="V1155" s="39" t="n">
        <f aca="false">J1155*Resumo!$B$6</f>
        <v>1.56798</v>
      </c>
      <c r="W1155" s="39" t="n">
        <f aca="false">J1155*Resumo!$B$7</f>
        <v>3.13596</v>
      </c>
      <c r="X1155" s="39" t="n">
        <f aca="false">Resumo!$B$9</f>
        <v>1</v>
      </c>
      <c r="Y1155" s="39" t="n">
        <f aca="false">Resumo!$B$10*CEILING(I1155/100,1)</f>
        <v>9</v>
      </c>
      <c r="Z1155" s="39" t="n">
        <f aca="false">Resumo!$B$12*CEILING(I1155,1)</f>
        <v>7.5</v>
      </c>
      <c r="AA1155" s="39" t="n">
        <f aca="false">Resumo!$B$13*CEILING(I1155,1)</f>
        <v>56.25</v>
      </c>
      <c r="AB1155" s="39" t="n">
        <f aca="false">SUM(U1155:AA1155)</f>
        <v>317.70394</v>
      </c>
      <c r="AC1155" s="39" t="n">
        <f aca="false">AB1155/(1-Resumo!$B$5)</f>
        <v>361.027204545455</v>
      </c>
      <c r="AD1155" s="39" t="n">
        <f aca="false">(AB1155-AA1155)/(1-Resumo!$B$5)</f>
        <v>297.10675</v>
      </c>
      <c r="AE1155" s="39" t="n">
        <f aca="false">AC1155-T1155</f>
        <v>116.912289090909</v>
      </c>
      <c r="AF1155" s="40" t="n">
        <f aca="false">AC1155/T1155-1</f>
        <v>0.478923169742483</v>
      </c>
      <c r="AG1155" s="37" t="str">
        <f aca="false">IF(AC1155&lt;T1155,"SIM","NÃO")</f>
        <v>NÃO</v>
      </c>
      <c r="AH1155" s="37" t="n">
        <v>10</v>
      </c>
      <c r="AI1155" s="37" t="n">
        <v>5</v>
      </c>
      <c r="AJ1155" s="37" t="s">
        <v>327</v>
      </c>
    </row>
    <row r="1156" customFormat="false" ht="15" hidden="false" customHeight="false" outlineLevel="0" collapsed="false">
      <c r="A1156" s="37" t="n">
        <v>378099978</v>
      </c>
      <c r="B1156" s="38" t="n">
        <v>46251.7840277778</v>
      </c>
      <c r="C1156" s="37" t="s">
        <v>320</v>
      </c>
      <c r="D1156" s="37" t="s">
        <v>1415</v>
      </c>
      <c r="E1156" s="37" t="n">
        <v>25615061</v>
      </c>
      <c r="F1156" s="37" t="s">
        <v>150</v>
      </c>
      <c r="G1156" s="37" t="s">
        <v>201</v>
      </c>
      <c r="H1156" s="37" t="s">
        <v>169</v>
      </c>
      <c r="I1156" s="37" t="n">
        <v>37.6</v>
      </c>
      <c r="J1156" s="39" t="n">
        <v>459.99</v>
      </c>
      <c r="K1156" s="37" t="s">
        <v>498</v>
      </c>
      <c r="L1156" s="39" t="n">
        <v>123.42</v>
      </c>
      <c r="M1156" s="39" t="n">
        <v>87.4</v>
      </c>
      <c r="N1156" s="39" t="n">
        <f aca="false">J1156*Resumo!$C$7</f>
        <v>0.91998</v>
      </c>
      <c r="O1156" s="39" t="n">
        <f aca="false">J1156*Resumo!$C$8</f>
        <v>0.91998</v>
      </c>
      <c r="P1156" s="39" t="n">
        <f aca="false">Resumo!$C$10*CEILING(I1156/100,1)</f>
        <v>1</v>
      </c>
      <c r="Q1156" s="39" t="n">
        <f aca="false">Resumo!$C$9</f>
        <v>11.9</v>
      </c>
      <c r="R1156" s="39" t="n">
        <f aca="false">SUM(M1156:Q1156)*Resumo!$C$11</f>
        <v>5.6176978</v>
      </c>
      <c r="S1156" s="39" t="n">
        <f aca="false">SUM(M1156:R1156)</f>
        <v>107.7576578</v>
      </c>
      <c r="T1156" s="39" t="n">
        <f aca="false">S1156/(1-Resumo!$C$5)</f>
        <v>122.451883863636</v>
      </c>
      <c r="U1156" s="39" t="n">
        <v>124.38</v>
      </c>
      <c r="V1156" s="39" t="n">
        <f aca="false">J1156*Resumo!$B$6</f>
        <v>0.45999</v>
      </c>
      <c r="W1156" s="39" t="n">
        <f aca="false">J1156*Resumo!$B$7</f>
        <v>0.91998</v>
      </c>
      <c r="X1156" s="39" t="n">
        <f aca="false">Resumo!$B$9</f>
        <v>1</v>
      </c>
      <c r="Y1156" s="39" t="n">
        <f aca="false">Resumo!$B$10*CEILING(I1156/100,1)</f>
        <v>4.5</v>
      </c>
      <c r="Z1156" s="39" t="n">
        <f aca="false">Resumo!$B$12*CEILING(I1156,1)</f>
        <v>2.28</v>
      </c>
      <c r="AA1156" s="39" t="n">
        <f aca="false">Resumo!$B$13*CEILING(I1156,1)</f>
        <v>17.1</v>
      </c>
      <c r="AB1156" s="39" t="n">
        <f aca="false">SUM(U1156:AA1156)</f>
        <v>150.63997</v>
      </c>
      <c r="AC1156" s="39" t="n">
        <f aca="false">AB1156/(1-Resumo!$B$5)</f>
        <v>171.181784090909</v>
      </c>
      <c r="AD1156" s="39" t="n">
        <f aca="false">(AB1156-AA1156)/(1-Resumo!$B$5)</f>
        <v>151.749965909091</v>
      </c>
      <c r="AE1156" s="39" t="n">
        <f aca="false">AC1156-T1156</f>
        <v>48.7299002272727</v>
      </c>
      <c r="AF1156" s="40" t="n">
        <f aca="false">AC1156/T1156-1</f>
        <v>0.397951413157015</v>
      </c>
      <c r="AG1156" s="37" t="str">
        <f aca="false">IF(AC1156&lt;T1156,"SIM","NÃO")</f>
        <v>NÃO</v>
      </c>
      <c r="AH1156" s="37" t="n">
        <v>13</v>
      </c>
      <c r="AI1156" s="37" t="n">
        <v>8</v>
      </c>
      <c r="AJ1156" s="37" t="s">
        <v>323</v>
      </c>
    </row>
    <row r="1157" customFormat="false" ht="15" hidden="false" customHeight="false" outlineLevel="0" collapsed="false">
      <c r="A1157" s="37" t="n">
        <v>378104113</v>
      </c>
      <c r="B1157" s="38" t="n">
        <v>46251.7923148148</v>
      </c>
      <c r="C1157" s="37" t="s">
        <v>320</v>
      </c>
      <c r="D1157" s="37" t="s">
        <v>1416</v>
      </c>
      <c r="E1157" s="37" t="n">
        <v>21853031</v>
      </c>
      <c r="F1157" s="37" t="s">
        <v>139</v>
      </c>
      <c r="G1157" s="37" t="s">
        <v>198</v>
      </c>
      <c r="H1157" s="37" t="s">
        <v>176</v>
      </c>
      <c r="I1157" s="37" t="n">
        <v>124.2</v>
      </c>
      <c r="J1157" s="39" t="n">
        <v>1567.98</v>
      </c>
      <c r="K1157" s="37" t="s">
        <v>322</v>
      </c>
      <c r="L1157" s="39" t="n">
        <v>233.82</v>
      </c>
      <c r="M1157" s="39" t="n">
        <v>174.85</v>
      </c>
      <c r="N1157" s="39" t="n">
        <f aca="false">J1157*Resumo!$C$7</f>
        <v>3.13596</v>
      </c>
      <c r="O1157" s="39" t="n">
        <f aca="false">J1157*Resumo!$C$8</f>
        <v>3.13596</v>
      </c>
      <c r="P1157" s="39" t="n">
        <f aca="false">Resumo!$C$10*CEILING(I1157/100,1)</f>
        <v>2</v>
      </c>
      <c r="Q1157" s="39" t="n">
        <f aca="false">Resumo!$C$9</f>
        <v>11.9</v>
      </c>
      <c r="R1157" s="39" t="n">
        <f aca="false">SUM(M1157:Q1157)*Resumo!$C$11</f>
        <v>10.7262056</v>
      </c>
      <c r="S1157" s="39" t="n">
        <f aca="false">SUM(M1157:R1157)</f>
        <v>205.7481256</v>
      </c>
      <c r="T1157" s="39" t="n">
        <f aca="false">S1157/(1-Resumo!$C$5)</f>
        <v>233.804688181818</v>
      </c>
      <c r="U1157" s="39" t="n">
        <v>239.25</v>
      </c>
      <c r="V1157" s="39" t="n">
        <f aca="false">J1157*Resumo!$B$6</f>
        <v>1.56798</v>
      </c>
      <c r="W1157" s="39" t="n">
        <f aca="false">J1157*Resumo!$B$7</f>
        <v>3.13596</v>
      </c>
      <c r="X1157" s="39" t="n">
        <f aca="false">Resumo!$B$9</f>
        <v>1</v>
      </c>
      <c r="Y1157" s="39" t="n">
        <f aca="false">Resumo!$B$10*CEILING(I1157/100,1)</f>
        <v>9</v>
      </c>
      <c r="Z1157" s="39" t="n">
        <f aca="false">Resumo!$B$12*CEILING(I1157,1)</f>
        <v>7.5</v>
      </c>
      <c r="AA1157" s="39" t="n">
        <f aca="false">Resumo!$B$13*CEILING(I1157,1)</f>
        <v>56.25</v>
      </c>
      <c r="AB1157" s="39" t="n">
        <f aca="false">SUM(U1157:AA1157)</f>
        <v>317.70394</v>
      </c>
      <c r="AC1157" s="39" t="n">
        <f aca="false">AB1157/(1-Resumo!$B$5)</f>
        <v>361.027204545455</v>
      </c>
      <c r="AD1157" s="39" t="n">
        <f aca="false">(AB1157-AA1157)/(1-Resumo!$B$5)</f>
        <v>297.10675</v>
      </c>
      <c r="AE1157" s="39" t="n">
        <f aca="false">AC1157-T1157</f>
        <v>127.222516363636</v>
      </c>
      <c r="AF1157" s="40" t="n">
        <f aca="false">AC1157/T1157-1</f>
        <v>0.544140142582179</v>
      </c>
      <c r="AG1157" s="37" t="str">
        <f aca="false">IF(AC1157&lt;T1157,"SIM","NÃO")</f>
        <v>NÃO</v>
      </c>
      <c r="AH1157" s="37" t="n">
        <v>8</v>
      </c>
      <c r="AI1157" s="37" t="n">
        <v>5</v>
      </c>
      <c r="AJ1157" s="37" t="s">
        <v>323</v>
      </c>
    </row>
    <row r="1158" customFormat="false" ht="15" hidden="false" customHeight="false" outlineLevel="0" collapsed="false">
      <c r="A1158" s="37" t="n">
        <v>378105251</v>
      </c>
      <c r="B1158" s="38" t="n">
        <v>46251.794537037</v>
      </c>
      <c r="C1158" s="37" t="s">
        <v>320</v>
      </c>
      <c r="D1158" s="37" t="s">
        <v>1417</v>
      </c>
      <c r="E1158" s="37" t="n">
        <v>28949460</v>
      </c>
      <c r="F1158" s="37" t="s">
        <v>278</v>
      </c>
      <c r="G1158" s="37" t="s">
        <v>201</v>
      </c>
      <c r="H1158" s="37" t="s">
        <v>171</v>
      </c>
      <c r="I1158" s="37" t="n">
        <v>52.3</v>
      </c>
      <c r="J1158" s="39" t="n">
        <v>577.12</v>
      </c>
      <c r="K1158" s="37" t="s">
        <v>498</v>
      </c>
      <c r="L1158" s="39" t="n">
        <v>141.42</v>
      </c>
      <c r="M1158" s="39" t="n">
        <v>103.6</v>
      </c>
      <c r="N1158" s="39" t="n">
        <f aca="false">J1158*Resumo!$C$7</f>
        <v>1.15424</v>
      </c>
      <c r="O1158" s="39" t="n">
        <f aca="false">J1158*Resumo!$C$8</f>
        <v>1.15424</v>
      </c>
      <c r="P1158" s="39" t="n">
        <f aca="false">Resumo!$C$10*CEILING(I1158/100,1)</f>
        <v>1</v>
      </c>
      <c r="Q1158" s="39" t="n">
        <f aca="false">Resumo!$C$9</f>
        <v>11.9</v>
      </c>
      <c r="R1158" s="39" t="n">
        <f aca="false">SUM(M1158:Q1158)*Resumo!$C$11</f>
        <v>6.5344664</v>
      </c>
      <c r="S1158" s="39" t="n">
        <f aca="false">SUM(M1158:R1158)</f>
        <v>125.3429464</v>
      </c>
      <c r="T1158" s="39" t="n">
        <f aca="false">S1158/(1-Resumo!$C$5)</f>
        <v>142.435166363636</v>
      </c>
      <c r="U1158" s="39" t="n">
        <v>142.32</v>
      </c>
      <c r="V1158" s="39" t="n">
        <f aca="false">J1158*Resumo!$B$6</f>
        <v>0.57712</v>
      </c>
      <c r="W1158" s="39" t="n">
        <f aca="false">J1158*Resumo!$B$7</f>
        <v>1.15424</v>
      </c>
      <c r="X1158" s="39" t="n">
        <f aca="false">Resumo!$B$9</f>
        <v>1</v>
      </c>
      <c r="Y1158" s="39" t="n">
        <f aca="false">Resumo!$B$10*CEILING(I1158/100,1)</f>
        <v>4.5</v>
      </c>
      <c r="Z1158" s="39" t="n">
        <f aca="false">Resumo!$B$12*CEILING(I1158,1)</f>
        <v>3.18</v>
      </c>
      <c r="AA1158" s="39" t="n">
        <f aca="false">Resumo!$B$13*CEILING(I1158,1)</f>
        <v>23.85</v>
      </c>
      <c r="AB1158" s="39" t="n">
        <f aca="false">SUM(U1158:AA1158)</f>
        <v>176.58136</v>
      </c>
      <c r="AC1158" s="39" t="n">
        <f aca="false">AB1158/(1-Resumo!$B$5)</f>
        <v>200.660636363636</v>
      </c>
      <c r="AD1158" s="39" t="n">
        <f aca="false">(AB1158-AA1158)/(1-Resumo!$B$5)</f>
        <v>173.558363636364</v>
      </c>
      <c r="AE1158" s="39" t="n">
        <f aca="false">AC1158-T1158</f>
        <v>58.22547</v>
      </c>
      <c r="AF1158" s="40" t="n">
        <f aca="false">AC1158/T1158-1</f>
        <v>0.408785775918221</v>
      </c>
      <c r="AG1158" s="37" t="str">
        <f aca="false">IF(AC1158&lt;T1158,"SIM","NÃO")</f>
        <v>NÃO</v>
      </c>
      <c r="AH1158" s="37" t="n">
        <v>13</v>
      </c>
      <c r="AI1158" s="37" t="n">
        <v>10</v>
      </c>
      <c r="AJ1158" s="37" t="s">
        <v>327</v>
      </c>
    </row>
    <row r="1159" customFormat="false" ht="15" hidden="false" customHeight="false" outlineLevel="0" collapsed="false">
      <c r="A1159" s="37" t="n">
        <v>378110430</v>
      </c>
      <c r="B1159" s="38" t="n">
        <v>46251.8034606482</v>
      </c>
      <c r="C1159" s="37" t="s">
        <v>320</v>
      </c>
      <c r="D1159" s="37" t="s">
        <v>1418</v>
      </c>
      <c r="E1159" s="37" t="n">
        <v>27995000</v>
      </c>
      <c r="F1159" s="37"/>
      <c r="G1159" s="37" t="s">
        <v>201</v>
      </c>
      <c r="H1159" s="37" t="s">
        <v>170</v>
      </c>
      <c r="I1159" s="37" t="n">
        <v>44.6</v>
      </c>
      <c r="J1159" s="39" t="n">
        <v>579.99</v>
      </c>
      <c r="K1159" s="37" t="s">
        <v>498</v>
      </c>
      <c r="L1159" s="39" t="n">
        <v>130.67</v>
      </c>
      <c r="M1159" s="39" t="n">
        <v>94</v>
      </c>
      <c r="N1159" s="39" t="n">
        <f aca="false">J1159*Resumo!$C$7</f>
        <v>1.15998</v>
      </c>
      <c r="O1159" s="39" t="n">
        <f aca="false">J1159*Resumo!$C$8</f>
        <v>1.15998</v>
      </c>
      <c r="P1159" s="39" t="n">
        <f aca="false">Resumo!$C$10*CEILING(I1159/100,1)</f>
        <v>1</v>
      </c>
      <c r="Q1159" s="39" t="n">
        <f aca="false">Resumo!$C$9</f>
        <v>11.9</v>
      </c>
      <c r="R1159" s="39" t="n">
        <f aca="false">SUM(M1159:Q1159)*Resumo!$C$11</f>
        <v>6.0070978</v>
      </c>
      <c r="S1159" s="39" t="n">
        <f aca="false">SUM(M1159:R1159)</f>
        <v>115.2270578</v>
      </c>
      <c r="T1159" s="39" t="n">
        <f aca="false">S1159/(1-Resumo!$C$5)</f>
        <v>130.939838409091</v>
      </c>
      <c r="U1159" s="39" t="n">
        <v>152.54</v>
      </c>
      <c r="V1159" s="39" t="n">
        <f aca="false">J1159*Resumo!$B$6</f>
        <v>0.57999</v>
      </c>
      <c r="W1159" s="39" t="n">
        <f aca="false">J1159*Resumo!$B$7</f>
        <v>1.15998</v>
      </c>
      <c r="X1159" s="39" t="n">
        <f aca="false">Resumo!$B$9</f>
        <v>1</v>
      </c>
      <c r="Y1159" s="39" t="n">
        <f aca="false">Resumo!$B$10*CEILING(I1159/100,1)</f>
        <v>4.5</v>
      </c>
      <c r="Z1159" s="39" t="n">
        <f aca="false">Resumo!$B$12*CEILING(I1159,1)</f>
        <v>2.7</v>
      </c>
      <c r="AA1159" s="39" t="n">
        <f aca="false">Resumo!$B$13*CEILING(I1159,1)</f>
        <v>20.25</v>
      </c>
      <c r="AB1159" s="39" t="n">
        <f aca="false">SUM(U1159:AA1159)</f>
        <v>182.72997</v>
      </c>
      <c r="AC1159" s="39" t="n">
        <f aca="false">AB1159/(1-Resumo!$B$5)</f>
        <v>207.647693181818</v>
      </c>
      <c r="AD1159" s="39" t="n">
        <f aca="false">(AB1159-AA1159)/(1-Resumo!$B$5)</f>
        <v>184.636329545455</v>
      </c>
      <c r="AE1159" s="39" t="n">
        <f aca="false">AC1159-T1159</f>
        <v>76.7078547727273</v>
      </c>
      <c r="AF1159" s="40" t="n">
        <f aca="false">AC1159/T1159-1</f>
        <v>0.58582518280702</v>
      </c>
      <c r="AG1159" s="37" t="str">
        <f aca="false">IF(AC1159&lt;T1159,"SIM","NÃO")</f>
        <v>NÃO</v>
      </c>
      <c r="AH1159" s="37" t="n">
        <v>13</v>
      </c>
      <c r="AI1159" s="37" t="n">
        <v>11</v>
      </c>
      <c r="AJ1159" s="37" t="s">
        <v>327</v>
      </c>
    </row>
    <row r="1160" customFormat="false" ht="15" hidden="false" customHeight="false" outlineLevel="0" collapsed="false">
      <c r="A1160" s="37" t="n">
        <v>378114617</v>
      </c>
      <c r="B1160" s="38" t="n">
        <v>46251.8103587963</v>
      </c>
      <c r="C1160" s="37" t="s">
        <v>325</v>
      </c>
      <c r="D1160" s="37" t="s">
        <v>1419</v>
      </c>
      <c r="E1160" s="37" t="n">
        <v>23595200</v>
      </c>
      <c r="F1160" s="37" t="s">
        <v>139</v>
      </c>
      <c r="G1160" s="37" t="s">
        <v>198</v>
      </c>
      <c r="H1160" s="37" t="s">
        <v>169</v>
      </c>
      <c r="I1160" s="37" t="n">
        <v>37.6</v>
      </c>
      <c r="J1160" s="39" t="n">
        <v>399.59</v>
      </c>
      <c r="K1160" s="37" t="s">
        <v>498</v>
      </c>
      <c r="L1160" s="39" t="n">
        <v>92.87</v>
      </c>
      <c r="M1160" s="39" t="n">
        <v>62.05</v>
      </c>
      <c r="N1160" s="39" t="n">
        <f aca="false">J1160*Resumo!$C$7</f>
        <v>0.79918</v>
      </c>
      <c r="O1160" s="39" t="n">
        <f aca="false">J1160*Resumo!$C$8</f>
        <v>0.79918</v>
      </c>
      <c r="P1160" s="39" t="n">
        <f aca="false">Resumo!$C$10*CEILING(I1160/100,1)</f>
        <v>1</v>
      </c>
      <c r="Q1160" s="39" t="n">
        <f aca="false">Resumo!$C$9</f>
        <v>11.9</v>
      </c>
      <c r="R1160" s="39" t="n">
        <f aca="false">SUM(M1160:Q1160)*Resumo!$C$11</f>
        <v>4.2101598</v>
      </c>
      <c r="S1160" s="39" t="n">
        <f aca="false">SUM(M1160:R1160)</f>
        <v>80.7585198</v>
      </c>
      <c r="T1160" s="39" t="n">
        <f aca="false">S1160/(1-Resumo!$C$5)</f>
        <v>91.7710452272727</v>
      </c>
      <c r="U1160" s="39" t="n">
        <v>93.97</v>
      </c>
      <c r="V1160" s="39" t="n">
        <f aca="false">J1160*Resumo!$B$6</f>
        <v>0.39959</v>
      </c>
      <c r="W1160" s="39" t="n">
        <f aca="false">J1160*Resumo!$B$7</f>
        <v>0.79918</v>
      </c>
      <c r="X1160" s="39" t="n">
        <f aca="false">Resumo!$B$9</f>
        <v>1</v>
      </c>
      <c r="Y1160" s="39" t="n">
        <f aca="false">Resumo!$B$10*CEILING(I1160/100,1)</f>
        <v>4.5</v>
      </c>
      <c r="Z1160" s="39" t="n">
        <f aca="false">Resumo!$B$12*CEILING(I1160,1)</f>
        <v>2.28</v>
      </c>
      <c r="AA1160" s="39" t="n">
        <f aca="false">Resumo!$B$13*CEILING(I1160,1)</f>
        <v>17.1</v>
      </c>
      <c r="AB1160" s="39" t="n">
        <f aca="false">SUM(U1160:AA1160)</f>
        <v>120.04877</v>
      </c>
      <c r="AC1160" s="39" t="n">
        <f aca="false">AB1160/(1-Resumo!$B$5)</f>
        <v>136.419056818182</v>
      </c>
      <c r="AD1160" s="39" t="n">
        <f aca="false">(AB1160-AA1160)/(1-Resumo!$B$5)</f>
        <v>116.987238636364</v>
      </c>
      <c r="AE1160" s="39" t="n">
        <f aca="false">AC1160-T1160</f>
        <v>44.6480115909091</v>
      </c>
      <c r="AF1160" s="40" t="n">
        <f aca="false">AC1160/T1160-1</f>
        <v>0.486515234520185</v>
      </c>
      <c r="AG1160" s="37" t="str">
        <f aca="false">IF(AC1160&lt;T1160,"SIM","NÃO")</f>
        <v>NÃO</v>
      </c>
      <c r="AH1160" s="37" t="n">
        <v>8</v>
      </c>
      <c r="AI1160" s="37" t="n">
        <v>5</v>
      </c>
      <c r="AJ1160" s="37" t="s">
        <v>323</v>
      </c>
    </row>
    <row r="1161" customFormat="false" ht="15" hidden="false" customHeight="false" outlineLevel="0" collapsed="false">
      <c r="A1161" s="37" t="n">
        <v>378123047</v>
      </c>
      <c r="B1161" s="38" t="n">
        <v>46251.8245717593</v>
      </c>
      <c r="C1161" s="37" t="s">
        <v>320</v>
      </c>
      <c r="D1161" s="37" t="s">
        <v>1420</v>
      </c>
      <c r="E1161" s="37" t="n">
        <v>28634110</v>
      </c>
      <c r="F1161" s="37" t="s">
        <v>157</v>
      </c>
      <c r="G1161" s="37" t="s">
        <v>201</v>
      </c>
      <c r="H1161" s="37" t="s">
        <v>176</v>
      </c>
      <c r="I1161" s="37" t="n">
        <v>141.5</v>
      </c>
      <c r="J1161" s="39" t="n">
        <v>1599.99</v>
      </c>
      <c r="K1161" s="37" t="s">
        <v>498</v>
      </c>
      <c r="L1161" s="39" t="n">
        <v>261.94</v>
      </c>
      <c r="M1161" s="39" t="n">
        <v>197.37</v>
      </c>
      <c r="N1161" s="39" t="n">
        <f aca="false">J1161*Resumo!$C$7</f>
        <v>3.19998</v>
      </c>
      <c r="O1161" s="39" t="n">
        <f aca="false">J1161*Resumo!$C$8</f>
        <v>3.19998</v>
      </c>
      <c r="P1161" s="39" t="n">
        <f aca="false">Resumo!$C$10*CEILING(I1161/100,1)</f>
        <v>2</v>
      </c>
      <c r="Q1161" s="39" t="n">
        <f aca="false">Resumo!$C$9</f>
        <v>11.9</v>
      </c>
      <c r="R1161" s="39" t="n">
        <f aca="false">SUM(M1161:Q1161)*Resumo!$C$11</f>
        <v>11.9718478</v>
      </c>
      <c r="S1161" s="39" t="n">
        <f aca="false">SUM(M1161:R1161)</f>
        <v>229.6418078</v>
      </c>
      <c r="T1161" s="39" t="n">
        <f aca="false">S1161/(1-Resumo!$C$5)</f>
        <v>260.956599772727</v>
      </c>
      <c r="U1161" s="39" t="n">
        <v>264.84</v>
      </c>
      <c r="V1161" s="39" t="n">
        <f aca="false">J1161*Resumo!$B$6</f>
        <v>1.59999</v>
      </c>
      <c r="W1161" s="39" t="n">
        <f aca="false">J1161*Resumo!$B$7</f>
        <v>3.19998</v>
      </c>
      <c r="X1161" s="39" t="n">
        <f aca="false">Resumo!$B$9</f>
        <v>1</v>
      </c>
      <c r="Y1161" s="39" t="n">
        <f aca="false">Resumo!$B$10*CEILING(I1161/100,1)</f>
        <v>9</v>
      </c>
      <c r="Z1161" s="39" t="n">
        <f aca="false">Resumo!$B$12*CEILING(I1161,1)</f>
        <v>8.52</v>
      </c>
      <c r="AA1161" s="39" t="n">
        <f aca="false">Resumo!$B$13*CEILING(I1161,1)</f>
        <v>63.9</v>
      </c>
      <c r="AB1161" s="39" t="n">
        <f aca="false">SUM(U1161:AA1161)</f>
        <v>352.05997</v>
      </c>
      <c r="AC1161" s="39" t="n">
        <f aca="false">AB1161/(1-Resumo!$B$5)</f>
        <v>400.068147727273</v>
      </c>
      <c r="AD1161" s="39" t="n">
        <f aca="false">(AB1161-AA1161)/(1-Resumo!$B$5)</f>
        <v>327.454511363636</v>
      </c>
      <c r="AE1161" s="39" t="n">
        <f aca="false">AC1161-T1161</f>
        <v>139.111547954545</v>
      </c>
      <c r="AF1161" s="40" t="n">
        <f aca="false">AC1161/T1161-1</f>
        <v>0.53308308000526</v>
      </c>
      <c r="AG1161" s="37" t="str">
        <f aca="false">IF(AC1161&lt;T1161,"SIM","NÃO")</f>
        <v>NÃO</v>
      </c>
      <c r="AH1161" s="37" t="n">
        <v>13</v>
      </c>
      <c r="AI1161" s="37" t="n">
        <v>10</v>
      </c>
      <c r="AJ1161" s="37" t="s">
        <v>323</v>
      </c>
    </row>
    <row r="1162" customFormat="false" ht="15" hidden="false" customHeight="false" outlineLevel="0" collapsed="false">
      <c r="A1162" s="37" t="n">
        <v>378135699</v>
      </c>
      <c r="B1162" s="38" t="n">
        <v>46251.8458101852</v>
      </c>
      <c r="C1162" s="37" t="s">
        <v>325</v>
      </c>
      <c r="D1162" s="37" t="s">
        <v>1421</v>
      </c>
      <c r="E1162" s="37" t="n">
        <v>24751000</v>
      </c>
      <c r="F1162" s="37" t="s">
        <v>140</v>
      </c>
      <c r="G1162" s="37" t="s">
        <v>207</v>
      </c>
      <c r="H1162" s="37" t="s">
        <v>171</v>
      </c>
      <c r="I1162" s="37" t="n">
        <v>52.3</v>
      </c>
      <c r="J1162" s="39" t="n">
        <v>637.3</v>
      </c>
      <c r="K1162" s="37" t="s">
        <v>498</v>
      </c>
      <c r="L1162" s="39" t="n">
        <v>127.4</v>
      </c>
      <c r="M1162" s="39" t="n">
        <v>91.6</v>
      </c>
      <c r="N1162" s="39" t="n">
        <f aca="false">J1162*Resumo!$C$7</f>
        <v>1.2746</v>
      </c>
      <c r="O1162" s="39" t="n">
        <f aca="false">J1162*Resumo!$C$8</f>
        <v>1.2746</v>
      </c>
      <c r="P1162" s="39" t="n">
        <f aca="false">Resumo!$C$10*CEILING(I1162/100,1)</f>
        <v>1</v>
      </c>
      <c r="Q1162" s="39" t="n">
        <f aca="false">Resumo!$C$9</f>
        <v>11.9</v>
      </c>
      <c r="R1162" s="39" t="n">
        <f aca="false">SUM(M1162:Q1162)*Resumo!$C$11</f>
        <v>5.887706</v>
      </c>
      <c r="S1162" s="39" t="n">
        <f aca="false">SUM(M1162:R1162)</f>
        <v>112.936906</v>
      </c>
      <c r="T1162" s="39" t="n">
        <f aca="false">S1162/(1-Resumo!$C$5)</f>
        <v>128.337393181818</v>
      </c>
      <c r="U1162" s="39" t="n">
        <v>128.14</v>
      </c>
      <c r="V1162" s="39" t="n">
        <f aca="false">J1162*Resumo!$B$6</f>
        <v>0.6373</v>
      </c>
      <c r="W1162" s="39" t="n">
        <f aca="false">J1162*Resumo!$B$7</f>
        <v>1.2746</v>
      </c>
      <c r="X1162" s="39" t="n">
        <f aca="false">Resumo!$B$9</f>
        <v>1</v>
      </c>
      <c r="Y1162" s="39" t="n">
        <f aca="false">Resumo!$B$10*CEILING(I1162/100,1)</f>
        <v>4.5</v>
      </c>
      <c r="Z1162" s="39" t="n">
        <f aca="false">Resumo!$B$12*CEILING(I1162,1)</f>
        <v>3.18</v>
      </c>
      <c r="AA1162" s="39" t="n">
        <f aca="false">Resumo!$B$13*CEILING(I1162,1)</f>
        <v>23.85</v>
      </c>
      <c r="AB1162" s="39" t="n">
        <f aca="false">SUM(U1162:AA1162)</f>
        <v>162.5819</v>
      </c>
      <c r="AC1162" s="39" t="n">
        <f aca="false">AB1162/(1-Resumo!$B$5)</f>
        <v>184.752159090909</v>
      </c>
      <c r="AD1162" s="39" t="n">
        <f aca="false">(AB1162-AA1162)/(1-Resumo!$B$5)</f>
        <v>157.649886363636</v>
      </c>
      <c r="AE1162" s="39" t="n">
        <f aca="false">AC1162-T1162</f>
        <v>56.4147659090909</v>
      </c>
      <c r="AF1162" s="40" t="n">
        <f aca="false">AC1162/T1162-1</f>
        <v>0.439581672265752</v>
      </c>
      <c r="AG1162" s="37" t="str">
        <f aca="false">IF(AC1162&lt;T1162,"SIM","NÃO")</f>
        <v>NÃO</v>
      </c>
      <c r="AH1162" s="37" t="n">
        <v>10</v>
      </c>
      <c r="AI1162" s="37" t="n">
        <v>7</v>
      </c>
      <c r="AJ1162" s="37" t="s">
        <v>323</v>
      </c>
    </row>
    <row r="1163" customFormat="false" ht="15" hidden="false" customHeight="false" outlineLevel="0" collapsed="false">
      <c r="A1163" s="37" t="n">
        <v>378145147</v>
      </c>
      <c r="B1163" s="38" t="n">
        <v>46251.8638541667</v>
      </c>
      <c r="C1163" s="37" t="s">
        <v>320</v>
      </c>
      <c r="D1163" s="37" t="s">
        <v>1422</v>
      </c>
      <c r="E1163" s="37" t="n">
        <v>27240559</v>
      </c>
      <c r="F1163" s="37" t="s">
        <v>148</v>
      </c>
      <c r="G1163" s="37" t="s">
        <v>201</v>
      </c>
      <c r="H1163" s="37" t="s">
        <v>171</v>
      </c>
      <c r="I1163" s="37" t="n">
        <v>51.3</v>
      </c>
      <c r="J1163" s="39" t="n">
        <v>649.99</v>
      </c>
      <c r="K1163" s="37" t="s">
        <v>498</v>
      </c>
      <c r="L1163" s="39" t="n">
        <v>141.25</v>
      </c>
      <c r="M1163" s="39" t="n">
        <v>103.6</v>
      </c>
      <c r="N1163" s="39" t="n">
        <f aca="false">J1163*Resumo!$C$7</f>
        <v>1.29998</v>
      </c>
      <c r="O1163" s="39" t="n">
        <f aca="false">J1163*Resumo!$C$8</f>
        <v>1.29998</v>
      </c>
      <c r="P1163" s="39" t="n">
        <f aca="false">Resumo!$C$10*CEILING(I1163/100,1)</f>
        <v>1</v>
      </c>
      <c r="Q1163" s="39" t="n">
        <f aca="false">Resumo!$C$9</f>
        <v>11.9</v>
      </c>
      <c r="R1163" s="39" t="n">
        <f aca="false">SUM(M1163:Q1163)*Resumo!$C$11</f>
        <v>6.5504978</v>
      </c>
      <c r="S1163" s="39" t="n">
        <f aca="false">SUM(M1163:R1163)</f>
        <v>125.6504578</v>
      </c>
      <c r="T1163" s="39" t="n">
        <f aca="false">S1163/(1-Resumo!$C$5)</f>
        <v>142.784611136364</v>
      </c>
      <c r="U1163" s="39" t="n">
        <v>142.32</v>
      </c>
      <c r="V1163" s="39" t="n">
        <f aca="false">J1163*Resumo!$B$6</f>
        <v>0.64999</v>
      </c>
      <c r="W1163" s="39" t="n">
        <f aca="false">J1163*Resumo!$B$7</f>
        <v>1.29998</v>
      </c>
      <c r="X1163" s="39" t="n">
        <f aca="false">Resumo!$B$9</f>
        <v>1</v>
      </c>
      <c r="Y1163" s="39" t="n">
        <f aca="false">Resumo!$B$10*CEILING(I1163/100,1)</f>
        <v>4.5</v>
      </c>
      <c r="Z1163" s="39" t="n">
        <f aca="false">Resumo!$B$12*CEILING(I1163,1)</f>
        <v>3.12</v>
      </c>
      <c r="AA1163" s="39" t="n">
        <f aca="false">Resumo!$B$13*CEILING(I1163,1)</f>
        <v>23.4</v>
      </c>
      <c r="AB1163" s="39" t="n">
        <f aca="false">SUM(U1163:AA1163)</f>
        <v>176.28997</v>
      </c>
      <c r="AC1163" s="39" t="n">
        <f aca="false">AB1163/(1-Resumo!$B$5)</f>
        <v>200.329511363636</v>
      </c>
      <c r="AD1163" s="39" t="n">
        <f aca="false">(AB1163-AA1163)/(1-Resumo!$B$5)</f>
        <v>173.738602272727</v>
      </c>
      <c r="AE1163" s="39" t="n">
        <f aca="false">AC1163-T1163</f>
        <v>57.5449002272728</v>
      </c>
      <c r="AF1163" s="40" t="n">
        <f aca="false">AC1163/T1163-1</f>
        <v>0.403018923182945</v>
      </c>
      <c r="AG1163" s="37" t="str">
        <f aca="false">IF(AC1163&lt;T1163,"SIM","NÃO")</f>
        <v>NÃO</v>
      </c>
      <c r="AH1163" s="37" t="n">
        <v>13</v>
      </c>
      <c r="AI1163" s="37" t="n">
        <v>10</v>
      </c>
      <c r="AJ1163" s="37" t="s">
        <v>323</v>
      </c>
    </row>
    <row r="1164" customFormat="false" ht="15" hidden="false" customHeight="false" outlineLevel="0" collapsed="false">
      <c r="A1164" s="37" t="n">
        <v>378146674</v>
      </c>
      <c r="B1164" s="38" t="n">
        <v>46251.8667939815</v>
      </c>
      <c r="C1164" s="37" t="s">
        <v>320</v>
      </c>
      <c r="D1164" s="37" t="s">
        <v>1423</v>
      </c>
      <c r="E1164" s="37" t="n">
        <v>24934275</v>
      </c>
      <c r="F1164" s="37" t="s">
        <v>151</v>
      </c>
      <c r="G1164" s="37" t="s">
        <v>201</v>
      </c>
      <c r="H1164" s="37" t="s">
        <v>171</v>
      </c>
      <c r="I1164" s="37" t="n">
        <v>52.3</v>
      </c>
      <c r="J1164" s="39" t="n">
        <v>699.99</v>
      </c>
      <c r="K1164" s="37" t="s">
        <v>498</v>
      </c>
      <c r="L1164" s="39" t="n">
        <v>142.01</v>
      </c>
      <c r="M1164" s="39" t="n">
        <v>103.6</v>
      </c>
      <c r="N1164" s="39" t="n">
        <f aca="false">J1164*Resumo!$C$7</f>
        <v>1.39998</v>
      </c>
      <c r="O1164" s="39" t="n">
        <f aca="false">J1164*Resumo!$C$8</f>
        <v>1.39998</v>
      </c>
      <c r="P1164" s="39" t="n">
        <f aca="false">Resumo!$C$10*CEILING(I1164/100,1)</f>
        <v>1</v>
      </c>
      <c r="Q1164" s="39" t="n">
        <f aca="false">Resumo!$C$9</f>
        <v>11.9</v>
      </c>
      <c r="R1164" s="39" t="n">
        <f aca="false">SUM(M1164:Q1164)*Resumo!$C$11</f>
        <v>6.5614978</v>
      </c>
      <c r="S1164" s="39" t="n">
        <f aca="false">SUM(M1164:R1164)</f>
        <v>125.8614578</v>
      </c>
      <c r="T1164" s="39" t="n">
        <f aca="false">S1164/(1-Resumo!$C$5)</f>
        <v>143.024383863636</v>
      </c>
      <c r="U1164" s="39" t="n">
        <v>128.14</v>
      </c>
      <c r="V1164" s="39" t="n">
        <f aca="false">J1164*Resumo!$B$6</f>
        <v>0.69999</v>
      </c>
      <c r="W1164" s="39" t="n">
        <f aca="false">J1164*Resumo!$B$7</f>
        <v>1.39998</v>
      </c>
      <c r="X1164" s="39" t="n">
        <f aca="false">Resumo!$B$9</f>
        <v>1</v>
      </c>
      <c r="Y1164" s="39" t="n">
        <f aca="false">Resumo!$B$10*CEILING(I1164/100,1)</f>
        <v>4.5</v>
      </c>
      <c r="Z1164" s="39" t="n">
        <f aca="false">Resumo!$B$12*CEILING(I1164,1)</f>
        <v>3.18</v>
      </c>
      <c r="AA1164" s="39" t="n">
        <f aca="false">Resumo!$B$13*CEILING(I1164,1)</f>
        <v>23.85</v>
      </c>
      <c r="AB1164" s="39" t="n">
        <f aca="false">SUM(U1164:AA1164)</f>
        <v>162.76997</v>
      </c>
      <c r="AC1164" s="39" t="n">
        <f aca="false">AB1164/(1-Resumo!$B$5)</f>
        <v>184.965875</v>
      </c>
      <c r="AD1164" s="39" t="n">
        <f aca="false">(AB1164-AA1164)/(1-Resumo!$B$5)</f>
        <v>157.863602272727</v>
      </c>
      <c r="AE1164" s="39" t="n">
        <f aca="false">AC1164-T1164</f>
        <v>41.9414911363636</v>
      </c>
      <c r="AF1164" s="40" t="n">
        <f aca="false">AC1164/T1164-1</f>
        <v>0.293247137329757</v>
      </c>
      <c r="AG1164" s="37" t="str">
        <f aca="false">IF(AC1164&lt;T1164,"SIM","NÃO")</f>
        <v>NÃO</v>
      </c>
      <c r="AH1164" s="37" t="n">
        <v>13</v>
      </c>
      <c r="AI1164" s="37" t="n">
        <v>7</v>
      </c>
      <c r="AJ1164" s="37" t="s">
        <v>323</v>
      </c>
    </row>
    <row r="1165" customFormat="false" ht="15" hidden="false" customHeight="false" outlineLevel="0" collapsed="false">
      <c r="A1165" s="37" t="n">
        <v>378153112</v>
      </c>
      <c r="B1165" s="38" t="n">
        <v>46251.8783564815</v>
      </c>
      <c r="C1165" s="37" t="s">
        <v>320</v>
      </c>
      <c r="D1165" s="37" t="s">
        <v>1424</v>
      </c>
      <c r="E1165" s="37" t="n">
        <v>21875240</v>
      </c>
      <c r="F1165" s="37" t="s">
        <v>139</v>
      </c>
      <c r="G1165" s="37" t="s">
        <v>198</v>
      </c>
      <c r="H1165" s="37" t="s">
        <v>170</v>
      </c>
      <c r="I1165" s="37" t="n">
        <v>46.8</v>
      </c>
      <c r="J1165" s="39" t="n">
        <v>506.56</v>
      </c>
      <c r="K1165" s="37" t="s">
        <v>322</v>
      </c>
      <c r="L1165" s="39" t="n">
        <v>103.01</v>
      </c>
      <c r="M1165" s="39" t="n">
        <v>71</v>
      </c>
      <c r="N1165" s="39" t="n">
        <f aca="false">J1165*Resumo!$C$7</f>
        <v>1.01312</v>
      </c>
      <c r="O1165" s="39" t="n">
        <f aca="false">J1165*Resumo!$C$8</f>
        <v>1.01312</v>
      </c>
      <c r="P1165" s="39" t="n">
        <f aca="false">Resumo!$C$10*CEILING(I1165/100,1)</f>
        <v>1</v>
      </c>
      <c r="Q1165" s="39" t="n">
        <f aca="false">Resumo!$C$9</f>
        <v>11.9</v>
      </c>
      <c r="R1165" s="39" t="n">
        <f aca="false">SUM(M1165:Q1165)*Resumo!$C$11</f>
        <v>4.7259432</v>
      </c>
      <c r="S1165" s="39" t="n">
        <f aca="false">SUM(M1165:R1165)</f>
        <v>90.6521832</v>
      </c>
      <c r="T1165" s="39" t="n">
        <f aca="false">S1165/(1-Resumo!$C$5)</f>
        <v>103.013844545455</v>
      </c>
      <c r="U1165" s="39" t="n">
        <v>93.97</v>
      </c>
      <c r="V1165" s="39" t="n">
        <f aca="false">J1165*Resumo!$B$6</f>
        <v>0.50656</v>
      </c>
      <c r="W1165" s="39" t="n">
        <f aca="false">J1165*Resumo!$B$7</f>
        <v>1.01312</v>
      </c>
      <c r="X1165" s="39" t="n">
        <f aca="false">Resumo!$B$9</f>
        <v>1</v>
      </c>
      <c r="Y1165" s="39" t="n">
        <f aca="false">Resumo!$B$10*CEILING(I1165/100,1)</f>
        <v>4.5</v>
      </c>
      <c r="Z1165" s="39" t="n">
        <f aca="false">Resumo!$B$12*CEILING(I1165,1)</f>
        <v>2.82</v>
      </c>
      <c r="AA1165" s="39" t="n">
        <f aca="false">Resumo!$B$13*CEILING(I1165,1)</f>
        <v>21.15</v>
      </c>
      <c r="AB1165" s="39" t="n">
        <f aca="false">SUM(U1165:AA1165)</f>
        <v>124.95968</v>
      </c>
      <c r="AC1165" s="39" t="n">
        <f aca="false">AB1165/(1-Resumo!$B$5)</f>
        <v>141.999636363636</v>
      </c>
      <c r="AD1165" s="39" t="n">
        <f aca="false">(AB1165-AA1165)/(1-Resumo!$B$5)</f>
        <v>117.965545454545</v>
      </c>
      <c r="AE1165" s="39" t="n">
        <f aca="false">AC1165-T1165</f>
        <v>38.9857918181818</v>
      </c>
      <c r="AF1165" s="40" t="n">
        <f aca="false">AC1165/T1165-1</f>
        <v>0.378451964298638</v>
      </c>
      <c r="AG1165" s="37" t="str">
        <f aca="false">IF(AC1165&lt;T1165,"SIM","NÃO")</f>
        <v>NÃO</v>
      </c>
      <c r="AH1165" s="37" t="n">
        <v>8</v>
      </c>
      <c r="AI1165" s="37" t="n">
        <v>5</v>
      </c>
      <c r="AJ1165" s="37" t="s">
        <v>323</v>
      </c>
    </row>
    <row r="1166" customFormat="false" ht="15" hidden="false" customHeight="false" outlineLevel="0" collapsed="false">
      <c r="A1166" s="37" t="n">
        <v>378155516</v>
      </c>
      <c r="B1166" s="38" t="n">
        <v>46251.8824652778</v>
      </c>
      <c r="C1166" s="37" t="s">
        <v>320</v>
      </c>
      <c r="D1166" s="37" t="s">
        <v>1425</v>
      </c>
      <c r="E1166" s="37" t="n">
        <v>25268376</v>
      </c>
      <c r="F1166" s="37" t="s">
        <v>141</v>
      </c>
      <c r="G1166" s="37" t="s">
        <v>207</v>
      </c>
      <c r="H1166" s="37" t="s">
        <v>172</v>
      </c>
      <c r="I1166" s="37" t="n">
        <v>66.8</v>
      </c>
      <c r="J1166" s="39" t="n">
        <v>719.99</v>
      </c>
      <c r="K1166" s="37" t="s">
        <v>322</v>
      </c>
      <c r="L1166" s="39" t="n">
        <v>139.89</v>
      </c>
      <c r="M1166" s="39" t="n">
        <v>100.9</v>
      </c>
      <c r="N1166" s="39" t="n">
        <f aca="false">J1166*Resumo!$C$7</f>
        <v>1.43998</v>
      </c>
      <c r="O1166" s="39" t="n">
        <f aca="false">J1166*Resumo!$C$8</f>
        <v>1.43998</v>
      </c>
      <c r="P1166" s="39" t="n">
        <f aca="false">Resumo!$C$10*CEILING(I1166/100,1)</f>
        <v>1</v>
      </c>
      <c r="Q1166" s="39" t="n">
        <f aca="false">Resumo!$C$9</f>
        <v>11.9</v>
      </c>
      <c r="R1166" s="39" t="n">
        <f aca="false">SUM(M1166:Q1166)*Resumo!$C$11</f>
        <v>6.4173978</v>
      </c>
      <c r="S1166" s="39" t="n">
        <f aca="false">SUM(M1166:R1166)</f>
        <v>123.0973578</v>
      </c>
      <c r="T1166" s="39" t="n">
        <f aca="false">S1166/(1-Resumo!$C$5)</f>
        <v>139.883361136364</v>
      </c>
      <c r="U1166" s="39" t="n">
        <v>131.02</v>
      </c>
      <c r="V1166" s="39" t="n">
        <f aca="false">J1166*Resumo!$B$6</f>
        <v>0.71999</v>
      </c>
      <c r="W1166" s="39" t="n">
        <f aca="false">J1166*Resumo!$B$7</f>
        <v>1.43998</v>
      </c>
      <c r="X1166" s="39" t="n">
        <f aca="false">Resumo!$B$9</f>
        <v>1</v>
      </c>
      <c r="Y1166" s="39" t="n">
        <f aca="false">Resumo!$B$10*CEILING(I1166/100,1)</f>
        <v>4.5</v>
      </c>
      <c r="Z1166" s="39" t="n">
        <f aca="false">Resumo!$B$12*CEILING(I1166,1)</f>
        <v>4.02</v>
      </c>
      <c r="AA1166" s="39" t="n">
        <f aca="false">Resumo!$B$13*CEILING(I1166,1)</f>
        <v>30.15</v>
      </c>
      <c r="AB1166" s="39" t="n">
        <f aca="false">SUM(U1166:AA1166)</f>
        <v>172.84997</v>
      </c>
      <c r="AC1166" s="39" t="n">
        <f aca="false">AB1166/(1-Resumo!$B$5)</f>
        <v>196.420420454545</v>
      </c>
      <c r="AD1166" s="39" t="n">
        <f aca="false">(AB1166-AA1166)/(1-Resumo!$B$5)</f>
        <v>162.159056818182</v>
      </c>
      <c r="AE1166" s="39" t="n">
        <f aca="false">AC1166-T1166</f>
        <v>56.5370593181818</v>
      </c>
      <c r="AF1166" s="40" t="n">
        <f aca="false">AC1166/T1166-1</f>
        <v>0.404172868444785</v>
      </c>
      <c r="AG1166" s="37" t="str">
        <f aca="false">IF(AC1166&lt;T1166,"SIM","NÃO")</f>
        <v>NÃO</v>
      </c>
      <c r="AH1166" s="37" t="n">
        <v>10</v>
      </c>
      <c r="AI1166" s="37" t="n">
        <v>5</v>
      </c>
      <c r="AJ1166" s="37" t="s">
        <v>323</v>
      </c>
    </row>
    <row r="1167" customFormat="false" ht="15" hidden="false" customHeight="false" outlineLevel="0" collapsed="false">
      <c r="A1167" s="37" t="n">
        <v>378156146</v>
      </c>
      <c r="B1167" s="38" t="n">
        <v>46251.8836111111</v>
      </c>
      <c r="C1167" s="37" t="s">
        <v>320</v>
      </c>
      <c r="D1167" s="37" t="s">
        <v>1426</v>
      </c>
      <c r="E1167" s="37" t="n">
        <v>25268370</v>
      </c>
      <c r="F1167" s="37" t="s">
        <v>141</v>
      </c>
      <c r="G1167" s="37" t="s">
        <v>207</v>
      </c>
      <c r="H1167" s="37" t="s">
        <v>171</v>
      </c>
      <c r="I1167" s="37" t="n">
        <v>56.7</v>
      </c>
      <c r="J1167" s="39" t="n">
        <v>673.1</v>
      </c>
      <c r="K1167" s="37" t="s">
        <v>322</v>
      </c>
      <c r="L1167" s="39" t="n">
        <v>128.52</v>
      </c>
      <c r="M1167" s="39" t="n">
        <v>91.6</v>
      </c>
      <c r="N1167" s="39" t="n">
        <f aca="false">J1167*Resumo!$C$7</f>
        <v>1.3462</v>
      </c>
      <c r="O1167" s="39" t="n">
        <f aca="false">J1167*Resumo!$C$8</f>
        <v>1.3462</v>
      </c>
      <c r="P1167" s="39" t="n">
        <f aca="false">Resumo!$C$10*CEILING(I1167/100,1)</f>
        <v>1</v>
      </c>
      <c r="Q1167" s="39" t="n">
        <f aca="false">Resumo!$C$9</f>
        <v>11.9</v>
      </c>
      <c r="R1167" s="39" t="n">
        <f aca="false">SUM(M1167:Q1167)*Resumo!$C$11</f>
        <v>5.895582</v>
      </c>
      <c r="S1167" s="39" t="n">
        <f aca="false">SUM(M1167:R1167)</f>
        <v>113.087982</v>
      </c>
      <c r="T1167" s="39" t="n">
        <f aca="false">S1167/(1-Resumo!$C$5)</f>
        <v>128.509070454545</v>
      </c>
      <c r="U1167" s="39" t="n">
        <v>112.3</v>
      </c>
      <c r="V1167" s="39" t="n">
        <f aca="false">J1167*Resumo!$B$6</f>
        <v>0.6731</v>
      </c>
      <c r="W1167" s="39" t="n">
        <f aca="false">J1167*Resumo!$B$7</f>
        <v>1.3462</v>
      </c>
      <c r="X1167" s="39" t="n">
        <f aca="false">Resumo!$B$9</f>
        <v>1</v>
      </c>
      <c r="Y1167" s="39" t="n">
        <f aca="false">Resumo!$B$10*CEILING(I1167/100,1)</f>
        <v>4.5</v>
      </c>
      <c r="Z1167" s="39" t="n">
        <f aca="false">Resumo!$B$12*CEILING(I1167,1)</f>
        <v>3.42</v>
      </c>
      <c r="AA1167" s="39" t="n">
        <f aca="false">Resumo!$B$13*CEILING(I1167,1)</f>
        <v>25.65</v>
      </c>
      <c r="AB1167" s="39" t="n">
        <f aca="false">SUM(U1167:AA1167)</f>
        <v>148.8893</v>
      </c>
      <c r="AC1167" s="39" t="n">
        <f aca="false">AB1167/(1-Resumo!$B$5)</f>
        <v>169.192386363636</v>
      </c>
      <c r="AD1167" s="39" t="n">
        <f aca="false">(AB1167-AA1167)/(1-Resumo!$B$5)</f>
        <v>140.044659090909</v>
      </c>
      <c r="AE1167" s="39" t="n">
        <f aca="false">AC1167-T1167</f>
        <v>40.6833159090909</v>
      </c>
      <c r="AF1167" s="40" t="n">
        <f aca="false">AC1167/T1167-1</f>
        <v>0.316579333779252</v>
      </c>
      <c r="AG1167" s="37" t="str">
        <f aca="false">IF(AC1167&lt;T1167,"SIM","NÃO")</f>
        <v>NÃO</v>
      </c>
      <c r="AH1167" s="37" t="n">
        <v>10</v>
      </c>
      <c r="AI1167" s="37" t="n">
        <v>5</v>
      </c>
      <c r="AJ1167" s="37" t="s">
        <v>323</v>
      </c>
    </row>
    <row r="1168" customFormat="false" ht="15" hidden="false" customHeight="false" outlineLevel="0" collapsed="false">
      <c r="A1168" s="37" t="n">
        <v>378178860</v>
      </c>
      <c r="B1168" s="38" t="n">
        <v>46251.9265277778</v>
      </c>
      <c r="C1168" s="37" t="s">
        <v>325</v>
      </c>
      <c r="D1168" s="37" t="s">
        <v>1427</v>
      </c>
      <c r="E1168" s="37" t="n">
        <v>22451264</v>
      </c>
      <c r="F1168" s="37" t="s">
        <v>139</v>
      </c>
      <c r="G1168" s="37" t="s">
        <v>198</v>
      </c>
      <c r="H1168" s="37" t="s">
        <v>172</v>
      </c>
      <c r="I1168" s="37" t="n">
        <v>66.8</v>
      </c>
      <c r="J1168" s="39" t="n">
        <v>592</v>
      </c>
      <c r="K1168" s="37" t="s">
        <v>498</v>
      </c>
      <c r="L1168" s="39" t="n">
        <v>125.5</v>
      </c>
      <c r="M1168" s="39" t="n">
        <v>88.2</v>
      </c>
      <c r="N1168" s="39" t="n">
        <f aca="false">J1168*Resumo!$C$7</f>
        <v>1.184</v>
      </c>
      <c r="O1168" s="39" t="n">
        <f aca="false">J1168*Resumo!$C$8</f>
        <v>1.184</v>
      </c>
      <c r="P1168" s="39" t="n">
        <f aca="false">Resumo!$C$10*CEILING(I1168/100,1)</f>
        <v>1</v>
      </c>
      <c r="Q1168" s="39" t="n">
        <f aca="false">Resumo!$C$9</f>
        <v>11.9</v>
      </c>
      <c r="R1168" s="39" t="n">
        <f aca="false">SUM(M1168:Q1168)*Resumo!$C$11</f>
        <v>5.69074</v>
      </c>
      <c r="S1168" s="39" t="n">
        <f aca="false">SUM(M1168:R1168)</f>
        <v>109.15874</v>
      </c>
      <c r="T1168" s="39" t="n">
        <f aca="false">S1168/(1-Resumo!$C$5)</f>
        <v>124.044022727273</v>
      </c>
      <c r="U1168" s="39" t="n">
        <v>131.02</v>
      </c>
      <c r="V1168" s="39" t="n">
        <f aca="false">J1168*Resumo!$B$6</f>
        <v>0.592</v>
      </c>
      <c r="W1168" s="39" t="n">
        <f aca="false">J1168*Resumo!$B$7</f>
        <v>1.184</v>
      </c>
      <c r="X1168" s="39" t="n">
        <f aca="false">Resumo!$B$9</f>
        <v>1</v>
      </c>
      <c r="Y1168" s="39" t="n">
        <f aca="false">Resumo!$B$10*CEILING(I1168/100,1)</f>
        <v>4.5</v>
      </c>
      <c r="Z1168" s="39" t="n">
        <f aca="false">Resumo!$B$12*CEILING(I1168,1)</f>
        <v>4.02</v>
      </c>
      <c r="AA1168" s="39" t="n">
        <f aca="false">Resumo!$B$13*CEILING(I1168,1)</f>
        <v>30.15</v>
      </c>
      <c r="AB1168" s="39" t="n">
        <f aca="false">SUM(U1168:AA1168)</f>
        <v>172.466</v>
      </c>
      <c r="AC1168" s="39" t="n">
        <f aca="false">AB1168/(1-Resumo!$B$5)</f>
        <v>195.984090909091</v>
      </c>
      <c r="AD1168" s="39" t="n">
        <f aca="false">(AB1168-AA1168)/(1-Resumo!$B$5)</f>
        <v>161.722727272727</v>
      </c>
      <c r="AE1168" s="39" t="n">
        <f aca="false">AC1168-T1168</f>
        <v>71.9400681818182</v>
      </c>
      <c r="AF1168" s="40" t="n">
        <f aca="false">AC1168/T1168-1</f>
        <v>0.579955943060537</v>
      </c>
      <c r="AG1168" s="37" t="str">
        <f aca="false">IF(AC1168&lt;T1168,"SIM","NÃO")</f>
        <v>NÃO</v>
      </c>
      <c r="AH1168" s="37" t="n">
        <v>8</v>
      </c>
      <c r="AI1168" s="37" t="n">
        <v>5</v>
      </c>
      <c r="AJ1168" s="37" t="s">
        <v>323</v>
      </c>
    </row>
    <row r="1169" customFormat="false" ht="15" hidden="false" customHeight="false" outlineLevel="0" collapsed="false">
      <c r="A1169" s="37" t="n">
        <v>378188496</v>
      </c>
      <c r="B1169" s="38" t="n">
        <v>46251.9455208333</v>
      </c>
      <c r="C1169" s="37" t="s">
        <v>325</v>
      </c>
      <c r="D1169" s="37" t="s">
        <v>1428</v>
      </c>
      <c r="E1169" s="37" t="n">
        <v>21720140</v>
      </c>
      <c r="F1169" s="37" t="s">
        <v>139</v>
      </c>
      <c r="G1169" s="37" t="s">
        <v>198</v>
      </c>
      <c r="H1169" s="37" t="s">
        <v>176</v>
      </c>
      <c r="I1169" s="37" t="n">
        <v>134.4</v>
      </c>
      <c r="J1169" s="39" t="n">
        <v>1632.55</v>
      </c>
      <c r="K1169" s="37" t="s">
        <v>322</v>
      </c>
      <c r="L1169" s="39" t="n">
        <v>234.13</v>
      </c>
      <c r="M1169" s="39" t="n">
        <v>174.85</v>
      </c>
      <c r="N1169" s="39" t="n">
        <f aca="false">J1169*Resumo!$C$7</f>
        <v>3.2651</v>
      </c>
      <c r="O1169" s="39" t="n">
        <f aca="false">J1169*Resumo!$C$8</f>
        <v>3.2651</v>
      </c>
      <c r="P1169" s="39" t="n">
        <f aca="false">Resumo!$C$10*CEILING(I1169/100,1)</f>
        <v>2</v>
      </c>
      <c r="Q1169" s="39" t="n">
        <f aca="false">Resumo!$C$9</f>
        <v>11.9</v>
      </c>
      <c r="R1169" s="39" t="n">
        <f aca="false">SUM(M1169:Q1169)*Resumo!$C$11</f>
        <v>10.740411</v>
      </c>
      <c r="S1169" s="39" t="n">
        <f aca="false">SUM(M1169:R1169)</f>
        <v>206.020611</v>
      </c>
      <c r="T1169" s="39" t="n">
        <f aca="false">S1169/(1-Resumo!$C$5)</f>
        <v>234.114330681818</v>
      </c>
      <c r="U1169" s="39" t="n">
        <v>239.25</v>
      </c>
      <c r="V1169" s="39" t="n">
        <f aca="false">J1169*Resumo!$B$6</f>
        <v>1.63255</v>
      </c>
      <c r="W1169" s="39" t="n">
        <f aca="false">J1169*Resumo!$B$7</f>
        <v>3.2651</v>
      </c>
      <c r="X1169" s="39" t="n">
        <f aca="false">Resumo!$B$9</f>
        <v>1</v>
      </c>
      <c r="Y1169" s="39" t="n">
        <f aca="false">Resumo!$B$10*CEILING(I1169/100,1)</f>
        <v>9</v>
      </c>
      <c r="Z1169" s="39" t="n">
        <f aca="false">Resumo!$B$12*CEILING(I1169,1)</f>
        <v>8.1</v>
      </c>
      <c r="AA1169" s="39" t="n">
        <f aca="false">Resumo!$B$13*CEILING(I1169,1)</f>
        <v>60.75</v>
      </c>
      <c r="AB1169" s="39" t="n">
        <f aca="false">SUM(U1169:AA1169)</f>
        <v>322.99765</v>
      </c>
      <c r="AC1169" s="39" t="n">
        <f aca="false">AB1169/(1-Resumo!$B$5)</f>
        <v>367.042784090909</v>
      </c>
      <c r="AD1169" s="39" t="n">
        <f aca="false">(AB1169-AA1169)/(1-Resumo!$B$5)</f>
        <v>298.008693181818</v>
      </c>
      <c r="AE1169" s="39" t="n">
        <f aca="false">AC1169-T1169</f>
        <v>132.928453409091</v>
      </c>
      <c r="AF1169" s="40" t="n">
        <f aca="false">AC1169/T1169-1</f>
        <v>0.56779289427503</v>
      </c>
      <c r="AG1169" s="37" t="str">
        <f aca="false">IF(AC1169&lt;T1169,"SIM","NÃO")</f>
        <v>NÃO</v>
      </c>
      <c r="AH1169" s="37" t="n">
        <v>8</v>
      </c>
      <c r="AI1169" s="37" t="n">
        <v>5</v>
      </c>
      <c r="AJ1169" s="37" t="s">
        <v>323</v>
      </c>
    </row>
    <row r="1170" customFormat="false" ht="15" hidden="false" customHeight="false" outlineLevel="0" collapsed="false">
      <c r="A1170" s="37" t="n">
        <v>378193239</v>
      </c>
      <c r="B1170" s="38" t="n">
        <v>46251.9557523148</v>
      </c>
      <c r="C1170" s="37" t="s">
        <v>320</v>
      </c>
      <c r="D1170" s="37" t="s">
        <v>1429</v>
      </c>
      <c r="E1170" s="37" t="n">
        <v>23936170</v>
      </c>
      <c r="F1170" s="37" t="s">
        <v>149</v>
      </c>
      <c r="G1170" s="37" t="s">
        <v>201</v>
      </c>
      <c r="H1170" s="37" t="s">
        <v>170</v>
      </c>
      <c r="I1170" s="37" t="n">
        <v>44.6</v>
      </c>
      <c r="J1170" s="39" t="n">
        <v>579.99</v>
      </c>
      <c r="K1170" s="37" t="s">
        <v>498</v>
      </c>
      <c r="L1170" s="39" t="n">
        <v>130.67</v>
      </c>
      <c r="M1170" s="39" t="n">
        <v>94</v>
      </c>
      <c r="N1170" s="39" t="n">
        <f aca="false">J1170*Resumo!$C$7</f>
        <v>1.15998</v>
      </c>
      <c r="O1170" s="39" t="n">
        <f aca="false">J1170*Resumo!$C$8</f>
        <v>1.15998</v>
      </c>
      <c r="P1170" s="39" t="n">
        <f aca="false">Resumo!$C$10*CEILING(I1170/100,1)</f>
        <v>1</v>
      </c>
      <c r="Q1170" s="39" t="n">
        <f aca="false">Resumo!$C$9</f>
        <v>11.9</v>
      </c>
      <c r="R1170" s="39" t="n">
        <f aca="false">SUM(M1170:Q1170)*Resumo!$C$11</f>
        <v>6.0070978</v>
      </c>
      <c r="S1170" s="39" t="n">
        <f aca="false">SUM(M1170:R1170)</f>
        <v>115.2270578</v>
      </c>
      <c r="T1170" s="39" t="n">
        <f aca="false">S1170/(1-Resumo!$C$5)</f>
        <v>130.939838409091</v>
      </c>
      <c r="U1170" s="39" t="n">
        <v>124.38</v>
      </c>
      <c r="V1170" s="39" t="n">
        <f aca="false">J1170*Resumo!$B$6</f>
        <v>0.57999</v>
      </c>
      <c r="W1170" s="39" t="n">
        <f aca="false">J1170*Resumo!$B$7</f>
        <v>1.15998</v>
      </c>
      <c r="X1170" s="39" t="n">
        <f aca="false">Resumo!$B$9</f>
        <v>1</v>
      </c>
      <c r="Y1170" s="39" t="n">
        <f aca="false">Resumo!$B$10*CEILING(I1170/100,1)</f>
        <v>4.5</v>
      </c>
      <c r="Z1170" s="39" t="n">
        <f aca="false">Resumo!$B$12*CEILING(I1170,1)</f>
        <v>2.7</v>
      </c>
      <c r="AA1170" s="39" t="n">
        <f aca="false">Resumo!$B$13*CEILING(I1170,1)</f>
        <v>20.25</v>
      </c>
      <c r="AB1170" s="39" t="n">
        <f aca="false">SUM(U1170:AA1170)</f>
        <v>154.56997</v>
      </c>
      <c r="AC1170" s="39" t="n">
        <f aca="false">AB1170/(1-Resumo!$B$5)</f>
        <v>175.647693181818</v>
      </c>
      <c r="AD1170" s="39" t="n">
        <f aca="false">(AB1170-AA1170)/(1-Resumo!$B$5)</f>
        <v>152.636329545455</v>
      </c>
      <c r="AE1170" s="39" t="n">
        <f aca="false">AC1170-T1170</f>
        <v>44.7078547727273</v>
      </c>
      <c r="AF1170" s="40" t="n">
        <f aca="false">AC1170/T1170-1</f>
        <v>0.341438139193727</v>
      </c>
      <c r="AG1170" s="37" t="str">
        <f aca="false">IF(AC1170&lt;T1170,"SIM","NÃO")</f>
        <v>NÃO</v>
      </c>
      <c r="AH1170" s="37" t="n">
        <v>13</v>
      </c>
      <c r="AI1170" s="37" t="n">
        <v>10</v>
      </c>
      <c r="AJ1170" s="37" t="s">
        <v>323</v>
      </c>
    </row>
    <row r="1171" customFormat="false" ht="15" hidden="false" customHeight="false" outlineLevel="0" collapsed="false">
      <c r="A1171" s="37" t="n">
        <v>378208287</v>
      </c>
      <c r="B1171" s="38" t="n">
        <v>46251.9904166667</v>
      </c>
      <c r="C1171" s="37" t="s">
        <v>325</v>
      </c>
      <c r="D1171" s="37" t="s">
        <v>1430</v>
      </c>
      <c r="E1171" s="37" t="n">
        <v>26115729</v>
      </c>
      <c r="F1171" s="37" t="s">
        <v>145</v>
      </c>
      <c r="G1171" s="37" t="s">
        <v>207</v>
      </c>
      <c r="H1171" s="37" t="s">
        <v>175</v>
      </c>
      <c r="I1171" s="37" t="n">
        <v>109.7</v>
      </c>
      <c r="J1171" s="39" t="n">
        <v>1091</v>
      </c>
      <c r="K1171" s="37" t="s">
        <v>498</v>
      </c>
      <c r="L1171" s="39" t="n">
        <v>194.31</v>
      </c>
      <c r="M1171" s="39" t="n">
        <v>144.44</v>
      </c>
      <c r="N1171" s="39" t="n">
        <f aca="false">J1171*Resumo!$C$7</f>
        <v>2.182</v>
      </c>
      <c r="O1171" s="39" t="n">
        <f aca="false">J1171*Resumo!$C$8</f>
        <v>2.182</v>
      </c>
      <c r="P1171" s="39" t="n">
        <f aca="false">Resumo!$C$10*CEILING(I1171/100,1)</f>
        <v>2</v>
      </c>
      <c r="Q1171" s="39" t="n">
        <f aca="false">Resumo!$C$9</f>
        <v>11.9</v>
      </c>
      <c r="R1171" s="39" t="n">
        <f aca="false">SUM(M1171:Q1171)*Resumo!$C$11</f>
        <v>8.94872</v>
      </c>
      <c r="S1171" s="39" t="n">
        <f aca="false">SUM(M1171:R1171)</f>
        <v>171.65272</v>
      </c>
      <c r="T1171" s="39" t="n">
        <f aca="false">S1171/(1-Resumo!$C$5)</f>
        <v>195.059909090909</v>
      </c>
      <c r="U1171" s="39" t="n">
        <v>201.59</v>
      </c>
      <c r="V1171" s="39" t="n">
        <f aca="false">J1171*Resumo!$B$6</f>
        <v>1.091</v>
      </c>
      <c r="W1171" s="39" t="n">
        <f aca="false">J1171*Resumo!$B$7</f>
        <v>2.182</v>
      </c>
      <c r="X1171" s="39" t="n">
        <f aca="false">Resumo!$B$9</f>
        <v>1</v>
      </c>
      <c r="Y1171" s="39" t="n">
        <f aca="false">Resumo!$B$10*CEILING(I1171/100,1)</f>
        <v>9</v>
      </c>
      <c r="Z1171" s="39" t="n">
        <f aca="false">Resumo!$B$12*CEILING(I1171,1)</f>
        <v>6.6</v>
      </c>
      <c r="AA1171" s="39" t="n">
        <f aca="false">Resumo!$B$13*CEILING(I1171,1)</f>
        <v>49.5</v>
      </c>
      <c r="AB1171" s="39" t="n">
        <f aca="false">SUM(U1171:AA1171)</f>
        <v>270.963</v>
      </c>
      <c r="AC1171" s="39" t="n">
        <f aca="false">AB1171/(1-Resumo!$B$5)</f>
        <v>307.9125</v>
      </c>
      <c r="AD1171" s="39" t="n">
        <f aca="false">(AB1171-AA1171)/(1-Resumo!$B$5)</f>
        <v>251.6625</v>
      </c>
      <c r="AE1171" s="39" t="n">
        <f aca="false">AC1171-T1171</f>
        <v>112.852590909091</v>
      </c>
      <c r="AF1171" s="40" t="n">
        <f aca="false">AC1171/T1171-1</f>
        <v>0.578553488695081</v>
      </c>
      <c r="AG1171" s="37" t="str">
        <f aca="false">IF(AC1171&lt;T1171,"SIM","NÃO")</f>
        <v>NÃO</v>
      </c>
      <c r="AH1171" s="37" t="n">
        <v>10</v>
      </c>
      <c r="AI1171" s="37" t="n">
        <v>5</v>
      </c>
      <c r="AJ1171" s="37" t="s">
        <v>323</v>
      </c>
    </row>
    <row r="1172" customFormat="false" ht="15" hidden="false" customHeight="false" outlineLevel="0" collapsed="false">
      <c r="A1172" s="37" t="n">
        <v>378234963</v>
      </c>
      <c r="B1172" s="38" t="n">
        <v>46252.0706597222</v>
      </c>
      <c r="C1172" s="37" t="s">
        <v>320</v>
      </c>
      <c r="D1172" s="37" t="s">
        <v>1431</v>
      </c>
      <c r="E1172" s="37" t="n">
        <v>23070221</v>
      </c>
      <c r="F1172" s="37" t="s">
        <v>139</v>
      </c>
      <c r="G1172" s="37" t="s">
        <v>198</v>
      </c>
      <c r="H1172" s="37" t="s">
        <v>171</v>
      </c>
      <c r="I1172" s="37" t="n">
        <v>52.3</v>
      </c>
      <c r="J1172" s="39" t="n">
        <v>616.39</v>
      </c>
      <c r="K1172" s="37" t="s">
        <v>498</v>
      </c>
      <c r="L1172" s="39" t="n">
        <v>113.22</v>
      </c>
      <c r="M1172" s="39" t="n">
        <v>79.81</v>
      </c>
      <c r="N1172" s="39" t="n">
        <f aca="false">J1172*Resumo!$C$7</f>
        <v>1.23278</v>
      </c>
      <c r="O1172" s="39" t="n">
        <f aca="false">J1172*Resumo!$C$8</f>
        <v>1.23278</v>
      </c>
      <c r="P1172" s="39" t="n">
        <f aca="false">Resumo!$C$10*CEILING(I1172/100,1)</f>
        <v>1</v>
      </c>
      <c r="Q1172" s="39" t="n">
        <f aca="false">Resumo!$C$9</f>
        <v>11.9</v>
      </c>
      <c r="R1172" s="39" t="n">
        <f aca="false">SUM(M1172:Q1172)*Resumo!$C$11</f>
        <v>5.2346558</v>
      </c>
      <c r="S1172" s="39" t="n">
        <f aca="false">SUM(M1172:R1172)</f>
        <v>100.4102158</v>
      </c>
      <c r="T1172" s="39" t="n">
        <f aca="false">S1172/(1-Resumo!$C$5)</f>
        <v>114.102517954545</v>
      </c>
      <c r="U1172" s="39" t="n">
        <v>112.3</v>
      </c>
      <c r="V1172" s="39" t="n">
        <f aca="false">J1172*Resumo!$B$6</f>
        <v>0.61639</v>
      </c>
      <c r="W1172" s="39" t="n">
        <f aca="false">J1172*Resumo!$B$7</f>
        <v>1.23278</v>
      </c>
      <c r="X1172" s="39" t="n">
        <f aca="false">Resumo!$B$9</f>
        <v>1</v>
      </c>
      <c r="Y1172" s="39" t="n">
        <f aca="false">Resumo!$B$10*CEILING(I1172/100,1)</f>
        <v>4.5</v>
      </c>
      <c r="Z1172" s="39" t="n">
        <f aca="false">Resumo!$B$12*CEILING(I1172,1)</f>
        <v>3.18</v>
      </c>
      <c r="AA1172" s="39" t="n">
        <f aca="false">Resumo!$B$13*CEILING(I1172,1)</f>
        <v>23.85</v>
      </c>
      <c r="AB1172" s="39" t="n">
        <f aca="false">SUM(U1172:AA1172)</f>
        <v>146.67917</v>
      </c>
      <c r="AC1172" s="39" t="n">
        <f aca="false">AB1172/(1-Resumo!$B$5)</f>
        <v>166.680875</v>
      </c>
      <c r="AD1172" s="39" t="n">
        <f aca="false">(AB1172-AA1172)/(1-Resumo!$B$5)</f>
        <v>139.578602272727</v>
      </c>
      <c r="AE1172" s="39" t="n">
        <f aca="false">AC1172-T1172</f>
        <v>52.5783570454545</v>
      </c>
      <c r="AF1172" s="40" t="n">
        <f aca="false">AC1172/T1172-1</f>
        <v>0.460799270585772</v>
      </c>
      <c r="AG1172" s="37" t="str">
        <f aca="false">IF(AC1172&lt;T1172,"SIM","NÃO")</f>
        <v>NÃO</v>
      </c>
      <c r="AH1172" s="37" t="n">
        <v>8</v>
      </c>
      <c r="AI1172" s="37" t="n">
        <v>5</v>
      </c>
      <c r="AJ1172" s="37" t="s">
        <v>323</v>
      </c>
    </row>
    <row r="1173" customFormat="false" ht="15" hidden="false" customHeight="false" outlineLevel="0" collapsed="false">
      <c r="A1173" s="37" t="n">
        <v>378245299</v>
      </c>
      <c r="B1173" s="38" t="n">
        <v>46252.109849537</v>
      </c>
      <c r="C1173" s="37" t="s">
        <v>320</v>
      </c>
      <c r="D1173" s="37" t="s">
        <v>1432</v>
      </c>
      <c r="E1173" s="37" t="n">
        <v>23025110</v>
      </c>
      <c r="F1173" s="37" t="s">
        <v>139</v>
      </c>
      <c r="G1173" s="37" t="s">
        <v>198</v>
      </c>
      <c r="H1173" s="37" t="s">
        <v>169</v>
      </c>
      <c r="I1173" s="37" t="n">
        <v>37.5</v>
      </c>
      <c r="J1173" s="39" t="n">
        <v>399.99</v>
      </c>
      <c r="K1173" s="37" t="s">
        <v>498</v>
      </c>
      <c r="L1173" s="39" t="n">
        <v>92.87</v>
      </c>
      <c r="M1173" s="39" t="n">
        <v>62.05</v>
      </c>
      <c r="N1173" s="39" t="n">
        <f aca="false">J1173*Resumo!$C$7</f>
        <v>0.79998</v>
      </c>
      <c r="O1173" s="39" t="n">
        <f aca="false">J1173*Resumo!$C$8</f>
        <v>0.79998</v>
      </c>
      <c r="P1173" s="39" t="n">
        <f aca="false">Resumo!$C$10*CEILING(I1173/100,1)</f>
        <v>1</v>
      </c>
      <c r="Q1173" s="39" t="n">
        <f aca="false">Resumo!$C$9</f>
        <v>11.9</v>
      </c>
      <c r="R1173" s="39" t="n">
        <f aca="false">SUM(M1173:Q1173)*Resumo!$C$11</f>
        <v>4.2102478</v>
      </c>
      <c r="S1173" s="39" t="n">
        <f aca="false">SUM(M1173:R1173)</f>
        <v>80.7602078</v>
      </c>
      <c r="T1173" s="39" t="n">
        <f aca="false">S1173/(1-Resumo!$C$5)</f>
        <v>91.7729634090909</v>
      </c>
      <c r="U1173" s="39" t="n">
        <v>93.97</v>
      </c>
      <c r="V1173" s="39" t="n">
        <f aca="false">J1173*Resumo!$B$6</f>
        <v>0.39999</v>
      </c>
      <c r="W1173" s="39" t="n">
        <f aca="false">J1173*Resumo!$B$7</f>
        <v>0.79998</v>
      </c>
      <c r="X1173" s="39" t="n">
        <f aca="false">Resumo!$B$9</f>
        <v>1</v>
      </c>
      <c r="Y1173" s="39" t="n">
        <f aca="false">Resumo!$B$10*CEILING(I1173/100,1)</f>
        <v>4.5</v>
      </c>
      <c r="Z1173" s="39" t="n">
        <f aca="false">Resumo!$B$12*CEILING(I1173,1)</f>
        <v>2.28</v>
      </c>
      <c r="AA1173" s="39" t="n">
        <f aca="false">Resumo!$B$13*CEILING(I1173,1)</f>
        <v>17.1</v>
      </c>
      <c r="AB1173" s="39" t="n">
        <f aca="false">SUM(U1173:AA1173)</f>
        <v>120.04997</v>
      </c>
      <c r="AC1173" s="39" t="n">
        <f aca="false">AB1173/(1-Resumo!$B$5)</f>
        <v>136.420420454545</v>
      </c>
      <c r="AD1173" s="39" t="n">
        <f aca="false">(AB1173-AA1173)/(1-Resumo!$B$5)</f>
        <v>116.988602272727</v>
      </c>
      <c r="AE1173" s="39" t="n">
        <f aca="false">AC1173-T1173</f>
        <v>44.6474570454545</v>
      </c>
      <c r="AF1173" s="40" t="n">
        <f aca="false">AC1173/T1173-1</f>
        <v>0.486499023099344</v>
      </c>
      <c r="AG1173" s="37" t="str">
        <f aca="false">IF(AC1173&lt;T1173,"SIM","NÃO")</f>
        <v>NÃO</v>
      </c>
      <c r="AH1173" s="37" t="n">
        <v>8</v>
      </c>
      <c r="AI1173" s="37" t="n">
        <v>5</v>
      </c>
      <c r="AJ1173" s="37" t="s">
        <v>323</v>
      </c>
    </row>
    <row r="1174" customFormat="false" ht="15" hidden="false" customHeight="false" outlineLevel="0" collapsed="false">
      <c r="A1174" s="37" t="n">
        <v>378281268</v>
      </c>
      <c r="B1174" s="38" t="n">
        <v>46252.2446180556</v>
      </c>
      <c r="C1174" s="37" t="s">
        <v>325</v>
      </c>
      <c r="D1174" s="37" t="s">
        <v>1433</v>
      </c>
      <c r="E1174" s="37" t="n">
        <v>21540440</v>
      </c>
      <c r="F1174" s="37" t="s">
        <v>139</v>
      </c>
      <c r="G1174" s="37" t="s">
        <v>198</v>
      </c>
      <c r="H1174" s="37" t="s">
        <v>170</v>
      </c>
      <c r="I1174" s="37" t="n">
        <v>48</v>
      </c>
      <c r="J1174" s="39" t="n">
        <v>806.69</v>
      </c>
      <c r="K1174" s="37" t="s">
        <v>322</v>
      </c>
      <c r="L1174" s="39" t="n">
        <v>104.44</v>
      </c>
      <c r="M1174" s="39" t="n">
        <v>71</v>
      </c>
      <c r="N1174" s="39" t="n">
        <f aca="false">J1174*Resumo!$C$7</f>
        <v>1.61338</v>
      </c>
      <c r="O1174" s="39" t="n">
        <f aca="false">J1174*Resumo!$C$8</f>
        <v>1.61338</v>
      </c>
      <c r="P1174" s="39" t="n">
        <f aca="false">Resumo!$C$10*CEILING(I1174/100,1)</f>
        <v>1</v>
      </c>
      <c r="Q1174" s="39" t="n">
        <f aca="false">Resumo!$C$9</f>
        <v>11.9</v>
      </c>
      <c r="R1174" s="39" t="n">
        <f aca="false">SUM(M1174:Q1174)*Resumo!$C$11</f>
        <v>4.7919718</v>
      </c>
      <c r="S1174" s="39" t="n">
        <f aca="false">SUM(M1174:R1174)</f>
        <v>91.9187318</v>
      </c>
      <c r="T1174" s="39" t="n">
        <f aca="false">S1174/(1-Resumo!$C$5)</f>
        <v>104.453104318182</v>
      </c>
      <c r="U1174" s="39" t="n">
        <v>93.97</v>
      </c>
      <c r="V1174" s="39" t="n">
        <f aca="false">J1174*Resumo!$B$6</f>
        <v>0.80669</v>
      </c>
      <c r="W1174" s="39" t="n">
        <f aca="false">J1174*Resumo!$B$7</f>
        <v>1.61338</v>
      </c>
      <c r="X1174" s="39" t="n">
        <f aca="false">Resumo!$B$9</f>
        <v>1</v>
      </c>
      <c r="Y1174" s="39" t="n">
        <f aca="false">Resumo!$B$10*CEILING(I1174/100,1)</f>
        <v>4.5</v>
      </c>
      <c r="Z1174" s="39" t="n">
        <f aca="false">Resumo!$B$12*CEILING(I1174,1)</f>
        <v>2.88</v>
      </c>
      <c r="AA1174" s="39" t="n">
        <f aca="false">Resumo!$B$13*CEILING(I1174,1)</f>
        <v>21.6</v>
      </c>
      <c r="AB1174" s="39" t="n">
        <f aca="false">SUM(U1174:AA1174)</f>
        <v>126.37007</v>
      </c>
      <c r="AC1174" s="39" t="n">
        <f aca="false">AB1174/(1-Resumo!$B$5)</f>
        <v>143.602352272727</v>
      </c>
      <c r="AD1174" s="39" t="n">
        <f aca="false">(AB1174-AA1174)/(1-Resumo!$B$5)</f>
        <v>119.056897727273</v>
      </c>
      <c r="AE1174" s="39" t="n">
        <f aca="false">AC1174-T1174</f>
        <v>39.1492479545455</v>
      </c>
      <c r="AF1174" s="40" t="n">
        <f aca="false">AC1174/T1174-1</f>
        <v>0.374802148869508</v>
      </c>
      <c r="AG1174" s="37" t="str">
        <f aca="false">IF(AC1174&lt;T1174,"SIM","NÃO")</f>
        <v>NÃO</v>
      </c>
      <c r="AH1174" s="37" t="n">
        <v>8</v>
      </c>
      <c r="AI1174" s="37" t="n">
        <v>5</v>
      </c>
      <c r="AJ1174" s="37" t="s">
        <v>323</v>
      </c>
    </row>
    <row r="1175" customFormat="false" ht="15" hidden="false" customHeight="false" outlineLevel="0" collapsed="false">
      <c r="A1175" s="37" t="n">
        <v>378294697</v>
      </c>
      <c r="B1175" s="38" t="n">
        <v>46252.2835185185</v>
      </c>
      <c r="C1175" s="37" t="s">
        <v>320</v>
      </c>
      <c r="D1175" s="37" t="s">
        <v>1434</v>
      </c>
      <c r="E1175" s="37" t="n">
        <v>26298629</v>
      </c>
      <c r="F1175" s="37" t="s">
        <v>142</v>
      </c>
      <c r="G1175" s="37" t="s">
        <v>207</v>
      </c>
      <c r="H1175" s="37" t="s">
        <v>172</v>
      </c>
      <c r="I1175" s="37" t="n">
        <v>63.9</v>
      </c>
      <c r="J1175" s="39" t="n">
        <v>730.98</v>
      </c>
      <c r="K1175" s="37" t="s">
        <v>322</v>
      </c>
      <c r="L1175" s="39" t="n">
        <v>139.93</v>
      </c>
      <c r="M1175" s="39" t="n">
        <v>100.9</v>
      </c>
      <c r="N1175" s="39" t="n">
        <f aca="false">J1175*Resumo!$C$7</f>
        <v>1.46196</v>
      </c>
      <c r="O1175" s="39" t="n">
        <f aca="false">J1175*Resumo!$C$8</f>
        <v>1.46196</v>
      </c>
      <c r="P1175" s="39" t="n">
        <f aca="false">Resumo!$C$10*CEILING(I1175/100,1)</f>
        <v>1</v>
      </c>
      <c r="Q1175" s="39" t="n">
        <f aca="false">Resumo!$C$9</f>
        <v>11.9</v>
      </c>
      <c r="R1175" s="39" t="n">
        <f aca="false">SUM(M1175:Q1175)*Resumo!$C$11</f>
        <v>6.4198156</v>
      </c>
      <c r="S1175" s="39" t="n">
        <f aca="false">SUM(M1175:R1175)</f>
        <v>123.1437356</v>
      </c>
      <c r="T1175" s="39" t="n">
        <f aca="false">S1175/(1-Resumo!$C$5)</f>
        <v>139.936063181818</v>
      </c>
      <c r="U1175" s="39" t="n">
        <v>131.02</v>
      </c>
      <c r="V1175" s="39" t="n">
        <f aca="false">J1175*Resumo!$B$6</f>
        <v>0.73098</v>
      </c>
      <c r="W1175" s="39" t="n">
        <f aca="false">J1175*Resumo!$B$7</f>
        <v>1.46196</v>
      </c>
      <c r="X1175" s="39" t="n">
        <f aca="false">Resumo!$B$9</f>
        <v>1</v>
      </c>
      <c r="Y1175" s="39" t="n">
        <f aca="false">Resumo!$B$10*CEILING(I1175/100,1)</f>
        <v>4.5</v>
      </c>
      <c r="Z1175" s="39" t="n">
        <f aca="false">Resumo!$B$12*CEILING(I1175,1)</f>
        <v>3.84</v>
      </c>
      <c r="AA1175" s="39" t="n">
        <f aca="false">Resumo!$B$13*CEILING(I1175,1)</f>
        <v>28.8</v>
      </c>
      <c r="AB1175" s="39" t="n">
        <f aca="false">SUM(U1175:AA1175)</f>
        <v>171.35294</v>
      </c>
      <c r="AC1175" s="39" t="n">
        <f aca="false">AB1175/(1-Resumo!$B$5)</f>
        <v>194.71925</v>
      </c>
      <c r="AD1175" s="39" t="n">
        <f aca="false">(AB1175-AA1175)/(1-Resumo!$B$5)</f>
        <v>161.991977272727</v>
      </c>
      <c r="AE1175" s="39" t="n">
        <f aca="false">AC1175-T1175</f>
        <v>54.7831868181818</v>
      </c>
      <c r="AF1175" s="40" t="n">
        <f aca="false">AC1175/T1175-1</f>
        <v>0.391487266202439</v>
      </c>
      <c r="AG1175" s="37" t="str">
        <f aca="false">IF(AC1175&lt;T1175,"SIM","NÃO")</f>
        <v>NÃO</v>
      </c>
      <c r="AH1175" s="37" t="n">
        <v>10</v>
      </c>
      <c r="AI1175" s="37" t="n">
        <v>5</v>
      </c>
      <c r="AJ1175" s="37" t="s">
        <v>323</v>
      </c>
    </row>
    <row r="1176" customFormat="false" ht="15" hidden="false" customHeight="false" outlineLevel="0" collapsed="false">
      <c r="A1176" s="37" t="n">
        <v>378295556</v>
      </c>
      <c r="B1176" s="38" t="n">
        <v>46252.2859027778</v>
      </c>
      <c r="C1176" s="37" t="s">
        <v>320</v>
      </c>
      <c r="D1176" s="37" t="s">
        <v>808</v>
      </c>
      <c r="E1176" s="37" t="n">
        <v>21040005</v>
      </c>
      <c r="F1176" s="37" t="s">
        <v>139</v>
      </c>
      <c r="G1176" s="37" t="s">
        <v>198</v>
      </c>
      <c r="H1176" s="37" t="s">
        <v>168</v>
      </c>
      <c r="I1176" s="37" t="n">
        <v>33</v>
      </c>
      <c r="J1176" s="39" t="n">
        <v>589.99</v>
      </c>
      <c r="K1176" s="37" t="s">
        <v>322</v>
      </c>
      <c r="L1176" s="39" t="n">
        <v>83.15</v>
      </c>
      <c r="M1176" s="39" t="n">
        <v>54.1</v>
      </c>
      <c r="N1176" s="39" t="n">
        <f aca="false">J1176*Resumo!$C$7</f>
        <v>1.17998</v>
      </c>
      <c r="O1176" s="39" t="n">
        <f aca="false">J1176*Resumo!$C$8</f>
        <v>1.17998</v>
      </c>
      <c r="P1176" s="39" t="n">
        <f aca="false">Resumo!$C$10*CEILING(I1176/100,1)</f>
        <v>1</v>
      </c>
      <c r="Q1176" s="39" t="n">
        <f aca="false">Resumo!$C$9</f>
        <v>11.9</v>
      </c>
      <c r="R1176" s="39" t="n">
        <f aca="false">SUM(M1176:Q1176)*Resumo!$C$11</f>
        <v>3.8147978</v>
      </c>
      <c r="S1176" s="39" t="n">
        <f aca="false">SUM(M1176:R1176)</f>
        <v>73.1747578</v>
      </c>
      <c r="T1176" s="39" t="n">
        <f aca="false">S1176/(1-Resumo!$C$5)</f>
        <v>83.1531338636364</v>
      </c>
      <c r="U1176" s="39" t="n">
        <v>82.21</v>
      </c>
      <c r="V1176" s="39" t="n">
        <f aca="false">J1176*Resumo!$B$6</f>
        <v>0.58999</v>
      </c>
      <c r="W1176" s="39" t="n">
        <f aca="false">J1176*Resumo!$B$7</f>
        <v>1.17998</v>
      </c>
      <c r="X1176" s="39" t="n">
        <f aca="false">Resumo!$B$9</f>
        <v>1</v>
      </c>
      <c r="Y1176" s="39" t="n">
        <f aca="false">Resumo!$B$10*CEILING(I1176/100,1)</f>
        <v>4.5</v>
      </c>
      <c r="Z1176" s="39" t="n">
        <f aca="false">Resumo!$B$12*CEILING(I1176,1)</f>
        <v>1.98</v>
      </c>
      <c r="AA1176" s="39" t="n">
        <f aca="false">Resumo!$B$13*CEILING(I1176,1)</f>
        <v>14.85</v>
      </c>
      <c r="AB1176" s="39" t="n">
        <f aca="false">SUM(U1176:AA1176)</f>
        <v>106.30997</v>
      </c>
      <c r="AC1176" s="39" t="n">
        <f aca="false">AB1176/(1-Resumo!$B$5)</f>
        <v>120.806784090909</v>
      </c>
      <c r="AD1176" s="39" t="n">
        <f aca="false">(AB1176-AA1176)/(1-Resumo!$B$5)</f>
        <v>103.931784090909</v>
      </c>
      <c r="AE1176" s="39" t="n">
        <f aca="false">AC1176-T1176</f>
        <v>37.6536502272727</v>
      </c>
      <c r="AF1176" s="40" t="n">
        <f aca="false">AC1176/T1176-1</f>
        <v>0.452822984266851</v>
      </c>
      <c r="AG1176" s="37" t="str">
        <f aca="false">IF(AC1176&lt;T1176,"SIM","NÃO")</f>
        <v>NÃO</v>
      </c>
      <c r="AH1176" s="37" t="n">
        <v>8</v>
      </c>
      <c r="AI1176" s="37" t="n">
        <v>5</v>
      </c>
      <c r="AJ1176" s="37" t="s">
        <v>323</v>
      </c>
    </row>
    <row r="1177" customFormat="false" ht="15" hidden="false" customHeight="false" outlineLevel="0" collapsed="false">
      <c r="A1177" s="37" t="n">
        <v>378321587</v>
      </c>
      <c r="B1177" s="38" t="n">
        <v>46252.3464351852</v>
      </c>
      <c r="C1177" s="37" t="s">
        <v>320</v>
      </c>
      <c r="D1177" s="37" t="s">
        <v>1435</v>
      </c>
      <c r="E1177" s="37" t="n">
        <v>28500000</v>
      </c>
      <c r="F1177" s="37" t="s">
        <v>260</v>
      </c>
      <c r="G1177" s="37" t="s">
        <v>201</v>
      </c>
      <c r="H1177" s="37" t="s">
        <v>171</v>
      </c>
      <c r="I1177" s="37" t="n">
        <v>58.6</v>
      </c>
      <c r="J1177" s="39" t="n">
        <v>769.99</v>
      </c>
      <c r="K1177" s="37" t="s">
        <v>498</v>
      </c>
      <c r="L1177" s="39" t="n">
        <v>145.42</v>
      </c>
      <c r="M1177" s="39" t="n">
        <v>103.6</v>
      </c>
      <c r="N1177" s="39" t="n">
        <f aca="false">J1177*Resumo!$C$7</f>
        <v>1.53998</v>
      </c>
      <c r="O1177" s="39" t="n">
        <f aca="false">J1177*Resumo!$C$8</f>
        <v>1.53998</v>
      </c>
      <c r="P1177" s="39" t="n">
        <f aca="false">Resumo!$C$10*CEILING(I1177/100,1)</f>
        <v>1</v>
      </c>
      <c r="Q1177" s="39" t="n">
        <f aca="false">Resumo!$C$9</f>
        <v>11.9</v>
      </c>
      <c r="R1177" s="39" t="n">
        <f aca="false">SUM(M1177:Q1177)*Resumo!$C$11</f>
        <v>6.5768978</v>
      </c>
      <c r="S1177" s="39" t="n">
        <f aca="false">SUM(M1177:R1177)</f>
        <v>126.1568578</v>
      </c>
      <c r="T1177" s="39" t="n">
        <f aca="false">S1177/(1-Resumo!$C$5)</f>
        <v>143.360065681818</v>
      </c>
      <c r="U1177" s="39" t="n">
        <v>162.04</v>
      </c>
      <c r="V1177" s="39" t="n">
        <f aca="false">J1177*Resumo!$B$6</f>
        <v>0.76999</v>
      </c>
      <c r="W1177" s="39" t="n">
        <f aca="false">J1177*Resumo!$B$7</f>
        <v>1.53998</v>
      </c>
      <c r="X1177" s="39" t="n">
        <f aca="false">Resumo!$B$9</f>
        <v>1</v>
      </c>
      <c r="Y1177" s="39" t="n">
        <f aca="false">Resumo!$B$10*CEILING(I1177/100,1)</f>
        <v>4.5</v>
      </c>
      <c r="Z1177" s="39" t="n">
        <f aca="false">Resumo!$B$12*CEILING(I1177,1)</f>
        <v>3.54</v>
      </c>
      <c r="AA1177" s="39" t="n">
        <f aca="false">Resumo!$B$13*CEILING(I1177,1)</f>
        <v>26.55</v>
      </c>
      <c r="AB1177" s="39" t="n">
        <f aca="false">SUM(U1177:AA1177)</f>
        <v>199.93997</v>
      </c>
      <c r="AC1177" s="39" t="n">
        <f aca="false">AB1177/(1-Resumo!$B$5)</f>
        <v>227.204511363636</v>
      </c>
      <c r="AD1177" s="39" t="n">
        <f aca="false">(AB1177-AA1177)/(1-Resumo!$B$5)</f>
        <v>197.034056818182</v>
      </c>
      <c r="AE1177" s="39" t="n">
        <f aca="false">AC1177-T1177</f>
        <v>83.8444456818182</v>
      </c>
      <c r="AF1177" s="40" t="n">
        <f aca="false">AC1177/T1177-1</f>
        <v>0.584852171230917</v>
      </c>
      <c r="AG1177" s="37" t="str">
        <f aca="false">IF(AC1177&lt;T1177,"SIM","NÃO")</f>
        <v>NÃO</v>
      </c>
      <c r="AH1177" s="37" t="n">
        <v>13</v>
      </c>
      <c r="AI1177" s="37" t="n">
        <v>11</v>
      </c>
      <c r="AJ1177" s="37" t="s">
        <v>327</v>
      </c>
    </row>
    <row r="1178" customFormat="false" ht="15" hidden="false" customHeight="false" outlineLevel="0" collapsed="false">
      <c r="A1178" s="37" t="n">
        <v>378095442</v>
      </c>
      <c r="B1178" s="38" t="n">
        <v>46252.3469444444</v>
      </c>
      <c r="C1178" s="37" t="s">
        <v>341</v>
      </c>
      <c r="D1178" s="37" t="s">
        <v>409</v>
      </c>
      <c r="E1178" s="37" t="n">
        <v>28880000</v>
      </c>
      <c r="F1178" s="37" t="s">
        <v>276</v>
      </c>
      <c r="G1178" s="37" t="s">
        <v>201</v>
      </c>
      <c r="H1178" s="37" t="s">
        <v>169</v>
      </c>
      <c r="I1178" s="37" t="n">
        <v>37.2</v>
      </c>
      <c r="J1178" s="39" t="n">
        <v>433.49</v>
      </c>
      <c r="K1178" s="37" t="s">
        <v>498</v>
      </c>
      <c r="L1178" s="39" t="n">
        <v>123.28</v>
      </c>
      <c r="M1178" s="39" t="n">
        <v>87.4</v>
      </c>
      <c r="N1178" s="39" t="n">
        <f aca="false">J1178*Resumo!$C$7</f>
        <v>0.86698</v>
      </c>
      <c r="O1178" s="39" t="n">
        <f aca="false">J1178*Resumo!$C$8</f>
        <v>0.86698</v>
      </c>
      <c r="P1178" s="39" t="n">
        <f aca="false">Resumo!$C$10*CEILING(I1178/100,1)</f>
        <v>1</v>
      </c>
      <c r="Q1178" s="39" t="n">
        <f aca="false">Resumo!$C$9</f>
        <v>11.9</v>
      </c>
      <c r="R1178" s="39" t="n">
        <f aca="false">SUM(M1178:Q1178)*Resumo!$C$11</f>
        <v>5.6118678</v>
      </c>
      <c r="S1178" s="39" t="n">
        <f aca="false">SUM(M1178:R1178)</f>
        <v>107.6458278</v>
      </c>
      <c r="T1178" s="39" t="n">
        <f aca="false">S1178/(1-Resumo!$C$5)</f>
        <v>122.324804318182</v>
      </c>
      <c r="U1178" s="39" t="n">
        <v>124.38</v>
      </c>
      <c r="V1178" s="39" t="n">
        <f aca="false">J1178*Resumo!$B$6</f>
        <v>0.43349</v>
      </c>
      <c r="W1178" s="39" t="n">
        <f aca="false">J1178*Resumo!$B$7</f>
        <v>0.86698</v>
      </c>
      <c r="X1178" s="39" t="n">
        <f aca="false">Resumo!$B$9</f>
        <v>1</v>
      </c>
      <c r="Y1178" s="39" t="n">
        <f aca="false">Resumo!$B$10*CEILING(I1178/100,1)</f>
        <v>4.5</v>
      </c>
      <c r="Z1178" s="39" t="n">
        <f aca="false">Resumo!$B$12*CEILING(I1178,1)</f>
        <v>2.28</v>
      </c>
      <c r="AA1178" s="39" t="n">
        <f aca="false">Resumo!$B$13*CEILING(I1178,1)</f>
        <v>17.1</v>
      </c>
      <c r="AB1178" s="39" t="n">
        <f aca="false">SUM(U1178:AA1178)</f>
        <v>150.56047</v>
      </c>
      <c r="AC1178" s="39" t="n">
        <f aca="false">AB1178/(1-Resumo!$B$5)</f>
        <v>171.091443181818</v>
      </c>
      <c r="AD1178" s="39" t="n">
        <f aca="false">(AB1178-AA1178)/(1-Resumo!$B$5)</f>
        <v>151.659625</v>
      </c>
      <c r="AE1178" s="39" t="n">
        <f aca="false">AC1178-T1178</f>
        <v>48.7666388636363</v>
      </c>
      <c r="AF1178" s="40" t="n">
        <f aca="false">AC1178/T1178-1</f>
        <v>0.398665169631405</v>
      </c>
      <c r="AG1178" s="37" t="str">
        <f aca="false">IF(AC1178&lt;T1178,"SIM","NÃO")</f>
        <v>NÃO</v>
      </c>
      <c r="AH1178" s="37" t="n">
        <v>13</v>
      </c>
      <c r="AI1178" s="37" t="n">
        <v>10</v>
      </c>
      <c r="AJ1178" s="37" t="s">
        <v>327</v>
      </c>
    </row>
    <row r="1179" customFormat="false" ht="15" hidden="false" customHeight="false" outlineLevel="0" collapsed="false">
      <c r="A1179" s="37" t="n">
        <v>378324984</v>
      </c>
      <c r="B1179" s="38" t="n">
        <v>46252.3548148148</v>
      </c>
      <c r="C1179" s="37" t="s">
        <v>320</v>
      </c>
      <c r="D1179" s="37" t="s">
        <v>1436</v>
      </c>
      <c r="E1179" s="37" t="n">
        <v>28634450</v>
      </c>
      <c r="F1179" s="37" t="s">
        <v>157</v>
      </c>
      <c r="G1179" s="37" t="s">
        <v>201</v>
      </c>
      <c r="H1179" s="37" t="s">
        <v>171</v>
      </c>
      <c r="I1179" s="37" t="n">
        <v>52.3</v>
      </c>
      <c r="J1179" s="39" t="n">
        <v>699.99</v>
      </c>
      <c r="K1179" s="37" t="s">
        <v>498</v>
      </c>
      <c r="L1179" s="39" t="n">
        <v>142.01</v>
      </c>
      <c r="M1179" s="39" t="n">
        <v>103.6</v>
      </c>
      <c r="N1179" s="39" t="n">
        <f aca="false">J1179*Resumo!$C$7</f>
        <v>1.39998</v>
      </c>
      <c r="O1179" s="39" t="n">
        <f aca="false">J1179*Resumo!$C$8</f>
        <v>1.39998</v>
      </c>
      <c r="P1179" s="39" t="n">
        <f aca="false">Resumo!$C$10*CEILING(I1179/100,1)</f>
        <v>1</v>
      </c>
      <c r="Q1179" s="39" t="n">
        <f aca="false">Resumo!$C$9</f>
        <v>11.9</v>
      </c>
      <c r="R1179" s="39" t="n">
        <f aca="false">SUM(M1179:Q1179)*Resumo!$C$11</f>
        <v>6.5614978</v>
      </c>
      <c r="S1179" s="39" t="n">
        <f aca="false">SUM(M1179:R1179)</f>
        <v>125.8614578</v>
      </c>
      <c r="T1179" s="39" t="n">
        <f aca="false">S1179/(1-Resumo!$C$5)</f>
        <v>143.024383863636</v>
      </c>
      <c r="U1179" s="39" t="n">
        <v>144.53</v>
      </c>
      <c r="V1179" s="39" t="n">
        <f aca="false">J1179*Resumo!$B$6</f>
        <v>0.69999</v>
      </c>
      <c r="W1179" s="39" t="n">
        <f aca="false">J1179*Resumo!$B$7</f>
        <v>1.39998</v>
      </c>
      <c r="X1179" s="39" t="n">
        <f aca="false">Resumo!$B$9</f>
        <v>1</v>
      </c>
      <c r="Y1179" s="39" t="n">
        <f aca="false">Resumo!$B$10*CEILING(I1179/100,1)</f>
        <v>4.5</v>
      </c>
      <c r="Z1179" s="39" t="n">
        <f aca="false">Resumo!$B$12*CEILING(I1179,1)</f>
        <v>3.18</v>
      </c>
      <c r="AA1179" s="39" t="n">
        <f aca="false">Resumo!$B$13*CEILING(I1179,1)</f>
        <v>23.85</v>
      </c>
      <c r="AB1179" s="39" t="n">
        <f aca="false">SUM(U1179:AA1179)</f>
        <v>179.15997</v>
      </c>
      <c r="AC1179" s="39" t="n">
        <f aca="false">AB1179/(1-Resumo!$B$5)</f>
        <v>203.590875</v>
      </c>
      <c r="AD1179" s="39" t="n">
        <f aca="false">(AB1179-AA1179)/(1-Resumo!$B$5)</f>
        <v>176.488602272727</v>
      </c>
      <c r="AE1179" s="39" t="n">
        <f aca="false">AC1179-T1179</f>
        <v>60.5664911363636</v>
      </c>
      <c r="AF1179" s="40" t="n">
        <f aca="false">AC1179/T1179-1</f>
        <v>0.423469687477273</v>
      </c>
      <c r="AG1179" s="37" t="str">
        <f aca="false">IF(AC1179&lt;T1179,"SIM","NÃO")</f>
        <v>NÃO</v>
      </c>
      <c r="AH1179" s="37" t="n">
        <v>13</v>
      </c>
      <c r="AI1179" s="37" t="n">
        <v>10</v>
      </c>
      <c r="AJ1179" s="37" t="s">
        <v>323</v>
      </c>
    </row>
    <row r="1180" customFormat="false" ht="15" hidden="false" customHeight="false" outlineLevel="0" collapsed="false">
      <c r="A1180" s="37" t="n">
        <v>378334227</v>
      </c>
      <c r="B1180" s="38" t="n">
        <v>46252.3785069444</v>
      </c>
      <c r="C1180" s="37" t="s">
        <v>352</v>
      </c>
      <c r="D1180" s="37" t="s">
        <v>1437</v>
      </c>
      <c r="E1180" s="37" t="n">
        <v>24900485</v>
      </c>
      <c r="F1180" s="37" t="s">
        <v>151</v>
      </c>
      <c r="G1180" s="37" t="s">
        <v>201</v>
      </c>
      <c r="H1180" s="37" t="s">
        <v>169</v>
      </c>
      <c r="I1180" s="37" t="n">
        <v>36.8</v>
      </c>
      <c r="J1180" s="39" t="n">
        <v>479.99</v>
      </c>
      <c r="K1180" s="37" t="s">
        <v>498</v>
      </c>
      <c r="L1180" s="39" t="n">
        <v>123</v>
      </c>
      <c r="M1180" s="39" t="n">
        <v>87.4</v>
      </c>
      <c r="N1180" s="39" t="n">
        <f aca="false">J1180*Resumo!$C$7</f>
        <v>0.95998</v>
      </c>
      <c r="O1180" s="39" t="n">
        <f aca="false">J1180*Resumo!$C$8</f>
        <v>0.95998</v>
      </c>
      <c r="P1180" s="39" t="n">
        <f aca="false">Resumo!$C$10*CEILING(I1180/100,1)</f>
        <v>1</v>
      </c>
      <c r="Q1180" s="39" t="n">
        <f aca="false">Resumo!$C$9</f>
        <v>11.9</v>
      </c>
      <c r="R1180" s="39" t="n">
        <f aca="false">SUM(M1180:Q1180)*Resumo!$C$11</f>
        <v>5.6220978</v>
      </c>
      <c r="S1180" s="39" t="n">
        <f aca="false">SUM(M1180:R1180)</f>
        <v>107.8420578</v>
      </c>
      <c r="T1180" s="39" t="n">
        <f aca="false">S1180/(1-Resumo!$C$5)</f>
        <v>122.547792954545</v>
      </c>
      <c r="U1180" s="39" t="n">
        <v>114.95</v>
      </c>
      <c r="V1180" s="39" t="n">
        <f aca="false">J1180*Resumo!$B$6</f>
        <v>0.47999</v>
      </c>
      <c r="W1180" s="39" t="n">
        <f aca="false">J1180*Resumo!$B$7</f>
        <v>0.95998</v>
      </c>
      <c r="X1180" s="39" t="n">
        <f aca="false">Resumo!$B$9</f>
        <v>1</v>
      </c>
      <c r="Y1180" s="39" t="n">
        <f aca="false">Resumo!$B$10*CEILING(I1180/100,1)</f>
        <v>4.5</v>
      </c>
      <c r="Z1180" s="39" t="n">
        <f aca="false">Resumo!$B$12*CEILING(I1180,1)</f>
        <v>2.22</v>
      </c>
      <c r="AA1180" s="39" t="n">
        <f aca="false">Resumo!$B$13*CEILING(I1180,1)</f>
        <v>16.65</v>
      </c>
      <c r="AB1180" s="39" t="n">
        <f aca="false">SUM(U1180:AA1180)</f>
        <v>140.75997</v>
      </c>
      <c r="AC1180" s="39" t="n">
        <f aca="false">AB1180/(1-Resumo!$B$5)</f>
        <v>159.954511363636</v>
      </c>
      <c r="AD1180" s="39" t="n">
        <f aca="false">(AB1180-AA1180)/(1-Resumo!$B$5)</f>
        <v>141.034056818182</v>
      </c>
      <c r="AE1180" s="39" t="n">
        <f aca="false">AC1180-T1180</f>
        <v>37.4067184090909</v>
      </c>
      <c r="AF1180" s="40" t="n">
        <f aca="false">AC1180/T1180-1</f>
        <v>0.30524187753398</v>
      </c>
      <c r="AG1180" s="37" t="str">
        <f aca="false">IF(AC1180&lt;T1180,"SIM","NÃO")</f>
        <v>NÃO</v>
      </c>
      <c r="AH1180" s="37" t="n">
        <v>13</v>
      </c>
      <c r="AI1180" s="37" t="n">
        <v>7</v>
      </c>
      <c r="AJ1180" s="37" t="s">
        <v>323</v>
      </c>
    </row>
    <row r="1181" customFormat="false" ht="15" hidden="false" customHeight="false" outlineLevel="0" collapsed="false">
      <c r="A1181" s="37" t="n">
        <v>378373643</v>
      </c>
      <c r="B1181" s="38" t="n">
        <v>46252.4573611111</v>
      </c>
      <c r="C1181" s="37" t="s">
        <v>325</v>
      </c>
      <c r="D1181" s="37" t="s">
        <v>1438</v>
      </c>
      <c r="E1181" s="37" t="n">
        <v>21735210</v>
      </c>
      <c r="F1181" s="37" t="s">
        <v>139</v>
      </c>
      <c r="G1181" s="37" t="s">
        <v>198</v>
      </c>
      <c r="H1181" s="37" t="s">
        <v>168</v>
      </c>
      <c r="I1181" s="37" t="n">
        <v>31.9</v>
      </c>
      <c r="J1181" s="39" t="n">
        <v>466.39</v>
      </c>
      <c r="K1181" s="37" t="s">
        <v>322</v>
      </c>
      <c r="L1181" s="39" t="n">
        <v>82.56</v>
      </c>
      <c r="M1181" s="39" t="n">
        <v>54.1</v>
      </c>
      <c r="N1181" s="39" t="n">
        <f aca="false">J1181*Resumo!$C$7</f>
        <v>0.93278</v>
      </c>
      <c r="O1181" s="39" t="n">
        <f aca="false">J1181*Resumo!$C$8</f>
        <v>0.93278</v>
      </c>
      <c r="P1181" s="39" t="n">
        <f aca="false">Resumo!$C$10*CEILING(I1181/100,1)</f>
        <v>1</v>
      </c>
      <c r="Q1181" s="39" t="n">
        <f aca="false">Resumo!$C$9</f>
        <v>11.9</v>
      </c>
      <c r="R1181" s="39" t="n">
        <f aca="false">SUM(M1181:Q1181)*Resumo!$C$11</f>
        <v>3.7876058</v>
      </c>
      <c r="S1181" s="39" t="n">
        <f aca="false">SUM(M1181:R1181)</f>
        <v>72.6531658</v>
      </c>
      <c r="T1181" s="39" t="n">
        <f aca="false">S1181/(1-Resumo!$C$5)</f>
        <v>82.5604156818182</v>
      </c>
      <c r="U1181" s="39" t="n">
        <v>82.21</v>
      </c>
      <c r="V1181" s="39" t="n">
        <f aca="false">J1181*Resumo!$B$6</f>
        <v>0.46639</v>
      </c>
      <c r="W1181" s="39" t="n">
        <f aca="false">J1181*Resumo!$B$7</f>
        <v>0.93278</v>
      </c>
      <c r="X1181" s="39" t="n">
        <f aca="false">Resumo!$B$9</f>
        <v>1</v>
      </c>
      <c r="Y1181" s="39" t="n">
        <f aca="false">Resumo!$B$10*CEILING(I1181/100,1)</f>
        <v>4.5</v>
      </c>
      <c r="Z1181" s="39" t="n">
        <f aca="false">Resumo!$B$12*CEILING(I1181,1)</f>
        <v>1.92</v>
      </c>
      <c r="AA1181" s="39" t="n">
        <f aca="false">Resumo!$B$13*CEILING(I1181,1)</f>
        <v>14.4</v>
      </c>
      <c r="AB1181" s="39" t="n">
        <f aca="false">SUM(U1181:AA1181)</f>
        <v>105.42917</v>
      </c>
      <c r="AC1181" s="39" t="n">
        <f aca="false">AB1181/(1-Resumo!$B$5)</f>
        <v>119.805875</v>
      </c>
      <c r="AD1181" s="39" t="n">
        <f aca="false">(AB1181-AA1181)/(1-Resumo!$B$5)</f>
        <v>103.442238636364</v>
      </c>
      <c r="AE1181" s="39" t="n">
        <f aca="false">AC1181-T1181</f>
        <v>37.2454593181818</v>
      </c>
      <c r="AF1181" s="40" t="n">
        <f aca="false">AC1181/T1181-1</f>
        <v>0.451129745539595</v>
      </c>
      <c r="AG1181" s="37" t="str">
        <f aca="false">IF(AC1181&lt;T1181,"SIM","NÃO")</f>
        <v>NÃO</v>
      </c>
      <c r="AH1181" s="37" t="n">
        <v>8</v>
      </c>
      <c r="AI1181" s="37" t="n">
        <v>5</v>
      </c>
      <c r="AJ1181" s="37" t="s">
        <v>323</v>
      </c>
    </row>
    <row r="1182" customFormat="false" ht="15" hidden="false" customHeight="false" outlineLevel="0" collapsed="false">
      <c r="A1182" s="37" t="n">
        <v>378375605</v>
      </c>
      <c r="B1182" s="38" t="n">
        <v>46252.4615625</v>
      </c>
      <c r="C1182" s="37" t="s">
        <v>320</v>
      </c>
      <c r="D1182" s="37" t="s">
        <v>1439</v>
      </c>
      <c r="E1182" s="37" t="n">
        <v>22723535</v>
      </c>
      <c r="F1182" s="37" t="s">
        <v>139</v>
      </c>
      <c r="G1182" s="37" t="s">
        <v>198</v>
      </c>
      <c r="H1182" s="37" t="s">
        <v>169</v>
      </c>
      <c r="I1182" s="37" t="n">
        <v>36.8</v>
      </c>
      <c r="J1182" s="39" t="n">
        <v>479.99</v>
      </c>
      <c r="K1182" s="37" t="s">
        <v>322</v>
      </c>
      <c r="L1182" s="39" t="n">
        <v>92.16</v>
      </c>
      <c r="M1182" s="39" t="n">
        <v>62.05</v>
      </c>
      <c r="N1182" s="39" t="n">
        <f aca="false">J1182*Resumo!$C$7</f>
        <v>0.95998</v>
      </c>
      <c r="O1182" s="39" t="n">
        <f aca="false">J1182*Resumo!$C$8</f>
        <v>0.95998</v>
      </c>
      <c r="P1182" s="39" t="n">
        <f aca="false">Resumo!$C$10*CEILING(I1182/100,1)</f>
        <v>1</v>
      </c>
      <c r="Q1182" s="39" t="n">
        <f aca="false">Resumo!$C$9</f>
        <v>11.9</v>
      </c>
      <c r="R1182" s="39" t="n">
        <f aca="false">SUM(M1182:Q1182)*Resumo!$C$11</f>
        <v>4.2278478</v>
      </c>
      <c r="S1182" s="39" t="n">
        <f aca="false">SUM(M1182:R1182)</f>
        <v>81.0978078</v>
      </c>
      <c r="T1182" s="39" t="n">
        <f aca="false">S1182/(1-Resumo!$C$5)</f>
        <v>92.1565997727273</v>
      </c>
      <c r="U1182" s="39" t="n">
        <v>93.97</v>
      </c>
      <c r="V1182" s="39" t="n">
        <f aca="false">J1182*Resumo!$B$6</f>
        <v>0.47999</v>
      </c>
      <c r="W1182" s="39" t="n">
        <f aca="false">J1182*Resumo!$B$7</f>
        <v>0.95998</v>
      </c>
      <c r="X1182" s="39" t="n">
        <f aca="false">Resumo!$B$9</f>
        <v>1</v>
      </c>
      <c r="Y1182" s="39" t="n">
        <f aca="false">Resumo!$B$10*CEILING(I1182/100,1)</f>
        <v>4.5</v>
      </c>
      <c r="Z1182" s="39" t="n">
        <f aca="false">Resumo!$B$12*CEILING(I1182,1)</f>
        <v>2.22</v>
      </c>
      <c r="AA1182" s="39" t="n">
        <f aca="false">Resumo!$B$13*CEILING(I1182,1)</f>
        <v>16.65</v>
      </c>
      <c r="AB1182" s="39" t="n">
        <f aca="false">SUM(U1182:AA1182)</f>
        <v>119.77997</v>
      </c>
      <c r="AC1182" s="39" t="n">
        <f aca="false">AB1182/(1-Resumo!$B$5)</f>
        <v>136.113602272727</v>
      </c>
      <c r="AD1182" s="39" t="n">
        <f aca="false">(AB1182-AA1182)/(1-Resumo!$B$5)</f>
        <v>117.193147727273</v>
      </c>
      <c r="AE1182" s="39" t="n">
        <f aca="false">AC1182-T1182</f>
        <v>43.9570025</v>
      </c>
      <c r="AF1182" s="40" t="n">
        <f aca="false">AC1182/T1182-1</f>
        <v>0.476981600974916</v>
      </c>
      <c r="AG1182" s="37" t="str">
        <f aca="false">IF(AC1182&lt;T1182,"SIM","NÃO")</f>
        <v>NÃO</v>
      </c>
      <c r="AH1182" s="37" t="n">
        <v>8</v>
      </c>
      <c r="AI1182" s="37" t="n">
        <v>5</v>
      </c>
      <c r="AJ1182" s="37" t="s">
        <v>323</v>
      </c>
    </row>
    <row r="1183" customFormat="false" ht="15" hidden="false" customHeight="false" outlineLevel="0" collapsed="false">
      <c r="A1183" s="37" t="n">
        <v>378396742</v>
      </c>
      <c r="B1183" s="38" t="n">
        <v>46252.5057638889</v>
      </c>
      <c r="C1183" s="37" t="s">
        <v>320</v>
      </c>
      <c r="D1183" s="37" t="s">
        <v>1440</v>
      </c>
      <c r="E1183" s="37" t="n">
        <v>26215090</v>
      </c>
      <c r="F1183" s="37" t="s">
        <v>142</v>
      </c>
      <c r="G1183" s="37" t="s">
        <v>207</v>
      </c>
      <c r="H1183" s="37" t="s">
        <v>172</v>
      </c>
      <c r="I1183" s="37" t="n">
        <v>69.15</v>
      </c>
      <c r="J1183" s="39" t="n">
        <v>829.99</v>
      </c>
      <c r="K1183" s="37" t="s">
        <v>322</v>
      </c>
      <c r="L1183" s="39" t="n">
        <v>140.41</v>
      </c>
      <c r="M1183" s="39" t="n">
        <v>100.9</v>
      </c>
      <c r="N1183" s="39" t="n">
        <f aca="false">J1183*Resumo!$C$7</f>
        <v>1.65998</v>
      </c>
      <c r="O1183" s="39" t="n">
        <f aca="false">J1183*Resumo!$C$8</f>
        <v>1.65998</v>
      </c>
      <c r="P1183" s="39" t="n">
        <f aca="false">Resumo!$C$10*CEILING(I1183/100,1)</f>
        <v>1</v>
      </c>
      <c r="Q1183" s="39" t="n">
        <f aca="false">Resumo!$C$9</f>
        <v>11.9</v>
      </c>
      <c r="R1183" s="39" t="n">
        <f aca="false">SUM(M1183:Q1183)*Resumo!$C$11</f>
        <v>6.4415978</v>
      </c>
      <c r="S1183" s="39" t="n">
        <f aca="false">SUM(M1183:R1183)</f>
        <v>123.5615578</v>
      </c>
      <c r="T1183" s="39" t="n">
        <f aca="false">S1183/(1-Resumo!$C$5)</f>
        <v>140.410861136364</v>
      </c>
      <c r="U1183" s="39" t="n">
        <v>131.02</v>
      </c>
      <c r="V1183" s="39" t="n">
        <f aca="false">J1183*Resumo!$B$6</f>
        <v>0.82999</v>
      </c>
      <c r="W1183" s="39" t="n">
        <f aca="false">J1183*Resumo!$B$7</f>
        <v>1.65998</v>
      </c>
      <c r="X1183" s="39" t="n">
        <f aca="false">Resumo!$B$9</f>
        <v>1</v>
      </c>
      <c r="Y1183" s="39" t="n">
        <f aca="false">Resumo!$B$10*CEILING(I1183/100,1)</f>
        <v>4.5</v>
      </c>
      <c r="Z1183" s="39" t="n">
        <f aca="false">Resumo!$B$12*CEILING(I1183,1)</f>
        <v>4.2</v>
      </c>
      <c r="AA1183" s="39" t="n">
        <f aca="false">Resumo!$B$13*CEILING(I1183,1)</f>
        <v>31.5</v>
      </c>
      <c r="AB1183" s="39" t="n">
        <f aca="false">SUM(U1183:AA1183)</f>
        <v>174.70997</v>
      </c>
      <c r="AC1183" s="39" t="n">
        <f aca="false">AB1183/(1-Resumo!$B$5)</f>
        <v>198.534056818182</v>
      </c>
      <c r="AD1183" s="39" t="n">
        <f aca="false">(AB1183-AA1183)/(1-Resumo!$B$5)</f>
        <v>162.738602272727</v>
      </c>
      <c r="AE1183" s="39" t="n">
        <f aca="false">AC1183-T1183</f>
        <v>58.1231956818182</v>
      </c>
      <c r="AF1183" s="40" t="n">
        <f aca="false">AC1183/T1183-1</f>
        <v>0.413950852600856</v>
      </c>
      <c r="AG1183" s="37" t="str">
        <f aca="false">IF(AC1183&lt;T1183,"SIM","NÃO")</f>
        <v>NÃO</v>
      </c>
      <c r="AH1183" s="37" t="n">
        <v>10</v>
      </c>
      <c r="AI1183" s="37" t="n">
        <v>5</v>
      </c>
      <c r="AJ1183" s="37" t="s">
        <v>323</v>
      </c>
    </row>
    <row r="1184" customFormat="false" ht="15" hidden="false" customHeight="false" outlineLevel="0" collapsed="false">
      <c r="A1184" s="37" t="n">
        <v>378401570</v>
      </c>
      <c r="B1184" s="38" t="n">
        <v>46252.5139583333</v>
      </c>
      <c r="C1184" s="37" t="s">
        <v>325</v>
      </c>
      <c r="D1184" s="37" t="s">
        <v>1441</v>
      </c>
      <c r="E1184" s="37" t="n">
        <v>25056130</v>
      </c>
      <c r="F1184" s="37" t="s">
        <v>141</v>
      </c>
      <c r="G1184" s="37" t="s">
        <v>207</v>
      </c>
      <c r="H1184" s="37" t="s">
        <v>168</v>
      </c>
      <c r="I1184" s="37" t="n">
        <v>26</v>
      </c>
      <c r="J1184" s="39" t="n">
        <v>483.83</v>
      </c>
      <c r="K1184" s="37" t="s">
        <v>322</v>
      </c>
      <c r="L1184" s="39" t="n">
        <v>101.72</v>
      </c>
      <c r="M1184" s="39" t="n">
        <v>70</v>
      </c>
      <c r="N1184" s="39" t="n">
        <f aca="false">J1184*Resumo!$C$7</f>
        <v>0.96766</v>
      </c>
      <c r="O1184" s="39" t="n">
        <f aca="false">J1184*Resumo!$C$8</f>
        <v>0.96766</v>
      </c>
      <c r="P1184" s="39" t="n">
        <f aca="false">Resumo!$C$10*CEILING(I1184/100,1)</f>
        <v>1</v>
      </c>
      <c r="Q1184" s="39" t="n">
        <f aca="false">Resumo!$C$9</f>
        <v>11.9</v>
      </c>
      <c r="R1184" s="39" t="n">
        <f aca="false">SUM(M1184:Q1184)*Resumo!$C$11</f>
        <v>4.6659426</v>
      </c>
      <c r="S1184" s="39" t="n">
        <f aca="false">SUM(M1184:R1184)</f>
        <v>89.5012626</v>
      </c>
      <c r="T1184" s="39" t="n">
        <f aca="false">S1184/(1-Resumo!$C$5)</f>
        <v>101.705980227273</v>
      </c>
      <c r="U1184" s="39" t="n">
        <v>82.21</v>
      </c>
      <c r="V1184" s="39" t="n">
        <f aca="false">J1184*Resumo!$B$6</f>
        <v>0.48383</v>
      </c>
      <c r="W1184" s="39" t="n">
        <f aca="false">J1184*Resumo!$B$7</f>
        <v>0.96766</v>
      </c>
      <c r="X1184" s="39" t="n">
        <f aca="false">Resumo!$B$9</f>
        <v>1</v>
      </c>
      <c r="Y1184" s="39" t="n">
        <f aca="false">Resumo!$B$10*CEILING(I1184/100,1)</f>
        <v>4.5</v>
      </c>
      <c r="Z1184" s="39" t="n">
        <f aca="false">Resumo!$B$12*CEILING(I1184,1)</f>
        <v>1.56</v>
      </c>
      <c r="AA1184" s="39" t="n">
        <f aca="false">Resumo!$B$13*CEILING(I1184,1)</f>
        <v>11.7</v>
      </c>
      <c r="AB1184" s="39" t="n">
        <f aca="false">SUM(U1184:AA1184)</f>
        <v>102.42149</v>
      </c>
      <c r="AC1184" s="39" t="n">
        <f aca="false">AB1184/(1-Resumo!$B$5)</f>
        <v>116.388056818182</v>
      </c>
      <c r="AD1184" s="39" t="n">
        <f aca="false">(AB1184-AA1184)/(1-Resumo!$B$5)</f>
        <v>103.092602272727</v>
      </c>
      <c r="AE1184" s="39" t="n">
        <f aca="false">AC1184-T1184</f>
        <v>14.6820765909091</v>
      </c>
      <c r="AF1184" s="40" t="n">
        <f aca="false">AC1184/T1184-1</f>
        <v>0.144358046184703</v>
      </c>
      <c r="AG1184" s="37" t="str">
        <f aca="false">IF(AC1184&lt;T1184,"SIM","NÃO")</f>
        <v>NÃO</v>
      </c>
      <c r="AH1184" s="37" t="n">
        <v>10</v>
      </c>
      <c r="AI1184" s="37" t="n">
        <v>5</v>
      </c>
      <c r="AJ1184" s="37" t="s">
        <v>323</v>
      </c>
    </row>
    <row r="1185" customFormat="false" ht="15" hidden="false" customHeight="false" outlineLevel="0" collapsed="false">
      <c r="A1185" s="37" t="n">
        <v>378401556</v>
      </c>
      <c r="B1185" s="38" t="n">
        <v>46252.5142592593</v>
      </c>
      <c r="C1185" s="37" t="s">
        <v>320</v>
      </c>
      <c r="D1185" s="37" t="s">
        <v>474</v>
      </c>
      <c r="E1185" s="37" t="n">
        <v>23520132</v>
      </c>
      <c r="F1185" s="37" t="s">
        <v>139</v>
      </c>
      <c r="G1185" s="37" t="s">
        <v>198</v>
      </c>
      <c r="H1185" s="37" t="s">
        <v>168</v>
      </c>
      <c r="I1185" s="37" t="n">
        <v>27.5</v>
      </c>
      <c r="J1185" s="39" t="n">
        <v>379.99</v>
      </c>
      <c r="K1185" s="37" t="s">
        <v>322</v>
      </c>
      <c r="L1185" s="39" t="n">
        <v>82.15</v>
      </c>
      <c r="M1185" s="39" t="n">
        <v>54.1</v>
      </c>
      <c r="N1185" s="39" t="n">
        <f aca="false">J1185*Resumo!$C$7</f>
        <v>0.75998</v>
      </c>
      <c r="O1185" s="39" t="n">
        <f aca="false">J1185*Resumo!$C$8</f>
        <v>0.75998</v>
      </c>
      <c r="P1185" s="39" t="n">
        <f aca="false">Resumo!$C$10*CEILING(I1185/100,1)</f>
        <v>1</v>
      </c>
      <c r="Q1185" s="39" t="n">
        <f aca="false">Resumo!$C$9</f>
        <v>11.9</v>
      </c>
      <c r="R1185" s="39" t="n">
        <f aca="false">SUM(M1185:Q1185)*Resumo!$C$11</f>
        <v>3.7685978</v>
      </c>
      <c r="S1185" s="39" t="n">
        <f aca="false">SUM(M1185:R1185)</f>
        <v>72.2885578</v>
      </c>
      <c r="T1185" s="39" t="n">
        <f aca="false">S1185/(1-Resumo!$C$5)</f>
        <v>82.1460884090909</v>
      </c>
      <c r="U1185" s="39" t="n">
        <v>82.21</v>
      </c>
      <c r="V1185" s="39" t="n">
        <f aca="false">J1185*Resumo!$B$6</f>
        <v>0.37999</v>
      </c>
      <c r="W1185" s="39" t="n">
        <f aca="false">J1185*Resumo!$B$7</f>
        <v>0.75998</v>
      </c>
      <c r="X1185" s="39" t="n">
        <f aca="false">Resumo!$B$9</f>
        <v>1</v>
      </c>
      <c r="Y1185" s="39" t="n">
        <f aca="false">Resumo!$B$10*CEILING(I1185/100,1)</f>
        <v>4.5</v>
      </c>
      <c r="Z1185" s="39" t="n">
        <f aca="false">Resumo!$B$12*CEILING(I1185,1)</f>
        <v>1.68</v>
      </c>
      <c r="AA1185" s="39" t="n">
        <f aca="false">Resumo!$B$13*CEILING(I1185,1)</f>
        <v>12.6</v>
      </c>
      <c r="AB1185" s="39" t="n">
        <f aca="false">SUM(U1185:AA1185)</f>
        <v>103.12997</v>
      </c>
      <c r="AC1185" s="39" t="n">
        <f aca="false">AB1185/(1-Resumo!$B$5)</f>
        <v>117.193147727273</v>
      </c>
      <c r="AD1185" s="39" t="n">
        <f aca="false">(AB1185-AA1185)/(1-Resumo!$B$5)</f>
        <v>102.874965909091</v>
      </c>
      <c r="AE1185" s="39" t="n">
        <f aca="false">AC1185-T1185</f>
        <v>35.0470593181818</v>
      </c>
      <c r="AF1185" s="40" t="n">
        <f aca="false">AC1185/T1185-1</f>
        <v>0.426643069644972</v>
      </c>
      <c r="AG1185" s="37" t="str">
        <f aca="false">IF(AC1185&lt;T1185,"SIM","NÃO")</f>
        <v>NÃO</v>
      </c>
      <c r="AH1185" s="37" t="n">
        <v>8</v>
      </c>
      <c r="AI1185" s="37" t="n">
        <v>5</v>
      </c>
      <c r="AJ1185" s="37" t="s">
        <v>323</v>
      </c>
    </row>
    <row r="1186" customFormat="false" ht="15" hidden="false" customHeight="false" outlineLevel="0" collapsed="false">
      <c r="A1186" s="37" t="n">
        <v>378406542</v>
      </c>
      <c r="B1186" s="38" t="n">
        <v>46252.5229976852</v>
      </c>
      <c r="C1186" s="37" t="s">
        <v>359</v>
      </c>
      <c r="D1186" s="37" t="s">
        <v>736</v>
      </c>
      <c r="E1186" s="37" t="n">
        <v>28650000</v>
      </c>
      <c r="F1186" s="37" t="s">
        <v>267</v>
      </c>
      <c r="G1186" s="37" t="s">
        <v>201</v>
      </c>
      <c r="H1186" s="37" t="s">
        <v>175</v>
      </c>
      <c r="I1186" s="37" t="n">
        <v>107</v>
      </c>
      <c r="J1186" s="39" t="n">
        <v>3059.98</v>
      </c>
      <c r="K1186" s="37" t="s">
        <v>322</v>
      </c>
      <c r="L1186" s="39" t="n">
        <v>225.33</v>
      </c>
      <c r="M1186" s="39" t="n">
        <v>161.81</v>
      </c>
      <c r="N1186" s="39" t="n">
        <f aca="false">J1186*Resumo!$C$7</f>
        <v>6.11996</v>
      </c>
      <c r="O1186" s="39" t="n">
        <f aca="false">J1186*Resumo!$C$8</f>
        <v>6.11996</v>
      </c>
      <c r="P1186" s="39" t="n">
        <f aca="false">Resumo!$C$10*CEILING(I1186/100,1)</f>
        <v>2</v>
      </c>
      <c r="Q1186" s="39" t="n">
        <f aca="false">Resumo!$C$9</f>
        <v>11.9</v>
      </c>
      <c r="R1186" s="39" t="n">
        <f aca="false">SUM(M1186:Q1186)*Resumo!$C$11</f>
        <v>10.3372456</v>
      </c>
      <c r="S1186" s="39" t="n">
        <f aca="false">SUM(M1186:R1186)</f>
        <v>198.2871656</v>
      </c>
      <c r="T1186" s="39" t="n">
        <f aca="false">S1186/(1-Resumo!$C$5)</f>
        <v>225.326324545455</v>
      </c>
      <c r="U1186" s="39" t="n">
        <v>236.82</v>
      </c>
      <c r="V1186" s="39" t="n">
        <f aca="false">J1186*Resumo!$B$6</f>
        <v>3.05998</v>
      </c>
      <c r="W1186" s="39" t="n">
        <f aca="false">J1186*Resumo!$B$7</f>
        <v>6.11996</v>
      </c>
      <c r="X1186" s="39" t="n">
        <f aca="false">Resumo!$B$9</f>
        <v>1</v>
      </c>
      <c r="Y1186" s="39" t="n">
        <f aca="false">Resumo!$B$10*CEILING(I1186/100,1)</f>
        <v>9</v>
      </c>
      <c r="Z1186" s="39" t="n">
        <f aca="false">Resumo!$B$12*CEILING(I1186,1)</f>
        <v>6.42</v>
      </c>
      <c r="AA1186" s="39" t="n">
        <f aca="false">Resumo!$B$13*CEILING(I1186,1)</f>
        <v>48.15</v>
      </c>
      <c r="AB1186" s="39" t="n">
        <f aca="false">SUM(U1186:AA1186)</f>
        <v>310.56994</v>
      </c>
      <c r="AC1186" s="39" t="n">
        <f aca="false">AB1186/(1-Resumo!$B$5)</f>
        <v>352.920386363636</v>
      </c>
      <c r="AD1186" s="39" t="n">
        <f aca="false">(AB1186-AA1186)/(1-Resumo!$B$5)</f>
        <v>298.204477272727</v>
      </c>
      <c r="AE1186" s="39" t="n">
        <f aca="false">AC1186-T1186</f>
        <v>127.594061818182</v>
      </c>
      <c r="AF1186" s="40" t="n">
        <f aca="false">AC1186/T1186-1</f>
        <v>0.566263449579512</v>
      </c>
      <c r="AG1186" s="37" t="str">
        <f aca="false">IF(AC1186&lt;T1186,"SIM","NÃO")</f>
        <v>NÃO</v>
      </c>
      <c r="AH1186" s="37" t="n">
        <v>13</v>
      </c>
      <c r="AI1186" s="37" t="n">
        <v>10</v>
      </c>
      <c r="AJ1186" s="37" t="s">
        <v>327</v>
      </c>
    </row>
    <row r="1187" customFormat="false" ht="15" hidden="false" customHeight="false" outlineLevel="0" collapsed="false">
      <c r="A1187" s="37" t="n">
        <v>378433768</v>
      </c>
      <c r="B1187" s="38" t="n">
        <v>46252.5720601852</v>
      </c>
      <c r="C1187" s="37" t="s">
        <v>320</v>
      </c>
      <c r="D1187" s="37" t="s">
        <v>1442</v>
      </c>
      <c r="E1187" s="37" t="n">
        <v>25555050</v>
      </c>
      <c r="F1187" s="37" t="s">
        <v>147</v>
      </c>
      <c r="G1187" s="37" t="s">
        <v>207</v>
      </c>
      <c r="H1187" s="37" t="s">
        <v>170</v>
      </c>
      <c r="I1187" s="37" t="n">
        <v>46.8</v>
      </c>
      <c r="J1187" s="39" t="n">
        <v>506.56</v>
      </c>
      <c r="K1187" s="37" t="s">
        <v>322</v>
      </c>
      <c r="L1187" s="39" t="n">
        <v>116.49</v>
      </c>
      <c r="M1187" s="39" t="n">
        <v>82.25</v>
      </c>
      <c r="N1187" s="39" t="n">
        <f aca="false">J1187*Resumo!$C$7</f>
        <v>1.01312</v>
      </c>
      <c r="O1187" s="39" t="n">
        <f aca="false">J1187*Resumo!$C$8</f>
        <v>1.01312</v>
      </c>
      <c r="P1187" s="39" t="n">
        <f aca="false">Resumo!$C$10*CEILING(I1187/100,1)</f>
        <v>1</v>
      </c>
      <c r="Q1187" s="39" t="n">
        <f aca="false">Resumo!$C$9</f>
        <v>11.9</v>
      </c>
      <c r="R1187" s="39" t="n">
        <f aca="false">SUM(M1187:Q1187)*Resumo!$C$11</f>
        <v>5.3446932</v>
      </c>
      <c r="S1187" s="39" t="n">
        <f aca="false">SUM(M1187:R1187)</f>
        <v>102.5209332</v>
      </c>
      <c r="T1187" s="39" t="n">
        <f aca="false">S1187/(1-Resumo!$C$5)</f>
        <v>116.501060454545</v>
      </c>
      <c r="U1187" s="39" t="n">
        <v>93.97</v>
      </c>
      <c r="V1187" s="39" t="n">
        <f aca="false">J1187*Resumo!$B$6</f>
        <v>0.50656</v>
      </c>
      <c r="W1187" s="39" t="n">
        <f aca="false">J1187*Resumo!$B$7</f>
        <v>1.01312</v>
      </c>
      <c r="X1187" s="39" t="n">
        <f aca="false">Resumo!$B$9</f>
        <v>1</v>
      </c>
      <c r="Y1187" s="39" t="n">
        <f aca="false">Resumo!$B$10*CEILING(I1187/100,1)</f>
        <v>4.5</v>
      </c>
      <c r="Z1187" s="39" t="n">
        <f aca="false">Resumo!$B$12*CEILING(I1187,1)</f>
        <v>2.82</v>
      </c>
      <c r="AA1187" s="39" t="n">
        <f aca="false">Resumo!$B$13*CEILING(I1187,1)</f>
        <v>21.15</v>
      </c>
      <c r="AB1187" s="39" t="n">
        <f aca="false">SUM(U1187:AA1187)</f>
        <v>124.95968</v>
      </c>
      <c r="AC1187" s="39" t="n">
        <f aca="false">AB1187/(1-Resumo!$B$5)</f>
        <v>141.999636363636</v>
      </c>
      <c r="AD1187" s="39" t="n">
        <f aca="false">(AB1187-AA1187)/(1-Resumo!$B$5)</f>
        <v>117.965545454545</v>
      </c>
      <c r="AE1187" s="39" t="n">
        <f aca="false">AC1187-T1187</f>
        <v>25.4985759090909</v>
      </c>
      <c r="AF1187" s="40" t="n">
        <f aca="false">AC1187/T1187-1</f>
        <v>0.218869903927094</v>
      </c>
      <c r="AG1187" s="37" t="str">
        <f aca="false">IF(AC1187&lt;T1187,"SIM","NÃO")</f>
        <v>NÃO</v>
      </c>
      <c r="AH1187" s="37" t="n">
        <v>10</v>
      </c>
      <c r="AI1187" s="37" t="n">
        <v>5</v>
      </c>
      <c r="AJ1187" s="37" t="s">
        <v>323</v>
      </c>
    </row>
    <row r="1188" customFormat="false" ht="15" hidden="false" customHeight="false" outlineLevel="0" collapsed="false">
      <c r="A1188" s="37" t="n">
        <v>378436882</v>
      </c>
      <c r="B1188" s="38" t="n">
        <v>46252.5786921296</v>
      </c>
      <c r="C1188" s="37" t="s">
        <v>320</v>
      </c>
      <c r="D1188" s="37" t="s">
        <v>1443</v>
      </c>
      <c r="E1188" s="37" t="n">
        <v>26298611</v>
      </c>
      <c r="F1188" s="37" t="s">
        <v>142</v>
      </c>
      <c r="G1188" s="37" t="s">
        <v>207</v>
      </c>
      <c r="H1188" s="37" t="s">
        <v>172</v>
      </c>
      <c r="I1188" s="37" t="n">
        <v>63.9</v>
      </c>
      <c r="J1188" s="39" t="n">
        <v>730.98</v>
      </c>
      <c r="K1188" s="37" t="s">
        <v>322</v>
      </c>
      <c r="L1188" s="39" t="n">
        <v>139.93</v>
      </c>
      <c r="M1188" s="39" t="n">
        <v>100.9</v>
      </c>
      <c r="N1188" s="39" t="n">
        <f aca="false">J1188*Resumo!$C$7</f>
        <v>1.46196</v>
      </c>
      <c r="O1188" s="39" t="n">
        <f aca="false">J1188*Resumo!$C$8</f>
        <v>1.46196</v>
      </c>
      <c r="P1188" s="39" t="n">
        <f aca="false">Resumo!$C$10*CEILING(I1188/100,1)</f>
        <v>1</v>
      </c>
      <c r="Q1188" s="39" t="n">
        <f aca="false">Resumo!$C$9</f>
        <v>11.9</v>
      </c>
      <c r="R1188" s="39" t="n">
        <f aca="false">SUM(M1188:Q1188)*Resumo!$C$11</f>
        <v>6.4198156</v>
      </c>
      <c r="S1188" s="39" t="n">
        <f aca="false">SUM(M1188:R1188)</f>
        <v>123.1437356</v>
      </c>
      <c r="T1188" s="39" t="n">
        <f aca="false">S1188/(1-Resumo!$C$5)</f>
        <v>139.936063181818</v>
      </c>
      <c r="U1188" s="39" t="n">
        <v>131.02</v>
      </c>
      <c r="V1188" s="39" t="n">
        <f aca="false">J1188*Resumo!$B$6</f>
        <v>0.73098</v>
      </c>
      <c r="W1188" s="39" t="n">
        <f aca="false">J1188*Resumo!$B$7</f>
        <v>1.46196</v>
      </c>
      <c r="X1188" s="39" t="n">
        <f aca="false">Resumo!$B$9</f>
        <v>1</v>
      </c>
      <c r="Y1188" s="39" t="n">
        <f aca="false">Resumo!$B$10*CEILING(I1188/100,1)</f>
        <v>4.5</v>
      </c>
      <c r="Z1188" s="39" t="n">
        <f aca="false">Resumo!$B$12*CEILING(I1188,1)</f>
        <v>3.84</v>
      </c>
      <c r="AA1188" s="39" t="n">
        <f aca="false">Resumo!$B$13*CEILING(I1188,1)</f>
        <v>28.8</v>
      </c>
      <c r="AB1188" s="39" t="n">
        <f aca="false">SUM(U1188:AA1188)</f>
        <v>171.35294</v>
      </c>
      <c r="AC1188" s="39" t="n">
        <f aca="false">AB1188/(1-Resumo!$B$5)</f>
        <v>194.71925</v>
      </c>
      <c r="AD1188" s="39" t="n">
        <f aca="false">(AB1188-AA1188)/(1-Resumo!$B$5)</f>
        <v>161.991977272727</v>
      </c>
      <c r="AE1188" s="39" t="n">
        <f aca="false">AC1188-T1188</f>
        <v>54.7831868181818</v>
      </c>
      <c r="AF1188" s="40" t="n">
        <f aca="false">AC1188/T1188-1</f>
        <v>0.391487266202439</v>
      </c>
      <c r="AG1188" s="37" t="str">
        <f aca="false">IF(AC1188&lt;T1188,"SIM","NÃO")</f>
        <v>NÃO</v>
      </c>
      <c r="AH1188" s="37" t="n">
        <v>10</v>
      </c>
      <c r="AI1188" s="37" t="n">
        <v>5</v>
      </c>
      <c r="AJ1188" s="37" t="s">
        <v>323</v>
      </c>
    </row>
    <row r="1189" customFormat="false" ht="15" hidden="false" customHeight="false" outlineLevel="0" collapsed="false">
      <c r="A1189" s="37" t="n">
        <v>378452214</v>
      </c>
      <c r="B1189" s="38" t="n">
        <v>46252.6090277778</v>
      </c>
      <c r="C1189" s="37" t="s">
        <v>320</v>
      </c>
      <c r="D1189" s="37" t="s">
        <v>1444</v>
      </c>
      <c r="E1189" s="37" t="n">
        <v>22211230</v>
      </c>
      <c r="F1189" s="37" t="s">
        <v>139</v>
      </c>
      <c r="G1189" s="37" t="s">
        <v>198</v>
      </c>
      <c r="H1189" s="37" t="s">
        <v>171</v>
      </c>
      <c r="I1189" s="37" t="n">
        <v>52.3</v>
      </c>
      <c r="J1189" s="39" t="n">
        <v>699.99</v>
      </c>
      <c r="K1189" s="37" t="s">
        <v>322</v>
      </c>
      <c r="L1189" s="39" t="n">
        <v>114.5</v>
      </c>
      <c r="M1189" s="39" t="n">
        <v>79.81</v>
      </c>
      <c r="N1189" s="39" t="n">
        <f aca="false">J1189*Resumo!$C$7</f>
        <v>1.39998</v>
      </c>
      <c r="O1189" s="39" t="n">
        <f aca="false">J1189*Resumo!$C$8</f>
        <v>1.39998</v>
      </c>
      <c r="P1189" s="39" t="n">
        <f aca="false">Resumo!$C$10*CEILING(I1189/100,1)</f>
        <v>1</v>
      </c>
      <c r="Q1189" s="39" t="n">
        <f aca="false">Resumo!$C$9</f>
        <v>11.9</v>
      </c>
      <c r="R1189" s="39" t="n">
        <f aca="false">SUM(M1189:Q1189)*Resumo!$C$11</f>
        <v>5.2530478</v>
      </c>
      <c r="S1189" s="39" t="n">
        <f aca="false">SUM(M1189:R1189)</f>
        <v>100.7630078</v>
      </c>
      <c r="T1189" s="39" t="n">
        <f aca="false">S1189/(1-Resumo!$C$5)</f>
        <v>114.503417954545</v>
      </c>
      <c r="U1189" s="39" t="n">
        <v>112.3</v>
      </c>
      <c r="V1189" s="39" t="n">
        <f aca="false">J1189*Resumo!$B$6</f>
        <v>0.69999</v>
      </c>
      <c r="W1189" s="39" t="n">
        <f aca="false">J1189*Resumo!$B$7</f>
        <v>1.39998</v>
      </c>
      <c r="X1189" s="39" t="n">
        <f aca="false">Resumo!$B$9</f>
        <v>1</v>
      </c>
      <c r="Y1189" s="39" t="n">
        <f aca="false">Resumo!$B$10*CEILING(I1189/100,1)</f>
        <v>4.5</v>
      </c>
      <c r="Z1189" s="39" t="n">
        <f aca="false">Resumo!$B$12*CEILING(I1189,1)</f>
        <v>3.18</v>
      </c>
      <c r="AA1189" s="39" t="n">
        <f aca="false">Resumo!$B$13*CEILING(I1189,1)</f>
        <v>23.85</v>
      </c>
      <c r="AB1189" s="39" t="n">
        <f aca="false">SUM(U1189:AA1189)</f>
        <v>146.92997</v>
      </c>
      <c r="AC1189" s="39" t="n">
        <f aca="false">AB1189/(1-Resumo!$B$5)</f>
        <v>166.965875</v>
      </c>
      <c r="AD1189" s="39" t="n">
        <f aca="false">(AB1189-AA1189)/(1-Resumo!$B$5)</f>
        <v>139.863602272727</v>
      </c>
      <c r="AE1189" s="39" t="n">
        <f aca="false">AC1189-T1189</f>
        <v>52.4624570454545</v>
      </c>
      <c r="AF1189" s="40" t="n">
        <f aca="false">AC1189/T1189-1</f>
        <v>0.458173720772952</v>
      </c>
      <c r="AG1189" s="37" t="str">
        <f aca="false">IF(AC1189&lt;T1189,"SIM","NÃO")</f>
        <v>NÃO</v>
      </c>
      <c r="AH1189" s="37" t="n">
        <v>8</v>
      </c>
      <c r="AI1189" s="37" t="n">
        <v>5</v>
      </c>
      <c r="AJ1189" s="37" t="s">
        <v>323</v>
      </c>
    </row>
    <row r="1190" customFormat="false" ht="15" hidden="false" customHeight="false" outlineLevel="0" collapsed="false">
      <c r="A1190" s="37" t="n">
        <v>378457966</v>
      </c>
      <c r="B1190" s="38" t="n">
        <v>46252.620162037</v>
      </c>
      <c r="C1190" s="37" t="s">
        <v>325</v>
      </c>
      <c r="D1190" s="37" t="s">
        <v>1445</v>
      </c>
      <c r="E1190" s="37" t="n">
        <v>27536220</v>
      </c>
      <c r="F1190" s="37" t="s">
        <v>236</v>
      </c>
      <c r="G1190" s="37" t="s">
        <v>201</v>
      </c>
      <c r="H1190" s="37" t="s">
        <v>172</v>
      </c>
      <c r="I1190" s="37" t="n">
        <v>66.8</v>
      </c>
      <c r="J1190" s="39" t="n">
        <v>631.66</v>
      </c>
      <c r="K1190" s="37" t="s">
        <v>322</v>
      </c>
      <c r="L1190" s="39" t="n">
        <v>155.03</v>
      </c>
      <c r="M1190" s="39" t="n">
        <v>113.9</v>
      </c>
      <c r="N1190" s="39" t="n">
        <f aca="false">J1190*Resumo!$C$7</f>
        <v>1.26332</v>
      </c>
      <c r="O1190" s="39" t="n">
        <f aca="false">J1190*Resumo!$C$8</f>
        <v>1.26332</v>
      </c>
      <c r="P1190" s="39" t="n">
        <f aca="false">Resumo!$C$10*CEILING(I1190/100,1)</f>
        <v>1</v>
      </c>
      <c r="Q1190" s="39" t="n">
        <f aca="false">Resumo!$C$9</f>
        <v>11.9</v>
      </c>
      <c r="R1190" s="39" t="n">
        <f aca="false">SUM(M1190:Q1190)*Resumo!$C$11</f>
        <v>7.1129652</v>
      </c>
      <c r="S1190" s="39" t="n">
        <f aca="false">SUM(M1190:R1190)</f>
        <v>136.4396052</v>
      </c>
      <c r="T1190" s="39" t="n">
        <f aca="false">S1190/(1-Resumo!$C$5)</f>
        <v>155.045005909091</v>
      </c>
      <c r="U1190" s="39" t="n">
        <v>166.05</v>
      </c>
      <c r="V1190" s="39" t="n">
        <f aca="false">J1190*Resumo!$B$6</f>
        <v>0.63166</v>
      </c>
      <c r="W1190" s="39" t="n">
        <f aca="false">J1190*Resumo!$B$7</f>
        <v>1.26332</v>
      </c>
      <c r="X1190" s="39" t="n">
        <f aca="false">Resumo!$B$9</f>
        <v>1</v>
      </c>
      <c r="Y1190" s="39" t="n">
        <f aca="false">Resumo!$B$10*CEILING(I1190/100,1)</f>
        <v>4.5</v>
      </c>
      <c r="Z1190" s="39" t="n">
        <f aca="false">Resumo!$B$12*CEILING(I1190,1)</f>
        <v>4.02</v>
      </c>
      <c r="AA1190" s="39" t="n">
        <f aca="false">Resumo!$B$13*CEILING(I1190,1)</f>
        <v>30.15</v>
      </c>
      <c r="AB1190" s="39" t="n">
        <f aca="false">SUM(U1190:AA1190)</f>
        <v>207.61498</v>
      </c>
      <c r="AC1190" s="39" t="n">
        <f aca="false">AB1190/(1-Resumo!$B$5)</f>
        <v>235.926113636364</v>
      </c>
      <c r="AD1190" s="39" t="n">
        <f aca="false">(AB1190-AA1190)/(1-Resumo!$B$5)</f>
        <v>201.66475</v>
      </c>
      <c r="AE1190" s="39" t="n">
        <f aca="false">AC1190-T1190</f>
        <v>80.8811077272728</v>
      </c>
      <c r="AF1190" s="40" t="n">
        <f aca="false">AC1190/T1190-1</f>
        <v>0.521662128057814</v>
      </c>
      <c r="AG1190" s="37" t="str">
        <f aca="false">IF(AC1190&lt;T1190,"SIM","NÃO")</f>
        <v>NÃO</v>
      </c>
      <c r="AH1190" s="37" t="n">
        <v>13</v>
      </c>
      <c r="AI1190" s="37" t="n">
        <v>10</v>
      </c>
      <c r="AJ1190" s="37" t="s">
        <v>327</v>
      </c>
    </row>
    <row r="1191" customFormat="false" ht="15" hidden="false" customHeight="false" outlineLevel="0" collapsed="false">
      <c r="A1191" s="37" t="n">
        <v>378461671</v>
      </c>
      <c r="B1191" s="38" t="n">
        <v>46252.6272106482</v>
      </c>
      <c r="C1191" s="37" t="s">
        <v>320</v>
      </c>
      <c r="D1191" s="37" t="s">
        <v>1446</v>
      </c>
      <c r="E1191" s="37" t="n">
        <v>20250450</v>
      </c>
      <c r="F1191" s="37" t="s">
        <v>139</v>
      </c>
      <c r="G1191" s="37" t="s">
        <v>198</v>
      </c>
      <c r="H1191" s="37" t="s">
        <v>170</v>
      </c>
      <c r="I1191" s="37" t="n">
        <v>41.4</v>
      </c>
      <c r="J1191" s="39" t="n">
        <v>449.99</v>
      </c>
      <c r="K1191" s="37" t="s">
        <v>322</v>
      </c>
      <c r="L1191" s="39" t="n">
        <v>102.74</v>
      </c>
      <c r="M1191" s="39" t="n">
        <v>71</v>
      </c>
      <c r="N1191" s="39" t="n">
        <f aca="false">J1191*Resumo!$C$7</f>
        <v>0.89998</v>
      </c>
      <c r="O1191" s="39" t="n">
        <f aca="false">J1191*Resumo!$C$8</f>
        <v>0.89998</v>
      </c>
      <c r="P1191" s="39" t="n">
        <f aca="false">Resumo!$C$10*CEILING(I1191/100,1)</f>
        <v>1</v>
      </c>
      <c r="Q1191" s="39" t="n">
        <f aca="false">Resumo!$C$9</f>
        <v>11.9</v>
      </c>
      <c r="R1191" s="39" t="n">
        <f aca="false">SUM(M1191:Q1191)*Resumo!$C$11</f>
        <v>4.7134978</v>
      </c>
      <c r="S1191" s="39" t="n">
        <f aca="false">SUM(M1191:R1191)</f>
        <v>90.4134578</v>
      </c>
      <c r="T1191" s="39" t="n">
        <f aca="false">S1191/(1-Resumo!$C$5)</f>
        <v>102.742565681818</v>
      </c>
      <c r="U1191" s="39" t="n">
        <v>93.97</v>
      </c>
      <c r="V1191" s="39" t="n">
        <f aca="false">J1191*Resumo!$B$6</f>
        <v>0.44999</v>
      </c>
      <c r="W1191" s="39" t="n">
        <f aca="false">J1191*Resumo!$B$7</f>
        <v>0.89998</v>
      </c>
      <c r="X1191" s="39" t="n">
        <f aca="false">Resumo!$B$9</f>
        <v>1</v>
      </c>
      <c r="Y1191" s="39" t="n">
        <f aca="false">Resumo!$B$10*CEILING(I1191/100,1)</f>
        <v>4.5</v>
      </c>
      <c r="Z1191" s="39" t="n">
        <f aca="false">Resumo!$B$12*CEILING(I1191,1)</f>
        <v>2.52</v>
      </c>
      <c r="AA1191" s="39" t="n">
        <f aca="false">Resumo!$B$13*CEILING(I1191,1)</f>
        <v>18.9</v>
      </c>
      <c r="AB1191" s="39" t="n">
        <f aca="false">SUM(U1191:AA1191)</f>
        <v>122.23997</v>
      </c>
      <c r="AC1191" s="39" t="n">
        <f aca="false">AB1191/(1-Resumo!$B$5)</f>
        <v>138.909056818182</v>
      </c>
      <c r="AD1191" s="39" t="n">
        <f aca="false">(AB1191-AA1191)/(1-Resumo!$B$5)</f>
        <v>117.431784090909</v>
      </c>
      <c r="AE1191" s="39" t="n">
        <f aca="false">AC1191-T1191</f>
        <v>36.1664911363636</v>
      </c>
      <c r="AF1191" s="40" t="n">
        <f aca="false">AC1191/T1191-1</f>
        <v>0.352010784394533</v>
      </c>
      <c r="AG1191" s="37" t="str">
        <f aca="false">IF(AC1191&lt;T1191,"SIM","NÃO")</f>
        <v>NÃO</v>
      </c>
      <c r="AH1191" s="37" t="n">
        <v>8</v>
      </c>
      <c r="AI1191" s="37" t="n">
        <v>5</v>
      </c>
      <c r="AJ1191" s="37" t="s">
        <v>323</v>
      </c>
    </row>
    <row r="1192" customFormat="false" ht="15" hidden="false" customHeight="false" outlineLevel="0" collapsed="false">
      <c r="A1192" s="37" t="n">
        <v>378468371</v>
      </c>
      <c r="B1192" s="38" t="n">
        <v>46252.6396412037</v>
      </c>
      <c r="C1192" s="37" t="s">
        <v>320</v>
      </c>
      <c r="D1192" s="37" t="s">
        <v>1447</v>
      </c>
      <c r="E1192" s="37" t="n">
        <v>28985445</v>
      </c>
      <c r="F1192" s="37" t="s">
        <v>153</v>
      </c>
      <c r="G1192" s="37" t="s">
        <v>201</v>
      </c>
      <c r="H1192" s="37" t="s">
        <v>169</v>
      </c>
      <c r="I1192" s="37" t="n">
        <v>39.8</v>
      </c>
      <c r="J1192" s="39" t="n">
        <v>559.98</v>
      </c>
      <c r="K1192" s="37" t="s">
        <v>322</v>
      </c>
      <c r="L1192" s="39" t="n">
        <v>122.93</v>
      </c>
      <c r="M1192" s="39" t="n">
        <v>87.4</v>
      </c>
      <c r="N1192" s="39" t="n">
        <f aca="false">J1192*Resumo!$C$7</f>
        <v>1.11996</v>
      </c>
      <c r="O1192" s="39" t="n">
        <f aca="false">J1192*Resumo!$C$8</f>
        <v>1.11996</v>
      </c>
      <c r="P1192" s="39" t="n">
        <f aca="false">Resumo!$C$10*CEILING(I1192/100,1)</f>
        <v>1</v>
      </c>
      <c r="Q1192" s="39" t="n">
        <f aca="false">Resumo!$C$9</f>
        <v>11.9</v>
      </c>
      <c r="R1192" s="39" t="n">
        <f aca="false">SUM(M1192:Q1192)*Resumo!$C$11</f>
        <v>5.6396956</v>
      </c>
      <c r="S1192" s="39" t="n">
        <f aca="false">SUM(M1192:R1192)</f>
        <v>108.1796156</v>
      </c>
      <c r="T1192" s="39" t="n">
        <f aca="false">S1192/(1-Resumo!$C$5)</f>
        <v>122.931381363636</v>
      </c>
      <c r="U1192" s="39" t="n">
        <v>124.38</v>
      </c>
      <c r="V1192" s="39" t="n">
        <f aca="false">J1192*Resumo!$B$6</f>
        <v>0.55998</v>
      </c>
      <c r="W1192" s="39" t="n">
        <f aca="false">J1192*Resumo!$B$7</f>
        <v>1.11996</v>
      </c>
      <c r="X1192" s="39" t="n">
        <f aca="false">Resumo!$B$9</f>
        <v>1</v>
      </c>
      <c r="Y1192" s="39" t="n">
        <f aca="false">Resumo!$B$10*CEILING(I1192/100,1)</f>
        <v>4.5</v>
      </c>
      <c r="Z1192" s="39" t="n">
        <f aca="false">Resumo!$B$12*CEILING(I1192,1)</f>
        <v>2.4</v>
      </c>
      <c r="AA1192" s="39" t="n">
        <f aca="false">Resumo!$B$13*CEILING(I1192,1)</f>
        <v>18</v>
      </c>
      <c r="AB1192" s="39" t="n">
        <f aca="false">SUM(U1192:AA1192)</f>
        <v>151.95994</v>
      </c>
      <c r="AC1192" s="39" t="n">
        <f aca="false">AB1192/(1-Resumo!$B$5)</f>
        <v>172.68175</v>
      </c>
      <c r="AD1192" s="39" t="n">
        <f aca="false">(AB1192-AA1192)/(1-Resumo!$B$5)</f>
        <v>152.227204545455</v>
      </c>
      <c r="AE1192" s="39" t="n">
        <f aca="false">AC1192-T1192</f>
        <v>49.7503686363636</v>
      </c>
      <c r="AF1192" s="40" t="n">
        <f aca="false">AC1192/T1192-1</f>
        <v>0.404700313984107</v>
      </c>
      <c r="AG1192" s="37" t="str">
        <f aca="false">IF(AC1192&lt;T1192,"SIM","NÃO")</f>
        <v>NÃO</v>
      </c>
      <c r="AH1192" s="37" t="n">
        <v>13</v>
      </c>
      <c r="AI1192" s="37" t="n">
        <v>10</v>
      </c>
      <c r="AJ1192" s="37" t="s">
        <v>323</v>
      </c>
    </row>
    <row r="1193" customFormat="false" ht="15" hidden="false" customHeight="false" outlineLevel="0" collapsed="false">
      <c r="A1193" s="37" t="n">
        <v>378474918</v>
      </c>
      <c r="B1193" s="38" t="n">
        <v>46252.6521064815</v>
      </c>
      <c r="C1193" s="37" t="s">
        <v>325</v>
      </c>
      <c r="D1193" s="37" t="s">
        <v>1448</v>
      </c>
      <c r="E1193" s="37" t="n">
        <v>23085600</v>
      </c>
      <c r="F1193" s="37" t="s">
        <v>139</v>
      </c>
      <c r="G1193" s="37" t="s">
        <v>198</v>
      </c>
      <c r="H1193" s="37" t="s">
        <v>173</v>
      </c>
      <c r="I1193" s="37" t="n">
        <v>74.4</v>
      </c>
      <c r="J1193" s="39" t="n">
        <v>879.99</v>
      </c>
      <c r="K1193" s="37" t="s">
        <v>322</v>
      </c>
      <c r="L1193" s="39" t="n">
        <v>136.69</v>
      </c>
      <c r="M1193" s="39" t="n">
        <v>97.6</v>
      </c>
      <c r="N1193" s="39" t="n">
        <f aca="false">J1193*Resumo!$C$7</f>
        <v>1.75998</v>
      </c>
      <c r="O1193" s="39" t="n">
        <f aca="false">J1193*Resumo!$C$8</f>
        <v>1.75998</v>
      </c>
      <c r="P1193" s="39" t="n">
        <f aca="false">Resumo!$C$10*CEILING(I1193/100,1)</f>
        <v>1</v>
      </c>
      <c r="Q1193" s="39" t="n">
        <f aca="false">Resumo!$C$9</f>
        <v>11.9</v>
      </c>
      <c r="R1193" s="39" t="n">
        <f aca="false">SUM(M1193:Q1193)*Resumo!$C$11</f>
        <v>6.2710978</v>
      </c>
      <c r="S1193" s="39" t="n">
        <f aca="false">SUM(M1193:R1193)</f>
        <v>120.2910578</v>
      </c>
      <c r="T1193" s="39" t="n">
        <f aca="false">S1193/(1-Resumo!$C$5)</f>
        <v>136.694383863636</v>
      </c>
      <c r="U1193" s="39" t="n">
        <v>134.39</v>
      </c>
      <c r="V1193" s="39" t="n">
        <f aca="false">J1193*Resumo!$B$6</f>
        <v>0.87999</v>
      </c>
      <c r="W1193" s="39" t="n">
        <f aca="false">J1193*Resumo!$B$7</f>
        <v>1.75998</v>
      </c>
      <c r="X1193" s="39" t="n">
        <f aca="false">Resumo!$B$9</f>
        <v>1</v>
      </c>
      <c r="Y1193" s="39" t="n">
        <f aca="false">Resumo!$B$10*CEILING(I1193/100,1)</f>
        <v>4.5</v>
      </c>
      <c r="Z1193" s="39" t="n">
        <f aca="false">Resumo!$B$12*CEILING(I1193,1)</f>
        <v>4.5</v>
      </c>
      <c r="AA1193" s="39" t="n">
        <f aca="false">Resumo!$B$13*CEILING(I1193,1)</f>
        <v>33.75</v>
      </c>
      <c r="AB1193" s="39" t="n">
        <f aca="false">SUM(U1193:AA1193)</f>
        <v>180.77997</v>
      </c>
      <c r="AC1193" s="39" t="n">
        <f aca="false">AB1193/(1-Resumo!$B$5)</f>
        <v>205.431784090909</v>
      </c>
      <c r="AD1193" s="39" t="n">
        <f aca="false">(AB1193-AA1193)/(1-Resumo!$B$5)</f>
        <v>167.079511363636</v>
      </c>
      <c r="AE1193" s="39" t="n">
        <f aca="false">AC1193-T1193</f>
        <v>68.7374002272727</v>
      </c>
      <c r="AF1193" s="40" t="n">
        <f aca="false">AC1193/T1193-1</f>
        <v>0.502854603711033</v>
      </c>
      <c r="AG1193" s="37" t="str">
        <f aca="false">IF(AC1193&lt;T1193,"SIM","NÃO")</f>
        <v>NÃO</v>
      </c>
      <c r="AH1193" s="37" t="n">
        <v>8</v>
      </c>
      <c r="AI1193" s="37" t="n">
        <v>5</v>
      </c>
      <c r="AJ1193" s="37" t="s">
        <v>323</v>
      </c>
    </row>
    <row r="1194" customFormat="false" ht="15" hidden="false" customHeight="false" outlineLevel="0" collapsed="false">
      <c r="A1194" s="37" t="n">
        <v>378518026</v>
      </c>
      <c r="B1194" s="38" t="n">
        <v>46252.7386921296</v>
      </c>
      <c r="C1194" s="37" t="s">
        <v>320</v>
      </c>
      <c r="D1194" s="37" t="s">
        <v>1449</v>
      </c>
      <c r="E1194" s="37" t="n">
        <v>24934510</v>
      </c>
      <c r="F1194" s="37" t="s">
        <v>151</v>
      </c>
      <c r="G1194" s="37" t="s">
        <v>201</v>
      </c>
      <c r="H1194" s="37" t="s">
        <v>172</v>
      </c>
      <c r="I1194" s="37" t="n">
        <v>61.4</v>
      </c>
      <c r="J1194" s="39" t="n">
        <v>999.99</v>
      </c>
      <c r="K1194" s="37" t="s">
        <v>322</v>
      </c>
      <c r="L1194" s="39" t="n">
        <v>156.81</v>
      </c>
      <c r="M1194" s="39" t="n">
        <v>113.9</v>
      </c>
      <c r="N1194" s="39" t="n">
        <f aca="false">J1194*Resumo!$C$7</f>
        <v>1.99998</v>
      </c>
      <c r="O1194" s="39" t="n">
        <f aca="false">J1194*Resumo!$C$8</f>
        <v>1.99998</v>
      </c>
      <c r="P1194" s="39" t="n">
        <f aca="false">Resumo!$C$10*CEILING(I1194/100,1)</f>
        <v>1</v>
      </c>
      <c r="Q1194" s="39" t="n">
        <f aca="false">Resumo!$C$9</f>
        <v>11.9</v>
      </c>
      <c r="R1194" s="39" t="n">
        <f aca="false">SUM(M1194:Q1194)*Resumo!$C$11</f>
        <v>7.1939978</v>
      </c>
      <c r="S1194" s="39" t="n">
        <f aca="false">SUM(M1194:R1194)</f>
        <v>137.9939578</v>
      </c>
      <c r="T1194" s="39" t="n">
        <f aca="false">S1194/(1-Resumo!$C$5)</f>
        <v>156.811315681818</v>
      </c>
      <c r="U1194" s="39" t="n">
        <v>149.5</v>
      </c>
      <c r="V1194" s="39" t="n">
        <f aca="false">J1194*Resumo!$B$6</f>
        <v>0.99999</v>
      </c>
      <c r="W1194" s="39" t="n">
        <f aca="false">J1194*Resumo!$B$7</f>
        <v>1.99998</v>
      </c>
      <c r="X1194" s="39" t="n">
        <f aca="false">Resumo!$B$9</f>
        <v>1</v>
      </c>
      <c r="Y1194" s="39" t="n">
        <f aca="false">Resumo!$B$10*CEILING(I1194/100,1)</f>
        <v>4.5</v>
      </c>
      <c r="Z1194" s="39" t="n">
        <f aca="false">Resumo!$B$12*CEILING(I1194,1)</f>
        <v>3.72</v>
      </c>
      <c r="AA1194" s="39" t="n">
        <f aca="false">Resumo!$B$13*CEILING(I1194,1)</f>
        <v>27.9</v>
      </c>
      <c r="AB1194" s="39" t="n">
        <f aca="false">SUM(U1194:AA1194)</f>
        <v>189.61997</v>
      </c>
      <c r="AC1194" s="39" t="n">
        <f aca="false">AB1194/(1-Resumo!$B$5)</f>
        <v>215.477238636364</v>
      </c>
      <c r="AD1194" s="39" t="n">
        <f aca="false">(AB1194-AA1194)/(1-Resumo!$B$5)</f>
        <v>183.772693181818</v>
      </c>
      <c r="AE1194" s="39" t="n">
        <f aca="false">AC1194-T1194</f>
        <v>58.6659229545455</v>
      </c>
      <c r="AF1194" s="40" t="n">
        <f aca="false">AC1194/T1194-1</f>
        <v>0.374117918081773</v>
      </c>
      <c r="AG1194" s="37" t="str">
        <f aca="false">IF(AC1194&lt;T1194,"SIM","NÃO")</f>
        <v>NÃO</v>
      </c>
      <c r="AH1194" s="37" t="n">
        <v>13</v>
      </c>
      <c r="AI1194" s="37" t="n">
        <v>7</v>
      </c>
      <c r="AJ1194" s="37" t="s">
        <v>323</v>
      </c>
    </row>
    <row r="1195" customFormat="false" ht="15" hidden="false" customHeight="false" outlineLevel="0" collapsed="false">
      <c r="A1195" s="37" t="n">
        <v>378520801</v>
      </c>
      <c r="B1195" s="38" t="n">
        <v>46252.7437268519</v>
      </c>
      <c r="C1195" s="37" t="s">
        <v>320</v>
      </c>
      <c r="D1195" s="37" t="s">
        <v>707</v>
      </c>
      <c r="E1195" s="37" t="n">
        <v>24310340</v>
      </c>
      <c r="F1195" s="37" t="s">
        <v>143</v>
      </c>
      <c r="G1195" s="37" t="s">
        <v>207</v>
      </c>
      <c r="H1195" s="37" t="s">
        <v>170</v>
      </c>
      <c r="I1195" s="37" t="n">
        <v>48</v>
      </c>
      <c r="J1195" s="39" t="n">
        <v>806.69</v>
      </c>
      <c r="K1195" s="37" t="s">
        <v>322</v>
      </c>
      <c r="L1195" s="39" t="n">
        <v>117.93</v>
      </c>
      <c r="M1195" s="39" t="n">
        <v>82.25</v>
      </c>
      <c r="N1195" s="39" t="n">
        <f aca="false">J1195*Resumo!$C$7</f>
        <v>1.61338</v>
      </c>
      <c r="O1195" s="39" t="n">
        <f aca="false">J1195*Resumo!$C$8</f>
        <v>1.61338</v>
      </c>
      <c r="P1195" s="39" t="n">
        <f aca="false">Resumo!$C$10*CEILING(I1195/100,1)</f>
        <v>1</v>
      </c>
      <c r="Q1195" s="39" t="n">
        <f aca="false">Resumo!$C$9</f>
        <v>11.9</v>
      </c>
      <c r="R1195" s="39" t="n">
        <f aca="false">SUM(M1195:Q1195)*Resumo!$C$11</f>
        <v>5.4107218</v>
      </c>
      <c r="S1195" s="39" t="n">
        <f aca="false">SUM(M1195:R1195)</f>
        <v>103.7874818</v>
      </c>
      <c r="T1195" s="39" t="n">
        <f aca="false">S1195/(1-Resumo!$C$5)</f>
        <v>117.940320227273</v>
      </c>
      <c r="U1195" s="39" t="n">
        <v>114.95</v>
      </c>
      <c r="V1195" s="39" t="n">
        <f aca="false">J1195*Resumo!$B$6</f>
        <v>0.80669</v>
      </c>
      <c r="W1195" s="39" t="n">
        <f aca="false">J1195*Resumo!$B$7</f>
        <v>1.61338</v>
      </c>
      <c r="X1195" s="39" t="n">
        <f aca="false">Resumo!$B$9</f>
        <v>1</v>
      </c>
      <c r="Y1195" s="39" t="n">
        <f aca="false">Resumo!$B$10*CEILING(I1195/100,1)</f>
        <v>4.5</v>
      </c>
      <c r="Z1195" s="39" t="n">
        <f aca="false">Resumo!$B$12*CEILING(I1195,1)</f>
        <v>2.88</v>
      </c>
      <c r="AA1195" s="39" t="n">
        <f aca="false">Resumo!$B$13*CEILING(I1195,1)</f>
        <v>21.6</v>
      </c>
      <c r="AB1195" s="39" t="n">
        <f aca="false">SUM(U1195:AA1195)</f>
        <v>147.35007</v>
      </c>
      <c r="AC1195" s="39" t="n">
        <f aca="false">AB1195/(1-Resumo!$B$5)</f>
        <v>167.443261363636</v>
      </c>
      <c r="AD1195" s="39" t="n">
        <f aca="false">(AB1195-AA1195)/(1-Resumo!$B$5)</f>
        <v>142.897806818182</v>
      </c>
      <c r="AE1195" s="39" t="n">
        <f aca="false">AC1195-T1195</f>
        <v>49.5029411363637</v>
      </c>
      <c r="AF1195" s="40" t="n">
        <f aca="false">AC1195/T1195-1</f>
        <v>0.419728732641821</v>
      </c>
      <c r="AG1195" s="37" t="str">
        <f aca="false">IF(AC1195&lt;T1195,"SIM","NÃO")</f>
        <v>NÃO</v>
      </c>
      <c r="AH1195" s="37" t="n">
        <v>10</v>
      </c>
      <c r="AI1195" s="37" t="n">
        <v>7</v>
      </c>
      <c r="AJ1195" s="37" t="s">
        <v>323</v>
      </c>
    </row>
    <row r="1196" customFormat="false" ht="15" hidden="false" customHeight="false" outlineLevel="0" collapsed="false">
      <c r="A1196" s="37" t="n">
        <v>378528500</v>
      </c>
      <c r="B1196" s="38" t="n">
        <v>46252.7577083333</v>
      </c>
      <c r="C1196" s="37" t="s">
        <v>320</v>
      </c>
      <c r="D1196" s="37" t="s">
        <v>1450</v>
      </c>
      <c r="E1196" s="37" t="n">
        <v>21540400</v>
      </c>
      <c r="F1196" s="37" t="s">
        <v>139</v>
      </c>
      <c r="G1196" s="37" t="s">
        <v>198</v>
      </c>
      <c r="H1196" s="37" t="s">
        <v>171</v>
      </c>
      <c r="I1196" s="37" t="n">
        <v>59.9</v>
      </c>
      <c r="J1196" s="39" t="n">
        <v>959.31</v>
      </c>
      <c r="K1196" s="37" t="s">
        <v>322</v>
      </c>
      <c r="L1196" s="39" t="n">
        <v>115.75</v>
      </c>
      <c r="M1196" s="39" t="n">
        <v>79.81</v>
      </c>
      <c r="N1196" s="39" t="n">
        <f aca="false">J1196*Resumo!$C$7</f>
        <v>1.91862</v>
      </c>
      <c r="O1196" s="39" t="n">
        <f aca="false">J1196*Resumo!$C$8</f>
        <v>1.91862</v>
      </c>
      <c r="P1196" s="39" t="n">
        <f aca="false">Resumo!$C$10*CEILING(I1196/100,1)</f>
        <v>1</v>
      </c>
      <c r="Q1196" s="39" t="n">
        <f aca="false">Resumo!$C$9</f>
        <v>11.9</v>
      </c>
      <c r="R1196" s="39" t="n">
        <f aca="false">SUM(M1196:Q1196)*Resumo!$C$11</f>
        <v>5.3100982</v>
      </c>
      <c r="S1196" s="39" t="n">
        <f aca="false">SUM(M1196:R1196)</f>
        <v>101.8573382</v>
      </c>
      <c r="T1196" s="39" t="n">
        <f aca="false">S1196/(1-Resumo!$C$5)</f>
        <v>115.746975227273</v>
      </c>
      <c r="U1196" s="39" t="n">
        <v>112.3</v>
      </c>
      <c r="V1196" s="39" t="n">
        <f aca="false">J1196*Resumo!$B$6</f>
        <v>0.95931</v>
      </c>
      <c r="W1196" s="39" t="n">
        <f aca="false">J1196*Resumo!$B$7</f>
        <v>1.91862</v>
      </c>
      <c r="X1196" s="39" t="n">
        <f aca="false">Resumo!$B$9</f>
        <v>1</v>
      </c>
      <c r="Y1196" s="39" t="n">
        <f aca="false">Resumo!$B$10*CEILING(I1196/100,1)</f>
        <v>4.5</v>
      </c>
      <c r="Z1196" s="39" t="n">
        <f aca="false">Resumo!$B$12*CEILING(I1196,1)</f>
        <v>3.6</v>
      </c>
      <c r="AA1196" s="39" t="n">
        <f aca="false">Resumo!$B$13*CEILING(I1196,1)</f>
        <v>27</v>
      </c>
      <c r="AB1196" s="39" t="n">
        <f aca="false">SUM(U1196:AA1196)</f>
        <v>151.27793</v>
      </c>
      <c r="AC1196" s="39" t="n">
        <f aca="false">AB1196/(1-Resumo!$B$5)</f>
        <v>171.906738636364</v>
      </c>
      <c r="AD1196" s="39" t="n">
        <f aca="false">(AB1196-AA1196)/(1-Resumo!$B$5)</f>
        <v>141.224920454545</v>
      </c>
      <c r="AE1196" s="39" t="n">
        <f aca="false">AC1196-T1196</f>
        <v>56.1597634090909</v>
      </c>
      <c r="AF1196" s="40" t="n">
        <f aca="false">AC1196/T1196-1</f>
        <v>0.485194220400313</v>
      </c>
      <c r="AG1196" s="37" t="str">
        <f aca="false">IF(AC1196&lt;T1196,"SIM","NÃO")</f>
        <v>NÃO</v>
      </c>
      <c r="AH1196" s="37" t="n">
        <v>8</v>
      </c>
      <c r="AI1196" s="37" t="n">
        <v>5</v>
      </c>
      <c r="AJ1196" s="37" t="s">
        <v>323</v>
      </c>
    </row>
    <row r="1197" customFormat="false" ht="15" hidden="false" customHeight="false" outlineLevel="0" collapsed="false">
      <c r="A1197" s="37" t="n">
        <v>378539232</v>
      </c>
      <c r="B1197" s="38" t="n">
        <v>46252.7765277778</v>
      </c>
      <c r="C1197" s="37" t="s">
        <v>320</v>
      </c>
      <c r="D1197" s="37" t="s">
        <v>1451</v>
      </c>
      <c r="E1197" s="37" t="n">
        <v>27580001</v>
      </c>
      <c r="F1197" s="37" t="s">
        <v>238</v>
      </c>
      <c r="G1197" s="37" t="s">
        <v>201</v>
      </c>
      <c r="H1197" s="37" t="s">
        <v>168</v>
      </c>
      <c r="I1197" s="37" t="n">
        <v>30.5</v>
      </c>
      <c r="J1197" s="39" t="n">
        <v>439.99</v>
      </c>
      <c r="K1197" s="37" t="s">
        <v>322</v>
      </c>
      <c r="L1197" s="39" t="n">
        <v>109.28</v>
      </c>
      <c r="M1197" s="39" t="n">
        <v>76.5</v>
      </c>
      <c r="N1197" s="39" t="n">
        <f aca="false">J1197*Resumo!$C$7</f>
        <v>0.87998</v>
      </c>
      <c r="O1197" s="39" t="n">
        <f aca="false">J1197*Resumo!$C$8</f>
        <v>0.87998</v>
      </c>
      <c r="P1197" s="39" t="n">
        <f aca="false">Resumo!$C$10*CEILING(I1197/100,1)</f>
        <v>1</v>
      </c>
      <c r="Q1197" s="39" t="n">
        <f aca="false">Resumo!$C$9</f>
        <v>11.9</v>
      </c>
      <c r="R1197" s="39" t="n">
        <f aca="false">SUM(M1197:Q1197)*Resumo!$C$11</f>
        <v>5.0137978</v>
      </c>
      <c r="S1197" s="39" t="n">
        <f aca="false">SUM(M1197:R1197)</f>
        <v>96.1737578</v>
      </c>
      <c r="T1197" s="39" t="n">
        <f aca="false">S1197/(1-Resumo!$C$5)</f>
        <v>109.288361136364</v>
      </c>
      <c r="U1197" s="39" t="n">
        <v>108.83</v>
      </c>
      <c r="V1197" s="39" t="n">
        <f aca="false">J1197*Resumo!$B$6</f>
        <v>0.43999</v>
      </c>
      <c r="W1197" s="39" t="n">
        <f aca="false">J1197*Resumo!$B$7</f>
        <v>0.87998</v>
      </c>
      <c r="X1197" s="39" t="n">
        <f aca="false">Resumo!$B$9</f>
        <v>1</v>
      </c>
      <c r="Y1197" s="39" t="n">
        <f aca="false">Resumo!$B$10*CEILING(I1197/100,1)</f>
        <v>4.5</v>
      </c>
      <c r="Z1197" s="39" t="n">
        <f aca="false">Resumo!$B$12*CEILING(I1197,1)</f>
        <v>1.86</v>
      </c>
      <c r="AA1197" s="39" t="n">
        <f aca="false">Resumo!$B$13*CEILING(I1197,1)</f>
        <v>13.95</v>
      </c>
      <c r="AB1197" s="39" t="n">
        <f aca="false">SUM(U1197:AA1197)</f>
        <v>131.45997</v>
      </c>
      <c r="AC1197" s="39" t="n">
        <f aca="false">AB1197/(1-Resumo!$B$5)</f>
        <v>149.386329545455</v>
      </c>
      <c r="AD1197" s="39" t="n">
        <f aca="false">(AB1197-AA1197)/(1-Resumo!$B$5)</f>
        <v>133.534056818182</v>
      </c>
      <c r="AE1197" s="39" t="n">
        <f aca="false">AC1197-T1197</f>
        <v>40.0979684090909</v>
      </c>
      <c r="AF1197" s="40" t="n">
        <f aca="false">AC1197/T1197-1</f>
        <v>0.366900628686883</v>
      </c>
      <c r="AG1197" s="37" t="str">
        <f aca="false">IF(AC1197&lt;T1197,"SIM","NÃO")</f>
        <v>NÃO</v>
      </c>
      <c r="AH1197" s="37" t="n">
        <v>13</v>
      </c>
      <c r="AI1197" s="37" t="n">
        <v>10</v>
      </c>
      <c r="AJ1197" s="37" t="s">
        <v>327</v>
      </c>
    </row>
    <row r="1198" customFormat="false" ht="15" hidden="false" customHeight="false" outlineLevel="0" collapsed="false">
      <c r="A1198" s="37" t="n">
        <v>378546732</v>
      </c>
      <c r="B1198" s="38" t="n">
        <v>46252.7908564815</v>
      </c>
      <c r="C1198" s="37" t="s">
        <v>320</v>
      </c>
      <c r="D1198" s="37" t="s">
        <v>1452</v>
      </c>
      <c r="E1198" s="37" t="n">
        <v>27943120</v>
      </c>
      <c r="F1198" s="37" t="s">
        <v>146</v>
      </c>
      <c r="G1198" s="37" t="s">
        <v>201</v>
      </c>
      <c r="H1198" s="37" t="s">
        <v>171</v>
      </c>
      <c r="I1198" s="37" t="n">
        <v>52.3</v>
      </c>
      <c r="J1198" s="39" t="n">
        <v>616.39</v>
      </c>
      <c r="K1198" s="37" t="s">
        <v>322</v>
      </c>
      <c r="L1198" s="39" t="n">
        <v>142.61</v>
      </c>
      <c r="M1198" s="39" t="n">
        <v>103.6</v>
      </c>
      <c r="N1198" s="39" t="n">
        <f aca="false">J1198*Resumo!$C$7</f>
        <v>1.23278</v>
      </c>
      <c r="O1198" s="39" t="n">
        <f aca="false">J1198*Resumo!$C$8</f>
        <v>1.23278</v>
      </c>
      <c r="P1198" s="39" t="n">
        <f aca="false">Resumo!$C$10*CEILING(I1198/100,1)</f>
        <v>1</v>
      </c>
      <c r="Q1198" s="39" t="n">
        <f aca="false">Resumo!$C$9</f>
        <v>11.9</v>
      </c>
      <c r="R1198" s="39" t="n">
        <f aca="false">SUM(M1198:Q1198)*Resumo!$C$11</f>
        <v>6.5431058</v>
      </c>
      <c r="S1198" s="39" t="n">
        <f aca="false">SUM(M1198:R1198)</f>
        <v>125.5086658</v>
      </c>
      <c r="T1198" s="39" t="n">
        <f aca="false">S1198/(1-Resumo!$C$5)</f>
        <v>142.623483863636</v>
      </c>
      <c r="U1198" s="39" t="n">
        <v>162.04</v>
      </c>
      <c r="V1198" s="39" t="n">
        <f aca="false">J1198*Resumo!$B$6</f>
        <v>0.61639</v>
      </c>
      <c r="W1198" s="39" t="n">
        <f aca="false">J1198*Resumo!$B$7</f>
        <v>1.23278</v>
      </c>
      <c r="X1198" s="39" t="n">
        <f aca="false">Resumo!$B$9</f>
        <v>1</v>
      </c>
      <c r="Y1198" s="39" t="n">
        <f aca="false">Resumo!$B$10*CEILING(I1198/100,1)</f>
        <v>4.5</v>
      </c>
      <c r="Z1198" s="39" t="n">
        <f aca="false">Resumo!$B$12*CEILING(I1198,1)</f>
        <v>3.18</v>
      </c>
      <c r="AA1198" s="39" t="n">
        <f aca="false">Resumo!$B$13*CEILING(I1198,1)</f>
        <v>23.85</v>
      </c>
      <c r="AB1198" s="39" t="n">
        <f aca="false">SUM(U1198:AA1198)</f>
        <v>196.41917</v>
      </c>
      <c r="AC1198" s="39" t="n">
        <f aca="false">AB1198/(1-Resumo!$B$5)</f>
        <v>223.203602272727</v>
      </c>
      <c r="AD1198" s="39" t="n">
        <f aca="false">(AB1198-AA1198)/(1-Resumo!$B$5)</f>
        <v>196.101329545455</v>
      </c>
      <c r="AE1198" s="39" t="n">
        <f aca="false">AC1198-T1198</f>
        <v>80.5801184090909</v>
      </c>
      <c r="AF1198" s="40" t="n">
        <f aca="false">AC1198/T1198-1</f>
        <v>0.564984925526951</v>
      </c>
      <c r="AG1198" s="37" t="str">
        <f aca="false">IF(AC1198&lt;T1198,"SIM","NÃO")</f>
        <v>NÃO</v>
      </c>
      <c r="AH1198" s="37" t="n">
        <v>13</v>
      </c>
      <c r="AI1198" s="37" t="n">
        <v>11</v>
      </c>
      <c r="AJ1198" s="37" t="s">
        <v>323</v>
      </c>
    </row>
    <row r="1199" customFormat="false" ht="15" hidden="false" customHeight="false" outlineLevel="0" collapsed="false">
      <c r="A1199" s="37" t="n">
        <v>378551274</v>
      </c>
      <c r="B1199" s="38" t="n">
        <v>46252.8006481482</v>
      </c>
      <c r="C1199" s="37" t="s">
        <v>320</v>
      </c>
      <c r="D1199" s="37" t="s">
        <v>874</v>
      </c>
      <c r="E1199" s="37" t="n">
        <v>26291320</v>
      </c>
      <c r="F1199" s="37" t="s">
        <v>142</v>
      </c>
      <c r="G1199" s="37" t="s">
        <v>207</v>
      </c>
      <c r="H1199" s="37" t="s">
        <v>170</v>
      </c>
      <c r="I1199" s="37" t="n">
        <v>48</v>
      </c>
      <c r="J1199" s="39" t="n">
        <v>929.99</v>
      </c>
      <c r="K1199" s="37" t="s">
        <v>322</v>
      </c>
      <c r="L1199" s="39" t="n">
        <v>118.53</v>
      </c>
      <c r="M1199" s="39" t="n">
        <v>82.25</v>
      </c>
      <c r="N1199" s="39" t="n">
        <f aca="false">J1199*Resumo!$C$7</f>
        <v>1.85998</v>
      </c>
      <c r="O1199" s="39" t="n">
        <f aca="false">J1199*Resumo!$C$8</f>
        <v>1.85998</v>
      </c>
      <c r="P1199" s="39" t="n">
        <f aca="false">Resumo!$C$10*CEILING(I1199/100,1)</f>
        <v>1</v>
      </c>
      <c r="Q1199" s="39" t="n">
        <f aca="false">Resumo!$C$9</f>
        <v>11.9</v>
      </c>
      <c r="R1199" s="39" t="n">
        <f aca="false">SUM(M1199:Q1199)*Resumo!$C$11</f>
        <v>5.4378478</v>
      </c>
      <c r="S1199" s="39" t="n">
        <f aca="false">SUM(M1199:R1199)</f>
        <v>104.3078078</v>
      </c>
      <c r="T1199" s="39" t="n">
        <f aca="false">S1199/(1-Resumo!$C$5)</f>
        <v>118.531599772727</v>
      </c>
      <c r="U1199" s="39" t="n">
        <v>93.97</v>
      </c>
      <c r="V1199" s="39" t="n">
        <f aca="false">J1199*Resumo!$B$6</f>
        <v>0.92999</v>
      </c>
      <c r="W1199" s="39" t="n">
        <f aca="false">J1199*Resumo!$B$7</f>
        <v>1.85998</v>
      </c>
      <c r="X1199" s="39" t="n">
        <f aca="false">Resumo!$B$9</f>
        <v>1</v>
      </c>
      <c r="Y1199" s="39" t="n">
        <f aca="false">Resumo!$B$10*CEILING(I1199/100,1)</f>
        <v>4.5</v>
      </c>
      <c r="Z1199" s="39" t="n">
        <f aca="false">Resumo!$B$12*CEILING(I1199,1)</f>
        <v>2.88</v>
      </c>
      <c r="AA1199" s="39" t="n">
        <f aca="false">Resumo!$B$13*CEILING(I1199,1)</f>
        <v>21.6</v>
      </c>
      <c r="AB1199" s="39" t="n">
        <f aca="false">SUM(U1199:AA1199)</f>
        <v>126.73997</v>
      </c>
      <c r="AC1199" s="39" t="n">
        <f aca="false">AB1199/(1-Resumo!$B$5)</f>
        <v>144.022693181818</v>
      </c>
      <c r="AD1199" s="39" t="n">
        <f aca="false">(AB1199-AA1199)/(1-Resumo!$B$5)</f>
        <v>119.477238636364</v>
      </c>
      <c r="AE1199" s="39" t="n">
        <f aca="false">AC1199-T1199</f>
        <v>25.4910934090909</v>
      </c>
      <c r="AF1199" s="40" t="n">
        <f aca="false">AC1199/T1199-1</f>
        <v>0.215057364095039</v>
      </c>
      <c r="AG1199" s="37" t="str">
        <f aca="false">IF(AC1199&lt;T1199,"SIM","NÃO")</f>
        <v>NÃO</v>
      </c>
      <c r="AH1199" s="37" t="n">
        <v>10</v>
      </c>
      <c r="AI1199" s="37" t="n">
        <v>5</v>
      </c>
      <c r="AJ1199" s="37" t="s">
        <v>323</v>
      </c>
    </row>
    <row r="1200" customFormat="false" ht="15" hidden="false" customHeight="false" outlineLevel="0" collapsed="false">
      <c r="A1200" s="37" t="n">
        <v>378577128</v>
      </c>
      <c r="B1200" s="38" t="n">
        <v>46252.8498032407</v>
      </c>
      <c r="C1200" s="37" t="s">
        <v>320</v>
      </c>
      <c r="D1200" s="37" t="s">
        <v>1453</v>
      </c>
      <c r="E1200" s="37" t="n">
        <v>24736120</v>
      </c>
      <c r="F1200" s="37" t="s">
        <v>140</v>
      </c>
      <c r="G1200" s="37" t="s">
        <v>207</v>
      </c>
      <c r="H1200" s="37" t="s">
        <v>177</v>
      </c>
      <c r="I1200" s="37" t="n">
        <v>165.2</v>
      </c>
      <c r="J1200" s="39" t="n">
        <v>2059.99</v>
      </c>
      <c r="K1200" s="37" t="s">
        <v>322</v>
      </c>
      <c r="L1200" s="39" t="n">
        <v>267.69</v>
      </c>
      <c r="M1200" s="39" t="n">
        <v>201.15</v>
      </c>
      <c r="N1200" s="39" t="n">
        <f aca="false">J1200*Resumo!$C$7</f>
        <v>4.11998</v>
      </c>
      <c r="O1200" s="39" t="n">
        <f aca="false">J1200*Resumo!$C$8</f>
        <v>4.11998</v>
      </c>
      <c r="P1200" s="39" t="n">
        <f aca="false">Resumo!$C$10*CEILING(I1200/100,1)</f>
        <v>2</v>
      </c>
      <c r="Q1200" s="39" t="n">
        <f aca="false">Resumo!$C$9</f>
        <v>11.9</v>
      </c>
      <c r="R1200" s="39" t="n">
        <f aca="false">SUM(M1200:Q1200)*Resumo!$C$11</f>
        <v>12.2809478</v>
      </c>
      <c r="S1200" s="39" t="n">
        <f aca="false">SUM(M1200:R1200)</f>
        <v>235.5709078</v>
      </c>
      <c r="T1200" s="39" t="n">
        <f aca="false">S1200/(1-Resumo!$C$5)</f>
        <v>267.694213409091</v>
      </c>
      <c r="U1200" s="39" t="n">
        <v>282.23</v>
      </c>
      <c r="V1200" s="39" t="n">
        <f aca="false">J1200*Resumo!$B$6</f>
        <v>2.05999</v>
      </c>
      <c r="W1200" s="39" t="n">
        <f aca="false">J1200*Resumo!$B$7</f>
        <v>4.11998</v>
      </c>
      <c r="X1200" s="39" t="n">
        <f aca="false">Resumo!$B$9</f>
        <v>1</v>
      </c>
      <c r="Y1200" s="39" t="n">
        <f aca="false">Resumo!$B$10*CEILING(I1200/100,1)</f>
        <v>9</v>
      </c>
      <c r="Z1200" s="39" t="n">
        <f aca="false">Resumo!$B$12*CEILING(I1200,1)</f>
        <v>9.96</v>
      </c>
      <c r="AA1200" s="39" t="n">
        <f aca="false">Resumo!$B$13*CEILING(I1200,1)</f>
        <v>74.7</v>
      </c>
      <c r="AB1200" s="39" t="n">
        <f aca="false">SUM(U1200:AA1200)</f>
        <v>383.06997</v>
      </c>
      <c r="AC1200" s="39" t="n">
        <f aca="false">AB1200/(1-Resumo!$B$5)</f>
        <v>435.306784090909</v>
      </c>
      <c r="AD1200" s="39" t="n">
        <f aca="false">(AB1200-AA1200)/(1-Resumo!$B$5)</f>
        <v>350.420420454546</v>
      </c>
      <c r="AE1200" s="39" t="n">
        <f aca="false">AC1200-T1200</f>
        <v>167.612570681818</v>
      </c>
      <c r="AF1200" s="40" t="n">
        <f aca="false">AC1200/T1200-1</f>
        <v>0.626134455979712</v>
      </c>
      <c r="AG1200" s="37" t="str">
        <f aca="false">IF(AC1200&lt;T1200,"SIM","NÃO")</f>
        <v>NÃO</v>
      </c>
      <c r="AH1200" s="37" t="n">
        <v>10</v>
      </c>
      <c r="AI1200" s="37" t="n">
        <v>7</v>
      </c>
      <c r="AJ1200" s="37" t="s">
        <v>323</v>
      </c>
    </row>
    <row r="1201" customFormat="false" ht="15" hidden="false" customHeight="false" outlineLevel="0" collapsed="false">
      <c r="A1201" s="37" t="n">
        <v>378583272</v>
      </c>
      <c r="B1201" s="38" t="n">
        <v>46252.8602662037</v>
      </c>
      <c r="C1201" s="37" t="s">
        <v>320</v>
      </c>
      <c r="D1201" s="37" t="s">
        <v>1454</v>
      </c>
      <c r="E1201" s="37" t="n">
        <v>24860100</v>
      </c>
      <c r="F1201" s="37" t="s">
        <v>154</v>
      </c>
      <c r="G1201" s="37" t="s">
        <v>201</v>
      </c>
      <c r="H1201" s="37" t="s">
        <v>168</v>
      </c>
      <c r="I1201" s="37" t="n">
        <v>27.6</v>
      </c>
      <c r="J1201" s="39" t="n">
        <v>629.99</v>
      </c>
      <c r="K1201" s="37" t="s">
        <v>322</v>
      </c>
      <c r="L1201" s="39" t="n">
        <v>110.2</v>
      </c>
      <c r="M1201" s="39" t="n">
        <v>76.5</v>
      </c>
      <c r="N1201" s="39" t="n">
        <f aca="false">J1201*Resumo!$C$7</f>
        <v>1.25998</v>
      </c>
      <c r="O1201" s="39" t="n">
        <f aca="false">J1201*Resumo!$C$8</f>
        <v>1.25998</v>
      </c>
      <c r="P1201" s="39" t="n">
        <f aca="false">Resumo!$C$10*CEILING(I1201/100,1)</f>
        <v>1</v>
      </c>
      <c r="Q1201" s="39" t="n">
        <f aca="false">Resumo!$C$9</f>
        <v>11.9</v>
      </c>
      <c r="R1201" s="39" t="n">
        <f aca="false">SUM(M1201:Q1201)*Resumo!$C$11</f>
        <v>5.0555978</v>
      </c>
      <c r="S1201" s="39" t="n">
        <f aca="false">SUM(M1201:R1201)</f>
        <v>96.9755578</v>
      </c>
      <c r="T1201" s="39" t="n">
        <f aca="false">S1201/(1-Resumo!$C$5)</f>
        <v>110.1994975</v>
      </c>
      <c r="U1201" s="39" t="n">
        <v>100.58</v>
      </c>
      <c r="V1201" s="39" t="n">
        <f aca="false">J1201*Resumo!$B$6</f>
        <v>0.62999</v>
      </c>
      <c r="W1201" s="39" t="n">
        <f aca="false">J1201*Resumo!$B$7</f>
        <v>1.25998</v>
      </c>
      <c r="X1201" s="39" t="n">
        <f aca="false">Resumo!$B$9</f>
        <v>1</v>
      </c>
      <c r="Y1201" s="39" t="n">
        <f aca="false">Resumo!$B$10*CEILING(I1201/100,1)</f>
        <v>4.5</v>
      </c>
      <c r="Z1201" s="39" t="n">
        <f aca="false">Resumo!$B$12*CEILING(I1201,1)</f>
        <v>1.68</v>
      </c>
      <c r="AA1201" s="39" t="n">
        <f aca="false">Resumo!$B$13*CEILING(I1201,1)</f>
        <v>12.6</v>
      </c>
      <c r="AB1201" s="39" t="n">
        <f aca="false">SUM(U1201:AA1201)</f>
        <v>122.24997</v>
      </c>
      <c r="AC1201" s="39" t="n">
        <f aca="false">AB1201/(1-Resumo!$B$5)</f>
        <v>138.920420454545</v>
      </c>
      <c r="AD1201" s="39" t="n">
        <f aca="false">(AB1201-AA1201)/(1-Resumo!$B$5)</f>
        <v>124.602238636364</v>
      </c>
      <c r="AE1201" s="39" t="n">
        <f aca="false">AC1201-T1201</f>
        <v>28.7209229545454</v>
      </c>
      <c r="AF1201" s="40" t="n">
        <f aca="false">AC1201/T1201-1</f>
        <v>0.260626623588238</v>
      </c>
      <c r="AG1201" s="37" t="str">
        <f aca="false">IF(AC1201&lt;T1201,"SIM","NÃO")</f>
        <v>NÃO</v>
      </c>
      <c r="AH1201" s="37" t="n">
        <v>13</v>
      </c>
      <c r="AI1201" s="37" t="n">
        <v>7</v>
      </c>
      <c r="AJ1201" s="37" t="s">
        <v>323</v>
      </c>
    </row>
    <row r="1202" customFormat="false" ht="15" hidden="false" customHeight="false" outlineLevel="0" collapsed="false">
      <c r="A1202" s="37" t="n">
        <v>378593684</v>
      </c>
      <c r="B1202" s="38" t="n">
        <v>46252.8788310185</v>
      </c>
      <c r="C1202" s="37" t="s">
        <v>325</v>
      </c>
      <c r="D1202" s="37" t="s">
        <v>1455</v>
      </c>
      <c r="E1202" s="37" t="n">
        <v>21341332</v>
      </c>
      <c r="F1202" s="37" t="s">
        <v>139</v>
      </c>
      <c r="G1202" s="37" t="s">
        <v>198</v>
      </c>
      <c r="H1202" s="37" t="s">
        <v>170</v>
      </c>
      <c r="I1202" s="37" t="n">
        <v>41.4</v>
      </c>
      <c r="J1202" s="39" t="n">
        <v>387</v>
      </c>
      <c r="K1202" s="37" t="s">
        <v>322</v>
      </c>
      <c r="L1202" s="39" t="n">
        <v>102.43</v>
      </c>
      <c r="M1202" s="39" t="n">
        <v>71</v>
      </c>
      <c r="N1202" s="39" t="n">
        <f aca="false">J1202*Resumo!$C$7</f>
        <v>0.774</v>
      </c>
      <c r="O1202" s="39" t="n">
        <f aca="false">J1202*Resumo!$C$8</f>
        <v>0.774</v>
      </c>
      <c r="P1202" s="39" t="n">
        <f aca="false">Resumo!$C$10*CEILING(I1202/100,1)</f>
        <v>1</v>
      </c>
      <c r="Q1202" s="39" t="n">
        <f aca="false">Resumo!$C$9</f>
        <v>11.9</v>
      </c>
      <c r="R1202" s="39" t="n">
        <f aca="false">SUM(M1202:Q1202)*Resumo!$C$11</f>
        <v>4.69964</v>
      </c>
      <c r="S1202" s="39" t="n">
        <f aca="false">SUM(M1202:R1202)</f>
        <v>90.14764</v>
      </c>
      <c r="T1202" s="39" t="n">
        <f aca="false">S1202/(1-Resumo!$C$5)</f>
        <v>102.4405</v>
      </c>
      <c r="U1202" s="39" t="n">
        <v>93.97</v>
      </c>
      <c r="V1202" s="39" t="n">
        <f aca="false">J1202*Resumo!$B$6</f>
        <v>0.387</v>
      </c>
      <c r="W1202" s="39" t="n">
        <f aca="false">J1202*Resumo!$B$7</f>
        <v>0.774</v>
      </c>
      <c r="X1202" s="39" t="n">
        <f aca="false">Resumo!$B$9</f>
        <v>1</v>
      </c>
      <c r="Y1202" s="39" t="n">
        <f aca="false">Resumo!$B$10*CEILING(I1202/100,1)</f>
        <v>4.5</v>
      </c>
      <c r="Z1202" s="39" t="n">
        <f aca="false">Resumo!$B$12*CEILING(I1202,1)</f>
        <v>2.52</v>
      </c>
      <c r="AA1202" s="39" t="n">
        <f aca="false">Resumo!$B$13*CEILING(I1202,1)</f>
        <v>18.9</v>
      </c>
      <c r="AB1202" s="39" t="n">
        <f aca="false">SUM(U1202:AA1202)</f>
        <v>122.051</v>
      </c>
      <c r="AC1202" s="39" t="n">
        <f aca="false">AB1202/(1-Resumo!$B$5)</f>
        <v>138.694318181818</v>
      </c>
      <c r="AD1202" s="39" t="n">
        <f aca="false">(AB1202-AA1202)/(1-Resumo!$B$5)</f>
        <v>117.217045454545</v>
      </c>
      <c r="AE1202" s="39" t="n">
        <f aca="false">AC1202-T1202</f>
        <v>36.2538181818182</v>
      </c>
      <c r="AF1202" s="40" t="n">
        <f aca="false">AC1202/T1202-1</f>
        <v>0.353901222483472</v>
      </c>
      <c r="AG1202" s="37" t="str">
        <f aca="false">IF(AC1202&lt;T1202,"SIM","NÃO")</f>
        <v>NÃO</v>
      </c>
      <c r="AH1202" s="37" t="n">
        <v>8</v>
      </c>
      <c r="AI1202" s="37" t="n">
        <v>5</v>
      </c>
      <c r="AJ1202" s="37" t="s">
        <v>323</v>
      </c>
    </row>
    <row r="1203" customFormat="false" ht="15" hidden="false" customHeight="false" outlineLevel="0" collapsed="false">
      <c r="A1203" s="37" t="n">
        <v>378603847</v>
      </c>
      <c r="B1203" s="38" t="n">
        <v>46252.8999768519</v>
      </c>
      <c r="C1203" s="37" t="s">
        <v>320</v>
      </c>
      <c r="D1203" s="37" t="s">
        <v>1456</v>
      </c>
      <c r="E1203" s="37" t="n">
        <v>26175007</v>
      </c>
      <c r="F1203" s="37" t="s">
        <v>145</v>
      </c>
      <c r="G1203" s="37" t="s">
        <v>207</v>
      </c>
      <c r="H1203" s="37" t="s">
        <v>171</v>
      </c>
      <c r="I1203" s="37" t="n">
        <v>52.3</v>
      </c>
      <c r="J1203" s="39" t="n">
        <v>669.99</v>
      </c>
      <c r="K1203" s="37" t="s">
        <v>322</v>
      </c>
      <c r="L1203" s="39" t="n">
        <v>128.49</v>
      </c>
      <c r="M1203" s="39" t="n">
        <v>91.6</v>
      </c>
      <c r="N1203" s="39" t="n">
        <f aca="false">J1203*Resumo!$C$7</f>
        <v>1.33998</v>
      </c>
      <c r="O1203" s="39" t="n">
        <f aca="false">J1203*Resumo!$C$8</f>
        <v>1.33998</v>
      </c>
      <c r="P1203" s="39" t="n">
        <f aca="false">Resumo!$C$10*CEILING(I1203/100,1)</f>
        <v>1</v>
      </c>
      <c r="Q1203" s="39" t="n">
        <f aca="false">Resumo!$C$9</f>
        <v>11.9</v>
      </c>
      <c r="R1203" s="39" t="n">
        <f aca="false">SUM(M1203:Q1203)*Resumo!$C$11</f>
        <v>5.8948978</v>
      </c>
      <c r="S1203" s="39" t="n">
        <f aca="false">SUM(M1203:R1203)</f>
        <v>113.0748578</v>
      </c>
      <c r="T1203" s="39" t="n">
        <f aca="false">S1203/(1-Resumo!$C$5)</f>
        <v>128.494156590909</v>
      </c>
      <c r="U1203" s="39" t="n">
        <v>112.3</v>
      </c>
      <c r="V1203" s="39" t="n">
        <f aca="false">J1203*Resumo!$B$6</f>
        <v>0.66999</v>
      </c>
      <c r="W1203" s="39" t="n">
        <f aca="false">J1203*Resumo!$B$7</f>
        <v>1.33998</v>
      </c>
      <c r="X1203" s="39" t="n">
        <f aca="false">Resumo!$B$9</f>
        <v>1</v>
      </c>
      <c r="Y1203" s="39" t="n">
        <f aca="false">Resumo!$B$10*CEILING(I1203/100,1)</f>
        <v>4.5</v>
      </c>
      <c r="Z1203" s="39" t="n">
        <f aca="false">Resumo!$B$12*CEILING(I1203,1)</f>
        <v>3.18</v>
      </c>
      <c r="AA1203" s="39" t="n">
        <f aca="false">Resumo!$B$13*CEILING(I1203,1)</f>
        <v>23.85</v>
      </c>
      <c r="AB1203" s="39" t="n">
        <f aca="false">SUM(U1203:AA1203)</f>
        <v>146.83997</v>
      </c>
      <c r="AC1203" s="39" t="n">
        <f aca="false">AB1203/(1-Resumo!$B$5)</f>
        <v>166.863602272727</v>
      </c>
      <c r="AD1203" s="39" t="n">
        <f aca="false">(AB1203-AA1203)/(1-Resumo!$B$5)</f>
        <v>139.761329545455</v>
      </c>
      <c r="AE1203" s="39" t="n">
        <f aca="false">AC1203-T1203</f>
        <v>38.3694456818182</v>
      </c>
      <c r="AF1203" s="40" t="n">
        <f aca="false">AC1203/T1203-1</f>
        <v>0.29860848695226</v>
      </c>
      <c r="AG1203" s="37" t="str">
        <f aca="false">IF(AC1203&lt;T1203,"SIM","NÃO")</f>
        <v>NÃO</v>
      </c>
      <c r="AH1203" s="37" t="n">
        <v>10</v>
      </c>
      <c r="AI1203" s="37" t="n">
        <v>5</v>
      </c>
      <c r="AJ1203" s="37" t="s">
        <v>323</v>
      </c>
    </row>
    <row r="1204" customFormat="false" ht="15" hidden="false" customHeight="false" outlineLevel="0" collapsed="false">
      <c r="A1204" s="37" t="n">
        <v>378611177</v>
      </c>
      <c r="B1204" s="38" t="n">
        <v>46252.9142824074</v>
      </c>
      <c r="C1204" s="37" t="s">
        <v>325</v>
      </c>
      <c r="D1204" s="37" t="s">
        <v>1457</v>
      </c>
      <c r="E1204" s="37" t="n">
        <v>24440670</v>
      </c>
      <c r="F1204" s="37" t="s">
        <v>140</v>
      </c>
      <c r="G1204" s="37" t="s">
        <v>207</v>
      </c>
      <c r="H1204" s="37" t="s">
        <v>172</v>
      </c>
      <c r="I1204" s="37" t="n">
        <v>66.8</v>
      </c>
      <c r="J1204" s="39" t="n">
        <v>649.99</v>
      </c>
      <c r="K1204" s="37" t="s">
        <v>322</v>
      </c>
      <c r="L1204" s="39" t="n">
        <v>139.55</v>
      </c>
      <c r="M1204" s="39" t="n">
        <v>100.9</v>
      </c>
      <c r="N1204" s="39" t="n">
        <f aca="false">J1204*Resumo!$C$7</f>
        <v>1.29998</v>
      </c>
      <c r="O1204" s="39" t="n">
        <f aca="false">J1204*Resumo!$C$8</f>
        <v>1.29998</v>
      </c>
      <c r="P1204" s="39" t="n">
        <f aca="false">Resumo!$C$10*CEILING(I1204/100,1)</f>
        <v>1</v>
      </c>
      <c r="Q1204" s="39" t="n">
        <f aca="false">Resumo!$C$9</f>
        <v>11.9</v>
      </c>
      <c r="R1204" s="39" t="n">
        <f aca="false">SUM(M1204:Q1204)*Resumo!$C$11</f>
        <v>6.4019978</v>
      </c>
      <c r="S1204" s="39" t="n">
        <f aca="false">SUM(M1204:R1204)</f>
        <v>122.8019578</v>
      </c>
      <c r="T1204" s="39" t="n">
        <f aca="false">S1204/(1-Resumo!$C$5)</f>
        <v>139.547679318182</v>
      </c>
      <c r="U1204" s="39" t="n">
        <v>149.5</v>
      </c>
      <c r="V1204" s="39" t="n">
        <f aca="false">J1204*Resumo!$B$6</f>
        <v>0.64999</v>
      </c>
      <c r="W1204" s="39" t="n">
        <f aca="false">J1204*Resumo!$B$7</f>
        <v>1.29998</v>
      </c>
      <c r="X1204" s="39" t="n">
        <f aca="false">Resumo!$B$9</f>
        <v>1</v>
      </c>
      <c r="Y1204" s="39" t="n">
        <f aca="false">Resumo!$B$10*CEILING(I1204/100,1)</f>
        <v>4.5</v>
      </c>
      <c r="Z1204" s="39" t="n">
        <f aca="false">Resumo!$B$12*CEILING(I1204,1)</f>
        <v>4.02</v>
      </c>
      <c r="AA1204" s="39" t="n">
        <f aca="false">Resumo!$B$13*CEILING(I1204,1)</f>
        <v>30.15</v>
      </c>
      <c r="AB1204" s="39" t="n">
        <f aca="false">SUM(U1204:AA1204)</f>
        <v>191.11997</v>
      </c>
      <c r="AC1204" s="39" t="n">
        <f aca="false">AB1204/(1-Resumo!$B$5)</f>
        <v>217.181784090909</v>
      </c>
      <c r="AD1204" s="39" t="n">
        <f aca="false">(AB1204-AA1204)/(1-Resumo!$B$5)</f>
        <v>182.920420454545</v>
      </c>
      <c r="AE1204" s="39" t="n">
        <f aca="false">AC1204-T1204</f>
        <v>77.6341047727273</v>
      </c>
      <c r="AF1204" s="40" t="n">
        <f aca="false">AC1204/T1204-1</f>
        <v>0.556326734719208</v>
      </c>
      <c r="AG1204" s="37" t="str">
        <f aca="false">IF(AC1204&lt;T1204,"SIM","NÃO")</f>
        <v>NÃO</v>
      </c>
      <c r="AH1204" s="37" t="n">
        <v>10</v>
      </c>
      <c r="AI1204" s="37" t="n">
        <v>7</v>
      </c>
      <c r="AJ1204" s="37" t="s">
        <v>323</v>
      </c>
    </row>
    <row r="1205" customFormat="false" ht="15" hidden="false" customHeight="false" outlineLevel="0" collapsed="false">
      <c r="A1205" s="37" t="n">
        <v>378630555</v>
      </c>
      <c r="B1205" s="38" t="n">
        <v>46252.9506134259</v>
      </c>
      <c r="C1205" s="37" t="s">
        <v>325</v>
      </c>
      <c r="D1205" s="37" t="s">
        <v>1458</v>
      </c>
      <c r="E1205" s="37" t="n">
        <v>21675090</v>
      </c>
      <c r="F1205" s="37" t="s">
        <v>139</v>
      </c>
      <c r="G1205" s="37" t="s">
        <v>198</v>
      </c>
      <c r="H1205" s="37" t="s">
        <v>168</v>
      </c>
      <c r="I1205" s="37" t="n">
        <v>31.9</v>
      </c>
      <c r="J1205" s="39" t="n">
        <v>510.17</v>
      </c>
      <c r="K1205" s="37" t="s">
        <v>322</v>
      </c>
      <c r="L1205" s="39" t="n">
        <v>82.77</v>
      </c>
      <c r="M1205" s="39" t="n">
        <v>54.1</v>
      </c>
      <c r="N1205" s="39" t="n">
        <f aca="false">J1205*Resumo!$C$7</f>
        <v>1.02034</v>
      </c>
      <c r="O1205" s="39" t="n">
        <f aca="false">J1205*Resumo!$C$8</f>
        <v>1.02034</v>
      </c>
      <c r="P1205" s="39" t="n">
        <f aca="false">Resumo!$C$10*CEILING(I1205/100,1)</f>
        <v>1</v>
      </c>
      <c r="Q1205" s="39" t="n">
        <f aca="false">Resumo!$C$9</f>
        <v>11.9</v>
      </c>
      <c r="R1205" s="39" t="n">
        <f aca="false">SUM(M1205:Q1205)*Resumo!$C$11</f>
        <v>3.7972374</v>
      </c>
      <c r="S1205" s="39" t="n">
        <f aca="false">SUM(M1205:R1205)</f>
        <v>72.8379174</v>
      </c>
      <c r="T1205" s="39" t="n">
        <f aca="false">S1205/(1-Resumo!$C$5)</f>
        <v>82.7703606818182</v>
      </c>
      <c r="U1205" s="39" t="n">
        <v>82.21</v>
      </c>
      <c r="V1205" s="39" t="n">
        <f aca="false">J1205*Resumo!$B$6</f>
        <v>0.51017</v>
      </c>
      <c r="W1205" s="39" t="n">
        <f aca="false">J1205*Resumo!$B$7</f>
        <v>1.02034</v>
      </c>
      <c r="X1205" s="39" t="n">
        <f aca="false">Resumo!$B$9</f>
        <v>1</v>
      </c>
      <c r="Y1205" s="39" t="n">
        <f aca="false">Resumo!$B$10*CEILING(I1205/100,1)</f>
        <v>4.5</v>
      </c>
      <c r="Z1205" s="39" t="n">
        <f aca="false">Resumo!$B$12*CEILING(I1205,1)</f>
        <v>1.92</v>
      </c>
      <c r="AA1205" s="39" t="n">
        <f aca="false">Resumo!$B$13*CEILING(I1205,1)</f>
        <v>14.4</v>
      </c>
      <c r="AB1205" s="39" t="n">
        <f aca="false">SUM(U1205:AA1205)</f>
        <v>105.56051</v>
      </c>
      <c r="AC1205" s="39" t="n">
        <f aca="false">AB1205/(1-Resumo!$B$5)</f>
        <v>119.955125</v>
      </c>
      <c r="AD1205" s="39" t="n">
        <f aca="false">(AB1205-AA1205)/(1-Resumo!$B$5)</f>
        <v>103.591488636364</v>
      </c>
      <c r="AE1205" s="39" t="n">
        <f aca="false">AC1205-T1205</f>
        <v>37.1847643181818</v>
      </c>
      <c r="AF1205" s="40" t="n">
        <f aca="false">AC1205/T1205-1</f>
        <v>0.449252172056199</v>
      </c>
      <c r="AG1205" s="37" t="str">
        <f aca="false">IF(AC1205&lt;T1205,"SIM","NÃO")</f>
        <v>NÃO</v>
      </c>
      <c r="AH1205" s="37" t="n">
        <v>8</v>
      </c>
      <c r="AI1205" s="37" t="n">
        <v>5</v>
      </c>
      <c r="AJ1205" s="37" t="s">
        <v>323</v>
      </c>
    </row>
    <row r="1206" customFormat="false" ht="15" hidden="false" customHeight="false" outlineLevel="0" collapsed="false">
      <c r="A1206" s="37" t="n">
        <v>378635365</v>
      </c>
      <c r="B1206" s="38" t="n">
        <v>46252.9605555556</v>
      </c>
      <c r="C1206" s="37" t="s">
        <v>320</v>
      </c>
      <c r="D1206" s="37" t="s">
        <v>1459</v>
      </c>
      <c r="E1206" s="37" t="n">
        <v>21044340</v>
      </c>
      <c r="F1206" s="37" t="s">
        <v>139</v>
      </c>
      <c r="G1206" s="37" t="s">
        <v>198</v>
      </c>
      <c r="H1206" s="37" t="s">
        <v>169</v>
      </c>
      <c r="I1206" s="37" t="n">
        <v>37.2</v>
      </c>
      <c r="J1206" s="39" t="n">
        <v>399.99</v>
      </c>
      <c r="K1206" s="37" t="s">
        <v>322</v>
      </c>
      <c r="L1206" s="39" t="n">
        <v>91.77</v>
      </c>
      <c r="M1206" s="39" t="n">
        <v>62.05</v>
      </c>
      <c r="N1206" s="39" t="n">
        <f aca="false">J1206*Resumo!$C$7</f>
        <v>0.79998</v>
      </c>
      <c r="O1206" s="39" t="n">
        <f aca="false">J1206*Resumo!$C$8</f>
        <v>0.79998</v>
      </c>
      <c r="P1206" s="39" t="n">
        <f aca="false">Resumo!$C$10*CEILING(I1206/100,1)</f>
        <v>1</v>
      </c>
      <c r="Q1206" s="39" t="n">
        <f aca="false">Resumo!$C$9</f>
        <v>11.9</v>
      </c>
      <c r="R1206" s="39" t="n">
        <f aca="false">SUM(M1206:Q1206)*Resumo!$C$11</f>
        <v>4.2102478</v>
      </c>
      <c r="S1206" s="39" t="n">
        <f aca="false">SUM(M1206:R1206)</f>
        <v>80.7602078</v>
      </c>
      <c r="T1206" s="39" t="n">
        <f aca="false">S1206/(1-Resumo!$C$5)</f>
        <v>91.7729634090909</v>
      </c>
      <c r="U1206" s="39" t="n">
        <v>93.97</v>
      </c>
      <c r="V1206" s="39" t="n">
        <f aca="false">J1206*Resumo!$B$6</f>
        <v>0.39999</v>
      </c>
      <c r="W1206" s="39" t="n">
        <f aca="false">J1206*Resumo!$B$7</f>
        <v>0.79998</v>
      </c>
      <c r="X1206" s="39" t="n">
        <f aca="false">Resumo!$B$9</f>
        <v>1</v>
      </c>
      <c r="Y1206" s="39" t="n">
        <f aca="false">Resumo!$B$10*CEILING(I1206/100,1)</f>
        <v>4.5</v>
      </c>
      <c r="Z1206" s="39" t="n">
        <f aca="false">Resumo!$B$12*CEILING(I1206,1)</f>
        <v>2.28</v>
      </c>
      <c r="AA1206" s="39" t="n">
        <f aca="false">Resumo!$B$13*CEILING(I1206,1)</f>
        <v>17.1</v>
      </c>
      <c r="AB1206" s="39" t="n">
        <f aca="false">SUM(U1206:AA1206)</f>
        <v>120.04997</v>
      </c>
      <c r="AC1206" s="39" t="n">
        <f aca="false">AB1206/(1-Resumo!$B$5)</f>
        <v>136.420420454545</v>
      </c>
      <c r="AD1206" s="39" t="n">
        <f aca="false">(AB1206-AA1206)/(1-Resumo!$B$5)</f>
        <v>116.988602272727</v>
      </c>
      <c r="AE1206" s="39" t="n">
        <f aca="false">AC1206-T1206</f>
        <v>44.6474570454545</v>
      </c>
      <c r="AF1206" s="40" t="n">
        <f aca="false">AC1206/T1206-1</f>
        <v>0.486499023099344</v>
      </c>
      <c r="AG1206" s="37" t="str">
        <f aca="false">IF(AC1206&lt;T1206,"SIM","NÃO")</f>
        <v>NÃO</v>
      </c>
      <c r="AH1206" s="37" t="n">
        <v>8</v>
      </c>
      <c r="AI1206" s="37" t="n">
        <v>5</v>
      </c>
      <c r="AJ1206" s="37" t="s">
        <v>323</v>
      </c>
    </row>
    <row r="1207" customFormat="false" ht="15" hidden="false" customHeight="false" outlineLevel="0" collapsed="false">
      <c r="A1207" s="37" t="n">
        <v>378661232</v>
      </c>
      <c r="B1207" s="38" t="n">
        <v>46253.004837963</v>
      </c>
      <c r="C1207" s="37" t="s">
        <v>320</v>
      </c>
      <c r="D1207" s="37" t="s">
        <v>1460</v>
      </c>
      <c r="E1207" s="37" t="n">
        <v>24813006</v>
      </c>
      <c r="F1207" s="37" t="s">
        <v>154</v>
      </c>
      <c r="G1207" s="37" t="s">
        <v>201</v>
      </c>
      <c r="H1207" s="37" t="s">
        <v>168</v>
      </c>
      <c r="I1207" s="37" t="n">
        <v>31.9</v>
      </c>
      <c r="J1207" s="39" t="n">
        <v>599.99</v>
      </c>
      <c r="K1207" s="37" t="s">
        <v>322</v>
      </c>
      <c r="L1207" s="39" t="n">
        <v>110.06</v>
      </c>
      <c r="M1207" s="39" t="n">
        <v>76.5</v>
      </c>
      <c r="N1207" s="39" t="n">
        <f aca="false">J1207*Resumo!$C$7</f>
        <v>1.19998</v>
      </c>
      <c r="O1207" s="39" t="n">
        <f aca="false">J1207*Resumo!$C$8</f>
        <v>1.19998</v>
      </c>
      <c r="P1207" s="39" t="n">
        <f aca="false">Resumo!$C$10*CEILING(I1207/100,1)</f>
        <v>1</v>
      </c>
      <c r="Q1207" s="39" t="n">
        <f aca="false">Resumo!$C$9</f>
        <v>11.9</v>
      </c>
      <c r="R1207" s="39" t="n">
        <f aca="false">SUM(M1207:Q1207)*Resumo!$C$11</f>
        <v>5.0489978</v>
      </c>
      <c r="S1207" s="39" t="n">
        <f aca="false">SUM(M1207:R1207)</f>
        <v>96.8489578</v>
      </c>
      <c r="T1207" s="39" t="n">
        <f aca="false">S1207/(1-Resumo!$C$5)</f>
        <v>110.055633863636</v>
      </c>
      <c r="U1207" s="39" t="n">
        <v>100.58</v>
      </c>
      <c r="V1207" s="39" t="n">
        <f aca="false">J1207*Resumo!$B$6</f>
        <v>0.59999</v>
      </c>
      <c r="W1207" s="39" t="n">
        <f aca="false">J1207*Resumo!$B$7</f>
        <v>1.19998</v>
      </c>
      <c r="X1207" s="39" t="n">
        <f aca="false">Resumo!$B$9</f>
        <v>1</v>
      </c>
      <c r="Y1207" s="39" t="n">
        <f aca="false">Resumo!$B$10*CEILING(I1207/100,1)</f>
        <v>4.5</v>
      </c>
      <c r="Z1207" s="39" t="n">
        <f aca="false">Resumo!$B$12*CEILING(I1207,1)</f>
        <v>1.92</v>
      </c>
      <c r="AA1207" s="39" t="n">
        <f aca="false">Resumo!$B$13*CEILING(I1207,1)</f>
        <v>14.4</v>
      </c>
      <c r="AB1207" s="39" t="n">
        <f aca="false">SUM(U1207:AA1207)</f>
        <v>124.19997</v>
      </c>
      <c r="AC1207" s="39" t="n">
        <f aca="false">AB1207/(1-Resumo!$B$5)</f>
        <v>141.136329545455</v>
      </c>
      <c r="AD1207" s="39" t="n">
        <f aca="false">(AB1207-AA1207)/(1-Resumo!$B$5)</f>
        <v>124.772693181818</v>
      </c>
      <c r="AE1207" s="39" t="n">
        <f aca="false">AC1207-T1207</f>
        <v>31.0806956818182</v>
      </c>
      <c r="AF1207" s="40" t="n">
        <f aca="false">AC1207/T1207-1</f>
        <v>0.282408947099687</v>
      </c>
      <c r="AG1207" s="37" t="str">
        <f aca="false">IF(AC1207&lt;T1207,"SIM","NÃO")</f>
        <v>NÃO</v>
      </c>
      <c r="AH1207" s="37" t="n">
        <v>13</v>
      </c>
      <c r="AI1207" s="37" t="n">
        <v>7</v>
      </c>
      <c r="AJ1207" s="37" t="s">
        <v>323</v>
      </c>
    </row>
    <row r="1208" customFormat="false" ht="15" hidden="false" customHeight="false" outlineLevel="0" collapsed="false">
      <c r="A1208" s="37" t="n">
        <v>378670035</v>
      </c>
      <c r="B1208" s="38" t="n">
        <v>46253.0251157407</v>
      </c>
      <c r="C1208" s="37" t="s">
        <v>320</v>
      </c>
      <c r="D1208" s="37" t="s">
        <v>713</v>
      </c>
      <c r="E1208" s="37" t="n">
        <v>21250150</v>
      </c>
      <c r="F1208" s="37" t="s">
        <v>139</v>
      </c>
      <c r="G1208" s="37" t="s">
        <v>198</v>
      </c>
      <c r="H1208" s="37" t="s">
        <v>169</v>
      </c>
      <c r="I1208" s="37" t="n">
        <v>37.6</v>
      </c>
      <c r="J1208" s="39" t="n">
        <v>383.12</v>
      </c>
      <c r="K1208" s="37" t="s">
        <v>322</v>
      </c>
      <c r="L1208" s="39" t="n">
        <v>91.7</v>
      </c>
      <c r="M1208" s="39" t="n">
        <v>62.05</v>
      </c>
      <c r="N1208" s="39" t="n">
        <f aca="false">J1208*Resumo!$C$7</f>
        <v>0.76624</v>
      </c>
      <c r="O1208" s="39" t="n">
        <f aca="false">J1208*Resumo!$C$8</f>
        <v>0.76624</v>
      </c>
      <c r="P1208" s="39" t="n">
        <f aca="false">Resumo!$C$10*CEILING(I1208/100,1)</f>
        <v>1</v>
      </c>
      <c r="Q1208" s="39" t="n">
        <f aca="false">Resumo!$C$9</f>
        <v>11.9</v>
      </c>
      <c r="R1208" s="39" t="n">
        <f aca="false">SUM(M1208:Q1208)*Resumo!$C$11</f>
        <v>4.2065364</v>
      </c>
      <c r="S1208" s="39" t="n">
        <f aca="false">SUM(M1208:R1208)</f>
        <v>80.6890164</v>
      </c>
      <c r="T1208" s="39" t="n">
        <f aca="false">S1208/(1-Resumo!$C$5)</f>
        <v>91.6920640909091</v>
      </c>
      <c r="U1208" s="39" t="n">
        <v>93.97</v>
      </c>
      <c r="V1208" s="39" t="n">
        <f aca="false">J1208*Resumo!$B$6</f>
        <v>0.38312</v>
      </c>
      <c r="W1208" s="39" t="n">
        <f aca="false">J1208*Resumo!$B$7</f>
        <v>0.76624</v>
      </c>
      <c r="X1208" s="39" t="n">
        <f aca="false">Resumo!$B$9</f>
        <v>1</v>
      </c>
      <c r="Y1208" s="39" t="n">
        <f aca="false">Resumo!$B$10*CEILING(I1208/100,1)</f>
        <v>4.5</v>
      </c>
      <c r="Z1208" s="39" t="n">
        <f aca="false">Resumo!$B$12*CEILING(I1208,1)</f>
        <v>2.28</v>
      </c>
      <c r="AA1208" s="39" t="n">
        <f aca="false">Resumo!$B$13*CEILING(I1208,1)</f>
        <v>17.1</v>
      </c>
      <c r="AB1208" s="39" t="n">
        <f aca="false">SUM(U1208:AA1208)</f>
        <v>119.99936</v>
      </c>
      <c r="AC1208" s="39" t="n">
        <f aca="false">AB1208/(1-Resumo!$B$5)</f>
        <v>136.362909090909</v>
      </c>
      <c r="AD1208" s="39" t="n">
        <f aca="false">(AB1208-AA1208)/(1-Resumo!$B$5)</f>
        <v>116.931090909091</v>
      </c>
      <c r="AE1208" s="39" t="n">
        <f aca="false">AC1208-T1208</f>
        <v>44.670845</v>
      </c>
      <c r="AF1208" s="40" t="n">
        <f aca="false">AC1208/T1208-1</f>
        <v>0.487183328708912</v>
      </c>
      <c r="AG1208" s="37" t="str">
        <f aca="false">IF(AC1208&lt;T1208,"SIM","NÃO")</f>
        <v>NÃO</v>
      </c>
      <c r="AH1208" s="37" t="n">
        <v>8</v>
      </c>
      <c r="AI1208" s="37" t="n">
        <v>5</v>
      </c>
      <c r="AJ1208" s="37" t="s">
        <v>323</v>
      </c>
    </row>
    <row r="1209" customFormat="false" ht="15" hidden="false" customHeight="false" outlineLevel="0" collapsed="false">
      <c r="A1209" s="37" t="n">
        <v>378689059</v>
      </c>
      <c r="B1209" s="38" t="n">
        <v>46253.0837847222</v>
      </c>
      <c r="C1209" s="37" t="s">
        <v>325</v>
      </c>
      <c r="D1209" s="37" t="s">
        <v>1461</v>
      </c>
      <c r="E1209" s="37" t="n">
        <v>21815340</v>
      </c>
      <c r="F1209" s="37" t="s">
        <v>139</v>
      </c>
      <c r="G1209" s="37" t="s">
        <v>198</v>
      </c>
      <c r="H1209" s="37" t="s">
        <v>171</v>
      </c>
      <c r="I1209" s="37" t="n">
        <v>52.3</v>
      </c>
      <c r="J1209" s="39" t="n">
        <v>616.99</v>
      </c>
      <c r="K1209" s="37" t="s">
        <v>322</v>
      </c>
      <c r="L1209" s="39" t="n">
        <v>114.09</v>
      </c>
      <c r="M1209" s="39" t="n">
        <v>79.81</v>
      </c>
      <c r="N1209" s="39" t="n">
        <f aca="false">J1209*Resumo!$C$7</f>
        <v>1.23398</v>
      </c>
      <c r="O1209" s="39" t="n">
        <f aca="false">J1209*Resumo!$C$8</f>
        <v>1.23398</v>
      </c>
      <c r="P1209" s="39" t="n">
        <f aca="false">Resumo!$C$10*CEILING(I1209/100,1)</f>
        <v>1</v>
      </c>
      <c r="Q1209" s="39" t="n">
        <f aca="false">Resumo!$C$9</f>
        <v>11.9</v>
      </c>
      <c r="R1209" s="39" t="n">
        <f aca="false">SUM(M1209:Q1209)*Resumo!$C$11</f>
        <v>5.2347878</v>
      </c>
      <c r="S1209" s="39" t="n">
        <f aca="false">SUM(M1209:R1209)</f>
        <v>100.4127478</v>
      </c>
      <c r="T1209" s="39" t="n">
        <f aca="false">S1209/(1-Resumo!$C$5)</f>
        <v>114.105395227273</v>
      </c>
      <c r="U1209" s="39" t="n">
        <v>112.3</v>
      </c>
      <c r="V1209" s="39" t="n">
        <f aca="false">J1209*Resumo!$B$6</f>
        <v>0.61699</v>
      </c>
      <c r="W1209" s="39" t="n">
        <f aca="false">J1209*Resumo!$B$7</f>
        <v>1.23398</v>
      </c>
      <c r="X1209" s="39" t="n">
        <f aca="false">Resumo!$B$9</f>
        <v>1</v>
      </c>
      <c r="Y1209" s="39" t="n">
        <f aca="false">Resumo!$B$10*CEILING(I1209/100,1)</f>
        <v>4.5</v>
      </c>
      <c r="Z1209" s="39" t="n">
        <f aca="false">Resumo!$B$12*CEILING(I1209,1)</f>
        <v>3.18</v>
      </c>
      <c r="AA1209" s="39" t="n">
        <f aca="false">Resumo!$B$13*CEILING(I1209,1)</f>
        <v>23.85</v>
      </c>
      <c r="AB1209" s="39" t="n">
        <f aca="false">SUM(U1209:AA1209)</f>
        <v>146.68097</v>
      </c>
      <c r="AC1209" s="39" t="n">
        <f aca="false">AB1209/(1-Resumo!$B$5)</f>
        <v>166.682920454545</v>
      </c>
      <c r="AD1209" s="39" t="n">
        <f aca="false">(AB1209-AA1209)/(1-Resumo!$B$5)</f>
        <v>139.580647727273</v>
      </c>
      <c r="AE1209" s="39" t="n">
        <f aca="false">AC1209-T1209</f>
        <v>52.5775252272727</v>
      </c>
      <c r="AF1209" s="40" t="n">
        <f aca="false">AC1209/T1209-1</f>
        <v>0.46078036119633</v>
      </c>
      <c r="AG1209" s="37" t="str">
        <f aca="false">IF(AC1209&lt;T1209,"SIM","NÃO")</f>
        <v>NÃO</v>
      </c>
      <c r="AH1209" s="37" t="n">
        <v>8</v>
      </c>
      <c r="AI1209" s="37" t="n">
        <v>5</v>
      </c>
      <c r="AJ1209" s="37" t="s">
        <v>323</v>
      </c>
    </row>
    <row r="1210" customFormat="false" ht="15" hidden="false" customHeight="false" outlineLevel="0" collapsed="false">
      <c r="A1210" s="37" t="n">
        <v>378698722</v>
      </c>
      <c r="B1210" s="38" t="n">
        <v>46253.2136111111</v>
      </c>
      <c r="C1210" s="37" t="s">
        <v>341</v>
      </c>
      <c r="D1210" s="37" t="s">
        <v>1462</v>
      </c>
      <c r="E1210" s="37" t="n">
        <v>25015301</v>
      </c>
      <c r="F1210" s="37" t="s">
        <v>141</v>
      </c>
      <c r="G1210" s="37" t="s">
        <v>207</v>
      </c>
      <c r="H1210" s="37" t="s">
        <v>168</v>
      </c>
      <c r="I1210" s="37" t="n">
        <v>22.4</v>
      </c>
      <c r="J1210" s="39" t="n">
        <v>475.99</v>
      </c>
      <c r="K1210" s="37" t="s">
        <v>322</v>
      </c>
      <c r="L1210" s="39" t="n">
        <v>101.66</v>
      </c>
      <c r="M1210" s="39" t="n">
        <v>70</v>
      </c>
      <c r="N1210" s="39" t="n">
        <f aca="false">J1210*Resumo!$C$7</f>
        <v>0.95198</v>
      </c>
      <c r="O1210" s="39" t="n">
        <f aca="false">J1210*Resumo!$C$8</f>
        <v>0.95198</v>
      </c>
      <c r="P1210" s="39" t="n">
        <f aca="false">Resumo!$C$10*CEILING(I1210/100,1)</f>
        <v>1</v>
      </c>
      <c r="Q1210" s="39" t="n">
        <f aca="false">Resumo!$C$9</f>
        <v>11.9</v>
      </c>
      <c r="R1210" s="39" t="n">
        <f aca="false">SUM(M1210:Q1210)*Resumo!$C$11</f>
        <v>4.6642178</v>
      </c>
      <c r="S1210" s="39" t="n">
        <f aca="false">SUM(M1210:R1210)</f>
        <v>89.4681778</v>
      </c>
      <c r="T1210" s="39" t="n">
        <f aca="false">S1210/(1-Resumo!$C$5)</f>
        <v>101.668383863636</v>
      </c>
      <c r="U1210" s="39" t="n">
        <v>82.21</v>
      </c>
      <c r="V1210" s="39" t="n">
        <f aca="false">J1210*Resumo!$B$6</f>
        <v>0.47599</v>
      </c>
      <c r="W1210" s="39" t="n">
        <f aca="false">J1210*Resumo!$B$7</f>
        <v>0.95198</v>
      </c>
      <c r="X1210" s="39" t="n">
        <f aca="false">Resumo!$B$9</f>
        <v>1</v>
      </c>
      <c r="Y1210" s="39" t="n">
        <f aca="false">Resumo!$B$10*CEILING(I1210/100,1)</f>
        <v>4.5</v>
      </c>
      <c r="Z1210" s="39" t="n">
        <f aca="false">Resumo!$B$12*CEILING(I1210,1)</f>
        <v>1.38</v>
      </c>
      <c r="AA1210" s="39" t="n">
        <f aca="false">Resumo!$B$13*CEILING(I1210,1)</f>
        <v>10.35</v>
      </c>
      <c r="AB1210" s="39" t="n">
        <f aca="false">SUM(U1210:AA1210)</f>
        <v>100.86797</v>
      </c>
      <c r="AC1210" s="39" t="n">
        <f aca="false">AB1210/(1-Resumo!$B$5)</f>
        <v>114.622693181818</v>
      </c>
      <c r="AD1210" s="39" t="n">
        <f aca="false">(AB1210-AA1210)/(1-Resumo!$B$5)</f>
        <v>102.861329545455</v>
      </c>
      <c r="AE1210" s="39" t="n">
        <f aca="false">AC1210-T1210</f>
        <v>12.9543093181818</v>
      </c>
      <c r="AF1210" s="40" t="n">
        <f aca="false">AC1210/T1210-1</f>
        <v>0.127417283779753</v>
      </c>
      <c r="AG1210" s="37" t="str">
        <f aca="false">IF(AC1210&lt;T1210,"SIM","NÃO")</f>
        <v>NÃO</v>
      </c>
      <c r="AH1210" s="37" t="n">
        <v>10</v>
      </c>
      <c r="AI1210" s="37" t="n">
        <v>5</v>
      </c>
      <c r="AJ1210" s="37" t="s">
        <v>323</v>
      </c>
    </row>
    <row r="1211" customFormat="false" ht="15" hidden="false" customHeight="false" outlineLevel="0" collapsed="false">
      <c r="A1211" s="37" t="n">
        <v>378738400</v>
      </c>
      <c r="B1211" s="38" t="n">
        <v>46253.2766435185</v>
      </c>
      <c r="C1211" s="37" t="s">
        <v>320</v>
      </c>
      <c r="D1211" s="37" t="s">
        <v>1463</v>
      </c>
      <c r="E1211" s="37" t="n">
        <v>28948878</v>
      </c>
      <c r="F1211" s="37" t="s">
        <v>278</v>
      </c>
      <c r="G1211" s="37" t="s">
        <v>201</v>
      </c>
      <c r="H1211" s="37" t="s">
        <v>169</v>
      </c>
      <c r="I1211" s="37" t="n">
        <v>37.5</v>
      </c>
      <c r="J1211" s="39" t="n">
        <v>439.99</v>
      </c>
      <c r="K1211" s="37" t="s">
        <v>322</v>
      </c>
      <c r="L1211" s="39" t="n">
        <v>122.35</v>
      </c>
      <c r="M1211" s="39" t="n">
        <v>87.4</v>
      </c>
      <c r="N1211" s="39" t="n">
        <f aca="false">J1211*Resumo!$C$7</f>
        <v>0.87998</v>
      </c>
      <c r="O1211" s="39" t="n">
        <f aca="false">J1211*Resumo!$C$8</f>
        <v>0.87998</v>
      </c>
      <c r="P1211" s="39" t="n">
        <f aca="false">Resumo!$C$10*CEILING(I1211/100,1)</f>
        <v>1</v>
      </c>
      <c r="Q1211" s="39" t="n">
        <f aca="false">Resumo!$C$9</f>
        <v>11.9</v>
      </c>
      <c r="R1211" s="39" t="n">
        <f aca="false">SUM(M1211:Q1211)*Resumo!$C$11</f>
        <v>5.6132978</v>
      </c>
      <c r="S1211" s="39" t="n">
        <f aca="false">SUM(M1211:R1211)</f>
        <v>107.6732578</v>
      </c>
      <c r="T1211" s="39" t="n">
        <f aca="false">S1211/(1-Resumo!$C$5)</f>
        <v>122.355974772727</v>
      </c>
      <c r="U1211" s="39" t="n">
        <v>124.38</v>
      </c>
      <c r="V1211" s="39" t="n">
        <f aca="false">J1211*Resumo!$B$6</f>
        <v>0.43999</v>
      </c>
      <c r="W1211" s="39" t="n">
        <f aca="false">J1211*Resumo!$B$7</f>
        <v>0.87998</v>
      </c>
      <c r="X1211" s="39" t="n">
        <f aca="false">Resumo!$B$9</f>
        <v>1</v>
      </c>
      <c r="Y1211" s="39" t="n">
        <f aca="false">Resumo!$B$10*CEILING(I1211/100,1)</f>
        <v>4.5</v>
      </c>
      <c r="Z1211" s="39" t="n">
        <f aca="false">Resumo!$B$12*CEILING(I1211,1)</f>
        <v>2.28</v>
      </c>
      <c r="AA1211" s="39" t="n">
        <f aca="false">Resumo!$B$13*CEILING(I1211,1)</f>
        <v>17.1</v>
      </c>
      <c r="AB1211" s="39" t="n">
        <f aca="false">SUM(U1211:AA1211)</f>
        <v>150.57997</v>
      </c>
      <c r="AC1211" s="39" t="n">
        <f aca="false">AB1211/(1-Resumo!$B$5)</f>
        <v>171.113602272727</v>
      </c>
      <c r="AD1211" s="39" t="n">
        <f aca="false">(AB1211-AA1211)/(1-Resumo!$B$5)</f>
        <v>151.681784090909</v>
      </c>
      <c r="AE1211" s="39" t="n">
        <f aca="false">AC1211-T1211</f>
        <v>48.7576275</v>
      </c>
      <c r="AF1211" s="40" t="n">
        <f aca="false">AC1211/T1211-1</f>
        <v>0.398489960057659</v>
      </c>
      <c r="AG1211" s="37" t="str">
        <f aca="false">IF(AC1211&lt;T1211,"SIM","NÃO")</f>
        <v>NÃO</v>
      </c>
      <c r="AH1211" s="37" t="n">
        <v>13</v>
      </c>
      <c r="AI1211" s="37" t="n">
        <v>10</v>
      </c>
      <c r="AJ1211" s="37" t="s">
        <v>327</v>
      </c>
    </row>
    <row r="1212" customFormat="false" ht="15" hidden="false" customHeight="false" outlineLevel="0" collapsed="false">
      <c r="A1212" s="37" t="n">
        <v>378773626</v>
      </c>
      <c r="B1212" s="38" t="n">
        <v>46253.375150463</v>
      </c>
      <c r="C1212" s="37" t="s">
        <v>320</v>
      </c>
      <c r="D1212" s="37" t="s">
        <v>1464</v>
      </c>
      <c r="E1212" s="37" t="n">
        <v>25223500</v>
      </c>
      <c r="F1212" s="37" t="s">
        <v>141</v>
      </c>
      <c r="G1212" s="37" t="s">
        <v>207</v>
      </c>
      <c r="H1212" s="37" t="s">
        <v>168</v>
      </c>
      <c r="I1212" s="37" t="n">
        <v>27.6</v>
      </c>
      <c r="J1212" s="39" t="n">
        <v>551.99</v>
      </c>
      <c r="K1212" s="37" t="s">
        <v>322</v>
      </c>
      <c r="L1212" s="39" t="n">
        <v>102.02</v>
      </c>
      <c r="M1212" s="39" t="n">
        <v>70</v>
      </c>
      <c r="N1212" s="39" t="n">
        <f aca="false">J1212*Resumo!$C$7</f>
        <v>1.10398</v>
      </c>
      <c r="O1212" s="39" t="n">
        <f aca="false">J1212*Resumo!$C$8</f>
        <v>1.10398</v>
      </c>
      <c r="P1212" s="39" t="n">
        <f aca="false">Resumo!$C$10*CEILING(I1212/100,1)</f>
        <v>1</v>
      </c>
      <c r="Q1212" s="39" t="n">
        <f aca="false">Resumo!$C$9</f>
        <v>11.9</v>
      </c>
      <c r="R1212" s="39" t="n">
        <f aca="false">SUM(M1212:Q1212)*Resumo!$C$11</f>
        <v>4.6809378</v>
      </c>
      <c r="S1212" s="39" t="n">
        <f aca="false">SUM(M1212:R1212)</f>
        <v>89.7888978</v>
      </c>
      <c r="T1212" s="39" t="n">
        <f aca="false">S1212/(1-Resumo!$C$5)</f>
        <v>102.032838409091</v>
      </c>
      <c r="U1212" s="39" t="n">
        <v>82.21</v>
      </c>
      <c r="V1212" s="39" t="n">
        <f aca="false">J1212*Resumo!$B$6</f>
        <v>0.55199</v>
      </c>
      <c r="W1212" s="39" t="n">
        <f aca="false">J1212*Resumo!$B$7</f>
        <v>1.10398</v>
      </c>
      <c r="X1212" s="39" t="n">
        <f aca="false">Resumo!$B$9</f>
        <v>1</v>
      </c>
      <c r="Y1212" s="39" t="n">
        <f aca="false">Resumo!$B$10*CEILING(I1212/100,1)</f>
        <v>4.5</v>
      </c>
      <c r="Z1212" s="39" t="n">
        <f aca="false">Resumo!$B$12*CEILING(I1212,1)</f>
        <v>1.68</v>
      </c>
      <c r="AA1212" s="39" t="n">
        <f aca="false">Resumo!$B$13*CEILING(I1212,1)</f>
        <v>12.6</v>
      </c>
      <c r="AB1212" s="39" t="n">
        <f aca="false">SUM(U1212:AA1212)</f>
        <v>103.64597</v>
      </c>
      <c r="AC1212" s="39" t="n">
        <f aca="false">AB1212/(1-Resumo!$B$5)</f>
        <v>117.779511363636</v>
      </c>
      <c r="AD1212" s="39" t="n">
        <f aca="false">(AB1212-AA1212)/(1-Resumo!$B$5)</f>
        <v>103.461329545455</v>
      </c>
      <c r="AE1212" s="39" t="n">
        <f aca="false">AC1212-T1212</f>
        <v>15.7466729545454</v>
      </c>
      <c r="AF1212" s="40" t="n">
        <f aca="false">AC1212/T1212-1</f>
        <v>0.154329460985988</v>
      </c>
      <c r="AG1212" s="37" t="str">
        <f aca="false">IF(AC1212&lt;T1212,"SIM","NÃO")</f>
        <v>NÃO</v>
      </c>
      <c r="AH1212" s="37" t="n">
        <v>10</v>
      </c>
      <c r="AI1212" s="37" t="n">
        <v>5</v>
      </c>
      <c r="AJ1212" s="37" t="s">
        <v>323</v>
      </c>
    </row>
    <row r="1213" customFormat="false" ht="15" hidden="false" customHeight="false" outlineLevel="0" collapsed="false">
      <c r="A1213" s="37" t="n">
        <v>378795883</v>
      </c>
      <c r="B1213" s="38" t="n">
        <v>46253.4211111111</v>
      </c>
      <c r="C1213" s="37" t="s">
        <v>320</v>
      </c>
      <c r="D1213" s="37" t="s">
        <v>1465</v>
      </c>
      <c r="E1213" s="37" t="n">
        <v>28692600</v>
      </c>
      <c r="F1213" s="37" t="s">
        <v>269</v>
      </c>
      <c r="G1213" s="37" t="s">
        <v>201</v>
      </c>
      <c r="H1213" s="37" t="s">
        <v>172</v>
      </c>
      <c r="I1213" s="37" t="n">
        <v>63.9</v>
      </c>
      <c r="J1213" s="39" t="n">
        <v>717.59</v>
      </c>
      <c r="K1213" s="37" t="s">
        <v>322</v>
      </c>
      <c r="L1213" s="39" t="n">
        <v>155.47</v>
      </c>
      <c r="M1213" s="39" t="n">
        <v>113.9</v>
      </c>
      <c r="N1213" s="39" t="n">
        <f aca="false">J1213*Resumo!$C$7</f>
        <v>1.43518</v>
      </c>
      <c r="O1213" s="39" t="n">
        <f aca="false">J1213*Resumo!$C$8</f>
        <v>1.43518</v>
      </c>
      <c r="P1213" s="39" t="n">
        <f aca="false">Resumo!$C$10*CEILING(I1213/100,1)</f>
        <v>1</v>
      </c>
      <c r="Q1213" s="39" t="n">
        <f aca="false">Resumo!$C$9</f>
        <v>11.9</v>
      </c>
      <c r="R1213" s="39" t="n">
        <f aca="false">SUM(M1213:Q1213)*Resumo!$C$11</f>
        <v>7.1318698</v>
      </c>
      <c r="S1213" s="39" t="n">
        <f aca="false">SUM(M1213:R1213)</f>
        <v>136.8022298</v>
      </c>
      <c r="T1213" s="39" t="n">
        <f aca="false">S1213/(1-Resumo!$C$5)</f>
        <v>155.457079318182</v>
      </c>
      <c r="U1213" s="39" t="n">
        <v>166.05</v>
      </c>
      <c r="V1213" s="39" t="n">
        <f aca="false">J1213*Resumo!$B$6</f>
        <v>0.71759</v>
      </c>
      <c r="W1213" s="39" t="n">
        <f aca="false">J1213*Resumo!$B$7</f>
        <v>1.43518</v>
      </c>
      <c r="X1213" s="39" t="n">
        <f aca="false">Resumo!$B$9</f>
        <v>1</v>
      </c>
      <c r="Y1213" s="39" t="n">
        <f aca="false">Resumo!$B$10*CEILING(I1213/100,1)</f>
        <v>4.5</v>
      </c>
      <c r="Z1213" s="39" t="n">
        <f aca="false">Resumo!$B$12*CEILING(I1213,1)</f>
        <v>3.84</v>
      </c>
      <c r="AA1213" s="39" t="n">
        <f aca="false">Resumo!$B$13*CEILING(I1213,1)</f>
        <v>28.8</v>
      </c>
      <c r="AB1213" s="39" t="n">
        <f aca="false">SUM(U1213:AA1213)</f>
        <v>206.34277</v>
      </c>
      <c r="AC1213" s="39" t="n">
        <f aca="false">AB1213/(1-Resumo!$B$5)</f>
        <v>234.480420454545</v>
      </c>
      <c r="AD1213" s="39" t="n">
        <f aca="false">(AB1213-AA1213)/(1-Resumo!$B$5)</f>
        <v>201.753147727273</v>
      </c>
      <c r="AE1213" s="39" t="n">
        <f aca="false">AC1213-T1213</f>
        <v>79.0233411363636</v>
      </c>
      <c r="AF1213" s="40" t="n">
        <f aca="false">AC1213/T1213-1</f>
        <v>0.508328996549733</v>
      </c>
      <c r="AG1213" s="37" t="str">
        <f aca="false">IF(AC1213&lt;T1213,"SIM","NÃO")</f>
        <v>NÃO</v>
      </c>
      <c r="AH1213" s="37" t="n">
        <v>13</v>
      </c>
      <c r="AI1213" s="37" t="n">
        <v>10</v>
      </c>
      <c r="AJ1213" s="37" t="s">
        <v>327</v>
      </c>
    </row>
    <row r="1214" customFormat="false" ht="15" hidden="false" customHeight="false" outlineLevel="0" collapsed="false">
      <c r="A1214" s="37" t="n">
        <v>378804508</v>
      </c>
      <c r="B1214" s="38" t="n">
        <v>46253.4362384259</v>
      </c>
      <c r="C1214" s="37" t="s">
        <v>325</v>
      </c>
      <c r="D1214" s="37" t="s">
        <v>1289</v>
      </c>
      <c r="E1214" s="37" t="n">
        <v>21725020</v>
      </c>
      <c r="F1214" s="37" t="s">
        <v>139</v>
      </c>
      <c r="G1214" s="37" t="s">
        <v>198</v>
      </c>
      <c r="H1214" s="37" t="s">
        <v>168</v>
      </c>
      <c r="I1214" s="37" t="n">
        <v>20.8</v>
      </c>
      <c r="J1214" s="39" t="n">
        <v>289.24</v>
      </c>
      <c r="K1214" s="37" t="s">
        <v>322</v>
      </c>
      <c r="L1214" s="39" t="n">
        <v>81.72</v>
      </c>
      <c r="M1214" s="39" t="n">
        <v>54.1</v>
      </c>
      <c r="N1214" s="39" t="n">
        <f aca="false">J1214*Resumo!$C$7</f>
        <v>0.57848</v>
      </c>
      <c r="O1214" s="39" t="n">
        <f aca="false">J1214*Resumo!$C$8</f>
        <v>0.57848</v>
      </c>
      <c r="P1214" s="39" t="n">
        <f aca="false">Resumo!$C$10*CEILING(I1214/100,1)</f>
        <v>1</v>
      </c>
      <c r="Q1214" s="39" t="n">
        <f aca="false">Resumo!$C$9</f>
        <v>11.9</v>
      </c>
      <c r="R1214" s="39" t="n">
        <f aca="false">SUM(M1214:Q1214)*Resumo!$C$11</f>
        <v>3.7486328</v>
      </c>
      <c r="S1214" s="39" t="n">
        <f aca="false">SUM(M1214:R1214)</f>
        <v>71.9055928</v>
      </c>
      <c r="T1214" s="39" t="n">
        <f aca="false">S1214/(1-Resumo!$C$5)</f>
        <v>81.7109009090909</v>
      </c>
      <c r="U1214" s="39" t="n">
        <v>82.21</v>
      </c>
      <c r="V1214" s="39" t="n">
        <f aca="false">J1214*Resumo!$B$6</f>
        <v>0.28924</v>
      </c>
      <c r="W1214" s="39" t="n">
        <f aca="false">J1214*Resumo!$B$7</f>
        <v>0.57848</v>
      </c>
      <c r="X1214" s="39" t="n">
        <f aca="false">Resumo!$B$9</f>
        <v>1</v>
      </c>
      <c r="Y1214" s="39" t="n">
        <f aca="false">Resumo!$B$10*CEILING(I1214/100,1)</f>
        <v>4.5</v>
      </c>
      <c r="Z1214" s="39" t="n">
        <f aca="false">Resumo!$B$12*CEILING(I1214,1)</f>
        <v>1.26</v>
      </c>
      <c r="AA1214" s="39" t="n">
        <f aca="false">Resumo!$B$13*CEILING(I1214,1)</f>
        <v>9.45</v>
      </c>
      <c r="AB1214" s="39" t="n">
        <f aca="false">SUM(U1214:AA1214)</f>
        <v>99.28772</v>
      </c>
      <c r="AC1214" s="39" t="n">
        <f aca="false">AB1214/(1-Resumo!$B$5)</f>
        <v>112.826954545455</v>
      </c>
      <c r="AD1214" s="39" t="n">
        <f aca="false">(AB1214-AA1214)/(1-Resumo!$B$5)</f>
        <v>102.088318181818</v>
      </c>
      <c r="AE1214" s="39" t="n">
        <f aca="false">AC1214-T1214</f>
        <v>31.1160536363636</v>
      </c>
      <c r="AF1214" s="40" t="n">
        <f aca="false">AC1214/T1214-1</f>
        <v>0.380806640119933</v>
      </c>
      <c r="AG1214" s="37" t="str">
        <f aca="false">IF(AC1214&lt;T1214,"SIM","NÃO")</f>
        <v>NÃO</v>
      </c>
      <c r="AH1214" s="37" t="n">
        <v>8</v>
      </c>
      <c r="AI1214" s="37" t="n">
        <v>5</v>
      </c>
      <c r="AJ1214" s="37" t="s">
        <v>323</v>
      </c>
    </row>
    <row r="1215" customFormat="false" ht="15" hidden="false" customHeight="false" outlineLevel="0" collapsed="false">
      <c r="A1215" s="37" t="n">
        <v>378844308</v>
      </c>
      <c r="B1215" s="38" t="n">
        <v>46253.510787037</v>
      </c>
      <c r="C1215" s="37" t="s">
        <v>320</v>
      </c>
      <c r="D1215" s="37" t="s">
        <v>1466</v>
      </c>
      <c r="E1215" s="37" t="n">
        <v>22221000</v>
      </c>
      <c r="F1215" s="37" t="s">
        <v>139</v>
      </c>
      <c r="G1215" s="37" t="s">
        <v>198</v>
      </c>
      <c r="H1215" s="37" t="s">
        <v>171</v>
      </c>
      <c r="I1215" s="37" t="n">
        <v>52.3</v>
      </c>
      <c r="J1215" s="39" t="n">
        <v>616.39</v>
      </c>
      <c r="K1215" s="37" t="s">
        <v>322</v>
      </c>
      <c r="L1215" s="39" t="n">
        <v>114.09</v>
      </c>
      <c r="M1215" s="39" t="n">
        <v>79.81</v>
      </c>
      <c r="N1215" s="39" t="n">
        <f aca="false">J1215*Resumo!$C$7</f>
        <v>1.23278</v>
      </c>
      <c r="O1215" s="39" t="n">
        <f aca="false">J1215*Resumo!$C$8</f>
        <v>1.23278</v>
      </c>
      <c r="P1215" s="39" t="n">
        <f aca="false">Resumo!$C$10*CEILING(I1215/100,1)</f>
        <v>1</v>
      </c>
      <c r="Q1215" s="39" t="n">
        <f aca="false">Resumo!$C$9</f>
        <v>11.9</v>
      </c>
      <c r="R1215" s="39" t="n">
        <f aca="false">SUM(M1215:Q1215)*Resumo!$C$11</f>
        <v>5.2346558</v>
      </c>
      <c r="S1215" s="39" t="n">
        <f aca="false">SUM(M1215:R1215)</f>
        <v>100.4102158</v>
      </c>
      <c r="T1215" s="39" t="n">
        <f aca="false">S1215/(1-Resumo!$C$5)</f>
        <v>114.102517954545</v>
      </c>
      <c r="U1215" s="39" t="n">
        <v>112.3</v>
      </c>
      <c r="V1215" s="39" t="n">
        <f aca="false">J1215*Resumo!$B$6</f>
        <v>0.61639</v>
      </c>
      <c r="W1215" s="39" t="n">
        <f aca="false">J1215*Resumo!$B$7</f>
        <v>1.23278</v>
      </c>
      <c r="X1215" s="39" t="n">
        <f aca="false">Resumo!$B$9</f>
        <v>1</v>
      </c>
      <c r="Y1215" s="39" t="n">
        <f aca="false">Resumo!$B$10*CEILING(I1215/100,1)</f>
        <v>4.5</v>
      </c>
      <c r="Z1215" s="39" t="n">
        <f aca="false">Resumo!$B$12*CEILING(I1215,1)</f>
        <v>3.18</v>
      </c>
      <c r="AA1215" s="39" t="n">
        <f aca="false">Resumo!$B$13*CEILING(I1215,1)</f>
        <v>23.85</v>
      </c>
      <c r="AB1215" s="39" t="n">
        <f aca="false">SUM(U1215:AA1215)</f>
        <v>146.67917</v>
      </c>
      <c r="AC1215" s="39" t="n">
        <f aca="false">AB1215/(1-Resumo!$B$5)</f>
        <v>166.680875</v>
      </c>
      <c r="AD1215" s="39" t="n">
        <f aca="false">(AB1215-AA1215)/(1-Resumo!$B$5)</f>
        <v>139.578602272727</v>
      </c>
      <c r="AE1215" s="39" t="n">
        <f aca="false">AC1215-T1215</f>
        <v>52.5783570454545</v>
      </c>
      <c r="AF1215" s="40" t="n">
        <f aca="false">AC1215/T1215-1</f>
        <v>0.460799270585772</v>
      </c>
      <c r="AG1215" s="37" t="str">
        <f aca="false">IF(AC1215&lt;T1215,"SIM","NÃO")</f>
        <v>NÃO</v>
      </c>
      <c r="AH1215" s="37" t="n">
        <v>8</v>
      </c>
      <c r="AI1215" s="37" t="n">
        <v>5</v>
      </c>
      <c r="AJ1215" s="37" t="s">
        <v>323</v>
      </c>
    </row>
    <row r="1216" customFormat="false" ht="15" hidden="false" customHeight="false" outlineLevel="0" collapsed="false">
      <c r="A1216" s="37" t="n">
        <v>378845254</v>
      </c>
      <c r="B1216" s="38" t="n">
        <v>46253.5123148148</v>
      </c>
      <c r="C1216" s="37" t="s">
        <v>325</v>
      </c>
      <c r="D1216" s="37" t="s">
        <v>1467</v>
      </c>
      <c r="E1216" s="37" t="n">
        <v>27913260</v>
      </c>
      <c r="F1216" s="37" t="s">
        <v>146</v>
      </c>
      <c r="G1216" s="37" t="s">
        <v>201</v>
      </c>
      <c r="H1216" s="37" t="s">
        <v>170</v>
      </c>
      <c r="I1216" s="37" t="n">
        <v>44.7</v>
      </c>
      <c r="J1216" s="39" t="n">
        <v>511.57</v>
      </c>
      <c r="K1216" s="37" t="s">
        <v>322</v>
      </c>
      <c r="L1216" s="39" t="n">
        <v>130.6</v>
      </c>
      <c r="M1216" s="39" t="n">
        <v>94</v>
      </c>
      <c r="N1216" s="39" t="n">
        <f aca="false">J1216*Resumo!$C$7</f>
        <v>1.02314</v>
      </c>
      <c r="O1216" s="39" t="n">
        <f aca="false">J1216*Resumo!$C$8</f>
        <v>1.02314</v>
      </c>
      <c r="P1216" s="39" t="n">
        <f aca="false">Resumo!$C$10*CEILING(I1216/100,1)</f>
        <v>1</v>
      </c>
      <c r="Q1216" s="39" t="n">
        <f aca="false">Resumo!$C$9</f>
        <v>11.9</v>
      </c>
      <c r="R1216" s="39" t="n">
        <f aca="false">SUM(M1216:Q1216)*Resumo!$C$11</f>
        <v>5.9920454</v>
      </c>
      <c r="S1216" s="39" t="n">
        <f aca="false">SUM(M1216:R1216)</f>
        <v>114.9383254</v>
      </c>
      <c r="T1216" s="39" t="n">
        <f aca="false">S1216/(1-Resumo!$C$5)</f>
        <v>130.611733409091</v>
      </c>
      <c r="U1216" s="39" t="n">
        <v>152.54</v>
      </c>
      <c r="V1216" s="39" t="n">
        <f aca="false">J1216*Resumo!$B$6</f>
        <v>0.51157</v>
      </c>
      <c r="W1216" s="39" t="n">
        <f aca="false">J1216*Resumo!$B$7</f>
        <v>1.02314</v>
      </c>
      <c r="X1216" s="39" t="n">
        <f aca="false">Resumo!$B$9</f>
        <v>1</v>
      </c>
      <c r="Y1216" s="39" t="n">
        <f aca="false">Resumo!$B$10*CEILING(I1216/100,1)</f>
        <v>4.5</v>
      </c>
      <c r="Z1216" s="39" t="n">
        <f aca="false">Resumo!$B$12*CEILING(I1216,1)</f>
        <v>2.7</v>
      </c>
      <c r="AA1216" s="39" t="n">
        <f aca="false">Resumo!$B$13*CEILING(I1216,1)</f>
        <v>20.25</v>
      </c>
      <c r="AB1216" s="39" t="n">
        <f aca="false">SUM(U1216:AA1216)</f>
        <v>182.52471</v>
      </c>
      <c r="AC1216" s="39" t="n">
        <f aca="false">AB1216/(1-Resumo!$B$5)</f>
        <v>207.414443181818</v>
      </c>
      <c r="AD1216" s="39" t="n">
        <f aca="false">(AB1216-AA1216)/(1-Resumo!$B$5)</f>
        <v>184.403079545455</v>
      </c>
      <c r="AE1216" s="39" t="n">
        <f aca="false">AC1216-T1216</f>
        <v>76.8027097727273</v>
      </c>
      <c r="AF1216" s="40" t="n">
        <f aca="false">AC1216/T1216-1</f>
        <v>0.588023049446656</v>
      </c>
      <c r="AG1216" s="37" t="str">
        <f aca="false">IF(AC1216&lt;T1216,"SIM","NÃO")</f>
        <v>NÃO</v>
      </c>
      <c r="AH1216" s="37" t="n">
        <v>13</v>
      </c>
      <c r="AI1216" s="37" t="n">
        <v>11</v>
      </c>
      <c r="AJ1216" s="37" t="s">
        <v>323</v>
      </c>
    </row>
    <row r="1217" customFormat="false" ht="15" hidden="false" customHeight="false" outlineLevel="0" collapsed="false">
      <c r="A1217" s="37" t="n">
        <v>378867247</v>
      </c>
      <c r="B1217" s="38" t="n">
        <v>46253.5539814815</v>
      </c>
      <c r="C1217" s="37" t="s">
        <v>325</v>
      </c>
      <c r="D1217" s="37" t="s">
        <v>1468</v>
      </c>
      <c r="E1217" s="37" t="n">
        <v>20740570</v>
      </c>
      <c r="F1217" s="37" t="s">
        <v>139</v>
      </c>
      <c r="G1217" s="37" t="s">
        <v>198</v>
      </c>
      <c r="H1217" s="37" t="s">
        <v>168</v>
      </c>
      <c r="I1217" s="37" t="n">
        <v>25.8</v>
      </c>
      <c r="J1217" s="39" t="n">
        <v>316</v>
      </c>
      <c r="K1217" s="37" t="s">
        <v>322</v>
      </c>
      <c r="L1217" s="39" t="n">
        <v>81.83</v>
      </c>
      <c r="M1217" s="39" t="n">
        <v>54.1</v>
      </c>
      <c r="N1217" s="39" t="n">
        <f aca="false">J1217*Resumo!$C$7</f>
        <v>0.632</v>
      </c>
      <c r="O1217" s="39" t="n">
        <f aca="false">J1217*Resumo!$C$8</f>
        <v>0.632</v>
      </c>
      <c r="P1217" s="39" t="n">
        <f aca="false">Resumo!$C$10*CEILING(I1217/100,1)</f>
        <v>1</v>
      </c>
      <c r="Q1217" s="39" t="n">
        <f aca="false">Resumo!$C$9</f>
        <v>11.9</v>
      </c>
      <c r="R1217" s="39" t="n">
        <f aca="false">SUM(M1217:Q1217)*Resumo!$C$11</f>
        <v>3.75452</v>
      </c>
      <c r="S1217" s="39" t="n">
        <f aca="false">SUM(M1217:R1217)</f>
        <v>72.01852</v>
      </c>
      <c r="T1217" s="39" t="n">
        <f aca="false">S1217/(1-Resumo!$C$5)</f>
        <v>81.8392272727273</v>
      </c>
      <c r="U1217" s="39" t="n">
        <v>82.21</v>
      </c>
      <c r="V1217" s="39" t="n">
        <f aca="false">J1217*Resumo!$B$6</f>
        <v>0.316</v>
      </c>
      <c r="W1217" s="39" t="n">
        <f aca="false">J1217*Resumo!$B$7</f>
        <v>0.632</v>
      </c>
      <c r="X1217" s="39" t="n">
        <f aca="false">Resumo!$B$9</f>
        <v>1</v>
      </c>
      <c r="Y1217" s="39" t="n">
        <f aca="false">Resumo!$B$10*CEILING(I1217/100,1)</f>
        <v>4.5</v>
      </c>
      <c r="Z1217" s="39" t="n">
        <f aca="false">Resumo!$B$12*CEILING(I1217,1)</f>
        <v>1.56</v>
      </c>
      <c r="AA1217" s="39" t="n">
        <f aca="false">Resumo!$B$13*CEILING(I1217,1)</f>
        <v>11.7</v>
      </c>
      <c r="AB1217" s="39" t="n">
        <f aca="false">SUM(U1217:AA1217)</f>
        <v>101.918</v>
      </c>
      <c r="AC1217" s="39" t="n">
        <f aca="false">AB1217/(1-Resumo!$B$5)</f>
        <v>115.815909090909</v>
      </c>
      <c r="AD1217" s="39" t="n">
        <f aca="false">(AB1217-AA1217)/(1-Resumo!$B$5)</f>
        <v>102.520454545455</v>
      </c>
      <c r="AE1217" s="39" t="n">
        <f aca="false">AC1217-T1217</f>
        <v>33.9766818181818</v>
      </c>
      <c r="AF1217" s="40" t="n">
        <f aca="false">AC1217/T1217-1</f>
        <v>0.415163766209025</v>
      </c>
      <c r="AG1217" s="37" t="str">
        <f aca="false">IF(AC1217&lt;T1217,"SIM","NÃO")</f>
        <v>NÃO</v>
      </c>
      <c r="AH1217" s="37" t="n">
        <v>8</v>
      </c>
      <c r="AI1217" s="37" t="n">
        <v>5</v>
      </c>
      <c r="AJ1217" s="37" t="s">
        <v>323</v>
      </c>
    </row>
    <row r="1218" customFormat="false" ht="15" hidden="false" customHeight="false" outlineLevel="0" collapsed="false">
      <c r="A1218" s="37" t="n">
        <v>378897227</v>
      </c>
      <c r="B1218" s="38" t="n">
        <v>46253.6125810185</v>
      </c>
      <c r="C1218" s="37" t="s">
        <v>320</v>
      </c>
      <c r="D1218" s="37" t="s">
        <v>641</v>
      </c>
      <c r="E1218" s="37" t="n">
        <v>22783123</v>
      </c>
      <c r="F1218" s="37" t="s">
        <v>139</v>
      </c>
      <c r="G1218" s="37" t="s">
        <v>198</v>
      </c>
      <c r="H1218" s="37" t="s">
        <v>171</v>
      </c>
      <c r="I1218" s="37" t="n">
        <v>52.3</v>
      </c>
      <c r="J1218" s="39" t="n">
        <v>669.99</v>
      </c>
      <c r="K1218" s="37" t="s">
        <v>322</v>
      </c>
      <c r="L1218" s="39" t="n">
        <v>114.36</v>
      </c>
      <c r="M1218" s="39" t="n">
        <v>79.81</v>
      </c>
      <c r="N1218" s="39" t="n">
        <f aca="false">J1218*Resumo!$C$7</f>
        <v>1.33998</v>
      </c>
      <c r="O1218" s="39" t="n">
        <f aca="false">J1218*Resumo!$C$8</f>
        <v>1.33998</v>
      </c>
      <c r="P1218" s="39" t="n">
        <f aca="false">Resumo!$C$10*CEILING(I1218/100,1)</f>
        <v>1</v>
      </c>
      <c r="Q1218" s="39" t="n">
        <f aca="false">Resumo!$C$9</f>
        <v>11.9</v>
      </c>
      <c r="R1218" s="39" t="n">
        <f aca="false">SUM(M1218:Q1218)*Resumo!$C$11</f>
        <v>5.2464478</v>
      </c>
      <c r="S1218" s="39" t="n">
        <f aca="false">SUM(M1218:R1218)</f>
        <v>100.6364078</v>
      </c>
      <c r="T1218" s="39" t="n">
        <f aca="false">S1218/(1-Resumo!$C$5)</f>
        <v>114.359554318182</v>
      </c>
      <c r="U1218" s="39" t="n">
        <v>112.3</v>
      </c>
      <c r="V1218" s="39" t="n">
        <f aca="false">J1218*Resumo!$B$6</f>
        <v>0.66999</v>
      </c>
      <c r="W1218" s="39" t="n">
        <f aca="false">J1218*Resumo!$B$7</f>
        <v>1.33998</v>
      </c>
      <c r="X1218" s="39" t="n">
        <f aca="false">Resumo!$B$9</f>
        <v>1</v>
      </c>
      <c r="Y1218" s="39" t="n">
        <f aca="false">Resumo!$B$10*CEILING(I1218/100,1)</f>
        <v>4.5</v>
      </c>
      <c r="Z1218" s="39" t="n">
        <f aca="false">Resumo!$B$12*CEILING(I1218,1)</f>
        <v>3.18</v>
      </c>
      <c r="AA1218" s="39" t="n">
        <f aca="false">Resumo!$B$13*CEILING(I1218,1)</f>
        <v>23.85</v>
      </c>
      <c r="AB1218" s="39" t="n">
        <f aca="false">SUM(U1218:AA1218)</f>
        <v>146.83997</v>
      </c>
      <c r="AC1218" s="39" t="n">
        <f aca="false">AB1218/(1-Resumo!$B$5)</f>
        <v>166.863602272727</v>
      </c>
      <c r="AD1218" s="39" t="n">
        <f aca="false">(AB1218-AA1218)/(1-Resumo!$B$5)</f>
        <v>139.761329545455</v>
      </c>
      <c r="AE1218" s="39" t="n">
        <f aca="false">AC1218-T1218</f>
        <v>52.5040479545454</v>
      </c>
      <c r="AF1218" s="40" t="n">
        <f aca="false">AC1218/T1218-1</f>
        <v>0.459113786054673</v>
      </c>
      <c r="AG1218" s="37" t="str">
        <f aca="false">IF(AC1218&lt;T1218,"SIM","NÃO")</f>
        <v>NÃO</v>
      </c>
      <c r="AH1218" s="37" t="n">
        <v>8</v>
      </c>
      <c r="AI1218" s="37" t="n">
        <v>5</v>
      </c>
      <c r="AJ1218" s="37" t="s">
        <v>323</v>
      </c>
    </row>
    <row r="1219" customFormat="false" ht="15" hidden="false" customHeight="false" outlineLevel="0" collapsed="false">
      <c r="A1219" s="37" t="n">
        <v>378907770</v>
      </c>
      <c r="B1219" s="38" t="n">
        <v>46253.6332523148</v>
      </c>
      <c r="C1219" s="37" t="s">
        <v>325</v>
      </c>
      <c r="D1219" s="37" t="s">
        <v>1469</v>
      </c>
      <c r="E1219" s="37" t="n">
        <v>25030040</v>
      </c>
      <c r="F1219" s="37" t="s">
        <v>141</v>
      </c>
      <c r="G1219" s="37" t="s">
        <v>207</v>
      </c>
      <c r="H1219" s="37" t="s">
        <v>168</v>
      </c>
      <c r="I1219" s="37" t="n">
        <v>31.9</v>
      </c>
      <c r="J1219" s="39" t="n">
        <v>518.79</v>
      </c>
      <c r="K1219" s="37" t="s">
        <v>322</v>
      </c>
      <c r="L1219" s="39" t="n">
        <v>101.87</v>
      </c>
      <c r="M1219" s="39" t="n">
        <v>70</v>
      </c>
      <c r="N1219" s="39" t="n">
        <f aca="false">J1219*Resumo!$C$7</f>
        <v>1.03758</v>
      </c>
      <c r="O1219" s="39" t="n">
        <f aca="false">J1219*Resumo!$C$8</f>
        <v>1.03758</v>
      </c>
      <c r="P1219" s="39" t="n">
        <f aca="false">Resumo!$C$10*CEILING(I1219/100,1)</f>
        <v>1</v>
      </c>
      <c r="Q1219" s="39" t="n">
        <f aca="false">Resumo!$C$9</f>
        <v>11.9</v>
      </c>
      <c r="R1219" s="39" t="n">
        <f aca="false">SUM(M1219:Q1219)*Resumo!$C$11</f>
        <v>4.6736338</v>
      </c>
      <c r="S1219" s="39" t="n">
        <f aca="false">SUM(M1219:R1219)</f>
        <v>89.6487938</v>
      </c>
      <c r="T1219" s="39" t="n">
        <f aca="false">S1219/(1-Resumo!$C$5)</f>
        <v>101.873629318182</v>
      </c>
      <c r="U1219" s="39" t="n">
        <v>82.21</v>
      </c>
      <c r="V1219" s="39" t="n">
        <f aca="false">J1219*Resumo!$B$6</f>
        <v>0.51879</v>
      </c>
      <c r="W1219" s="39" t="n">
        <f aca="false">J1219*Resumo!$B$7</f>
        <v>1.03758</v>
      </c>
      <c r="X1219" s="39" t="n">
        <f aca="false">Resumo!$B$9</f>
        <v>1</v>
      </c>
      <c r="Y1219" s="39" t="n">
        <f aca="false">Resumo!$B$10*CEILING(I1219/100,1)</f>
        <v>4.5</v>
      </c>
      <c r="Z1219" s="39" t="n">
        <f aca="false">Resumo!$B$12*CEILING(I1219,1)</f>
        <v>1.92</v>
      </c>
      <c r="AA1219" s="39" t="n">
        <f aca="false">Resumo!$B$13*CEILING(I1219,1)</f>
        <v>14.4</v>
      </c>
      <c r="AB1219" s="39" t="n">
        <f aca="false">SUM(U1219:AA1219)</f>
        <v>105.58637</v>
      </c>
      <c r="AC1219" s="39" t="n">
        <f aca="false">AB1219/(1-Resumo!$B$5)</f>
        <v>119.984511363636</v>
      </c>
      <c r="AD1219" s="39" t="n">
        <f aca="false">(AB1219-AA1219)/(1-Resumo!$B$5)</f>
        <v>103.620875</v>
      </c>
      <c r="AE1219" s="39" t="n">
        <f aca="false">AC1219-T1219</f>
        <v>18.1108820454545</v>
      </c>
      <c r="AF1219" s="40" t="n">
        <f aca="false">AC1219/T1219-1</f>
        <v>0.177777921201657</v>
      </c>
      <c r="AG1219" s="37" t="str">
        <f aca="false">IF(AC1219&lt;T1219,"SIM","NÃO")</f>
        <v>NÃO</v>
      </c>
      <c r="AH1219" s="37" t="n">
        <v>10</v>
      </c>
      <c r="AI1219" s="37" t="n">
        <v>5</v>
      </c>
      <c r="AJ1219" s="37" t="s">
        <v>323</v>
      </c>
    </row>
    <row r="1220" customFormat="false" ht="15" hidden="false" customHeight="false" outlineLevel="0" collapsed="false">
      <c r="A1220" s="37" t="n">
        <v>378917403</v>
      </c>
      <c r="B1220" s="38" t="n">
        <v>46253.650462963</v>
      </c>
      <c r="C1220" s="37" t="s">
        <v>325</v>
      </c>
      <c r="D1220" s="37" t="s">
        <v>1470</v>
      </c>
      <c r="E1220" s="37" t="n">
        <v>23036061</v>
      </c>
      <c r="F1220" s="37" t="s">
        <v>139</v>
      </c>
      <c r="G1220" s="37" t="s">
        <v>198</v>
      </c>
      <c r="H1220" s="37" t="s">
        <v>172</v>
      </c>
      <c r="I1220" s="37" t="n">
        <v>66.8</v>
      </c>
      <c r="J1220" s="39" t="n">
        <v>609.99</v>
      </c>
      <c r="K1220" s="37" t="s">
        <v>322</v>
      </c>
      <c r="L1220" s="39" t="n">
        <v>124.12</v>
      </c>
      <c r="M1220" s="39" t="n">
        <v>88.2</v>
      </c>
      <c r="N1220" s="39" t="n">
        <f aca="false">J1220*Resumo!$C$7</f>
        <v>1.21998</v>
      </c>
      <c r="O1220" s="39" t="n">
        <f aca="false">J1220*Resumo!$C$8</f>
        <v>1.21998</v>
      </c>
      <c r="P1220" s="39" t="n">
        <f aca="false">Resumo!$C$10*CEILING(I1220/100,1)</f>
        <v>1</v>
      </c>
      <c r="Q1220" s="39" t="n">
        <f aca="false">Resumo!$C$9</f>
        <v>11.9</v>
      </c>
      <c r="R1220" s="39" t="n">
        <f aca="false">SUM(M1220:Q1220)*Resumo!$C$11</f>
        <v>5.6946978</v>
      </c>
      <c r="S1220" s="39" t="n">
        <f aca="false">SUM(M1220:R1220)</f>
        <v>109.2346578</v>
      </c>
      <c r="T1220" s="39" t="n">
        <f aca="false">S1220/(1-Resumo!$C$5)</f>
        <v>124.130292954545</v>
      </c>
      <c r="U1220" s="39" t="n">
        <v>131.02</v>
      </c>
      <c r="V1220" s="39" t="n">
        <f aca="false">J1220*Resumo!$B$6</f>
        <v>0.60999</v>
      </c>
      <c r="W1220" s="39" t="n">
        <f aca="false">J1220*Resumo!$B$7</f>
        <v>1.21998</v>
      </c>
      <c r="X1220" s="39" t="n">
        <f aca="false">Resumo!$B$9</f>
        <v>1</v>
      </c>
      <c r="Y1220" s="39" t="n">
        <f aca="false">Resumo!$B$10*CEILING(I1220/100,1)</f>
        <v>4.5</v>
      </c>
      <c r="Z1220" s="39" t="n">
        <f aca="false">Resumo!$B$12*CEILING(I1220,1)</f>
        <v>4.02</v>
      </c>
      <c r="AA1220" s="39" t="n">
        <f aca="false">Resumo!$B$13*CEILING(I1220,1)</f>
        <v>30.15</v>
      </c>
      <c r="AB1220" s="39" t="n">
        <f aca="false">SUM(U1220:AA1220)</f>
        <v>172.51997</v>
      </c>
      <c r="AC1220" s="39" t="n">
        <f aca="false">AB1220/(1-Resumo!$B$5)</f>
        <v>196.045420454545</v>
      </c>
      <c r="AD1220" s="39" t="n">
        <f aca="false">(AB1220-AA1220)/(1-Resumo!$B$5)</f>
        <v>161.784056818182</v>
      </c>
      <c r="AE1220" s="39" t="n">
        <f aca="false">AC1220-T1220</f>
        <v>71.9151275</v>
      </c>
      <c r="AF1220" s="40" t="n">
        <f aca="false">AC1220/T1220-1</f>
        <v>0.579351951794186</v>
      </c>
      <c r="AG1220" s="37" t="str">
        <f aca="false">IF(AC1220&lt;T1220,"SIM","NÃO")</f>
        <v>NÃO</v>
      </c>
      <c r="AH1220" s="37" t="n">
        <v>8</v>
      </c>
      <c r="AI1220" s="37" t="n">
        <v>5</v>
      </c>
      <c r="AJ1220" s="37" t="s">
        <v>323</v>
      </c>
    </row>
    <row r="1221" customFormat="false" ht="15" hidden="false" customHeight="false" outlineLevel="0" collapsed="false">
      <c r="A1221" s="37" t="n">
        <v>378918381</v>
      </c>
      <c r="B1221" s="38" t="n">
        <v>46253.652349537</v>
      </c>
      <c r="C1221" s="37" t="s">
        <v>320</v>
      </c>
      <c r="D1221" s="37" t="s">
        <v>1471</v>
      </c>
      <c r="E1221" s="37" t="n">
        <v>26574391</v>
      </c>
      <c r="F1221" s="37" t="s">
        <v>155</v>
      </c>
      <c r="G1221" s="37" t="s">
        <v>207</v>
      </c>
      <c r="H1221" s="37" t="s">
        <v>170</v>
      </c>
      <c r="I1221" s="37" t="n">
        <v>48</v>
      </c>
      <c r="J1221" s="39" t="n">
        <v>899.99</v>
      </c>
      <c r="K1221" s="37" t="s">
        <v>322</v>
      </c>
      <c r="L1221" s="39" t="n">
        <v>118.39</v>
      </c>
      <c r="M1221" s="39" t="n">
        <v>82.25</v>
      </c>
      <c r="N1221" s="39" t="n">
        <f aca="false">J1221*Resumo!$C$7</f>
        <v>1.79998</v>
      </c>
      <c r="O1221" s="39" t="n">
        <f aca="false">J1221*Resumo!$C$8</f>
        <v>1.79998</v>
      </c>
      <c r="P1221" s="39" t="n">
        <f aca="false">Resumo!$C$10*CEILING(I1221/100,1)</f>
        <v>1</v>
      </c>
      <c r="Q1221" s="39" t="n">
        <f aca="false">Resumo!$C$9</f>
        <v>11.9</v>
      </c>
      <c r="R1221" s="39" t="n">
        <f aca="false">SUM(M1221:Q1221)*Resumo!$C$11</f>
        <v>5.4312478</v>
      </c>
      <c r="S1221" s="39" t="n">
        <f aca="false">SUM(M1221:R1221)</f>
        <v>104.1812078</v>
      </c>
      <c r="T1221" s="39" t="n">
        <f aca="false">S1221/(1-Resumo!$C$5)</f>
        <v>118.387736136364</v>
      </c>
      <c r="U1221" s="39" t="n">
        <v>93.97</v>
      </c>
      <c r="V1221" s="39" t="n">
        <f aca="false">J1221*Resumo!$B$6</f>
        <v>0.89999</v>
      </c>
      <c r="W1221" s="39" t="n">
        <f aca="false">J1221*Resumo!$B$7</f>
        <v>1.79998</v>
      </c>
      <c r="X1221" s="39" t="n">
        <f aca="false">Resumo!$B$9</f>
        <v>1</v>
      </c>
      <c r="Y1221" s="39" t="n">
        <f aca="false">Resumo!$B$10*CEILING(I1221/100,1)</f>
        <v>4.5</v>
      </c>
      <c r="Z1221" s="39" t="n">
        <f aca="false">Resumo!$B$12*CEILING(I1221,1)</f>
        <v>2.88</v>
      </c>
      <c r="AA1221" s="39" t="n">
        <f aca="false">Resumo!$B$13*CEILING(I1221,1)</f>
        <v>21.6</v>
      </c>
      <c r="AB1221" s="39" t="n">
        <f aca="false">SUM(U1221:AA1221)</f>
        <v>126.64997</v>
      </c>
      <c r="AC1221" s="39" t="n">
        <f aca="false">AB1221/(1-Resumo!$B$5)</f>
        <v>143.920420454545</v>
      </c>
      <c r="AD1221" s="39" t="n">
        <f aca="false">(AB1221-AA1221)/(1-Resumo!$B$5)</f>
        <v>119.374965909091</v>
      </c>
      <c r="AE1221" s="39" t="n">
        <f aca="false">AC1221-T1221</f>
        <v>25.5326843181818</v>
      </c>
      <c r="AF1221" s="40" t="n">
        <f aca="false">AC1221/T1221-1</f>
        <v>0.215670010690738</v>
      </c>
      <c r="AG1221" s="37" t="str">
        <f aca="false">IF(AC1221&lt;T1221,"SIM","NÃO")</f>
        <v>NÃO</v>
      </c>
      <c r="AH1221" s="37" t="n">
        <v>10</v>
      </c>
      <c r="AI1221" s="37" t="n">
        <v>5</v>
      </c>
      <c r="AJ1221" s="37" t="s">
        <v>323</v>
      </c>
    </row>
    <row r="1222" customFormat="false" ht="15" hidden="false" customHeight="false" outlineLevel="0" collapsed="false">
      <c r="A1222" s="37" t="n">
        <v>378931671</v>
      </c>
      <c r="B1222" s="38" t="n">
        <v>46253.6731597222</v>
      </c>
      <c r="C1222" s="37" t="s">
        <v>320</v>
      </c>
      <c r="D1222" s="37" t="s">
        <v>1472</v>
      </c>
      <c r="E1222" s="37" t="n">
        <v>25575050</v>
      </c>
      <c r="F1222" s="37" t="s">
        <v>147</v>
      </c>
      <c r="G1222" s="37" t="s">
        <v>207</v>
      </c>
      <c r="H1222" s="37" t="s">
        <v>170</v>
      </c>
      <c r="I1222" s="37" t="n">
        <v>46.8</v>
      </c>
      <c r="J1222" s="39" t="n">
        <v>506.56</v>
      </c>
      <c r="K1222" s="37" t="s">
        <v>322</v>
      </c>
      <c r="L1222" s="39" t="n">
        <v>116.49</v>
      </c>
      <c r="M1222" s="39" t="n">
        <v>82.25</v>
      </c>
      <c r="N1222" s="39" t="n">
        <f aca="false">J1222*Resumo!$C$7</f>
        <v>1.01312</v>
      </c>
      <c r="O1222" s="39" t="n">
        <f aca="false">J1222*Resumo!$C$8</f>
        <v>1.01312</v>
      </c>
      <c r="P1222" s="39" t="n">
        <f aca="false">Resumo!$C$10*CEILING(I1222/100,1)</f>
        <v>1</v>
      </c>
      <c r="Q1222" s="39" t="n">
        <f aca="false">Resumo!$C$9</f>
        <v>11.9</v>
      </c>
      <c r="R1222" s="39" t="n">
        <f aca="false">SUM(M1222:Q1222)*Resumo!$C$11</f>
        <v>5.3446932</v>
      </c>
      <c r="S1222" s="39" t="n">
        <f aca="false">SUM(M1222:R1222)</f>
        <v>102.5209332</v>
      </c>
      <c r="T1222" s="39" t="n">
        <f aca="false">S1222/(1-Resumo!$C$5)</f>
        <v>116.501060454545</v>
      </c>
      <c r="U1222" s="39" t="n">
        <v>93.97</v>
      </c>
      <c r="V1222" s="39" t="n">
        <f aca="false">J1222*Resumo!$B$6</f>
        <v>0.50656</v>
      </c>
      <c r="W1222" s="39" t="n">
        <f aca="false">J1222*Resumo!$B$7</f>
        <v>1.01312</v>
      </c>
      <c r="X1222" s="39" t="n">
        <f aca="false">Resumo!$B$9</f>
        <v>1</v>
      </c>
      <c r="Y1222" s="39" t="n">
        <f aca="false">Resumo!$B$10*CEILING(I1222/100,1)</f>
        <v>4.5</v>
      </c>
      <c r="Z1222" s="39" t="n">
        <f aca="false">Resumo!$B$12*CEILING(I1222,1)</f>
        <v>2.82</v>
      </c>
      <c r="AA1222" s="39" t="n">
        <f aca="false">Resumo!$B$13*CEILING(I1222,1)</f>
        <v>21.15</v>
      </c>
      <c r="AB1222" s="39" t="n">
        <f aca="false">SUM(U1222:AA1222)</f>
        <v>124.95968</v>
      </c>
      <c r="AC1222" s="39" t="n">
        <f aca="false">AB1222/(1-Resumo!$B$5)</f>
        <v>141.999636363636</v>
      </c>
      <c r="AD1222" s="39" t="n">
        <f aca="false">(AB1222-AA1222)/(1-Resumo!$B$5)</f>
        <v>117.965545454545</v>
      </c>
      <c r="AE1222" s="39" t="n">
        <f aca="false">AC1222-T1222</f>
        <v>25.4985759090909</v>
      </c>
      <c r="AF1222" s="40" t="n">
        <f aca="false">AC1222/T1222-1</f>
        <v>0.218869903927094</v>
      </c>
      <c r="AG1222" s="37" t="str">
        <f aca="false">IF(AC1222&lt;T1222,"SIM","NÃO")</f>
        <v>NÃO</v>
      </c>
      <c r="AH1222" s="37" t="n">
        <v>10</v>
      </c>
      <c r="AI1222" s="37" t="n">
        <v>5</v>
      </c>
      <c r="AJ1222" s="37" t="s">
        <v>323</v>
      </c>
    </row>
    <row r="1223" customFormat="false" ht="15" hidden="false" customHeight="false" outlineLevel="0" collapsed="false">
      <c r="A1223" s="37" t="n">
        <v>378490666</v>
      </c>
      <c r="B1223" s="38" t="n">
        <v>46253.6790856482</v>
      </c>
      <c r="C1223" s="37" t="s">
        <v>352</v>
      </c>
      <c r="D1223" s="37" t="s">
        <v>1473</v>
      </c>
      <c r="E1223" s="37" t="n">
        <v>24715392</v>
      </c>
      <c r="F1223" s="37" t="s">
        <v>140</v>
      </c>
      <c r="G1223" s="37" t="s">
        <v>207</v>
      </c>
      <c r="H1223" s="37" t="s">
        <v>170</v>
      </c>
      <c r="I1223" s="37" t="n">
        <v>45.3</v>
      </c>
      <c r="J1223" s="39" t="n">
        <v>679.99</v>
      </c>
      <c r="K1223" s="37" t="s">
        <v>322</v>
      </c>
      <c r="L1223" s="39" t="n">
        <v>117.33</v>
      </c>
      <c r="M1223" s="39" t="n">
        <v>82.25</v>
      </c>
      <c r="N1223" s="39" t="n">
        <f aca="false">J1223*Resumo!$C$7</f>
        <v>1.35998</v>
      </c>
      <c r="O1223" s="39" t="n">
        <f aca="false">J1223*Resumo!$C$8</f>
        <v>1.35998</v>
      </c>
      <c r="P1223" s="39" t="n">
        <f aca="false">Resumo!$C$10*CEILING(I1223/100,1)</f>
        <v>1</v>
      </c>
      <c r="Q1223" s="39" t="n">
        <f aca="false">Resumo!$C$9</f>
        <v>11.9</v>
      </c>
      <c r="R1223" s="39" t="n">
        <f aca="false">SUM(M1223:Q1223)*Resumo!$C$11</f>
        <v>5.3828478</v>
      </c>
      <c r="S1223" s="39" t="n">
        <f aca="false">SUM(M1223:R1223)</f>
        <v>103.2528078</v>
      </c>
      <c r="T1223" s="39" t="n">
        <f aca="false">S1223/(1-Resumo!$C$5)</f>
        <v>117.332736136364</v>
      </c>
      <c r="U1223" s="39" t="n">
        <v>114.95</v>
      </c>
      <c r="V1223" s="39" t="n">
        <f aca="false">J1223*Resumo!$B$6</f>
        <v>0.67999</v>
      </c>
      <c r="W1223" s="39" t="n">
        <f aca="false">J1223*Resumo!$B$7</f>
        <v>1.35998</v>
      </c>
      <c r="X1223" s="39" t="n">
        <f aca="false">Resumo!$B$9</f>
        <v>1</v>
      </c>
      <c r="Y1223" s="39" t="n">
        <f aca="false">Resumo!$B$10*CEILING(I1223/100,1)</f>
        <v>4.5</v>
      </c>
      <c r="Z1223" s="39" t="n">
        <f aca="false">Resumo!$B$12*CEILING(I1223,1)</f>
        <v>2.76</v>
      </c>
      <c r="AA1223" s="39" t="n">
        <f aca="false">Resumo!$B$13*CEILING(I1223,1)</f>
        <v>20.7</v>
      </c>
      <c r="AB1223" s="39" t="n">
        <f aca="false">SUM(U1223:AA1223)</f>
        <v>145.94997</v>
      </c>
      <c r="AC1223" s="39" t="n">
        <f aca="false">AB1223/(1-Resumo!$B$5)</f>
        <v>165.852238636364</v>
      </c>
      <c r="AD1223" s="39" t="n">
        <f aca="false">(AB1223-AA1223)/(1-Resumo!$B$5)</f>
        <v>142.329511363636</v>
      </c>
      <c r="AE1223" s="39" t="n">
        <f aca="false">AC1223-T1223</f>
        <v>48.5195025</v>
      </c>
      <c r="AF1223" s="40" t="n">
        <f aca="false">AC1223/T1223-1</f>
        <v>0.41352059193106</v>
      </c>
      <c r="AG1223" s="37" t="str">
        <f aca="false">IF(AC1223&lt;T1223,"SIM","NÃO")</f>
        <v>NÃO</v>
      </c>
      <c r="AH1223" s="37" t="n">
        <v>10</v>
      </c>
      <c r="AI1223" s="37" t="n">
        <v>7</v>
      </c>
      <c r="AJ1223" s="37" t="s">
        <v>323</v>
      </c>
    </row>
    <row r="1224" customFormat="false" ht="15" hidden="false" customHeight="false" outlineLevel="0" collapsed="false">
      <c r="A1224" s="37" t="n">
        <v>378938820</v>
      </c>
      <c r="B1224" s="38" t="n">
        <v>46253.6843055556</v>
      </c>
      <c r="C1224" s="37" t="s">
        <v>320</v>
      </c>
      <c r="D1224" s="37" t="s">
        <v>1474</v>
      </c>
      <c r="E1224" s="37" t="n">
        <v>28899386</v>
      </c>
      <c r="F1224" s="37" t="s">
        <v>158</v>
      </c>
      <c r="G1224" s="37" t="s">
        <v>201</v>
      </c>
      <c r="H1224" s="37" t="s">
        <v>168</v>
      </c>
      <c r="I1224" s="37" t="n">
        <v>33</v>
      </c>
      <c r="J1224" s="39" t="n">
        <v>389.99</v>
      </c>
      <c r="K1224" s="37" t="s">
        <v>322</v>
      </c>
      <c r="L1224" s="39" t="n">
        <v>109.05</v>
      </c>
      <c r="M1224" s="39" t="n">
        <v>76.5</v>
      </c>
      <c r="N1224" s="39" t="n">
        <f aca="false">J1224*Resumo!$C$7</f>
        <v>0.77998</v>
      </c>
      <c r="O1224" s="39" t="n">
        <f aca="false">J1224*Resumo!$C$8</f>
        <v>0.77998</v>
      </c>
      <c r="P1224" s="39" t="n">
        <f aca="false">Resumo!$C$10*CEILING(I1224/100,1)</f>
        <v>1</v>
      </c>
      <c r="Q1224" s="39" t="n">
        <f aca="false">Resumo!$C$9</f>
        <v>11.9</v>
      </c>
      <c r="R1224" s="39" t="n">
        <f aca="false">SUM(M1224:Q1224)*Resumo!$C$11</f>
        <v>5.0027978</v>
      </c>
      <c r="S1224" s="39" t="n">
        <f aca="false">SUM(M1224:R1224)</f>
        <v>95.9627578</v>
      </c>
      <c r="T1224" s="39" t="n">
        <f aca="false">S1224/(1-Resumo!$C$5)</f>
        <v>109.048588409091</v>
      </c>
      <c r="U1224" s="39" t="n">
        <v>114.95</v>
      </c>
      <c r="V1224" s="39" t="n">
        <f aca="false">J1224*Resumo!$B$6</f>
        <v>0.38999</v>
      </c>
      <c r="W1224" s="39" t="n">
        <f aca="false">J1224*Resumo!$B$7</f>
        <v>0.77998</v>
      </c>
      <c r="X1224" s="39" t="n">
        <f aca="false">Resumo!$B$9</f>
        <v>1</v>
      </c>
      <c r="Y1224" s="39" t="n">
        <f aca="false">Resumo!$B$10*CEILING(I1224/100,1)</f>
        <v>4.5</v>
      </c>
      <c r="Z1224" s="39" t="n">
        <f aca="false">Resumo!$B$12*CEILING(I1224,1)</f>
        <v>1.98</v>
      </c>
      <c r="AA1224" s="39" t="n">
        <f aca="false">Resumo!$B$13*CEILING(I1224,1)</f>
        <v>14.85</v>
      </c>
      <c r="AB1224" s="39" t="n">
        <f aca="false">SUM(U1224:AA1224)</f>
        <v>138.44997</v>
      </c>
      <c r="AC1224" s="39" t="n">
        <f aca="false">AB1224/(1-Resumo!$B$5)</f>
        <v>157.329511363636</v>
      </c>
      <c r="AD1224" s="39" t="n">
        <f aca="false">(AB1224-AA1224)/(1-Resumo!$B$5)</f>
        <v>140.454511363636</v>
      </c>
      <c r="AE1224" s="39" t="n">
        <f aca="false">AC1224-T1224</f>
        <v>48.2809229545455</v>
      </c>
      <c r="AF1224" s="40" t="n">
        <f aca="false">AC1224/T1224-1</f>
        <v>0.442746886125859</v>
      </c>
      <c r="AG1224" s="37" t="str">
        <f aca="false">IF(AC1224&lt;T1224,"SIM","NÃO")</f>
        <v>NÃO</v>
      </c>
      <c r="AH1224" s="37" t="n">
        <v>13</v>
      </c>
      <c r="AI1224" s="37" t="n">
        <v>10</v>
      </c>
      <c r="AJ1224" s="37" t="s">
        <v>323</v>
      </c>
    </row>
    <row r="1225" customFormat="false" ht="15" hidden="false" customHeight="false" outlineLevel="0" collapsed="false">
      <c r="A1225" s="37" t="n">
        <v>378957391</v>
      </c>
      <c r="B1225" s="38" t="n">
        <v>46253.7299652778</v>
      </c>
      <c r="C1225" s="37" t="s">
        <v>355</v>
      </c>
      <c r="D1225" s="37" t="s">
        <v>1475</v>
      </c>
      <c r="E1225" s="37" t="n">
        <v>21061500</v>
      </c>
      <c r="F1225" s="37" t="s">
        <v>139</v>
      </c>
      <c r="G1225" s="37" t="s">
        <v>198</v>
      </c>
      <c r="H1225" s="37" t="s">
        <v>170</v>
      </c>
      <c r="I1225" s="37" t="n">
        <v>48</v>
      </c>
      <c r="J1225" s="39" t="n">
        <v>879.99</v>
      </c>
      <c r="K1225" s="37" t="s">
        <v>322</v>
      </c>
      <c r="L1225" s="39" t="n">
        <v>104.81</v>
      </c>
      <c r="M1225" s="39" t="n">
        <v>71</v>
      </c>
      <c r="N1225" s="39" t="n">
        <f aca="false">J1225*Resumo!$C$7</f>
        <v>1.75998</v>
      </c>
      <c r="O1225" s="39" t="n">
        <f aca="false">J1225*Resumo!$C$8</f>
        <v>1.75998</v>
      </c>
      <c r="P1225" s="39" t="n">
        <f aca="false">Resumo!$C$10*CEILING(I1225/100,1)</f>
        <v>1</v>
      </c>
      <c r="Q1225" s="39" t="n">
        <f aca="false">Resumo!$C$9</f>
        <v>11.9</v>
      </c>
      <c r="R1225" s="39" t="n">
        <f aca="false">SUM(M1225:Q1225)*Resumo!$C$11</f>
        <v>4.8080978</v>
      </c>
      <c r="S1225" s="39" t="n">
        <f aca="false">SUM(M1225:R1225)</f>
        <v>92.2280578</v>
      </c>
      <c r="T1225" s="39" t="n">
        <f aca="false">S1225/(1-Resumo!$C$5)</f>
        <v>104.804611136364</v>
      </c>
      <c r="U1225" s="39" t="n">
        <v>93.97</v>
      </c>
      <c r="V1225" s="39" t="n">
        <f aca="false">J1225*Resumo!$B$6</f>
        <v>0.87999</v>
      </c>
      <c r="W1225" s="39" t="n">
        <f aca="false">J1225*Resumo!$B$7</f>
        <v>1.75998</v>
      </c>
      <c r="X1225" s="39" t="n">
        <f aca="false">Resumo!$B$9</f>
        <v>1</v>
      </c>
      <c r="Y1225" s="39" t="n">
        <f aca="false">Resumo!$B$10*CEILING(I1225/100,1)</f>
        <v>4.5</v>
      </c>
      <c r="Z1225" s="39" t="n">
        <f aca="false">Resumo!$B$12*CEILING(I1225,1)</f>
        <v>2.88</v>
      </c>
      <c r="AA1225" s="39" t="n">
        <f aca="false">Resumo!$B$13*CEILING(I1225,1)</f>
        <v>21.6</v>
      </c>
      <c r="AB1225" s="39" t="n">
        <f aca="false">SUM(U1225:AA1225)</f>
        <v>126.58997</v>
      </c>
      <c r="AC1225" s="39" t="n">
        <f aca="false">AB1225/(1-Resumo!$B$5)</f>
        <v>143.852238636364</v>
      </c>
      <c r="AD1225" s="39" t="n">
        <f aca="false">(AB1225-AA1225)/(1-Resumo!$B$5)</f>
        <v>119.306784090909</v>
      </c>
      <c r="AE1225" s="39" t="n">
        <f aca="false">AC1225-T1225</f>
        <v>39.0476275</v>
      </c>
      <c r="AF1225" s="40" t="n">
        <f aca="false">AC1225/T1225-1</f>
        <v>0.372575472363466</v>
      </c>
      <c r="AG1225" s="37" t="str">
        <f aca="false">IF(AC1225&lt;T1225,"SIM","NÃO")</f>
        <v>NÃO</v>
      </c>
      <c r="AH1225" s="37" t="n">
        <v>8</v>
      </c>
      <c r="AI1225" s="37" t="n">
        <v>5</v>
      </c>
      <c r="AJ1225" s="37" t="s">
        <v>323</v>
      </c>
    </row>
    <row r="1226" customFormat="false" ht="15" hidden="false" customHeight="false" outlineLevel="0" collapsed="false">
      <c r="A1226" s="37" t="n">
        <v>378965942</v>
      </c>
      <c r="B1226" s="38" t="n">
        <v>46253.7386921296</v>
      </c>
      <c r="C1226" s="37" t="s">
        <v>320</v>
      </c>
      <c r="D1226" s="37" t="s">
        <v>1476</v>
      </c>
      <c r="E1226" s="37" t="n">
        <v>20961150</v>
      </c>
      <c r="F1226" s="37" t="s">
        <v>139</v>
      </c>
      <c r="G1226" s="37" t="s">
        <v>198</v>
      </c>
      <c r="H1226" s="37" t="s">
        <v>170</v>
      </c>
      <c r="I1226" s="37" t="n">
        <v>46.8</v>
      </c>
      <c r="J1226" s="39" t="n">
        <v>559.99</v>
      </c>
      <c r="K1226" s="37" t="s">
        <v>322</v>
      </c>
      <c r="L1226" s="39" t="n">
        <v>103.27</v>
      </c>
      <c r="M1226" s="39" t="n">
        <v>71</v>
      </c>
      <c r="N1226" s="39" t="n">
        <f aca="false">J1226*Resumo!$C$7</f>
        <v>1.11998</v>
      </c>
      <c r="O1226" s="39" t="n">
        <f aca="false">J1226*Resumo!$C$8</f>
        <v>1.11998</v>
      </c>
      <c r="P1226" s="39" t="n">
        <f aca="false">Resumo!$C$10*CEILING(I1226/100,1)</f>
        <v>1</v>
      </c>
      <c r="Q1226" s="39" t="n">
        <f aca="false">Resumo!$C$9</f>
        <v>11.9</v>
      </c>
      <c r="R1226" s="39" t="n">
        <f aca="false">SUM(M1226:Q1226)*Resumo!$C$11</f>
        <v>4.7376978</v>
      </c>
      <c r="S1226" s="39" t="n">
        <f aca="false">SUM(M1226:R1226)</f>
        <v>90.8776578</v>
      </c>
      <c r="T1226" s="39" t="n">
        <f aca="false">S1226/(1-Resumo!$C$5)</f>
        <v>103.270065681818</v>
      </c>
      <c r="U1226" s="39" t="n">
        <v>93.97</v>
      </c>
      <c r="V1226" s="39" t="n">
        <f aca="false">J1226*Resumo!$B$6</f>
        <v>0.55999</v>
      </c>
      <c r="W1226" s="39" t="n">
        <f aca="false">J1226*Resumo!$B$7</f>
        <v>1.11998</v>
      </c>
      <c r="X1226" s="39" t="n">
        <f aca="false">Resumo!$B$9</f>
        <v>1</v>
      </c>
      <c r="Y1226" s="39" t="n">
        <f aca="false">Resumo!$B$10*CEILING(I1226/100,1)</f>
        <v>4.5</v>
      </c>
      <c r="Z1226" s="39" t="n">
        <f aca="false">Resumo!$B$12*CEILING(I1226,1)</f>
        <v>2.82</v>
      </c>
      <c r="AA1226" s="39" t="n">
        <f aca="false">Resumo!$B$13*CEILING(I1226,1)</f>
        <v>21.15</v>
      </c>
      <c r="AB1226" s="39" t="n">
        <f aca="false">SUM(U1226:AA1226)</f>
        <v>125.11997</v>
      </c>
      <c r="AC1226" s="39" t="n">
        <f aca="false">AB1226/(1-Resumo!$B$5)</f>
        <v>142.181784090909</v>
      </c>
      <c r="AD1226" s="39" t="n">
        <f aca="false">(AB1226-AA1226)/(1-Resumo!$B$5)</f>
        <v>118.147693181818</v>
      </c>
      <c r="AE1226" s="39" t="n">
        <f aca="false">AC1226-T1226</f>
        <v>38.9117184090909</v>
      </c>
      <c r="AF1226" s="40" t="n">
        <f aca="false">AC1226/T1226-1</f>
        <v>0.376795716669538</v>
      </c>
      <c r="AG1226" s="37" t="str">
        <f aca="false">IF(AC1226&lt;T1226,"SIM","NÃO")</f>
        <v>NÃO</v>
      </c>
      <c r="AH1226" s="37" t="n">
        <v>8</v>
      </c>
      <c r="AI1226" s="37" t="n">
        <v>5</v>
      </c>
      <c r="AJ1226" s="37" t="s">
        <v>323</v>
      </c>
    </row>
    <row r="1227" customFormat="false" ht="15" hidden="false" customHeight="false" outlineLevel="0" collapsed="false">
      <c r="A1227" s="37" t="n">
        <v>378966313</v>
      </c>
      <c r="B1227" s="38" t="n">
        <v>46253.7393518519</v>
      </c>
      <c r="C1227" s="37" t="s">
        <v>320</v>
      </c>
      <c r="D1227" s="37" t="s">
        <v>1477</v>
      </c>
      <c r="E1227" s="37" t="n">
        <v>21852330</v>
      </c>
      <c r="F1227" s="37" t="s">
        <v>139</v>
      </c>
      <c r="G1227" s="37" t="s">
        <v>198</v>
      </c>
      <c r="H1227" s="37" t="s">
        <v>168</v>
      </c>
      <c r="I1227" s="37" t="n">
        <v>30.5</v>
      </c>
      <c r="J1227" s="39" t="n">
        <v>386.99</v>
      </c>
      <c r="K1227" s="37" t="s">
        <v>322</v>
      </c>
      <c r="L1227" s="39" t="n">
        <v>82.17</v>
      </c>
      <c r="M1227" s="39" t="n">
        <v>54.1</v>
      </c>
      <c r="N1227" s="39" t="n">
        <f aca="false">J1227*Resumo!$C$7</f>
        <v>0.77398</v>
      </c>
      <c r="O1227" s="39" t="n">
        <f aca="false">J1227*Resumo!$C$8</f>
        <v>0.77398</v>
      </c>
      <c r="P1227" s="39" t="n">
        <f aca="false">Resumo!$C$10*CEILING(I1227/100,1)</f>
        <v>1</v>
      </c>
      <c r="Q1227" s="39" t="n">
        <f aca="false">Resumo!$C$9</f>
        <v>11.9</v>
      </c>
      <c r="R1227" s="39" t="n">
        <f aca="false">SUM(M1227:Q1227)*Resumo!$C$11</f>
        <v>3.7701378</v>
      </c>
      <c r="S1227" s="39" t="n">
        <f aca="false">SUM(M1227:R1227)</f>
        <v>72.3180978</v>
      </c>
      <c r="T1227" s="39" t="n">
        <f aca="false">S1227/(1-Resumo!$C$5)</f>
        <v>82.1796565909091</v>
      </c>
      <c r="U1227" s="39" t="n">
        <v>82.21</v>
      </c>
      <c r="V1227" s="39" t="n">
        <f aca="false">J1227*Resumo!$B$6</f>
        <v>0.38699</v>
      </c>
      <c r="W1227" s="39" t="n">
        <f aca="false">J1227*Resumo!$B$7</f>
        <v>0.77398</v>
      </c>
      <c r="X1227" s="39" t="n">
        <f aca="false">Resumo!$B$9</f>
        <v>1</v>
      </c>
      <c r="Y1227" s="39" t="n">
        <f aca="false">Resumo!$B$10*CEILING(I1227/100,1)</f>
        <v>4.5</v>
      </c>
      <c r="Z1227" s="39" t="n">
        <f aca="false">Resumo!$B$12*CEILING(I1227,1)</f>
        <v>1.86</v>
      </c>
      <c r="AA1227" s="39" t="n">
        <f aca="false">Resumo!$B$13*CEILING(I1227,1)</f>
        <v>13.95</v>
      </c>
      <c r="AB1227" s="39" t="n">
        <f aca="false">SUM(U1227:AA1227)</f>
        <v>104.68097</v>
      </c>
      <c r="AC1227" s="39" t="n">
        <f aca="false">AB1227/(1-Resumo!$B$5)</f>
        <v>118.955647727273</v>
      </c>
      <c r="AD1227" s="39" t="n">
        <f aca="false">(AB1227-AA1227)/(1-Resumo!$B$5)</f>
        <v>103.103375</v>
      </c>
      <c r="AE1227" s="39" t="n">
        <f aca="false">AC1227-T1227</f>
        <v>36.7759911363636</v>
      </c>
      <c r="AF1227" s="40" t="n">
        <f aca="false">AC1227/T1227-1</f>
        <v>0.447507237946184</v>
      </c>
      <c r="AG1227" s="37" t="str">
        <f aca="false">IF(AC1227&lt;T1227,"SIM","NÃO")</f>
        <v>NÃO</v>
      </c>
      <c r="AH1227" s="37" t="n">
        <v>8</v>
      </c>
      <c r="AI1227" s="37" t="n">
        <v>5</v>
      </c>
      <c r="AJ1227" s="37" t="s">
        <v>323</v>
      </c>
    </row>
    <row r="1228" customFormat="false" ht="15" hidden="false" customHeight="false" outlineLevel="0" collapsed="false">
      <c r="A1228" s="37" t="n">
        <v>378972742</v>
      </c>
      <c r="B1228" s="38" t="n">
        <v>46253.7522337963</v>
      </c>
      <c r="C1228" s="37" t="s">
        <v>320</v>
      </c>
      <c r="D1228" s="37" t="s">
        <v>1478</v>
      </c>
      <c r="E1228" s="37" t="n">
        <v>20950004</v>
      </c>
      <c r="F1228" s="37" t="s">
        <v>139</v>
      </c>
      <c r="G1228" s="37" t="s">
        <v>198</v>
      </c>
      <c r="H1228" s="37" t="s">
        <v>171</v>
      </c>
      <c r="I1228" s="37" t="n">
        <v>52.3</v>
      </c>
      <c r="J1228" s="39" t="n">
        <v>669.99</v>
      </c>
      <c r="K1228" s="37" t="s">
        <v>322</v>
      </c>
      <c r="L1228" s="39" t="n">
        <v>114.36</v>
      </c>
      <c r="M1228" s="39" t="n">
        <v>79.81</v>
      </c>
      <c r="N1228" s="39" t="n">
        <f aca="false">J1228*Resumo!$C$7</f>
        <v>1.33998</v>
      </c>
      <c r="O1228" s="39" t="n">
        <f aca="false">J1228*Resumo!$C$8</f>
        <v>1.33998</v>
      </c>
      <c r="P1228" s="39" t="n">
        <f aca="false">Resumo!$C$10*CEILING(I1228/100,1)</f>
        <v>1</v>
      </c>
      <c r="Q1228" s="39" t="n">
        <f aca="false">Resumo!$C$9</f>
        <v>11.9</v>
      </c>
      <c r="R1228" s="39" t="n">
        <f aca="false">SUM(M1228:Q1228)*Resumo!$C$11</f>
        <v>5.2464478</v>
      </c>
      <c r="S1228" s="39" t="n">
        <f aca="false">SUM(M1228:R1228)</f>
        <v>100.6364078</v>
      </c>
      <c r="T1228" s="39" t="n">
        <f aca="false">S1228/(1-Resumo!$C$5)</f>
        <v>114.359554318182</v>
      </c>
      <c r="U1228" s="39" t="n">
        <v>112.3</v>
      </c>
      <c r="V1228" s="39" t="n">
        <f aca="false">J1228*Resumo!$B$6</f>
        <v>0.66999</v>
      </c>
      <c r="W1228" s="39" t="n">
        <f aca="false">J1228*Resumo!$B$7</f>
        <v>1.33998</v>
      </c>
      <c r="X1228" s="39" t="n">
        <f aca="false">Resumo!$B$9</f>
        <v>1</v>
      </c>
      <c r="Y1228" s="39" t="n">
        <f aca="false">Resumo!$B$10*CEILING(I1228/100,1)</f>
        <v>4.5</v>
      </c>
      <c r="Z1228" s="39" t="n">
        <f aca="false">Resumo!$B$12*CEILING(I1228,1)</f>
        <v>3.18</v>
      </c>
      <c r="AA1228" s="39" t="n">
        <f aca="false">Resumo!$B$13*CEILING(I1228,1)</f>
        <v>23.85</v>
      </c>
      <c r="AB1228" s="39" t="n">
        <f aca="false">SUM(U1228:AA1228)</f>
        <v>146.83997</v>
      </c>
      <c r="AC1228" s="39" t="n">
        <f aca="false">AB1228/(1-Resumo!$B$5)</f>
        <v>166.863602272727</v>
      </c>
      <c r="AD1228" s="39" t="n">
        <f aca="false">(AB1228-AA1228)/(1-Resumo!$B$5)</f>
        <v>139.761329545455</v>
      </c>
      <c r="AE1228" s="39" t="n">
        <f aca="false">AC1228-T1228</f>
        <v>52.5040479545454</v>
      </c>
      <c r="AF1228" s="40" t="n">
        <f aca="false">AC1228/T1228-1</f>
        <v>0.459113786054673</v>
      </c>
      <c r="AG1228" s="37" t="str">
        <f aca="false">IF(AC1228&lt;T1228,"SIM","NÃO")</f>
        <v>NÃO</v>
      </c>
      <c r="AH1228" s="37" t="n">
        <v>8</v>
      </c>
      <c r="AI1228" s="37" t="n">
        <v>5</v>
      </c>
      <c r="AJ1228" s="37" t="s">
        <v>323</v>
      </c>
    </row>
    <row r="1229" customFormat="false" ht="15" hidden="false" customHeight="false" outlineLevel="0" collapsed="false">
      <c r="A1229" s="37" t="n">
        <v>379150753</v>
      </c>
      <c r="B1229" s="38" t="n">
        <v>46253.771099537</v>
      </c>
      <c r="C1229" s="37" t="s">
        <v>320</v>
      </c>
      <c r="D1229" s="37" t="s">
        <v>1479</v>
      </c>
      <c r="E1229" s="37" t="n">
        <v>24806100</v>
      </c>
      <c r="F1229" s="37" t="s">
        <v>154</v>
      </c>
      <c r="G1229" s="37" t="s">
        <v>201</v>
      </c>
      <c r="H1229" s="37" t="s">
        <v>172</v>
      </c>
      <c r="I1229" s="37" t="n">
        <v>63.9</v>
      </c>
      <c r="J1229" s="39" t="n">
        <v>717.59</v>
      </c>
      <c r="K1229" s="37" t="s">
        <v>322</v>
      </c>
      <c r="L1229" s="39" t="n">
        <v>155.47</v>
      </c>
      <c r="M1229" s="39" t="n">
        <v>113.9</v>
      </c>
      <c r="N1229" s="39" t="n">
        <f aca="false">J1229*Resumo!$C$7</f>
        <v>1.43518</v>
      </c>
      <c r="O1229" s="39" t="n">
        <f aca="false">J1229*Resumo!$C$8</f>
        <v>1.43518</v>
      </c>
      <c r="P1229" s="39" t="n">
        <f aca="false">Resumo!$C$10*CEILING(I1229/100,1)</f>
        <v>1</v>
      </c>
      <c r="Q1229" s="39" t="n">
        <f aca="false">Resumo!$C$9</f>
        <v>11.9</v>
      </c>
      <c r="R1229" s="39" t="n">
        <f aca="false">SUM(M1229:Q1229)*Resumo!$C$11</f>
        <v>7.1318698</v>
      </c>
      <c r="S1229" s="39" t="n">
        <f aca="false">SUM(M1229:R1229)</f>
        <v>136.8022298</v>
      </c>
      <c r="T1229" s="39" t="n">
        <f aca="false">S1229/(1-Resumo!$C$5)</f>
        <v>155.457079318182</v>
      </c>
      <c r="U1229" s="39" t="n">
        <v>149.5</v>
      </c>
      <c r="V1229" s="39" t="n">
        <f aca="false">J1229*Resumo!$B$6</f>
        <v>0.71759</v>
      </c>
      <c r="W1229" s="39" t="n">
        <f aca="false">J1229*Resumo!$B$7</f>
        <v>1.43518</v>
      </c>
      <c r="X1229" s="39" t="n">
        <f aca="false">Resumo!$B$9</f>
        <v>1</v>
      </c>
      <c r="Y1229" s="39" t="n">
        <f aca="false">Resumo!$B$10*CEILING(I1229/100,1)</f>
        <v>4.5</v>
      </c>
      <c r="Z1229" s="39" t="n">
        <f aca="false">Resumo!$B$12*CEILING(I1229,1)</f>
        <v>3.84</v>
      </c>
      <c r="AA1229" s="39" t="n">
        <f aca="false">Resumo!$B$13*CEILING(I1229,1)</f>
        <v>28.8</v>
      </c>
      <c r="AB1229" s="39" t="n">
        <f aca="false">SUM(U1229:AA1229)</f>
        <v>189.79277</v>
      </c>
      <c r="AC1229" s="39" t="n">
        <f aca="false">AB1229/(1-Resumo!$B$5)</f>
        <v>215.673602272727</v>
      </c>
      <c r="AD1229" s="39" t="n">
        <f aca="false">(AB1229-AA1229)/(1-Resumo!$B$5)</f>
        <v>182.946329545455</v>
      </c>
      <c r="AE1229" s="39" t="n">
        <f aca="false">AC1229-T1229</f>
        <v>60.2165229545454</v>
      </c>
      <c r="AF1229" s="40" t="n">
        <f aca="false">AC1229/T1229-1</f>
        <v>0.387351436284849</v>
      </c>
      <c r="AG1229" s="37" t="str">
        <f aca="false">IF(AC1229&lt;T1229,"SIM","NÃO")</f>
        <v>NÃO</v>
      </c>
      <c r="AH1229" s="37" t="n">
        <v>13</v>
      </c>
      <c r="AI1229" s="37" t="n">
        <v>7</v>
      </c>
      <c r="AJ1229" s="37" t="s">
        <v>323</v>
      </c>
    </row>
    <row r="1230" customFormat="false" ht="15" hidden="false" customHeight="false" outlineLevel="0" collapsed="false">
      <c r="A1230" s="37" t="n">
        <v>378983243</v>
      </c>
      <c r="B1230" s="38" t="n">
        <v>46253.7728009259</v>
      </c>
      <c r="C1230" s="37" t="s">
        <v>320</v>
      </c>
      <c r="D1230" s="37" t="s">
        <v>1480</v>
      </c>
      <c r="E1230" s="37" t="n">
        <v>25930860</v>
      </c>
      <c r="F1230" s="37" t="s">
        <v>156</v>
      </c>
      <c r="G1230" s="37" t="s">
        <v>201</v>
      </c>
      <c r="H1230" s="37" t="s">
        <v>168</v>
      </c>
      <c r="I1230" s="37" t="n">
        <v>20.6</v>
      </c>
      <c r="J1230" s="39" t="n">
        <v>297.59</v>
      </c>
      <c r="K1230" s="37" t="s">
        <v>322</v>
      </c>
      <c r="L1230" s="39" t="n">
        <v>108.61</v>
      </c>
      <c r="M1230" s="39" t="n">
        <v>76.5</v>
      </c>
      <c r="N1230" s="39" t="n">
        <f aca="false">J1230*Resumo!$C$7</f>
        <v>0.59518</v>
      </c>
      <c r="O1230" s="39" t="n">
        <f aca="false">J1230*Resumo!$C$8</f>
        <v>0.59518</v>
      </c>
      <c r="P1230" s="39" t="n">
        <f aca="false">Resumo!$C$10*CEILING(I1230/100,1)</f>
        <v>1</v>
      </c>
      <c r="Q1230" s="39" t="n">
        <f aca="false">Resumo!$C$9</f>
        <v>11.9</v>
      </c>
      <c r="R1230" s="39" t="n">
        <f aca="false">SUM(M1230:Q1230)*Resumo!$C$11</f>
        <v>4.9824698</v>
      </c>
      <c r="S1230" s="39" t="n">
        <f aca="false">SUM(M1230:R1230)</f>
        <v>95.5728298</v>
      </c>
      <c r="T1230" s="39" t="n">
        <f aca="false">S1230/(1-Resumo!$C$5)</f>
        <v>108.605488409091</v>
      </c>
      <c r="U1230" s="39" t="n">
        <v>103.28</v>
      </c>
      <c r="V1230" s="39" t="n">
        <f aca="false">J1230*Resumo!$B$6</f>
        <v>0.29759</v>
      </c>
      <c r="W1230" s="39" t="n">
        <f aca="false">J1230*Resumo!$B$7</f>
        <v>0.59518</v>
      </c>
      <c r="X1230" s="39" t="n">
        <f aca="false">Resumo!$B$9</f>
        <v>1</v>
      </c>
      <c r="Y1230" s="39" t="n">
        <f aca="false">Resumo!$B$10*CEILING(I1230/100,1)</f>
        <v>4.5</v>
      </c>
      <c r="Z1230" s="39" t="n">
        <f aca="false">Resumo!$B$12*CEILING(I1230,1)</f>
        <v>1.26</v>
      </c>
      <c r="AA1230" s="39" t="n">
        <f aca="false">Resumo!$B$13*CEILING(I1230,1)</f>
        <v>9.45</v>
      </c>
      <c r="AB1230" s="39" t="n">
        <f aca="false">SUM(U1230:AA1230)</f>
        <v>120.38277</v>
      </c>
      <c r="AC1230" s="39" t="n">
        <f aca="false">AB1230/(1-Resumo!$B$5)</f>
        <v>136.798602272727</v>
      </c>
      <c r="AD1230" s="39" t="n">
        <f aca="false">(AB1230-AA1230)/(1-Resumo!$B$5)</f>
        <v>126.059965909091</v>
      </c>
      <c r="AE1230" s="39" t="n">
        <f aca="false">AC1230-T1230</f>
        <v>28.1931138636364</v>
      </c>
      <c r="AF1230" s="40" t="n">
        <f aca="false">AC1230/T1230-1</f>
        <v>0.259591980816289</v>
      </c>
      <c r="AG1230" s="37" t="str">
        <f aca="false">IF(AC1230&lt;T1230,"SIM","NÃO")</f>
        <v>NÃO</v>
      </c>
      <c r="AH1230" s="37" t="n">
        <v>13</v>
      </c>
      <c r="AI1230" s="37" t="n">
        <v>6</v>
      </c>
      <c r="AJ1230" s="37" t="s">
        <v>323</v>
      </c>
    </row>
    <row r="1231" customFormat="false" ht="15" hidden="false" customHeight="false" outlineLevel="0" collapsed="false">
      <c r="A1231" s="37" t="n">
        <v>379004157</v>
      </c>
      <c r="B1231" s="38" t="n">
        <v>46253.8066550926</v>
      </c>
      <c r="C1231" s="37" t="s">
        <v>320</v>
      </c>
      <c r="D1231" s="37" t="s">
        <v>1481</v>
      </c>
      <c r="E1231" s="37" t="n">
        <v>24450170</v>
      </c>
      <c r="F1231" s="37" t="s">
        <v>140</v>
      </c>
      <c r="G1231" s="37" t="s">
        <v>207</v>
      </c>
      <c r="H1231" s="37" t="s">
        <v>172</v>
      </c>
      <c r="I1231" s="37" t="n">
        <v>63.9</v>
      </c>
      <c r="J1231" s="39" t="n">
        <v>717.59</v>
      </c>
      <c r="K1231" s="37" t="s">
        <v>322</v>
      </c>
      <c r="L1231" s="39" t="n">
        <v>139.89</v>
      </c>
      <c r="M1231" s="39" t="n">
        <v>100.9</v>
      </c>
      <c r="N1231" s="39" t="n">
        <f aca="false">J1231*Resumo!$C$7</f>
        <v>1.43518</v>
      </c>
      <c r="O1231" s="39" t="n">
        <f aca="false">J1231*Resumo!$C$8</f>
        <v>1.43518</v>
      </c>
      <c r="P1231" s="39" t="n">
        <f aca="false">Resumo!$C$10*CEILING(I1231/100,1)</f>
        <v>1</v>
      </c>
      <c r="Q1231" s="39" t="n">
        <f aca="false">Resumo!$C$9</f>
        <v>11.9</v>
      </c>
      <c r="R1231" s="39" t="n">
        <f aca="false">SUM(M1231:Q1231)*Resumo!$C$11</f>
        <v>6.4168698</v>
      </c>
      <c r="S1231" s="39" t="n">
        <f aca="false">SUM(M1231:R1231)</f>
        <v>123.0872298</v>
      </c>
      <c r="T1231" s="39" t="n">
        <f aca="false">S1231/(1-Resumo!$C$5)</f>
        <v>139.871852045455</v>
      </c>
      <c r="U1231" s="39" t="n">
        <v>149.5</v>
      </c>
      <c r="V1231" s="39" t="n">
        <f aca="false">J1231*Resumo!$B$6</f>
        <v>0.71759</v>
      </c>
      <c r="W1231" s="39" t="n">
        <f aca="false">J1231*Resumo!$B$7</f>
        <v>1.43518</v>
      </c>
      <c r="X1231" s="39" t="n">
        <f aca="false">Resumo!$B$9</f>
        <v>1</v>
      </c>
      <c r="Y1231" s="39" t="n">
        <f aca="false">Resumo!$B$10*CEILING(I1231/100,1)</f>
        <v>4.5</v>
      </c>
      <c r="Z1231" s="39" t="n">
        <f aca="false">Resumo!$B$12*CEILING(I1231,1)</f>
        <v>3.84</v>
      </c>
      <c r="AA1231" s="39" t="n">
        <f aca="false">Resumo!$B$13*CEILING(I1231,1)</f>
        <v>28.8</v>
      </c>
      <c r="AB1231" s="39" t="n">
        <f aca="false">SUM(U1231:AA1231)</f>
        <v>189.79277</v>
      </c>
      <c r="AC1231" s="39" t="n">
        <f aca="false">AB1231/(1-Resumo!$B$5)</f>
        <v>215.673602272727</v>
      </c>
      <c r="AD1231" s="39" t="n">
        <f aca="false">(AB1231-AA1231)/(1-Resumo!$B$5)</f>
        <v>182.946329545455</v>
      </c>
      <c r="AE1231" s="39" t="n">
        <f aca="false">AC1231-T1231</f>
        <v>75.8017502272728</v>
      </c>
      <c r="AF1231" s="40" t="n">
        <f aca="false">AC1231/T1231-1</f>
        <v>0.541937131158021</v>
      </c>
      <c r="AG1231" s="37" t="str">
        <f aca="false">IF(AC1231&lt;T1231,"SIM","NÃO")</f>
        <v>NÃO</v>
      </c>
      <c r="AH1231" s="37" t="n">
        <v>10</v>
      </c>
      <c r="AI1231" s="37" t="n">
        <v>7</v>
      </c>
      <c r="AJ1231" s="37" t="s">
        <v>323</v>
      </c>
    </row>
    <row r="1232" customFormat="false" ht="15" hidden="false" customHeight="false" outlineLevel="0" collapsed="false">
      <c r="A1232" s="37" t="n">
        <v>379019621</v>
      </c>
      <c r="B1232" s="38" t="n">
        <v>46253.818125</v>
      </c>
      <c r="C1232" s="37" t="s">
        <v>517</v>
      </c>
      <c r="D1232" s="37" t="s">
        <v>1482</v>
      </c>
      <c r="E1232" s="37" t="n">
        <v>25225330</v>
      </c>
      <c r="F1232" s="37" t="s">
        <v>141</v>
      </c>
      <c r="G1232" s="37" t="s">
        <v>207</v>
      </c>
      <c r="H1232" s="37" t="s">
        <v>171</v>
      </c>
      <c r="I1232" s="37" t="n">
        <v>52.3</v>
      </c>
      <c r="J1232" s="39" t="n">
        <v>659.99</v>
      </c>
      <c r="K1232" s="37" t="s">
        <v>322</v>
      </c>
      <c r="L1232" s="39" t="n">
        <v>128.44</v>
      </c>
      <c r="M1232" s="39" t="n">
        <v>91.6</v>
      </c>
      <c r="N1232" s="39" t="n">
        <f aca="false">J1232*Resumo!$C$7</f>
        <v>1.31998</v>
      </c>
      <c r="O1232" s="39" t="n">
        <f aca="false">J1232*Resumo!$C$8</f>
        <v>1.31998</v>
      </c>
      <c r="P1232" s="39" t="n">
        <f aca="false">Resumo!$C$10*CEILING(I1232/100,1)</f>
        <v>1</v>
      </c>
      <c r="Q1232" s="39" t="n">
        <f aca="false">Resumo!$C$9</f>
        <v>11.9</v>
      </c>
      <c r="R1232" s="39" t="n">
        <f aca="false">SUM(M1232:Q1232)*Resumo!$C$11</f>
        <v>5.8926978</v>
      </c>
      <c r="S1232" s="39" t="n">
        <f aca="false">SUM(M1232:R1232)</f>
        <v>113.0326578</v>
      </c>
      <c r="T1232" s="39" t="n">
        <f aca="false">S1232/(1-Resumo!$C$5)</f>
        <v>128.446202045455</v>
      </c>
      <c r="U1232" s="39" t="n">
        <v>112.3</v>
      </c>
      <c r="V1232" s="39" t="n">
        <f aca="false">J1232*Resumo!$B$6</f>
        <v>0.65999</v>
      </c>
      <c r="W1232" s="39" t="n">
        <f aca="false">J1232*Resumo!$B$7</f>
        <v>1.31998</v>
      </c>
      <c r="X1232" s="39" t="n">
        <f aca="false">Resumo!$B$9</f>
        <v>1</v>
      </c>
      <c r="Y1232" s="39" t="n">
        <f aca="false">Resumo!$B$10*CEILING(I1232/100,1)</f>
        <v>4.5</v>
      </c>
      <c r="Z1232" s="39" t="n">
        <f aca="false">Resumo!$B$12*CEILING(I1232,1)</f>
        <v>3.18</v>
      </c>
      <c r="AA1232" s="39" t="n">
        <f aca="false">Resumo!$B$13*CEILING(I1232,1)</f>
        <v>23.85</v>
      </c>
      <c r="AB1232" s="39" t="n">
        <f aca="false">SUM(U1232:AA1232)</f>
        <v>146.80997</v>
      </c>
      <c r="AC1232" s="39" t="n">
        <f aca="false">AB1232/(1-Resumo!$B$5)</f>
        <v>166.829511363636</v>
      </c>
      <c r="AD1232" s="39" t="n">
        <f aca="false">(AB1232-AA1232)/(1-Resumo!$B$5)</f>
        <v>139.727238636364</v>
      </c>
      <c r="AE1232" s="39" t="n">
        <f aca="false">AC1232-T1232</f>
        <v>38.3833093181818</v>
      </c>
      <c r="AF1232" s="40" t="n">
        <f aca="false">AC1232/T1232-1</f>
        <v>0.298827903876821</v>
      </c>
      <c r="AG1232" s="37" t="str">
        <f aca="false">IF(AC1232&lt;T1232,"SIM","NÃO")</f>
        <v>NÃO</v>
      </c>
      <c r="AH1232" s="37" t="n">
        <v>10</v>
      </c>
      <c r="AI1232" s="37" t="n">
        <v>5</v>
      </c>
      <c r="AJ1232" s="37" t="s">
        <v>323</v>
      </c>
    </row>
    <row r="1233" customFormat="false" ht="15" hidden="false" customHeight="false" outlineLevel="0" collapsed="false">
      <c r="A1233" s="37" t="n">
        <v>379011346</v>
      </c>
      <c r="B1233" s="38" t="n">
        <v>46253.8211574074</v>
      </c>
      <c r="C1233" s="37" t="s">
        <v>325</v>
      </c>
      <c r="D1233" s="37" t="s">
        <v>610</v>
      </c>
      <c r="E1233" s="37" t="n">
        <v>23520560</v>
      </c>
      <c r="F1233" s="37" t="s">
        <v>139</v>
      </c>
      <c r="G1233" s="37" t="s">
        <v>198</v>
      </c>
      <c r="H1233" s="37" t="s">
        <v>168</v>
      </c>
      <c r="I1233" s="37" t="n">
        <v>33.21</v>
      </c>
      <c r="J1233" s="39" t="n">
        <v>387.25</v>
      </c>
      <c r="K1233" s="37" t="s">
        <v>322</v>
      </c>
      <c r="L1233" s="39" t="n">
        <v>82.17</v>
      </c>
      <c r="M1233" s="39" t="n">
        <v>54.1</v>
      </c>
      <c r="N1233" s="39" t="n">
        <f aca="false">J1233*Resumo!$C$7</f>
        <v>0.7745</v>
      </c>
      <c r="O1233" s="39" t="n">
        <f aca="false">J1233*Resumo!$C$8</f>
        <v>0.7745</v>
      </c>
      <c r="P1233" s="39" t="n">
        <f aca="false">Resumo!$C$10*CEILING(I1233/100,1)</f>
        <v>1</v>
      </c>
      <c r="Q1233" s="39" t="n">
        <f aca="false">Resumo!$C$9</f>
        <v>11.9</v>
      </c>
      <c r="R1233" s="39" t="n">
        <f aca="false">SUM(M1233:Q1233)*Resumo!$C$11</f>
        <v>3.770195</v>
      </c>
      <c r="S1233" s="39" t="n">
        <f aca="false">SUM(M1233:R1233)</f>
        <v>72.319195</v>
      </c>
      <c r="T1233" s="39" t="n">
        <f aca="false">S1233/(1-Resumo!$C$5)</f>
        <v>82.1809034090909</v>
      </c>
      <c r="U1233" s="39" t="n">
        <v>82.21</v>
      </c>
      <c r="V1233" s="39" t="n">
        <f aca="false">J1233*Resumo!$B$6</f>
        <v>0.38725</v>
      </c>
      <c r="W1233" s="39" t="n">
        <f aca="false">J1233*Resumo!$B$7</f>
        <v>0.7745</v>
      </c>
      <c r="X1233" s="39" t="n">
        <f aca="false">Resumo!$B$9</f>
        <v>1</v>
      </c>
      <c r="Y1233" s="39" t="n">
        <f aca="false">Resumo!$B$10*CEILING(I1233/100,1)</f>
        <v>4.5</v>
      </c>
      <c r="Z1233" s="39" t="n">
        <f aca="false">Resumo!$B$12*CEILING(I1233,1)</f>
        <v>2.04</v>
      </c>
      <c r="AA1233" s="39" t="n">
        <f aca="false">Resumo!$B$13*CEILING(I1233,1)</f>
        <v>15.3</v>
      </c>
      <c r="AB1233" s="39" t="n">
        <f aca="false">SUM(U1233:AA1233)</f>
        <v>106.21175</v>
      </c>
      <c r="AC1233" s="39" t="n">
        <f aca="false">AB1233/(1-Resumo!$B$5)</f>
        <v>120.695170454545</v>
      </c>
      <c r="AD1233" s="39" t="n">
        <f aca="false">(AB1233-AA1233)/(1-Resumo!$B$5)</f>
        <v>103.308806818182</v>
      </c>
      <c r="AE1233" s="39" t="n">
        <f aca="false">AC1233-T1233</f>
        <v>38.5142670454545</v>
      </c>
      <c r="AF1233" s="40" t="n">
        <f aca="false">AC1233/T1233-1</f>
        <v>0.468652271364469</v>
      </c>
      <c r="AG1233" s="37" t="str">
        <f aca="false">IF(AC1233&lt;T1233,"SIM","NÃO")</f>
        <v>NÃO</v>
      </c>
      <c r="AH1233" s="37" t="n">
        <v>8</v>
      </c>
      <c r="AI1233" s="37" t="n">
        <v>5</v>
      </c>
      <c r="AJ1233" s="37" t="s">
        <v>323</v>
      </c>
    </row>
    <row r="1234" customFormat="false" ht="15" hidden="false" customHeight="false" outlineLevel="0" collapsed="false">
      <c r="A1234" s="37" t="n">
        <v>379018455</v>
      </c>
      <c r="B1234" s="38" t="n">
        <v>46253.8365162037</v>
      </c>
      <c r="C1234" s="37" t="s">
        <v>320</v>
      </c>
      <c r="D1234" s="37" t="s">
        <v>1483</v>
      </c>
      <c r="E1234" s="37" t="n">
        <v>25610011</v>
      </c>
      <c r="F1234" s="37" t="s">
        <v>150</v>
      </c>
      <c r="G1234" s="37" t="s">
        <v>201</v>
      </c>
      <c r="H1234" s="37" t="s">
        <v>171</v>
      </c>
      <c r="I1234" s="37" t="n">
        <v>57</v>
      </c>
      <c r="J1234" s="39" t="n">
        <v>643.99</v>
      </c>
      <c r="K1234" s="37" t="s">
        <v>322</v>
      </c>
      <c r="L1234" s="39" t="n">
        <v>142.76</v>
      </c>
      <c r="M1234" s="39" t="n">
        <v>103.6</v>
      </c>
      <c r="N1234" s="39" t="n">
        <f aca="false">J1234*Resumo!$C$7</f>
        <v>1.28798</v>
      </c>
      <c r="O1234" s="39" t="n">
        <f aca="false">J1234*Resumo!$C$8</f>
        <v>1.28798</v>
      </c>
      <c r="P1234" s="39" t="n">
        <f aca="false">Resumo!$C$10*CEILING(I1234/100,1)</f>
        <v>1</v>
      </c>
      <c r="Q1234" s="39" t="n">
        <f aca="false">Resumo!$C$9</f>
        <v>11.9</v>
      </c>
      <c r="R1234" s="39" t="n">
        <f aca="false">SUM(M1234:Q1234)*Resumo!$C$11</f>
        <v>6.5491778</v>
      </c>
      <c r="S1234" s="39" t="n">
        <f aca="false">SUM(M1234:R1234)</f>
        <v>125.6251378</v>
      </c>
      <c r="T1234" s="39" t="n">
        <f aca="false">S1234/(1-Resumo!$C$5)</f>
        <v>142.755838409091</v>
      </c>
      <c r="U1234" s="39" t="n">
        <v>142.32</v>
      </c>
      <c r="V1234" s="39" t="n">
        <f aca="false">J1234*Resumo!$B$6</f>
        <v>0.64399</v>
      </c>
      <c r="W1234" s="39" t="n">
        <f aca="false">J1234*Resumo!$B$7</f>
        <v>1.28798</v>
      </c>
      <c r="X1234" s="39" t="n">
        <f aca="false">Resumo!$B$9</f>
        <v>1</v>
      </c>
      <c r="Y1234" s="39" t="n">
        <f aca="false">Resumo!$B$10*CEILING(I1234/100,1)</f>
        <v>4.5</v>
      </c>
      <c r="Z1234" s="39" t="n">
        <f aca="false">Resumo!$B$12*CEILING(I1234,1)</f>
        <v>3.42</v>
      </c>
      <c r="AA1234" s="39" t="n">
        <f aca="false">Resumo!$B$13*CEILING(I1234,1)</f>
        <v>25.65</v>
      </c>
      <c r="AB1234" s="39" t="n">
        <f aca="false">SUM(U1234:AA1234)</f>
        <v>178.82197</v>
      </c>
      <c r="AC1234" s="39" t="n">
        <f aca="false">AB1234/(1-Resumo!$B$5)</f>
        <v>203.206784090909</v>
      </c>
      <c r="AD1234" s="39" t="n">
        <f aca="false">(AB1234-AA1234)/(1-Resumo!$B$5)</f>
        <v>174.059056818182</v>
      </c>
      <c r="AE1234" s="39" t="n">
        <f aca="false">AC1234-T1234</f>
        <v>60.4509456818182</v>
      </c>
      <c r="AF1234" s="40" t="n">
        <f aca="false">AC1234/T1234-1</f>
        <v>0.423456906249857</v>
      </c>
      <c r="AG1234" s="37" t="str">
        <f aca="false">IF(AC1234&lt;T1234,"SIM","NÃO")</f>
        <v>NÃO</v>
      </c>
      <c r="AH1234" s="37" t="n">
        <v>13</v>
      </c>
      <c r="AI1234" s="37" t="n">
        <v>8</v>
      </c>
      <c r="AJ1234" s="37" t="s">
        <v>323</v>
      </c>
    </row>
    <row r="1235" customFormat="false" ht="15" hidden="false" customHeight="false" outlineLevel="0" collapsed="false">
      <c r="A1235" s="37" t="n">
        <v>379045638</v>
      </c>
      <c r="B1235" s="38" t="n">
        <v>46253.8780092593</v>
      </c>
      <c r="C1235" s="37" t="s">
        <v>325</v>
      </c>
      <c r="D1235" s="37" t="s">
        <v>1484</v>
      </c>
      <c r="E1235" s="37" t="n">
        <v>21740230</v>
      </c>
      <c r="F1235" s="37" t="s">
        <v>139</v>
      </c>
      <c r="G1235" s="37" t="s">
        <v>198</v>
      </c>
      <c r="H1235" s="37" t="s">
        <v>171</v>
      </c>
      <c r="I1235" s="37" t="n">
        <v>52.3</v>
      </c>
      <c r="J1235" s="39" t="n">
        <v>616.99</v>
      </c>
      <c r="K1235" s="37" t="s">
        <v>322</v>
      </c>
      <c r="L1235" s="39" t="n">
        <v>114.09</v>
      </c>
      <c r="M1235" s="39" t="n">
        <v>79.81</v>
      </c>
      <c r="N1235" s="39" t="n">
        <f aca="false">J1235*Resumo!$C$7</f>
        <v>1.23398</v>
      </c>
      <c r="O1235" s="39" t="n">
        <f aca="false">J1235*Resumo!$C$8</f>
        <v>1.23398</v>
      </c>
      <c r="P1235" s="39" t="n">
        <f aca="false">Resumo!$C$10*CEILING(I1235/100,1)</f>
        <v>1</v>
      </c>
      <c r="Q1235" s="39" t="n">
        <f aca="false">Resumo!$C$9</f>
        <v>11.9</v>
      </c>
      <c r="R1235" s="39" t="n">
        <f aca="false">SUM(M1235:Q1235)*Resumo!$C$11</f>
        <v>5.2347878</v>
      </c>
      <c r="S1235" s="39" t="n">
        <f aca="false">SUM(M1235:R1235)</f>
        <v>100.4127478</v>
      </c>
      <c r="T1235" s="39" t="n">
        <f aca="false">S1235/(1-Resumo!$C$5)</f>
        <v>114.105395227273</v>
      </c>
      <c r="U1235" s="39" t="n">
        <v>112.3</v>
      </c>
      <c r="V1235" s="39" t="n">
        <f aca="false">J1235*Resumo!$B$6</f>
        <v>0.61699</v>
      </c>
      <c r="W1235" s="39" t="n">
        <f aca="false">J1235*Resumo!$B$7</f>
        <v>1.23398</v>
      </c>
      <c r="X1235" s="39" t="n">
        <f aca="false">Resumo!$B$9</f>
        <v>1</v>
      </c>
      <c r="Y1235" s="39" t="n">
        <f aca="false">Resumo!$B$10*CEILING(I1235/100,1)</f>
        <v>4.5</v>
      </c>
      <c r="Z1235" s="39" t="n">
        <f aca="false">Resumo!$B$12*CEILING(I1235,1)</f>
        <v>3.18</v>
      </c>
      <c r="AA1235" s="39" t="n">
        <f aca="false">Resumo!$B$13*CEILING(I1235,1)</f>
        <v>23.85</v>
      </c>
      <c r="AB1235" s="39" t="n">
        <f aca="false">SUM(U1235:AA1235)</f>
        <v>146.68097</v>
      </c>
      <c r="AC1235" s="39" t="n">
        <f aca="false">AB1235/(1-Resumo!$B$5)</f>
        <v>166.682920454545</v>
      </c>
      <c r="AD1235" s="39" t="n">
        <f aca="false">(AB1235-AA1235)/(1-Resumo!$B$5)</f>
        <v>139.580647727273</v>
      </c>
      <c r="AE1235" s="39" t="n">
        <f aca="false">AC1235-T1235</f>
        <v>52.5775252272727</v>
      </c>
      <c r="AF1235" s="40" t="n">
        <f aca="false">AC1235/T1235-1</f>
        <v>0.46078036119633</v>
      </c>
      <c r="AG1235" s="37" t="str">
        <f aca="false">IF(AC1235&lt;T1235,"SIM","NÃO")</f>
        <v>NÃO</v>
      </c>
      <c r="AH1235" s="37" t="n">
        <v>8</v>
      </c>
      <c r="AI1235" s="37" t="n">
        <v>5</v>
      </c>
      <c r="AJ1235" s="37" t="s">
        <v>323</v>
      </c>
    </row>
    <row r="1236" customFormat="false" ht="15" hidden="false" customHeight="false" outlineLevel="0" collapsed="false">
      <c r="A1236" s="37" t="n">
        <v>379045629</v>
      </c>
      <c r="B1236" s="38" t="n">
        <v>46253.8783101852</v>
      </c>
      <c r="C1236" s="37" t="s">
        <v>320</v>
      </c>
      <c r="D1236" s="37" t="s">
        <v>1485</v>
      </c>
      <c r="E1236" s="37" t="n">
        <v>21843790</v>
      </c>
      <c r="F1236" s="37" t="s">
        <v>139</v>
      </c>
      <c r="G1236" s="37" t="s">
        <v>198</v>
      </c>
      <c r="H1236" s="37" t="s">
        <v>171</v>
      </c>
      <c r="I1236" s="37" t="n">
        <v>51.7</v>
      </c>
      <c r="J1236" s="39" t="n">
        <v>679.99</v>
      </c>
      <c r="K1236" s="37" t="s">
        <v>322</v>
      </c>
      <c r="L1236" s="39" t="n">
        <v>114.41</v>
      </c>
      <c r="M1236" s="39" t="n">
        <v>79.81</v>
      </c>
      <c r="N1236" s="39" t="n">
        <f aca="false">J1236*Resumo!$C$7</f>
        <v>1.35998</v>
      </c>
      <c r="O1236" s="39" t="n">
        <f aca="false">J1236*Resumo!$C$8</f>
        <v>1.35998</v>
      </c>
      <c r="P1236" s="39" t="n">
        <f aca="false">Resumo!$C$10*CEILING(I1236/100,1)</f>
        <v>1</v>
      </c>
      <c r="Q1236" s="39" t="n">
        <f aca="false">Resumo!$C$9</f>
        <v>11.9</v>
      </c>
      <c r="R1236" s="39" t="n">
        <f aca="false">SUM(M1236:Q1236)*Resumo!$C$11</f>
        <v>5.2486478</v>
      </c>
      <c r="S1236" s="39" t="n">
        <f aca="false">SUM(M1236:R1236)</f>
        <v>100.6786078</v>
      </c>
      <c r="T1236" s="39" t="n">
        <f aca="false">S1236/(1-Resumo!$C$5)</f>
        <v>114.407508863636</v>
      </c>
      <c r="U1236" s="39" t="n">
        <v>112.3</v>
      </c>
      <c r="V1236" s="39" t="n">
        <f aca="false">J1236*Resumo!$B$6</f>
        <v>0.67999</v>
      </c>
      <c r="W1236" s="39" t="n">
        <f aca="false">J1236*Resumo!$B$7</f>
        <v>1.35998</v>
      </c>
      <c r="X1236" s="39" t="n">
        <f aca="false">Resumo!$B$9</f>
        <v>1</v>
      </c>
      <c r="Y1236" s="39" t="n">
        <f aca="false">Resumo!$B$10*CEILING(I1236/100,1)</f>
        <v>4.5</v>
      </c>
      <c r="Z1236" s="39" t="n">
        <f aca="false">Resumo!$B$12*CEILING(I1236,1)</f>
        <v>3.12</v>
      </c>
      <c r="AA1236" s="39" t="n">
        <f aca="false">Resumo!$B$13*CEILING(I1236,1)</f>
        <v>23.4</v>
      </c>
      <c r="AB1236" s="39" t="n">
        <f aca="false">SUM(U1236:AA1236)</f>
        <v>146.35997</v>
      </c>
      <c r="AC1236" s="39" t="n">
        <f aca="false">AB1236/(1-Resumo!$B$5)</f>
        <v>166.318147727273</v>
      </c>
      <c r="AD1236" s="39" t="n">
        <f aca="false">(AB1236-AA1236)/(1-Resumo!$B$5)</f>
        <v>139.727238636364</v>
      </c>
      <c r="AE1236" s="39" t="n">
        <f aca="false">AC1236-T1236</f>
        <v>51.9106388636364</v>
      </c>
      <c r="AF1236" s="40" t="n">
        <f aca="false">AC1236/T1236-1</f>
        <v>0.453734543993168</v>
      </c>
      <c r="AG1236" s="37" t="str">
        <f aca="false">IF(AC1236&lt;T1236,"SIM","NÃO")</f>
        <v>NÃO</v>
      </c>
      <c r="AH1236" s="37" t="n">
        <v>8</v>
      </c>
      <c r="AI1236" s="37" t="n">
        <v>5</v>
      </c>
      <c r="AJ1236" s="37" t="s">
        <v>323</v>
      </c>
    </row>
    <row r="1237" customFormat="false" ht="15" hidden="false" customHeight="false" outlineLevel="0" collapsed="false">
      <c r="A1237" s="37" t="n">
        <v>379054557</v>
      </c>
      <c r="B1237" s="38" t="n">
        <v>46253.8909027778</v>
      </c>
      <c r="C1237" s="37" t="s">
        <v>325</v>
      </c>
      <c r="D1237" s="37" t="s">
        <v>1486</v>
      </c>
      <c r="E1237" s="37" t="n">
        <v>25576220</v>
      </c>
      <c r="F1237" s="37" t="s">
        <v>147</v>
      </c>
      <c r="G1237" s="37" t="s">
        <v>207</v>
      </c>
      <c r="H1237" s="37" t="s">
        <v>172</v>
      </c>
      <c r="I1237" s="37" t="n">
        <v>66.8</v>
      </c>
      <c r="J1237" s="39" t="n">
        <v>609.99</v>
      </c>
      <c r="K1237" s="37" t="s">
        <v>322</v>
      </c>
      <c r="L1237" s="39" t="n">
        <v>139.35</v>
      </c>
      <c r="M1237" s="39" t="n">
        <v>100.9</v>
      </c>
      <c r="N1237" s="39" t="n">
        <f aca="false">J1237*Resumo!$C$7</f>
        <v>1.21998</v>
      </c>
      <c r="O1237" s="39" t="n">
        <f aca="false">J1237*Resumo!$C$8</f>
        <v>1.21998</v>
      </c>
      <c r="P1237" s="39" t="n">
        <f aca="false">Resumo!$C$10*CEILING(I1237/100,1)</f>
        <v>1</v>
      </c>
      <c r="Q1237" s="39" t="n">
        <f aca="false">Resumo!$C$9</f>
        <v>11.9</v>
      </c>
      <c r="R1237" s="39" t="n">
        <f aca="false">SUM(M1237:Q1237)*Resumo!$C$11</f>
        <v>6.3931978</v>
      </c>
      <c r="S1237" s="39" t="n">
        <f aca="false">SUM(M1237:R1237)</f>
        <v>122.6331578</v>
      </c>
      <c r="T1237" s="39" t="n">
        <f aca="false">S1237/(1-Resumo!$C$5)</f>
        <v>139.355861136364</v>
      </c>
      <c r="U1237" s="39" t="n">
        <v>131.02</v>
      </c>
      <c r="V1237" s="39" t="n">
        <f aca="false">J1237*Resumo!$B$6</f>
        <v>0.60999</v>
      </c>
      <c r="W1237" s="39" t="n">
        <f aca="false">J1237*Resumo!$B$7</f>
        <v>1.21998</v>
      </c>
      <c r="X1237" s="39" t="n">
        <f aca="false">Resumo!$B$9</f>
        <v>1</v>
      </c>
      <c r="Y1237" s="39" t="n">
        <f aca="false">Resumo!$B$10*CEILING(I1237/100,1)</f>
        <v>4.5</v>
      </c>
      <c r="Z1237" s="39" t="n">
        <f aca="false">Resumo!$B$12*CEILING(I1237,1)</f>
        <v>4.02</v>
      </c>
      <c r="AA1237" s="39" t="n">
        <f aca="false">Resumo!$B$13*CEILING(I1237,1)</f>
        <v>30.15</v>
      </c>
      <c r="AB1237" s="39" t="n">
        <f aca="false">SUM(U1237:AA1237)</f>
        <v>172.51997</v>
      </c>
      <c r="AC1237" s="39" t="n">
        <f aca="false">AB1237/(1-Resumo!$B$5)</f>
        <v>196.045420454545</v>
      </c>
      <c r="AD1237" s="39" t="n">
        <f aca="false">(AB1237-AA1237)/(1-Resumo!$B$5)</f>
        <v>161.784056818182</v>
      </c>
      <c r="AE1237" s="39" t="n">
        <f aca="false">AC1237-T1237</f>
        <v>56.6895593181818</v>
      </c>
      <c r="AF1237" s="40" t="n">
        <f aca="false">AC1237/T1237-1</f>
        <v>0.406797093828077</v>
      </c>
      <c r="AG1237" s="37" t="str">
        <f aca="false">IF(AC1237&lt;T1237,"SIM","NÃO")</f>
        <v>NÃO</v>
      </c>
      <c r="AH1237" s="37" t="n">
        <v>10</v>
      </c>
      <c r="AI1237" s="37" t="n">
        <v>5</v>
      </c>
      <c r="AJ1237" s="37" t="s">
        <v>323</v>
      </c>
    </row>
    <row r="1238" customFormat="false" ht="15" hidden="false" customHeight="false" outlineLevel="0" collapsed="false">
      <c r="A1238" s="37" t="n">
        <v>379072845</v>
      </c>
      <c r="B1238" s="38" t="n">
        <v>46253.9171759259</v>
      </c>
      <c r="C1238" s="37" t="s">
        <v>320</v>
      </c>
      <c r="D1238" s="37" t="s">
        <v>1487</v>
      </c>
      <c r="E1238" s="37" t="n">
        <v>25220005</v>
      </c>
      <c r="F1238" s="37" t="s">
        <v>141</v>
      </c>
      <c r="G1238" s="37" t="s">
        <v>207</v>
      </c>
      <c r="H1238" s="37" t="s">
        <v>167</v>
      </c>
      <c r="I1238" s="37" t="n">
        <v>19.5</v>
      </c>
      <c r="J1238" s="39" t="n">
        <v>332.99</v>
      </c>
      <c r="K1238" s="37" t="s">
        <v>322</v>
      </c>
      <c r="L1238" s="39" t="n">
        <v>75.44</v>
      </c>
      <c r="M1238" s="39" t="n">
        <v>48.69</v>
      </c>
      <c r="N1238" s="39" t="n">
        <f aca="false">J1238*Resumo!$C$7</f>
        <v>0.66598</v>
      </c>
      <c r="O1238" s="39" t="n">
        <f aca="false">J1238*Resumo!$C$8</f>
        <v>0.66598</v>
      </c>
      <c r="P1238" s="39" t="n">
        <f aca="false">Resumo!$C$10*CEILING(I1238/100,1)</f>
        <v>1</v>
      </c>
      <c r="Q1238" s="39" t="n">
        <f aca="false">Resumo!$C$9</f>
        <v>11.9</v>
      </c>
      <c r="R1238" s="39" t="n">
        <f aca="false">SUM(M1238:Q1238)*Resumo!$C$11</f>
        <v>3.4607078</v>
      </c>
      <c r="S1238" s="39" t="n">
        <f aca="false">SUM(M1238:R1238)</f>
        <v>66.3826678</v>
      </c>
      <c r="T1238" s="39" t="n">
        <f aca="false">S1238/(1-Resumo!$C$5)</f>
        <v>75.4348497727273</v>
      </c>
      <c r="U1238" s="39" t="n">
        <v>46.98</v>
      </c>
      <c r="V1238" s="39" t="n">
        <f aca="false">J1238*Resumo!$B$6</f>
        <v>0.33299</v>
      </c>
      <c r="W1238" s="39" t="n">
        <f aca="false">J1238*Resumo!$B$7</f>
        <v>0.66598</v>
      </c>
      <c r="X1238" s="39" t="n">
        <f aca="false">Resumo!$B$9</f>
        <v>1</v>
      </c>
      <c r="Y1238" s="39" t="n">
        <f aca="false">Resumo!$B$10*CEILING(I1238/100,1)</f>
        <v>4.5</v>
      </c>
      <c r="Z1238" s="39" t="n">
        <f aca="false">Resumo!$B$12*CEILING(I1238,1)</f>
        <v>1.2</v>
      </c>
      <c r="AA1238" s="39" t="n">
        <f aca="false">Resumo!$B$13*CEILING(I1238,1)</f>
        <v>9</v>
      </c>
      <c r="AB1238" s="39" t="n">
        <f aca="false">SUM(U1238:AA1238)</f>
        <v>63.67897</v>
      </c>
      <c r="AC1238" s="39" t="n">
        <f aca="false">AB1238/(1-Resumo!$B$5)</f>
        <v>72.3624659090909</v>
      </c>
      <c r="AD1238" s="39" t="n">
        <f aca="false">(AB1238-AA1238)/(1-Resumo!$B$5)</f>
        <v>62.1351931818182</v>
      </c>
      <c r="AE1238" s="39" t="n">
        <f aca="false">AC1238-T1238</f>
        <v>-3.07238386363635</v>
      </c>
      <c r="AF1238" s="40" t="n">
        <f aca="false">AC1238/T1238-1</f>
        <v>-0.0407289717271649</v>
      </c>
      <c r="AG1238" s="37" t="str">
        <f aca="false">IF(AC1238&lt;T1238,"SIM","NÃO")</f>
        <v>SIM</v>
      </c>
      <c r="AH1238" s="37" t="n">
        <v>10</v>
      </c>
      <c r="AI1238" s="37" t="n">
        <v>5</v>
      </c>
      <c r="AJ1238" s="37" t="s">
        <v>323</v>
      </c>
    </row>
    <row r="1239" customFormat="false" ht="15" hidden="false" customHeight="false" outlineLevel="0" collapsed="false">
      <c r="A1239" s="37" t="n">
        <v>379078049</v>
      </c>
      <c r="B1239" s="38" t="n">
        <v>46253.9249537037</v>
      </c>
      <c r="C1239" s="37" t="s">
        <v>320</v>
      </c>
      <c r="D1239" s="37" t="s">
        <v>676</v>
      </c>
      <c r="E1239" s="37" t="n">
        <v>23092080</v>
      </c>
      <c r="F1239" s="37" t="s">
        <v>139</v>
      </c>
      <c r="G1239" s="37" t="s">
        <v>198</v>
      </c>
      <c r="H1239" s="37" t="s">
        <v>171</v>
      </c>
      <c r="I1239" s="37" t="n">
        <v>52.3</v>
      </c>
      <c r="J1239" s="39" t="n">
        <v>669.99</v>
      </c>
      <c r="K1239" s="37" t="s">
        <v>322</v>
      </c>
      <c r="L1239" s="39" t="n">
        <v>114.36</v>
      </c>
      <c r="M1239" s="39" t="n">
        <v>79.81</v>
      </c>
      <c r="N1239" s="39" t="n">
        <f aca="false">J1239*Resumo!$C$7</f>
        <v>1.33998</v>
      </c>
      <c r="O1239" s="39" t="n">
        <f aca="false">J1239*Resumo!$C$8</f>
        <v>1.33998</v>
      </c>
      <c r="P1239" s="39" t="n">
        <f aca="false">Resumo!$C$10*CEILING(I1239/100,1)</f>
        <v>1</v>
      </c>
      <c r="Q1239" s="39" t="n">
        <f aca="false">Resumo!$C$9</f>
        <v>11.9</v>
      </c>
      <c r="R1239" s="39" t="n">
        <f aca="false">SUM(M1239:Q1239)*Resumo!$C$11</f>
        <v>5.2464478</v>
      </c>
      <c r="S1239" s="39" t="n">
        <f aca="false">SUM(M1239:R1239)</f>
        <v>100.6364078</v>
      </c>
      <c r="T1239" s="39" t="n">
        <f aca="false">S1239/(1-Resumo!$C$5)</f>
        <v>114.359554318182</v>
      </c>
      <c r="U1239" s="39" t="n">
        <v>112.3</v>
      </c>
      <c r="V1239" s="39" t="n">
        <f aca="false">J1239*Resumo!$B$6</f>
        <v>0.66999</v>
      </c>
      <c r="W1239" s="39" t="n">
        <f aca="false">J1239*Resumo!$B$7</f>
        <v>1.33998</v>
      </c>
      <c r="X1239" s="39" t="n">
        <f aca="false">Resumo!$B$9</f>
        <v>1</v>
      </c>
      <c r="Y1239" s="39" t="n">
        <f aca="false">Resumo!$B$10*CEILING(I1239/100,1)</f>
        <v>4.5</v>
      </c>
      <c r="Z1239" s="39" t="n">
        <f aca="false">Resumo!$B$12*CEILING(I1239,1)</f>
        <v>3.18</v>
      </c>
      <c r="AA1239" s="39" t="n">
        <f aca="false">Resumo!$B$13*CEILING(I1239,1)</f>
        <v>23.85</v>
      </c>
      <c r="AB1239" s="39" t="n">
        <f aca="false">SUM(U1239:AA1239)</f>
        <v>146.83997</v>
      </c>
      <c r="AC1239" s="39" t="n">
        <f aca="false">AB1239/(1-Resumo!$B$5)</f>
        <v>166.863602272727</v>
      </c>
      <c r="AD1239" s="39" t="n">
        <f aca="false">(AB1239-AA1239)/(1-Resumo!$B$5)</f>
        <v>139.761329545455</v>
      </c>
      <c r="AE1239" s="39" t="n">
        <f aca="false">AC1239-T1239</f>
        <v>52.5040479545454</v>
      </c>
      <c r="AF1239" s="40" t="n">
        <f aca="false">AC1239/T1239-1</f>
        <v>0.459113786054673</v>
      </c>
      <c r="AG1239" s="37" t="str">
        <f aca="false">IF(AC1239&lt;T1239,"SIM","NÃO")</f>
        <v>NÃO</v>
      </c>
      <c r="AH1239" s="37" t="n">
        <v>8</v>
      </c>
      <c r="AI1239" s="37" t="n">
        <v>5</v>
      </c>
      <c r="AJ1239" s="37" t="s">
        <v>323</v>
      </c>
    </row>
    <row r="1240" customFormat="false" ht="15" hidden="false" customHeight="false" outlineLevel="0" collapsed="false">
      <c r="A1240" s="37" t="n">
        <v>379084466</v>
      </c>
      <c r="B1240" s="38" t="n">
        <v>46253.935775463</v>
      </c>
      <c r="C1240" s="37" t="s">
        <v>320</v>
      </c>
      <c r="D1240" s="37" t="s">
        <v>1488</v>
      </c>
      <c r="E1240" s="37" t="n">
        <v>22770190</v>
      </c>
      <c r="F1240" s="37" t="s">
        <v>139</v>
      </c>
      <c r="G1240" s="37" t="s">
        <v>198</v>
      </c>
      <c r="H1240" s="37" t="s">
        <v>173</v>
      </c>
      <c r="I1240" s="37" t="n">
        <v>71.9</v>
      </c>
      <c r="J1240" s="39" t="n">
        <v>711.38</v>
      </c>
      <c r="K1240" s="37" t="s">
        <v>322</v>
      </c>
      <c r="L1240" s="39" t="n">
        <v>135.88</v>
      </c>
      <c r="M1240" s="39" t="n">
        <v>97.6</v>
      </c>
      <c r="N1240" s="39" t="n">
        <f aca="false">J1240*Resumo!$C$7</f>
        <v>1.42276</v>
      </c>
      <c r="O1240" s="39" t="n">
        <f aca="false">J1240*Resumo!$C$8</f>
        <v>1.42276</v>
      </c>
      <c r="P1240" s="39" t="n">
        <f aca="false">Resumo!$C$10*CEILING(I1240/100,1)</f>
        <v>1</v>
      </c>
      <c r="Q1240" s="39" t="n">
        <f aca="false">Resumo!$C$9</f>
        <v>11.9</v>
      </c>
      <c r="R1240" s="39" t="n">
        <f aca="false">SUM(M1240:Q1240)*Resumo!$C$11</f>
        <v>6.2340036</v>
      </c>
      <c r="S1240" s="39" t="n">
        <f aca="false">SUM(M1240:R1240)</f>
        <v>119.5795236</v>
      </c>
      <c r="T1240" s="39" t="n">
        <f aca="false">S1240/(1-Resumo!$C$5)</f>
        <v>135.885822272727</v>
      </c>
      <c r="U1240" s="39" t="n">
        <v>134.39</v>
      </c>
      <c r="V1240" s="39" t="n">
        <f aca="false">J1240*Resumo!$B$6</f>
        <v>0.71138</v>
      </c>
      <c r="W1240" s="39" t="n">
        <f aca="false">J1240*Resumo!$B$7</f>
        <v>1.42276</v>
      </c>
      <c r="X1240" s="39" t="n">
        <f aca="false">Resumo!$B$9</f>
        <v>1</v>
      </c>
      <c r="Y1240" s="39" t="n">
        <f aca="false">Resumo!$B$10*CEILING(I1240/100,1)</f>
        <v>4.5</v>
      </c>
      <c r="Z1240" s="39" t="n">
        <f aca="false">Resumo!$B$12*CEILING(I1240,1)</f>
        <v>4.32</v>
      </c>
      <c r="AA1240" s="39" t="n">
        <f aca="false">Resumo!$B$13*CEILING(I1240,1)</f>
        <v>32.4</v>
      </c>
      <c r="AB1240" s="39" t="n">
        <f aca="false">SUM(U1240:AA1240)</f>
        <v>178.74414</v>
      </c>
      <c r="AC1240" s="39" t="n">
        <f aca="false">AB1240/(1-Resumo!$B$5)</f>
        <v>203.118340909091</v>
      </c>
      <c r="AD1240" s="39" t="n">
        <f aca="false">(AB1240-AA1240)/(1-Resumo!$B$5)</f>
        <v>166.300159090909</v>
      </c>
      <c r="AE1240" s="39" t="n">
        <f aca="false">AC1240-T1240</f>
        <v>67.2325186363636</v>
      </c>
      <c r="AF1240" s="40" t="n">
        <f aca="false">AC1240/T1240-1</f>
        <v>0.494772136723917</v>
      </c>
      <c r="AG1240" s="37" t="str">
        <f aca="false">IF(AC1240&lt;T1240,"SIM","NÃO")</f>
        <v>NÃO</v>
      </c>
      <c r="AH1240" s="37" t="n">
        <v>8</v>
      </c>
      <c r="AI1240" s="37" t="n">
        <v>5</v>
      </c>
      <c r="AJ1240" s="37" t="s">
        <v>323</v>
      </c>
    </row>
    <row r="1241" customFormat="false" ht="15" hidden="false" customHeight="false" outlineLevel="0" collapsed="false">
      <c r="A1241" s="37" t="n">
        <v>379089832</v>
      </c>
      <c r="B1241" s="38" t="n">
        <v>46253.9453703704</v>
      </c>
      <c r="C1241" s="37" t="s">
        <v>320</v>
      </c>
      <c r="D1241" s="37" t="s">
        <v>560</v>
      </c>
      <c r="E1241" s="37" t="n">
        <v>23040400</v>
      </c>
      <c r="F1241" s="37" t="s">
        <v>139</v>
      </c>
      <c r="G1241" s="37" t="s">
        <v>198</v>
      </c>
      <c r="H1241" s="37" t="s">
        <v>172</v>
      </c>
      <c r="I1241" s="37" t="n">
        <v>63.9</v>
      </c>
      <c r="J1241" s="39" t="n">
        <v>717.59</v>
      </c>
      <c r="K1241" s="37" t="s">
        <v>322</v>
      </c>
      <c r="L1241" s="39" t="n">
        <v>124.66</v>
      </c>
      <c r="M1241" s="39" t="n">
        <v>88.2</v>
      </c>
      <c r="N1241" s="39" t="n">
        <f aca="false">J1241*Resumo!$C$7</f>
        <v>1.43518</v>
      </c>
      <c r="O1241" s="39" t="n">
        <f aca="false">J1241*Resumo!$C$8</f>
        <v>1.43518</v>
      </c>
      <c r="P1241" s="39" t="n">
        <f aca="false">Resumo!$C$10*CEILING(I1241/100,1)</f>
        <v>1</v>
      </c>
      <c r="Q1241" s="39" t="n">
        <f aca="false">Resumo!$C$9</f>
        <v>11.9</v>
      </c>
      <c r="R1241" s="39" t="n">
        <f aca="false">SUM(M1241:Q1241)*Resumo!$C$11</f>
        <v>5.7183698</v>
      </c>
      <c r="S1241" s="39" t="n">
        <f aca="false">SUM(M1241:R1241)</f>
        <v>109.6887298</v>
      </c>
      <c r="T1241" s="39" t="n">
        <f aca="false">S1241/(1-Resumo!$C$5)</f>
        <v>124.646283863636</v>
      </c>
      <c r="U1241" s="39" t="n">
        <v>131.02</v>
      </c>
      <c r="V1241" s="39" t="n">
        <f aca="false">J1241*Resumo!$B$6</f>
        <v>0.71759</v>
      </c>
      <c r="W1241" s="39" t="n">
        <f aca="false">J1241*Resumo!$B$7</f>
        <v>1.43518</v>
      </c>
      <c r="X1241" s="39" t="n">
        <f aca="false">Resumo!$B$9</f>
        <v>1</v>
      </c>
      <c r="Y1241" s="39" t="n">
        <f aca="false">Resumo!$B$10*CEILING(I1241/100,1)</f>
        <v>4.5</v>
      </c>
      <c r="Z1241" s="39" t="n">
        <f aca="false">Resumo!$B$12*CEILING(I1241,1)</f>
        <v>3.84</v>
      </c>
      <c r="AA1241" s="39" t="n">
        <f aca="false">Resumo!$B$13*CEILING(I1241,1)</f>
        <v>28.8</v>
      </c>
      <c r="AB1241" s="39" t="n">
        <f aca="false">SUM(U1241:AA1241)</f>
        <v>171.31277</v>
      </c>
      <c r="AC1241" s="39" t="n">
        <f aca="false">AB1241/(1-Resumo!$B$5)</f>
        <v>194.673602272727</v>
      </c>
      <c r="AD1241" s="39" t="n">
        <f aca="false">(AB1241-AA1241)/(1-Resumo!$B$5)</f>
        <v>161.946329545455</v>
      </c>
      <c r="AE1241" s="39" t="n">
        <f aca="false">AC1241-T1241</f>
        <v>70.0273184090909</v>
      </c>
      <c r="AF1241" s="40" t="n">
        <f aca="false">AC1241/T1241-1</f>
        <v>0.561808312598402</v>
      </c>
      <c r="AG1241" s="37" t="str">
        <f aca="false">IF(AC1241&lt;T1241,"SIM","NÃO")</f>
        <v>NÃO</v>
      </c>
      <c r="AH1241" s="37" t="n">
        <v>8</v>
      </c>
      <c r="AI1241" s="37" t="n">
        <v>5</v>
      </c>
      <c r="AJ1241" s="37" t="s">
        <v>323</v>
      </c>
    </row>
    <row r="1242" customFormat="false" ht="15" hidden="false" customHeight="false" outlineLevel="0" collapsed="false">
      <c r="A1242" s="37" t="n">
        <v>379095165</v>
      </c>
      <c r="B1242" s="38" t="n">
        <v>46253.9555208333</v>
      </c>
      <c r="C1242" s="37" t="s">
        <v>320</v>
      </c>
      <c r="D1242" s="37" t="s">
        <v>1489</v>
      </c>
      <c r="E1242" s="37" t="n">
        <v>24230541</v>
      </c>
      <c r="F1242" s="37" t="s">
        <v>143</v>
      </c>
      <c r="G1242" s="37" t="s">
        <v>207</v>
      </c>
      <c r="H1242" s="37" t="s">
        <v>170</v>
      </c>
      <c r="I1242" s="37" t="n">
        <v>45</v>
      </c>
      <c r="J1242" s="39" t="n">
        <v>519.29</v>
      </c>
      <c r="K1242" s="37" t="s">
        <v>322</v>
      </c>
      <c r="L1242" s="39" t="n">
        <v>116.57</v>
      </c>
      <c r="M1242" s="39" t="n">
        <v>82.25</v>
      </c>
      <c r="N1242" s="39" t="n">
        <f aca="false">J1242*Resumo!$C$7</f>
        <v>1.03858</v>
      </c>
      <c r="O1242" s="39" t="n">
        <f aca="false">J1242*Resumo!$C$8</f>
        <v>1.03858</v>
      </c>
      <c r="P1242" s="39" t="n">
        <f aca="false">Resumo!$C$10*CEILING(I1242/100,1)</f>
        <v>1</v>
      </c>
      <c r="Q1242" s="39" t="n">
        <f aca="false">Resumo!$C$9</f>
        <v>11.9</v>
      </c>
      <c r="R1242" s="39" t="n">
        <f aca="false">SUM(M1242:Q1242)*Resumo!$C$11</f>
        <v>5.3474938</v>
      </c>
      <c r="S1242" s="39" t="n">
        <f aca="false">SUM(M1242:R1242)</f>
        <v>102.5746538</v>
      </c>
      <c r="T1242" s="39" t="n">
        <f aca="false">S1242/(1-Resumo!$C$5)</f>
        <v>116.562106590909</v>
      </c>
      <c r="U1242" s="39" t="n">
        <v>114.95</v>
      </c>
      <c r="V1242" s="39" t="n">
        <f aca="false">J1242*Resumo!$B$6</f>
        <v>0.51929</v>
      </c>
      <c r="W1242" s="39" t="n">
        <f aca="false">J1242*Resumo!$B$7</f>
        <v>1.03858</v>
      </c>
      <c r="X1242" s="39" t="n">
        <f aca="false">Resumo!$B$9</f>
        <v>1</v>
      </c>
      <c r="Y1242" s="39" t="n">
        <f aca="false">Resumo!$B$10*CEILING(I1242/100,1)</f>
        <v>4.5</v>
      </c>
      <c r="Z1242" s="39" t="n">
        <f aca="false">Resumo!$B$12*CEILING(I1242,1)</f>
        <v>2.7</v>
      </c>
      <c r="AA1242" s="39" t="n">
        <f aca="false">Resumo!$B$13*CEILING(I1242,1)</f>
        <v>20.25</v>
      </c>
      <c r="AB1242" s="39" t="n">
        <f aca="false">SUM(U1242:AA1242)</f>
        <v>144.95787</v>
      </c>
      <c r="AC1242" s="39" t="n">
        <f aca="false">AB1242/(1-Resumo!$B$5)</f>
        <v>164.724852272727</v>
      </c>
      <c r="AD1242" s="39" t="n">
        <f aca="false">(AB1242-AA1242)/(1-Resumo!$B$5)</f>
        <v>141.713488636364</v>
      </c>
      <c r="AE1242" s="39" t="n">
        <f aca="false">AC1242-T1242</f>
        <v>48.1627456818182</v>
      </c>
      <c r="AF1242" s="40" t="n">
        <f aca="false">AC1242/T1242-1</f>
        <v>0.413193850818534</v>
      </c>
      <c r="AG1242" s="37" t="str">
        <f aca="false">IF(AC1242&lt;T1242,"SIM","NÃO")</f>
        <v>NÃO</v>
      </c>
      <c r="AH1242" s="37" t="n">
        <v>10</v>
      </c>
      <c r="AI1242" s="37" t="n">
        <v>7</v>
      </c>
      <c r="AJ1242" s="37" t="s">
        <v>323</v>
      </c>
    </row>
    <row r="1243" customFormat="false" ht="15" hidden="false" customHeight="false" outlineLevel="0" collapsed="false">
      <c r="A1243" s="37" t="n">
        <v>379156618</v>
      </c>
      <c r="B1243" s="38" t="n">
        <v>46254.0703125</v>
      </c>
      <c r="C1243" s="37" t="s">
        <v>320</v>
      </c>
      <c r="D1243" s="37" t="s">
        <v>920</v>
      </c>
      <c r="E1243" s="37" t="n">
        <v>22753050</v>
      </c>
      <c r="F1243" s="37" t="s">
        <v>139</v>
      </c>
      <c r="G1243" s="37" t="s">
        <v>198</v>
      </c>
      <c r="H1243" s="37" t="s">
        <v>171</v>
      </c>
      <c r="I1243" s="37" t="n">
        <v>52.3</v>
      </c>
      <c r="J1243" s="39" t="n">
        <v>669.99</v>
      </c>
      <c r="K1243" s="37" t="s">
        <v>322</v>
      </c>
      <c r="L1243" s="39" t="n">
        <v>114.36</v>
      </c>
      <c r="M1243" s="39" t="n">
        <v>79.81</v>
      </c>
      <c r="N1243" s="39" t="n">
        <f aca="false">J1243*Resumo!$C$7</f>
        <v>1.33998</v>
      </c>
      <c r="O1243" s="39" t="n">
        <f aca="false">J1243*Resumo!$C$8</f>
        <v>1.33998</v>
      </c>
      <c r="P1243" s="39" t="n">
        <f aca="false">Resumo!$C$10*CEILING(I1243/100,1)</f>
        <v>1</v>
      </c>
      <c r="Q1243" s="39" t="n">
        <f aca="false">Resumo!$C$9</f>
        <v>11.9</v>
      </c>
      <c r="R1243" s="39" t="n">
        <f aca="false">SUM(M1243:Q1243)*Resumo!$C$11</f>
        <v>5.2464478</v>
      </c>
      <c r="S1243" s="39" t="n">
        <f aca="false">SUM(M1243:R1243)</f>
        <v>100.6364078</v>
      </c>
      <c r="T1243" s="39" t="n">
        <f aca="false">S1243/(1-Resumo!$C$5)</f>
        <v>114.359554318182</v>
      </c>
      <c r="U1243" s="39" t="n">
        <v>112.3</v>
      </c>
      <c r="V1243" s="39" t="n">
        <f aca="false">J1243*Resumo!$B$6</f>
        <v>0.66999</v>
      </c>
      <c r="W1243" s="39" t="n">
        <f aca="false">J1243*Resumo!$B$7</f>
        <v>1.33998</v>
      </c>
      <c r="X1243" s="39" t="n">
        <f aca="false">Resumo!$B$9</f>
        <v>1</v>
      </c>
      <c r="Y1243" s="39" t="n">
        <f aca="false">Resumo!$B$10*CEILING(I1243/100,1)</f>
        <v>4.5</v>
      </c>
      <c r="Z1243" s="39" t="n">
        <f aca="false">Resumo!$B$12*CEILING(I1243,1)</f>
        <v>3.18</v>
      </c>
      <c r="AA1243" s="39" t="n">
        <f aca="false">Resumo!$B$13*CEILING(I1243,1)</f>
        <v>23.85</v>
      </c>
      <c r="AB1243" s="39" t="n">
        <f aca="false">SUM(U1243:AA1243)</f>
        <v>146.83997</v>
      </c>
      <c r="AC1243" s="39" t="n">
        <f aca="false">AB1243/(1-Resumo!$B$5)</f>
        <v>166.863602272727</v>
      </c>
      <c r="AD1243" s="39" t="n">
        <f aca="false">(AB1243-AA1243)/(1-Resumo!$B$5)</f>
        <v>139.761329545455</v>
      </c>
      <c r="AE1243" s="39" t="n">
        <f aca="false">AC1243-T1243</f>
        <v>52.5040479545454</v>
      </c>
      <c r="AF1243" s="40" t="n">
        <f aca="false">AC1243/T1243-1</f>
        <v>0.459113786054673</v>
      </c>
      <c r="AG1243" s="37" t="str">
        <f aca="false">IF(AC1243&lt;T1243,"SIM","NÃO")</f>
        <v>NÃO</v>
      </c>
      <c r="AH1243" s="37" t="n">
        <v>8</v>
      </c>
      <c r="AI1243" s="37" t="n">
        <v>5</v>
      </c>
      <c r="AJ1243" s="37" t="s">
        <v>323</v>
      </c>
    </row>
    <row r="1244" customFormat="false" ht="15" hidden="false" customHeight="false" outlineLevel="0" collapsed="false">
      <c r="A1244" s="37" t="n">
        <v>379198565</v>
      </c>
      <c r="B1244" s="38" t="n">
        <v>46254.1309722222</v>
      </c>
      <c r="C1244" s="37" t="s">
        <v>320</v>
      </c>
      <c r="D1244" s="37" t="s">
        <v>873</v>
      </c>
      <c r="E1244" s="37" t="n">
        <v>26600000</v>
      </c>
      <c r="F1244" s="37" t="s">
        <v>225</v>
      </c>
      <c r="G1244" s="37" t="s">
        <v>201</v>
      </c>
      <c r="H1244" s="37" t="s">
        <v>167</v>
      </c>
      <c r="I1244" s="37" t="n">
        <v>19.5</v>
      </c>
      <c r="J1244" s="39" t="n">
        <v>369.99</v>
      </c>
      <c r="K1244" s="37" t="s">
        <v>322</v>
      </c>
      <c r="L1244" s="39" t="n">
        <v>80.43</v>
      </c>
      <c r="M1244" s="39" t="n">
        <v>52.71</v>
      </c>
      <c r="N1244" s="39" t="n">
        <f aca="false">J1244*Resumo!$C$7</f>
        <v>0.73998</v>
      </c>
      <c r="O1244" s="39" t="n">
        <f aca="false">J1244*Resumo!$C$8</f>
        <v>0.73998</v>
      </c>
      <c r="P1244" s="39" t="n">
        <f aca="false">Resumo!$C$10*CEILING(I1244/100,1)</f>
        <v>1</v>
      </c>
      <c r="Q1244" s="39" t="n">
        <f aca="false">Resumo!$C$9</f>
        <v>11.9</v>
      </c>
      <c r="R1244" s="39" t="n">
        <f aca="false">SUM(M1244:Q1244)*Resumo!$C$11</f>
        <v>3.6899478</v>
      </c>
      <c r="S1244" s="39" t="n">
        <f aca="false">SUM(M1244:R1244)</f>
        <v>70.7799078</v>
      </c>
      <c r="T1244" s="39" t="n">
        <f aca="false">S1244/(1-Resumo!$C$5)</f>
        <v>80.4317134090909</v>
      </c>
      <c r="U1244" s="39" t="n">
        <v>77.35</v>
      </c>
      <c r="V1244" s="39" t="n">
        <f aca="false">J1244*Resumo!$B$6</f>
        <v>0.36999</v>
      </c>
      <c r="W1244" s="39" t="n">
        <f aca="false">J1244*Resumo!$B$7</f>
        <v>0.73998</v>
      </c>
      <c r="X1244" s="39" t="n">
        <f aca="false">Resumo!$B$9</f>
        <v>1</v>
      </c>
      <c r="Y1244" s="39" t="n">
        <f aca="false">Resumo!$B$10*CEILING(I1244/100,1)</f>
        <v>4.5</v>
      </c>
      <c r="Z1244" s="39" t="n">
        <f aca="false">Resumo!$B$12*CEILING(I1244,1)</f>
        <v>1.2</v>
      </c>
      <c r="AA1244" s="39" t="n">
        <f aca="false">Resumo!$B$13*CEILING(I1244,1)</f>
        <v>9</v>
      </c>
      <c r="AB1244" s="39" t="n">
        <f aca="false">SUM(U1244:AA1244)</f>
        <v>94.15997</v>
      </c>
      <c r="AC1244" s="39" t="n">
        <f aca="false">AB1244/(1-Resumo!$B$5)</f>
        <v>106.999965909091</v>
      </c>
      <c r="AD1244" s="39" t="n">
        <f aca="false">(AB1244-AA1244)/(1-Resumo!$B$5)</f>
        <v>96.7726931818182</v>
      </c>
      <c r="AE1244" s="39" t="n">
        <f aca="false">AC1244-T1244</f>
        <v>26.5682525</v>
      </c>
      <c r="AF1244" s="40" t="n">
        <f aca="false">AC1244/T1244-1</f>
        <v>0.330320608301216</v>
      </c>
      <c r="AG1244" s="37" t="str">
        <f aca="false">IF(AC1244&lt;T1244,"SIM","NÃO")</f>
        <v>NÃO</v>
      </c>
      <c r="AH1244" s="37" t="n">
        <v>13</v>
      </c>
      <c r="AI1244" s="37" t="n">
        <v>10</v>
      </c>
      <c r="AJ1244" s="37" t="s">
        <v>327</v>
      </c>
    </row>
    <row r="1245" customFormat="false" ht="15" hidden="false" customHeight="false" outlineLevel="0" collapsed="false">
      <c r="A1245" s="37" t="n">
        <v>379369765</v>
      </c>
      <c r="B1245" s="38" t="n">
        <v>46254.2963541667</v>
      </c>
      <c r="C1245" s="37" t="s">
        <v>325</v>
      </c>
      <c r="D1245" s="37" t="s">
        <v>1002</v>
      </c>
      <c r="E1245" s="37" t="n">
        <v>23025150</v>
      </c>
      <c r="F1245" s="37" t="s">
        <v>139</v>
      </c>
      <c r="G1245" s="37" t="s">
        <v>198</v>
      </c>
      <c r="H1245" s="37" t="s">
        <v>168</v>
      </c>
      <c r="I1245" s="37" t="n">
        <v>33</v>
      </c>
      <c r="J1245" s="39" t="n">
        <v>395.99</v>
      </c>
      <c r="K1245" s="37" t="s">
        <v>322</v>
      </c>
      <c r="L1245" s="39" t="n">
        <v>82.22</v>
      </c>
      <c r="M1245" s="39" t="n">
        <v>54.1</v>
      </c>
      <c r="N1245" s="39" t="n">
        <f aca="false">J1245*Resumo!$C$7</f>
        <v>0.79198</v>
      </c>
      <c r="O1245" s="39" t="n">
        <f aca="false">J1245*Resumo!$C$8</f>
        <v>0.79198</v>
      </c>
      <c r="P1245" s="39" t="n">
        <f aca="false">Resumo!$C$10*CEILING(I1245/100,1)</f>
        <v>1</v>
      </c>
      <c r="Q1245" s="39" t="n">
        <f aca="false">Resumo!$C$9</f>
        <v>11.9</v>
      </c>
      <c r="R1245" s="39" t="n">
        <f aca="false">SUM(M1245:Q1245)*Resumo!$C$11</f>
        <v>3.7721178</v>
      </c>
      <c r="S1245" s="39" t="n">
        <f aca="false">SUM(M1245:R1245)</f>
        <v>72.3560778</v>
      </c>
      <c r="T1245" s="39" t="n">
        <f aca="false">S1245/(1-Resumo!$C$5)</f>
        <v>82.2228156818182</v>
      </c>
      <c r="U1245" s="39" t="n">
        <v>82.21</v>
      </c>
      <c r="V1245" s="39" t="n">
        <f aca="false">J1245*Resumo!$B$6</f>
        <v>0.39599</v>
      </c>
      <c r="W1245" s="39" t="n">
        <f aca="false">J1245*Resumo!$B$7</f>
        <v>0.79198</v>
      </c>
      <c r="X1245" s="39" t="n">
        <f aca="false">Resumo!$B$9</f>
        <v>1</v>
      </c>
      <c r="Y1245" s="39" t="n">
        <f aca="false">Resumo!$B$10*CEILING(I1245/100,1)</f>
        <v>4.5</v>
      </c>
      <c r="Z1245" s="39" t="n">
        <f aca="false">Resumo!$B$12*CEILING(I1245,1)</f>
        <v>1.98</v>
      </c>
      <c r="AA1245" s="39" t="n">
        <f aca="false">Resumo!$B$13*CEILING(I1245,1)</f>
        <v>14.85</v>
      </c>
      <c r="AB1245" s="39" t="n">
        <f aca="false">SUM(U1245:AA1245)</f>
        <v>105.72797</v>
      </c>
      <c r="AC1245" s="39" t="n">
        <f aca="false">AB1245/(1-Resumo!$B$5)</f>
        <v>120.145420454545</v>
      </c>
      <c r="AD1245" s="39" t="n">
        <f aca="false">(AB1245-AA1245)/(1-Resumo!$B$5)</f>
        <v>103.270420454545</v>
      </c>
      <c r="AE1245" s="39" t="n">
        <f aca="false">AC1245-T1245</f>
        <v>37.9226047727272</v>
      </c>
      <c r="AF1245" s="40" t="n">
        <f aca="false">AC1245/T1245-1</f>
        <v>0.461217539903745</v>
      </c>
      <c r="AG1245" s="37" t="str">
        <f aca="false">IF(AC1245&lt;T1245,"SIM","NÃO")</f>
        <v>NÃO</v>
      </c>
      <c r="AH1245" s="37" t="n">
        <v>8</v>
      </c>
      <c r="AI1245" s="37" t="n">
        <v>5</v>
      </c>
      <c r="AJ1245" s="37" t="s">
        <v>323</v>
      </c>
    </row>
    <row r="1246" customFormat="false" ht="15" hidden="false" customHeight="false" outlineLevel="0" collapsed="false">
      <c r="A1246" s="37" t="n">
        <v>379309618</v>
      </c>
      <c r="B1246" s="38" t="n">
        <v>46254.3196527778</v>
      </c>
      <c r="C1246" s="37" t="s">
        <v>320</v>
      </c>
      <c r="D1246" s="37" t="s">
        <v>1490</v>
      </c>
      <c r="E1246" s="37" t="n">
        <v>24422640</v>
      </c>
      <c r="F1246" s="37" t="s">
        <v>140</v>
      </c>
      <c r="G1246" s="37" t="s">
        <v>207</v>
      </c>
      <c r="H1246" s="37" t="s">
        <v>172</v>
      </c>
      <c r="I1246" s="37" t="n">
        <v>63.9</v>
      </c>
      <c r="J1246" s="39" t="n">
        <v>779.99</v>
      </c>
      <c r="K1246" s="37" t="s">
        <v>322</v>
      </c>
      <c r="L1246" s="39" t="n">
        <v>140.17</v>
      </c>
      <c r="M1246" s="39" t="n">
        <v>100.9</v>
      </c>
      <c r="N1246" s="39" t="n">
        <f aca="false">J1246*Resumo!$C$7</f>
        <v>1.55998</v>
      </c>
      <c r="O1246" s="39" t="n">
        <f aca="false">J1246*Resumo!$C$8</f>
        <v>1.55998</v>
      </c>
      <c r="P1246" s="39" t="n">
        <f aca="false">Resumo!$C$10*CEILING(I1246/100,1)</f>
        <v>1</v>
      </c>
      <c r="Q1246" s="39" t="n">
        <f aca="false">Resumo!$C$9</f>
        <v>11.9</v>
      </c>
      <c r="R1246" s="39" t="n">
        <f aca="false">SUM(M1246:Q1246)*Resumo!$C$11</f>
        <v>6.4305978</v>
      </c>
      <c r="S1246" s="39" t="n">
        <f aca="false">SUM(M1246:R1246)</f>
        <v>123.3505578</v>
      </c>
      <c r="T1246" s="39" t="n">
        <f aca="false">S1246/(1-Resumo!$C$5)</f>
        <v>140.171088409091</v>
      </c>
      <c r="U1246" s="39" t="n">
        <v>149.5</v>
      </c>
      <c r="V1246" s="39" t="n">
        <f aca="false">J1246*Resumo!$B$6</f>
        <v>0.77999</v>
      </c>
      <c r="W1246" s="39" t="n">
        <f aca="false">J1246*Resumo!$B$7</f>
        <v>1.55998</v>
      </c>
      <c r="X1246" s="39" t="n">
        <f aca="false">Resumo!$B$9</f>
        <v>1</v>
      </c>
      <c r="Y1246" s="39" t="n">
        <f aca="false">Resumo!$B$10*CEILING(I1246/100,1)</f>
        <v>4.5</v>
      </c>
      <c r="Z1246" s="39" t="n">
        <f aca="false">Resumo!$B$12*CEILING(I1246,1)</f>
        <v>3.84</v>
      </c>
      <c r="AA1246" s="39" t="n">
        <f aca="false">Resumo!$B$13*CEILING(I1246,1)</f>
        <v>28.8</v>
      </c>
      <c r="AB1246" s="39" t="n">
        <f aca="false">SUM(U1246:AA1246)</f>
        <v>189.97997</v>
      </c>
      <c r="AC1246" s="39" t="n">
        <f aca="false">AB1246/(1-Resumo!$B$5)</f>
        <v>215.886329545455</v>
      </c>
      <c r="AD1246" s="39" t="n">
        <f aca="false">(AB1246-AA1246)/(1-Resumo!$B$5)</f>
        <v>183.159056818182</v>
      </c>
      <c r="AE1246" s="39" t="n">
        <f aca="false">AC1246-T1246</f>
        <v>75.7152411363636</v>
      </c>
      <c r="AF1246" s="40" t="n">
        <f aca="false">AC1246/T1246-1</f>
        <v>0.540163039295149</v>
      </c>
      <c r="AG1246" s="37" t="str">
        <f aca="false">IF(AC1246&lt;T1246,"SIM","NÃO")</f>
        <v>NÃO</v>
      </c>
      <c r="AH1246" s="37" t="n">
        <v>10</v>
      </c>
      <c r="AI1246" s="37" t="n">
        <v>7</v>
      </c>
      <c r="AJ1246" s="37" t="s">
        <v>323</v>
      </c>
    </row>
    <row r="1247" customFormat="false" ht="15" hidden="false" customHeight="false" outlineLevel="0" collapsed="false">
      <c r="A1247" s="37" t="n">
        <v>379316321</v>
      </c>
      <c r="B1247" s="38" t="n">
        <v>46254.3385648148</v>
      </c>
      <c r="C1247" s="37" t="s">
        <v>320</v>
      </c>
      <c r="D1247" s="37" t="s">
        <v>1491</v>
      </c>
      <c r="E1247" s="37" t="n">
        <v>24858500</v>
      </c>
      <c r="F1247" s="37" t="s">
        <v>154</v>
      </c>
      <c r="G1247" s="37" t="s">
        <v>201</v>
      </c>
      <c r="H1247" s="37" t="s">
        <v>168</v>
      </c>
      <c r="I1247" s="37" t="n">
        <v>27.5</v>
      </c>
      <c r="J1247" s="39" t="n">
        <v>379.99</v>
      </c>
      <c r="K1247" s="37" t="s">
        <v>322</v>
      </c>
      <c r="L1247" s="39" t="n">
        <v>109</v>
      </c>
      <c r="M1247" s="39" t="n">
        <v>76.5</v>
      </c>
      <c r="N1247" s="39" t="n">
        <f aca="false">J1247*Resumo!$C$7</f>
        <v>0.75998</v>
      </c>
      <c r="O1247" s="39" t="n">
        <f aca="false">J1247*Resumo!$C$8</f>
        <v>0.75998</v>
      </c>
      <c r="P1247" s="39" t="n">
        <f aca="false">Resumo!$C$10*CEILING(I1247/100,1)</f>
        <v>1</v>
      </c>
      <c r="Q1247" s="39" t="n">
        <f aca="false">Resumo!$C$9</f>
        <v>11.9</v>
      </c>
      <c r="R1247" s="39" t="n">
        <f aca="false">SUM(M1247:Q1247)*Resumo!$C$11</f>
        <v>5.0005978</v>
      </c>
      <c r="S1247" s="39" t="n">
        <f aca="false">SUM(M1247:R1247)</f>
        <v>95.9205578</v>
      </c>
      <c r="T1247" s="39" t="n">
        <f aca="false">S1247/(1-Resumo!$C$5)</f>
        <v>109.000633863636</v>
      </c>
      <c r="U1247" s="39" t="n">
        <v>100.58</v>
      </c>
      <c r="V1247" s="39" t="n">
        <f aca="false">J1247*Resumo!$B$6</f>
        <v>0.37999</v>
      </c>
      <c r="W1247" s="39" t="n">
        <f aca="false">J1247*Resumo!$B$7</f>
        <v>0.75998</v>
      </c>
      <c r="X1247" s="39" t="n">
        <f aca="false">Resumo!$B$9</f>
        <v>1</v>
      </c>
      <c r="Y1247" s="39" t="n">
        <f aca="false">Resumo!$B$10*CEILING(I1247/100,1)</f>
        <v>4.5</v>
      </c>
      <c r="Z1247" s="39" t="n">
        <f aca="false">Resumo!$B$12*CEILING(I1247,1)</f>
        <v>1.68</v>
      </c>
      <c r="AA1247" s="39" t="n">
        <f aca="false">Resumo!$B$13*CEILING(I1247,1)</f>
        <v>12.6</v>
      </c>
      <c r="AB1247" s="39" t="n">
        <f aca="false">SUM(U1247:AA1247)</f>
        <v>121.49997</v>
      </c>
      <c r="AC1247" s="39" t="n">
        <f aca="false">AB1247/(1-Resumo!$B$5)</f>
        <v>138.068147727273</v>
      </c>
      <c r="AD1247" s="39" t="n">
        <f aca="false">(AB1247-AA1247)/(1-Resumo!$B$5)</f>
        <v>123.749965909091</v>
      </c>
      <c r="AE1247" s="39" t="n">
        <f aca="false">AC1247-T1247</f>
        <v>29.0675138636363</v>
      </c>
      <c r="AF1247" s="40" t="n">
        <f aca="false">AC1247/T1247-1</f>
        <v>0.266672888343024</v>
      </c>
      <c r="AG1247" s="37" t="str">
        <f aca="false">IF(AC1247&lt;T1247,"SIM","NÃO")</f>
        <v>NÃO</v>
      </c>
      <c r="AH1247" s="37" t="n">
        <v>13</v>
      </c>
      <c r="AI1247" s="37" t="n">
        <v>7</v>
      </c>
      <c r="AJ1247" s="37" t="s">
        <v>323</v>
      </c>
    </row>
    <row r="1248" customFormat="false" ht="15" hidden="false" customHeight="false" outlineLevel="0" collapsed="false">
      <c r="A1248" s="37" t="n">
        <v>379358334</v>
      </c>
      <c r="B1248" s="38" t="n">
        <v>46254.4017361111</v>
      </c>
      <c r="C1248" s="37" t="s">
        <v>325</v>
      </c>
      <c r="D1248" s="37" t="s">
        <v>1492</v>
      </c>
      <c r="E1248" s="37" t="n">
        <v>26010421</v>
      </c>
      <c r="F1248" s="37" t="s">
        <v>142</v>
      </c>
      <c r="G1248" s="37" t="s">
        <v>207</v>
      </c>
      <c r="H1248" s="37" t="s">
        <v>168</v>
      </c>
      <c r="I1248" s="37" t="n">
        <v>30.5</v>
      </c>
      <c r="J1248" s="39" t="n">
        <v>399</v>
      </c>
      <c r="K1248" s="37" t="s">
        <v>322</v>
      </c>
      <c r="L1248" s="39" t="n">
        <v>101.31</v>
      </c>
      <c r="M1248" s="39" t="n">
        <v>70</v>
      </c>
      <c r="N1248" s="39" t="n">
        <f aca="false">J1248*Resumo!$C$7</f>
        <v>0.798</v>
      </c>
      <c r="O1248" s="39" t="n">
        <f aca="false">J1248*Resumo!$C$8</f>
        <v>0.798</v>
      </c>
      <c r="P1248" s="39" t="n">
        <f aca="false">Resumo!$C$10*CEILING(I1248/100,1)</f>
        <v>1</v>
      </c>
      <c r="Q1248" s="39" t="n">
        <f aca="false">Resumo!$C$9</f>
        <v>11.9</v>
      </c>
      <c r="R1248" s="39" t="n">
        <f aca="false">SUM(M1248:Q1248)*Resumo!$C$11</f>
        <v>4.64728</v>
      </c>
      <c r="S1248" s="39" t="n">
        <f aca="false">SUM(M1248:R1248)</f>
        <v>89.14328</v>
      </c>
      <c r="T1248" s="39" t="n">
        <f aca="false">S1248/(1-Resumo!$C$5)</f>
        <v>101.299181818182</v>
      </c>
      <c r="U1248" s="39" t="n">
        <v>82.21</v>
      </c>
      <c r="V1248" s="39" t="n">
        <f aca="false">J1248*Resumo!$B$6</f>
        <v>0.399</v>
      </c>
      <c r="W1248" s="39" t="n">
        <f aca="false">J1248*Resumo!$B$7</f>
        <v>0.798</v>
      </c>
      <c r="X1248" s="39" t="n">
        <f aca="false">Resumo!$B$9</f>
        <v>1</v>
      </c>
      <c r="Y1248" s="39" t="n">
        <f aca="false">Resumo!$B$10*CEILING(I1248/100,1)</f>
        <v>4.5</v>
      </c>
      <c r="Z1248" s="39" t="n">
        <f aca="false">Resumo!$B$12*CEILING(I1248,1)</f>
        <v>1.86</v>
      </c>
      <c r="AA1248" s="39" t="n">
        <f aca="false">Resumo!$B$13*CEILING(I1248,1)</f>
        <v>13.95</v>
      </c>
      <c r="AB1248" s="39" t="n">
        <f aca="false">SUM(U1248:AA1248)</f>
        <v>104.717</v>
      </c>
      <c r="AC1248" s="39" t="n">
        <f aca="false">AB1248/(1-Resumo!$B$5)</f>
        <v>118.996590909091</v>
      </c>
      <c r="AD1248" s="39" t="n">
        <f aca="false">(AB1248-AA1248)/(1-Resumo!$B$5)</f>
        <v>103.144318181818</v>
      </c>
      <c r="AE1248" s="39" t="n">
        <f aca="false">AC1248-T1248</f>
        <v>17.6974090909091</v>
      </c>
      <c r="AF1248" s="40" t="n">
        <f aca="false">AC1248/T1248-1</f>
        <v>0.174704363581865</v>
      </c>
      <c r="AG1248" s="37" t="str">
        <f aca="false">IF(AC1248&lt;T1248,"SIM","NÃO")</f>
        <v>NÃO</v>
      </c>
      <c r="AH1248" s="37" t="n">
        <v>10</v>
      </c>
      <c r="AI1248" s="37" t="n">
        <v>5</v>
      </c>
      <c r="AJ1248" s="37" t="s">
        <v>323</v>
      </c>
    </row>
    <row r="1249" customFormat="false" ht="15" hidden="false" customHeight="false" outlineLevel="0" collapsed="false">
      <c r="A1249" s="37" t="n">
        <v>379368051</v>
      </c>
      <c r="B1249" s="38" t="n">
        <v>46254.4180208333</v>
      </c>
      <c r="C1249" s="37" t="s">
        <v>320</v>
      </c>
      <c r="D1249" s="37" t="s">
        <v>1493</v>
      </c>
      <c r="E1249" s="37" t="n">
        <v>22790710</v>
      </c>
      <c r="F1249" s="37" t="s">
        <v>139</v>
      </c>
      <c r="G1249" s="37" t="s">
        <v>198</v>
      </c>
      <c r="H1249" s="37" t="s">
        <v>170</v>
      </c>
      <c r="I1249" s="37" t="n">
        <v>41</v>
      </c>
      <c r="J1249" s="39" t="n">
        <v>529.99</v>
      </c>
      <c r="K1249" s="37" t="s">
        <v>322</v>
      </c>
      <c r="L1249" s="39" t="n">
        <v>103.13</v>
      </c>
      <c r="M1249" s="39" t="n">
        <v>71</v>
      </c>
      <c r="N1249" s="39" t="n">
        <f aca="false">J1249*Resumo!$C$7</f>
        <v>1.05998</v>
      </c>
      <c r="O1249" s="39" t="n">
        <f aca="false">J1249*Resumo!$C$8</f>
        <v>1.05998</v>
      </c>
      <c r="P1249" s="39" t="n">
        <f aca="false">Resumo!$C$10*CEILING(I1249/100,1)</f>
        <v>1</v>
      </c>
      <c r="Q1249" s="39" t="n">
        <f aca="false">Resumo!$C$9</f>
        <v>11.9</v>
      </c>
      <c r="R1249" s="39" t="n">
        <f aca="false">SUM(M1249:Q1249)*Resumo!$C$11</f>
        <v>4.7310978</v>
      </c>
      <c r="S1249" s="39" t="n">
        <f aca="false">SUM(M1249:R1249)</f>
        <v>90.7510578</v>
      </c>
      <c r="T1249" s="39" t="n">
        <f aca="false">S1249/(1-Resumo!$C$5)</f>
        <v>103.126202045455</v>
      </c>
      <c r="U1249" s="39" t="n">
        <v>93.97</v>
      </c>
      <c r="V1249" s="39" t="n">
        <f aca="false">J1249*Resumo!$B$6</f>
        <v>0.52999</v>
      </c>
      <c r="W1249" s="39" t="n">
        <f aca="false">J1249*Resumo!$B$7</f>
        <v>1.05998</v>
      </c>
      <c r="X1249" s="39" t="n">
        <f aca="false">Resumo!$B$9</f>
        <v>1</v>
      </c>
      <c r="Y1249" s="39" t="n">
        <f aca="false">Resumo!$B$10*CEILING(I1249/100,1)</f>
        <v>4.5</v>
      </c>
      <c r="Z1249" s="39" t="n">
        <f aca="false">Resumo!$B$12*CEILING(I1249,1)</f>
        <v>2.46</v>
      </c>
      <c r="AA1249" s="39" t="n">
        <f aca="false">Resumo!$B$13*CEILING(I1249,1)</f>
        <v>18.45</v>
      </c>
      <c r="AB1249" s="39" t="n">
        <f aca="false">SUM(U1249:AA1249)</f>
        <v>121.96997</v>
      </c>
      <c r="AC1249" s="39" t="n">
        <f aca="false">AB1249/(1-Resumo!$B$5)</f>
        <v>138.602238636364</v>
      </c>
      <c r="AD1249" s="39" t="n">
        <f aca="false">(AB1249-AA1249)/(1-Resumo!$B$5)</f>
        <v>117.636329545455</v>
      </c>
      <c r="AE1249" s="39" t="n">
        <f aca="false">AC1249-T1249</f>
        <v>35.4760365909091</v>
      </c>
      <c r="AF1249" s="40" t="n">
        <f aca="false">AC1249/T1249-1</f>
        <v>0.344006041987976</v>
      </c>
      <c r="AG1249" s="37" t="str">
        <f aca="false">IF(AC1249&lt;T1249,"SIM","NÃO")</f>
        <v>NÃO</v>
      </c>
      <c r="AH1249" s="37" t="n">
        <v>8</v>
      </c>
      <c r="AI1249" s="37" t="n">
        <v>5</v>
      </c>
      <c r="AJ1249" s="37" t="s">
        <v>323</v>
      </c>
    </row>
    <row r="1250" customFormat="false" ht="15" hidden="false" customHeight="false" outlineLevel="0" collapsed="false">
      <c r="A1250" s="37" t="n">
        <v>379386179</v>
      </c>
      <c r="B1250" s="38" t="n">
        <v>46254.4486689815</v>
      </c>
      <c r="C1250" s="37" t="s">
        <v>320</v>
      </c>
      <c r="D1250" s="37" t="s">
        <v>1494</v>
      </c>
      <c r="E1250" s="37" t="n">
        <v>28570000</v>
      </c>
      <c r="F1250" s="37" t="s">
        <v>264</v>
      </c>
      <c r="G1250" s="37" t="s">
        <v>201</v>
      </c>
      <c r="H1250" s="37" t="s">
        <v>171</v>
      </c>
      <c r="I1250" s="37" t="n">
        <v>52.3</v>
      </c>
      <c r="J1250" s="39" t="n">
        <v>669.99</v>
      </c>
      <c r="K1250" s="37" t="s">
        <v>322</v>
      </c>
      <c r="L1250" s="39" t="n">
        <v>142.87</v>
      </c>
      <c r="M1250" s="39" t="n">
        <v>103.6</v>
      </c>
      <c r="N1250" s="39" t="n">
        <f aca="false">J1250*Resumo!$C$7</f>
        <v>1.33998</v>
      </c>
      <c r="O1250" s="39" t="n">
        <f aca="false">J1250*Resumo!$C$8</f>
        <v>1.33998</v>
      </c>
      <c r="P1250" s="39" t="n">
        <f aca="false">Resumo!$C$10*CEILING(I1250/100,1)</f>
        <v>1</v>
      </c>
      <c r="Q1250" s="39" t="n">
        <f aca="false">Resumo!$C$9</f>
        <v>11.9</v>
      </c>
      <c r="R1250" s="39" t="n">
        <f aca="false">SUM(M1250:Q1250)*Resumo!$C$11</f>
        <v>6.5548978</v>
      </c>
      <c r="S1250" s="39" t="n">
        <f aca="false">SUM(M1250:R1250)</f>
        <v>125.7348578</v>
      </c>
      <c r="T1250" s="39" t="n">
        <f aca="false">S1250/(1-Resumo!$C$5)</f>
        <v>142.880520227273</v>
      </c>
      <c r="U1250" s="39" t="n">
        <v>162.04</v>
      </c>
      <c r="V1250" s="39" t="n">
        <f aca="false">J1250*Resumo!$B$6</f>
        <v>0.66999</v>
      </c>
      <c r="W1250" s="39" t="n">
        <f aca="false">J1250*Resumo!$B$7</f>
        <v>1.33998</v>
      </c>
      <c r="X1250" s="39" t="n">
        <f aca="false">Resumo!$B$9</f>
        <v>1</v>
      </c>
      <c r="Y1250" s="39" t="n">
        <f aca="false">Resumo!$B$10*CEILING(I1250/100,1)</f>
        <v>4.5</v>
      </c>
      <c r="Z1250" s="39" t="n">
        <f aca="false">Resumo!$B$12*CEILING(I1250,1)</f>
        <v>3.18</v>
      </c>
      <c r="AA1250" s="39" t="n">
        <f aca="false">Resumo!$B$13*CEILING(I1250,1)</f>
        <v>23.85</v>
      </c>
      <c r="AB1250" s="39" t="n">
        <f aca="false">SUM(U1250:AA1250)</f>
        <v>196.57997</v>
      </c>
      <c r="AC1250" s="39" t="n">
        <f aca="false">AB1250/(1-Resumo!$B$5)</f>
        <v>223.386329545455</v>
      </c>
      <c r="AD1250" s="39" t="n">
        <f aca="false">(AB1250-AA1250)/(1-Resumo!$B$5)</f>
        <v>196.284056818182</v>
      </c>
      <c r="AE1250" s="39" t="n">
        <f aca="false">AC1250-T1250</f>
        <v>80.5058093181818</v>
      </c>
      <c r="AF1250" s="40" t="n">
        <f aca="false">AC1250/T1250-1</f>
        <v>0.563448461624617</v>
      </c>
      <c r="AG1250" s="37" t="str">
        <f aca="false">IF(AC1250&lt;T1250,"SIM","NÃO")</f>
        <v>NÃO</v>
      </c>
      <c r="AH1250" s="37" t="n">
        <v>13</v>
      </c>
      <c r="AI1250" s="37" t="n">
        <v>11</v>
      </c>
      <c r="AJ1250" s="37" t="s">
        <v>327</v>
      </c>
    </row>
    <row r="1251" customFormat="false" ht="15" hidden="false" customHeight="false" outlineLevel="0" collapsed="false">
      <c r="A1251" s="37" t="n">
        <v>379391208</v>
      </c>
      <c r="B1251" s="38" t="n">
        <v>46254.4569097222</v>
      </c>
      <c r="C1251" s="37" t="s">
        <v>320</v>
      </c>
      <c r="D1251" s="37" t="s">
        <v>1495</v>
      </c>
      <c r="E1251" s="37" t="n">
        <v>20540341</v>
      </c>
      <c r="F1251" s="37" t="s">
        <v>139</v>
      </c>
      <c r="G1251" s="37" t="s">
        <v>198</v>
      </c>
      <c r="H1251" s="37" t="s">
        <v>170</v>
      </c>
      <c r="I1251" s="37" t="n">
        <v>46.8</v>
      </c>
      <c r="J1251" s="39" t="n">
        <v>559.99</v>
      </c>
      <c r="K1251" s="37" t="s">
        <v>322</v>
      </c>
      <c r="L1251" s="39" t="n">
        <v>103.27</v>
      </c>
      <c r="M1251" s="39" t="n">
        <v>71</v>
      </c>
      <c r="N1251" s="39" t="n">
        <f aca="false">J1251*Resumo!$C$7</f>
        <v>1.11998</v>
      </c>
      <c r="O1251" s="39" t="n">
        <f aca="false">J1251*Resumo!$C$8</f>
        <v>1.11998</v>
      </c>
      <c r="P1251" s="39" t="n">
        <f aca="false">Resumo!$C$10*CEILING(I1251/100,1)</f>
        <v>1</v>
      </c>
      <c r="Q1251" s="39" t="n">
        <f aca="false">Resumo!$C$9</f>
        <v>11.9</v>
      </c>
      <c r="R1251" s="39" t="n">
        <f aca="false">SUM(M1251:Q1251)*Resumo!$C$11</f>
        <v>4.7376978</v>
      </c>
      <c r="S1251" s="39" t="n">
        <f aca="false">SUM(M1251:R1251)</f>
        <v>90.8776578</v>
      </c>
      <c r="T1251" s="39" t="n">
        <f aca="false">S1251/(1-Resumo!$C$5)</f>
        <v>103.270065681818</v>
      </c>
      <c r="U1251" s="39" t="n">
        <v>93.97</v>
      </c>
      <c r="V1251" s="39" t="n">
        <f aca="false">J1251*Resumo!$B$6</f>
        <v>0.55999</v>
      </c>
      <c r="W1251" s="39" t="n">
        <f aca="false">J1251*Resumo!$B$7</f>
        <v>1.11998</v>
      </c>
      <c r="X1251" s="39" t="n">
        <f aca="false">Resumo!$B$9</f>
        <v>1</v>
      </c>
      <c r="Y1251" s="39" t="n">
        <f aca="false">Resumo!$B$10*CEILING(I1251/100,1)</f>
        <v>4.5</v>
      </c>
      <c r="Z1251" s="39" t="n">
        <f aca="false">Resumo!$B$12*CEILING(I1251,1)</f>
        <v>2.82</v>
      </c>
      <c r="AA1251" s="39" t="n">
        <f aca="false">Resumo!$B$13*CEILING(I1251,1)</f>
        <v>21.15</v>
      </c>
      <c r="AB1251" s="39" t="n">
        <f aca="false">SUM(U1251:AA1251)</f>
        <v>125.11997</v>
      </c>
      <c r="AC1251" s="39" t="n">
        <f aca="false">AB1251/(1-Resumo!$B$5)</f>
        <v>142.181784090909</v>
      </c>
      <c r="AD1251" s="39" t="n">
        <f aca="false">(AB1251-AA1251)/(1-Resumo!$B$5)</f>
        <v>118.147693181818</v>
      </c>
      <c r="AE1251" s="39" t="n">
        <f aca="false">AC1251-T1251</f>
        <v>38.9117184090909</v>
      </c>
      <c r="AF1251" s="40" t="n">
        <f aca="false">AC1251/T1251-1</f>
        <v>0.376795716669538</v>
      </c>
      <c r="AG1251" s="37" t="str">
        <f aca="false">IF(AC1251&lt;T1251,"SIM","NÃO")</f>
        <v>NÃO</v>
      </c>
      <c r="AH1251" s="37" t="n">
        <v>8</v>
      </c>
      <c r="AI1251" s="37" t="n">
        <v>5</v>
      </c>
      <c r="AJ1251" s="37" t="s">
        <v>323</v>
      </c>
    </row>
    <row r="1252" customFormat="false" ht="15" hidden="false" customHeight="false" outlineLevel="0" collapsed="false">
      <c r="A1252" s="37" t="n">
        <v>379391894</v>
      </c>
      <c r="B1252" s="38" t="n">
        <v>46254.4578472222</v>
      </c>
      <c r="C1252" s="37" t="s">
        <v>325</v>
      </c>
      <c r="D1252" s="37" t="s">
        <v>1496</v>
      </c>
      <c r="E1252" s="37" t="n">
        <v>25555490</v>
      </c>
      <c r="F1252" s="37" t="s">
        <v>147</v>
      </c>
      <c r="G1252" s="37" t="s">
        <v>207</v>
      </c>
      <c r="H1252" s="37" t="s">
        <v>171</v>
      </c>
      <c r="I1252" s="37" t="n">
        <v>52.3</v>
      </c>
      <c r="J1252" s="39" t="n">
        <v>649.99</v>
      </c>
      <c r="K1252" s="37" t="s">
        <v>322</v>
      </c>
      <c r="L1252" s="39" t="n">
        <v>128.4</v>
      </c>
      <c r="M1252" s="39" t="n">
        <v>91.6</v>
      </c>
      <c r="N1252" s="39" t="n">
        <f aca="false">J1252*Resumo!$C$7</f>
        <v>1.29998</v>
      </c>
      <c r="O1252" s="39" t="n">
        <f aca="false">J1252*Resumo!$C$8</f>
        <v>1.29998</v>
      </c>
      <c r="P1252" s="39" t="n">
        <f aca="false">Resumo!$C$10*CEILING(I1252/100,1)</f>
        <v>1</v>
      </c>
      <c r="Q1252" s="39" t="n">
        <f aca="false">Resumo!$C$9</f>
        <v>11.9</v>
      </c>
      <c r="R1252" s="39" t="n">
        <f aca="false">SUM(M1252:Q1252)*Resumo!$C$11</f>
        <v>5.8904978</v>
      </c>
      <c r="S1252" s="39" t="n">
        <f aca="false">SUM(M1252:R1252)</f>
        <v>112.9904578</v>
      </c>
      <c r="T1252" s="39" t="n">
        <f aca="false">S1252/(1-Resumo!$C$5)</f>
        <v>128.3982475</v>
      </c>
      <c r="U1252" s="39" t="n">
        <v>112.3</v>
      </c>
      <c r="V1252" s="39" t="n">
        <f aca="false">J1252*Resumo!$B$6</f>
        <v>0.64999</v>
      </c>
      <c r="W1252" s="39" t="n">
        <f aca="false">J1252*Resumo!$B$7</f>
        <v>1.29998</v>
      </c>
      <c r="X1252" s="39" t="n">
        <f aca="false">Resumo!$B$9</f>
        <v>1</v>
      </c>
      <c r="Y1252" s="39" t="n">
        <f aca="false">Resumo!$B$10*CEILING(I1252/100,1)</f>
        <v>4.5</v>
      </c>
      <c r="Z1252" s="39" t="n">
        <f aca="false">Resumo!$B$12*CEILING(I1252,1)</f>
        <v>3.18</v>
      </c>
      <c r="AA1252" s="39" t="n">
        <f aca="false">Resumo!$B$13*CEILING(I1252,1)</f>
        <v>23.85</v>
      </c>
      <c r="AB1252" s="39" t="n">
        <f aca="false">SUM(U1252:AA1252)</f>
        <v>146.77997</v>
      </c>
      <c r="AC1252" s="39" t="n">
        <f aca="false">AB1252/(1-Resumo!$B$5)</f>
        <v>166.795420454545</v>
      </c>
      <c r="AD1252" s="39" t="n">
        <f aca="false">(AB1252-AA1252)/(1-Resumo!$B$5)</f>
        <v>139.693147727273</v>
      </c>
      <c r="AE1252" s="39" t="n">
        <f aca="false">AC1252-T1252</f>
        <v>38.3971729545455</v>
      </c>
      <c r="AF1252" s="40" t="n">
        <f aca="false">AC1252/T1252-1</f>
        <v>0.299047484698305</v>
      </c>
      <c r="AG1252" s="37" t="str">
        <f aca="false">IF(AC1252&lt;T1252,"SIM","NÃO")</f>
        <v>NÃO</v>
      </c>
      <c r="AH1252" s="37" t="n">
        <v>10</v>
      </c>
      <c r="AI1252" s="37" t="n">
        <v>5</v>
      </c>
      <c r="AJ1252" s="37" t="s">
        <v>323</v>
      </c>
    </row>
    <row r="1253" customFormat="false" ht="15" hidden="false" customHeight="false" outlineLevel="0" collapsed="false">
      <c r="A1253" s="37" t="n">
        <v>379393628</v>
      </c>
      <c r="B1253" s="38" t="n">
        <v>46254.46125</v>
      </c>
      <c r="C1253" s="37" t="s">
        <v>320</v>
      </c>
      <c r="D1253" s="37" t="s">
        <v>1497</v>
      </c>
      <c r="E1253" s="37" t="n">
        <v>21520030</v>
      </c>
      <c r="F1253" s="37" t="s">
        <v>139</v>
      </c>
      <c r="G1253" s="37" t="s">
        <v>198</v>
      </c>
      <c r="H1253" s="37" t="s">
        <v>167</v>
      </c>
      <c r="I1253" s="37" t="n">
        <v>19.5</v>
      </c>
      <c r="J1253" s="39" t="n">
        <v>499.99</v>
      </c>
      <c r="K1253" s="37" t="s">
        <v>322</v>
      </c>
      <c r="L1253" s="39" t="n">
        <v>65.61</v>
      </c>
      <c r="M1253" s="39" t="n">
        <v>39.83</v>
      </c>
      <c r="N1253" s="39" t="n">
        <f aca="false">J1253*Resumo!$C$7</f>
        <v>0.99998</v>
      </c>
      <c r="O1253" s="39" t="n">
        <f aca="false">J1253*Resumo!$C$8</f>
        <v>0.99998</v>
      </c>
      <c r="P1253" s="39" t="n">
        <f aca="false">Resumo!$C$10*CEILING(I1253/100,1)</f>
        <v>1</v>
      </c>
      <c r="Q1253" s="39" t="n">
        <f aca="false">Resumo!$C$9</f>
        <v>11.9</v>
      </c>
      <c r="R1253" s="39" t="n">
        <f aca="false">SUM(M1253:Q1253)*Resumo!$C$11</f>
        <v>3.0101478</v>
      </c>
      <c r="S1253" s="39" t="n">
        <f aca="false">SUM(M1253:R1253)</f>
        <v>57.7401078</v>
      </c>
      <c r="T1253" s="39" t="n">
        <f aca="false">S1253/(1-Resumo!$C$5)</f>
        <v>65.6137588636364</v>
      </c>
      <c r="U1253" s="39" t="n">
        <v>46.98</v>
      </c>
      <c r="V1253" s="39" t="n">
        <f aca="false">J1253*Resumo!$B$6</f>
        <v>0.49999</v>
      </c>
      <c r="W1253" s="39" t="n">
        <f aca="false">J1253*Resumo!$B$7</f>
        <v>0.99998</v>
      </c>
      <c r="X1253" s="39" t="n">
        <f aca="false">Resumo!$B$9</f>
        <v>1</v>
      </c>
      <c r="Y1253" s="39" t="n">
        <f aca="false">Resumo!$B$10*CEILING(I1253/100,1)</f>
        <v>4.5</v>
      </c>
      <c r="Z1253" s="39" t="n">
        <f aca="false">Resumo!$B$12*CEILING(I1253,1)</f>
        <v>1.2</v>
      </c>
      <c r="AA1253" s="39" t="n">
        <f aca="false">Resumo!$B$13*CEILING(I1253,1)</f>
        <v>9</v>
      </c>
      <c r="AB1253" s="39" t="n">
        <f aca="false">SUM(U1253:AA1253)</f>
        <v>64.17997</v>
      </c>
      <c r="AC1253" s="39" t="n">
        <f aca="false">AB1253/(1-Resumo!$B$5)</f>
        <v>72.9317840909091</v>
      </c>
      <c r="AD1253" s="39" t="n">
        <f aca="false">(AB1253-AA1253)/(1-Resumo!$B$5)</f>
        <v>62.7045113636364</v>
      </c>
      <c r="AE1253" s="39" t="n">
        <f aca="false">AC1253-T1253</f>
        <v>7.31802522727273</v>
      </c>
      <c r="AF1253" s="40" t="n">
        <f aca="false">AC1253/T1253-1</f>
        <v>0.111531870053073</v>
      </c>
      <c r="AG1253" s="37" t="str">
        <f aca="false">IF(AC1253&lt;T1253,"SIM","NÃO")</f>
        <v>NÃO</v>
      </c>
      <c r="AH1253" s="37" t="n">
        <v>8</v>
      </c>
      <c r="AI1253" s="37" t="n">
        <v>5</v>
      </c>
      <c r="AJ1253" s="37" t="s">
        <v>323</v>
      </c>
    </row>
    <row r="1254" customFormat="false" ht="15" hidden="false" customHeight="false" outlineLevel="0" collapsed="false">
      <c r="A1254" s="37" t="n">
        <v>379394254</v>
      </c>
      <c r="B1254" s="38" t="n">
        <v>46254.4620138889</v>
      </c>
      <c r="C1254" s="37" t="s">
        <v>320</v>
      </c>
      <c r="D1254" s="37" t="s">
        <v>1498</v>
      </c>
      <c r="E1254" s="37" t="n">
        <v>21665090</v>
      </c>
      <c r="F1254" s="37" t="s">
        <v>139</v>
      </c>
      <c r="G1254" s="37" t="s">
        <v>198</v>
      </c>
      <c r="H1254" s="37" t="s">
        <v>170</v>
      </c>
      <c r="I1254" s="37" t="n">
        <v>48.3</v>
      </c>
      <c r="J1254" s="39" t="n">
        <v>449.99</v>
      </c>
      <c r="K1254" s="37" t="s">
        <v>322</v>
      </c>
      <c r="L1254" s="39" t="n">
        <v>102.74</v>
      </c>
      <c r="M1254" s="39" t="n">
        <v>71</v>
      </c>
      <c r="N1254" s="39" t="n">
        <f aca="false">J1254*Resumo!$C$7</f>
        <v>0.89998</v>
      </c>
      <c r="O1254" s="39" t="n">
        <f aca="false">J1254*Resumo!$C$8</f>
        <v>0.89998</v>
      </c>
      <c r="P1254" s="39" t="n">
        <f aca="false">Resumo!$C$10*CEILING(I1254/100,1)</f>
        <v>1</v>
      </c>
      <c r="Q1254" s="39" t="n">
        <f aca="false">Resumo!$C$9</f>
        <v>11.9</v>
      </c>
      <c r="R1254" s="39" t="n">
        <f aca="false">SUM(M1254:Q1254)*Resumo!$C$11</f>
        <v>4.7134978</v>
      </c>
      <c r="S1254" s="39" t="n">
        <f aca="false">SUM(M1254:R1254)</f>
        <v>90.4134578</v>
      </c>
      <c r="T1254" s="39" t="n">
        <f aca="false">S1254/(1-Resumo!$C$5)</f>
        <v>102.742565681818</v>
      </c>
      <c r="U1254" s="39" t="n">
        <v>93.97</v>
      </c>
      <c r="V1254" s="39" t="n">
        <f aca="false">J1254*Resumo!$B$6</f>
        <v>0.44999</v>
      </c>
      <c r="W1254" s="39" t="n">
        <f aca="false">J1254*Resumo!$B$7</f>
        <v>0.89998</v>
      </c>
      <c r="X1254" s="39" t="n">
        <f aca="false">Resumo!$B$9</f>
        <v>1</v>
      </c>
      <c r="Y1254" s="39" t="n">
        <f aca="false">Resumo!$B$10*CEILING(I1254/100,1)</f>
        <v>4.5</v>
      </c>
      <c r="Z1254" s="39" t="n">
        <f aca="false">Resumo!$B$12*CEILING(I1254,1)</f>
        <v>2.94</v>
      </c>
      <c r="AA1254" s="39" t="n">
        <f aca="false">Resumo!$B$13*CEILING(I1254,1)</f>
        <v>22.05</v>
      </c>
      <c r="AB1254" s="39" t="n">
        <f aca="false">SUM(U1254:AA1254)</f>
        <v>125.80997</v>
      </c>
      <c r="AC1254" s="39" t="n">
        <f aca="false">AB1254/(1-Resumo!$B$5)</f>
        <v>142.965875</v>
      </c>
      <c r="AD1254" s="39" t="n">
        <f aca="false">(AB1254-AA1254)/(1-Resumo!$B$5)</f>
        <v>117.909056818182</v>
      </c>
      <c r="AE1254" s="39" t="n">
        <f aca="false">AC1254-T1254</f>
        <v>40.2233093181818</v>
      </c>
      <c r="AF1254" s="40" t="n">
        <f aca="false">AC1254/T1254-1</f>
        <v>0.39149605668549</v>
      </c>
      <c r="AG1254" s="37" t="str">
        <f aca="false">IF(AC1254&lt;T1254,"SIM","NÃO")</f>
        <v>NÃO</v>
      </c>
      <c r="AH1254" s="37" t="n">
        <v>8</v>
      </c>
      <c r="AI1254" s="37" t="n">
        <v>5</v>
      </c>
      <c r="AJ1254" s="37" t="s">
        <v>323</v>
      </c>
    </row>
    <row r="1255" customFormat="false" ht="15" hidden="false" customHeight="false" outlineLevel="0" collapsed="false">
      <c r="A1255" s="37" t="n">
        <v>379408999</v>
      </c>
      <c r="B1255" s="38" t="n">
        <v>46254.4674537037</v>
      </c>
      <c r="C1255" s="37" t="s">
        <v>517</v>
      </c>
      <c r="D1255" s="37" t="s">
        <v>1499</v>
      </c>
      <c r="E1255" s="37" t="n">
        <v>28982265</v>
      </c>
      <c r="F1255" s="37" t="s">
        <v>153</v>
      </c>
      <c r="G1255" s="37" t="s">
        <v>201</v>
      </c>
      <c r="H1255" s="37" t="s">
        <v>168</v>
      </c>
      <c r="I1255" s="37" t="n">
        <v>29.2</v>
      </c>
      <c r="J1255" s="39" t="n">
        <v>359.99</v>
      </c>
      <c r="K1255" s="37" t="s">
        <v>322</v>
      </c>
      <c r="L1255" s="39" t="n">
        <v>108.91</v>
      </c>
      <c r="M1255" s="39" t="n">
        <v>76.5</v>
      </c>
      <c r="N1255" s="39" t="n">
        <f aca="false">J1255*Resumo!$C$7</f>
        <v>0.71998</v>
      </c>
      <c r="O1255" s="39" t="n">
        <f aca="false">J1255*Resumo!$C$8</f>
        <v>0.71998</v>
      </c>
      <c r="P1255" s="39" t="n">
        <f aca="false">Resumo!$C$10*CEILING(I1255/100,1)</f>
        <v>1</v>
      </c>
      <c r="Q1255" s="39" t="n">
        <f aca="false">Resumo!$C$9</f>
        <v>11.9</v>
      </c>
      <c r="R1255" s="39" t="n">
        <f aca="false">SUM(M1255:Q1255)*Resumo!$C$11</f>
        <v>4.9961978</v>
      </c>
      <c r="S1255" s="39" t="n">
        <f aca="false">SUM(M1255:R1255)</f>
        <v>95.8361578</v>
      </c>
      <c r="T1255" s="39" t="n">
        <f aca="false">S1255/(1-Resumo!$C$5)</f>
        <v>108.904724772727</v>
      </c>
      <c r="U1255" s="39" t="n">
        <v>114.95</v>
      </c>
      <c r="V1255" s="39" t="n">
        <f aca="false">J1255*Resumo!$B$6</f>
        <v>0.35999</v>
      </c>
      <c r="W1255" s="39" t="n">
        <f aca="false">J1255*Resumo!$B$7</f>
        <v>0.71998</v>
      </c>
      <c r="X1255" s="39" t="n">
        <f aca="false">Resumo!$B$9</f>
        <v>1</v>
      </c>
      <c r="Y1255" s="39" t="n">
        <f aca="false">Resumo!$B$10*CEILING(I1255/100,1)</f>
        <v>4.5</v>
      </c>
      <c r="Z1255" s="39" t="n">
        <f aca="false">Resumo!$B$12*CEILING(I1255,1)</f>
        <v>1.8</v>
      </c>
      <c r="AA1255" s="39" t="n">
        <f aca="false">Resumo!$B$13*CEILING(I1255,1)</f>
        <v>13.5</v>
      </c>
      <c r="AB1255" s="39" t="n">
        <f aca="false">SUM(U1255:AA1255)</f>
        <v>136.82997</v>
      </c>
      <c r="AC1255" s="39" t="n">
        <f aca="false">AB1255/(1-Resumo!$B$5)</f>
        <v>155.488602272727</v>
      </c>
      <c r="AD1255" s="39" t="n">
        <f aca="false">(AB1255-AA1255)/(1-Resumo!$B$5)</f>
        <v>140.147693181818</v>
      </c>
      <c r="AE1255" s="39" t="n">
        <f aca="false">AC1255-T1255</f>
        <v>46.5838775</v>
      </c>
      <c r="AF1255" s="40" t="n">
        <f aca="false">AC1255/T1255-1</f>
        <v>0.427748911695206</v>
      </c>
      <c r="AG1255" s="37" t="str">
        <f aca="false">IF(AC1255&lt;T1255,"SIM","NÃO")</f>
        <v>NÃO</v>
      </c>
      <c r="AH1255" s="37" t="n">
        <v>13</v>
      </c>
      <c r="AI1255" s="37" t="n">
        <v>10</v>
      </c>
      <c r="AJ1255" s="37" t="s">
        <v>323</v>
      </c>
    </row>
    <row r="1256" customFormat="false" ht="15" hidden="false" customHeight="false" outlineLevel="0" collapsed="false">
      <c r="A1256" s="37" t="n">
        <v>379414120</v>
      </c>
      <c r="B1256" s="38" t="n">
        <v>46254.4969328704</v>
      </c>
      <c r="C1256" s="37" t="s">
        <v>320</v>
      </c>
      <c r="D1256" s="37" t="s">
        <v>1500</v>
      </c>
      <c r="E1256" s="37" t="n">
        <v>24856660</v>
      </c>
      <c r="F1256" s="37" t="s">
        <v>154</v>
      </c>
      <c r="G1256" s="37" t="s">
        <v>201</v>
      </c>
      <c r="H1256" s="37" t="s">
        <v>168</v>
      </c>
      <c r="I1256" s="37" t="n">
        <v>31.4</v>
      </c>
      <c r="J1256" s="39" t="n">
        <v>399.99</v>
      </c>
      <c r="K1256" s="37" t="s">
        <v>322</v>
      </c>
      <c r="L1256" s="39" t="n">
        <v>109.1</v>
      </c>
      <c r="M1256" s="39" t="n">
        <v>76.5</v>
      </c>
      <c r="N1256" s="39" t="n">
        <f aca="false">J1256*Resumo!$C$7</f>
        <v>0.79998</v>
      </c>
      <c r="O1256" s="39" t="n">
        <f aca="false">J1256*Resumo!$C$8</f>
        <v>0.79998</v>
      </c>
      <c r="P1256" s="39" t="n">
        <f aca="false">Resumo!$C$10*CEILING(I1256/100,1)</f>
        <v>1</v>
      </c>
      <c r="Q1256" s="39" t="n">
        <f aca="false">Resumo!$C$9</f>
        <v>11.9</v>
      </c>
      <c r="R1256" s="39" t="n">
        <f aca="false">SUM(M1256:Q1256)*Resumo!$C$11</f>
        <v>5.0049978</v>
      </c>
      <c r="S1256" s="39" t="n">
        <f aca="false">SUM(M1256:R1256)</f>
        <v>96.0049578</v>
      </c>
      <c r="T1256" s="39" t="n">
        <f aca="false">S1256/(1-Resumo!$C$5)</f>
        <v>109.096542954545</v>
      </c>
      <c r="U1256" s="39" t="n">
        <v>100.58</v>
      </c>
      <c r="V1256" s="39" t="n">
        <f aca="false">J1256*Resumo!$B$6</f>
        <v>0.39999</v>
      </c>
      <c r="W1256" s="39" t="n">
        <f aca="false">J1256*Resumo!$B$7</f>
        <v>0.79998</v>
      </c>
      <c r="X1256" s="39" t="n">
        <f aca="false">Resumo!$B$9</f>
        <v>1</v>
      </c>
      <c r="Y1256" s="39" t="n">
        <f aca="false">Resumo!$B$10*CEILING(I1256/100,1)</f>
        <v>4.5</v>
      </c>
      <c r="Z1256" s="39" t="n">
        <f aca="false">Resumo!$B$12*CEILING(I1256,1)</f>
        <v>1.92</v>
      </c>
      <c r="AA1256" s="39" t="n">
        <f aca="false">Resumo!$B$13*CEILING(I1256,1)</f>
        <v>14.4</v>
      </c>
      <c r="AB1256" s="39" t="n">
        <f aca="false">SUM(U1256:AA1256)</f>
        <v>123.59997</v>
      </c>
      <c r="AC1256" s="39" t="n">
        <f aca="false">AB1256/(1-Resumo!$B$5)</f>
        <v>140.454511363636</v>
      </c>
      <c r="AD1256" s="39" t="n">
        <f aca="false">(AB1256-AA1256)/(1-Resumo!$B$5)</f>
        <v>124.090875</v>
      </c>
      <c r="AE1256" s="39" t="n">
        <f aca="false">AC1256-T1256</f>
        <v>31.3579684090909</v>
      </c>
      <c r="AF1256" s="40" t="n">
        <f aca="false">AC1256/T1256-1</f>
        <v>0.287433199621697</v>
      </c>
      <c r="AG1256" s="37" t="str">
        <f aca="false">IF(AC1256&lt;T1256,"SIM","NÃO")</f>
        <v>NÃO</v>
      </c>
      <c r="AH1256" s="37" t="n">
        <v>13</v>
      </c>
      <c r="AI1256" s="37" t="n">
        <v>7</v>
      </c>
      <c r="AJ1256" s="37" t="s">
        <v>323</v>
      </c>
    </row>
    <row r="1257" customFormat="false" ht="15" hidden="false" customHeight="false" outlineLevel="0" collapsed="false">
      <c r="A1257" s="37" t="n">
        <v>379423360</v>
      </c>
      <c r="B1257" s="38" t="n">
        <v>46254.5118865741</v>
      </c>
      <c r="C1257" s="37" t="s">
        <v>320</v>
      </c>
      <c r="D1257" s="37" t="s">
        <v>1501</v>
      </c>
      <c r="E1257" s="37" t="n">
        <v>26553360</v>
      </c>
      <c r="F1257" s="37" t="s">
        <v>155</v>
      </c>
      <c r="G1257" s="37" t="s">
        <v>207</v>
      </c>
      <c r="H1257" s="37" t="s">
        <v>169</v>
      </c>
      <c r="I1257" s="37" t="n">
        <v>40</v>
      </c>
      <c r="J1257" s="39" t="n">
        <v>529.99</v>
      </c>
      <c r="K1257" s="37" t="s">
        <v>322</v>
      </c>
      <c r="L1257" s="39" t="n">
        <v>113.5</v>
      </c>
      <c r="M1257" s="39" t="n">
        <v>79.65</v>
      </c>
      <c r="N1257" s="39" t="n">
        <f aca="false">J1257*Resumo!$C$7</f>
        <v>1.05998</v>
      </c>
      <c r="O1257" s="39" t="n">
        <f aca="false">J1257*Resumo!$C$8</f>
        <v>1.05998</v>
      </c>
      <c r="P1257" s="39" t="n">
        <f aca="false">Resumo!$C$10*CEILING(I1257/100,1)</f>
        <v>1</v>
      </c>
      <c r="Q1257" s="39" t="n">
        <f aca="false">Resumo!$C$9</f>
        <v>11.9</v>
      </c>
      <c r="R1257" s="39" t="n">
        <f aca="false">SUM(M1257:Q1257)*Resumo!$C$11</f>
        <v>5.2068478</v>
      </c>
      <c r="S1257" s="39" t="n">
        <f aca="false">SUM(M1257:R1257)</f>
        <v>99.8768078</v>
      </c>
      <c r="T1257" s="39" t="n">
        <f aca="false">S1257/(1-Resumo!$C$5)</f>
        <v>113.4963725</v>
      </c>
      <c r="U1257" s="39" t="n">
        <v>93.97</v>
      </c>
      <c r="V1257" s="39" t="n">
        <f aca="false">J1257*Resumo!$B$6</f>
        <v>0.52999</v>
      </c>
      <c r="W1257" s="39" t="n">
        <f aca="false">J1257*Resumo!$B$7</f>
        <v>1.05998</v>
      </c>
      <c r="X1257" s="39" t="n">
        <f aca="false">Resumo!$B$9</f>
        <v>1</v>
      </c>
      <c r="Y1257" s="39" t="n">
        <f aca="false">Resumo!$B$10*CEILING(I1257/100,1)</f>
        <v>4.5</v>
      </c>
      <c r="Z1257" s="39" t="n">
        <f aca="false">Resumo!$B$12*CEILING(I1257,1)</f>
        <v>2.4</v>
      </c>
      <c r="AA1257" s="39" t="n">
        <f aca="false">Resumo!$B$13*CEILING(I1257,1)</f>
        <v>18</v>
      </c>
      <c r="AB1257" s="39" t="n">
        <f aca="false">SUM(U1257:AA1257)</f>
        <v>121.45997</v>
      </c>
      <c r="AC1257" s="39" t="n">
        <f aca="false">AB1257/(1-Resumo!$B$5)</f>
        <v>138.022693181818</v>
      </c>
      <c r="AD1257" s="39" t="n">
        <f aca="false">(AB1257-AA1257)/(1-Resumo!$B$5)</f>
        <v>117.568147727273</v>
      </c>
      <c r="AE1257" s="39" t="n">
        <f aca="false">AC1257-T1257</f>
        <v>24.5263206818182</v>
      </c>
      <c r="AF1257" s="40" t="n">
        <f aca="false">AC1257/T1257-1</f>
        <v>0.216097837680391</v>
      </c>
      <c r="AG1257" s="37" t="str">
        <f aca="false">IF(AC1257&lt;T1257,"SIM","NÃO")</f>
        <v>NÃO</v>
      </c>
      <c r="AH1257" s="37" t="n">
        <v>10</v>
      </c>
      <c r="AI1257" s="37" t="n">
        <v>5</v>
      </c>
      <c r="AJ1257" s="37" t="s">
        <v>323</v>
      </c>
    </row>
    <row r="1258" customFormat="false" ht="15" hidden="false" customHeight="false" outlineLevel="0" collapsed="false">
      <c r="A1258" s="37" t="n">
        <v>379425659</v>
      </c>
      <c r="B1258" s="38" t="n">
        <v>46254.5158333333</v>
      </c>
      <c r="C1258" s="37" t="s">
        <v>325</v>
      </c>
      <c r="D1258" s="37" t="s">
        <v>1502</v>
      </c>
      <c r="E1258" s="37" t="n">
        <v>28980816</v>
      </c>
      <c r="F1258" s="37" t="s">
        <v>153</v>
      </c>
      <c r="G1258" s="37" t="s">
        <v>201</v>
      </c>
      <c r="H1258" s="37" t="s">
        <v>169</v>
      </c>
      <c r="I1258" s="37" t="n">
        <v>37.5</v>
      </c>
      <c r="J1258" s="39" t="n">
        <v>389</v>
      </c>
      <c r="K1258" s="37" t="s">
        <v>322</v>
      </c>
      <c r="L1258" s="39" t="n">
        <v>122.11</v>
      </c>
      <c r="M1258" s="39" t="n">
        <v>87.4</v>
      </c>
      <c r="N1258" s="39" t="n">
        <f aca="false">J1258*Resumo!$C$7</f>
        <v>0.778</v>
      </c>
      <c r="O1258" s="39" t="n">
        <f aca="false">J1258*Resumo!$C$8</f>
        <v>0.778</v>
      </c>
      <c r="P1258" s="39" t="n">
        <f aca="false">Resumo!$C$10*CEILING(I1258/100,1)</f>
        <v>1</v>
      </c>
      <c r="Q1258" s="39" t="n">
        <f aca="false">Resumo!$C$9</f>
        <v>11.9</v>
      </c>
      <c r="R1258" s="39" t="n">
        <f aca="false">SUM(M1258:Q1258)*Resumo!$C$11</f>
        <v>5.60208</v>
      </c>
      <c r="S1258" s="39" t="n">
        <f aca="false">SUM(M1258:R1258)</f>
        <v>107.45808</v>
      </c>
      <c r="T1258" s="39" t="n">
        <f aca="false">S1258/(1-Resumo!$C$5)</f>
        <v>122.111454545455</v>
      </c>
      <c r="U1258" s="39" t="n">
        <v>124.38</v>
      </c>
      <c r="V1258" s="39" t="n">
        <f aca="false">J1258*Resumo!$B$6</f>
        <v>0.389</v>
      </c>
      <c r="W1258" s="39" t="n">
        <f aca="false">J1258*Resumo!$B$7</f>
        <v>0.778</v>
      </c>
      <c r="X1258" s="39" t="n">
        <f aca="false">Resumo!$B$9</f>
        <v>1</v>
      </c>
      <c r="Y1258" s="39" t="n">
        <f aca="false">Resumo!$B$10*CEILING(I1258/100,1)</f>
        <v>4.5</v>
      </c>
      <c r="Z1258" s="39" t="n">
        <f aca="false">Resumo!$B$12*CEILING(I1258,1)</f>
        <v>2.28</v>
      </c>
      <c r="AA1258" s="39" t="n">
        <f aca="false">Resumo!$B$13*CEILING(I1258,1)</f>
        <v>17.1</v>
      </c>
      <c r="AB1258" s="39" t="n">
        <f aca="false">SUM(U1258:AA1258)</f>
        <v>150.427</v>
      </c>
      <c r="AC1258" s="39" t="n">
        <f aca="false">AB1258/(1-Resumo!$B$5)</f>
        <v>170.939772727273</v>
      </c>
      <c r="AD1258" s="39" t="n">
        <f aca="false">(AB1258-AA1258)/(1-Resumo!$B$5)</f>
        <v>151.507954545455</v>
      </c>
      <c r="AE1258" s="39" t="n">
        <f aca="false">AC1258-T1258</f>
        <v>48.8283181818182</v>
      </c>
      <c r="AF1258" s="40" t="n">
        <f aca="false">AC1258/T1258-1</f>
        <v>0.399866813179614</v>
      </c>
      <c r="AG1258" s="37" t="str">
        <f aca="false">IF(AC1258&lt;T1258,"SIM","NÃO")</f>
        <v>NÃO</v>
      </c>
      <c r="AH1258" s="37" t="n">
        <v>13</v>
      </c>
      <c r="AI1258" s="37" t="n">
        <v>10</v>
      </c>
      <c r="AJ1258" s="37" t="s">
        <v>323</v>
      </c>
    </row>
    <row r="1259" customFormat="false" ht="15" hidden="false" customHeight="false" outlineLevel="0" collapsed="false">
      <c r="A1259" s="37" t="n">
        <v>379427296</v>
      </c>
      <c r="B1259" s="38" t="n">
        <v>46254.518599537</v>
      </c>
      <c r="C1259" s="37" t="s">
        <v>320</v>
      </c>
      <c r="D1259" s="37" t="s">
        <v>1503</v>
      </c>
      <c r="E1259" s="37" t="n">
        <v>26110260</v>
      </c>
      <c r="F1259" s="37" t="s">
        <v>145</v>
      </c>
      <c r="G1259" s="37" t="s">
        <v>207</v>
      </c>
      <c r="H1259" s="37" t="s">
        <v>171</v>
      </c>
      <c r="I1259" s="37" t="n">
        <v>60</v>
      </c>
      <c r="J1259" s="39" t="n">
        <v>849.99</v>
      </c>
      <c r="K1259" s="37" t="s">
        <v>322</v>
      </c>
      <c r="L1259" s="39" t="n">
        <v>129.35</v>
      </c>
      <c r="M1259" s="39" t="n">
        <v>91.6</v>
      </c>
      <c r="N1259" s="39" t="n">
        <f aca="false">J1259*Resumo!$C$7</f>
        <v>1.69998</v>
      </c>
      <c r="O1259" s="39" t="n">
        <f aca="false">J1259*Resumo!$C$8</f>
        <v>1.69998</v>
      </c>
      <c r="P1259" s="39" t="n">
        <f aca="false">Resumo!$C$10*CEILING(I1259/100,1)</f>
        <v>1</v>
      </c>
      <c r="Q1259" s="39" t="n">
        <f aca="false">Resumo!$C$9</f>
        <v>11.9</v>
      </c>
      <c r="R1259" s="39" t="n">
        <f aca="false">SUM(M1259:Q1259)*Resumo!$C$11</f>
        <v>5.9344978</v>
      </c>
      <c r="S1259" s="39" t="n">
        <f aca="false">SUM(M1259:R1259)</f>
        <v>113.8344578</v>
      </c>
      <c r="T1259" s="39" t="n">
        <f aca="false">S1259/(1-Resumo!$C$5)</f>
        <v>129.357338409091</v>
      </c>
      <c r="U1259" s="39" t="n">
        <v>112.3</v>
      </c>
      <c r="V1259" s="39" t="n">
        <f aca="false">J1259*Resumo!$B$6</f>
        <v>0.84999</v>
      </c>
      <c r="W1259" s="39" t="n">
        <f aca="false">J1259*Resumo!$B$7</f>
        <v>1.69998</v>
      </c>
      <c r="X1259" s="39" t="n">
        <f aca="false">Resumo!$B$9</f>
        <v>1</v>
      </c>
      <c r="Y1259" s="39" t="n">
        <f aca="false">Resumo!$B$10*CEILING(I1259/100,1)</f>
        <v>4.5</v>
      </c>
      <c r="Z1259" s="39" t="n">
        <f aca="false">Resumo!$B$12*CEILING(I1259,1)</f>
        <v>3.6</v>
      </c>
      <c r="AA1259" s="39" t="n">
        <f aca="false">Resumo!$B$13*CEILING(I1259,1)</f>
        <v>27</v>
      </c>
      <c r="AB1259" s="39" t="n">
        <f aca="false">SUM(U1259:AA1259)</f>
        <v>150.94997</v>
      </c>
      <c r="AC1259" s="39" t="n">
        <f aca="false">AB1259/(1-Resumo!$B$5)</f>
        <v>171.534056818182</v>
      </c>
      <c r="AD1259" s="39" t="n">
        <f aca="false">(AB1259-AA1259)/(1-Resumo!$B$5)</f>
        <v>140.852238636364</v>
      </c>
      <c r="AE1259" s="39" t="n">
        <f aca="false">AC1259-T1259</f>
        <v>42.1767184090909</v>
      </c>
      <c r="AF1259" s="40" t="n">
        <f aca="false">AC1259/T1259-1</f>
        <v>0.326048130920162</v>
      </c>
      <c r="AG1259" s="37" t="str">
        <f aca="false">IF(AC1259&lt;T1259,"SIM","NÃO")</f>
        <v>NÃO</v>
      </c>
      <c r="AH1259" s="37" t="n">
        <v>10</v>
      </c>
      <c r="AI1259" s="37" t="n">
        <v>5</v>
      </c>
      <c r="AJ1259" s="37" t="s">
        <v>323</v>
      </c>
    </row>
    <row r="1260" customFormat="false" ht="15" hidden="false" customHeight="false" outlineLevel="0" collapsed="false">
      <c r="A1260" s="37" t="n">
        <v>379453169</v>
      </c>
      <c r="B1260" s="38" t="n">
        <v>46254.5636226852</v>
      </c>
      <c r="C1260" s="37" t="s">
        <v>320</v>
      </c>
      <c r="D1260" s="37" t="s">
        <v>1504</v>
      </c>
      <c r="E1260" s="37" t="n">
        <v>28057290</v>
      </c>
      <c r="F1260" s="37" t="s">
        <v>144</v>
      </c>
      <c r="G1260" s="37" t="s">
        <v>201</v>
      </c>
      <c r="H1260" s="37" t="s">
        <v>170</v>
      </c>
      <c r="I1260" s="37" t="n">
        <v>41</v>
      </c>
      <c r="J1260" s="39" t="n">
        <v>529.99</v>
      </c>
      <c r="K1260" s="37" t="s">
        <v>322</v>
      </c>
      <c r="L1260" s="39" t="n">
        <v>130.7</v>
      </c>
      <c r="M1260" s="39" t="n">
        <v>94</v>
      </c>
      <c r="N1260" s="39" t="n">
        <f aca="false">J1260*Resumo!$C$7</f>
        <v>1.05998</v>
      </c>
      <c r="O1260" s="39" t="n">
        <f aca="false">J1260*Resumo!$C$8</f>
        <v>1.05998</v>
      </c>
      <c r="P1260" s="39" t="n">
        <f aca="false">Resumo!$C$10*CEILING(I1260/100,1)</f>
        <v>1</v>
      </c>
      <c r="Q1260" s="39" t="n">
        <f aca="false">Resumo!$C$9</f>
        <v>11.9</v>
      </c>
      <c r="R1260" s="39" t="n">
        <f aca="false">SUM(M1260:Q1260)*Resumo!$C$11</f>
        <v>5.9960978</v>
      </c>
      <c r="S1260" s="39" t="n">
        <f aca="false">SUM(M1260:R1260)</f>
        <v>115.0160578</v>
      </c>
      <c r="T1260" s="39" t="n">
        <f aca="false">S1260/(1-Resumo!$C$5)</f>
        <v>130.700065681818</v>
      </c>
      <c r="U1260" s="39" t="n">
        <v>152.54</v>
      </c>
      <c r="V1260" s="39" t="n">
        <f aca="false">J1260*Resumo!$B$6</f>
        <v>0.52999</v>
      </c>
      <c r="W1260" s="39" t="n">
        <f aca="false">J1260*Resumo!$B$7</f>
        <v>1.05998</v>
      </c>
      <c r="X1260" s="39" t="n">
        <f aca="false">Resumo!$B$9</f>
        <v>1</v>
      </c>
      <c r="Y1260" s="39" t="n">
        <f aca="false">Resumo!$B$10*CEILING(I1260/100,1)</f>
        <v>4.5</v>
      </c>
      <c r="Z1260" s="39" t="n">
        <f aca="false">Resumo!$B$12*CEILING(I1260,1)</f>
        <v>2.46</v>
      </c>
      <c r="AA1260" s="39" t="n">
        <f aca="false">Resumo!$B$13*CEILING(I1260,1)</f>
        <v>18.45</v>
      </c>
      <c r="AB1260" s="39" t="n">
        <f aca="false">SUM(U1260:AA1260)</f>
        <v>180.53997</v>
      </c>
      <c r="AC1260" s="39" t="n">
        <f aca="false">AB1260/(1-Resumo!$B$5)</f>
        <v>205.159056818182</v>
      </c>
      <c r="AD1260" s="39" t="n">
        <f aca="false">(AB1260-AA1260)/(1-Resumo!$B$5)</f>
        <v>184.193147727273</v>
      </c>
      <c r="AE1260" s="39" t="n">
        <f aca="false">AC1260-T1260</f>
        <v>74.4589911363636</v>
      </c>
      <c r="AF1260" s="40" t="n">
        <f aca="false">AC1260/T1260-1</f>
        <v>0.569693601513788</v>
      </c>
      <c r="AG1260" s="37" t="str">
        <f aca="false">IF(AC1260&lt;T1260,"SIM","NÃO")</f>
        <v>NÃO</v>
      </c>
      <c r="AH1260" s="37" t="n">
        <v>13</v>
      </c>
      <c r="AI1260" s="37" t="n">
        <v>11</v>
      </c>
      <c r="AJ1260" s="37" t="s">
        <v>323</v>
      </c>
    </row>
    <row r="1261" customFormat="false" ht="15" hidden="false" customHeight="false" outlineLevel="0" collapsed="false">
      <c r="A1261" s="37" t="n">
        <v>379463827</v>
      </c>
      <c r="B1261" s="38" t="n">
        <v>46254.5819791667</v>
      </c>
      <c r="C1261" s="37" t="s">
        <v>320</v>
      </c>
      <c r="D1261" s="37" t="s">
        <v>1505</v>
      </c>
      <c r="E1261" s="37" t="n">
        <v>26510140</v>
      </c>
      <c r="F1261" s="37" t="s">
        <v>224</v>
      </c>
      <c r="G1261" s="37" t="s">
        <v>207</v>
      </c>
      <c r="H1261" s="37" t="s">
        <v>171</v>
      </c>
      <c r="I1261" s="37" t="n">
        <v>52.3</v>
      </c>
      <c r="J1261" s="39" t="n">
        <v>669.99</v>
      </c>
      <c r="K1261" s="37" t="s">
        <v>322</v>
      </c>
      <c r="L1261" s="39" t="n">
        <v>128.49</v>
      </c>
      <c r="M1261" s="39" t="n">
        <v>91.6</v>
      </c>
      <c r="N1261" s="39" t="n">
        <f aca="false">J1261*Resumo!$C$7</f>
        <v>1.33998</v>
      </c>
      <c r="O1261" s="39" t="n">
        <f aca="false">J1261*Resumo!$C$8</f>
        <v>1.33998</v>
      </c>
      <c r="P1261" s="39" t="n">
        <f aca="false">Resumo!$C$10*CEILING(I1261/100,1)</f>
        <v>1</v>
      </c>
      <c r="Q1261" s="39" t="n">
        <f aca="false">Resumo!$C$9</f>
        <v>11.9</v>
      </c>
      <c r="R1261" s="39" t="n">
        <f aca="false">SUM(M1261:Q1261)*Resumo!$C$11</f>
        <v>5.8948978</v>
      </c>
      <c r="S1261" s="39" t="n">
        <f aca="false">SUM(M1261:R1261)</f>
        <v>113.0748578</v>
      </c>
      <c r="T1261" s="39" t="n">
        <f aca="false">S1261/(1-Resumo!$C$5)</f>
        <v>128.494156590909</v>
      </c>
      <c r="U1261" s="39" t="n">
        <v>112.3</v>
      </c>
      <c r="V1261" s="39" t="n">
        <f aca="false">J1261*Resumo!$B$6</f>
        <v>0.66999</v>
      </c>
      <c r="W1261" s="39" t="n">
        <f aca="false">J1261*Resumo!$B$7</f>
        <v>1.33998</v>
      </c>
      <c r="X1261" s="39" t="n">
        <f aca="false">Resumo!$B$9</f>
        <v>1</v>
      </c>
      <c r="Y1261" s="39" t="n">
        <f aca="false">Resumo!$B$10*CEILING(I1261/100,1)</f>
        <v>4.5</v>
      </c>
      <c r="Z1261" s="39" t="n">
        <f aca="false">Resumo!$B$12*CEILING(I1261,1)</f>
        <v>3.18</v>
      </c>
      <c r="AA1261" s="39" t="n">
        <f aca="false">Resumo!$B$13*CEILING(I1261,1)</f>
        <v>23.85</v>
      </c>
      <c r="AB1261" s="39" t="n">
        <f aca="false">SUM(U1261:AA1261)</f>
        <v>146.83997</v>
      </c>
      <c r="AC1261" s="39" t="n">
        <f aca="false">AB1261/(1-Resumo!$B$5)</f>
        <v>166.863602272727</v>
      </c>
      <c r="AD1261" s="39" t="n">
        <f aca="false">(AB1261-AA1261)/(1-Resumo!$B$5)</f>
        <v>139.761329545455</v>
      </c>
      <c r="AE1261" s="39" t="n">
        <f aca="false">AC1261-T1261</f>
        <v>38.3694456818182</v>
      </c>
      <c r="AF1261" s="40" t="n">
        <f aca="false">AC1261/T1261-1</f>
        <v>0.29860848695226</v>
      </c>
      <c r="AG1261" s="37" t="str">
        <f aca="false">IF(AC1261&lt;T1261,"SIM","NÃO")</f>
        <v>NÃO</v>
      </c>
      <c r="AH1261" s="37" t="n">
        <v>10</v>
      </c>
      <c r="AI1261" s="37" t="n">
        <v>5</v>
      </c>
      <c r="AJ1261" s="37" t="s">
        <v>327</v>
      </c>
    </row>
    <row r="1262" customFormat="false" ht="15" hidden="false" customHeight="false" outlineLevel="0" collapsed="false">
      <c r="A1262" s="37" t="n">
        <v>379542415</v>
      </c>
      <c r="B1262" s="38" t="n">
        <v>46254.5851388889</v>
      </c>
      <c r="C1262" s="37" t="s">
        <v>325</v>
      </c>
      <c r="D1262" s="37" t="s">
        <v>1506</v>
      </c>
      <c r="E1262" s="37" t="n">
        <v>28800101</v>
      </c>
      <c r="F1262" s="37" t="s">
        <v>274</v>
      </c>
      <c r="G1262" s="37" t="s">
        <v>201</v>
      </c>
      <c r="H1262" s="37" t="s">
        <v>170</v>
      </c>
      <c r="I1262" s="37" t="n">
        <v>43.5</v>
      </c>
      <c r="J1262" s="39" t="n">
        <v>599.55</v>
      </c>
      <c r="K1262" s="37" t="s">
        <v>322</v>
      </c>
      <c r="L1262" s="39" t="n">
        <v>131.03</v>
      </c>
      <c r="M1262" s="39" t="n">
        <v>94</v>
      </c>
      <c r="N1262" s="39" t="n">
        <f aca="false">J1262*Resumo!$C$7</f>
        <v>1.1991</v>
      </c>
      <c r="O1262" s="39" t="n">
        <f aca="false">J1262*Resumo!$C$8</f>
        <v>1.1991</v>
      </c>
      <c r="P1262" s="39" t="n">
        <f aca="false">Resumo!$C$10*CEILING(I1262/100,1)</f>
        <v>1</v>
      </c>
      <c r="Q1262" s="39" t="n">
        <f aca="false">Resumo!$C$9</f>
        <v>11.9</v>
      </c>
      <c r="R1262" s="39" t="n">
        <f aca="false">SUM(M1262:Q1262)*Resumo!$C$11</f>
        <v>6.011401</v>
      </c>
      <c r="S1262" s="39" t="n">
        <f aca="false">SUM(M1262:R1262)</f>
        <v>115.309601</v>
      </c>
      <c r="T1262" s="39" t="n">
        <f aca="false">S1262/(1-Resumo!$C$5)</f>
        <v>131.0336375</v>
      </c>
      <c r="U1262" s="39" t="n">
        <v>114.95</v>
      </c>
      <c r="V1262" s="39" t="n">
        <f aca="false">J1262*Resumo!$B$6</f>
        <v>0.59955</v>
      </c>
      <c r="W1262" s="39" t="n">
        <f aca="false">J1262*Resumo!$B$7</f>
        <v>1.1991</v>
      </c>
      <c r="X1262" s="39" t="n">
        <f aca="false">Resumo!$B$9</f>
        <v>1</v>
      </c>
      <c r="Y1262" s="39" t="n">
        <f aca="false">Resumo!$B$10*CEILING(I1262/100,1)</f>
        <v>4.5</v>
      </c>
      <c r="Z1262" s="39" t="n">
        <f aca="false">Resumo!$B$12*CEILING(I1262,1)</f>
        <v>2.64</v>
      </c>
      <c r="AA1262" s="39" t="n">
        <f aca="false">Resumo!$B$13*CEILING(I1262,1)</f>
        <v>19.8</v>
      </c>
      <c r="AB1262" s="39" t="n">
        <f aca="false">SUM(U1262:AA1262)</f>
        <v>144.68865</v>
      </c>
      <c r="AC1262" s="39" t="n">
        <f aca="false">AB1262/(1-Resumo!$B$5)</f>
        <v>164.418920454545</v>
      </c>
      <c r="AD1262" s="39" t="n">
        <f aca="false">(AB1262-AA1262)/(1-Resumo!$B$5)</f>
        <v>141.918920454545</v>
      </c>
      <c r="AE1262" s="39" t="n">
        <f aca="false">AC1262-T1262</f>
        <v>33.3852829545455</v>
      </c>
      <c r="AF1262" s="40" t="n">
        <f aca="false">AC1262/T1262-1</f>
        <v>0.254784066072694</v>
      </c>
      <c r="AG1262" s="37" t="str">
        <f aca="false">IF(AC1262&lt;T1262,"SIM","NÃO")</f>
        <v>NÃO</v>
      </c>
      <c r="AH1262" s="37" t="n">
        <v>13</v>
      </c>
      <c r="AI1262" s="37" t="n">
        <v>7</v>
      </c>
      <c r="AJ1262" s="37" t="s">
        <v>327</v>
      </c>
    </row>
    <row r="1263" customFormat="false" ht="15" hidden="false" customHeight="false" outlineLevel="0" collapsed="false">
      <c r="A1263" s="37" t="n">
        <v>379466347</v>
      </c>
      <c r="B1263" s="38" t="n">
        <v>46254.5868171296</v>
      </c>
      <c r="C1263" s="37" t="s">
        <v>325</v>
      </c>
      <c r="D1263" s="37" t="s">
        <v>1507</v>
      </c>
      <c r="E1263" s="37" t="n">
        <v>21350250</v>
      </c>
      <c r="F1263" s="37" t="s">
        <v>139</v>
      </c>
      <c r="G1263" s="37" t="s">
        <v>198</v>
      </c>
      <c r="H1263" s="37" t="s">
        <v>173</v>
      </c>
      <c r="I1263" s="37" t="n">
        <v>74.4</v>
      </c>
      <c r="J1263" s="39" t="n">
        <v>879.99</v>
      </c>
      <c r="K1263" s="37" t="s">
        <v>322</v>
      </c>
      <c r="L1263" s="39" t="n">
        <v>136.69</v>
      </c>
      <c r="M1263" s="39" t="n">
        <v>97.6</v>
      </c>
      <c r="N1263" s="39" t="n">
        <f aca="false">J1263*Resumo!$C$7</f>
        <v>1.75998</v>
      </c>
      <c r="O1263" s="39" t="n">
        <f aca="false">J1263*Resumo!$C$8</f>
        <v>1.75998</v>
      </c>
      <c r="P1263" s="39" t="n">
        <f aca="false">Resumo!$C$10*CEILING(I1263/100,1)</f>
        <v>1</v>
      </c>
      <c r="Q1263" s="39" t="n">
        <f aca="false">Resumo!$C$9</f>
        <v>11.9</v>
      </c>
      <c r="R1263" s="39" t="n">
        <f aca="false">SUM(M1263:Q1263)*Resumo!$C$11</f>
        <v>6.2710978</v>
      </c>
      <c r="S1263" s="39" t="n">
        <f aca="false">SUM(M1263:R1263)</f>
        <v>120.2910578</v>
      </c>
      <c r="T1263" s="39" t="n">
        <f aca="false">S1263/(1-Resumo!$C$5)</f>
        <v>136.694383863636</v>
      </c>
      <c r="U1263" s="39" t="n">
        <v>134.39</v>
      </c>
      <c r="V1263" s="39" t="n">
        <f aca="false">J1263*Resumo!$B$6</f>
        <v>0.87999</v>
      </c>
      <c r="W1263" s="39" t="n">
        <f aca="false">J1263*Resumo!$B$7</f>
        <v>1.75998</v>
      </c>
      <c r="X1263" s="39" t="n">
        <f aca="false">Resumo!$B$9</f>
        <v>1</v>
      </c>
      <c r="Y1263" s="39" t="n">
        <f aca="false">Resumo!$B$10*CEILING(I1263/100,1)</f>
        <v>4.5</v>
      </c>
      <c r="Z1263" s="39" t="n">
        <f aca="false">Resumo!$B$12*CEILING(I1263,1)</f>
        <v>4.5</v>
      </c>
      <c r="AA1263" s="39" t="n">
        <f aca="false">Resumo!$B$13*CEILING(I1263,1)</f>
        <v>33.75</v>
      </c>
      <c r="AB1263" s="39" t="n">
        <f aca="false">SUM(U1263:AA1263)</f>
        <v>180.77997</v>
      </c>
      <c r="AC1263" s="39" t="n">
        <f aca="false">AB1263/(1-Resumo!$B$5)</f>
        <v>205.431784090909</v>
      </c>
      <c r="AD1263" s="39" t="n">
        <f aca="false">(AB1263-AA1263)/(1-Resumo!$B$5)</f>
        <v>167.079511363636</v>
      </c>
      <c r="AE1263" s="39" t="n">
        <f aca="false">AC1263-T1263</f>
        <v>68.7374002272727</v>
      </c>
      <c r="AF1263" s="40" t="n">
        <f aca="false">AC1263/T1263-1</f>
        <v>0.502854603711033</v>
      </c>
      <c r="AG1263" s="37" t="str">
        <f aca="false">IF(AC1263&lt;T1263,"SIM","NÃO")</f>
        <v>NÃO</v>
      </c>
      <c r="AH1263" s="37" t="n">
        <v>8</v>
      </c>
      <c r="AI1263" s="37" t="n">
        <v>5</v>
      </c>
      <c r="AJ1263" s="37" t="s">
        <v>323</v>
      </c>
    </row>
    <row r="1264" customFormat="false" ht="15" hidden="false" customHeight="false" outlineLevel="0" collapsed="false">
      <c r="A1264" s="37" t="n">
        <v>379466272</v>
      </c>
      <c r="B1264" s="38" t="n">
        <v>46254.586875</v>
      </c>
      <c r="C1264" s="37" t="s">
        <v>320</v>
      </c>
      <c r="D1264" s="37" t="s">
        <v>466</v>
      </c>
      <c r="E1264" s="37" t="n">
        <v>22765240</v>
      </c>
      <c r="F1264" s="37" t="s">
        <v>139</v>
      </c>
      <c r="G1264" s="37" t="s">
        <v>198</v>
      </c>
      <c r="H1264" s="37" t="s">
        <v>170</v>
      </c>
      <c r="I1264" s="37" t="n">
        <v>48.3</v>
      </c>
      <c r="J1264" s="39" t="n">
        <v>449.99</v>
      </c>
      <c r="K1264" s="37" t="s">
        <v>322</v>
      </c>
      <c r="L1264" s="39" t="n">
        <v>102.74</v>
      </c>
      <c r="M1264" s="39" t="n">
        <v>71</v>
      </c>
      <c r="N1264" s="39" t="n">
        <f aca="false">J1264*Resumo!$C$7</f>
        <v>0.89998</v>
      </c>
      <c r="O1264" s="39" t="n">
        <f aca="false">J1264*Resumo!$C$8</f>
        <v>0.89998</v>
      </c>
      <c r="P1264" s="39" t="n">
        <f aca="false">Resumo!$C$10*CEILING(I1264/100,1)</f>
        <v>1</v>
      </c>
      <c r="Q1264" s="39" t="n">
        <f aca="false">Resumo!$C$9</f>
        <v>11.9</v>
      </c>
      <c r="R1264" s="39" t="n">
        <f aca="false">SUM(M1264:Q1264)*Resumo!$C$11</f>
        <v>4.7134978</v>
      </c>
      <c r="S1264" s="39" t="n">
        <f aca="false">SUM(M1264:R1264)</f>
        <v>90.4134578</v>
      </c>
      <c r="T1264" s="39" t="n">
        <f aca="false">S1264/(1-Resumo!$C$5)</f>
        <v>102.742565681818</v>
      </c>
      <c r="U1264" s="39" t="n">
        <v>93.97</v>
      </c>
      <c r="V1264" s="39" t="n">
        <f aca="false">J1264*Resumo!$B$6</f>
        <v>0.44999</v>
      </c>
      <c r="W1264" s="39" t="n">
        <f aca="false">J1264*Resumo!$B$7</f>
        <v>0.89998</v>
      </c>
      <c r="X1264" s="39" t="n">
        <f aca="false">Resumo!$B$9</f>
        <v>1</v>
      </c>
      <c r="Y1264" s="39" t="n">
        <f aca="false">Resumo!$B$10*CEILING(I1264/100,1)</f>
        <v>4.5</v>
      </c>
      <c r="Z1264" s="39" t="n">
        <f aca="false">Resumo!$B$12*CEILING(I1264,1)</f>
        <v>2.94</v>
      </c>
      <c r="AA1264" s="39" t="n">
        <f aca="false">Resumo!$B$13*CEILING(I1264,1)</f>
        <v>22.05</v>
      </c>
      <c r="AB1264" s="39" t="n">
        <f aca="false">SUM(U1264:AA1264)</f>
        <v>125.80997</v>
      </c>
      <c r="AC1264" s="39" t="n">
        <f aca="false">AB1264/(1-Resumo!$B$5)</f>
        <v>142.965875</v>
      </c>
      <c r="AD1264" s="39" t="n">
        <f aca="false">(AB1264-AA1264)/(1-Resumo!$B$5)</f>
        <v>117.909056818182</v>
      </c>
      <c r="AE1264" s="39" t="n">
        <f aca="false">AC1264-T1264</f>
        <v>40.2233093181818</v>
      </c>
      <c r="AF1264" s="40" t="n">
        <f aca="false">AC1264/T1264-1</f>
        <v>0.39149605668549</v>
      </c>
      <c r="AG1264" s="37" t="str">
        <f aca="false">IF(AC1264&lt;T1264,"SIM","NÃO")</f>
        <v>NÃO</v>
      </c>
      <c r="AH1264" s="37" t="n">
        <v>8</v>
      </c>
      <c r="AI1264" s="37" t="n">
        <v>5</v>
      </c>
      <c r="AJ1264" s="37" t="s">
        <v>323</v>
      </c>
    </row>
    <row r="1265" customFormat="false" ht="15" hidden="false" customHeight="false" outlineLevel="0" collapsed="false">
      <c r="A1265" s="37" t="n">
        <v>379475538</v>
      </c>
      <c r="B1265" s="38" t="n">
        <v>46254.6011805556</v>
      </c>
      <c r="C1265" s="37" t="s">
        <v>320</v>
      </c>
      <c r="D1265" s="37" t="s">
        <v>1508</v>
      </c>
      <c r="E1265" s="37" t="n">
        <v>26086460</v>
      </c>
      <c r="F1265" s="37" t="s">
        <v>142</v>
      </c>
      <c r="G1265" s="37" t="s">
        <v>207</v>
      </c>
      <c r="H1265" s="37" t="s">
        <v>170</v>
      </c>
      <c r="I1265" s="37" t="n">
        <v>48.3</v>
      </c>
      <c r="J1265" s="39" t="n">
        <v>449.99</v>
      </c>
      <c r="K1265" s="37" t="s">
        <v>322</v>
      </c>
      <c r="L1265" s="39" t="n">
        <v>116.23</v>
      </c>
      <c r="M1265" s="39" t="n">
        <v>82.25</v>
      </c>
      <c r="N1265" s="39" t="n">
        <f aca="false">J1265*Resumo!$C$7</f>
        <v>0.89998</v>
      </c>
      <c r="O1265" s="39" t="n">
        <f aca="false">J1265*Resumo!$C$8</f>
        <v>0.89998</v>
      </c>
      <c r="P1265" s="39" t="n">
        <f aca="false">Resumo!$C$10*CEILING(I1265/100,1)</f>
        <v>1</v>
      </c>
      <c r="Q1265" s="39" t="n">
        <f aca="false">Resumo!$C$9</f>
        <v>11.9</v>
      </c>
      <c r="R1265" s="39" t="n">
        <f aca="false">SUM(M1265:Q1265)*Resumo!$C$11</f>
        <v>5.3322478</v>
      </c>
      <c r="S1265" s="39" t="n">
        <f aca="false">SUM(M1265:R1265)</f>
        <v>102.2822078</v>
      </c>
      <c r="T1265" s="39" t="n">
        <f aca="false">S1265/(1-Resumo!$C$5)</f>
        <v>116.229781590909</v>
      </c>
      <c r="U1265" s="39" t="n">
        <v>93.97</v>
      </c>
      <c r="V1265" s="39" t="n">
        <f aca="false">J1265*Resumo!$B$6</f>
        <v>0.44999</v>
      </c>
      <c r="W1265" s="39" t="n">
        <f aca="false">J1265*Resumo!$B$7</f>
        <v>0.89998</v>
      </c>
      <c r="X1265" s="39" t="n">
        <f aca="false">Resumo!$B$9</f>
        <v>1</v>
      </c>
      <c r="Y1265" s="39" t="n">
        <f aca="false">Resumo!$B$10*CEILING(I1265/100,1)</f>
        <v>4.5</v>
      </c>
      <c r="Z1265" s="39" t="n">
        <f aca="false">Resumo!$B$12*CEILING(I1265,1)</f>
        <v>2.94</v>
      </c>
      <c r="AA1265" s="39" t="n">
        <f aca="false">Resumo!$B$13*CEILING(I1265,1)</f>
        <v>22.05</v>
      </c>
      <c r="AB1265" s="39" t="n">
        <f aca="false">SUM(U1265:AA1265)</f>
        <v>125.80997</v>
      </c>
      <c r="AC1265" s="39" t="n">
        <f aca="false">AB1265/(1-Resumo!$B$5)</f>
        <v>142.965875</v>
      </c>
      <c r="AD1265" s="39" t="n">
        <f aca="false">(AB1265-AA1265)/(1-Resumo!$B$5)</f>
        <v>117.909056818182</v>
      </c>
      <c r="AE1265" s="39" t="n">
        <f aca="false">AC1265-T1265</f>
        <v>26.7360934090909</v>
      </c>
      <c r="AF1265" s="40" t="n">
        <f aca="false">AC1265/T1265-1</f>
        <v>0.230027907160604</v>
      </c>
      <c r="AG1265" s="37" t="str">
        <f aca="false">IF(AC1265&lt;T1265,"SIM","NÃO")</f>
        <v>NÃO</v>
      </c>
      <c r="AH1265" s="37" t="n">
        <v>10</v>
      </c>
      <c r="AI1265" s="37" t="n">
        <v>5</v>
      </c>
      <c r="AJ1265" s="37" t="s">
        <v>323</v>
      </c>
    </row>
    <row r="1266" customFormat="false" ht="15" hidden="false" customHeight="false" outlineLevel="0" collapsed="false">
      <c r="A1266" s="37" t="n">
        <v>379483261</v>
      </c>
      <c r="B1266" s="38" t="n">
        <v>46254.608587963</v>
      </c>
      <c r="C1266" s="37" t="s">
        <v>352</v>
      </c>
      <c r="D1266" s="37" t="s">
        <v>467</v>
      </c>
      <c r="E1266" s="37" t="n">
        <v>22763627</v>
      </c>
      <c r="F1266" s="37" t="s">
        <v>139</v>
      </c>
      <c r="G1266" s="37" t="s">
        <v>198</v>
      </c>
      <c r="H1266" s="37" t="s">
        <v>170</v>
      </c>
      <c r="I1266" s="37" t="n">
        <v>46.8</v>
      </c>
      <c r="J1266" s="39" t="n">
        <v>499.37</v>
      </c>
      <c r="K1266" s="37" t="s">
        <v>322</v>
      </c>
      <c r="L1266" s="39" t="n">
        <v>102.98</v>
      </c>
      <c r="M1266" s="39" t="n">
        <v>71</v>
      </c>
      <c r="N1266" s="39" t="n">
        <f aca="false">J1266*Resumo!$C$7</f>
        <v>0.99874</v>
      </c>
      <c r="O1266" s="39" t="n">
        <f aca="false">J1266*Resumo!$C$8</f>
        <v>0.99874</v>
      </c>
      <c r="P1266" s="39" t="n">
        <f aca="false">Resumo!$C$10*CEILING(I1266/100,1)</f>
        <v>1</v>
      </c>
      <c r="Q1266" s="39" t="n">
        <f aca="false">Resumo!$C$9</f>
        <v>11.9</v>
      </c>
      <c r="R1266" s="39" t="n">
        <f aca="false">SUM(M1266:Q1266)*Resumo!$C$11</f>
        <v>4.7243614</v>
      </c>
      <c r="S1266" s="39" t="n">
        <f aca="false">SUM(M1266:R1266)</f>
        <v>90.6218414</v>
      </c>
      <c r="T1266" s="39" t="n">
        <f aca="false">S1266/(1-Resumo!$C$5)</f>
        <v>102.979365227273</v>
      </c>
      <c r="U1266" s="39" t="n">
        <v>93.97</v>
      </c>
      <c r="V1266" s="39" t="n">
        <f aca="false">J1266*Resumo!$B$6</f>
        <v>0.49937</v>
      </c>
      <c r="W1266" s="39" t="n">
        <f aca="false">J1266*Resumo!$B$7</f>
        <v>0.99874</v>
      </c>
      <c r="X1266" s="39" t="n">
        <f aca="false">Resumo!$B$9</f>
        <v>1</v>
      </c>
      <c r="Y1266" s="39" t="n">
        <f aca="false">Resumo!$B$10*CEILING(I1266/100,1)</f>
        <v>4.5</v>
      </c>
      <c r="Z1266" s="39" t="n">
        <f aca="false">Resumo!$B$12*CEILING(I1266,1)</f>
        <v>2.82</v>
      </c>
      <c r="AA1266" s="39" t="n">
        <f aca="false">Resumo!$B$13*CEILING(I1266,1)</f>
        <v>21.15</v>
      </c>
      <c r="AB1266" s="39" t="n">
        <f aca="false">SUM(U1266:AA1266)</f>
        <v>124.93811</v>
      </c>
      <c r="AC1266" s="39" t="n">
        <f aca="false">AB1266/(1-Resumo!$B$5)</f>
        <v>141.975125</v>
      </c>
      <c r="AD1266" s="39" t="n">
        <f aca="false">(AB1266-AA1266)/(1-Resumo!$B$5)</f>
        <v>117.941034090909</v>
      </c>
      <c r="AE1266" s="39" t="n">
        <f aca="false">AC1266-T1266</f>
        <v>38.9957597727273</v>
      </c>
      <c r="AF1266" s="40" t="n">
        <f aca="false">AC1266/T1266-1</f>
        <v>0.378675472379002</v>
      </c>
      <c r="AG1266" s="37" t="str">
        <f aca="false">IF(AC1266&lt;T1266,"SIM","NÃO")</f>
        <v>NÃO</v>
      </c>
      <c r="AH1266" s="37" t="n">
        <v>8</v>
      </c>
      <c r="AI1266" s="37" t="n">
        <v>5</v>
      </c>
      <c r="AJ1266" s="37" t="s">
        <v>323</v>
      </c>
    </row>
    <row r="1267" customFormat="false" ht="15" hidden="false" customHeight="false" outlineLevel="0" collapsed="false">
      <c r="A1267" s="37" t="n">
        <v>379484552</v>
      </c>
      <c r="B1267" s="38" t="n">
        <v>46254.6122685185</v>
      </c>
      <c r="C1267" s="37" t="s">
        <v>320</v>
      </c>
      <c r="D1267" s="37" t="s">
        <v>1509</v>
      </c>
      <c r="E1267" s="37" t="n">
        <v>28070406</v>
      </c>
      <c r="F1267" s="37" t="s">
        <v>144</v>
      </c>
      <c r="G1267" s="37" t="s">
        <v>201</v>
      </c>
      <c r="H1267" s="37" t="s">
        <v>171</v>
      </c>
      <c r="I1267" s="37" t="n">
        <v>52.3</v>
      </c>
      <c r="J1267" s="39" t="n">
        <v>669.99</v>
      </c>
      <c r="K1267" s="37" t="s">
        <v>322</v>
      </c>
      <c r="L1267" s="39" t="n">
        <v>142.87</v>
      </c>
      <c r="M1267" s="39" t="n">
        <v>103.6</v>
      </c>
      <c r="N1267" s="39" t="n">
        <f aca="false">J1267*Resumo!$C$7</f>
        <v>1.33998</v>
      </c>
      <c r="O1267" s="39" t="n">
        <f aca="false">J1267*Resumo!$C$8</f>
        <v>1.33998</v>
      </c>
      <c r="P1267" s="39" t="n">
        <f aca="false">Resumo!$C$10*CEILING(I1267/100,1)</f>
        <v>1</v>
      </c>
      <c r="Q1267" s="39" t="n">
        <f aca="false">Resumo!$C$9</f>
        <v>11.9</v>
      </c>
      <c r="R1267" s="39" t="n">
        <f aca="false">SUM(M1267:Q1267)*Resumo!$C$11</f>
        <v>6.5548978</v>
      </c>
      <c r="S1267" s="39" t="n">
        <f aca="false">SUM(M1267:R1267)</f>
        <v>125.7348578</v>
      </c>
      <c r="T1267" s="39" t="n">
        <f aca="false">S1267/(1-Resumo!$C$5)</f>
        <v>142.880520227273</v>
      </c>
      <c r="U1267" s="39" t="n">
        <v>162.04</v>
      </c>
      <c r="V1267" s="39" t="n">
        <f aca="false">J1267*Resumo!$B$6</f>
        <v>0.66999</v>
      </c>
      <c r="W1267" s="39" t="n">
        <f aca="false">J1267*Resumo!$B$7</f>
        <v>1.33998</v>
      </c>
      <c r="X1267" s="39" t="n">
        <f aca="false">Resumo!$B$9</f>
        <v>1</v>
      </c>
      <c r="Y1267" s="39" t="n">
        <f aca="false">Resumo!$B$10*CEILING(I1267/100,1)</f>
        <v>4.5</v>
      </c>
      <c r="Z1267" s="39" t="n">
        <f aca="false">Resumo!$B$12*CEILING(I1267,1)</f>
        <v>3.18</v>
      </c>
      <c r="AA1267" s="39" t="n">
        <f aca="false">Resumo!$B$13*CEILING(I1267,1)</f>
        <v>23.85</v>
      </c>
      <c r="AB1267" s="39" t="n">
        <f aca="false">SUM(U1267:AA1267)</f>
        <v>196.57997</v>
      </c>
      <c r="AC1267" s="39" t="n">
        <f aca="false">AB1267/(1-Resumo!$B$5)</f>
        <v>223.386329545455</v>
      </c>
      <c r="AD1267" s="39" t="n">
        <f aca="false">(AB1267-AA1267)/(1-Resumo!$B$5)</f>
        <v>196.284056818182</v>
      </c>
      <c r="AE1267" s="39" t="n">
        <f aca="false">AC1267-T1267</f>
        <v>80.5058093181818</v>
      </c>
      <c r="AF1267" s="40" t="n">
        <f aca="false">AC1267/T1267-1</f>
        <v>0.563448461624617</v>
      </c>
      <c r="AG1267" s="37" t="str">
        <f aca="false">IF(AC1267&lt;T1267,"SIM","NÃO")</f>
        <v>NÃO</v>
      </c>
      <c r="AH1267" s="37" t="n">
        <v>13</v>
      </c>
      <c r="AI1267" s="37" t="n">
        <v>11</v>
      </c>
      <c r="AJ1267" s="37" t="s">
        <v>323</v>
      </c>
    </row>
    <row r="1268" customFormat="false" ht="15" hidden="false" customHeight="false" outlineLevel="0" collapsed="false">
      <c r="A1268" s="37" t="n">
        <v>379487360</v>
      </c>
      <c r="B1268" s="38" t="n">
        <v>46254.6159259259</v>
      </c>
      <c r="C1268" s="37" t="s">
        <v>320</v>
      </c>
      <c r="D1268" s="37" t="s">
        <v>1113</v>
      </c>
      <c r="E1268" s="37" t="n">
        <v>22641004</v>
      </c>
      <c r="F1268" s="37" t="s">
        <v>139</v>
      </c>
      <c r="G1268" s="37" t="s">
        <v>198</v>
      </c>
      <c r="H1268" s="37" t="s">
        <v>171</v>
      </c>
      <c r="I1268" s="37" t="n">
        <v>52.3</v>
      </c>
      <c r="J1268" s="39" t="n">
        <v>669.99</v>
      </c>
      <c r="K1268" s="37" t="s">
        <v>322</v>
      </c>
      <c r="L1268" s="39" t="n">
        <v>114.36</v>
      </c>
      <c r="M1268" s="39" t="n">
        <v>79.81</v>
      </c>
      <c r="N1268" s="39" t="n">
        <f aca="false">J1268*Resumo!$C$7</f>
        <v>1.33998</v>
      </c>
      <c r="O1268" s="39" t="n">
        <f aca="false">J1268*Resumo!$C$8</f>
        <v>1.33998</v>
      </c>
      <c r="P1268" s="39" t="n">
        <f aca="false">Resumo!$C$10*CEILING(I1268/100,1)</f>
        <v>1</v>
      </c>
      <c r="Q1268" s="39" t="n">
        <f aca="false">Resumo!$C$9</f>
        <v>11.9</v>
      </c>
      <c r="R1268" s="39" t="n">
        <f aca="false">SUM(M1268:Q1268)*Resumo!$C$11</f>
        <v>5.2464478</v>
      </c>
      <c r="S1268" s="39" t="n">
        <f aca="false">SUM(M1268:R1268)</f>
        <v>100.6364078</v>
      </c>
      <c r="T1268" s="39" t="n">
        <f aca="false">S1268/(1-Resumo!$C$5)</f>
        <v>114.359554318182</v>
      </c>
      <c r="U1268" s="39" t="n">
        <v>112.3</v>
      </c>
      <c r="V1268" s="39" t="n">
        <f aca="false">J1268*Resumo!$B$6</f>
        <v>0.66999</v>
      </c>
      <c r="W1268" s="39" t="n">
        <f aca="false">J1268*Resumo!$B$7</f>
        <v>1.33998</v>
      </c>
      <c r="X1268" s="39" t="n">
        <f aca="false">Resumo!$B$9</f>
        <v>1</v>
      </c>
      <c r="Y1268" s="39" t="n">
        <f aca="false">Resumo!$B$10*CEILING(I1268/100,1)</f>
        <v>4.5</v>
      </c>
      <c r="Z1268" s="39" t="n">
        <f aca="false">Resumo!$B$12*CEILING(I1268,1)</f>
        <v>3.18</v>
      </c>
      <c r="AA1268" s="39" t="n">
        <f aca="false">Resumo!$B$13*CEILING(I1268,1)</f>
        <v>23.85</v>
      </c>
      <c r="AB1268" s="39" t="n">
        <f aca="false">SUM(U1268:AA1268)</f>
        <v>146.83997</v>
      </c>
      <c r="AC1268" s="39" t="n">
        <f aca="false">AB1268/(1-Resumo!$B$5)</f>
        <v>166.863602272727</v>
      </c>
      <c r="AD1268" s="39" t="n">
        <f aca="false">(AB1268-AA1268)/(1-Resumo!$B$5)</f>
        <v>139.761329545455</v>
      </c>
      <c r="AE1268" s="39" t="n">
        <f aca="false">AC1268-T1268</f>
        <v>52.5040479545454</v>
      </c>
      <c r="AF1268" s="40" t="n">
        <f aca="false">AC1268/T1268-1</f>
        <v>0.459113786054673</v>
      </c>
      <c r="AG1268" s="37" t="str">
        <f aca="false">IF(AC1268&lt;T1268,"SIM","NÃO")</f>
        <v>NÃO</v>
      </c>
      <c r="AH1268" s="37" t="n">
        <v>8</v>
      </c>
      <c r="AI1268" s="37" t="n">
        <v>5</v>
      </c>
      <c r="AJ1268" s="37" t="s">
        <v>323</v>
      </c>
    </row>
    <row r="1269" customFormat="false" ht="15" hidden="false" customHeight="false" outlineLevel="0" collapsed="false">
      <c r="A1269" s="37" t="n">
        <v>379500061</v>
      </c>
      <c r="B1269" s="38" t="n">
        <v>46254.633125</v>
      </c>
      <c r="C1269" s="37" t="s">
        <v>320</v>
      </c>
      <c r="D1269" s="37" t="s">
        <v>1510</v>
      </c>
      <c r="E1269" s="37" t="n">
        <v>25035160</v>
      </c>
      <c r="F1269" s="37" t="s">
        <v>141</v>
      </c>
      <c r="G1269" s="37" t="s">
        <v>207</v>
      </c>
      <c r="H1269" s="37" t="s">
        <v>172</v>
      </c>
      <c r="I1269" s="37" t="n">
        <v>63.9</v>
      </c>
      <c r="J1269" s="39" t="n">
        <v>730.98</v>
      </c>
      <c r="K1269" s="37" t="s">
        <v>322</v>
      </c>
      <c r="L1269" s="39" t="n">
        <v>139.93</v>
      </c>
      <c r="M1269" s="39" t="n">
        <v>100.9</v>
      </c>
      <c r="N1269" s="39" t="n">
        <f aca="false">J1269*Resumo!$C$7</f>
        <v>1.46196</v>
      </c>
      <c r="O1269" s="39" t="n">
        <f aca="false">J1269*Resumo!$C$8</f>
        <v>1.46196</v>
      </c>
      <c r="P1269" s="39" t="n">
        <f aca="false">Resumo!$C$10*CEILING(I1269/100,1)</f>
        <v>1</v>
      </c>
      <c r="Q1269" s="39" t="n">
        <f aca="false">Resumo!$C$9</f>
        <v>11.9</v>
      </c>
      <c r="R1269" s="39" t="n">
        <f aca="false">SUM(M1269:Q1269)*Resumo!$C$11</f>
        <v>6.4198156</v>
      </c>
      <c r="S1269" s="39" t="n">
        <f aca="false">SUM(M1269:R1269)</f>
        <v>123.1437356</v>
      </c>
      <c r="T1269" s="39" t="n">
        <f aca="false">S1269/(1-Resumo!$C$5)</f>
        <v>139.936063181818</v>
      </c>
      <c r="U1269" s="39" t="n">
        <v>131.02</v>
      </c>
      <c r="V1269" s="39" t="n">
        <f aca="false">J1269*Resumo!$B$6</f>
        <v>0.73098</v>
      </c>
      <c r="W1269" s="39" t="n">
        <f aca="false">J1269*Resumo!$B$7</f>
        <v>1.46196</v>
      </c>
      <c r="X1269" s="39" t="n">
        <f aca="false">Resumo!$B$9</f>
        <v>1</v>
      </c>
      <c r="Y1269" s="39" t="n">
        <f aca="false">Resumo!$B$10*CEILING(I1269/100,1)</f>
        <v>4.5</v>
      </c>
      <c r="Z1269" s="39" t="n">
        <f aca="false">Resumo!$B$12*CEILING(I1269,1)</f>
        <v>3.84</v>
      </c>
      <c r="AA1269" s="39" t="n">
        <f aca="false">Resumo!$B$13*CEILING(I1269,1)</f>
        <v>28.8</v>
      </c>
      <c r="AB1269" s="39" t="n">
        <f aca="false">SUM(U1269:AA1269)</f>
        <v>171.35294</v>
      </c>
      <c r="AC1269" s="39" t="n">
        <f aca="false">AB1269/(1-Resumo!$B$5)</f>
        <v>194.71925</v>
      </c>
      <c r="AD1269" s="39" t="n">
        <f aca="false">(AB1269-AA1269)/(1-Resumo!$B$5)</f>
        <v>161.991977272727</v>
      </c>
      <c r="AE1269" s="39" t="n">
        <f aca="false">AC1269-T1269</f>
        <v>54.7831868181818</v>
      </c>
      <c r="AF1269" s="40" t="n">
        <f aca="false">AC1269/T1269-1</f>
        <v>0.391487266202439</v>
      </c>
      <c r="AG1269" s="37" t="str">
        <f aca="false">IF(AC1269&lt;T1269,"SIM","NÃO")</f>
        <v>NÃO</v>
      </c>
      <c r="AH1269" s="37" t="n">
        <v>10</v>
      </c>
      <c r="AI1269" s="37" t="n">
        <v>5</v>
      </c>
      <c r="AJ1269" s="37" t="s">
        <v>323</v>
      </c>
    </row>
    <row r="1270" customFormat="false" ht="15" hidden="false" customHeight="false" outlineLevel="0" collapsed="false">
      <c r="A1270" s="37" t="n">
        <v>379505098</v>
      </c>
      <c r="B1270" s="38" t="n">
        <v>46254.6410648148</v>
      </c>
      <c r="C1270" s="37" t="s">
        <v>320</v>
      </c>
      <c r="D1270" s="37" t="s">
        <v>1511</v>
      </c>
      <c r="E1270" s="37" t="n">
        <v>22750443</v>
      </c>
      <c r="F1270" s="37" t="s">
        <v>139</v>
      </c>
      <c r="G1270" s="37" t="s">
        <v>198</v>
      </c>
      <c r="H1270" s="37" t="s">
        <v>171</v>
      </c>
      <c r="I1270" s="37" t="n">
        <v>52.3</v>
      </c>
      <c r="J1270" s="39" t="n">
        <v>669.99</v>
      </c>
      <c r="K1270" s="37" t="s">
        <v>322</v>
      </c>
      <c r="L1270" s="39" t="n">
        <v>114.36</v>
      </c>
      <c r="M1270" s="39" t="n">
        <v>79.81</v>
      </c>
      <c r="N1270" s="39" t="n">
        <f aca="false">J1270*Resumo!$C$7</f>
        <v>1.33998</v>
      </c>
      <c r="O1270" s="39" t="n">
        <f aca="false">J1270*Resumo!$C$8</f>
        <v>1.33998</v>
      </c>
      <c r="P1270" s="39" t="n">
        <f aca="false">Resumo!$C$10*CEILING(I1270/100,1)</f>
        <v>1</v>
      </c>
      <c r="Q1270" s="39" t="n">
        <f aca="false">Resumo!$C$9</f>
        <v>11.9</v>
      </c>
      <c r="R1270" s="39" t="n">
        <f aca="false">SUM(M1270:Q1270)*Resumo!$C$11</f>
        <v>5.2464478</v>
      </c>
      <c r="S1270" s="39" t="n">
        <f aca="false">SUM(M1270:R1270)</f>
        <v>100.6364078</v>
      </c>
      <c r="T1270" s="39" t="n">
        <f aca="false">S1270/(1-Resumo!$C$5)</f>
        <v>114.359554318182</v>
      </c>
      <c r="U1270" s="39" t="n">
        <v>112.3</v>
      </c>
      <c r="V1270" s="39" t="n">
        <f aca="false">J1270*Resumo!$B$6</f>
        <v>0.66999</v>
      </c>
      <c r="W1270" s="39" t="n">
        <f aca="false">J1270*Resumo!$B$7</f>
        <v>1.33998</v>
      </c>
      <c r="X1270" s="39" t="n">
        <f aca="false">Resumo!$B$9</f>
        <v>1</v>
      </c>
      <c r="Y1270" s="39" t="n">
        <f aca="false">Resumo!$B$10*CEILING(I1270/100,1)</f>
        <v>4.5</v>
      </c>
      <c r="Z1270" s="39" t="n">
        <f aca="false">Resumo!$B$12*CEILING(I1270,1)</f>
        <v>3.18</v>
      </c>
      <c r="AA1270" s="39" t="n">
        <f aca="false">Resumo!$B$13*CEILING(I1270,1)</f>
        <v>23.85</v>
      </c>
      <c r="AB1270" s="39" t="n">
        <f aca="false">SUM(U1270:AA1270)</f>
        <v>146.83997</v>
      </c>
      <c r="AC1270" s="39" t="n">
        <f aca="false">AB1270/(1-Resumo!$B$5)</f>
        <v>166.863602272727</v>
      </c>
      <c r="AD1270" s="39" t="n">
        <f aca="false">(AB1270-AA1270)/(1-Resumo!$B$5)</f>
        <v>139.761329545455</v>
      </c>
      <c r="AE1270" s="39" t="n">
        <f aca="false">AC1270-T1270</f>
        <v>52.5040479545454</v>
      </c>
      <c r="AF1270" s="40" t="n">
        <f aca="false">AC1270/T1270-1</f>
        <v>0.459113786054673</v>
      </c>
      <c r="AG1270" s="37" t="str">
        <f aca="false">IF(AC1270&lt;T1270,"SIM","NÃO")</f>
        <v>NÃO</v>
      </c>
      <c r="AH1270" s="37" t="n">
        <v>8</v>
      </c>
      <c r="AI1270" s="37" t="n">
        <v>5</v>
      </c>
      <c r="AJ1270" s="37" t="s">
        <v>323</v>
      </c>
    </row>
    <row r="1271" customFormat="false" ht="15" hidden="false" customHeight="false" outlineLevel="0" collapsed="false">
      <c r="A1271" s="37" t="n">
        <v>379506040</v>
      </c>
      <c r="B1271" s="38" t="n">
        <v>46254.6428703704</v>
      </c>
      <c r="C1271" s="37" t="s">
        <v>325</v>
      </c>
      <c r="D1271" s="37" t="s">
        <v>1512</v>
      </c>
      <c r="E1271" s="37" t="n">
        <v>21020260</v>
      </c>
      <c r="F1271" s="37" t="s">
        <v>139</v>
      </c>
      <c r="G1271" s="37" t="s">
        <v>198</v>
      </c>
      <c r="H1271" s="37" t="s">
        <v>171</v>
      </c>
      <c r="I1271" s="37" t="n">
        <v>52.3</v>
      </c>
      <c r="J1271" s="39" t="n">
        <v>604.56</v>
      </c>
      <c r="K1271" s="37" t="s">
        <v>322</v>
      </c>
      <c r="L1271" s="39" t="n">
        <v>114.05</v>
      </c>
      <c r="M1271" s="39" t="n">
        <v>79.81</v>
      </c>
      <c r="N1271" s="39" t="n">
        <f aca="false">J1271*Resumo!$C$7</f>
        <v>1.20912</v>
      </c>
      <c r="O1271" s="39" t="n">
        <f aca="false">J1271*Resumo!$C$8</f>
        <v>1.20912</v>
      </c>
      <c r="P1271" s="39" t="n">
        <f aca="false">Resumo!$C$10*CEILING(I1271/100,1)</f>
        <v>1</v>
      </c>
      <c r="Q1271" s="39" t="n">
        <f aca="false">Resumo!$C$9</f>
        <v>11.9</v>
      </c>
      <c r="R1271" s="39" t="n">
        <f aca="false">SUM(M1271:Q1271)*Resumo!$C$11</f>
        <v>5.2320532</v>
      </c>
      <c r="S1271" s="39" t="n">
        <f aca="false">SUM(M1271:R1271)</f>
        <v>100.3602932</v>
      </c>
      <c r="T1271" s="39" t="n">
        <f aca="false">S1271/(1-Resumo!$C$5)</f>
        <v>114.045787727273</v>
      </c>
      <c r="U1271" s="39" t="n">
        <v>112.3</v>
      </c>
      <c r="V1271" s="39" t="n">
        <f aca="false">J1271*Resumo!$B$6</f>
        <v>0.60456</v>
      </c>
      <c r="W1271" s="39" t="n">
        <f aca="false">J1271*Resumo!$B$7</f>
        <v>1.20912</v>
      </c>
      <c r="X1271" s="39" t="n">
        <f aca="false">Resumo!$B$9</f>
        <v>1</v>
      </c>
      <c r="Y1271" s="39" t="n">
        <f aca="false">Resumo!$B$10*CEILING(I1271/100,1)</f>
        <v>4.5</v>
      </c>
      <c r="Z1271" s="39" t="n">
        <f aca="false">Resumo!$B$12*CEILING(I1271,1)</f>
        <v>3.18</v>
      </c>
      <c r="AA1271" s="39" t="n">
        <f aca="false">Resumo!$B$13*CEILING(I1271,1)</f>
        <v>23.85</v>
      </c>
      <c r="AB1271" s="39" t="n">
        <f aca="false">SUM(U1271:AA1271)</f>
        <v>146.64368</v>
      </c>
      <c r="AC1271" s="39" t="n">
        <f aca="false">AB1271/(1-Resumo!$B$5)</f>
        <v>166.640545454545</v>
      </c>
      <c r="AD1271" s="39" t="n">
        <f aca="false">(AB1271-AA1271)/(1-Resumo!$B$5)</f>
        <v>139.538272727273</v>
      </c>
      <c r="AE1271" s="39" t="n">
        <f aca="false">AC1271-T1271</f>
        <v>52.5947577272727</v>
      </c>
      <c r="AF1271" s="40" t="n">
        <f aca="false">AC1271/T1271-1</f>
        <v>0.461172295578746</v>
      </c>
      <c r="AG1271" s="37" t="str">
        <f aca="false">IF(AC1271&lt;T1271,"SIM","NÃO")</f>
        <v>NÃO</v>
      </c>
      <c r="AH1271" s="37" t="n">
        <v>8</v>
      </c>
      <c r="AI1271" s="37" t="n">
        <v>5</v>
      </c>
      <c r="AJ1271" s="37" t="s">
        <v>323</v>
      </c>
    </row>
    <row r="1272" customFormat="false" ht="15" hidden="false" customHeight="false" outlineLevel="0" collapsed="false">
      <c r="A1272" s="37" t="n">
        <v>379517052</v>
      </c>
      <c r="B1272" s="38" t="n">
        <v>46254.6625810185</v>
      </c>
      <c r="C1272" s="37" t="s">
        <v>359</v>
      </c>
      <c r="D1272" s="37" t="s">
        <v>1513</v>
      </c>
      <c r="E1272" s="37" t="n">
        <v>27213250</v>
      </c>
      <c r="F1272" s="37" t="s">
        <v>148</v>
      </c>
      <c r="G1272" s="37" t="s">
        <v>201</v>
      </c>
      <c r="H1272" s="37" t="s">
        <v>168</v>
      </c>
      <c r="I1272" s="37" t="n">
        <v>27.6</v>
      </c>
      <c r="J1272" s="39" t="n">
        <v>593.99</v>
      </c>
      <c r="K1272" s="37" t="s">
        <v>322</v>
      </c>
      <c r="L1272" s="39" t="n">
        <v>110.03</v>
      </c>
      <c r="M1272" s="39" t="n">
        <v>76.5</v>
      </c>
      <c r="N1272" s="39" t="n">
        <f aca="false">J1272*Resumo!$C$7</f>
        <v>1.18798</v>
      </c>
      <c r="O1272" s="39" t="n">
        <f aca="false">J1272*Resumo!$C$8</f>
        <v>1.18798</v>
      </c>
      <c r="P1272" s="39" t="n">
        <f aca="false">Resumo!$C$10*CEILING(I1272/100,1)</f>
        <v>1</v>
      </c>
      <c r="Q1272" s="39" t="n">
        <f aca="false">Resumo!$C$9</f>
        <v>11.9</v>
      </c>
      <c r="R1272" s="39" t="n">
        <f aca="false">SUM(M1272:Q1272)*Resumo!$C$11</f>
        <v>5.0476778</v>
      </c>
      <c r="S1272" s="39" t="n">
        <f aca="false">SUM(M1272:R1272)</f>
        <v>96.8236378</v>
      </c>
      <c r="T1272" s="39" t="n">
        <f aca="false">S1272/(1-Resumo!$C$5)</f>
        <v>110.026861136364</v>
      </c>
      <c r="U1272" s="39" t="n">
        <v>108.83</v>
      </c>
      <c r="V1272" s="39" t="n">
        <f aca="false">J1272*Resumo!$B$6</f>
        <v>0.59399</v>
      </c>
      <c r="W1272" s="39" t="n">
        <f aca="false">J1272*Resumo!$B$7</f>
        <v>1.18798</v>
      </c>
      <c r="X1272" s="39" t="n">
        <f aca="false">Resumo!$B$9</f>
        <v>1</v>
      </c>
      <c r="Y1272" s="39" t="n">
        <f aca="false">Resumo!$B$10*CEILING(I1272/100,1)</f>
        <v>4.5</v>
      </c>
      <c r="Z1272" s="39" t="n">
        <f aca="false">Resumo!$B$12*CEILING(I1272,1)</f>
        <v>1.68</v>
      </c>
      <c r="AA1272" s="39" t="n">
        <f aca="false">Resumo!$B$13*CEILING(I1272,1)</f>
        <v>12.6</v>
      </c>
      <c r="AB1272" s="39" t="n">
        <f aca="false">SUM(U1272:AA1272)</f>
        <v>130.39197</v>
      </c>
      <c r="AC1272" s="39" t="n">
        <f aca="false">AB1272/(1-Resumo!$B$5)</f>
        <v>148.172693181818</v>
      </c>
      <c r="AD1272" s="39" t="n">
        <f aca="false">(AB1272-AA1272)/(1-Resumo!$B$5)</f>
        <v>133.854511363636</v>
      </c>
      <c r="AE1272" s="39" t="n">
        <f aca="false">AC1272-T1272</f>
        <v>38.1458320454545</v>
      </c>
      <c r="AF1272" s="40" t="n">
        <f aca="false">AC1272/T1272-1</f>
        <v>0.346695630971221</v>
      </c>
      <c r="AG1272" s="37" t="str">
        <f aca="false">IF(AC1272&lt;T1272,"SIM","NÃO")</f>
        <v>NÃO</v>
      </c>
      <c r="AH1272" s="37" t="n">
        <v>13</v>
      </c>
      <c r="AI1272" s="37" t="n">
        <v>10</v>
      </c>
      <c r="AJ1272" s="37" t="s">
        <v>323</v>
      </c>
    </row>
    <row r="1273" customFormat="false" ht="15" hidden="false" customHeight="false" outlineLevel="0" collapsed="false">
      <c r="A1273" s="37" t="n">
        <v>379520540</v>
      </c>
      <c r="B1273" s="38" t="n">
        <v>46254.6690509259</v>
      </c>
      <c r="C1273" s="37" t="s">
        <v>320</v>
      </c>
      <c r="D1273" s="37" t="s">
        <v>1514</v>
      </c>
      <c r="E1273" s="37" t="n">
        <v>26042310</v>
      </c>
      <c r="F1273" s="37" t="s">
        <v>142</v>
      </c>
      <c r="G1273" s="37" t="s">
        <v>207</v>
      </c>
      <c r="H1273" s="37" t="s">
        <v>170</v>
      </c>
      <c r="I1273" s="37" t="n">
        <v>49.6</v>
      </c>
      <c r="J1273" s="39" t="n">
        <v>749.99</v>
      </c>
      <c r="K1273" s="37" t="s">
        <v>322</v>
      </c>
      <c r="L1273" s="39" t="n">
        <v>117.67</v>
      </c>
      <c r="M1273" s="39" t="n">
        <v>82.25</v>
      </c>
      <c r="N1273" s="39" t="n">
        <f aca="false">J1273*Resumo!$C$7</f>
        <v>1.49998</v>
      </c>
      <c r="O1273" s="39" t="n">
        <f aca="false">J1273*Resumo!$C$8</f>
        <v>1.49998</v>
      </c>
      <c r="P1273" s="39" t="n">
        <f aca="false">Resumo!$C$10*CEILING(I1273/100,1)</f>
        <v>1</v>
      </c>
      <c r="Q1273" s="39" t="n">
        <f aca="false">Resumo!$C$9</f>
        <v>11.9</v>
      </c>
      <c r="R1273" s="39" t="n">
        <f aca="false">SUM(M1273:Q1273)*Resumo!$C$11</f>
        <v>5.3982478</v>
      </c>
      <c r="S1273" s="39" t="n">
        <f aca="false">SUM(M1273:R1273)</f>
        <v>103.5482078</v>
      </c>
      <c r="T1273" s="39" t="n">
        <f aca="false">S1273/(1-Resumo!$C$5)</f>
        <v>117.668417954545</v>
      </c>
      <c r="U1273" s="39" t="n">
        <v>93.97</v>
      </c>
      <c r="V1273" s="39" t="n">
        <f aca="false">J1273*Resumo!$B$6</f>
        <v>0.74999</v>
      </c>
      <c r="W1273" s="39" t="n">
        <f aca="false">J1273*Resumo!$B$7</f>
        <v>1.49998</v>
      </c>
      <c r="X1273" s="39" t="n">
        <f aca="false">Resumo!$B$9</f>
        <v>1</v>
      </c>
      <c r="Y1273" s="39" t="n">
        <f aca="false">Resumo!$B$10*CEILING(I1273/100,1)</f>
        <v>4.5</v>
      </c>
      <c r="Z1273" s="39" t="n">
        <f aca="false">Resumo!$B$12*CEILING(I1273,1)</f>
        <v>3</v>
      </c>
      <c r="AA1273" s="39" t="n">
        <f aca="false">Resumo!$B$13*CEILING(I1273,1)</f>
        <v>22.5</v>
      </c>
      <c r="AB1273" s="39" t="n">
        <f aca="false">SUM(U1273:AA1273)</f>
        <v>127.21997</v>
      </c>
      <c r="AC1273" s="39" t="n">
        <f aca="false">AB1273/(1-Resumo!$B$5)</f>
        <v>144.568147727273</v>
      </c>
      <c r="AD1273" s="39" t="n">
        <f aca="false">(AB1273-AA1273)/(1-Resumo!$B$5)</f>
        <v>118.999965909091</v>
      </c>
      <c r="AE1273" s="39" t="n">
        <f aca="false">AC1273-T1273</f>
        <v>26.8997297727273</v>
      </c>
      <c r="AF1273" s="40" t="n">
        <f aca="false">AC1273/T1273-1</f>
        <v>0.228606199015257</v>
      </c>
      <c r="AG1273" s="37" t="str">
        <f aca="false">IF(AC1273&lt;T1273,"SIM","NÃO")</f>
        <v>NÃO</v>
      </c>
      <c r="AH1273" s="37" t="n">
        <v>10</v>
      </c>
      <c r="AI1273" s="37" t="n">
        <v>5</v>
      </c>
      <c r="AJ1273" s="37" t="s">
        <v>323</v>
      </c>
    </row>
    <row r="1274" customFormat="false" ht="15" hidden="false" customHeight="false" outlineLevel="0" collapsed="false">
      <c r="A1274" s="37" t="n">
        <v>379531388</v>
      </c>
      <c r="B1274" s="38" t="n">
        <v>46254.6900115741</v>
      </c>
      <c r="C1274" s="37" t="s">
        <v>325</v>
      </c>
      <c r="D1274" s="37" t="s">
        <v>1515</v>
      </c>
      <c r="E1274" s="37" t="n">
        <v>22451030</v>
      </c>
      <c r="F1274" s="37" t="s">
        <v>139</v>
      </c>
      <c r="G1274" s="37" t="s">
        <v>198</v>
      </c>
      <c r="H1274" s="37" t="s">
        <v>171</v>
      </c>
      <c r="I1274" s="37" t="n">
        <v>52.3</v>
      </c>
      <c r="J1274" s="39" t="n">
        <v>616.99</v>
      </c>
      <c r="K1274" s="37" t="s">
        <v>322</v>
      </c>
      <c r="L1274" s="39" t="n">
        <v>114.09</v>
      </c>
      <c r="M1274" s="39" t="n">
        <v>79.81</v>
      </c>
      <c r="N1274" s="39" t="n">
        <f aca="false">J1274*Resumo!$C$7</f>
        <v>1.23398</v>
      </c>
      <c r="O1274" s="39" t="n">
        <f aca="false">J1274*Resumo!$C$8</f>
        <v>1.23398</v>
      </c>
      <c r="P1274" s="39" t="n">
        <f aca="false">Resumo!$C$10*CEILING(I1274/100,1)</f>
        <v>1</v>
      </c>
      <c r="Q1274" s="39" t="n">
        <f aca="false">Resumo!$C$9</f>
        <v>11.9</v>
      </c>
      <c r="R1274" s="39" t="n">
        <f aca="false">SUM(M1274:Q1274)*Resumo!$C$11</f>
        <v>5.2347878</v>
      </c>
      <c r="S1274" s="39" t="n">
        <f aca="false">SUM(M1274:R1274)</f>
        <v>100.4127478</v>
      </c>
      <c r="T1274" s="39" t="n">
        <f aca="false">S1274/(1-Resumo!$C$5)</f>
        <v>114.105395227273</v>
      </c>
      <c r="U1274" s="39" t="n">
        <v>112.3</v>
      </c>
      <c r="V1274" s="39" t="n">
        <f aca="false">J1274*Resumo!$B$6</f>
        <v>0.61699</v>
      </c>
      <c r="W1274" s="39" t="n">
        <f aca="false">J1274*Resumo!$B$7</f>
        <v>1.23398</v>
      </c>
      <c r="X1274" s="39" t="n">
        <f aca="false">Resumo!$B$9</f>
        <v>1</v>
      </c>
      <c r="Y1274" s="39" t="n">
        <f aca="false">Resumo!$B$10*CEILING(I1274/100,1)</f>
        <v>4.5</v>
      </c>
      <c r="Z1274" s="39" t="n">
        <f aca="false">Resumo!$B$12*CEILING(I1274,1)</f>
        <v>3.18</v>
      </c>
      <c r="AA1274" s="39" t="n">
        <f aca="false">Resumo!$B$13*CEILING(I1274,1)</f>
        <v>23.85</v>
      </c>
      <c r="AB1274" s="39" t="n">
        <f aca="false">SUM(U1274:AA1274)</f>
        <v>146.68097</v>
      </c>
      <c r="AC1274" s="39" t="n">
        <f aca="false">AB1274/(1-Resumo!$B$5)</f>
        <v>166.682920454545</v>
      </c>
      <c r="AD1274" s="39" t="n">
        <f aca="false">(AB1274-AA1274)/(1-Resumo!$B$5)</f>
        <v>139.580647727273</v>
      </c>
      <c r="AE1274" s="39" t="n">
        <f aca="false">AC1274-T1274</f>
        <v>52.5775252272727</v>
      </c>
      <c r="AF1274" s="40" t="n">
        <f aca="false">AC1274/T1274-1</f>
        <v>0.46078036119633</v>
      </c>
      <c r="AG1274" s="37" t="str">
        <f aca="false">IF(AC1274&lt;T1274,"SIM","NÃO")</f>
        <v>NÃO</v>
      </c>
      <c r="AH1274" s="37" t="n">
        <v>8</v>
      </c>
      <c r="AI1274" s="37" t="n">
        <v>5</v>
      </c>
      <c r="AJ1274" s="37" t="s">
        <v>323</v>
      </c>
    </row>
    <row r="1275" customFormat="false" ht="15" hidden="false" customHeight="false" outlineLevel="0" collapsed="false">
      <c r="A1275" s="37" t="n">
        <v>379559166</v>
      </c>
      <c r="B1275" s="38" t="n">
        <v>46254.7420601852</v>
      </c>
      <c r="C1275" s="37" t="s">
        <v>325</v>
      </c>
      <c r="D1275" s="37" t="s">
        <v>1516</v>
      </c>
      <c r="E1275" s="37" t="n">
        <v>22420030</v>
      </c>
      <c r="F1275" s="37" t="s">
        <v>139</v>
      </c>
      <c r="G1275" s="37" t="s">
        <v>198</v>
      </c>
      <c r="H1275" s="37" t="s">
        <v>171</v>
      </c>
      <c r="I1275" s="37" t="n">
        <v>55</v>
      </c>
      <c r="J1275" s="39" t="n">
        <v>799.96</v>
      </c>
      <c r="K1275" s="37" t="s">
        <v>322</v>
      </c>
      <c r="L1275" s="39" t="n">
        <v>114.99</v>
      </c>
      <c r="M1275" s="39" t="n">
        <v>79.81</v>
      </c>
      <c r="N1275" s="39" t="n">
        <f aca="false">J1275*Resumo!$C$7</f>
        <v>1.59992</v>
      </c>
      <c r="O1275" s="39" t="n">
        <f aca="false">J1275*Resumo!$C$8</f>
        <v>1.59992</v>
      </c>
      <c r="P1275" s="39" t="n">
        <f aca="false">Resumo!$C$10*CEILING(I1275/100,1)</f>
        <v>1</v>
      </c>
      <c r="Q1275" s="39" t="n">
        <f aca="false">Resumo!$C$9</f>
        <v>11.9</v>
      </c>
      <c r="R1275" s="39" t="n">
        <f aca="false">SUM(M1275:Q1275)*Resumo!$C$11</f>
        <v>5.2750412</v>
      </c>
      <c r="S1275" s="39" t="n">
        <f aca="false">SUM(M1275:R1275)</f>
        <v>101.1848812</v>
      </c>
      <c r="T1275" s="39" t="n">
        <f aca="false">S1275/(1-Resumo!$C$5)</f>
        <v>114.982819545455</v>
      </c>
      <c r="U1275" s="39" t="n">
        <v>112.3</v>
      </c>
      <c r="V1275" s="39" t="n">
        <f aca="false">J1275*Resumo!$B$6</f>
        <v>0.79996</v>
      </c>
      <c r="W1275" s="39" t="n">
        <f aca="false">J1275*Resumo!$B$7</f>
        <v>1.59992</v>
      </c>
      <c r="X1275" s="39" t="n">
        <f aca="false">Resumo!$B$9</f>
        <v>1</v>
      </c>
      <c r="Y1275" s="39" t="n">
        <f aca="false">Resumo!$B$10*CEILING(I1275/100,1)</f>
        <v>4.5</v>
      </c>
      <c r="Z1275" s="39" t="n">
        <f aca="false">Resumo!$B$12*CEILING(I1275,1)</f>
        <v>3.3</v>
      </c>
      <c r="AA1275" s="39" t="n">
        <f aca="false">Resumo!$B$13*CEILING(I1275,1)</f>
        <v>24.75</v>
      </c>
      <c r="AB1275" s="39" t="n">
        <f aca="false">SUM(U1275:AA1275)</f>
        <v>148.24988</v>
      </c>
      <c r="AC1275" s="39" t="n">
        <f aca="false">AB1275/(1-Resumo!$B$5)</f>
        <v>168.465772727273</v>
      </c>
      <c r="AD1275" s="39" t="n">
        <f aca="false">(AB1275-AA1275)/(1-Resumo!$B$5)</f>
        <v>140.340772727273</v>
      </c>
      <c r="AE1275" s="39" t="n">
        <f aca="false">AC1275-T1275</f>
        <v>53.4829531818182</v>
      </c>
      <c r="AF1275" s="40" t="n">
        <f aca="false">AC1275/T1275-1</f>
        <v>0.465138647610528</v>
      </c>
      <c r="AG1275" s="37" t="str">
        <f aca="false">IF(AC1275&lt;T1275,"SIM","NÃO")</f>
        <v>NÃO</v>
      </c>
      <c r="AH1275" s="37" t="n">
        <v>8</v>
      </c>
      <c r="AI1275" s="37" t="n">
        <v>5</v>
      </c>
      <c r="AJ1275" s="37" t="s">
        <v>323</v>
      </c>
    </row>
    <row r="1276" customFormat="false" ht="15" hidden="false" customHeight="false" outlineLevel="0" collapsed="false">
      <c r="A1276" s="37" t="n">
        <v>379565278</v>
      </c>
      <c r="B1276" s="38" t="n">
        <v>46254.7513541667</v>
      </c>
      <c r="C1276" s="37" t="s">
        <v>352</v>
      </c>
      <c r="D1276" s="37" t="s">
        <v>1517</v>
      </c>
      <c r="E1276" s="37" t="n">
        <v>22795255</v>
      </c>
      <c r="F1276" s="37" t="s">
        <v>139</v>
      </c>
      <c r="G1276" s="37" t="s">
        <v>198</v>
      </c>
      <c r="H1276" s="37" t="s">
        <v>168</v>
      </c>
      <c r="I1276" s="37" t="n">
        <v>22.4</v>
      </c>
      <c r="J1276" s="39" t="n">
        <v>495.99</v>
      </c>
      <c r="K1276" s="37" t="s">
        <v>322</v>
      </c>
      <c r="L1276" s="39" t="n">
        <v>82.69</v>
      </c>
      <c r="M1276" s="39" t="n">
        <v>54.1</v>
      </c>
      <c r="N1276" s="39" t="n">
        <f aca="false">J1276*Resumo!$C$7</f>
        <v>0.99198</v>
      </c>
      <c r="O1276" s="39" t="n">
        <f aca="false">J1276*Resumo!$C$8</f>
        <v>0.99198</v>
      </c>
      <c r="P1276" s="39" t="n">
        <f aca="false">Resumo!$C$10*CEILING(I1276/100,1)</f>
        <v>1</v>
      </c>
      <c r="Q1276" s="39" t="n">
        <f aca="false">Resumo!$C$9</f>
        <v>11.9</v>
      </c>
      <c r="R1276" s="39" t="n">
        <f aca="false">SUM(M1276:Q1276)*Resumo!$C$11</f>
        <v>3.7941178</v>
      </c>
      <c r="S1276" s="39" t="n">
        <f aca="false">SUM(M1276:R1276)</f>
        <v>72.7780778</v>
      </c>
      <c r="T1276" s="39" t="n">
        <f aca="false">S1276/(1-Resumo!$C$5)</f>
        <v>82.7023611363636</v>
      </c>
      <c r="U1276" s="39" t="n">
        <v>82.21</v>
      </c>
      <c r="V1276" s="39" t="n">
        <f aca="false">J1276*Resumo!$B$6</f>
        <v>0.49599</v>
      </c>
      <c r="W1276" s="39" t="n">
        <f aca="false">J1276*Resumo!$B$7</f>
        <v>0.99198</v>
      </c>
      <c r="X1276" s="39" t="n">
        <f aca="false">Resumo!$B$9</f>
        <v>1</v>
      </c>
      <c r="Y1276" s="39" t="n">
        <f aca="false">Resumo!$B$10*CEILING(I1276/100,1)</f>
        <v>4.5</v>
      </c>
      <c r="Z1276" s="39" t="n">
        <f aca="false">Resumo!$B$12*CEILING(I1276,1)</f>
        <v>1.38</v>
      </c>
      <c r="AA1276" s="39" t="n">
        <f aca="false">Resumo!$B$13*CEILING(I1276,1)</f>
        <v>10.35</v>
      </c>
      <c r="AB1276" s="39" t="n">
        <f aca="false">SUM(U1276:AA1276)</f>
        <v>100.92797</v>
      </c>
      <c r="AC1276" s="39" t="n">
        <f aca="false">AB1276/(1-Resumo!$B$5)</f>
        <v>114.690875</v>
      </c>
      <c r="AD1276" s="39" t="n">
        <f aca="false">(AB1276-AA1276)/(1-Resumo!$B$5)</f>
        <v>102.929511363636</v>
      </c>
      <c r="AE1276" s="39" t="n">
        <f aca="false">AC1276-T1276</f>
        <v>31.9885138636364</v>
      </c>
      <c r="AF1276" s="40" t="n">
        <f aca="false">AC1276/T1276-1</f>
        <v>0.386790817385397</v>
      </c>
      <c r="AG1276" s="37" t="str">
        <f aca="false">IF(AC1276&lt;T1276,"SIM","NÃO")</f>
        <v>NÃO</v>
      </c>
      <c r="AH1276" s="37" t="n">
        <v>8</v>
      </c>
      <c r="AI1276" s="37" t="n">
        <v>5</v>
      </c>
      <c r="AJ1276" s="37" t="s">
        <v>323</v>
      </c>
    </row>
    <row r="1277" customFormat="false" ht="15" hidden="false" customHeight="false" outlineLevel="0" collapsed="false">
      <c r="A1277" s="37" t="n">
        <v>379575951</v>
      </c>
      <c r="B1277" s="38" t="n">
        <v>46254.7682291667</v>
      </c>
      <c r="C1277" s="37" t="s">
        <v>320</v>
      </c>
      <c r="D1277" s="37" t="s">
        <v>1518</v>
      </c>
      <c r="E1277" s="37" t="n">
        <v>28950800</v>
      </c>
      <c r="F1277" s="37" t="s">
        <v>279</v>
      </c>
      <c r="G1277" s="37" t="s">
        <v>201</v>
      </c>
      <c r="H1277" s="37" t="s">
        <v>172</v>
      </c>
      <c r="I1277" s="37" t="n">
        <v>63.9</v>
      </c>
      <c r="J1277" s="39" t="n">
        <v>730.98</v>
      </c>
      <c r="K1277" s="37" t="s">
        <v>322</v>
      </c>
      <c r="L1277" s="39" t="n">
        <v>155.51</v>
      </c>
      <c r="M1277" s="39" t="n">
        <v>113.9</v>
      </c>
      <c r="N1277" s="39" t="n">
        <f aca="false">J1277*Resumo!$C$7</f>
        <v>1.46196</v>
      </c>
      <c r="O1277" s="39" t="n">
        <f aca="false">J1277*Resumo!$C$8</f>
        <v>1.46196</v>
      </c>
      <c r="P1277" s="39" t="n">
        <f aca="false">Resumo!$C$10*CEILING(I1277/100,1)</f>
        <v>1</v>
      </c>
      <c r="Q1277" s="39" t="n">
        <f aca="false">Resumo!$C$9</f>
        <v>11.9</v>
      </c>
      <c r="R1277" s="39" t="n">
        <f aca="false">SUM(M1277:Q1277)*Resumo!$C$11</f>
        <v>7.1348156</v>
      </c>
      <c r="S1277" s="39" t="n">
        <f aca="false">SUM(M1277:R1277)</f>
        <v>136.8587356</v>
      </c>
      <c r="T1277" s="39" t="n">
        <f aca="false">S1277/(1-Resumo!$C$5)</f>
        <v>155.521290454545</v>
      </c>
      <c r="U1277" s="39" t="n">
        <v>166.05</v>
      </c>
      <c r="V1277" s="39" t="n">
        <f aca="false">J1277*Resumo!$B$6</f>
        <v>0.73098</v>
      </c>
      <c r="W1277" s="39" t="n">
        <f aca="false">J1277*Resumo!$B$7</f>
        <v>1.46196</v>
      </c>
      <c r="X1277" s="39" t="n">
        <f aca="false">Resumo!$B$9</f>
        <v>1</v>
      </c>
      <c r="Y1277" s="39" t="n">
        <f aca="false">Resumo!$B$10*CEILING(I1277/100,1)</f>
        <v>4.5</v>
      </c>
      <c r="Z1277" s="39" t="n">
        <f aca="false">Resumo!$B$12*CEILING(I1277,1)</f>
        <v>3.84</v>
      </c>
      <c r="AA1277" s="39" t="n">
        <f aca="false">Resumo!$B$13*CEILING(I1277,1)</f>
        <v>28.8</v>
      </c>
      <c r="AB1277" s="39" t="n">
        <f aca="false">SUM(U1277:AA1277)</f>
        <v>206.38294</v>
      </c>
      <c r="AC1277" s="39" t="n">
        <f aca="false">AB1277/(1-Resumo!$B$5)</f>
        <v>234.526068181818</v>
      </c>
      <c r="AD1277" s="39" t="n">
        <f aca="false">(AB1277-AA1277)/(1-Resumo!$B$5)</f>
        <v>201.798795454545</v>
      </c>
      <c r="AE1277" s="39" t="n">
        <f aca="false">AC1277-T1277</f>
        <v>79.0047777272728</v>
      </c>
      <c r="AF1277" s="40" t="n">
        <f aca="false">AC1277/T1277-1</f>
        <v>0.50799975679448</v>
      </c>
      <c r="AG1277" s="37" t="str">
        <f aca="false">IF(AC1277&lt;T1277,"SIM","NÃO")</f>
        <v>NÃO</v>
      </c>
      <c r="AH1277" s="37" t="n">
        <v>13</v>
      </c>
      <c r="AI1277" s="37" t="n">
        <v>10</v>
      </c>
      <c r="AJ1277" s="37" t="s">
        <v>327</v>
      </c>
    </row>
    <row r="1278" customFormat="false" ht="15" hidden="false" customHeight="false" outlineLevel="0" collapsed="false">
      <c r="A1278" s="37" t="n">
        <v>379595131</v>
      </c>
      <c r="B1278" s="38" t="n">
        <v>46254.7933680556</v>
      </c>
      <c r="C1278" s="37" t="s">
        <v>320</v>
      </c>
      <c r="D1278" s="37" t="s">
        <v>1519</v>
      </c>
      <c r="E1278" s="37" t="n">
        <v>26062025</v>
      </c>
      <c r="F1278" s="37" t="s">
        <v>142</v>
      </c>
      <c r="G1278" s="37" t="s">
        <v>207</v>
      </c>
      <c r="H1278" s="37" t="s">
        <v>169</v>
      </c>
      <c r="I1278" s="37" t="n">
        <v>37.2</v>
      </c>
      <c r="J1278" s="39" t="n">
        <v>399.99</v>
      </c>
      <c r="K1278" s="37" t="s">
        <v>322</v>
      </c>
      <c r="L1278" s="39" t="n">
        <v>112.88</v>
      </c>
      <c r="M1278" s="39" t="n">
        <v>79.65</v>
      </c>
      <c r="N1278" s="39" t="n">
        <f aca="false">J1278*Resumo!$C$7</f>
        <v>0.79998</v>
      </c>
      <c r="O1278" s="39" t="n">
        <f aca="false">J1278*Resumo!$C$8</f>
        <v>0.79998</v>
      </c>
      <c r="P1278" s="39" t="n">
        <f aca="false">Resumo!$C$10*CEILING(I1278/100,1)</f>
        <v>1</v>
      </c>
      <c r="Q1278" s="39" t="n">
        <f aca="false">Resumo!$C$9</f>
        <v>11.9</v>
      </c>
      <c r="R1278" s="39" t="n">
        <f aca="false">SUM(M1278:Q1278)*Resumo!$C$11</f>
        <v>5.1782478</v>
      </c>
      <c r="S1278" s="39" t="n">
        <f aca="false">SUM(M1278:R1278)</f>
        <v>99.3282078</v>
      </c>
      <c r="T1278" s="39" t="n">
        <f aca="false">S1278/(1-Resumo!$C$5)</f>
        <v>112.872963409091</v>
      </c>
      <c r="U1278" s="39" t="n">
        <v>93.97</v>
      </c>
      <c r="V1278" s="39" t="n">
        <f aca="false">J1278*Resumo!$B$6</f>
        <v>0.39999</v>
      </c>
      <c r="W1278" s="39" t="n">
        <f aca="false">J1278*Resumo!$B$7</f>
        <v>0.79998</v>
      </c>
      <c r="X1278" s="39" t="n">
        <f aca="false">Resumo!$B$9</f>
        <v>1</v>
      </c>
      <c r="Y1278" s="39" t="n">
        <f aca="false">Resumo!$B$10*CEILING(I1278/100,1)</f>
        <v>4.5</v>
      </c>
      <c r="Z1278" s="39" t="n">
        <f aca="false">Resumo!$B$12*CEILING(I1278,1)</f>
        <v>2.28</v>
      </c>
      <c r="AA1278" s="39" t="n">
        <f aca="false">Resumo!$B$13*CEILING(I1278,1)</f>
        <v>17.1</v>
      </c>
      <c r="AB1278" s="39" t="n">
        <f aca="false">SUM(U1278:AA1278)</f>
        <v>120.04997</v>
      </c>
      <c r="AC1278" s="39" t="n">
        <f aca="false">AB1278/(1-Resumo!$B$5)</f>
        <v>136.420420454545</v>
      </c>
      <c r="AD1278" s="39" t="n">
        <f aca="false">(AB1278-AA1278)/(1-Resumo!$B$5)</f>
        <v>116.988602272727</v>
      </c>
      <c r="AE1278" s="39" t="n">
        <f aca="false">AC1278-T1278</f>
        <v>23.5474570454545</v>
      </c>
      <c r="AF1278" s="40" t="n">
        <f aca="false">AC1278/T1278-1</f>
        <v>0.208619108901308</v>
      </c>
      <c r="AG1278" s="37" t="str">
        <f aca="false">IF(AC1278&lt;T1278,"SIM","NÃO")</f>
        <v>NÃO</v>
      </c>
      <c r="AH1278" s="37" t="n">
        <v>10</v>
      </c>
      <c r="AI1278" s="37" t="n">
        <v>5</v>
      </c>
      <c r="AJ1278" s="37" t="s">
        <v>323</v>
      </c>
    </row>
    <row r="1279" customFormat="false" ht="15" hidden="false" customHeight="false" outlineLevel="0" collapsed="false">
      <c r="A1279" s="37" t="n">
        <v>379602282</v>
      </c>
      <c r="B1279" s="38" t="n">
        <v>46254.8034953704</v>
      </c>
      <c r="C1279" s="37" t="s">
        <v>320</v>
      </c>
      <c r="D1279" s="37" t="s">
        <v>1520</v>
      </c>
      <c r="E1279" s="37" t="n">
        <v>23820390</v>
      </c>
      <c r="F1279" s="37" t="s">
        <v>200</v>
      </c>
      <c r="G1279" s="37" t="s">
        <v>201</v>
      </c>
      <c r="H1279" s="37" t="s">
        <v>170</v>
      </c>
      <c r="I1279" s="37" t="n">
        <v>45</v>
      </c>
      <c r="J1279" s="39" t="n">
        <v>599.99</v>
      </c>
      <c r="K1279" s="37" t="s">
        <v>322</v>
      </c>
      <c r="L1279" s="39" t="n">
        <v>131.03</v>
      </c>
      <c r="M1279" s="39" t="n">
        <v>94</v>
      </c>
      <c r="N1279" s="39" t="n">
        <f aca="false">J1279*Resumo!$C$7</f>
        <v>1.19998</v>
      </c>
      <c r="O1279" s="39" t="n">
        <f aca="false">J1279*Resumo!$C$8</f>
        <v>1.19998</v>
      </c>
      <c r="P1279" s="39" t="n">
        <f aca="false">Resumo!$C$10*CEILING(I1279/100,1)</f>
        <v>1</v>
      </c>
      <c r="Q1279" s="39" t="n">
        <f aca="false">Resumo!$C$9</f>
        <v>11.9</v>
      </c>
      <c r="R1279" s="39" t="n">
        <f aca="false">SUM(M1279:Q1279)*Resumo!$C$11</f>
        <v>6.0114978</v>
      </c>
      <c r="S1279" s="39" t="n">
        <f aca="false">SUM(M1279:R1279)</f>
        <v>115.3114578</v>
      </c>
      <c r="T1279" s="39" t="n">
        <f aca="false">S1279/(1-Resumo!$C$5)</f>
        <v>131.0357475</v>
      </c>
      <c r="U1279" s="39" t="n">
        <v>103.97</v>
      </c>
      <c r="V1279" s="39" t="n">
        <f aca="false">J1279*Resumo!$B$6</f>
        <v>0.59999</v>
      </c>
      <c r="W1279" s="39" t="n">
        <f aca="false">J1279*Resumo!$B$7</f>
        <v>1.19998</v>
      </c>
      <c r="X1279" s="39" t="n">
        <f aca="false">Resumo!$B$9</f>
        <v>1</v>
      </c>
      <c r="Y1279" s="39" t="n">
        <f aca="false">Resumo!$B$10*CEILING(I1279/100,1)</f>
        <v>4.5</v>
      </c>
      <c r="Z1279" s="39" t="n">
        <f aca="false">Resumo!$B$12*CEILING(I1279,1)</f>
        <v>2.7</v>
      </c>
      <c r="AA1279" s="39" t="n">
        <f aca="false">Resumo!$B$13*CEILING(I1279,1)</f>
        <v>20.25</v>
      </c>
      <c r="AB1279" s="39" t="n">
        <f aca="false">SUM(U1279:AA1279)</f>
        <v>134.21997</v>
      </c>
      <c r="AC1279" s="39" t="n">
        <f aca="false">AB1279/(1-Resumo!$B$5)</f>
        <v>152.522693181818</v>
      </c>
      <c r="AD1279" s="39" t="n">
        <f aca="false">(AB1279-AA1279)/(1-Resumo!$B$5)</f>
        <v>129.511329545455</v>
      </c>
      <c r="AE1279" s="39" t="n">
        <f aca="false">AC1279-T1279</f>
        <v>21.4869456818182</v>
      </c>
      <c r="AF1279" s="40" t="n">
        <f aca="false">AC1279/T1279-1</f>
        <v>0.163977739599785</v>
      </c>
      <c r="AG1279" s="37" t="str">
        <f aca="false">IF(AC1279&lt;T1279,"SIM","NÃO")</f>
        <v>NÃO</v>
      </c>
      <c r="AH1279" s="37" t="n">
        <v>13</v>
      </c>
      <c r="AI1279" s="37" t="n">
        <v>5</v>
      </c>
      <c r="AJ1279" s="37" t="s">
        <v>327</v>
      </c>
    </row>
    <row r="1280" customFormat="false" ht="15" hidden="false" customHeight="false" outlineLevel="0" collapsed="false">
      <c r="A1280" s="37" t="n">
        <v>379603182</v>
      </c>
      <c r="B1280" s="38" t="n">
        <v>46254.8053356482</v>
      </c>
      <c r="C1280" s="37" t="s">
        <v>325</v>
      </c>
      <c r="D1280" s="37" t="s">
        <v>1521</v>
      </c>
      <c r="E1280" s="37" t="n">
        <v>20730430</v>
      </c>
      <c r="F1280" s="37" t="s">
        <v>139</v>
      </c>
      <c r="G1280" s="37" t="s">
        <v>198</v>
      </c>
      <c r="H1280" s="37" t="s">
        <v>174</v>
      </c>
      <c r="I1280" s="37" t="n">
        <v>81.7</v>
      </c>
      <c r="J1280" s="39" t="n">
        <v>623</v>
      </c>
      <c r="K1280" s="37" t="s">
        <v>322</v>
      </c>
      <c r="L1280" s="39" t="n">
        <v>162.09</v>
      </c>
      <c r="M1280" s="39" t="n">
        <v>119.8</v>
      </c>
      <c r="N1280" s="39" t="n">
        <f aca="false">J1280*Resumo!$C$7</f>
        <v>1.246</v>
      </c>
      <c r="O1280" s="39" t="n">
        <f aca="false">J1280*Resumo!$C$8</f>
        <v>1.246</v>
      </c>
      <c r="P1280" s="39" t="n">
        <f aca="false">Resumo!$C$10*CEILING(I1280/100,1)</f>
        <v>1</v>
      </c>
      <c r="Q1280" s="39" t="n">
        <f aca="false">Resumo!$C$9</f>
        <v>11.9</v>
      </c>
      <c r="R1280" s="39" t="n">
        <f aca="false">SUM(M1280:Q1280)*Resumo!$C$11</f>
        <v>7.43556</v>
      </c>
      <c r="S1280" s="39" t="n">
        <f aca="false">SUM(M1280:R1280)</f>
        <v>142.62756</v>
      </c>
      <c r="T1280" s="39" t="n">
        <f aca="false">S1280/(1-Resumo!$C$5)</f>
        <v>162.076772727273</v>
      </c>
      <c r="U1280" s="39" t="n">
        <v>167.99</v>
      </c>
      <c r="V1280" s="39" t="n">
        <f aca="false">J1280*Resumo!$B$6</f>
        <v>0.623</v>
      </c>
      <c r="W1280" s="39" t="n">
        <f aca="false">J1280*Resumo!$B$7</f>
        <v>1.246</v>
      </c>
      <c r="X1280" s="39" t="n">
        <f aca="false">Resumo!$B$9</f>
        <v>1</v>
      </c>
      <c r="Y1280" s="39" t="n">
        <f aca="false">Resumo!$B$10*CEILING(I1280/100,1)</f>
        <v>4.5</v>
      </c>
      <c r="Z1280" s="39" t="n">
        <f aca="false">Resumo!$B$12*CEILING(I1280,1)</f>
        <v>4.92</v>
      </c>
      <c r="AA1280" s="39" t="n">
        <f aca="false">Resumo!$B$13*CEILING(I1280,1)</f>
        <v>36.9</v>
      </c>
      <c r="AB1280" s="39" t="n">
        <f aca="false">SUM(U1280:AA1280)</f>
        <v>217.179</v>
      </c>
      <c r="AC1280" s="39" t="n">
        <f aca="false">AB1280/(1-Resumo!$B$5)</f>
        <v>246.794318181818</v>
      </c>
      <c r="AD1280" s="39" t="n">
        <f aca="false">(AB1280-AA1280)/(1-Resumo!$B$5)</f>
        <v>204.8625</v>
      </c>
      <c r="AE1280" s="39" t="n">
        <f aca="false">AC1280-T1280</f>
        <v>84.7175454545454</v>
      </c>
      <c r="AF1280" s="40" t="n">
        <f aca="false">AC1280/T1280-1</f>
        <v>0.522700100878119</v>
      </c>
      <c r="AG1280" s="37" t="str">
        <f aca="false">IF(AC1280&lt;T1280,"SIM","NÃO")</f>
        <v>NÃO</v>
      </c>
      <c r="AH1280" s="37" t="n">
        <v>8</v>
      </c>
      <c r="AI1280" s="37" t="n">
        <v>5</v>
      </c>
      <c r="AJ1280" s="37" t="s">
        <v>323</v>
      </c>
    </row>
    <row r="1281" customFormat="false" ht="15" hidden="false" customHeight="false" outlineLevel="0" collapsed="false">
      <c r="A1281" s="37" t="n">
        <v>379606766</v>
      </c>
      <c r="B1281" s="38" t="n">
        <v>46254.8145833333</v>
      </c>
      <c r="C1281" s="37" t="s">
        <v>352</v>
      </c>
      <c r="D1281" s="37" t="s">
        <v>1522</v>
      </c>
      <c r="E1281" s="37" t="n">
        <v>27971209</v>
      </c>
      <c r="F1281" s="37" t="s">
        <v>146</v>
      </c>
      <c r="G1281" s="37" t="s">
        <v>201</v>
      </c>
      <c r="H1281" s="37" t="s">
        <v>176</v>
      </c>
      <c r="I1281" s="37" t="n">
        <v>124.2</v>
      </c>
      <c r="J1281" s="39" t="n">
        <v>1999.99</v>
      </c>
      <c r="K1281" s="37" t="s">
        <v>322</v>
      </c>
      <c r="L1281" s="39" t="n">
        <v>262.87</v>
      </c>
      <c r="M1281" s="39" t="n">
        <v>197.37</v>
      </c>
      <c r="N1281" s="39" t="n">
        <f aca="false">J1281*Resumo!$C$7</f>
        <v>3.99998</v>
      </c>
      <c r="O1281" s="39" t="n">
        <f aca="false">J1281*Resumo!$C$8</f>
        <v>3.99998</v>
      </c>
      <c r="P1281" s="39" t="n">
        <f aca="false">Resumo!$C$10*CEILING(I1281/100,1)</f>
        <v>2</v>
      </c>
      <c r="Q1281" s="39" t="n">
        <f aca="false">Resumo!$C$9</f>
        <v>11.9</v>
      </c>
      <c r="R1281" s="39" t="n">
        <f aca="false">SUM(M1281:Q1281)*Resumo!$C$11</f>
        <v>12.0598478</v>
      </c>
      <c r="S1281" s="39" t="n">
        <f aca="false">SUM(M1281:R1281)</f>
        <v>231.3298078</v>
      </c>
      <c r="T1281" s="39" t="n">
        <f aca="false">S1281/(1-Resumo!$C$5)</f>
        <v>262.874781590909</v>
      </c>
      <c r="U1281" s="39" t="n">
        <v>264.84</v>
      </c>
      <c r="V1281" s="39" t="n">
        <f aca="false">J1281*Resumo!$B$6</f>
        <v>1.99999</v>
      </c>
      <c r="W1281" s="39" t="n">
        <f aca="false">J1281*Resumo!$B$7</f>
        <v>3.99998</v>
      </c>
      <c r="X1281" s="39" t="n">
        <f aca="false">Resumo!$B$9</f>
        <v>1</v>
      </c>
      <c r="Y1281" s="39" t="n">
        <f aca="false">Resumo!$B$10*CEILING(I1281/100,1)</f>
        <v>9</v>
      </c>
      <c r="Z1281" s="39" t="n">
        <f aca="false">Resumo!$B$12*CEILING(I1281,1)</f>
        <v>7.5</v>
      </c>
      <c r="AA1281" s="39" t="n">
        <f aca="false">Resumo!$B$13*CEILING(I1281,1)</f>
        <v>56.25</v>
      </c>
      <c r="AB1281" s="39" t="n">
        <f aca="false">SUM(U1281:AA1281)</f>
        <v>344.58997</v>
      </c>
      <c r="AC1281" s="39" t="n">
        <f aca="false">AB1281/(1-Resumo!$B$5)</f>
        <v>391.579511363636</v>
      </c>
      <c r="AD1281" s="39" t="n">
        <f aca="false">(AB1281-AA1281)/(1-Resumo!$B$5)</f>
        <v>327.659056818182</v>
      </c>
      <c r="AE1281" s="39" t="n">
        <f aca="false">AC1281-T1281</f>
        <v>128.704729772727</v>
      </c>
      <c r="AF1281" s="40" t="n">
        <f aca="false">AC1281/T1281-1</f>
        <v>0.489604704543398</v>
      </c>
      <c r="AG1281" s="37" t="str">
        <f aca="false">IF(AC1281&lt;T1281,"SIM","NÃO")</f>
        <v>NÃO</v>
      </c>
      <c r="AH1281" s="37" t="n">
        <v>13</v>
      </c>
      <c r="AI1281" s="37" t="n">
        <v>11</v>
      </c>
      <c r="AJ1281" s="37" t="s">
        <v>323</v>
      </c>
    </row>
    <row r="1282" customFormat="false" ht="15" hidden="false" customHeight="false" outlineLevel="0" collapsed="false">
      <c r="A1282" s="37" t="n">
        <v>379612717</v>
      </c>
      <c r="B1282" s="38" t="n">
        <v>46254.824212963</v>
      </c>
      <c r="C1282" s="37" t="s">
        <v>352</v>
      </c>
      <c r="D1282" s="37" t="s">
        <v>1523</v>
      </c>
      <c r="E1282" s="37" t="n">
        <v>24220120</v>
      </c>
      <c r="F1282" s="37" t="s">
        <v>143</v>
      </c>
      <c r="G1282" s="37" t="s">
        <v>207</v>
      </c>
      <c r="H1282" s="37" t="s">
        <v>170</v>
      </c>
      <c r="I1282" s="37" t="n">
        <v>41</v>
      </c>
      <c r="J1282" s="39" t="n">
        <v>475.99</v>
      </c>
      <c r="K1282" s="37" t="s">
        <v>322</v>
      </c>
      <c r="L1282" s="39" t="n">
        <v>116.35</v>
      </c>
      <c r="M1282" s="39" t="n">
        <v>82.25</v>
      </c>
      <c r="N1282" s="39" t="n">
        <f aca="false">J1282*Resumo!$C$7</f>
        <v>0.95198</v>
      </c>
      <c r="O1282" s="39" t="n">
        <f aca="false">J1282*Resumo!$C$8</f>
        <v>0.95198</v>
      </c>
      <c r="P1282" s="39" t="n">
        <f aca="false">Resumo!$C$10*CEILING(I1282/100,1)</f>
        <v>1</v>
      </c>
      <c r="Q1282" s="39" t="n">
        <f aca="false">Resumo!$C$9</f>
        <v>11.9</v>
      </c>
      <c r="R1282" s="39" t="n">
        <f aca="false">SUM(M1282:Q1282)*Resumo!$C$11</f>
        <v>5.3379678</v>
      </c>
      <c r="S1282" s="39" t="n">
        <f aca="false">SUM(M1282:R1282)</f>
        <v>102.3919278</v>
      </c>
      <c r="T1282" s="39" t="n">
        <f aca="false">S1282/(1-Resumo!$C$5)</f>
        <v>116.354463409091</v>
      </c>
      <c r="U1282" s="39" t="n">
        <v>114.95</v>
      </c>
      <c r="V1282" s="39" t="n">
        <f aca="false">J1282*Resumo!$B$6</f>
        <v>0.47599</v>
      </c>
      <c r="W1282" s="39" t="n">
        <f aca="false">J1282*Resumo!$B$7</f>
        <v>0.95198</v>
      </c>
      <c r="X1282" s="39" t="n">
        <f aca="false">Resumo!$B$9</f>
        <v>1</v>
      </c>
      <c r="Y1282" s="39" t="n">
        <f aca="false">Resumo!$B$10*CEILING(I1282/100,1)</f>
        <v>4.5</v>
      </c>
      <c r="Z1282" s="39" t="n">
        <f aca="false">Resumo!$B$12*CEILING(I1282,1)</f>
        <v>2.46</v>
      </c>
      <c r="AA1282" s="39" t="n">
        <f aca="false">Resumo!$B$13*CEILING(I1282,1)</f>
        <v>18.45</v>
      </c>
      <c r="AB1282" s="39" t="n">
        <f aca="false">SUM(U1282:AA1282)</f>
        <v>142.78797</v>
      </c>
      <c r="AC1282" s="39" t="n">
        <f aca="false">AB1282/(1-Resumo!$B$5)</f>
        <v>162.259056818182</v>
      </c>
      <c r="AD1282" s="39" t="n">
        <f aca="false">(AB1282-AA1282)/(1-Resumo!$B$5)</f>
        <v>141.293147727273</v>
      </c>
      <c r="AE1282" s="39" t="n">
        <f aca="false">AC1282-T1282</f>
        <v>45.9045934090909</v>
      </c>
      <c r="AF1282" s="40" t="n">
        <f aca="false">AC1282/T1282-1</f>
        <v>0.394523699943464</v>
      </c>
      <c r="AG1282" s="37" t="str">
        <f aca="false">IF(AC1282&lt;T1282,"SIM","NÃO")</f>
        <v>NÃO</v>
      </c>
      <c r="AH1282" s="37" t="n">
        <v>10</v>
      </c>
      <c r="AI1282" s="37" t="n">
        <v>7</v>
      </c>
      <c r="AJ1282" s="37" t="s">
        <v>323</v>
      </c>
    </row>
    <row r="1283" customFormat="false" ht="15" hidden="false" customHeight="false" outlineLevel="0" collapsed="false">
      <c r="A1283" s="37" t="n">
        <v>379636311</v>
      </c>
      <c r="B1283" s="38" t="n">
        <v>46254.8656597222</v>
      </c>
      <c r="C1283" s="37" t="s">
        <v>325</v>
      </c>
      <c r="D1283" s="37" t="s">
        <v>1524</v>
      </c>
      <c r="E1283" s="37" t="n">
        <v>28090100</v>
      </c>
      <c r="F1283" s="37" t="s">
        <v>144</v>
      </c>
      <c r="G1283" s="37" t="s">
        <v>201</v>
      </c>
      <c r="H1283" s="37" t="s">
        <v>174</v>
      </c>
      <c r="I1283" s="37" t="n">
        <v>81.7</v>
      </c>
      <c r="J1283" s="39" t="n">
        <v>669.99</v>
      </c>
      <c r="K1283" s="37" t="s">
        <v>322</v>
      </c>
      <c r="L1283" s="39" t="n">
        <v>191.81</v>
      </c>
      <c r="M1283" s="39" t="n">
        <v>144.41</v>
      </c>
      <c r="N1283" s="39" t="n">
        <f aca="false">J1283*Resumo!$C$7</f>
        <v>1.33998</v>
      </c>
      <c r="O1283" s="39" t="n">
        <f aca="false">J1283*Resumo!$C$8</f>
        <v>1.33998</v>
      </c>
      <c r="P1283" s="39" t="n">
        <f aca="false">Resumo!$C$10*CEILING(I1283/100,1)</f>
        <v>1</v>
      </c>
      <c r="Q1283" s="39" t="n">
        <f aca="false">Resumo!$C$9</f>
        <v>11.9</v>
      </c>
      <c r="R1283" s="39" t="n">
        <f aca="false">SUM(M1283:Q1283)*Resumo!$C$11</f>
        <v>8.7994478</v>
      </c>
      <c r="S1283" s="39" t="n">
        <f aca="false">SUM(M1283:R1283)</f>
        <v>168.7894078</v>
      </c>
      <c r="T1283" s="39" t="n">
        <f aca="false">S1283/(1-Resumo!$C$5)</f>
        <v>191.806145227273</v>
      </c>
      <c r="U1283" s="39" t="n">
        <v>200.04</v>
      </c>
      <c r="V1283" s="39" t="n">
        <f aca="false">J1283*Resumo!$B$6</f>
        <v>0.66999</v>
      </c>
      <c r="W1283" s="39" t="n">
        <f aca="false">J1283*Resumo!$B$7</f>
        <v>1.33998</v>
      </c>
      <c r="X1283" s="39" t="n">
        <f aca="false">Resumo!$B$9</f>
        <v>1</v>
      </c>
      <c r="Y1283" s="39" t="n">
        <f aca="false">Resumo!$B$10*CEILING(I1283/100,1)</f>
        <v>4.5</v>
      </c>
      <c r="Z1283" s="39" t="n">
        <f aca="false">Resumo!$B$12*CEILING(I1283,1)</f>
        <v>4.92</v>
      </c>
      <c r="AA1283" s="39" t="n">
        <f aca="false">Resumo!$B$13*CEILING(I1283,1)</f>
        <v>36.9</v>
      </c>
      <c r="AB1283" s="39" t="n">
        <f aca="false">SUM(U1283:AA1283)</f>
        <v>249.36997</v>
      </c>
      <c r="AC1283" s="39" t="n">
        <f aca="false">AB1283/(1-Resumo!$B$5)</f>
        <v>283.374965909091</v>
      </c>
      <c r="AD1283" s="39" t="n">
        <f aca="false">(AB1283-AA1283)/(1-Resumo!$B$5)</f>
        <v>241.443147727273</v>
      </c>
      <c r="AE1283" s="39" t="n">
        <f aca="false">AC1283-T1283</f>
        <v>91.5688206818182</v>
      </c>
      <c r="AF1283" s="40" t="n">
        <f aca="false">AC1283/T1283-1</f>
        <v>0.477402955850646</v>
      </c>
      <c r="AG1283" s="37" t="str">
        <f aca="false">IF(AC1283&lt;T1283,"SIM","NÃO")</f>
        <v>NÃO</v>
      </c>
      <c r="AH1283" s="37" t="n">
        <v>13</v>
      </c>
      <c r="AI1283" s="37" t="n">
        <v>11</v>
      </c>
      <c r="AJ1283" s="37" t="s">
        <v>323</v>
      </c>
    </row>
    <row r="1284" customFormat="false" ht="15" hidden="false" customHeight="false" outlineLevel="0" collapsed="false">
      <c r="A1284" s="37" t="n">
        <v>379662374</v>
      </c>
      <c r="B1284" s="38" t="n">
        <v>46254.9103819444</v>
      </c>
      <c r="C1284" s="37" t="s">
        <v>320</v>
      </c>
      <c r="D1284" s="37" t="s">
        <v>1525</v>
      </c>
      <c r="E1284" s="37" t="n">
        <v>21870220</v>
      </c>
      <c r="F1284" s="37" t="s">
        <v>139</v>
      </c>
      <c r="G1284" s="37" t="s">
        <v>198</v>
      </c>
      <c r="H1284" s="37" t="s">
        <v>170</v>
      </c>
      <c r="I1284" s="37" t="n">
        <v>48.3</v>
      </c>
      <c r="J1284" s="39" t="n">
        <v>439.99</v>
      </c>
      <c r="K1284" s="37" t="s">
        <v>322</v>
      </c>
      <c r="L1284" s="39" t="n">
        <v>102.69</v>
      </c>
      <c r="M1284" s="39" t="n">
        <v>71</v>
      </c>
      <c r="N1284" s="39" t="n">
        <f aca="false">J1284*Resumo!$C$7</f>
        <v>0.87998</v>
      </c>
      <c r="O1284" s="39" t="n">
        <f aca="false">J1284*Resumo!$C$8</f>
        <v>0.87998</v>
      </c>
      <c r="P1284" s="39" t="n">
        <f aca="false">Resumo!$C$10*CEILING(I1284/100,1)</f>
        <v>1</v>
      </c>
      <c r="Q1284" s="39" t="n">
        <f aca="false">Resumo!$C$9</f>
        <v>11.9</v>
      </c>
      <c r="R1284" s="39" t="n">
        <f aca="false">SUM(M1284:Q1284)*Resumo!$C$11</f>
        <v>4.7112978</v>
      </c>
      <c r="S1284" s="39" t="n">
        <f aca="false">SUM(M1284:R1284)</f>
        <v>90.3712578</v>
      </c>
      <c r="T1284" s="39" t="n">
        <f aca="false">S1284/(1-Resumo!$C$5)</f>
        <v>102.694611136364</v>
      </c>
      <c r="U1284" s="39" t="n">
        <v>93.97</v>
      </c>
      <c r="V1284" s="39" t="n">
        <f aca="false">J1284*Resumo!$B$6</f>
        <v>0.43999</v>
      </c>
      <c r="W1284" s="39" t="n">
        <f aca="false">J1284*Resumo!$B$7</f>
        <v>0.87998</v>
      </c>
      <c r="X1284" s="39" t="n">
        <f aca="false">Resumo!$B$9</f>
        <v>1</v>
      </c>
      <c r="Y1284" s="39" t="n">
        <f aca="false">Resumo!$B$10*CEILING(I1284/100,1)</f>
        <v>4.5</v>
      </c>
      <c r="Z1284" s="39" t="n">
        <f aca="false">Resumo!$B$12*CEILING(I1284,1)</f>
        <v>2.94</v>
      </c>
      <c r="AA1284" s="39" t="n">
        <f aca="false">Resumo!$B$13*CEILING(I1284,1)</f>
        <v>22.05</v>
      </c>
      <c r="AB1284" s="39" t="n">
        <f aca="false">SUM(U1284:AA1284)</f>
        <v>125.77997</v>
      </c>
      <c r="AC1284" s="39" t="n">
        <f aca="false">AB1284/(1-Resumo!$B$5)</f>
        <v>142.931784090909</v>
      </c>
      <c r="AD1284" s="39" t="n">
        <f aca="false">(AB1284-AA1284)/(1-Resumo!$B$5)</f>
        <v>117.874965909091</v>
      </c>
      <c r="AE1284" s="39" t="n">
        <f aca="false">AC1284-T1284</f>
        <v>40.2371729545454</v>
      </c>
      <c r="AF1284" s="40" t="n">
        <f aca="false">AC1284/T1284-1</f>
        <v>0.391813869387132</v>
      </c>
      <c r="AG1284" s="37" t="str">
        <f aca="false">IF(AC1284&lt;T1284,"SIM","NÃO")</f>
        <v>NÃO</v>
      </c>
      <c r="AH1284" s="37" t="n">
        <v>8</v>
      </c>
      <c r="AI1284" s="37" t="n">
        <v>5</v>
      </c>
      <c r="AJ1284" s="37" t="s">
        <v>323</v>
      </c>
    </row>
    <row r="1285" customFormat="false" ht="15" hidden="false" customHeight="false" outlineLevel="0" collapsed="false">
      <c r="A1285" s="37" t="n">
        <v>379667573</v>
      </c>
      <c r="B1285" s="38" t="n">
        <v>46254.9159027778</v>
      </c>
      <c r="C1285" s="37" t="s">
        <v>320</v>
      </c>
      <c r="D1285" s="37" t="s">
        <v>1526</v>
      </c>
      <c r="E1285" s="37" t="n">
        <v>28630080</v>
      </c>
      <c r="F1285" s="37" t="s">
        <v>157</v>
      </c>
      <c r="G1285" s="37" t="s">
        <v>201</v>
      </c>
      <c r="H1285" s="37" t="s">
        <v>171</v>
      </c>
      <c r="I1285" s="37" t="n">
        <v>55</v>
      </c>
      <c r="J1285" s="39" t="n">
        <v>739.98</v>
      </c>
      <c r="K1285" s="37" t="s">
        <v>322</v>
      </c>
      <c r="L1285" s="39" t="n">
        <v>143.22</v>
      </c>
      <c r="M1285" s="39" t="n">
        <v>103.6</v>
      </c>
      <c r="N1285" s="39" t="n">
        <f aca="false">J1285*Resumo!$C$7</f>
        <v>1.47996</v>
      </c>
      <c r="O1285" s="39" t="n">
        <f aca="false">J1285*Resumo!$C$8</f>
        <v>1.47996</v>
      </c>
      <c r="P1285" s="39" t="n">
        <f aca="false">Resumo!$C$10*CEILING(I1285/100,1)</f>
        <v>1</v>
      </c>
      <c r="Q1285" s="39" t="n">
        <f aca="false">Resumo!$C$9</f>
        <v>11.9</v>
      </c>
      <c r="R1285" s="39" t="n">
        <f aca="false">SUM(M1285:Q1285)*Resumo!$C$11</f>
        <v>6.5702956</v>
      </c>
      <c r="S1285" s="39" t="n">
        <f aca="false">SUM(M1285:R1285)</f>
        <v>126.0302156</v>
      </c>
      <c r="T1285" s="39" t="n">
        <f aca="false">S1285/(1-Resumo!$C$5)</f>
        <v>143.216154090909</v>
      </c>
      <c r="U1285" s="39" t="n">
        <v>144.53</v>
      </c>
      <c r="V1285" s="39" t="n">
        <f aca="false">J1285*Resumo!$B$6</f>
        <v>0.73998</v>
      </c>
      <c r="W1285" s="39" t="n">
        <f aca="false">J1285*Resumo!$B$7</f>
        <v>1.47996</v>
      </c>
      <c r="X1285" s="39" t="n">
        <f aca="false">Resumo!$B$9</f>
        <v>1</v>
      </c>
      <c r="Y1285" s="39" t="n">
        <f aca="false">Resumo!$B$10*CEILING(I1285/100,1)</f>
        <v>4.5</v>
      </c>
      <c r="Z1285" s="39" t="n">
        <f aca="false">Resumo!$B$12*CEILING(I1285,1)</f>
        <v>3.3</v>
      </c>
      <c r="AA1285" s="39" t="n">
        <f aca="false">Resumo!$B$13*CEILING(I1285,1)</f>
        <v>24.75</v>
      </c>
      <c r="AB1285" s="39" t="n">
        <f aca="false">SUM(U1285:AA1285)</f>
        <v>180.29994</v>
      </c>
      <c r="AC1285" s="39" t="n">
        <f aca="false">AB1285/(1-Resumo!$B$5)</f>
        <v>204.886295454545</v>
      </c>
      <c r="AD1285" s="39" t="n">
        <f aca="false">(AB1285-AA1285)/(1-Resumo!$B$5)</f>
        <v>176.761295454545</v>
      </c>
      <c r="AE1285" s="39" t="n">
        <f aca="false">AC1285-T1285</f>
        <v>61.6701413636364</v>
      </c>
      <c r="AF1285" s="40" t="n">
        <f aca="false">AC1285/T1285-1</f>
        <v>0.430608835679878</v>
      </c>
      <c r="AG1285" s="37" t="str">
        <f aca="false">IF(AC1285&lt;T1285,"SIM","NÃO")</f>
        <v>NÃO</v>
      </c>
      <c r="AH1285" s="37" t="n">
        <v>13</v>
      </c>
      <c r="AI1285" s="37" t="n">
        <v>10</v>
      </c>
      <c r="AJ1285" s="37" t="s">
        <v>323</v>
      </c>
    </row>
    <row r="1286" customFormat="false" ht="15" hidden="false" customHeight="false" outlineLevel="0" collapsed="false">
      <c r="A1286" s="37" t="n">
        <v>379674329</v>
      </c>
      <c r="B1286" s="38" t="n">
        <v>46254.9231828704</v>
      </c>
      <c r="C1286" s="37" t="s">
        <v>320</v>
      </c>
      <c r="D1286" s="37" t="s">
        <v>606</v>
      </c>
      <c r="E1286" s="37" t="n">
        <v>22775033</v>
      </c>
      <c r="F1286" s="37" t="s">
        <v>139</v>
      </c>
      <c r="G1286" s="37" t="s">
        <v>198</v>
      </c>
      <c r="H1286" s="37" t="s">
        <v>167</v>
      </c>
      <c r="I1286" s="37" t="n">
        <v>17</v>
      </c>
      <c r="J1286" s="39" t="n">
        <v>249.99</v>
      </c>
      <c r="K1286" s="37" t="s">
        <v>322</v>
      </c>
      <c r="L1286" s="39" t="n">
        <v>64.42</v>
      </c>
      <c r="M1286" s="39" t="n">
        <v>39.83</v>
      </c>
      <c r="N1286" s="39" t="n">
        <f aca="false">J1286*Resumo!$C$7</f>
        <v>0.49998</v>
      </c>
      <c r="O1286" s="39" t="n">
        <f aca="false">J1286*Resumo!$C$8</f>
        <v>0.49998</v>
      </c>
      <c r="P1286" s="39" t="n">
        <f aca="false">Resumo!$C$10*CEILING(I1286/100,1)</f>
        <v>1</v>
      </c>
      <c r="Q1286" s="39" t="n">
        <f aca="false">Resumo!$C$9</f>
        <v>11.9</v>
      </c>
      <c r="R1286" s="39" t="n">
        <f aca="false">SUM(M1286:Q1286)*Resumo!$C$11</f>
        <v>2.9551478</v>
      </c>
      <c r="S1286" s="39" t="n">
        <f aca="false">SUM(M1286:R1286)</f>
        <v>56.6851078</v>
      </c>
      <c r="T1286" s="39" t="n">
        <f aca="false">S1286/(1-Resumo!$C$5)</f>
        <v>64.4148952272727</v>
      </c>
      <c r="U1286" s="39" t="n">
        <v>46.98</v>
      </c>
      <c r="V1286" s="39" t="n">
        <f aca="false">J1286*Resumo!$B$6</f>
        <v>0.24999</v>
      </c>
      <c r="W1286" s="39" t="n">
        <f aca="false">J1286*Resumo!$B$7</f>
        <v>0.49998</v>
      </c>
      <c r="X1286" s="39" t="n">
        <f aca="false">Resumo!$B$9</f>
        <v>1</v>
      </c>
      <c r="Y1286" s="39" t="n">
        <f aca="false">Resumo!$B$10*CEILING(I1286/100,1)</f>
        <v>4.5</v>
      </c>
      <c r="Z1286" s="39" t="n">
        <f aca="false">Resumo!$B$12*CEILING(I1286,1)</f>
        <v>1.02</v>
      </c>
      <c r="AA1286" s="39" t="n">
        <f aca="false">Resumo!$B$13*CEILING(I1286,1)</f>
        <v>7.65</v>
      </c>
      <c r="AB1286" s="39" t="n">
        <f aca="false">SUM(U1286:AA1286)</f>
        <v>61.89997</v>
      </c>
      <c r="AC1286" s="39" t="n">
        <f aca="false">AB1286/(1-Resumo!$B$5)</f>
        <v>70.340875</v>
      </c>
      <c r="AD1286" s="39" t="n">
        <f aca="false">(AB1286-AA1286)/(1-Resumo!$B$5)</f>
        <v>61.6476931818182</v>
      </c>
      <c r="AE1286" s="39" t="n">
        <f aca="false">AC1286-T1286</f>
        <v>5.92597977272727</v>
      </c>
      <c r="AF1286" s="40" t="n">
        <f aca="false">AC1286/T1286-1</f>
        <v>0.0919970412405213</v>
      </c>
      <c r="AG1286" s="37" t="str">
        <f aca="false">IF(AC1286&lt;T1286,"SIM","NÃO")</f>
        <v>NÃO</v>
      </c>
      <c r="AH1286" s="37" t="n">
        <v>8</v>
      </c>
      <c r="AI1286" s="37" t="n">
        <v>5</v>
      </c>
      <c r="AJ1286" s="37" t="s">
        <v>323</v>
      </c>
    </row>
    <row r="1287" customFormat="false" ht="15" hidden="false" customHeight="false" outlineLevel="0" collapsed="false">
      <c r="A1287" s="37" t="n">
        <v>379685148</v>
      </c>
      <c r="B1287" s="38" t="n">
        <v>46254.9397916667</v>
      </c>
      <c r="C1287" s="37" t="s">
        <v>320</v>
      </c>
      <c r="D1287" s="37" t="s">
        <v>1527</v>
      </c>
      <c r="E1287" s="37" t="n">
        <v>25906890</v>
      </c>
      <c r="F1287" s="37" t="s">
        <v>156</v>
      </c>
      <c r="G1287" s="37" t="s">
        <v>201</v>
      </c>
      <c r="H1287" s="37" t="s">
        <v>169</v>
      </c>
      <c r="I1287" s="37" t="n">
        <v>39</v>
      </c>
      <c r="J1287" s="39" t="n">
        <v>529.99</v>
      </c>
      <c r="K1287" s="37" t="s">
        <v>322</v>
      </c>
      <c r="L1287" s="39" t="n">
        <v>122.78</v>
      </c>
      <c r="M1287" s="39" t="n">
        <v>87.4</v>
      </c>
      <c r="N1287" s="39" t="n">
        <f aca="false">J1287*Resumo!$C$7</f>
        <v>1.05998</v>
      </c>
      <c r="O1287" s="39" t="n">
        <f aca="false">J1287*Resumo!$C$8</f>
        <v>1.05998</v>
      </c>
      <c r="P1287" s="39" t="n">
        <f aca="false">Resumo!$C$10*CEILING(I1287/100,1)</f>
        <v>1</v>
      </c>
      <c r="Q1287" s="39" t="n">
        <f aca="false">Resumo!$C$9</f>
        <v>11.9</v>
      </c>
      <c r="R1287" s="39" t="n">
        <f aca="false">SUM(M1287:Q1287)*Resumo!$C$11</f>
        <v>5.6330978</v>
      </c>
      <c r="S1287" s="39" t="n">
        <f aca="false">SUM(M1287:R1287)</f>
        <v>108.0530578</v>
      </c>
      <c r="T1287" s="39" t="n">
        <f aca="false">S1287/(1-Resumo!$C$5)</f>
        <v>122.787565681818</v>
      </c>
      <c r="U1287" s="39" t="n">
        <v>108.03</v>
      </c>
      <c r="V1287" s="39" t="n">
        <f aca="false">J1287*Resumo!$B$6</f>
        <v>0.52999</v>
      </c>
      <c r="W1287" s="39" t="n">
        <f aca="false">J1287*Resumo!$B$7</f>
        <v>1.05998</v>
      </c>
      <c r="X1287" s="39" t="n">
        <f aca="false">Resumo!$B$9</f>
        <v>1</v>
      </c>
      <c r="Y1287" s="39" t="n">
        <f aca="false">Resumo!$B$10*CEILING(I1287/100,1)</f>
        <v>4.5</v>
      </c>
      <c r="Z1287" s="39" t="n">
        <f aca="false">Resumo!$B$12*CEILING(I1287,1)</f>
        <v>2.34</v>
      </c>
      <c r="AA1287" s="39" t="n">
        <f aca="false">Resumo!$B$13*CEILING(I1287,1)</f>
        <v>17.55</v>
      </c>
      <c r="AB1287" s="39" t="n">
        <f aca="false">SUM(U1287:AA1287)</f>
        <v>135.00997</v>
      </c>
      <c r="AC1287" s="39" t="n">
        <f aca="false">AB1287/(1-Resumo!$B$5)</f>
        <v>153.420420454545</v>
      </c>
      <c r="AD1287" s="39" t="n">
        <f aca="false">(AB1287-AA1287)/(1-Resumo!$B$5)</f>
        <v>133.477238636364</v>
      </c>
      <c r="AE1287" s="39" t="n">
        <f aca="false">AC1287-T1287</f>
        <v>30.6328547727273</v>
      </c>
      <c r="AF1287" s="40" t="n">
        <f aca="false">AC1287/T1287-1</f>
        <v>0.249478476119535</v>
      </c>
      <c r="AG1287" s="37" t="str">
        <f aca="false">IF(AC1287&lt;T1287,"SIM","NÃO")</f>
        <v>NÃO</v>
      </c>
      <c r="AH1287" s="37" t="n">
        <v>13</v>
      </c>
      <c r="AI1287" s="37" t="n">
        <v>6</v>
      </c>
      <c r="AJ1287" s="37" t="s">
        <v>323</v>
      </c>
    </row>
    <row r="1288" customFormat="false" ht="15" hidden="false" customHeight="false" outlineLevel="0" collapsed="false">
      <c r="A1288" s="37" t="n">
        <v>379687834</v>
      </c>
      <c r="B1288" s="38" t="n">
        <v>46254.9446064815</v>
      </c>
      <c r="C1288" s="37" t="s">
        <v>320</v>
      </c>
      <c r="D1288" s="37" t="s">
        <v>1528</v>
      </c>
      <c r="E1288" s="37" t="n">
        <v>26290723</v>
      </c>
      <c r="F1288" s="37" t="s">
        <v>142</v>
      </c>
      <c r="G1288" s="37" t="s">
        <v>207</v>
      </c>
      <c r="H1288" s="37" t="s">
        <v>169</v>
      </c>
      <c r="I1288" s="37" t="n">
        <v>36.8</v>
      </c>
      <c r="J1288" s="39" t="n">
        <v>439.99</v>
      </c>
      <c r="K1288" s="37" t="s">
        <v>322</v>
      </c>
      <c r="L1288" s="39" t="n">
        <v>113.07</v>
      </c>
      <c r="M1288" s="39" t="n">
        <v>79.65</v>
      </c>
      <c r="N1288" s="39" t="n">
        <f aca="false">J1288*Resumo!$C$7</f>
        <v>0.87998</v>
      </c>
      <c r="O1288" s="39" t="n">
        <f aca="false">J1288*Resumo!$C$8</f>
        <v>0.87998</v>
      </c>
      <c r="P1288" s="39" t="n">
        <f aca="false">Resumo!$C$10*CEILING(I1288/100,1)</f>
        <v>1</v>
      </c>
      <c r="Q1288" s="39" t="n">
        <f aca="false">Resumo!$C$9</f>
        <v>11.9</v>
      </c>
      <c r="R1288" s="39" t="n">
        <f aca="false">SUM(M1288:Q1288)*Resumo!$C$11</f>
        <v>5.1870478</v>
      </c>
      <c r="S1288" s="39" t="n">
        <f aca="false">SUM(M1288:R1288)</f>
        <v>99.4970078</v>
      </c>
      <c r="T1288" s="39" t="n">
        <f aca="false">S1288/(1-Resumo!$C$5)</f>
        <v>113.064781590909</v>
      </c>
      <c r="U1288" s="39" t="n">
        <v>93.97</v>
      </c>
      <c r="V1288" s="39" t="n">
        <f aca="false">J1288*Resumo!$B$6</f>
        <v>0.43999</v>
      </c>
      <c r="W1288" s="39" t="n">
        <f aca="false">J1288*Resumo!$B$7</f>
        <v>0.87998</v>
      </c>
      <c r="X1288" s="39" t="n">
        <f aca="false">Resumo!$B$9</f>
        <v>1</v>
      </c>
      <c r="Y1288" s="39" t="n">
        <f aca="false">Resumo!$B$10*CEILING(I1288/100,1)</f>
        <v>4.5</v>
      </c>
      <c r="Z1288" s="39" t="n">
        <f aca="false">Resumo!$B$12*CEILING(I1288,1)</f>
        <v>2.22</v>
      </c>
      <c r="AA1288" s="39" t="n">
        <f aca="false">Resumo!$B$13*CEILING(I1288,1)</f>
        <v>16.65</v>
      </c>
      <c r="AB1288" s="39" t="n">
        <f aca="false">SUM(U1288:AA1288)</f>
        <v>119.65997</v>
      </c>
      <c r="AC1288" s="39" t="n">
        <f aca="false">AB1288/(1-Resumo!$B$5)</f>
        <v>135.977238636364</v>
      </c>
      <c r="AD1288" s="39" t="n">
        <f aca="false">(AB1288-AA1288)/(1-Resumo!$B$5)</f>
        <v>117.056784090909</v>
      </c>
      <c r="AE1288" s="39" t="n">
        <f aca="false">AC1288-T1288</f>
        <v>22.9124570454545</v>
      </c>
      <c r="AF1288" s="40" t="n">
        <f aca="false">AC1288/T1288-1</f>
        <v>0.202648930312857</v>
      </c>
      <c r="AG1288" s="37" t="str">
        <f aca="false">IF(AC1288&lt;T1288,"SIM","NÃO")</f>
        <v>NÃO</v>
      </c>
      <c r="AH1288" s="37" t="n">
        <v>10</v>
      </c>
      <c r="AI1288" s="37" t="n">
        <v>5</v>
      </c>
      <c r="AJ1288" s="37" t="s">
        <v>323</v>
      </c>
    </row>
    <row r="1289" customFormat="false" ht="15" hidden="false" customHeight="false" outlineLevel="0" collapsed="false">
      <c r="A1289" s="37" t="n">
        <v>379687841</v>
      </c>
      <c r="B1289" s="38" t="n">
        <v>46254.9446064815</v>
      </c>
      <c r="C1289" s="37" t="s">
        <v>320</v>
      </c>
      <c r="D1289" s="37" t="s">
        <v>1528</v>
      </c>
      <c r="E1289" s="37" t="n">
        <v>26290723</v>
      </c>
      <c r="F1289" s="37" t="s">
        <v>142</v>
      </c>
      <c r="G1289" s="37" t="s">
        <v>207</v>
      </c>
      <c r="H1289" s="37" t="s">
        <v>176</v>
      </c>
      <c r="I1289" s="37" t="n">
        <v>141.5</v>
      </c>
      <c r="J1289" s="39" t="n">
        <v>1549.99</v>
      </c>
      <c r="K1289" s="37" t="s">
        <v>322</v>
      </c>
      <c r="L1289" s="39" t="n">
        <v>244.03</v>
      </c>
      <c r="M1289" s="39" t="n">
        <v>183.45</v>
      </c>
      <c r="N1289" s="39" t="n">
        <f aca="false">J1289*Resumo!$C$7</f>
        <v>3.09998</v>
      </c>
      <c r="O1289" s="39" t="n">
        <f aca="false">J1289*Resumo!$C$8</f>
        <v>3.09998</v>
      </c>
      <c r="P1289" s="39" t="n">
        <f aca="false">Resumo!$C$10*CEILING(I1289/100,1)</f>
        <v>2</v>
      </c>
      <c r="Q1289" s="39" t="n">
        <f aca="false">Resumo!$C$9</f>
        <v>11.9</v>
      </c>
      <c r="R1289" s="39" t="n">
        <f aca="false">SUM(M1289:Q1289)*Resumo!$C$11</f>
        <v>11.1952478</v>
      </c>
      <c r="S1289" s="39" t="n">
        <f aca="false">SUM(M1289:R1289)</f>
        <v>214.7452078</v>
      </c>
      <c r="T1289" s="39" t="n">
        <f aca="false">S1289/(1-Resumo!$C$5)</f>
        <v>244.028645227273</v>
      </c>
      <c r="U1289" s="39" t="n">
        <v>239.25</v>
      </c>
      <c r="V1289" s="39" t="n">
        <f aca="false">J1289*Resumo!$B$6</f>
        <v>1.54999</v>
      </c>
      <c r="W1289" s="39" t="n">
        <f aca="false">J1289*Resumo!$B$7</f>
        <v>3.09998</v>
      </c>
      <c r="X1289" s="39" t="n">
        <f aca="false">Resumo!$B$9</f>
        <v>1</v>
      </c>
      <c r="Y1289" s="39" t="n">
        <f aca="false">Resumo!$B$10*CEILING(I1289/100,1)</f>
        <v>9</v>
      </c>
      <c r="Z1289" s="39" t="n">
        <f aca="false">Resumo!$B$12*CEILING(I1289,1)</f>
        <v>8.52</v>
      </c>
      <c r="AA1289" s="39" t="n">
        <f aca="false">Resumo!$B$13*CEILING(I1289,1)</f>
        <v>63.9</v>
      </c>
      <c r="AB1289" s="39" t="n">
        <f aca="false">SUM(U1289:AA1289)</f>
        <v>326.31997</v>
      </c>
      <c r="AC1289" s="39" t="n">
        <f aca="false">AB1289/(1-Resumo!$B$5)</f>
        <v>370.818147727273</v>
      </c>
      <c r="AD1289" s="39" t="n">
        <f aca="false">(AB1289-AA1289)/(1-Resumo!$B$5)</f>
        <v>298.204511363636</v>
      </c>
      <c r="AE1289" s="39" t="n">
        <f aca="false">AC1289-T1289</f>
        <v>126.7895025</v>
      </c>
      <c r="AF1289" s="40" t="n">
        <f aca="false">AC1289/T1289-1</f>
        <v>0.519568112103873</v>
      </c>
      <c r="AG1289" s="37" t="str">
        <f aca="false">IF(AC1289&lt;T1289,"SIM","NÃO")</f>
        <v>NÃO</v>
      </c>
      <c r="AH1289" s="37" t="n">
        <v>10</v>
      </c>
      <c r="AI1289" s="37" t="n">
        <v>5</v>
      </c>
      <c r="AJ1289" s="37" t="s">
        <v>323</v>
      </c>
    </row>
    <row r="1290" customFormat="false" ht="15" hidden="false" customHeight="false" outlineLevel="0" collapsed="false">
      <c r="A1290" s="37" t="n">
        <v>379731384</v>
      </c>
      <c r="B1290" s="38" t="n">
        <v>46255.0257291667</v>
      </c>
      <c r="C1290" s="37" t="s">
        <v>320</v>
      </c>
      <c r="D1290" s="37" t="s">
        <v>1529</v>
      </c>
      <c r="E1290" s="37" t="n">
        <v>26140450</v>
      </c>
      <c r="F1290" s="37" t="s">
        <v>145</v>
      </c>
      <c r="G1290" s="37" t="s">
        <v>207</v>
      </c>
      <c r="H1290" s="37" t="s">
        <v>174</v>
      </c>
      <c r="I1290" s="37" t="n">
        <v>89.3</v>
      </c>
      <c r="J1290" s="39" t="n">
        <v>1149.99</v>
      </c>
      <c r="K1290" s="37" t="s">
        <v>322</v>
      </c>
      <c r="L1290" s="39" t="n">
        <v>174.34</v>
      </c>
      <c r="M1290" s="39" t="n">
        <v>127.92</v>
      </c>
      <c r="N1290" s="39" t="n">
        <f aca="false">J1290*Resumo!$C$7</f>
        <v>2.29998</v>
      </c>
      <c r="O1290" s="39" t="n">
        <f aca="false">J1290*Resumo!$C$8</f>
        <v>2.29998</v>
      </c>
      <c r="P1290" s="39" t="n">
        <f aca="false">Resumo!$C$10*CEILING(I1290/100,1)</f>
        <v>1</v>
      </c>
      <c r="Q1290" s="39" t="n">
        <f aca="false">Resumo!$C$9</f>
        <v>11.9</v>
      </c>
      <c r="R1290" s="39" t="n">
        <f aca="false">SUM(M1290:Q1290)*Resumo!$C$11</f>
        <v>7.9980978</v>
      </c>
      <c r="S1290" s="39" t="n">
        <f aca="false">SUM(M1290:R1290)</f>
        <v>153.4180578</v>
      </c>
      <c r="T1290" s="39" t="n">
        <f aca="false">S1290/(1-Resumo!$C$5)</f>
        <v>174.338702045455</v>
      </c>
      <c r="U1290" s="39" t="n">
        <v>167.99</v>
      </c>
      <c r="V1290" s="39" t="n">
        <f aca="false">J1290*Resumo!$B$6</f>
        <v>1.14999</v>
      </c>
      <c r="W1290" s="39" t="n">
        <f aca="false">J1290*Resumo!$B$7</f>
        <v>2.29998</v>
      </c>
      <c r="X1290" s="39" t="n">
        <f aca="false">Resumo!$B$9</f>
        <v>1</v>
      </c>
      <c r="Y1290" s="39" t="n">
        <f aca="false">Resumo!$B$10*CEILING(I1290/100,1)</f>
        <v>4.5</v>
      </c>
      <c r="Z1290" s="39" t="n">
        <f aca="false">Resumo!$B$12*CEILING(I1290,1)</f>
        <v>5.4</v>
      </c>
      <c r="AA1290" s="39" t="n">
        <f aca="false">Resumo!$B$13*CEILING(I1290,1)</f>
        <v>40.5</v>
      </c>
      <c r="AB1290" s="39" t="n">
        <f aca="false">SUM(U1290:AA1290)</f>
        <v>222.83997</v>
      </c>
      <c r="AC1290" s="39" t="n">
        <f aca="false">AB1290/(1-Resumo!$B$5)</f>
        <v>253.227238636364</v>
      </c>
      <c r="AD1290" s="39" t="n">
        <f aca="false">(AB1290-AA1290)/(1-Resumo!$B$5)</f>
        <v>207.204511363636</v>
      </c>
      <c r="AE1290" s="39" t="n">
        <f aca="false">AC1290-T1290</f>
        <v>78.8885365909091</v>
      </c>
      <c r="AF1290" s="40" t="n">
        <f aca="false">AC1290/T1290-1</f>
        <v>0.452501571167719</v>
      </c>
      <c r="AG1290" s="37" t="str">
        <f aca="false">IF(AC1290&lt;T1290,"SIM","NÃO")</f>
        <v>NÃO</v>
      </c>
      <c r="AH1290" s="37" t="n">
        <v>10</v>
      </c>
      <c r="AI1290" s="37" t="n">
        <v>5</v>
      </c>
      <c r="AJ1290" s="37" t="s">
        <v>323</v>
      </c>
    </row>
    <row r="1291" customFormat="false" ht="15" hidden="false" customHeight="false" outlineLevel="0" collapsed="false">
      <c r="A1291" s="37" t="n">
        <v>379903388</v>
      </c>
      <c r="B1291" s="38" t="n">
        <v>46255.2978356482</v>
      </c>
      <c r="C1291" s="37" t="s">
        <v>325</v>
      </c>
      <c r="D1291" s="37" t="s">
        <v>1207</v>
      </c>
      <c r="E1291" s="37" t="n">
        <v>23907205</v>
      </c>
      <c r="F1291" s="37" t="s">
        <v>149</v>
      </c>
      <c r="G1291" s="37" t="s">
        <v>201</v>
      </c>
      <c r="H1291" s="37" t="s">
        <v>171</v>
      </c>
      <c r="I1291" s="37" t="n">
        <v>52.3</v>
      </c>
      <c r="J1291" s="39" t="n">
        <v>620</v>
      </c>
      <c r="K1291" s="37" t="s">
        <v>322</v>
      </c>
      <c r="L1291" s="39" t="n">
        <v>142.64</v>
      </c>
      <c r="M1291" s="39" t="n">
        <v>103.6</v>
      </c>
      <c r="N1291" s="39" t="n">
        <f aca="false">J1291*Resumo!$C$7</f>
        <v>1.24</v>
      </c>
      <c r="O1291" s="39" t="n">
        <f aca="false">J1291*Resumo!$C$8</f>
        <v>1.24</v>
      </c>
      <c r="P1291" s="39" t="n">
        <f aca="false">Resumo!$C$10*CEILING(I1291/100,1)</f>
        <v>1</v>
      </c>
      <c r="Q1291" s="39" t="n">
        <f aca="false">Resumo!$C$9</f>
        <v>11.9</v>
      </c>
      <c r="R1291" s="39" t="n">
        <f aca="false">SUM(M1291:Q1291)*Resumo!$C$11</f>
        <v>6.5439</v>
      </c>
      <c r="S1291" s="39" t="n">
        <f aca="false">SUM(M1291:R1291)</f>
        <v>125.5239</v>
      </c>
      <c r="T1291" s="39" t="n">
        <f aca="false">S1291/(1-Resumo!$C$5)</f>
        <v>142.640795454545</v>
      </c>
      <c r="U1291" s="39" t="n">
        <v>142.32</v>
      </c>
      <c r="V1291" s="39" t="n">
        <f aca="false">J1291*Resumo!$B$6</f>
        <v>0.62</v>
      </c>
      <c r="W1291" s="39" t="n">
        <f aca="false">J1291*Resumo!$B$7</f>
        <v>1.24</v>
      </c>
      <c r="X1291" s="39" t="n">
        <f aca="false">Resumo!$B$9</f>
        <v>1</v>
      </c>
      <c r="Y1291" s="39" t="n">
        <f aca="false">Resumo!$B$10*CEILING(I1291/100,1)</f>
        <v>4.5</v>
      </c>
      <c r="Z1291" s="39" t="n">
        <f aca="false">Resumo!$B$12*CEILING(I1291,1)</f>
        <v>3.18</v>
      </c>
      <c r="AA1291" s="39" t="n">
        <f aca="false">Resumo!$B$13*CEILING(I1291,1)</f>
        <v>23.85</v>
      </c>
      <c r="AB1291" s="39" t="n">
        <f aca="false">SUM(U1291:AA1291)</f>
        <v>176.71</v>
      </c>
      <c r="AC1291" s="39" t="n">
        <f aca="false">AB1291/(1-Resumo!$B$5)</f>
        <v>200.806818181818</v>
      </c>
      <c r="AD1291" s="39" t="n">
        <f aca="false">(AB1291-AA1291)/(1-Resumo!$B$5)</f>
        <v>173.704545454545</v>
      </c>
      <c r="AE1291" s="39" t="n">
        <f aca="false">AC1291-T1291</f>
        <v>58.1660227272727</v>
      </c>
      <c r="AF1291" s="40" t="n">
        <f aca="false">AC1291/T1291-1</f>
        <v>0.407779713664091</v>
      </c>
      <c r="AG1291" s="37" t="str">
        <f aca="false">IF(AC1291&lt;T1291,"SIM","NÃO")</f>
        <v>NÃO</v>
      </c>
      <c r="AH1291" s="37" t="n">
        <v>13</v>
      </c>
      <c r="AI1291" s="37" t="n">
        <v>10</v>
      </c>
      <c r="AJ1291" s="37" t="s">
        <v>323</v>
      </c>
    </row>
    <row r="1292" customFormat="false" ht="15" hidden="false" customHeight="false" outlineLevel="0" collapsed="false">
      <c r="A1292" s="37" t="n">
        <v>379903457</v>
      </c>
      <c r="B1292" s="38" t="n">
        <v>46255.2983564815</v>
      </c>
      <c r="C1292" s="37" t="s">
        <v>325</v>
      </c>
      <c r="D1292" s="37" t="s">
        <v>1207</v>
      </c>
      <c r="E1292" s="37" t="n">
        <v>23907205</v>
      </c>
      <c r="F1292" s="37" t="s">
        <v>149</v>
      </c>
      <c r="G1292" s="37" t="s">
        <v>201</v>
      </c>
      <c r="H1292" s="37" t="s">
        <v>171</v>
      </c>
      <c r="I1292" s="37" t="n">
        <v>52.3</v>
      </c>
      <c r="J1292" s="39" t="n">
        <v>640.18</v>
      </c>
      <c r="K1292" s="37" t="s">
        <v>322</v>
      </c>
      <c r="L1292" s="39" t="n">
        <v>142.74</v>
      </c>
      <c r="M1292" s="39" t="n">
        <v>103.6</v>
      </c>
      <c r="N1292" s="39" t="n">
        <f aca="false">J1292*Resumo!$C$7</f>
        <v>1.28036</v>
      </c>
      <c r="O1292" s="39" t="n">
        <f aca="false">J1292*Resumo!$C$8</f>
        <v>1.28036</v>
      </c>
      <c r="P1292" s="39" t="n">
        <f aca="false">Resumo!$C$10*CEILING(I1292/100,1)</f>
        <v>1</v>
      </c>
      <c r="Q1292" s="39" t="n">
        <f aca="false">Resumo!$C$9</f>
        <v>11.9</v>
      </c>
      <c r="R1292" s="39" t="n">
        <f aca="false">SUM(M1292:Q1292)*Resumo!$C$11</f>
        <v>6.5483396</v>
      </c>
      <c r="S1292" s="39" t="n">
        <f aca="false">SUM(M1292:R1292)</f>
        <v>125.6090596</v>
      </c>
      <c r="T1292" s="39" t="n">
        <f aca="false">S1292/(1-Resumo!$C$5)</f>
        <v>142.737567727273</v>
      </c>
      <c r="U1292" s="39" t="n">
        <v>142.32</v>
      </c>
      <c r="V1292" s="39" t="n">
        <f aca="false">J1292*Resumo!$B$6</f>
        <v>0.64018</v>
      </c>
      <c r="W1292" s="39" t="n">
        <f aca="false">J1292*Resumo!$B$7</f>
        <v>1.28036</v>
      </c>
      <c r="X1292" s="39" t="n">
        <f aca="false">Resumo!$B$9</f>
        <v>1</v>
      </c>
      <c r="Y1292" s="39" t="n">
        <f aca="false">Resumo!$B$10*CEILING(I1292/100,1)</f>
        <v>4.5</v>
      </c>
      <c r="Z1292" s="39" t="n">
        <f aca="false">Resumo!$B$12*CEILING(I1292,1)</f>
        <v>3.18</v>
      </c>
      <c r="AA1292" s="39" t="n">
        <f aca="false">Resumo!$B$13*CEILING(I1292,1)</f>
        <v>23.85</v>
      </c>
      <c r="AB1292" s="39" t="n">
        <f aca="false">SUM(U1292:AA1292)</f>
        <v>176.77054</v>
      </c>
      <c r="AC1292" s="39" t="n">
        <f aca="false">AB1292/(1-Resumo!$B$5)</f>
        <v>200.875613636364</v>
      </c>
      <c r="AD1292" s="39" t="n">
        <f aca="false">(AB1292-AA1292)/(1-Resumo!$B$5)</f>
        <v>173.773340909091</v>
      </c>
      <c r="AE1292" s="39" t="n">
        <f aca="false">AC1292-T1292</f>
        <v>58.1380459090909</v>
      </c>
      <c r="AF1292" s="40" t="n">
        <f aca="false">AC1292/T1292-1</f>
        <v>0.407307248083243</v>
      </c>
      <c r="AG1292" s="37" t="str">
        <f aca="false">IF(AC1292&lt;T1292,"SIM","NÃO")</f>
        <v>NÃO</v>
      </c>
      <c r="AH1292" s="37" t="n">
        <v>13</v>
      </c>
      <c r="AI1292" s="37" t="n">
        <v>10</v>
      </c>
      <c r="AJ1292" s="37" t="s">
        <v>323</v>
      </c>
    </row>
    <row r="1293" customFormat="false" ht="15" hidden="false" customHeight="false" outlineLevel="0" collapsed="false">
      <c r="A1293" s="37" t="n">
        <v>379853829</v>
      </c>
      <c r="B1293" s="38" t="n">
        <v>46255.333287037</v>
      </c>
      <c r="C1293" s="37" t="s">
        <v>320</v>
      </c>
      <c r="D1293" s="37" t="s">
        <v>1530</v>
      </c>
      <c r="E1293" s="37" t="n">
        <v>26157579</v>
      </c>
      <c r="F1293" s="37" t="s">
        <v>145</v>
      </c>
      <c r="G1293" s="37" t="s">
        <v>207</v>
      </c>
      <c r="H1293" s="37" t="s">
        <v>169</v>
      </c>
      <c r="I1293" s="37" t="n">
        <v>39</v>
      </c>
      <c r="J1293" s="39" t="n">
        <v>519.99</v>
      </c>
      <c r="K1293" s="37" t="s">
        <v>322</v>
      </c>
      <c r="L1293" s="39" t="n">
        <v>113.44</v>
      </c>
      <c r="M1293" s="39" t="n">
        <v>79.65</v>
      </c>
      <c r="N1293" s="39" t="n">
        <f aca="false">J1293*Resumo!$C$7</f>
        <v>1.03998</v>
      </c>
      <c r="O1293" s="39" t="n">
        <f aca="false">J1293*Resumo!$C$8</f>
        <v>1.03998</v>
      </c>
      <c r="P1293" s="39" t="n">
        <f aca="false">Resumo!$C$10*CEILING(I1293/100,1)</f>
        <v>1</v>
      </c>
      <c r="Q1293" s="39" t="n">
        <f aca="false">Resumo!$C$9</f>
        <v>11.9</v>
      </c>
      <c r="R1293" s="39" t="n">
        <f aca="false">SUM(M1293:Q1293)*Resumo!$C$11</f>
        <v>5.2046478</v>
      </c>
      <c r="S1293" s="39" t="n">
        <f aca="false">SUM(M1293:R1293)</f>
        <v>99.8346078</v>
      </c>
      <c r="T1293" s="39" t="n">
        <f aca="false">S1293/(1-Resumo!$C$5)</f>
        <v>113.448417954545</v>
      </c>
      <c r="U1293" s="39" t="n">
        <v>93.97</v>
      </c>
      <c r="V1293" s="39" t="n">
        <f aca="false">J1293*Resumo!$B$6</f>
        <v>0.51999</v>
      </c>
      <c r="W1293" s="39" t="n">
        <f aca="false">J1293*Resumo!$B$7</f>
        <v>1.03998</v>
      </c>
      <c r="X1293" s="39" t="n">
        <f aca="false">Resumo!$B$9</f>
        <v>1</v>
      </c>
      <c r="Y1293" s="39" t="n">
        <f aca="false">Resumo!$B$10*CEILING(I1293/100,1)</f>
        <v>4.5</v>
      </c>
      <c r="Z1293" s="39" t="n">
        <f aca="false">Resumo!$B$12*CEILING(I1293,1)</f>
        <v>2.34</v>
      </c>
      <c r="AA1293" s="39" t="n">
        <f aca="false">Resumo!$B$13*CEILING(I1293,1)</f>
        <v>17.55</v>
      </c>
      <c r="AB1293" s="39" t="n">
        <f aca="false">SUM(U1293:AA1293)</f>
        <v>120.91997</v>
      </c>
      <c r="AC1293" s="39" t="n">
        <f aca="false">AB1293/(1-Resumo!$B$5)</f>
        <v>137.409056818182</v>
      </c>
      <c r="AD1293" s="39" t="n">
        <f aca="false">(AB1293-AA1293)/(1-Resumo!$B$5)</f>
        <v>117.465875</v>
      </c>
      <c r="AE1293" s="39" t="n">
        <f aca="false">AC1293-T1293</f>
        <v>23.9606388636363</v>
      </c>
      <c r="AF1293" s="40" t="n">
        <f aca="false">AC1293/T1293-1</f>
        <v>0.21120293518096</v>
      </c>
      <c r="AG1293" s="37" t="str">
        <f aca="false">IF(AC1293&lt;T1293,"SIM","NÃO")</f>
        <v>NÃO</v>
      </c>
      <c r="AH1293" s="37" t="n">
        <v>10</v>
      </c>
      <c r="AI1293" s="37" t="n">
        <v>5</v>
      </c>
      <c r="AJ1293" s="37" t="s">
        <v>323</v>
      </c>
    </row>
    <row r="1294" customFormat="false" ht="15" hidden="false" customHeight="false" outlineLevel="0" collapsed="false">
      <c r="A1294" s="37" t="n">
        <v>379875700</v>
      </c>
      <c r="B1294" s="38" t="n">
        <v>46255.3768634259</v>
      </c>
      <c r="C1294" s="37" t="s">
        <v>320</v>
      </c>
      <c r="D1294" s="37" t="s">
        <v>1531</v>
      </c>
      <c r="E1294" s="37" t="n">
        <v>26089225</v>
      </c>
      <c r="F1294" s="37" t="s">
        <v>142</v>
      </c>
      <c r="G1294" s="37" t="s">
        <v>207</v>
      </c>
      <c r="H1294" s="37" t="s">
        <v>170</v>
      </c>
      <c r="I1294" s="37" t="n">
        <v>48.3</v>
      </c>
      <c r="J1294" s="39" t="n">
        <v>449.99</v>
      </c>
      <c r="K1294" s="37" t="s">
        <v>322</v>
      </c>
      <c r="L1294" s="39" t="n">
        <v>116.23</v>
      </c>
      <c r="M1294" s="39" t="n">
        <v>82.25</v>
      </c>
      <c r="N1294" s="39" t="n">
        <f aca="false">J1294*Resumo!$C$7</f>
        <v>0.89998</v>
      </c>
      <c r="O1294" s="39" t="n">
        <f aca="false">J1294*Resumo!$C$8</f>
        <v>0.89998</v>
      </c>
      <c r="P1294" s="39" t="n">
        <f aca="false">Resumo!$C$10*CEILING(I1294/100,1)</f>
        <v>1</v>
      </c>
      <c r="Q1294" s="39" t="n">
        <f aca="false">Resumo!$C$9</f>
        <v>11.9</v>
      </c>
      <c r="R1294" s="39" t="n">
        <f aca="false">SUM(M1294:Q1294)*Resumo!$C$11</f>
        <v>5.3322478</v>
      </c>
      <c r="S1294" s="39" t="n">
        <f aca="false">SUM(M1294:R1294)</f>
        <v>102.2822078</v>
      </c>
      <c r="T1294" s="39" t="n">
        <f aca="false">S1294/(1-Resumo!$C$5)</f>
        <v>116.229781590909</v>
      </c>
      <c r="U1294" s="39" t="n">
        <v>93.97</v>
      </c>
      <c r="V1294" s="39" t="n">
        <f aca="false">J1294*Resumo!$B$6</f>
        <v>0.44999</v>
      </c>
      <c r="W1294" s="39" t="n">
        <f aca="false">J1294*Resumo!$B$7</f>
        <v>0.89998</v>
      </c>
      <c r="X1294" s="39" t="n">
        <f aca="false">Resumo!$B$9</f>
        <v>1</v>
      </c>
      <c r="Y1294" s="39" t="n">
        <f aca="false">Resumo!$B$10*CEILING(I1294/100,1)</f>
        <v>4.5</v>
      </c>
      <c r="Z1294" s="39" t="n">
        <f aca="false">Resumo!$B$12*CEILING(I1294,1)</f>
        <v>2.94</v>
      </c>
      <c r="AA1294" s="39" t="n">
        <f aca="false">Resumo!$B$13*CEILING(I1294,1)</f>
        <v>22.05</v>
      </c>
      <c r="AB1294" s="39" t="n">
        <f aca="false">SUM(U1294:AA1294)</f>
        <v>125.80997</v>
      </c>
      <c r="AC1294" s="39" t="n">
        <f aca="false">AB1294/(1-Resumo!$B$5)</f>
        <v>142.965875</v>
      </c>
      <c r="AD1294" s="39" t="n">
        <f aca="false">(AB1294-AA1294)/(1-Resumo!$B$5)</f>
        <v>117.909056818182</v>
      </c>
      <c r="AE1294" s="39" t="n">
        <f aca="false">AC1294-T1294</f>
        <v>26.7360934090909</v>
      </c>
      <c r="AF1294" s="40" t="n">
        <f aca="false">AC1294/T1294-1</f>
        <v>0.230027907160604</v>
      </c>
      <c r="AG1294" s="37" t="str">
        <f aca="false">IF(AC1294&lt;T1294,"SIM","NÃO")</f>
        <v>NÃO</v>
      </c>
      <c r="AH1294" s="37" t="n">
        <v>10</v>
      </c>
      <c r="AI1294" s="37" t="n">
        <v>5</v>
      </c>
      <c r="AJ1294" s="37" t="s">
        <v>323</v>
      </c>
    </row>
    <row r="1295" customFormat="false" ht="15" hidden="false" customHeight="false" outlineLevel="0" collapsed="false">
      <c r="A1295" s="37" t="n">
        <v>379876251</v>
      </c>
      <c r="B1295" s="38" t="n">
        <v>46255.377962963</v>
      </c>
      <c r="C1295" s="37" t="s">
        <v>320</v>
      </c>
      <c r="D1295" s="37" t="s">
        <v>1532</v>
      </c>
      <c r="E1295" s="37" t="n">
        <v>21511140</v>
      </c>
      <c r="F1295" s="37" t="s">
        <v>139</v>
      </c>
      <c r="G1295" s="37" t="s">
        <v>198</v>
      </c>
      <c r="H1295" s="37" t="s">
        <v>169</v>
      </c>
      <c r="I1295" s="37" t="n">
        <v>40</v>
      </c>
      <c r="J1295" s="39" t="n">
        <v>529.99</v>
      </c>
      <c r="K1295" s="37" t="s">
        <v>322</v>
      </c>
      <c r="L1295" s="39" t="n">
        <v>92.4</v>
      </c>
      <c r="M1295" s="39" t="n">
        <v>62.05</v>
      </c>
      <c r="N1295" s="39" t="n">
        <f aca="false">J1295*Resumo!$C$7</f>
        <v>1.05998</v>
      </c>
      <c r="O1295" s="39" t="n">
        <f aca="false">J1295*Resumo!$C$8</f>
        <v>1.05998</v>
      </c>
      <c r="P1295" s="39" t="n">
        <f aca="false">Resumo!$C$10*CEILING(I1295/100,1)</f>
        <v>1</v>
      </c>
      <c r="Q1295" s="39" t="n">
        <f aca="false">Resumo!$C$9</f>
        <v>11.9</v>
      </c>
      <c r="R1295" s="39" t="n">
        <f aca="false">SUM(M1295:Q1295)*Resumo!$C$11</f>
        <v>4.2388478</v>
      </c>
      <c r="S1295" s="39" t="n">
        <f aca="false">SUM(M1295:R1295)</f>
        <v>81.3088078</v>
      </c>
      <c r="T1295" s="39" t="n">
        <f aca="false">S1295/(1-Resumo!$C$5)</f>
        <v>92.3963725</v>
      </c>
      <c r="U1295" s="39" t="n">
        <v>93.97</v>
      </c>
      <c r="V1295" s="39" t="n">
        <f aca="false">J1295*Resumo!$B$6</f>
        <v>0.52999</v>
      </c>
      <c r="W1295" s="39" t="n">
        <f aca="false">J1295*Resumo!$B$7</f>
        <v>1.05998</v>
      </c>
      <c r="X1295" s="39" t="n">
        <f aca="false">Resumo!$B$9</f>
        <v>1</v>
      </c>
      <c r="Y1295" s="39" t="n">
        <f aca="false">Resumo!$B$10*CEILING(I1295/100,1)</f>
        <v>4.5</v>
      </c>
      <c r="Z1295" s="39" t="n">
        <f aca="false">Resumo!$B$12*CEILING(I1295,1)</f>
        <v>2.4</v>
      </c>
      <c r="AA1295" s="39" t="n">
        <f aca="false">Resumo!$B$13*CEILING(I1295,1)</f>
        <v>18</v>
      </c>
      <c r="AB1295" s="39" t="n">
        <f aca="false">SUM(U1295:AA1295)</f>
        <v>121.45997</v>
      </c>
      <c r="AC1295" s="39" t="n">
        <f aca="false">AB1295/(1-Resumo!$B$5)</f>
        <v>138.022693181818</v>
      </c>
      <c r="AD1295" s="39" t="n">
        <f aca="false">(AB1295-AA1295)/(1-Resumo!$B$5)</f>
        <v>117.568147727273</v>
      </c>
      <c r="AE1295" s="39" t="n">
        <f aca="false">AC1295-T1295</f>
        <v>45.6263206818182</v>
      </c>
      <c r="AF1295" s="40" t="n">
        <f aca="false">AC1295/T1295-1</f>
        <v>0.493810735717121</v>
      </c>
      <c r="AG1295" s="37" t="str">
        <f aca="false">IF(AC1295&lt;T1295,"SIM","NÃO")</f>
        <v>NÃO</v>
      </c>
      <c r="AH1295" s="37" t="n">
        <v>8</v>
      </c>
      <c r="AI1295" s="37" t="n">
        <v>5</v>
      </c>
      <c r="AJ1295" s="37" t="s">
        <v>323</v>
      </c>
    </row>
    <row r="1296" customFormat="false" ht="15" hidden="false" customHeight="false" outlineLevel="0" collapsed="false">
      <c r="A1296" s="37" t="n">
        <v>379878949</v>
      </c>
      <c r="B1296" s="38" t="n">
        <v>46255.3830439815</v>
      </c>
      <c r="C1296" s="37" t="s">
        <v>325</v>
      </c>
      <c r="D1296" s="37" t="s">
        <v>1253</v>
      </c>
      <c r="E1296" s="37" t="n">
        <v>20961050</v>
      </c>
      <c r="F1296" s="37" t="s">
        <v>139</v>
      </c>
      <c r="G1296" s="37" t="s">
        <v>198</v>
      </c>
      <c r="H1296" s="37" t="s">
        <v>171</v>
      </c>
      <c r="I1296" s="37" t="n">
        <v>58.5</v>
      </c>
      <c r="J1296" s="39" t="n">
        <v>855.95</v>
      </c>
      <c r="K1296" s="37" t="s">
        <v>322</v>
      </c>
      <c r="L1296" s="39" t="n">
        <v>115.25</v>
      </c>
      <c r="M1296" s="39" t="n">
        <v>79.81</v>
      </c>
      <c r="N1296" s="39" t="n">
        <f aca="false">J1296*Resumo!$C$7</f>
        <v>1.7119</v>
      </c>
      <c r="O1296" s="39" t="n">
        <f aca="false">J1296*Resumo!$C$8</f>
        <v>1.7119</v>
      </c>
      <c r="P1296" s="39" t="n">
        <f aca="false">Resumo!$C$10*CEILING(I1296/100,1)</f>
        <v>1</v>
      </c>
      <c r="Q1296" s="39" t="n">
        <f aca="false">Resumo!$C$9</f>
        <v>11.9</v>
      </c>
      <c r="R1296" s="39" t="n">
        <f aca="false">SUM(M1296:Q1296)*Resumo!$C$11</f>
        <v>5.287359</v>
      </c>
      <c r="S1296" s="39" t="n">
        <f aca="false">SUM(M1296:R1296)</f>
        <v>101.421159</v>
      </c>
      <c r="T1296" s="39" t="n">
        <f aca="false">S1296/(1-Resumo!$C$5)</f>
        <v>115.251317045455</v>
      </c>
      <c r="U1296" s="39" t="n">
        <v>112.3</v>
      </c>
      <c r="V1296" s="39" t="n">
        <f aca="false">J1296*Resumo!$B$6</f>
        <v>0.85595</v>
      </c>
      <c r="W1296" s="39" t="n">
        <f aca="false">J1296*Resumo!$B$7</f>
        <v>1.7119</v>
      </c>
      <c r="X1296" s="39" t="n">
        <f aca="false">Resumo!$B$9</f>
        <v>1</v>
      </c>
      <c r="Y1296" s="39" t="n">
        <f aca="false">Resumo!$B$10*CEILING(I1296/100,1)</f>
        <v>4.5</v>
      </c>
      <c r="Z1296" s="39" t="n">
        <f aca="false">Resumo!$B$12*CEILING(I1296,1)</f>
        <v>3.54</v>
      </c>
      <c r="AA1296" s="39" t="n">
        <f aca="false">Resumo!$B$13*CEILING(I1296,1)</f>
        <v>26.55</v>
      </c>
      <c r="AB1296" s="39" t="n">
        <f aca="false">SUM(U1296:AA1296)</f>
        <v>150.45785</v>
      </c>
      <c r="AC1296" s="39" t="n">
        <f aca="false">AB1296/(1-Resumo!$B$5)</f>
        <v>170.974829545455</v>
      </c>
      <c r="AD1296" s="39" t="n">
        <f aca="false">(AB1296-AA1296)/(1-Resumo!$B$5)</f>
        <v>140.804375</v>
      </c>
      <c r="AE1296" s="39" t="n">
        <f aca="false">AC1296-T1296</f>
        <v>55.7235125</v>
      </c>
      <c r="AF1296" s="40" t="n">
        <f aca="false">AC1296/T1296-1</f>
        <v>0.483495667802416</v>
      </c>
      <c r="AG1296" s="37" t="str">
        <f aca="false">IF(AC1296&lt;T1296,"SIM","NÃO")</f>
        <v>NÃO</v>
      </c>
      <c r="AH1296" s="37" t="n">
        <v>8</v>
      </c>
      <c r="AI1296" s="37" t="n">
        <v>5</v>
      </c>
      <c r="AJ1296" s="37" t="s">
        <v>323</v>
      </c>
    </row>
    <row r="1297" customFormat="false" ht="15" hidden="false" customHeight="false" outlineLevel="0" collapsed="false">
      <c r="A1297" s="37" t="n">
        <v>379905804</v>
      </c>
      <c r="B1297" s="38" t="n">
        <v>46255.4273263889</v>
      </c>
      <c r="C1297" s="37" t="s">
        <v>325</v>
      </c>
      <c r="D1297" s="37" t="s">
        <v>1533</v>
      </c>
      <c r="E1297" s="37" t="n">
        <v>25075240</v>
      </c>
      <c r="F1297" s="37" t="s">
        <v>141</v>
      </c>
      <c r="G1297" s="37" t="s">
        <v>207</v>
      </c>
      <c r="H1297" s="37" t="s">
        <v>170</v>
      </c>
      <c r="I1297" s="37" t="n">
        <v>43.5</v>
      </c>
      <c r="J1297" s="39" t="n">
        <v>604.3</v>
      </c>
      <c r="K1297" s="37" t="s">
        <v>322</v>
      </c>
      <c r="L1297" s="39" t="n">
        <v>116.98</v>
      </c>
      <c r="M1297" s="39" t="n">
        <v>82.25</v>
      </c>
      <c r="N1297" s="39" t="n">
        <f aca="false">J1297*Resumo!$C$7</f>
        <v>1.2086</v>
      </c>
      <c r="O1297" s="39" t="n">
        <f aca="false">J1297*Resumo!$C$8</f>
        <v>1.2086</v>
      </c>
      <c r="P1297" s="39" t="n">
        <f aca="false">Resumo!$C$10*CEILING(I1297/100,1)</f>
        <v>1</v>
      </c>
      <c r="Q1297" s="39" t="n">
        <f aca="false">Resumo!$C$9</f>
        <v>11.9</v>
      </c>
      <c r="R1297" s="39" t="n">
        <f aca="false">SUM(M1297:Q1297)*Resumo!$C$11</f>
        <v>5.366196</v>
      </c>
      <c r="S1297" s="39" t="n">
        <f aca="false">SUM(M1297:R1297)</f>
        <v>102.933396</v>
      </c>
      <c r="T1297" s="39" t="n">
        <f aca="false">S1297/(1-Resumo!$C$5)</f>
        <v>116.969768181818</v>
      </c>
      <c r="U1297" s="39" t="n">
        <v>93.97</v>
      </c>
      <c r="V1297" s="39" t="n">
        <f aca="false">J1297*Resumo!$B$6</f>
        <v>0.6043</v>
      </c>
      <c r="W1297" s="39" t="n">
        <f aca="false">J1297*Resumo!$B$7</f>
        <v>1.2086</v>
      </c>
      <c r="X1297" s="39" t="n">
        <f aca="false">Resumo!$B$9</f>
        <v>1</v>
      </c>
      <c r="Y1297" s="39" t="n">
        <f aca="false">Resumo!$B$10*CEILING(I1297/100,1)</f>
        <v>4.5</v>
      </c>
      <c r="Z1297" s="39" t="n">
        <f aca="false">Resumo!$B$12*CEILING(I1297,1)</f>
        <v>2.64</v>
      </c>
      <c r="AA1297" s="39" t="n">
        <f aca="false">Resumo!$B$13*CEILING(I1297,1)</f>
        <v>19.8</v>
      </c>
      <c r="AB1297" s="39" t="n">
        <f aca="false">SUM(U1297:AA1297)</f>
        <v>123.7229</v>
      </c>
      <c r="AC1297" s="39" t="n">
        <f aca="false">AB1297/(1-Resumo!$B$5)</f>
        <v>140.594204545455</v>
      </c>
      <c r="AD1297" s="39" t="n">
        <f aca="false">(AB1297-AA1297)/(1-Resumo!$B$5)</f>
        <v>118.094204545455</v>
      </c>
      <c r="AE1297" s="39" t="n">
        <f aca="false">AC1297-T1297</f>
        <v>23.6244363636364</v>
      </c>
      <c r="AF1297" s="40" t="n">
        <f aca="false">AC1297/T1297-1</f>
        <v>0.201970446986904</v>
      </c>
      <c r="AG1297" s="37" t="str">
        <f aca="false">IF(AC1297&lt;T1297,"SIM","NÃO")</f>
        <v>NÃO</v>
      </c>
      <c r="AH1297" s="37" t="n">
        <v>10</v>
      </c>
      <c r="AI1297" s="37" t="n">
        <v>5</v>
      </c>
      <c r="AJ1297" s="37" t="s">
        <v>323</v>
      </c>
    </row>
    <row r="1298" customFormat="false" ht="15" hidden="false" customHeight="false" outlineLevel="0" collapsed="false">
      <c r="A1298" s="37" t="n">
        <v>379916375</v>
      </c>
      <c r="B1298" s="38" t="n">
        <v>46255.4436111111</v>
      </c>
      <c r="C1298" s="37" t="s">
        <v>325</v>
      </c>
      <c r="D1298" s="37" t="s">
        <v>1534</v>
      </c>
      <c r="E1298" s="37" t="n">
        <v>28890052</v>
      </c>
      <c r="F1298" s="37" t="s">
        <v>158</v>
      </c>
      <c r="G1298" s="37" t="s">
        <v>201</v>
      </c>
      <c r="H1298" s="37" t="s">
        <v>174</v>
      </c>
      <c r="I1298" s="37" t="n">
        <v>81.7</v>
      </c>
      <c r="J1298" s="39" t="n">
        <v>639.76</v>
      </c>
      <c r="K1298" s="37" t="s">
        <v>322</v>
      </c>
      <c r="L1298" s="39" t="n">
        <v>191.66</v>
      </c>
      <c r="M1298" s="39" t="n">
        <v>144.41</v>
      </c>
      <c r="N1298" s="39" t="n">
        <f aca="false">J1298*Resumo!$C$7</f>
        <v>1.27952</v>
      </c>
      <c r="O1298" s="39" t="n">
        <f aca="false">J1298*Resumo!$C$8</f>
        <v>1.27952</v>
      </c>
      <c r="P1298" s="39" t="n">
        <f aca="false">Resumo!$C$10*CEILING(I1298/100,1)</f>
        <v>1</v>
      </c>
      <c r="Q1298" s="39" t="n">
        <f aca="false">Resumo!$C$9</f>
        <v>11.9</v>
      </c>
      <c r="R1298" s="39" t="n">
        <f aca="false">SUM(M1298:Q1298)*Resumo!$C$11</f>
        <v>8.7927972</v>
      </c>
      <c r="S1298" s="39" t="n">
        <f aca="false">SUM(M1298:R1298)</f>
        <v>168.6618372</v>
      </c>
      <c r="T1298" s="39" t="n">
        <f aca="false">S1298/(1-Resumo!$C$5)</f>
        <v>191.661178636364</v>
      </c>
      <c r="U1298" s="39" t="n">
        <v>197.35</v>
      </c>
      <c r="V1298" s="39" t="n">
        <f aca="false">J1298*Resumo!$B$6</f>
        <v>0.63976</v>
      </c>
      <c r="W1298" s="39" t="n">
        <f aca="false">J1298*Resumo!$B$7</f>
        <v>1.27952</v>
      </c>
      <c r="X1298" s="39" t="n">
        <f aca="false">Resumo!$B$9</f>
        <v>1</v>
      </c>
      <c r="Y1298" s="39" t="n">
        <f aca="false">Resumo!$B$10*CEILING(I1298/100,1)</f>
        <v>4.5</v>
      </c>
      <c r="Z1298" s="39" t="n">
        <f aca="false">Resumo!$B$12*CEILING(I1298,1)</f>
        <v>4.92</v>
      </c>
      <c r="AA1298" s="39" t="n">
        <f aca="false">Resumo!$B$13*CEILING(I1298,1)</f>
        <v>36.9</v>
      </c>
      <c r="AB1298" s="39" t="n">
        <f aca="false">SUM(U1298:AA1298)</f>
        <v>246.58928</v>
      </c>
      <c r="AC1298" s="39" t="n">
        <f aca="false">AB1298/(1-Resumo!$B$5)</f>
        <v>280.215090909091</v>
      </c>
      <c r="AD1298" s="39" t="n">
        <f aca="false">(AB1298-AA1298)/(1-Resumo!$B$5)</f>
        <v>238.283272727273</v>
      </c>
      <c r="AE1298" s="39" t="n">
        <f aca="false">AC1298-T1298</f>
        <v>88.5539122727273</v>
      </c>
      <c r="AF1298" s="40" t="n">
        <f aca="false">AC1298/T1298-1</f>
        <v>0.462033641360098</v>
      </c>
      <c r="AG1298" s="37" t="str">
        <f aca="false">IF(AC1298&lt;T1298,"SIM","NÃO")</f>
        <v>NÃO</v>
      </c>
      <c r="AH1298" s="37" t="n">
        <v>13</v>
      </c>
      <c r="AI1298" s="37" t="n">
        <v>10</v>
      </c>
      <c r="AJ1298" s="37" t="s">
        <v>323</v>
      </c>
    </row>
    <row r="1299" customFormat="false" ht="15" hidden="false" customHeight="false" outlineLevel="0" collapsed="false">
      <c r="A1299" s="37" t="n">
        <v>379916994</v>
      </c>
      <c r="B1299" s="38" t="n">
        <v>46255.4446412037</v>
      </c>
      <c r="C1299" s="37" t="s">
        <v>320</v>
      </c>
      <c r="D1299" s="37" t="s">
        <v>1535</v>
      </c>
      <c r="E1299" s="37" t="n">
        <v>22793580</v>
      </c>
      <c r="F1299" s="37" t="s">
        <v>139</v>
      </c>
      <c r="G1299" s="37" t="s">
        <v>198</v>
      </c>
      <c r="H1299" s="37" t="s">
        <v>167</v>
      </c>
      <c r="I1299" s="37" t="n">
        <v>17.2</v>
      </c>
      <c r="J1299" s="39" t="n">
        <v>243.21</v>
      </c>
      <c r="K1299" s="37" t="s">
        <v>322</v>
      </c>
      <c r="L1299" s="39" t="n">
        <v>64.39</v>
      </c>
      <c r="M1299" s="39" t="n">
        <v>39.83</v>
      </c>
      <c r="N1299" s="39" t="n">
        <f aca="false">J1299*Resumo!$C$7</f>
        <v>0.48642</v>
      </c>
      <c r="O1299" s="39" t="n">
        <f aca="false">J1299*Resumo!$C$8</f>
        <v>0.48642</v>
      </c>
      <c r="P1299" s="39" t="n">
        <f aca="false">Resumo!$C$10*CEILING(I1299/100,1)</f>
        <v>1</v>
      </c>
      <c r="Q1299" s="39" t="n">
        <f aca="false">Resumo!$C$9</f>
        <v>11.9</v>
      </c>
      <c r="R1299" s="39" t="n">
        <f aca="false">SUM(M1299:Q1299)*Resumo!$C$11</f>
        <v>2.9536562</v>
      </c>
      <c r="S1299" s="39" t="n">
        <f aca="false">SUM(M1299:R1299)</f>
        <v>56.6564962</v>
      </c>
      <c r="T1299" s="39" t="n">
        <f aca="false">S1299/(1-Resumo!$C$5)</f>
        <v>64.3823820454546</v>
      </c>
      <c r="U1299" s="39" t="n">
        <v>46.98</v>
      </c>
      <c r="V1299" s="39" t="n">
        <f aca="false">J1299*Resumo!$B$6</f>
        <v>0.24321</v>
      </c>
      <c r="W1299" s="39" t="n">
        <f aca="false">J1299*Resumo!$B$7</f>
        <v>0.48642</v>
      </c>
      <c r="X1299" s="39" t="n">
        <f aca="false">Resumo!$B$9</f>
        <v>1</v>
      </c>
      <c r="Y1299" s="39" t="n">
        <f aca="false">Resumo!$B$10*CEILING(I1299/100,1)</f>
        <v>4.5</v>
      </c>
      <c r="Z1299" s="39" t="n">
        <f aca="false">Resumo!$B$12*CEILING(I1299,1)</f>
        <v>1.08</v>
      </c>
      <c r="AA1299" s="39" t="n">
        <f aca="false">Resumo!$B$13*CEILING(I1299,1)</f>
        <v>8.1</v>
      </c>
      <c r="AB1299" s="39" t="n">
        <f aca="false">SUM(U1299:AA1299)</f>
        <v>62.38963</v>
      </c>
      <c r="AC1299" s="39" t="n">
        <f aca="false">AB1299/(1-Resumo!$B$5)</f>
        <v>70.8973068181818</v>
      </c>
      <c r="AD1299" s="39" t="n">
        <f aca="false">(AB1299-AA1299)/(1-Resumo!$B$5)</f>
        <v>61.6927613636364</v>
      </c>
      <c r="AE1299" s="39" t="n">
        <f aca="false">AC1299-T1299</f>
        <v>6.51492477272727</v>
      </c>
      <c r="AF1299" s="40" t="n">
        <f aca="false">AC1299/T1299-1</f>
        <v>0.101191111073332</v>
      </c>
      <c r="AG1299" s="37" t="str">
        <f aca="false">IF(AC1299&lt;T1299,"SIM","NÃO")</f>
        <v>NÃO</v>
      </c>
      <c r="AH1299" s="37" t="n">
        <v>8</v>
      </c>
      <c r="AI1299" s="37" t="n">
        <v>5</v>
      </c>
      <c r="AJ1299" s="37" t="s">
        <v>323</v>
      </c>
    </row>
    <row r="1300" customFormat="false" ht="15" hidden="false" customHeight="false" outlineLevel="0" collapsed="false">
      <c r="A1300" s="37" t="n">
        <v>379923507</v>
      </c>
      <c r="B1300" s="38" t="n">
        <v>46255.4545717593</v>
      </c>
      <c r="C1300" s="37" t="s">
        <v>325</v>
      </c>
      <c r="D1300" s="37" t="s">
        <v>1536</v>
      </c>
      <c r="E1300" s="37" t="n">
        <v>26263175</v>
      </c>
      <c r="F1300" s="37" t="s">
        <v>142</v>
      </c>
      <c r="G1300" s="37" t="s">
        <v>207</v>
      </c>
      <c r="H1300" s="37" t="s">
        <v>176</v>
      </c>
      <c r="I1300" s="37" t="n">
        <v>124.2</v>
      </c>
      <c r="J1300" s="39" t="n">
        <v>1526.91</v>
      </c>
      <c r="K1300" s="37" t="s">
        <v>322</v>
      </c>
      <c r="L1300" s="39" t="n">
        <v>243.91</v>
      </c>
      <c r="M1300" s="39" t="n">
        <v>183.45</v>
      </c>
      <c r="N1300" s="39" t="n">
        <f aca="false">J1300*Resumo!$C$7</f>
        <v>3.05382</v>
      </c>
      <c r="O1300" s="39" t="n">
        <f aca="false">J1300*Resumo!$C$8</f>
        <v>3.05382</v>
      </c>
      <c r="P1300" s="39" t="n">
        <f aca="false">Resumo!$C$10*CEILING(I1300/100,1)</f>
        <v>2</v>
      </c>
      <c r="Q1300" s="39" t="n">
        <f aca="false">Resumo!$C$9</f>
        <v>11.9</v>
      </c>
      <c r="R1300" s="39" t="n">
        <f aca="false">SUM(M1300:Q1300)*Resumo!$C$11</f>
        <v>11.1901702</v>
      </c>
      <c r="S1300" s="39" t="n">
        <f aca="false">SUM(M1300:R1300)</f>
        <v>214.6478102</v>
      </c>
      <c r="T1300" s="39" t="n">
        <f aca="false">S1300/(1-Resumo!$C$5)</f>
        <v>243.917966136364</v>
      </c>
      <c r="U1300" s="39" t="n">
        <v>239.25</v>
      </c>
      <c r="V1300" s="39" t="n">
        <f aca="false">J1300*Resumo!$B$6</f>
        <v>1.52691</v>
      </c>
      <c r="W1300" s="39" t="n">
        <f aca="false">J1300*Resumo!$B$7</f>
        <v>3.05382</v>
      </c>
      <c r="X1300" s="39" t="n">
        <f aca="false">Resumo!$B$9</f>
        <v>1</v>
      </c>
      <c r="Y1300" s="39" t="n">
        <f aca="false">Resumo!$B$10*CEILING(I1300/100,1)</f>
        <v>9</v>
      </c>
      <c r="Z1300" s="39" t="n">
        <f aca="false">Resumo!$B$12*CEILING(I1300,1)</f>
        <v>7.5</v>
      </c>
      <c r="AA1300" s="39" t="n">
        <f aca="false">Resumo!$B$13*CEILING(I1300,1)</f>
        <v>56.25</v>
      </c>
      <c r="AB1300" s="39" t="n">
        <f aca="false">SUM(U1300:AA1300)</f>
        <v>317.58073</v>
      </c>
      <c r="AC1300" s="39" t="n">
        <f aca="false">AB1300/(1-Resumo!$B$5)</f>
        <v>360.887193181818</v>
      </c>
      <c r="AD1300" s="39" t="n">
        <f aca="false">(AB1300-AA1300)/(1-Resumo!$B$5)</f>
        <v>296.966738636364</v>
      </c>
      <c r="AE1300" s="39" t="n">
        <f aca="false">AC1300-T1300</f>
        <v>116.969227045455</v>
      </c>
      <c r="AF1300" s="40" t="n">
        <f aca="false">AC1300/T1300-1</f>
        <v>0.479543302603886</v>
      </c>
      <c r="AG1300" s="37" t="str">
        <f aca="false">IF(AC1300&lt;T1300,"SIM","NÃO")</f>
        <v>NÃO</v>
      </c>
      <c r="AH1300" s="37" t="n">
        <v>10</v>
      </c>
      <c r="AI1300" s="37" t="n">
        <v>5</v>
      </c>
      <c r="AJ1300" s="37" t="s">
        <v>323</v>
      </c>
    </row>
    <row r="1301" customFormat="false" ht="15" hidden="false" customHeight="false" outlineLevel="0" collapsed="false">
      <c r="A1301" s="37" t="n">
        <v>379950170</v>
      </c>
      <c r="B1301" s="38" t="n">
        <v>46255.4953472222</v>
      </c>
      <c r="C1301" s="37" t="s">
        <v>320</v>
      </c>
      <c r="D1301" s="37" t="s">
        <v>1537</v>
      </c>
      <c r="E1301" s="37" t="n">
        <v>20745040</v>
      </c>
      <c r="F1301" s="37" t="s">
        <v>139</v>
      </c>
      <c r="G1301" s="37" t="s">
        <v>198</v>
      </c>
      <c r="H1301" s="37" t="s">
        <v>172</v>
      </c>
      <c r="I1301" s="37" t="n">
        <v>67.03</v>
      </c>
      <c r="J1301" s="39" t="n">
        <v>729.99</v>
      </c>
      <c r="K1301" s="37" t="s">
        <v>322</v>
      </c>
      <c r="L1301" s="39" t="n">
        <v>124.7</v>
      </c>
      <c r="M1301" s="39" t="n">
        <v>88.2</v>
      </c>
      <c r="N1301" s="39" t="n">
        <f aca="false">J1301*Resumo!$C$7</f>
        <v>1.45998</v>
      </c>
      <c r="O1301" s="39" t="n">
        <f aca="false">J1301*Resumo!$C$8</f>
        <v>1.45998</v>
      </c>
      <c r="P1301" s="39" t="n">
        <f aca="false">Resumo!$C$10*CEILING(I1301/100,1)</f>
        <v>1</v>
      </c>
      <c r="Q1301" s="39" t="n">
        <f aca="false">Resumo!$C$9</f>
        <v>11.9</v>
      </c>
      <c r="R1301" s="39" t="n">
        <f aca="false">SUM(M1301:Q1301)*Resumo!$C$11</f>
        <v>5.7210978</v>
      </c>
      <c r="S1301" s="39" t="n">
        <f aca="false">SUM(M1301:R1301)</f>
        <v>109.7410578</v>
      </c>
      <c r="T1301" s="39" t="n">
        <f aca="false">S1301/(1-Resumo!$C$5)</f>
        <v>124.7057475</v>
      </c>
      <c r="U1301" s="39" t="n">
        <v>131.02</v>
      </c>
      <c r="V1301" s="39" t="n">
        <f aca="false">J1301*Resumo!$B$6</f>
        <v>0.72999</v>
      </c>
      <c r="W1301" s="39" t="n">
        <f aca="false">J1301*Resumo!$B$7</f>
        <v>1.45998</v>
      </c>
      <c r="X1301" s="39" t="n">
        <f aca="false">Resumo!$B$9</f>
        <v>1</v>
      </c>
      <c r="Y1301" s="39" t="n">
        <f aca="false">Resumo!$B$10*CEILING(I1301/100,1)</f>
        <v>4.5</v>
      </c>
      <c r="Z1301" s="39" t="n">
        <f aca="false">Resumo!$B$12*CEILING(I1301,1)</f>
        <v>4.08</v>
      </c>
      <c r="AA1301" s="39" t="n">
        <f aca="false">Resumo!$B$13*CEILING(I1301,1)</f>
        <v>30.6</v>
      </c>
      <c r="AB1301" s="39" t="n">
        <f aca="false">SUM(U1301:AA1301)</f>
        <v>173.38997</v>
      </c>
      <c r="AC1301" s="39" t="n">
        <f aca="false">AB1301/(1-Resumo!$B$5)</f>
        <v>197.034056818182</v>
      </c>
      <c r="AD1301" s="39" t="n">
        <f aca="false">(AB1301-AA1301)/(1-Resumo!$B$5)</f>
        <v>162.261329545455</v>
      </c>
      <c r="AE1301" s="39" t="n">
        <f aca="false">AC1301-T1301</f>
        <v>72.3283093181818</v>
      </c>
      <c r="AF1301" s="40" t="n">
        <f aca="false">AC1301/T1301-1</f>
        <v>0.579991786811445</v>
      </c>
      <c r="AG1301" s="37" t="str">
        <f aca="false">IF(AC1301&lt;T1301,"SIM","NÃO")</f>
        <v>NÃO</v>
      </c>
      <c r="AH1301" s="37" t="n">
        <v>8</v>
      </c>
      <c r="AI1301" s="37" t="n">
        <v>5</v>
      </c>
      <c r="AJ1301" s="37" t="s">
        <v>323</v>
      </c>
    </row>
    <row r="1302" customFormat="false" ht="15" hidden="false" customHeight="false" outlineLevel="0" collapsed="false">
      <c r="A1302" s="37" t="n">
        <v>379955288</v>
      </c>
      <c r="B1302" s="38" t="n">
        <v>46255.5027083333</v>
      </c>
      <c r="C1302" s="37" t="s">
        <v>320</v>
      </c>
      <c r="D1302" s="37" t="s">
        <v>1538</v>
      </c>
      <c r="E1302" s="37" t="n">
        <v>21770190</v>
      </c>
      <c r="F1302" s="37" t="s">
        <v>139</v>
      </c>
      <c r="G1302" s="37" t="s">
        <v>198</v>
      </c>
      <c r="H1302" s="37" t="s">
        <v>171</v>
      </c>
      <c r="I1302" s="37" t="n">
        <v>52.3</v>
      </c>
      <c r="J1302" s="39" t="n">
        <v>669.99</v>
      </c>
      <c r="K1302" s="37" t="s">
        <v>322</v>
      </c>
      <c r="L1302" s="39" t="n">
        <v>114.36</v>
      </c>
      <c r="M1302" s="39" t="n">
        <v>79.81</v>
      </c>
      <c r="N1302" s="39" t="n">
        <f aca="false">J1302*Resumo!$C$7</f>
        <v>1.33998</v>
      </c>
      <c r="O1302" s="39" t="n">
        <f aca="false">J1302*Resumo!$C$8</f>
        <v>1.33998</v>
      </c>
      <c r="P1302" s="39" t="n">
        <f aca="false">Resumo!$C$10*CEILING(I1302/100,1)</f>
        <v>1</v>
      </c>
      <c r="Q1302" s="39" t="n">
        <f aca="false">Resumo!$C$9</f>
        <v>11.9</v>
      </c>
      <c r="R1302" s="39" t="n">
        <f aca="false">SUM(M1302:Q1302)*Resumo!$C$11</f>
        <v>5.2464478</v>
      </c>
      <c r="S1302" s="39" t="n">
        <f aca="false">SUM(M1302:R1302)</f>
        <v>100.6364078</v>
      </c>
      <c r="T1302" s="39" t="n">
        <f aca="false">S1302/(1-Resumo!$C$5)</f>
        <v>114.359554318182</v>
      </c>
      <c r="U1302" s="39" t="n">
        <v>112.3</v>
      </c>
      <c r="V1302" s="39" t="n">
        <f aca="false">J1302*Resumo!$B$6</f>
        <v>0.66999</v>
      </c>
      <c r="W1302" s="39" t="n">
        <f aca="false">J1302*Resumo!$B$7</f>
        <v>1.33998</v>
      </c>
      <c r="X1302" s="39" t="n">
        <f aca="false">Resumo!$B$9</f>
        <v>1</v>
      </c>
      <c r="Y1302" s="39" t="n">
        <f aca="false">Resumo!$B$10*CEILING(I1302/100,1)</f>
        <v>4.5</v>
      </c>
      <c r="Z1302" s="39" t="n">
        <f aca="false">Resumo!$B$12*CEILING(I1302,1)</f>
        <v>3.18</v>
      </c>
      <c r="AA1302" s="39" t="n">
        <f aca="false">Resumo!$B$13*CEILING(I1302,1)</f>
        <v>23.85</v>
      </c>
      <c r="AB1302" s="39" t="n">
        <f aca="false">SUM(U1302:AA1302)</f>
        <v>146.83997</v>
      </c>
      <c r="AC1302" s="39" t="n">
        <f aca="false">AB1302/(1-Resumo!$B$5)</f>
        <v>166.863602272727</v>
      </c>
      <c r="AD1302" s="39" t="n">
        <f aca="false">(AB1302-AA1302)/(1-Resumo!$B$5)</f>
        <v>139.761329545455</v>
      </c>
      <c r="AE1302" s="39" t="n">
        <f aca="false">AC1302-T1302</f>
        <v>52.5040479545454</v>
      </c>
      <c r="AF1302" s="40" t="n">
        <f aca="false">AC1302/T1302-1</f>
        <v>0.459113786054673</v>
      </c>
      <c r="AG1302" s="37" t="str">
        <f aca="false">IF(AC1302&lt;T1302,"SIM","NÃO")</f>
        <v>NÃO</v>
      </c>
      <c r="AH1302" s="37" t="n">
        <v>8</v>
      </c>
      <c r="AI1302" s="37" t="n">
        <v>5</v>
      </c>
      <c r="AJ1302" s="37" t="s">
        <v>323</v>
      </c>
    </row>
    <row r="1303" customFormat="false" ht="15" hidden="false" customHeight="false" outlineLevel="0" collapsed="false">
      <c r="A1303" s="37" t="n">
        <v>379956030</v>
      </c>
      <c r="B1303" s="38" t="n">
        <v>46255.5040972222</v>
      </c>
      <c r="C1303" s="37" t="s">
        <v>320</v>
      </c>
      <c r="D1303" s="37" t="s">
        <v>1539</v>
      </c>
      <c r="E1303" s="37" t="n">
        <v>25565040</v>
      </c>
      <c r="F1303" s="37" t="s">
        <v>147</v>
      </c>
      <c r="G1303" s="37" t="s">
        <v>207</v>
      </c>
      <c r="H1303" s="37" t="s">
        <v>169</v>
      </c>
      <c r="I1303" s="37" t="n">
        <v>36.8</v>
      </c>
      <c r="J1303" s="39" t="n">
        <v>439.99</v>
      </c>
      <c r="K1303" s="37" t="s">
        <v>322</v>
      </c>
      <c r="L1303" s="39" t="n">
        <v>113.07</v>
      </c>
      <c r="M1303" s="39" t="n">
        <v>79.65</v>
      </c>
      <c r="N1303" s="39" t="n">
        <f aca="false">J1303*Resumo!$C$7</f>
        <v>0.87998</v>
      </c>
      <c r="O1303" s="39" t="n">
        <f aca="false">J1303*Resumo!$C$8</f>
        <v>0.87998</v>
      </c>
      <c r="P1303" s="39" t="n">
        <f aca="false">Resumo!$C$10*CEILING(I1303/100,1)</f>
        <v>1</v>
      </c>
      <c r="Q1303" s="39" t="n">
        <f aca="false">Resumo!$C$9</f>
        <v>11.9</v>
      </c>
      <c r="R1303" s="39" t="n">
        <f aca="false">SUM(M1303:Q1303)*Resumo!$C$11</f>
        <v>5.1870478</v>
      </c>
      <c r="S1303" s="39" t="n">
        <f aca="false">SUM(M1303:R1303)</f>
        <v>99.4970078</v>
      </c>
      <c r="T1303" s="39" t="n">
        <f aca="false">S1303/(1-Resumo!$C$5)</f>
        <v>113.064781590909</v>
      </c>
      <c r="U1303" s="39" t="n">
        <v>93.97</v>
      </c>
      <c r="V1303" s="39" t="n">
        <f aca="false">J1303*Resumo!$B$6</f>
        <v>0.43999</v>
      </c>
      <c r="W1303" s="39" t="n">
        <f aca="false">J1303*Resumo!$B$7</f>
        <v>0.87998</v>
      </c>
      <c r="X1303" s="39" t="n">
        <f aca="false">Resumo!$B$9</f>
        <v>1</v>
      </c>
      <c r="Y1303" s="39" t="n">
        <f aca="false">Resumo!$B$10*CEILING(I1303/100,1)</f>
        <v>4.5</v>
      </c>
      <c r="Z1303" s="39" t="n">
        <f aca="false">Resumo!$B$12*CEILING(I1303,1)</f>
        <v>2.22</v>
      </c>
      <c r="AA1303" s="39" t="n">
        <f aca="false">Resumo!$B$13*CEILING(I1303,1)</f>
        <v>16.65</v>
      </c>
      <c r="AB1303" s="39" t="n">
        <f aca="false">SUM(U1303:AA1303)</f>
        <v>119.65997</v>
      </c>
      <c r="AC1303" s="39" t="n">
        <f aca="false">AB1303/(1-Resumo!$B$5)</f>
        <v>135.977238636364</v>
      </c>
      <c r="AD1303" s="39" t="n">
        <f aca="false">(AB1303-AA1303)/(1-Resumo!$B$5)</f>
        <v>117.056784090909</v>
      </c>
      <c r="AE1303" s="39" t="n">
        <f aca="false">AC1303-T1303</f>
        <v>22.9124570454545</v>
      </c>
      <c r="AF1303" s="40" t="n">
        <f aca="false">AC1303/T1303-1</f>
        <v>0.202648930312857</v>
      </c>
      <c r="AG1303" s="37" t="str">
        <f aca="false">IF(AC1303&lt;T1303,"SIM","NÃO")</f>
        <v>NÃO</v>
      </c>
      <c r="AH1303" s="37" t="n">
        <v>10</v>
      </c>
      <c r="AI1303" s="37" t="n">
        <v>5</v>
      </c>
      <c r="AJ1303" s="37" t="s">
        <v>323</v>
      </c>
    </row>
    <row r="1304" customFormat="false" ht="15" hidden="false" customHeight="false" outlineLevel="0" collapsed="false">
      <c r="A1304" s="37" t="n">
        <v>379971236</v>
      </c>
      <c r="B1304" s="38" t="n">
        <v>46255.5226388889</v>
      </c>
      <c r="C1304" s="37" t="s">
        <v>320</v>
      </c>
      <c r="D1304" s="37" t="s">
        <v>1540</v>
      </c>
      <c r="E1304" s="37" t="n">
        <v>28623583</v>
      </c>
      <c r="F1304" s="37" t="s">
        <v>157</v>
      </c>
      <c r="G1304" s="37" t="s">
        <v>201</v>
      </c>
      <c r="H1304" s="37" t="s">
        <v>174</v>
      </c>
      <c r="I1304" s="37" t="n">
        <v>82</v>
      </c>
      <c r="J1304" s="39" t="n">
        <v>1059.98</v>
      </c>
      <c r="K1304" s="37" t="s">
        <v>322</v>
      </c>
      <c r="L1304" s="39" t="n">
        <v>193.68</v>
      </c>
      <c r="M1304" s="39" t="n">
        <v>144.41</v>
      </c>
      <c r="N1304" s="39" t="n">
        <f aca="false">J1304*Resumo!$C$7</f>
        <v>2.11996</v>
      </c>
      <c r="O1304" s="39" t="n">
        <f aca="false">J1304*Resumo!$C$8</f>
        <v>2.11996</v>
      </c>
      <c r="P1304" s="39" t="n">
        <f aca="false">Resumo!$C$10*CEILING(I1304/100,1)</f>
        <v>1</v>
      </c>
      <c r="Q1304" s="39" t="n">
        <f aca="false">Resumo!$C$9</f>
        <v>11.9</v>
      </c>
      <c r="R1304" s="39" t="n">
        <f aca="false">SUM(M1304:Q1304)*Resumo!$C$11</f>
        <v>8.8852456</v>
      </c>
      <c r="S1304" s="39" t="n">
        <f aca="false">SUM(M1304:R1304)</f>
        <v>170.4351656</v>
      </c>
      <c r="T1304" s="39" t="n">
        <f aca="false">S1304/(1-Resumo!$C$5)</f>
        <v>193.676324545455</v>
      </c>
      <c r="U1304" s="39" t="n">
        <v>197.35</v>
      </c>
      <c r="V1304" s="39" t="n">
        <f aca="false">J1304*Resumo!$B$6</f>
        <v>1.05998</v>
      </c>
      <c r="W1304" s="39" t="n">
        <f aca="false">J1304*Resumo!$B$7</f>
        <v>2.11996</v>
      </c>
      <c r="X1304" s="39" t="n">
        <f aca="false">Resumo!$B$9</f>
        <v>1</v>
      </c>
      <c r="Y1304" s="39" t="n">
        <f aca="false">Resumo!$B$10*CEILING(I1304/100,1)</f>
        <v>4.5</v>
      </c>
      <c r="Z1304" s="39" t="n">
        <f aca="false">Resumo!$B$12*CEILING(I1304,1)</f>
        <v>4.92</v>
      </c>
      <c r="AA1304" s="39" t="n">
        <f aca="false">Resumo!$B$13*CEILING(I1304,1)</f>
        <v>36.9</v>
      </c>
      <c r="AB1304" s="39" t="n">
        <f aca="false">SUM(U1304:AA1304)</f>
        <v>247.84994</v>
      </c>
      <c r="AC1304" s="39" t="n">
        <f aca="false">AB1304/(1-Resumo!$B$5)</f>
        <v>281.647659090909</v>
      </c>
      <c r="AD1304" s="39" t="n">
        <f aca="false">(AB1304-AA1304)/(1-Resumo!$B$5)</f>
        <v>239.715840909091</v>
      </c>
      <c r="AE1304" s="39" t="n">
        <f aca="false">AC1304-T1304</f>
        <v>87.9713345454546</v>
      </c>
      <c r="AF1304" s="40" t="n">
        <f aca="false">AC1304/T1304-1</f>
        <v>0.454218318898386</v>
      </c>
      <c r="AG1304" s="37" t="str">
        <f aca="false">IF(AC1304&lt;T1304,"SIM","NÃO")</f>
        <v>NÃO</v>
      </c>
      <c r="AH1304" s="37" t="n">
        <v>13</v>
      </c>
      <c r="AI1304" s="37" t="n">
        <v>10</v>
      </c>
      <c r="AJ1304" s="37" t="s">
        <v>323</v>
      </c>
    </row>
    <row r="1305" customFormat="false" ht="15" hidden="false" customHeight="false" outlineLevel="0" collapsed="false">
      <c r="A1305" s="37" t="n">
        <v>379972305</v>
      </c>
      <c r="B1305" s="38" t="n">
        <v>46255.5236342593</v>
      </c>
      <c r="C1305" s="37" t="s">
        <v>325</v>
      </c>
      <c r="D1305" s="37" t="s">
        <v>1541</v>
      </c>
      <c r="E1305" s="37" t="n">
        <v>23059318</v>
      </c>
      <c r="F1305" s="37" t="s">
        <v>139</v>
      </c>
      <c r="G1305" s="37" t="s">
        <v>198</v>
      </c>
      <c r="H1305" s="37" t="s">
        <v>174</v>
      </c>
      <c r="I1305" s="37" t="n">
        <v>81.7</v>
      </c>
      <c r="J1305" s="39" t="n">
        <v>639.76</v>
      </c>
      <c r="K1305" s="37" t="s">
        <v>322</v>
      </c>
      <c r="L1305" s="39" t="n">
        <v>162.16</v>
      </c>
      <c r="M1305" s="39" t="n">
        <v>119.8</v>
      </c>
      <c r="N1305" s="39" t="n">
        <f aca="false">J1305*Resumo!$C$7</f>
        <v>1.27952</v>
      </c>
      <c r="O1305" s="39" t="n">
        <f aca="false">J1305*Resumo!$C$8</f>
        <v>1.27952</v>
      </c>
      <c r="P1305" s="39" t="n">
        <f aca="false">Resumo!$C$10*CEILING(I1305/100,1)</f>
        <v>1</v>
      </c>
      <c r="Q1305" s="39" t="n">
        <f aca="false">Resumo!$C$9</f>
        <v>11.9</v>
      </c>
      <c r="R1305" s="39" t="n">
        <f aca="false">SUM(M1305:Q1305)*Resumo!$C$11</f>
        <v>7.4392472</v>
      </c>
      <c r="S1305" s="39" t="n">
        <f aca="false">SUM(M1305:R1305)</f>
        <v>142.6982872</v>
      </c>
      <c r="T1305" s="39" t="n">
        <f aca="false">S1305/(1-Resumo!$C$5)</f>
        <v>162.157144545455</v>
      </c>
      <c r="U1305" s="39" t="n">
        <v>167.99</v>
      </c>
      <c r="V1305" s="39" t="n">
        <f aca="false">J1305*Resumo!$B$6</f>
        <v>0.63976</v>
      </c>
      <c r="W1305" s="39" t="n">
        <f aca="false">J1305*Resumo!$B$7</f>
        <v>1.27952</v>
      </c>
      <c r="X1305" s="39" t="n">
        <f aca="false">Resumo!$B$9</f>
        <v>1</v>
      </c>
      <c r="Y1305" s="39" t="n">
        <f aca="false">Resumo!$B$10*CEILING(I1305/100,1)</f>
        <v>4.5</v>
      </c>
      <c r="Z1305" s="39" t="n">
        <f aca="false">Resumo!$B$12*CEILING(I1305,1)</f>
        <v>4.92</v>
      </c>
      <c r="AA1305" s="39" t="n">
        <f aca="false">Resumo!$B$13*CEILING(I1305,1)</f>
        <v>36.9</v>
      </c>
      <c r="AB1305" s="39" t="n">
        <f aca="false">SUM(U1305:AA1305)</f>
        <v>217.22928</v>
      </c>
      <c r="AC1305" s="39" t="n">
        <f aca="false">AB1305/(1-Resumo!$B$5)</f>
        <v>246.851454545455</v>
      </c>
      <c r="AD1305" s="39" t="n">
        <f aca="false">(AB1305-AA1305)/(1-Resumo!$B$5)</f>
        <v>204.919636363636</v>
      </c>
      <c r="AE1305" s="39" t="n">
        <f aca="false">AC1305-T1305</f>
        <v>84.69431</v>
      </c>
      <c r="AF1305" s="40" t="n">
        <f aca="false">AC1305/T1305-1</f>
        <v>0.522297739254154</v>
      </c>
      <c r="AG1305" s="37" t="str">
        <f aca="false">IF(AC1305&lt;T1305,"SIM","NÃO")</f>
        <v>NÃO</v>
      </c>
      <c r="AH1305" s="37" t="n">
        <v>8</v>
      </c>
      <c r="AI1305" s="37" t="n">
        <v>5</v>
      </c>
      <c r="AJ1305" s="37" t="s">
        <v>323</v>
      </c>
    </row>
    <row r="1306" customFormat="false" ht="15" hidden="false" customHeight="false" outlineLevel="0" collapsed="false">
      <c r="A1306" s="37" t="n">
        <v>379983076</v>
      </c>
      <c r="B1306" s="38" t="n">
        <v>46255.536412037</v>
      </c>
      <c r="C1306" s="37" t="s">
        <v>320</v>
      </c>
      <c r="D1306" s="37" t="s">
        <v>1542</v>
      </c>
      <c r="E1306" s="37" t="n">
        <v>24740110</v>
      </c>
      <c r="F1306" s="37" t="s">
        <v>140</v>
      </c>
      <c r="G1306" s="37" t="s">
        <v>207</v>
      </c>
      <c r="H1306" s="37" t="s">
        <v>170</v>
      </c>
      <c r="I1306" s="37" t="n">
        <v>46.8</v>
      </c>
      <c r="J1306" s="39" t="n">
        <v>506.56</v>
      </c>
      <c r="K1306" s="37" t="s">
        <v>322</v>
      </c>
      <c r="L1306" s="39" t="n">
        <v>116.49</v>
      </c>
      <c r="M1306" s="39" t="n">
        <v>82.25</v>
      </c>
      <c r="N1306" s="39" t="n">
        <f aca="false">J1306*Resumo!$C$7</f>
        <v>1.01312</v>
      </c>
      <c r="O1306" s="39" t="n">
        <f aca="false">J1306*Resumo!$C$8</f>
        <v>1.01312</v>
      </c>
      <c r="P1306" s="39" t="n">
        <f aca="false">Resumo!$C$10*CEILING(I1306/100,1)</f>
        <v>1</v>
      </c>
      <c r="Q1306" s="39" t="n">
        <f aca="false">Resumo!$C$9</f>
        <v>11.9</v>
      </c>
      <c r="R1306" s="39" t="n">
        <f aca="false">SUM(M1306:Q1306)*Resumo!$C$11</f>
        <v>5.3446932</v>
      </c>
      <c r="S1306" s="39" t="n">
        <f aca="false">SUM(M1306:R1306)</f>
        <v>102.5209332</v>
      </c>
      <c r="T1306" s="39" t="n">
        <f aca="false">S1306/(1-Resumo!$C$5)</f>
        <v>116.501060454545</v>
      </c>
      <c r="U1306" s="39" t="n">
        <v>114.95</v>
      </c>
      <c r="V1306" s="39" t="n">
        <f aca="false">J1306*Resumo!$B$6</f>
        <v>0.50656</v>
      </c>
      <c r="W1306" s="39" t="n">
        <f aca="false">J1306*Resumo!$B$7</f>
        <v>1.01312</v>
      </c>
      <c r="X1306" s="39" t="n">
        <f aca="false">Resumo!$B$9</f>
        <v>1</v>
      </c>
      <c r="Y1306" s="39" t="n">
        <f aca="false">Resumo!$B$10*CEILING(I1306/100,1)</f>
        <v>4.5</v>
      </c>
      <c r="Z1306" s="39" t="n">
        <f aca="false">Resumo!$B$12*CEILING(I1306,1)</f>
        <v>2.82</v>
      </c>
      <c r="AA1306" s="39" t="n">
        <f aca="false">Resumo!$B$13*CEILING(I1306,1)</f>
        <v>21.15</v>
      </c>
      <c r="AB1306" s="39" t="n">
        <f aca="false">SUM(U1306:AA1306)</f>
        <v>145.93968</v>
      </c>
      <c r="AC1306" s="39" t="n">
        <f aca="false">AB1306/(1-Resumo!$B$5)</f>
        <v>165.840545454545</v>
      </c>
      <c r="AD1306" s="39" t="n">
        <f aca="false">(AB1306-AA1306)/(1-Resumo!$B$5)</f>
        <v>141.806454545455</v>
      </c>
      <c r="AE1306" s="39" t="n">
        <f aca="false">AC1306-T1306</f>
        <v>49.339485</v>
      </c>
      <c r="AF1306" s="40" t="n">
        <f aca="false">AC1306/T1306-1</f>
        <v>0.42351103764631</v>
      </c>
      <c r="AG1306" s="37" t="str">
        <f aca="false">IF(AC1306&lt;T1306,"SIM","NÃO")</f>
        <v>NÃO</v>
      </c>
      <c r="AH1306" s="37" t="n">
        <v>10</v>
      </c>
      <c r="AI1306" s="37" t="n">
        <v>7</v>
      </c>
      <c r="AJ1306" s="37" t="s">
        <v>323</v>
      </c>
    </row>
    <row r="1307" customFormat="false" ht="15" hidden="false" customHeight="false" outlineLevel="0" collapsed="false">
      <c r="A1307" s="37" t="n">
        <v>380003751</v>
      </c>
      <c r="B1307" s="38" t="n">
        <v>46255.5615393519</v>
      </c>
      <c r="C1307" s="37" t="s">
        <v>320</v>
      </c>
      <c r="D1307" s="37" t="s">
        <v>1543</v>
      </c>
      <c r="E1307" s="37" t="n">
        <v>24722315</v>
      </c>
      <c r="F1307" s="37" t="s">
        <v>140</v>
      </c>
      <c r="G1307" s="37" t="s">
        <v>207</v>
      </c>
      <c r="H1307" s="37" t="s">
        <v>171</v>
      </c>
      <c r="I1307" s="37" t="n">
        <v>52.3</v>
      </c>
      <c r="J1307" s="39" t="n">
        <v>669.99</v>
      </c>
      <c r="K1307" s="37" t="s">
        <v>322</v>
      </c>
      <c r="L1307" s="39" t="n">
        <v>128.49</v>
      </c>
      <c r="M1307" s="39" t="n">
        <v>91.6</v>
      </c>
      <c r="N1307" s="39" t="n">
        <f aca="false">J1307*Resumo!$C$7</f>
        <v>1.33998</v>
      </c>
      <c r="O1307" s="39" t="n">
        <f aca="false">J1307*Resumo!$C$8</f>
        <v>1.33998</v>
      </c>
      <c r="P1307" s="39" t="n">
        <f aca="false">Resumo!$C$10*CEILING(I1307/100,1)</f>
        <v>1</v>
      </c>
      <c r="Q1307" s="39" t="n">
        <f aca="false">Resumo!$C$9</f>
        <v>11.9</v>
      </c>
      <c r="R1307" s="39" t="n">
        <f aca="false">SUM(M1307:Q1307)*Resumo!$C$11</f>
        <v>5.8948978</v>
      </c>
      <c r="S1307" s="39" t="n">
        <f aca="false">SUM(M1307:R1307)</f>
        <v>113.0748578</v>
      </c>
      <c r="T1307" s="39" t="n">
        <f aca="false">S1307/(1-Resumo!$C$5)</f>
        <v>128.494156590909</v>
      </c>
      <c r="U1307" s="39" t="n">
        <v>128.14</v>
      </c>
      <c r="V1307" s="39" t="n">
        <f aca="false">J1307*Resumo!$B$6</f>
        <v>0.66999</v>
      </c>
      <c r="W1307" s="39" t="n">
        <f aca="false">J1307*Resumo!$B$7</f>
        <v>1.33998</v>
      </c>
      <c r="X1307" s="39" t="n">
        <f aca="false">Resumo!$B$9</f>
        <v>1</v>
      </c>
      <c r="Y1307" s="39" t="n">
        <f aca="false">Resumo!$B$10*CEILING(I1307/100,1)</f>
        <v>4.5</v>
      </c>
      <c r="Z1307" s="39" t="n">
        <f aca="false">Resumo!$B$12*CEILING(I1307,1)</f>
        <v>3.18</v>
      </c>
      <c r="AA1307" s="39" t="n">
        <f aca="false">Resumo!$B$13*CEILING(I1307,1)</f>
        <v>23.85</v>
      </c>
      <c r="AB1307" s="39" t="n">
        <f aca="false">SUM(U1307:AA1307)</f>
        <v>162.67997</v>
      </c>
      <c r="AC1307" s="39" t="n">
        <f aca="false">AB1307/(1-Resumo!$B$5)</f>
        <v>184.863602272727</v>
      </c>
      <c r="AD1307" s="39" t="n">
        <f aca="false">(AB1307-AA1307)/(1-Resumo!$B$5)</f>
        <v>157.761329545455</v>
      </c>
      <c r="AE1307" s="39" t="n">
        <f aca="false">AC1307-T1307</f>
        <v>56.3694456818182</v>
      </c>
      <c r="AF1307" s="40" t="n">
        <f aca="false">AC1307/T1307-1</f>
        <v>0.438692678152543</v>
      </c>
      <c r="AG1307" s="37" t="str">
        <f aca="false">IF(AC1307&lt;T1307,"SIM","NÃO")</f>
        <v>NÃO</v>
      </c>
      <c r="AH1307" s="37" t="n">
        <v>10</v>
      </c>
      <c r="AI1307" s="37" t="n">
        <v>7</v>
      </c>
      <c r="AJ1307" s="37" t="s">
        <v>323</v>
      </c>
    </row>
    <row r="1308" customFormat="false" ht="15" hidden="false" customHeight="false" outlineLevel="0" collapsed="false">
      <c r="A1308" s="37" t="n">
        <v>380004316</v>
      </c>
      <c r="B1308" s="38" t="n">
        <v>46255.5623958333</v>
      </c>
      <c r="C1308" s="37" t="s">
        <v>320</v>
      </c>
      <c r="D1308" s="37" t="s">
        <v>1544</v>
      </c>
      <c r="E1308" s="37" t="n">
        <v>26278670</v>
      </c>
      <c r="F1308" s="37" t="s">
        <v>142</v>
      </c>
      <c r="G1308" s="37" t="s">
        <v>207</v>
      </c>
      <c r="H1308" s="37" t="s">
        <v>172</v>
      </c>
      <c r="I1308" s="37" t="n">
        <v>68.8</v>
      </c>
      <c r="J1308" s="39" t="n">
        <v>879.98</v>
      </c>
      <c r="K1308" s="37" t="s">
        <v>322</v>
      </c>
      <c r="L1308" s="39" t="n">
        <v>140.65</v>
      </c>
      <c r="M1308" s="39" t="n">
        <v>100.9</v>
      </c>
      <c r="N1308" s="39" t="n">
        <f aca="false">J1308*Resumo!$C$7</f>
        <v>1.75996</v>
      </c>
      <c r="O1308" s="39" t="n">
        <f aca="false">J1308*Resumo!$C$8</f>
        <v>1.75996</v>
      </c>
      <c r="P1308" s="39" t="n">
        <f aca="false">Resumo!$C$10*CEILING(I1308/100,1)</f>
        <v>1</v>
      </c>
      <c r="Q1308" s="39" t="n">
        <f aca="false">Resumo!$C$9</f>
        <v>11.9</v>
      </c>
      <c r="R1308" s="39" t="n">
        <f aca="false">SUM(M1308:Q1308)*Resumo!$C$11</f>
        <v>6.4525956</v>
      </c>
      <c r="S1308" s="39" t="n">
        <f aca="false">SUM(M1308:R1308)</f>
        <v>123.7725156</v>
      </c>
      <c r="T1308" s="39" t="n">
        <f aca="false">S1308/(1-Resumo!$C$5)</f>
        <v>140.650585909091</v>
      </c>
      <c r="U1308" s="39" t="n">
        <v>131.02</v>
      </c>
      <c r="V1308" s="39" t="n">
        <f aca="false">J1308*Resumo!$B$6</f>
        <v>0.87998</v>
      </c>
      <c r="W1308" s="39" t="n">
        <f aca="false">J1308*Resumo!$B$7</f>
        <v>1.75996</v>
      </c>
      <c r="X1308" s="39" t="n">
        <f aca="false">Resumo!$B$9</f>
        <v>1</v>
      </c>
      <c r="Y1308" s="39" t="n">
        <f aca="false">Resumo!$B$10*CEILING(I1308/100,1)</f>
        <v>4.5</v>
      </c>
      <c r="Z1308" s="39" t="n">
        <f aca="false">Resumo!$B$12*CEILING(I1308,1)</f>
        <v>4.14</v>
      </c>
      <c r="AA1308" s="39" t="n">
        <f aca="false">Resumo!$B$13*CEILING(I1308,1)</f>
        <v>31.05</v>
      </c>
      <c r="AB1308" s="39" t="n">
        <f aca="false">SUM(U1308:AA1308)</f>
        <v>174.34994</v>
      </c>
      <c r="AC1308" s="39" t="n">
        <f aca="false">AB1308/(1-Resumo!$B$5)</f>
        <v>198.124931818182</v>
      </c>
      <c r="AD1308" s="39" t="n">
        <f aca="false">(AB1308-AA1308)/(1-Resumo!$B$5)</f>
        <v>162.840840909091</v>
      </c>
      <c r="AE1308" s="39" t="n">
        <f aca="false">AC1308-T1308</f>
        <v>57.4743459090909</v>
      </c>
      <c r="AF1308" s="40" t="n">
        <f aca="false">AC1308/T1308-1</f>
        <v>0.408632111538016</v>
      </c>
      <c r="AG1308" s="37" t="str">
        <f aca="false">IF(AC1308&lt;T1308,"SIM","NÃO")</f>
        <v>NÃO</v>
      </c>
      <c r="AH1308" s="37" t="n">
        <v>10</v>
      </c>
      <c r="AI1308" s="37" t="n">
        <v>5</v>
      </c>
      <c r="AJ1308" s="37" t="s">
        <v>323</v>
      </c>
    </row>
    <row r="1309" customFormat="false" ht="15" hidden="false" customHeight="false" outlineLevel="0" collapsed="false">
      <c r="A1309" s="37" t="n">
        <v>380098807</v>
      </c>
      <c r="B1309" s="38" t="n">
        <v>46255.5630555556</v>
      </c>
      <c r="C1309" s="37" t="s">
        <v>325</v>
      </c>
      <c r="D1309" s="37" t="s">
        <v>801</v>
      </c>
      <c r="E1309" s="37" t="n">
        <v>21061020</v>
      </c>
      <c r="F1309" s="37" t="s">
        <v>139</v>
      </c>
      <c r="G1309" s="37" t="s">
        <v>198</v>
      </c>
      <c r="H1309" s="37" t="s">
        <v>174</v>
      </c>
      <c r="I1309" s="37" t="n">
        <v>94.8</v>
      </c>
      <c r="J1309" s="39" t="n">
        <v>1056.2</v>
      </c>
      <c r="K1309" s="37" t="s">
        <v>322</v>
      </c>
      <c r="L1309" s="39" t="n">
        <v>164.15</v>
      </c>
      <c r="M1309" s="39" t="n">
        <v>119.8</v>
      </c>
      <c r="N1309" s="39" t="n">
        <f aca="false">J1309*Resumo!$C$7</f>
        <v>2.1124</v>
      </c>
      <c r="O1309" s="39" t="n">
        <f aca="false">J1309*Resumo!$C$8</f>
        <v>2.1124</v>
      </c>
      <c r="P1309" s="39" t="n">
        <f aca="false">Resumo!$C$10*CEILING(I1309/100,1)</f>
        <v>1</v>
      </c>
      <c r="Q1309" s="39" t="n">
        <f aca="false">Resumo!$C$9</f>
        <v>11.9</v>
      </c>
      <c r="R1309" s="39" t="n">
        <f aca="false">SUM(M1309:Q1309)*Resumo!$C$11</f>
        <v>7.530864</v>
      </c>
      <c r="S1309" s="39" t="n">
        <f aca="false">SUM(M1309:R1309)</f>
        <v>144.455664</v>
      </c>
      <c r="T1309" s="39" t="n">
        <f aca="false">S1309/(1-Resumo!$C$5)</f>
        <v>164.154163636364</v>
      </c>
      <c r="U1309" s="39" t="n">
        <v>167.99</v>
      </c>
      <c r="V1309" s="39" t="n">
        <f aca="false">J1309*Resumo!$B$6</f>
        <v>1.0562</v>
      </c>
      <c r="W1309" s="39" t="n">
        <f aca="false">J1309*Resumo!$B$7</f>
        <v>2.1124</v>
      </c>
      <c r="X1309" s="39" t="n">
        <f aca="false">Resumo!$B$9</f>
        <v>1</v>
      </c>
      <c r="Y1309" s="39" t="n">
        <f aca="false">Resumo!$B$10*CEILING(I1309/100,1)</f>
        <v>4.5</v>
      </c>
      <c r="Z1309" s="39" t="n">
        <f aca="false">Resumo!$B$12*CEILING(I1309,1)</f>
        <v>5.7</v>
      </c>
      <c r="AA1309" s="39" t="n">
        <f aca="false">Resumo!$B$13*CEILING(I1309,1)</f>
        <v>42.75</v>
      </c>
      <c r="AB1309" s="39" t="n">
        <f aca="false">SUM(U1309:AA1309)</f>
        <v>225.1086</v>
      </c>
      <c r="AC1309" s="39" t="n">
        <f aca="false">AB1309/(1-Resumo!$B$5)</f>
        <v>255.805227272727</v>
      </c>
      <c r="AD1309" s="39" t="n">
        <f aca="false">(AB1309-AA1309)/(1-Resumo!$B$5)</f>
        <v>207.225681818182</v>
      </c>
      <c r="AE1309" s="39" t="n">
        <f aca="false">AC1309-T1309</f>
        <v>91.6510636363636</v>
      </c>
      <c r="AF1309" s="40" t="n">
        <f aca="false">AC1309/T1309-1</f>
        <v>0.558323112896425</v>
      </c>
      <c r="AG1309" s="37" t="str">
        <f aca="false">IF(AC1309&lt;T1309,"SIM","NÃO")</f>
        <v>NÃO</v>
      </c>
      <c r="AH1309" s="37" t="n">
        <v>8</v>
      </c>
      <c r="AI1309" s="37" t="n">
        <v>5</v>
      </c>
      <c r="AJ1309" s="37" t="s">
        <v>323</v>
      </c>
    </row>
    <row r="1310" customFormat="false" ht="15" hidden="false" customHeight="false" outlineLevel="0" collapsed="false">
      <c r="A1310" s="37" t="n">
        <v>380027413</v>
      </c>
      <c r="B1310" s="38" t="n">
        <v>46255.5907638889</v>
      </c>
      <c r="C1310" s="37" t="s">
        <v>320</v>
      </c>
      <c r="D1310" s="37" t="s">
        <v>1545</v>
      </c>
      <c r="E1310" s="37" t="n">
        <v>28908120</v>
      </c>
      <c r="F1310" s="37" t="s">
        <v>152</v>
      </c>
      <c r="G1310" s="37" t="s">
        <v>201</v>
      </c>
      <c r="H1310" s="37" t="s">
        <v>169</v>
      </c>
      <c r="I1310" s="37" t="n">
        <v>37.2</v>
      </c>
      <c r="J1310" s="39" t="n">
        <v>399.99</v>
      </c>
      <c r="K1310" s="37" t="s">
        <v>322</v>
      </c>
      <c r="L1310" s="39" t="n">
        <v>122.16</v>
      </c>
      <c r="M1310" s="39" t="n">
        <v>87.4</v>
      </c>
      <c r="N1310" s="39" t="n">
        <f aca="false">J1310*Resumo!$C$7</f>
        <v>0.79998</v>
      </c>
      <c r="O1310" s="39" t="n">
        <f aca="false">J1310*Resumo!$C$8</f>
        <v>0.79998</v>
      </c>
      <c r="P1310" s="39" t="n">
        <f aca="false">Resumo!$C$10*CEILING(I1310/100,1)</f>
        <v>1</v>
      </c>
      <c r="Q1310" s="39" t="n">
        <f aca="false">Resumo!$C$9</f>
        <v>11.9</v>
      </c>
      <c r="R1310" s="39" t="n">
        <f aca="false">SUM(M1310:Q1310)*Resumo!$C$11</f>
        <v>5.6044978</v>
      </c>
      <c r="S1310" s="39" t="n">
        <f aca="false">SUM(M1310:R1310)</f>
        <v>107.5044578</v>
      </c>
      <c r="T1310" s="39" t="n">
        <f aca="false">S1310/(1-Resumo!$C$5)</f>
        <v>122.164156590909</v>
      </c>
      <c r="U1310" s="39" t="n">
        <v>124.38</v>
      </c>
      <c r="V1310" s="39" t="n">
        <f aca="false">J1310*Resumo!$B$6</f>
        <v>0.39999</v>
      </c>
      <c r="W1310" s="39" t="n">
        <f aca="false">J1310*Resumo!$B$7</f>
        <v>0.79998</v>
      </c>
      <c r="X1310" s="39" t="n">
        <f aca="false">Resumo!$B$9</f>
        <v>1</v>
      </c>
      <c r="Y1310" s="39" t="n">
        <f aca="false">Resumo!$B$10*CEILING(I1310/100,1)</f>
        <v>4.5</v>
      </c>
      <c r="Z1310" s="39" t="n">
        <f aca="false">Resumo!$B$12*CEILING(I1310,1)</f>
        <v>2.28</v>
      </c>
      <c r="AA1310" s="39" t="n">
        <f aca="false">Resumo!$B$13*CEILING(I1310,1)</f>
        <v>17.1</v>
      </c>
      <c r="AB1310" s="39" t="n">
        <f aca="false">SUM(U1310:AA1310)</f>
        <v>150.45997</v>
      </c>
      <c r="AC1310" s="39" t="n">
        <f aca="false">AB1310/(1-Resumo!$B$5)</f>
        <v>170.977238636364</v>
      </c>
      <c r="AD1310" s="39" t="n">
        <f aca="false">(AB1310-AA1310)/(1-Resumo!$B$5)</f>
        <v>151.545420454545</v>
      </c>
      <c r="AE1310" s="39" t="n">
        <f aca="false">AC1310-T1310</f>
        <v>48.8130820454545</v>
      </c>
      <c r="AF1310" s="40" t="n">
        <f aca="false">AC1310/T1310-1</f>
        <v>0.399569590685383</v>
      </c>
      <c r="AG1310" s="37" t="str">
        <f aca="false">IF(AC1310&lt;T1310,"SIM","NÃO")</f>
        <v>NÃO</v>
      </c>
      <c r="AH1310" s="37" t="n">
        <v>13</v>
      </c>
      <c r="AI1310" s="37" t="n">
        <v>10</v>
      </c>
      <c r="AJ1310" s="37" t="s">
        <v>323</v>
      </c>
    </row>
    <row r="1311" customFormat="false" ht="15" hidden="false" customHeight="false" outlineLevel="0" collapsed="false">
      <c r="A1311" s="37" t="n">
        <v>380031038</v>
      </c>
      <c r="B1311" s="38" t="n">
        <v>46255.5972106482</v>
      </c>
      <c r="C1311" s="37" t="s">
        <v>320</v>
      </c>
      <c r="D1311" s="37" t="s">
        <v>1546</v>
      </c>
      <c r="E1311" s="37" t="n">
        <v>28250000</v>
      </c>
      <c r="F1311" s="37" t="s">
        <v>247</v>
      </c>
      <c r="G1311" s="37" t="s">
        <v>201</v>
      </c>
      <c r="H1311" s="37" t="s">
        <v>169</v>
      </c>
      <c r="I1311" s="37" t="n">
        <v>37.2</v>
      </c>
      <c r="J1311" s="39" t="n">
        <v>366.49</v>
      </c>
      <c r="K1311" s="37" t="s">
        <v>322</v>
      </c>
      <c r="L1311" s="39" t="n">
        <v>122</v>
      </c>
      <c r="M1311" s="39" t="n">
        <v>87.4</v>
      </c>
      <c r="N1311" s="39" t="n">
        <f aca="false">J1311*Resumo!$C$7</f>
        <v>0.73298</v>
      </c>
      <c r="O1311" s="39" t="n">
        <f aca="false">J1311*Resumo!$C$8</f>
        <v>0.73298</v>
      </c>
      <c r="P1311" s="39" t="n">
        <f aca="false">Resumo!$C$10*CEILING(I1311/100,1)</f>
        <v>1</v>
      </c>
      <c r="Q1311" s="39" t="n">
        <f aca="false">Resumo!$C$9</f>
        <v>11.9</v>
      </c>
      <c r="R1311" s="39" t="n">
        <f aca="false">SUM(M1311:Q1311)*Resumo!$C$11</f>
        <v>5.5971278</v>
      </c>
      <c r="S1311" s="39" t="n">
        <f aca="false">SUM(M1311:R1311)</f>
        <v>107.3630878</v>
      </c>
      <c r="T1311" s="39" t="n">
        <f aca="false">S1311/(1-Resumo!$C$5)</f>
        <v>122.003508863636</v>
      </c>
      <c r="U1311" s="39" t="n">
        <v>143.04</v>
      </c>
      <c r="V1311" s="39" t="n">
        <f aca="false">J1311*Resumo!$B$6</f>
        <v>0.36649</v>
      </c>
      <c r="W1311" s="39" t="n">
        <f aca="false">J1311*Resumo!$B$7</f>
        <v>0.73298</v>
      </c>
      <c r="X1311" s="39" t="n">
        <f aca="false">Resumo!$B$9</f>
        <v>1</v>
      </c>
      <c r="Y1311" s="39" t="n">
        <f aca="false">Resumo!$B$10*CEILING(I1311/100,1)</f>
        <v>4.5</v>
      </c>
      <c r="Z1311" s="39" t="n">
        <f aca="false">Resumo!$B$12*CEILING(I1311,1)</f>
        <v>2.28</v>
      </c>
      <c r="AA1311" s="39" t="n">
        <f aca="false">Resumo!$B$13*CEILING(I1311,1)</f>
        <v>17.1</v>
      </c>
      <c r="AB1311" s="39" t="n">
        <f aca="false">SUM(U1311:AA1311)</f>
        <v>169.01947</v>
      </c>
      <c r="AC1311" s="39" t="n">
        <f aca="false">AB1311/(1-Resumo!$B$5)</f>
        <v>192.067579545455</v>
      </c>
      <c r="AD1311" s="39" t="n">
        <f aca="false">(AB1311-AA1311)/(1-Resumo!$B$5)</f>
        <v>172.635761363636</v>
      </c>
      <c r="AE1311" s="39" t="n">
        <f aca="false">AC1311-T1311</f>
        <v>70.0640706818182</v>
      </c>
      <c r="AF1311" s="40" t="n">
        <f aca="false">AC1311/T1311-1</f>
        <v>0.57427914438206</v>
      </c>
      <c r="AG1311" s="37" t="str">
        <f aca="false">IF(AC1311&lt;T1311,"SIM","NÃO")</f>
        <v>NÃO</v>
      </c>
      <c r="AH1311" s="37" t="n">
        <v>13</v>
      </c>
      <c r="AI1311" s="37" t="n">
        <v>11</v>
      </c>
      <c r="AJ1311" s="37" t="s">
        <v>327</v>
      </c>
    </row>
    <row r="1312" customFormat="false" ht="15" hidden="false" customHeight="false" outlineLevel="0" collapsed="false">
      <c r="A1312" s="37" t="n">
        <v>380031983</v>
      </c>
      <c r="B1312" s="38" t="n">
        <v>46255.5985069444</v>
      </c>
      <c r="C1312" s="37" t="s">
        <v>320</v>
      </c>
      <c r="D1312" s="37" t="s">
        <v>610</v>
      </c>
      <c r="E1312" s="37" t="n">
        <v>23520560</v>
      </c>
      <c r="F1312" s="37" t="s">
        <v>139</v>
      </c>
      <c r="G1312" s="37" t="s">
        <v>198</v>
      </c>
      <c r="H1312" s="37" t="s">
        <v>174</v>
      </c>
      <c r="I1312" s="37" t="n">
        <v>81.7</v>
      </c>
      <c r="J1312" s="39" t="n">
        <v>759.99</v>
      </c>
      <c r="K1312" s="37" t="s">
        <v>322</v>
      </c>
      <c r="L1312" s="39" t="n">
        <v>162.74</v>
      </c>
      <c r="M1312" s="39" t="n">
        <v>119.8</v>
      </c>
      <c r="N1312" s="39" t="n">
        <f aca="false">J1312*Resumo!$C$7</f>
        <v>1.51998</v>
      </c>
      <c r="O1312" s="39" t="n">
        <f aca="false">J1312*Resumo!$C$8</f>
        <v>1.51998</v>
      </c>
      <c r="P1312" s="39" t="n">
        <f aca="false">Resumo!$C$10*CEILING(I1312/100,1)</f>
        <v>1</v>
      </c>
      <c r="Q1312" s="39" t="n">
        <f aca="false">Resumo!$C$9</f>
        <v>11.9</v>
      </c>
      <c r="R1312" s="39" t="n">
        <f aca="false">SUM(M1312:Q1312)*Resumo!$C$11</f>
        <v>7.4656978</v>
      </c>
      <c r="S1312" s="39" t="n">
        <f aca="false">SUM(M1312:R1312)</f>
        <v>143.2056578</v>
      </c>
      <c r="T1312" s="39" t="n">
        <f aca="false">S1312/(1-Resumo!$C$5)</f>
        <v>162.733702045455</v>
      </c>
      <c r="U1312" s="39" t="n">
        <v>167.99</v>
      </c>
      <c r="V1312" s="39" t="n">
        <f aca="false">J1312*Resumo!$B$6</f>
        <v>0.75999</v>
      </c>
      <c r="W1312" s="39" t="n">
        <f aca="false">J1312*Resumo!$B$7</f>
        <v>1.51998</v>
      </c>
      <c r="X1312" s="39" t="n">
        <f aca="false">Resumo!$B$9</f>
        <v>1</v>
      </c>
      <c r="Y1312" s="39" t="n">
        <f aca="false">Resumo!$B$10*CEILING(I1312/100,1)</f>
        <v>4.5</v>
      </c>
      <c r="Z1312" s="39" t="n">
        <f aca="false">Resumo!$B$12*CEILING(I1312,1)</f>
        <v>4.92</v>
      </c>
      <c r="AA1312" s="39" t="n">
        <f aca="false">Resumo!$B$13*CEILING(I1312,1)</f>
        <v>36.9</v>
      </c>
      <c r="AB1312" s="39" t="n">
        <f aca="false">SUM(U1312:AA1312)</f>
        <v>217.58997</v>
      </c>
      <c r="AC1312" s="39" t="n">
        <f aca="false">AB1312/(1-Resumo!$B$5)</f>
        <v>247.261329545455</v>
      </c>
      <c r="AD1312" s="39" t="n">
        <f aca="false">(AB1312-AA1312)/(1-Resumo!$B$5)</f>
        <v>205.329511363636</v>
      </c>
      <c r="AE1312" s="39" t="n">
        <f aca="false">AC1312-T1312</f>
        <v>84.5276275000001</v>
      </c>
      <c r="AF1312" s="40" t="n">
        <f aca="false">AC1312/T1312-1</f>
        <v>0.519422998663116</v>
      </c>
      <c r="AG1312" s="37" t="str">
        <f aca="false">IF(AC1312&lt;T1312,"SIM","NÃO")</f>
        <v>NÃO</v>
      </c>
      <c r="AH1312" s="37" t="n">
        <v>8</v>
      </c>
      <c r="AI1312" s="37" t="n">
        <v>5</v>
      </c>
      <c r="AJ1312" s="37" t="s">
        <v>323</v>
      </c>
    </row>
    <row r="1313" customFormat="false" ht="15" hidden="false" customHeight="false" outlineLevel="0" collapsed="false">
      <c r="A1313" s="37" t="n">
        <v>380040768</v>
      </c>
      <c r="B1313" s="38" t="n">
        <v>46255.6113773148</v>
      </c>
      <c r="C1313" s="37" t="s">
        <v>320</v>
      </c>
      <c r="D1313" s="37" t="s">
        <v>868</v>
      </c>
      <c r="E1313" s="37" t="n">
        <v>28360000</v>
      </c>
      <c r="F1313" s="37" t="s">
        <v>250</v>
      </c>
      <c r="G1313" s="37" t="s">
        <v>201</v>
      </c>
      <c r="H1313" s="37" t="s">
        <v>169</v>
      </c>
      <c r="I1313" s="37" t="n">
        <v>37.2</v>
      </c>
      <c r="J1313" s="39" t="n">
        <v>366.49</v>
      </c>
      <c r="K1313" s="37" t="s">
        <v>322</v>
      </c>
      <c r="L1313" s="39" t="n">
        <v>122</v>
      </c>
      <c r="M1313" s="39" t="n">
        <v>87.4</v>
      </c>
      <c r="N1313" s="39" t="n">
        <f aca="false">J1313*Resumo!$C$7</f>
        <v>0.73298</v>
      </c>
      <c r="O1313" s="39" t="n">
        <f aca="false">J1313*Resumo!$C$8</f>
        <v>0.73298</v>
      </c>
      <c r="P1313" s="39" t="n">
        <f aca="false">Resumo!$C$10*CEILING(I1313/100,1)</f>
        <v>1</v>
      </c>
      <c r="Q1313" s="39" t="n">
        <f aca="false">Resumo!$C$9</f>
        <v>11.9</v>
      </c>
      <c r="R1313" s="39" t="n">
        <f aca="false">SUM(M1313:Q1313)*Resumo!$C$11</f>
        <v>5.5971278</v>
      </c>
      <c r="S1313" s="39" t="n">
        <f aca="false">SUM(M1313:R1313)</f>
        <v>107.3630878</v>
      </c>
      <c r="T1313" s="39" t="n">
        <f aca="false">S1313/(1-Resumo!$C$5)</f>
        <v>122.003508863636</v>
      </c>
      <c r="U1313" s="39" t="n">
        <v>143.04</v>
      </c>
      <c r="V1313" s="39" t="n">
        <f aca="false">J1313*Resumo!$B$6</f>
        <v>0.36649</v>
      </c>
      <c r="W1313" s="39" t="n">
        <f aca="false">J1313*Resumo!$B$7</f>
        <v>0.73298</v>
      </c>
      <c r="X1313" s="39" t="n">
        <f aca="false">Resumo!$B$9</f>
        <v>1</v>
      </c>
      <c r="Y1313" s="39" t="n">
        <f aca="false">Resumo!$B$10*CEILING(I1313/100,1)</f>
        <v>4.5</v>
      </c>
      <c r="Z1313" s="39" t="n">
        <f aca="false">Resumo!$B$12*CEILING(I1313,1)</f>
        <v>2.28</v>
      </c>
      <c r="AA1313" s="39" t="n">
        <f aca="false">Resumo!$B$13*CEILING(I1313,1)</f>
        <v>17.1</v>
      </c>
      <c r="AB1313" s="39" t="n">
        <f aca="false">SUM(U1313:AA1313)</f>
        <v>169.01947</v>
      </c>
      <c r="AC1313" s="39" t="n">
        <f aca="false">AB1313/(1-Resumo!$B$5)</f>
        <v>192.067579545455</v>
      </c>
      <c r="AD1313" s="39" t="n">
        <f aca="false">(AB1313-AA1313)/(1-Resumo!$B$5)</f>
        <v>172.635761363636</v>
      </c>
      <c r="AE1313" s="39" t="n">
        <f aca="false">AC1313-T1313</f>
        <v>70.0640706818182</v>
      </c>
      <c r="AF1313" s="40" t="n">
        <f aca="false">AC1313/T1313-1</f>
        <v>0.57427914438206</v>
      </c>
      <c r="AG1313" s="37" t="str">
        <f aca="false">IF(AC1313&lt;T1313,"SIM","NÃO")</f>
        <v>NÃO</v>
      </c>
      <c r="AH1313" s="37" t="n">
        <v>13</v>
      </c>
      <c r="AI1313" s="37" t="n">
        <v>11</v>
      </c>
      <c r="AJ1313" s="37" t="s">
        <v>327</v>
      </c>
    </row>
    <row r="1314" customFormat="false" ht="15" hidden="false" customHeight="false" outlineLevel="0" collapsed="false">
      <c r="A1314" s="37" t="n">
        <v>380041057</v>
      </c>
      <c r="B1314" s="38" t="n">
        <v>46255.6145717593</v>
      </c>
      <c r="C1314" s="37" t="s">
        <v>352</v>
      </c>
      <c r="D1314" s="37" t="s">
        <v>1547</v>
      </c>
      <c r="E1314" s="37" t="n">
        <v>21341331</v>
      </c>
      <c r="F1314" s="37" t="s">
        <v>139</v>
      </c>
      <c r="G1314" s="37" t="s">
        <v>198</v>
      </c>
      <c r="H1314" s="37" t="s">
        <v>172</v>
      </c>
      <c r="I1314" s="37" t="n">
        <v>63</v>
      </c>
      <c r="J1314" s="39" t="n">
        <v>839.99</v>
      </c>
      <c r="K1314" s="37" t="s">
        <v>322</v>
      </c>
      <c r="L1314" s="39" t="n">
        <v>125.24</v>
      </c>
      <c r="M1314" s="39" t="n">
        <v>88.2</v>
      </c>
      <c r="N1314" s="39" t="n">
        <f aca="false">J1314*Resumo!$C$7</f>
        <v>1.67998</v>
      </c>
      <c r="O1314" s="39" t="n">
        <f aca="false">J1314*Resumo!$C$8</f>
        <v>1.67998</v>
      </c>
      <c r="P1314" s="39" t="n">
        <f aca="false">Resumo!$C$10*CEILING(I1314/100,1)</f>
        <v>1</v>
      </c>
      <c r="Q1314" s="39" t="n">
        <f aca="false">Resumo!$C$9</f>
        <v>11.9</v>
      </c>
      <c r="R1314" s="39" t="n">
        <f aca="false">SUM(M1314:Q1314)*Resumo!$C$11</f>
        <v>5.7452978</v>
      </c>
      <c r="S1314" s="39" t="n">
        <f aca="false">SUM(M1314:R1314)</f>
        <v>110.2052578</v>
      </c>
      <c r="T1314" s="39" t="n">
        <f aca="false">S1314/(1-Resumo!$C$5)</f>
        <v>125.2332475</v>
      </c>
      <c r="U1314" s="39" t="n">
        <v>131.02</v>
      </c>
      <c r="V1314" s="39" t="n">
        <f aca="false">J1314*Resumo!$B$6</f>
        <v>0.83999</v>
      </c>
      <c r="W1314" s="39" t="n">
        <f aca="false">J1314*Resumo!$B$7</f>
        <v>1.67998</v>
      </c>
      <c r="X1314" s="39" t="n">
        <f aca="false">Resumo!$B$9</f>
        <v>1</v>
      </c>
      <c r="Y1314" s="39" t="n">
        <f aca="false">Resumo!$B$10*CEILING(I1314/100,1)</f>
        <v>4.5</v>
      </c>
      <c r="Z1314" s="39" t="n">
        <f aca="false">Resumo!$B$12*CEILING(I1314,1)</f>
        <v>3.78</v>
      </c>
      <c r="AA1314" s="39" t="n">
        <f aca="false">Resumo!$B$13*CEILING(I1314,1)</f>
        <v>28.35</v>
      </c>
      <c r="AB1314" s="39" t="n">
        <f aca="false">SUM(U1314:AA1314)</f>
        <v>171.16997</v>
      </c>
      <c r="AC1314" s="39" t="n">
        <f aca="false">AB1314/(1-Resumo!$B$5)</f>
        <v>194.511329545455</v>
      </c>
      <c r="AD1314" s="39" t="n">
        <f aca="false">(AB1314-AA1314)/(1-Resumo!$B$5)</f>
        <v>162.295420454545</v>
      </c>
      <c r="AE1314" s="39" t="n">
        <f aca="false">AC1314-T1314</f>
        <v>69.2780820454545</v>
      </c>
      <c r="AF1314" s="40" t="n">
        <f aca="false">AC1314/T1314-1</f>
        <v>0.553192410389697</v>
      </c>
      <c r="AG1314" s="37" t="str">
        <f aca="false">IF(AC1314&lt;T1314,"SIM","NÃO")</f>
        <v>NÃO</v>
      </c>
      <c r="AH1314" s="37" t="n">
        <v>8</v>
      </c>
      <c r="AI1314" s="37" t="n">
        <v>5</v>
      </c>
      <c r="AJ1314" s="37" t="s">
        <v>323</v>
      </c>
    </row>
    <row r="1315" customFormat="false" ht="15" hidden="false" customHeight="false" outlineLevel="0" collapsed="false">
      <c r="A1315" s="37" t="n">
        <v>380125752</v>
      </c>
      <c r="B1315" s="38" t="n">
        <v>46255.7231944444</v>
      </c>
      <c r="C1315" s="37" t="s">
        <v>320</v>
      </c>
      <c r="D1315" s="37" t="s">
        <v>1548</v>
      </c>
      <c r="E1315" s="37" t="n">
        <v>24230131</v>
      </c>
      <c r="F1315" s="37" t="s">
        <v>143</v>
      </c>
      <c r="G1315" s="37" t="s">
        <v>207</v>
      </c>
      <c r="H1315" s="37" t="s">
        <v>170</v>
      </c>
      <c r="I1315" s="37" t="n">
        <v>41</v>
      </c>
      <c r="J1315" s="39" t="n">
        <v>529.99</v>
      </c>
      <c r="K1315" s="37" t="s">
        <v>322</v>
      </c>
      <c r="L1315" s="39" t="n">
        <v>116.61</v>
      </c>
      <c r="M1315" s="39" t="n">
        <v>82.25</v>
      </c>
      <c r="N1315" s="39" t="n">
        <f aca="false">J1315*Resumo!$C$7</f>
        <v>1.05998</v>
      </c>
      <c r="O1315" s="39" t="n">
        <f aca="false">J1315*Resumo!$C$8</f>
        <v>1.05998</v>
      </c>
      <c r="P1315" s="39" t="n">
        <f aca="false">Resumo!$C$10*CEILING(I1315/100,1)</f>
        <v>1</v>
      </c>
      <c r="Q1315" s="39" t="n">
        <f aca="false">Resumo!$C$9</f>
        <v>11.9</v>
      </c>
      <c r="R1315" s="39" t="n">
        <f aca="false">SUM(M1315:Q1315)*Resumo!$C$11</f>
        <v>5.3498478</v>
      </c>
      <c r="S1315" s="39" t="n">
        <f aca="false">SUM(M1315:R1315)</f>
        <v>102.6198078</v>
      </c>
      <c r="T1315" s="39" t="n">
        <f aca="false">S1315/(1-Resumo!$C$5)</f>
        <v>116.613417954545</v>
      </c>
      <c r="U1315" s="39" t="n">
        <v>114.95</v>
      </c>
      <c r="V1315" s="39" t="n">
        <f aca="false">J1315*Resumo!$B$6</f>
        <v>0.52999</v>
      </c>
      <c r="W1315" s="39" t="n">
        <f aca="false">J1315*Resumo!$B$7</f>
        <v>1.05998</v>
      </c>
      <c r="X1315" s="39" t="n">
        <f aca="false">Resumo!$B$9</f>
        <v>1</v>
      </c>
      <c r="Y1315" s="39" t="n">
        <f aca="false">Resumo!$B$10*CEILING(I1315/100,1)</f>
        <v>4.5</v>
      </c>
      <c r="Z1315" s="39" t="n">
        <f aca="false">Resumo!$B$12*CEILING(I1315,1)</f>
        <v>2.46</v>
      </c>
      <c r="AA1315" s="39" t="n">
        <f aca="false">Resumo!$B$13*CEILING(I1315,1)</f>
        <v>18.45</v>
      </c>
      <c r="AB1315" s="39" t="n">
        <f aca="false">SUM(U1315:AA1315)</f>
        <v>142.94997</v>
      </c>
      <c r="AC1315" s="39" t="n">
        <f aca="false">AB1315/(1-Resumo!$B$5)</f>
        <v>162.443147727273</v>
      </c>
      <c r="AD1315" s="39" t="n">
        <f aca="false">(AB1315-AA1315)/(1-Resumo!$B$5)</f>
        <v>141.477238636364</v>
      </c>
      <c r="AE1315" s="39" t="n">
        <f aca="false">AC1315-T1315</f>
        <v>45.8297297727273</v>
      </c>
      <c r="AF1315" s="40" t="n">
        <f aca="false">AC1315/T1315-1</f>
        <v>0.393005629854629</v>
      </c>
      <c r="AG1315" s="37" t="str">
        <f aca="false">IF(AC1315&lt;T1315,"SIM","NÃO")</f>
        <v>NÃO</v>
      </c>
      <c r="AH1315" s="37" t="n">
        <v>10</v>
      </c>
      <c r="AI1315" s="37" t="n">
        <v>7</v>
      </c>
      <c r="AJ1315" s="37" t="s">
        <v>323</v>
      </c>
    </row>
    <row r="1316" customFormat="false" ht="15" hidden="false" customHeight="false" outlineLevel="0" collapsed="false">
      <c r="A1316" s="37" t="n">
        <v>380190648</v>
      </c>
      <c r="B1316" s="38" t="n">
        <v>46255.8125694445</v>
      </c>
      <c r="C1316" s="37" t="s">
        <v>352</v>
      </c>
      <c r="D1316" s="37" t="s">
        <v>1549</v>
      </c>
      <c r="E1316" s="37" t="n">
        <v>22793325</v>
      </c>
      <c r="F1316" s="37" t="s">
        <v>139</v>
      </c>
      <c r="G1316" s="37" t="s">
        <v>198</v>
      </c>
      <c r="H1316" s="37" t="s">
        <v>174</v>
      </c>
      <c r="I1316" s="37" t="n">
        <v>82</v>
      </c>
      <c r="J1316" s="39" t="n">
        <v>909.98</v>
      </c>
      <c r="K1316" s="37" t="s">
        <v>322</v>
      </c>
      <c r="L1316" s="39" t="n">
        <v>163.45</v>
      </c>
      <c r="M1316" s="39" t="n">
        <v>119.8</v>
      </c>
      <c r="N1316" s="39" t="n">
        <f aca="false">J1316*Resumo!$C$7</f>
        <v>1.81996</v>
      </c>
      <c r="O1316" s="39" t="n">
        <f aca="false">J1316*Resumo!$C$8</f>
        <v>1.81996</v>
      </c>
      <c r="P1316" s="39" t="n">
        <f aca="false">Resumo!$C$10*CEILING(I1316/100,1)</f>
        <v>1</v>
      </c>
      <c r="Q1316" s="39" t="n">
        <f aca="false">Resumo!$C$9</f>
        <v>11.9</v>
      </c>
      <c r="R1316" s="39" t="n">
        <f aca="false">SUM(M1316:Q1316)*Resumo!$C$11</f>
        <v>7.4986956</v>
      </c>
      <c r="S1316" s="39" t="n">
        <f aca="false">SUM(M1316:R1316)</f>
        <v>143.8386156</v>
      </c>
      <c r="T1316" s="39" t="n">
        <f aca="false">S1316/(1-Resumo!$C$5)</f>
        <v>163.452972272727</v>
      </c>
      <c r="U1316" s="39" t="n">
        <v>167.99</v>
      </c>
      <c r="V1316" s="39" t="n">
        <f aca="false">J1316*Resumo!$B$6</f>
        <v>0.90998</v>
      </c>
      <c r="W1316" s="39" t="n">
        <f aca="false">J1316*Resumo!$B$7</f>
        <v>1.81996</v>
      </c>
      <c r="X1316" s="39" t="n">
        <f aca="false">Resumo!$B$9</f>
        <v>1</v>
      </c>
      <c r="Y1316" s="39" t="n">
        <f aca="false">Resumo!$B$10*CEILING(I1316/100,1)</f>
        <v>4.5</v>
      </c>
      <c r="Z1316" s="39" t="n">
        <f aca="false">Resumo!$B$12*CEILING(I1316,1)</f>
        <v>4.92</v>
      </c>
      <c r="AA1316" s="39" t="n">
        <f aca="false">Resumo!$B$13*CEILING(I1316,1)</f>
        <v>36.9</v>
      </c>
      <c r="AB1316" s="39" t="n">
        <f aca="false">SUM(U1316:AA1316)</f>
        <v>218.03994</v>
      </c>
      <c r="AC1316" s="39" t="n">
        <f aca="false">AB1316/(1-Resumo!$B$5)</f>
        <v>247.772659090909</v>
      </c>
      <c r="AD1316" s="39" t="n">
        <f aca="false">(AB1316-AA1316)/(1-Resumo!$B$5)</f>
        <v>205.840840909091</v>
      </c>
      <c r="AE1316" s="39" t="n">
        <f aca="false">AC1316-T1316</f>
        <v>84.3196868181818</v>
      </c>
      <c r="AF1316" s="40" t="n">
        <f aca="false">AC1316/T1316-1</f>
        <v>0.515865117934297</v>
      </c>
      <c r="AG1316" s="37" t="str">
        <f aca="false">IF(AC1316&lt;T1316,"SIM","NÃO")</f>
        <v>NÃO</v>
      </c>
      <c r="AH1316" s="37" t="n">
        <v>8</v>
      </c>
      <c r="AI1316" s="37" t="n">
        <v>5</v>
      </c>
      <c r="AJ1316" s="37" t="s">
        <v>323</v>
      </c>
    </row>
    <row r="1317" customFormat="false" ht="15" hidden="false" customHeight="false" outlineLevel="0" collapsed="false">
      <c r="A1317" s="37" t="n">
        <v>380203552</v>
      </c>
      <c r="B1317" s="38" t="n">
        <v>46255.8262037037</v>
      </c>
      <c r="C1317" s="37" t="s">
        <v>325</v>
      </c>
      <c r="D1317" s="37" t="s">
        <v>1550</v>
      </c>
      <c r="E1317" s="37" t="n">
        <v>26261130</v>
      </c>
      <c r="F1317" s="37" t="s">
        <v>142</v>
      </c>
      <c r="G1317" s="37" t="s">
        <v>207</v>
      </c>
      <c r="H1317" s="37" t="s">
        <v>171</v>
      </c>
      <c r="I1317" s="37" t="n">
        <v>52.3</v>
      </c>
      <c r="J1317" s="39" t="n">
        <v>640.44</v>
      </c>
      <c r="K1317" s="37" t="s">
        <v>322</v>
      </c>
      <c r="L1317" s="39" t="n">
        <v>128.35</v>
      </c>
      <c r="M1317" s="39" t="n">
        <v>91.6</v>
      </c>
      <c r="N1317" s="39" t="n">
        <f aca="false">J1317*Resumo!$C$7</f>
        <v>1.28088</v>
      </c>
      <c r="O1317" s="39" t="n">
        <f aca="false">J1317*Resumo!$C$8</f>
        <v>1.28088</v>
      </c>
      <c r="P1317" s="39" t="n">
        <f aca="false">Resumo!$C$10*CEILING(I1317/100,1)</f>
        <v>1</v>
      </c>
      <c r="Q1317" s="39" t="n">
        <f aca="false">Resumo!$C$9</f>
        <v>11.9</v>
      </c>
      <c r="R1317" s="39" t="n">
        <f aca="false">SUM(M1317:Q1317)*Resumo!$C$11</f>
        <v>5.8883968</v>
      </c>
      <c r="S1317" s="39" t="n">
        <f aca="false">SUM(M1317:R1317)</f>
        <v>112.9501568</v>
      </c>
      <c r="T1317" s="39" t="n">
        <f aca="false">S1317/(1-Resumo!$C$5)</f>
        <v>128.352450909091</v>
      </c>
      <c r="U1317" s="39" t="n">
        <v>112.3</v>
      </c>
      <c r="V1317" s="39" t="n">
        <f aca="false">J1317*Resumo!$B$6</f>
        <v>0.64044</v>
      </c>
      <c r="W1317" s="39" t="n">
        <f aca="false">J1317*Resumo!$B$7</f>
        <v>1.28088</v>
      </c>
      <c r="X1317" s="39" t="n">
        <f aca="false">Resumo!$B$9</f>
        <v>1</v>
      </c>
      <c r="Y1317" s="39" t="n">
        <f aca="false">Resumo!$B$10*CEILING(I1317/100,1)</f>
        <v>4.5</v>
      </c>
      <c r="Z1317" s="39" t="n">
        <f aca="false">Resumo!$B$12*CEILING(I1317,1)</f>
        <v>3.18</v>
      </c>
      <c r="AA1317" s="39" t="n">
        <f aca="false">Resumo!$B$13*CEILING(I1317,1)</f>
        <v>23.85</v>
      </c>
      <c r="AB1317" s="39" t="n">
        <f aca="false">SUM(U1317:AA1317)</f>
        <v>146.75132</v>
      </c>
      <c r="AC1317" s="39" t="n">
        <f aca="false">AB1317/(1-Resumo!$B$5)</f>
        <v>166.762863636364</v>
      </c>
      <c r="AD1317" s="39" t="n">
        <f aca="false">(AB1317-AA1317)/(1-Resumo!$B$5)</f>
        <v>139.660590909091</v>
      </c>
      <c r="AE1317" s="39" t="n">
        <f aca="false">AC1317-T1317</f>
        <v>38.4104127272727</v>
      </c>
      <c r="AF1317" s="40" t="n">
        <f aca="false">AC1317/T1317-1</f>
        <v>0.299257337551567</v>
      </c>
      <c r="AG1317" s="37" t="str">
        <f aca="false">IF(AC1317&lt;T1317,"SIM","NÃO")</f>
        <v>NÃO</v>
      </c>
      <c r="AH1317" s="37" t="n">
        <v>10</v>
      </c>
      <c r="AI1317" s="37" t="n">
        <v>5</v>
      </c>
      <c r="AJ1317" s="37" t="s">
        <v>323</v>
      </c>
    </row>
    <row r="1318" customFormat="false" ht="15" hidden="false" customHeight="false" outlineLevel="0" collapsed="false">
      <c r="A1318" s="37" t="n">
        <v>380210046</v>
      </c>
      <c r="B1318" s="38" t="n">
        <v>46255.8344328704</v>
      </c>
      <c r="C1318" s="37" t="s">
        <v>320</v>
      </c>
      <c r="D1318" s="37" t="s">
        <v>1551</v>
      </c>
      <c r="E1318" s="37" t="n">
        <v>25730736</v>
      </c>
      <c r="F1318" s="37" t="s">
        <v>150</v>
      </c>
      <c r="G1318" s="37" t="s">
        <v>201</v>
      </c>
      <c r="H1318" s="37" t="s">
        <v>169</v>
      </c>
      <c r="I1318" s="37" t="n">
        <v>39.9</v>
      </c>
      <c r="J1318" s="39" t="n">
        <v>599.99</v>
      </c>
      <c r="K1318" s="37" t="s">
        <v>322</v>
      </c>
      <c r="L1318" s="39" t="n">
        <v>123.13</v>
      </c>
      <c r="M1318" s="39" t="n">
        <v>87.4</v>
      </c>
      <c r="N1318" s="39" t="n">
        <f aca="false">J1318*Resumo!$C$7</f>
        <v>1.19998</v>
      </c>
      <c r="O1318" s="39" t="n">
        <f aca="false">J1318*Resumo!$C$8</f>
        <v>1.19998</v>
      </c>
      <c r="P1318" s="39" t="n">
        <f aca="false">Resumo!$C$10*CEILING(I1318/100,1)</f>
        <v>1</v>
      </c>
      <c r="Q1318" s="39" t="n">
        <f aca="false">Resumo!$C$9</f>
        <v>11.9</v>
      </c>
      <c r="R1318" s="39" t="n">
        <f aca="false">SUM(M1318:Q1318)*Resumo!$C$11</f>
        <v>5.6484978</v>
      </c>
      <c r="S1318" s="39" t="n">
        <f aca="false">SUM(M1318:R1318)</f>
        <v>108.3484578</v>
      </c>
      <c r="T1318" s="39" t="n">
        <f aca="false">S1318/(1-Resumo!$C$5)</f>
        <v>123.1232475</v>
      </c>
      <c r="U1318" s="39" t="n">
        <v>124.38</v>
      </c>
      <c r="V1318" s="39" t="n">
        <f aca="false">J1318*Resumo!$B$6</f>
        <v>0.59999</v>
      </c>
      <c r="W1318" s="39" t="n">
        <f aca="false">J1318*Resumo!$B$7</f>
        <v>1.19998</v>
      </c>
      <c r="X1318" s="39" t="n">
        <f aca="false">Resumo!$B$9</f>
        <v>1</v>
      </c>
      <c r="Y1318" s="39" t="n">
        <f aca="false">Resumo!$B$10*CEILING(I1318/100,1)</f>
        <v>4.5</v>
      </c>
      <c r="Z1318" s="39" t="n">
        <f aca="false">Resumo!$B$12*CEILING(I1318,1)</f>
        <v>2.4</v>
      </c>
      <c r="AA1318" s="39" t="n">
        <f aca="false">Resumo!$B$13*CEILING(I1318,1)</f>
        <v>18</v>
      </c>
      <c r="AB1318" s="39" t="n">
        <f aca="false">SUM(U1318:AA1318)</f>
        <v>152.07997</v>
      </c>
      <c r="AC1318" s="39" t="n">
        <f aca="false">AB1318/(1-Resumo!$B$5)</f>
        <v>172.818147727273</v>
      </c>
      <c r="AD1318" s="39" t="n">
        <f aca="false">(AB1318-AA1318)/(1-Resumo!$B$5)</f>
        <v>152.363602272727</v>
      </c>
      <c r="AE1318" s="39" t="n">
        <f aca="false">AC1318-T1318</f>
        <v>49.6949002272727</v>
      </c>
      <c r="AF1318" s="40" t="n">
        <f aca="false">AC1318/T1318-1</f>
        <v>0.403619147775263</v>
      </c>
      <c r="AG1318" s="37" t="str">
        <f aca="false">IF(AC1318&lt;T1318,"SIM","NÃO")</f>
        <v>NÃO</v>
      </c>
      <c r="AH1318" s="37" t="n">
        <v>13</v>
      </c>
      <c r="AI1318" s="37" t="n">
        <v>8</v>
      </c>
      <c r="AJ1318" s="37" t="s">
        <v>323</v>
      </c>
    </row>
    <row r="1319" customFormat="false" ht="15" hidden="false" customHeight="false" outlineLevel="0" collapsed="false">
      <c r="A1319" s="37" t="n">
        <v>380207274</v>
      </c>
      <c r="B1319" s="38" t="n">
        <v>46255.837037037</v>
      </c>
      <c r="C1319" s="37" t="s">
        <v>355</v>
      </c>
      <c r="D1319" s="37" t="s">
        <v>1552</v>
      </c>
      <c r="E1319" s="37" t="n">
        <v>24426410</v>
      </c>
      <c r="F1319" s="37" t="s">
        <v>140</v>
      </c>
      <c r="G1319" s="37" t="s">
        <v>207</v>
      </c>
      <c r="H1319" s="37" t="s">
        <v>170</v>
      </c>
      <c r="I1319" s="37" t="n">
        <v>48.45</v>
      </c>
      <c r="J1319" s="39" t="n">
        <v>549.99</v>
      </c>
      <c r="K1319" s="37" t="s">
        <v>322</v>
      </c>
      <c r="L1319" s="39" t="n">
        <v>116.7</v>
      </c>
      <c r="M1319" s="39" t="n">
        <v>82.25</v>
      </c>
      <c r="N1319" s="39" t="n">
        <f aca="false">J1319*Resumo!$C$7</f>
        <v>1.09998</v>
      </c>
      <c r="O1319" s="39" t="n">
        <f aca="false">J1319*Resumo!$C$8</f>
        <v>1.09998</v>
      </c>
      <c r="P1319" s="39" t="n">
        <f aca="false">Resumo!$C$10*CEILING(I1319/100,1)</f>
        <v>1</v>
      </c>
      <c r="Q1319" s="39" t="n">
        <f aca="false">Resumo!$C$9</f>
        <v>11.9</v>
      </c>
      <c r="R1319" s="39" t="n">
        <f aca="false">SUM(M1319:Q1319)*Resumo!$C$11</f>
        <v>5.3542478</v>
      </c>
      <c r="S1319" s="39" t="n">
        <f aca="false">SUM(M1319:R1319)</f>
        <v>102.7042078</v>
      </c>
      <c r="T1319" s="39" t="n">
        <f aca="false">S1319/(1-Resumo!$C$5)</f>
        <v>116.709327045455</v>
      </c>
      <c r="U1319" s="39" t="n">
        <v>114.95</v>
      </c>
      <c r="V1319" s="39" t="n">
        <f aca="false">J1319*Resumo!$B$6</f>
        <v>0.54999</v>
      </c>
      <c r="W1319" s="39" t="n">
        <f aca="false">J1319*Resumo!$B$7</f>
        <v>1.09998</v>
      </c>
      <c r="X1319" s="39" t="n">
        <f aca="false">Resumo!$B$9</f>
        <v>1</v>
      </c>
      <c r="Y1319" s="39" t="n">
        <f aca="false">Resumo!$B$10*CEILING(I1319/100,1)</f>
        <v>4.5</v>
      </c>
      <c r="Z1319" s="39" t="n">
        <f aca="false">Resumo!$B$12*CEILING(I1319,1)</f>
        <v>2.94</v>
      </c>
      <c r="AA1319" s="39" t="n">
        <f aca="false">Resumo!$B$13*CEILING(I1319,1)</f>
        <v>22.05</v>
      </c>
      <c r="AB1319" s="39" t="n">
        <f aca="false">SUM(U1319:AA1319)</f>
        <v>147.08997</v>
      </c>
      <c r="AC1319" s="39" t="n">
        <f aca="false">AB1319/(1-Resumo!$B$5)</f>
        <v>167.147693181818</v>
      </c>
      <c r="AD1319" s="39" t="n">
        <f aca="false">(AB1319-AA1319)/(1-Resumo!$B$5)</f>
        <v>142.090875</v>
      </c>
      <c r="AE1319" s="39" t="n">
        <f aca="false">AC1319-T1319</f>
        <v>50.4383661363636</v>
      </c>
      <c r="AF1319" s="40" t="n">
        <f aca="false">AC1319/T1319-1</f>
        <v>0.432170824845212</v>
      </c>
      <c r="AG1319" s="37" t="str">
        <f aca="false">IF(AC1319&lt;T1319,"SIM","NÃO")</f>
        <v>NÃO</v>
      </c>
      <c r="AH1319" s="37" t="n">
        <v>10</v>
      </c>
      <c r="AI1319" s="37" t="n">
        <v>7</v>
      </c>
      <c r="AJ1319" s="37" t="s">
        <v>323</v>
      </c>
    </row>
    <row r="1320" customFormat="false" ht="15" hidden="false" customHeight="false" outlineLevel="0" collapsed="false">
      <c r="A1320" s="37" t="n">
        <v>380222426</v>
      </c>
      <c r="B1320" s="38" t="n">
        <v>46255.8530092593</v>
      </c>
      <c r="C1320" s="37" t="s">
        <v>352</v>
      </c>
      <c r="D1320" s="37" t="s">
        <v>1553</v>
      </c>
      <c r="E1320" s="37" t="n">
        <v>23575437</v>
      </c>
      <c r="F1320" s="37" t="s">
        <v>139</v>
      </c>
      <c r="G1320" s="37" t="s">
        <v>198</v>
      </c>
      <c r="H1320" s="37" t="s">
        <v>174</v>
      </c>
      <c r="I1320" s="37" t="n">
        <v>81.7</v>
      </c>
      <c r="J1320" s="39" t="n">
        <v>769.99</v>
      </c>
      <c r="K1320" s="37" t="s">
        <v>322</v>
      </c>
      <c r="L1320" s="39" t="n">
        <v>162.78</v>
      </c>
      <c r="M1320" s="39" t="n">
        <v>119.8</v>
      </c>
      <c r="N1320" s="39" t="n">
        <f aca="false">J1320*Resumo!$C$7</f>
        <v>1.53998</v>
      </c>
      <c r="O1320" s="39" t="n">
        <f aca="false">J1320*Resumo!$C$8</f>
        <v>1.53998</v>
      </c>
      <c r="P1320" s="39" t="n">
        <f aca="false">Resumo!$C$10*CEILING(I1320/100,1)</f>
        <v>1</v>
      </c>
      <c r="Q1320" s="39" t="n">
        <f aca="false">Resumo!$C$9</f>
        <v>11.9</v>
      </c>
      <c r="R1320" s="39" t="n">
        <f aca="false">SUM(M1320:Q1320)*Resumo!$C$11</f>
        <v>7.4678978</v>
      </c>
      <c r="S1320" s="39" t="n">
        <f aca="false">SUM(M1320:R1320)</f>
        <v>143.2478578</v>
      </c>
      <c r="T1320" s="39" t="n">
        <f aca="false">S1320/(1-Resumo!$C$5)</f>
        <v>162.781656590909</v>
      </c>
      <c r="U1320" s="39" t="n">
        <v>167.99</v>
      </c>
      <c r="V1320" s="39" t="n">
        <f aca="false">J1320*Resumo!$B$6</f>
        <v>0.76999</v>
      </c>
      <c r="W1320" s="39" t="n">
        <f aca="false">J1320*Resumo!$B$7</f>
        <v>1.53998</v>
      </c>
      <c r="X1320" s="39" t="n">
        <f aca="false">Resumo!$B$9</f>
        <v>1</v>
      </c>
      <c r="Y1320" s="39" t="n">
        <f aca="false">Resumo!$B$10*CEILING(I1320/100,1)</f>
        <v>4.5</v>
      </c>
      <c r="Z1320" s="39" t="n">
        <f aca="false">Resumo!$B$12*CEILING(I1320,1)</f>
        <v>4.92</v>
      </c>
      <c r="AA1320" s="39" t="n">
        <f aca="false">Resumo!$B$13*CEILING(I1320,1)</f>
        <v>36.9</v>
      </c>
      <c r="AB1320" s="39" t="n">
        <f aca="false">SUM(U1320:AA1320)</f>
        <v>217.61997</v>
      </c>
      <c r="AC1320" s="39" t="n">
        <f aca="false">AB1320/(1-Resumo!$B$5)</f>
        <v>247.295420454545</v>
      </c>
      <c r="AD1320" s="39" t="n">
        <f aca="false">(AB1320-AA1320)/(1-Resumo!$B$5)</f>
        <v>205.363602272727</v>
      </c>
      <c r="AE1320" s="39" t="n">
        <f aca="false">AC1320-T1320</f>
        <v>84.5137638636364</v>
      </c>
      <c r="AF1320" s="40" t="n">
        <f aca="false">AC1320/T1320-1</f>
        <v>0.519184812549427</v>
      </c>
      <c r="AG1320" s="37" t="str">
        <f aca="false">IF(AC1320&lt;T1320,"SIM","NÃO")</f>
        <v>NÃO</v>
      </c>
      <c r="AH1320" s="37" t="n">
        <v>8</v>
      </c>
      <c r="AI1320" s="37" t="n">
        <v>5</v>
      </c>
      <c r="AJ1320" s="37" t="s">
        <v>323</v>
      </c>
    </row>
    <row r="1321" customFormat="false" ht="15" hidden="false" customHeight="false" outlineLevel="0" collapsed="false">
      <c r="A1321" s="37" t="n">
        <v>380276234</v>
      </c>
      <c r="B1321" s="38" t="n">
        <v>46255.9127083333</v>
      </c>
      <c r="C1321" s="37" t="s">
        <v>320</v>
      </c>
      <c r="D1321" s="37" t="s">
        <v>1554</v>
      </c>
      <c r="E1321" s="37" t="n">
        <v>27240440</v>
      </c>
      <c r="F1321" s="37" t="s">
        <v>148</v>
      </c>
      <c r="G1321" s="37" t="s">
        <v>201</v>
      </c>
      <c r="H1321" s="37" t="s">
        <v>169</v>
      </c>
      <c r="I1321" s="37" t="n">
        <v>36.8</v>
      </c>
      <c r="J1321" s="39" t="n">
        <v>439.99</v>
      </c>
      <c r="K1321" s="37" t="s">
        <v>322</v>
      </c>
      <c r="L1321" s="39" t="n">
        <v>122.35</v>
      </c>
      <c r="M1321" s="39" t="n">
        <v>87.4</v>
      </c>
      <c r="N1321" s="39" t="n">
        <f aca="false">J1321*Resumo!$C$7</f>
        <v>0.87998</v>
      </c>
      <c r="O1321" s="39" t="n">
        <f aca="false">J1321*Resumo!$C$8</f>
        <v>0.87998</v>
      </c>
      <c r="P1321" s="39" t="n">
        <f aca="false">Resumo!$C$10*CEILING(I1321/100,1)</f>
        <v>1</v>
      </c>
      <c r="Q1321" s="39" t="n">
        <f aca="false">Resumo!$C$9</f>
        <v>11.9</v>
      </c>
      <c r="R1321" s="39" t="n">
        <f aca="false">SUM(M1321:Q1321)*Resumo!$C$11</f>
        <v>5.6132978</v>
      </c>
      <c r="S1321" s="39" t="n">
        <f aca="false">SUM(M1321:R1321)</f>
        <v>107.6732578</v>
      </c>
      <c r="T1321" s="39" t="n">
        <f aca="false">S1321/(1-Resumo!$C$5)</f>
        <v>122.355974772727</v>
      </c>
      <c r="U1321" s="39" t="n">
        <v>124.38</v>
      </c>
      <c r="V1321" s="39" t="n">
        <f aca="false">J1321*Resumo!$B$6</f>
        <v>0.43999</v>
      </c>
      <c r="W1321" s="39" t="n">
        <f aca="false">J1321*Resumo!$B$7</f>
        <v>0.87998</v>
      </c>
      <c r="X1321" s="39" t="n">
        <f aca="false">Resumo!$B$9</f>
        <v>1</v>
      </c>
      <c r="Y1321" s="39" t="n">
        <f aca="false">Resumo!$B$10*CEILING(I1321/100,1)</f>
        <v>4.5</v>
      </c>
      <c r="Z1321" s="39" t="n">
        <f aca="false">Resumo!$B$12*CEILING(I1321,1)</f>
        <v>2.22</v>
      </c>
      <c r="AA1321" s="39" t="n">
        <f aca="false">Resumo!$B$13*CEILING(I1321,1)</f>
        <v>16.65</v>
      </c>
      <c r="AB1321" s="39" t="n">
        <f aca="false">SUM(U1321:AA1321)</f>
        <v>150.06997</v>
      </c>
      <c r="AC1321" s="39" t="n">
        <f aca="false">AB1321/(1-Resumo!$B$5)</f>
        <v>170.534056818182</v>
      </c>
      <c r="AD1321" s="39" t="n">
        <f aca="false">(AB1321-AA1321)/(1-Resumo!$B$5)</f>
        <v>151.613602272727</v>
      </c>
      <c r="AE1321" s="39" t="n">
        <f aca="false">AC1321-T1321</f>
        <v>48.1780820454545</v>
      </c>
      <c r="AF1321" s="40" t="n">
        <f aca="false">AC1321/T1321-1</f>
        <v>0.393753407914439</v>
      </c>
      <c r="AG1321" s="37" t="str">
        <f aca="false">IF(AC1321&lt;T1321,"SIM","NÃO")</f>
        <v>NÃO</v>
      </c>
      <c r="AH1321" s="37" t="n">
        <v>13</v>
      </c>
      <c r="AI1321" s="37" t="n">
        <v>10</v>
      </c>
      <c r="AJ1321" s="37" t="s">
        <v>323</v>
      </c>
    </row>
    <row r="1322" customFormat="false" ht="15" hidden="false" customHeight="false" outlineLevel="0" collapsed="false">
      <c r="A1322" s="37" t="n">
        <v>380276233</v>
      </c>
      <c r="B1322" s="38" t="n">
        <v>46255.9127083333</v>
      </c>
      <c r="C1322" s="37" t="s">
        <v>320</v>
      </c>
      <c r="D1322" s="37" t="s">
        <v>1554</v>
      </c>
      <c r="E1322" s="37" t="n">
        <v>27240440</v>
      </c>
      <c r="F1322" s="37" t="s">
        <v>148</v>
      </c>
      <c r="G1322" s="37" t="s">
        <v>201</v>
      </c>
      <c r="H1322" s="37" t="s">
        <v>171</v>
      </c>
      <c r="I1322" s="37" t="n">
        <v>58.6</v>
      </c>
      <c r="J1322" s="39" t="n">
        <v>645.7</v>
      </c>
      <c r="K1322" s="37" t="s">
        <v>322</v>
      </c>
      <c r="L1322" s="39" t="n">
        <v>142.76</v>
      </c>
      <c r="M1322" s="39" t="n">
        <v>103.6</v>
      </c>
      <c r="N1322" s="39" t="n">
        <f aca="false">J1322*Resumo!$C$7</f>
        <v>1.2914</v>
      </c>
      <c r="O1322" s="39" t="n">
        <f aca="false">J1322*Resumo!$C$8</f>
        <v>1.2914</v>
      </c>
      <c r="P1322" s="39" t="n">
        <f aca="false">Resumo!$C$10*CEILING(I1322/100,1)</f>
        <v>1</v>
      </c>
      <c r="Q1322" s="39" t="n">
        <f aca="false">Resumo!$C$9</f>
        <v>11.9</v>
      </c>
      <c r="R1322" s="39" t="n">
        <f aca="false">SUM(M1322:Q1322)*Resumo!$C$11</f>
        <v>6.549554</v>
      </c>
      <c r="S1322" s="39" t="n">
        <f aca="false">SUM(M1322:R1322)</f>
        <v>125.632354</v>
      </c>
      <c r="T1322" s="39" t="n">
        <f aca="false">S1322/(1-Resumo!$C$5)</f>
        <v>142.764038636364</v>
      </c>
      <c r="U1322" s="39" t="n">
        <v>142.32</v>
      </c>
      <c r="V1322" s="39" t="n">
        <f aca="false">J1322*Resumo!$B$6</f>
        <v>0.6457</v>
      </c>
      <c r="W1322" s="39" t="n">
        <f aca="false">J1322*Resumo!$B$7</f>
        <v>1.2914</v>
      </c>
      <c r="X1322" s="39" t="n">
        <f aca="false">Resumo!$B$9</f>
        <v>1</v>
      </c>
      <c r="Y1322" s="39" t="n">
        <f aca="false">Resumo!$B$10*CEILING(I1322/100,1)</f>
        <v>4.5</v>
      </c>
      <c r="Z1322" s="39" t="n">
        <f aca="false">Resumo!$B$12*CEILING(I1322,1)</f>
        <v>3.54</v>
      </c>
      <c r="AA1322" s="39" t="n">
        <f aca="false">Resumo!$B$13*CEILING(I1322,1)</f>
        <v>26.55</v>
      </c>
      <c r="AB1322" s="39" t="n">
        <f aca="false">SUM(U1322:AA1322)</f>
        <v>179.8471</v>
      </c>
      <c r="AC1322" s="39" t="n">
        <f aca="false">AB1322/(1-Resumo!$B$5)</f>
        <v>204.371704545455</v>
      </c>
      <c r="AD1322" s="39" t="n">
        <f aca="false">(AB1322-AA1322)/(1-Resumo!$B$5)</f>
        <v>174.20125</v>
      </c>
      <c r="AE1322" s="39" t="n">
        <f aca="false">AC1322-T1322</f>
        <v>61.6076659090909</v>
      </c>
      <c r="AF1322" s="40" t="n">
        <f aca="false">AC1322/T1322-1</f>
        <v>0.431534905411388</v>
      </c>
      <c r="AG1322" s="37" t="str">
        <f aca="false">IF(AC1322&lt;T1322,"SIM","NÃO")</f>
        <v>NÃO</v>
      </c>
      <c r="AH1322" s="37" t="n">
        <v>13</v>
      </c>
      <c r="AI1322" s="37" t="n">
        <v>10</v>
      </c>
      <c r="AJ1322" s="37" t="s">
        <v>323</v>
      </c>
    </row>
    <row r="1323" customFormat="false" ht="15" hidden="false" customHeight="false" outlineLevel="0" collapsed="false">
      <c r="A1323" s="37" t="n">
        <v>380288539</v>
      </c>
      <c r="B1323" s="38" t="n">
        <v>46255.9264351852</v>
      </c>
      <c r="C1323" s="37" t="s">
        <v>325</v>
      </c>
      <c r="D1323" s="37" t="s">
        <v>1555</v>
      </c>
      <c r="E1323" s="37" t="n">
        <v>28943628</v>
      </c>
      <c r="F1323" s="37" t="s">
        <v>278</v>
      </c>
      <c r="G1323" s="37" t="s">
        <v>201</v>
      </c>
      <c r="H1323" s="37" t="s">
        <v>171</v>
      </c>
      <c r="I1323" s="37" t="n">
        <v>58.5</v>
      </c>
      <c r="J1323" s="39" t="n">
        <v>855.95</v>
      </c>
      <c r="K1323" s="37" t="s">
        <v>322</v>
      </c>
      <c r="L1323" s="39" t="n">
        <v>143.77</v>
      </c>
      <c r="M1323" s="39" t="n">
        <v>103.6</v>
      </c>
      <c r="N1323" s="39" t="n">
        <f aca="false">J1323*Resumo!$C$7</f>
        <v>1.7119</v>
      </c>
      <c r="O1323" s="39" t="n">
        <f aca="false">J1323*Resumo!$C$8</f>
        <v>1.7119</v>
      </c>
      <c r="P1323" s="39" t="n">
        <f aca="false">Resumo!$C$10*CEILING(I1323/100,1)</f>
        <v>1</v>
      </c>
      <c r="Q1323" s="39" t="n">
        <f aca="false">Resumo!$C$9</f>
        <v>11.9</v>
      </c>
      <c r="R1323" s="39" t="n">
        <f aca="false">SUM(M1323:Q1323)*Resumo!$C$11</f>
        <v>6.595809</v>
      </c>
      <c r="S1323" s="39" t="n">
        <f aca="false">SUM(M1323:R1323)</f>
        <v>126.519609</v>
      </c>
      <c r="T1323" s="39" t="n">
        <f aca="false">S1323/(1-Resumo!$C$5)</f>
        <v>143.772282954545</v>
      </c>
      <c r="U1323" s="39" t="n">
        <v>142.32</v>
      </c>
      <c r="V1323" s="39" t="n">
        <f aca="false">J1323*Resumo!$B$6</f>
        <v>0.85595</v>
      </c>
      <c r="W1323" s="39" t="n">
        <f aca="false">J1323*Resumo!$B$7</f>
        <v>1.7119</v>
      </c>
      <c r="X1323" s="39" t="n">
        <f aca="false">Resumo!$B$9</f>
        <v>1</v>
      </c>
      <c r="Y1323" s="39" t="n">
        <f aca="false">Resumo!$B$10*CEILING(I1323/100,1)</f>
        <v>4.5</v>
      </c>
      <c r="Z1323" s="39" t="n">
        <f aca="false">Resumo!$B$12*CEILING(I1323,1)</f>
        <v>3.54</v>
      </c>
      <c r="AA1323" s="39" t="n">
        <f aca="false">Resumo!$B$13*CEILING(I1323,1)</f>
        <v>26.55</v>
      </c>
      <c r="AB1323" s="39" t="n">
        <f aca="false">SUM(U1323:AA1323)</f>
        <v>180.47785</v>
      </c>
      <c r="AC1323" s="39" t="n">
        <f aca="false">AB1323/(1-Resumo!$B$5)</f>
        <v>205.088465909091</v>
      </c>
      <c r="AD1323" s="39" t="n">
        <f aca="false">(AB1323-AA1323)/(1-Resumo!$B$5)</f>
        <v>174.918011363636</v>
      </c>
      <c r="AE1323" s="39" t="n">
        <f aca="false">AC1323-T1323</f>
        <v>61.3161829545455</v>
      </c>
      <c r="AF1323" s="40" t="n">
        <f aca="false">AC1323/T1323-1</f>
        <v>0.42648125003295</v>
      </c>
      <c r="AG1323" s="37" t="str">
        <f aca="false">IF(AC1323&lt;T1323,"SIM","NÃO")</f>
        <v>NÃO</v>
      </c>
      <c r="AH1323" s="37" t="n">
        <v>13</v>
      </c>
      <c r="AI1323" s="37" t="n">
        <v>10</v>
      </c>
      <c r="AJ1323" s="37" t="s">
        <v>327</v>
      </c>
    </row>
    <row r="1324" customFormat="false" ht="15" hidden="false" customHeight="false" outlineLevel="0" collapsed="false">
      <c r="A1324" s="37" t="n">
        <v>380304737</v>
      </c>
      <c r="B1324" s="38" t="n">
        <v>46255.9441898148</v>
      </c>
      <c r="C1324" s="37" t="s">
        <v>320</v>
      </c>
      <c r="D1324" s="37" t="s">
        <v>1556</v>
      </c>
      <c r="E1324" s="37" t="n">
        <v>27963111</v>
      </c>
      <c r="F1324" s="37" t="s">
        <v>146</v>
      </c>
      <c r="G1324" s="37" t="s">
        <v>201</v>
      </c>
      <c r="H1324" s="37" t="s">
        <v>174</v>
      </c>
      <c r="I1324" s="37" t="n">
        <v>82.7</v>
      </c>
      <c r="J1324" s="39" t="n">
        <v>979.99</v>
      </c>
      <c r="K1324" s="37" t="s">
        <v>322</v>
      </c>
      <c r="L1324" s="39" t="n">
        <v>193.3</v>
      </c>
      <c r="M1324" s="39" t="n">
        <v>144.41</v>
      </c>
      <c r="N1324" s="39" t="n">
        <f aca="false">J1324*Resumo!$C$7</f>
        <v>1.95998</v>
      </c>
      <c r="O1324" s="39" t="n">
        <f aca="false">J1324*Resumo!$C$8</f>
        <v>1.95998</v>
      </c>
      <c r="P1324" s="39" t="n">
        <f aca="false">Resumo!$C$10*CEILING(I1324/100,1)</f>
        <v>1</v>
      </c>
      <c r="Q1324" s="39" t="n">
        <f aca="false">Resumo!$C$9</f>
        <v>11.9</v>
      </c>
      <c r="R1324" s="39" t="n">
        <f aca="false">SUM(M1324:Q1324)*Resumo!$C$11</f>
        <v>8.8676478</v>
      </c>
      <c r="S1324" s="39" t="n">
        <f aca="false">SUM(M1324:R1324)</f>
        <v>170.0976078</v>
      </c>
      <c r="T1324" s="39" t="n">
        <f aca="false">S1324/(1-Resumo!$C$5)</f>
        <v>193.292736136364</v>
      </c>
      <c r="U1324" s="39" t="n">
        <v>200.04</v>
      </c>
      <c r="V1324" s="39" t="n">
        <f aca="false">J1324*Resumo!$B$6</f>
        <v>0.97999</v>
      </c>
      <c r="W1324" s="39" t="n">
        <f aca="false">J1324*Resumo!$B$7</f>
        <v>1.95998</v>
      </c>
      <c r="X1324" s="39" t="n">
        <f aca="false">Resumo!$B$9</f>
        <v>1</v>
      </c>
      <c r="Y1324" s="39" t="n">
        <f aca="false">Resumo!$B$10*CEILING(I1324/100,1)</f>
        <v>4.5</v>
      </c>
      <c r="Z1324" s="39" t="n">
        <f aca="false">Resumo!$B$12*CEILING(I1324,1)</f>
        <v>4.98</v>
      </c>
      <c r="AA1324" s="39" t="n">
        <f aca="false">Resumo!$B$13*CEILING(I1324,1)</f>
        <v>37.35</v>
      </c>
      <c r="AB1324" s="39" t="n">
        <f aca="false">SUM(U1324:AA1324)</f>
        <v>250.80997</v>
      </c>
      <c r="AC1324" s="39" t="n">
        <f aca="false">AB1324/(1-Resumo!$B$5)</f>
        <v>285.011329545455</v>
      </c>
      <c r="AD1324" s="39" t="n">
        <f aca="false">(AB1324-AA1324)/(1-Resumo!$B$5)</f>
        <v>242.568147727273</v>
      </c>
      <c r="AE1324" s="39" t="n">
        <f aca="false">AC1324-T1324</f>
        <v>91.7185934090909</v>
      </c>
      <c r="AF1324" s="40" t="n">
        <f aca="false">AC1324/T1324-1</f>
        <v>0.474506157046613</v>
      </c>
      <c r="AG1324" s="37" t="str">
        <f aca="false">IF(AC1324&lt;T1324,"SIM","NÃO")</f>
        <v>NÃO</v>
      </c>
      <c r="AH1324" s="37" t="n">
        <v>13</v>
      </c>
      <c r="AI1324" s="37" t="n">
        <v>11</v>
      </c>
      <c r="AJ1324" s="37" t="s">
        <v>323</v>
      </c>
    </row>
    <row r="1325" customFormat="false" ht="15" hidden="false" customHeight="false" outlineLevel="0" collapsed="false">
      <c r="A1325" s="37" t="n">
        <v>380351316</v>
      </c>
      <c r="B1325" s="38" t="n">
        <v>46256.0080324074</v>
      </c>
      <c r="C1325" s="37" t="s">
        <v>341</v>
      </c>
      <c r="D1325" s="37" t="s">
        <v>1557</v>
      </c>
      <c r="E1325" s="37" t="n">
        <v>23934010</v>
      </c>
      <c r="F1325" s="37" t="s">
        <v>149</v>
      </c>
      <c r="G1325" s="37" t="s">
        <v>201</v>
      </c>
      <c r="H1325" s="37" t="s">
        <v>169</v>
      </c>
      <c r="I1325" s="37" t="n">
        <v>36.8</v>
      </c>
      <c r="J1325" s="39" t="n">
        <v>475.99</v>
      </c>
      <c r="K1325" s="37" t="s">
        <v>322</v>
      </c>
      <c r="L1325" s="39" t="n">
        <v>122.52</v>
      </c>
      <c r="M1325" s="39" t="n">
        <v>87.4</v>
      </c>
      <c r="N1325" s="39" t="n">
        <f aca="false">J1325*Resumo!$C$7</f>
        <v>0.95198</v>
      </c>
      <c r="O1325" s="39" t="n">
        <f aca="false">J1325*Resumo!$C$8</f>
        <v>0.95198</v>
      </c>
      <c r="P1325" s="39" t="n">
        <f aca="false">Resumo!$C$10*CEILING(I1325/100,1)</f>
        <v>1</v>
      </c>
      <c r="Q1325" s="39" t="n">
        <f aca="false">Resumo!$C$9</f>
        <v>11.9</v>
      </c>
      <c r="R1325" s="39" t="n">
        <f aca="false">SUM(M1325:Q1325)*Resumo!$C$11</f>
        <v>5.6212178</v>
      </c>
      <c r="S1325" s="39" t="n">
        <f aca="false">SUM(M1325:R1325)</f>
        <v>107.8251778</v>
      </c>
      <c r="T1325" s="39" t="n">
        <f aca="false">S1325/(1-Resumo!$C$5)</f>
        <v>122.528611136364</v>
      </c>
      <c r="U1325" s="39" t="n">
        <v>124.38</v>
      </c>
      <c r="V1325" s="39" t="n">
        <f aca="false">J1325*Resumo!$B$6</f>
        <v>0.47599</v>
      </c>
      <c r="W1325" s="39" t="n">
        <f aca="false">J1325*Resumo!$B$7</f>
        <v>0.95198</v>
      </c>
      <c r="X1325" s="39" t="n">
        <f aca="false">Resumo!$B$9</f>
        <v>1</v>
      </c>
      <c r="Y1325" s="39" t="n">
        <f aca="false">Resumo!$B$10*CEILING(I1325/100,1)</f>
        <v>4.5</v>
      </c>
      <c r="Z1325" s="39" t="n">
        <f aca="false">Resumo!$B$12*CEILING(I1325,1)</f>
        <v>2.22</v>
      </c>
      <c r="AA1325" s="39" t="n">
        <f aca="false">Resumo!$B$13*CEILING(I1325,1)</f>
        <v>16.65</v>
      </c>
      <c r="AB1325" s="39" t="n">
        <f aca="false">SUM(U1325:AA1325)</f>
        <v>150.17797</v>
      </c>
      <c r="AC1325" s="39" t="n">
        <f aca="false">AB1325/(1-Resumo!$B$5)</f>
        <v>170.656784090909</v>
      </c>
      <c r="AD1325" s="39" t="n">
        <f aca="false">(AB1325-AA1325)/(1-Resumo!$B$5)</f>
        <v>151.736329545455</v>
      </c>
      <c r="AE1325" s="39" t="n">
        <f aca="false">AC1325-T1325</f>
        <v>48.1281729545454</v>
      </c>
      <c r="AF1325" s="40" t="n">
        <f aca="false">AC1325/T1325-1</f>
        <v>0.392791304073324</v>
      </c>
      <c r="AG1325" s="37" t="str">
        <f aca="false">IF(AC1325&lt;T1325,"SIM","NÃO")</f>
        <v>NÃO</v>
      </c>
      <c r="AH1325" s="37" t="n">
        <v>13</v>
      </c>
      <c r="AI1325" s="37" t="n">
        <v>10</v>
      </c>
      <c r="AJ1325" s="37" t="s">
        <v>323</v>
      </c>
    </row>
    <row r="1326" customFormat="false" ht="15" hidden="false" customHeight="false" outlineLevel="0" collapsed="false">
      <c r="A1326" s="37" t="n">
        <v>380372914</v>
      </c>
      <c r="B1326" s="38" t="n">
        <v>46256.0241203704</v>
      </c>
      <c r="C1326" s="37" t="s">
        <v>320</v>
      </c>
      <c r="D1326" s="37" t="s">
        <v>1558</v>
      </c>
      <c r="E1326" s="37" t="n">
        <v>25710130</v>
      </c>
      <c r="F1326" s="37" t="s">
        <v>150</v>
      </c>
      <c r="G1326" s="37" t="s">
        <v>201</v>
      </c>
      <c r="H1326" s="37" t="s">
        <v>171</v>
      </c>
      <c r="I1326" s="37" t="n">
        <v>52.3</v>
      </c>
      <c r="J1326" s="39" t="n">
        <v>669.99</v>
      </c>
      <c r="K1326" s="37" t="s">
        <v>322</v>
      </c>
      <c r="L1326" s="39" t="n">
        <v>142.87</v>
      </c>
      <c r="M1326" s="39" t="n">
        <v>103.6</v>
      </c>
      <c r="N1326" s="39" t="n">
        <f aca="false">J1326*Resumo!$C$7</f>
        <v>1.33998</v>
      </c>
      <c r="O1326" s="39" t="n">
        <f aca="false">J1326*Resumo!$C$8</f>
        <v>1.33998</v>
      </c>
      <c r="P1326" s="39" t="n">
        <f aca="false">Resumo!$C$10*CEILING(I1326/100,1)</f>
        <v>1</v>
      </c>
      <c r="Q1326" s="39" t="n">
        <f aca="false">Resumo!$C$9</f>
        <v>11.9</v>
      </c>
      <c r="R1326" s="39" t="n">
        <f aca="false">SUM(M1326:Q1326)*Resumo!$C$11</f>
        <v>6.5548978</v>
      </c>
      <c r="S1326" s="39" t="n">
        <f aca="false">SUM(M1326:R1326)</f>
        <v>125.7348578</v>
      </c>
      <c r="T1326" s="39" t="n">
        <f aca="false">S1326/(1-Resumo!$C$5)</f>
        <v>142.880520227273</v>
      </c>
      <c r="U1326" s="39" t="n">
        <v>142.32</v>
      </c>
      <c r="V1326" s="39" t="n">
        <f aca="false">J1326*Resumo!$B$6</f>
        <v>0.66999</v>
      </c>
      <c r="W1326" s="39" t="n">
        <f aca="false">J1326*Resumo!$B$7</f>
        <v>1.33998</v>
      </c>
      <c r="X1326" s="39" t="n">
        <f aca="false">Resumo!$B$9</f>
        <v>1</v>
      </c>
      <c r="Y1326" s="39" t="n">
        <f aca="false">Resumo!$B$10*CEILING(I1326/100,1)</f>
        <v>4.5</v>
      </c>
      <c r="Z1326" s="39" t="n">
        <f aca="false">Resumo!$B$12*CEILING(I1326,1)</f>
        <v>3.18</v>
      </c>
      <c r="AA1326" s="39" t="n">
        <f aca="false">Resumo!$B$13*CEILING(I1326,1)</f>
        <v>23.85</v>
      </c>
      <c r="AB1326" s="39" t="n">
        <f aca="false">SUM(U1326:AA1326)</f>
        <v>176.85997</v>
      </c>
      <c r="AC1326" s="39" t="n">
        <f aca="false">AB1326/(1-Resumo!$B$5)</f>
        <v>200.977238636364</v>
      </c>
      <c r="AD1326" s="39" t="n">
        <f aca="false">(AB1326-AA1326)/(1-Resumo!$B$5)</f>
        <v>173.874965909091</v>
      </c>
      <c r="AE1326" s="39" t="n">
        <f aca="false">AC1326-T1326</f>
        <v>58.0967184090909</v>
      </c>
      <c r="AF1326" s="40" t="n">
        <f aca="false">AC1326/T1326-1</f>
        <v>0.406610490476094</v>
      </c>
      <c r="AG1326" s="37" t="str">
        <f aca="false">IF(AC1326&lt;T1326,"SIM","NÃO")</f>
        <v>NÃO</v>
      </c>
      <c r="AH1326" s="37" t="n">
        <v>13</v>
      </c>
      <c r="AI1326" s="37" t="n">
        <v>8</v>
      </c>
      <c r="AJ1326" s="37" t="s">
        <v>323</v>
      </c>
    </row>
    <row r="1327" customFormat="false" ht="15" hidden="false" customHeight="false" outlineLevel="0" collapsed="false">
      <c r="A1327" s="37" t="n">
        <v>380506346</v>
      </c>
      <c r="B1327" s="38" t="n">
        <v>46256.246712963</v>
      </c>
      <c r="C1327" s="37" t="s">
        <v>320</v>
      </c>
      <c r="D1327" s="37" t="s">
        <v>729</v>
      </c>
      <c r="E1327" s="37" t="n">
        <v>20911300</v>
      </c>
      <c r="F1327" s="37" t="s">
        <v>139</v>
      </c>
      <c r="G1327" s="37" t="s">
        <v>198</v>
      </c>
      <c r="H1327" s="37" t="s">
        <v>171</v>
      </c>
      <c r="I1327" s="37" t="n">
        <v>60</v>
      </c>
      <c r="J1327" s="39" t="n">
        <v>793.29</v>
      </c>
      <c r="K1327" s="37" t="s">
        <v>322</v>
      </c>
      <c r="L1327" s="39" t="n">
        <v>114.95</v>
      </c>
      <c r="M1327" s="39" t="n">
        <v>79.81</v>
      </c>
      <c r="N1327" s="39" t="n">
        <f aca="false">J1327*Resumo!$C$7</f>
        <v>1.58658</v>
      </c>
      <c r="O1327" s="39" t="n">
        <f aca="false">J1327*Resumo!$C$8</f>
        <v>1.58658</v>
      </c>
      <c r="P1327" s="39" t="n">
        <f aca="false">Resumo!$C$10*CEILING(I1327/100,1)</f>
        <v>1</v>
      </c>
      <c r="Q1327" s="39" t="n">
        <f aca="false">Resumo!$C$9</f>
        <v>11.9</v>
      </c>
      <c r="R1327" s="39" t="n">
        <f aca="false">SUM(M1327:Q1327)*Resumo!$C$11</f>
        <v>5.2735738</v>
      </c>
      <c r="S1327" s="39" t="n">
        <f aca="false">SUM(M1327:R1327)</f>
        <v>101.1567338</v>
      </c>
      <c r="T1327" s="39" t="n">
        <f aca="false">S1327/(1-Resumo!$C$5)</f>
        <v>114.950833863636</v>
      </c>
      <c r="U1327" s="39" t="n">
        <v>112.3</v>
      </c>
      <c r="V1327" s="39" t="n">
        <f aca="false">J1327*Resumo!$B$6</f>
        <v>0.79329</v>
      </c>
      <c r="W1327" s="39" t="n">
        <f aca="false">J1327*Resumo!$B$7</f>
        <v>1.58658</v>
      </c>
      <c r="X1327" s="39" t="n">
        <f aca="false">Resumo!$B$9</f>
        <v>1</v>
      </c>
      <c r="Y1327" s="39" t="n">
        <f aca="false">Resumo!$B$10*CEILING(I1327/100,1)</f>
        <v>4.5</v>
      </c>
      <c r="Z1327" s="39" t="n">
        <f aca="false">Resumo!$B$12*CEILING(I1327,1)</f>
        <v>3.6</v>
      </c>
      <c r="AA1327" s="39" t="n">
        <f aca="false">Resumo!$B$13*CEILING(I1327,1)</f>
        <v>27</v>
      </c>
      <c r="AB1327" s="39" t="n">
        <f aca="false">SUM(U1327:AA1327)</f>
        <v>150.77987</v>
      </c>
      <c r="AC1327" s="39" t="n">
        <f aca="false">AB1327/(1-Resumo!$B$5)</f>
        <v>171.340761363636</v>
      </c>
      <c r="AD1327" s="39" t="n">
        <f aca="false">(AB1327-AA1327)/(1-Resumo!$B$5)</f>
        <v>140.658943181818</v>
      </c>
      <c r="AE1327" s="39" t="n">
        <f aca="false">AC1327-T1327</f>
        <v>56.3899275</v>
      </c>
      <c r="AF1327" s="40" t="n">
        <f aca="false">AC1327/T1327-1</f>
        <v>0.490556924248972</v>
      </c>
      <c r="AG1327" s="37" t="str">
        <f aca="false">IF(AC1327&lt;T1327,"SIM","NÃO")</f>
        <v>NÃO</v>
      </c>
      <c r="AH1327" s="37" t="n">
        <v>8</v>
      </c>
      <c r="AI1327" s="37" t="n">
        <v>5</v>
      </c>
      <c r="AJ1327" s="37" t="s">
        <v>323</v>
      </c>
    </row>
    <row r="1328" customFormat="false" ht="15" hidden="false" customHeight="false" outlineLevel="0" collapsed="false">
      <c r="A1328" s="37" t="n">
        <v>380552275</v>
      </c>
      <c r="B1328" s="38" t="n">
        <v>46256.335775463</v>
      </c>
      <c r="C1328" s="37" t="s">
        <v>341</v>
      </c>
      <c r="D1328" s="37" t="s">
        <v>1559</v>
      </c>
      <c r="E1328" s="37" t="n">
        <v>25030020</v>
      </c>
      <c r="F1328" s="37" t="s">
        <v>141</v>
      </c>
      <c r="G1328" s="37" t="s">
        <v>207</v>
      </c>
      <c r="H1328" s="37" t="s">
        <v>170</v>
      </c>
      <c r="I1328" s="37" t="n">
        <v>46.8</v>
      </c>
      <c r="J1328" s="39" t="n">
        <v>535.49</v>
      </c>
      <c r="K1328" s="37" t="s">
        <v>322</v>
      </c>
      <c r="L1328" s="39" t="n">
        <v>116.64</v>
      </c>
      <c r="M1328" s="39" t="n">
        <v>82.25</v>
      </c>
      <c r="N1328" s="39" t="n">
        <f aca="false">J1328*Resumo!$C$7</f>
        <v>1.07098</v>
      </c>
      <c r="O1328" s="39" t="n">
        <f aca="false">J1328*Resumo!$C$8</f>
        <v>1.07098</v>
      </c>
      <c r="P1328" s="39" t="n">
        <f aca="false">Resumo!$C$10*CEILING(I1328/100,1)</f>
        <v>1</v>
      </c>
      <c r="Q1328" s="39" t="n">
        <f aca="false">Resumo!$C$9</f>
        <v>11.9</v>
      </c>
      <c r="R1328" s="39" t="n">
        <f aca="false">SUM(M1328:Q1328)*Resumo!$C$11</f>
        <v>5.3510578</v>
      </c>
      <c r="S1328" s="39" t="n">
        <f aca="false">SUM(M1328:R1328)</f>
        <v>102.6430178</v>
      </c>
      <c r="T1328" s="39" t="n">
        <f aca="false">S1328/(1-Resumo!$C$5)</f>
        <v>116.639792954545</v>
      </c>
      <c r="U1328" s="39" t="n">
        <v>93.97</v>
      </c>
      <c r="V1328" s="39" t="n">
        <f aca="false">J1328*Resumo!$B$6</f>
        <v>0.53549</v>
      </c>
      <c r="W1328" s="39" t="n">
        <f aca="false">J1328*Resumo!$B$7</f>
        <v>1.07098</v>
      </c>
      <c r="X1328" s="39" t="n">
        <f aca="false">Resumo!$B$9</f>
        <v>1</v>
      </c>
      <c r="Y1328" s="39" t="n">
        <f aca="false">Resumo!$B$10*CEILING(I1328/100,1)</f>
        <v>4.5</v>
      </c>
      <c r="Z1328" s="39" t="n">
        <f aca="false">Resumo!$B$12*CEILING(I1328,1)</f>
        <v>2.82</v>
      </c>
      <c r="AA1328" s="39" t="n">
        <f aca="false">Resumo!$B$13*CEILING(I1328,1)</f>
        <v>21.15</v>
      </c>
      <c r="AB1328" s="39" t="n">
        <f aca="false">SUM(U1328:AA1328)</f>
        <v>125.04647</v>
      </c>
      <c r="AC1328" s="39" t="n">
        <f aca="false">AB1328/(1-Resumo!$B$5)</f>
        <v>142.098261363636</v>
      </c>
      <c r="AD1328" s="39" t="n">
        <f aca="false">(AB1328-AA1328)/(1-Resumo!$B$5)</f>
        <v>118.064170454545</v>
      </c>
      <c r="AE1328" s="39" t="n">
        <f aca="false">AC1328-T1328</f>
        <v>25.4584684090909</v>
      </c>
      <c r="AF1328" s="40" t="n">
        <f aca="false">AC1328/T1328-1</f>
        <v>0.218265720164747</v>
      </c>
      <c r="AG1328" s="37" t="str">
        <f aca="false">IF(AC1328&lt;T1328,"SIM","NÃO")</f>
        <v>NÃO</v>
      </c>
      <c r="AH1328" s="37" t="n">
        <v>10</v>
      </c>
      <c r="AI1328" s="37" t="n">
        <v>5</v>
      </c>
      <c r="AJ1328" s="37" t="s">
        <v>323</v>
      </c>
    </row>
    <row r="1329" customFormat="false" ht="15" hidden="false" customHeight="false" outlineLevel="0" collapsed="false">
      <c r="A1329" s="37" t="n">
        <v>380583142</v>
      </c>
      <c r="B1329" s="38" t="n">
        <v>46256.3650810185</v>
      </c>
      <c r="C1329" s="37" t="s">
        <v>320</v>
      </c>
      <c r="D1329" s="37" t="s">
        <v>1560</v>
      </c>
      <c r="E1329" s="37" t="n">
        <v>26415190</v>
      </c>
      <c r="F1329" s="37" t="s">
        <v>223</v>
      </c>
      <c r="G1329" s="37" t="s">
        <v>201</v>
      </c>
      <c r="H1329" s="37" t="s">
        <v>171</v>
      </c>
      <c r="I1329" s="37" t="n">
        <v>52.3</v>
      </c>
      <c r="J1329" s="39" t="n">
        <v>669.99</v>
      </c>
      <c r="K1329" s="37" t="s">
        <v>322</v>
      </c>
      <c r="L1329" s="39" t="n">
        <v>142.87</v>
      </c>
      <c r="M1329" s="39" t="n">
        <v>103.6</v>
      </c>
      <c r="N1329" s="39" t="n">
        <f aca="false">J1329*Resumo!$C$7</f>
        <v>1.33998</v>
      </c>
      <c r="O1329" s="39" t="n">
        <f aca="false">J1329*Resumo!$C$8</f>
        <v>1.33998</v>
      </c>
      <c r="P1329" s="39" t="n">
        <f aca="false">Resumo!$C$10*CEILING(I1329/100,1)</f>
        <v>1</v>
      </c>
      <c r="Q1329" s="39" t="n">
        <f aca="false">Resumo!$C$9</f>
        <v>11.9</v>
      </c>
      <c r="R1329" s="39" t="n">
        <f aca="false">SUM(M1329:Q1329)*Resumo!$C$11</f>
        <v>6.5548978</v>
      </c>
      <c r="S1329" s="39" t="n">
        <f aca="false">SUM(M1329:R1329)</f>
        <v>125.7348578</v>
      </c>
      <c r="T1329" s="39" t="n">
        <f aca="false">S1329/(1-Resumo!$C$5)</f>
        <v>142.880520227273</v>
      </c>
      <c r="U1329" s="39" t="n">
        <v>112.3</v>
      </c>
      <c r="V1329" s="39" t="n">
        <f aca="false">J1329*Resumo!$B$6</f>
        <v>0.66999</v>
      </c>
      <c r="W1329" s="39" t="n">
        <f aca="false">J1329*Resumo!$B$7</f>
        <v>1.33998</v>
      </c>
      <c r="X1329" s="39" t="n">
        <f aca="false">Resumo!$B$9</f>
        <v>1</v>
      </c>
      <c r="Y1329" s="39" t="n">
        <f aca="false">Resumo!$B$10*CEILING(I1329/100,1)</f>
        <v>4.5</v>
      </c>
      <c r="Z1329" s="39" t="n">
        <f aca="false">Resumo!$B$12*CEILING(I1329,1)</f>
        <v>3.18</v>
      </c>
      <c r="AA1329" s="39" t="n">
        <f aca="false">Resumo!$B$13*CEILING(I1329,1)</f>
        <v>23.85</v>
      </c>
      <c r="AB1329" s="39" t="n">
        <f aca="false">SUM(U1329:AA1329)</f>
        <v>146.83997</v>
      </c>
      <c r="AC1329" s="39" t="n">
        <f aca="false">AB1329/(1-Resumo!$B$5)</f>
        <v>166.863602272727</v>
      </c>
      <c r="AD1329" s="39" t="n">
        <f aca="false">(AB1329-AA1329)/(1-Resumo!$B$5)</f>
        <v>139.761329545455</v>
      </c>
      <c r="AE1329" s="39" t="n">
        <f aca="false">AC1329-T1329</f>
        <v>23.9830820454545</v>
      </c>
      <c r="AF1329" s="40" t="n">
        <f aca="false">AC1329/T1329-1</f>
        <v>0.167854106405169</v>
      </c>
      <c r="AG1329" s="37" t="str">
        <f aca="false">IF(AC1329&lt;T1329,"SIM","NÃO")</f>
        <v>NÃO</v>
      </c>
      <c r="AH1329" s="37" t="n">
        <v>13</v>
      </c>
      <c r="AI1329" s="37" t="n">
        <v>5</v>
      </c>
      <c r="AJ1329" s="37" t="s">
        <v>327</v>
      </c>
    </row>
    <row r="1330" customFormat="false" ht="15" hidden="false" customHeight="false" outlineLevel="0" collapsed="false">
      <c r="A1330" s="37" t="n">
        <v>380636156</v>
      </c>
      <c r="B1330" s="38" t="n">
        <v>46256.4240625</v>
      </c>
      <c r="C1330" s="37" t="s">
        <v>320</v>
      </c>
      <c r="D1330" s="37" t="s">
        <v>1561</v>
      </c>
      <c r="E1330" s="37" t="n">
        <v>26080030</v>
      </c>
      <c r="F1330" s="37" t="s">
        <v>142</v>
      </c>
      <c r="G1330" s="37" t="s">
        <v>207</v>
      </c>
      <c r="H1330" s="37" t="s">
        <v>168</v>
      </c>
      <c r="I1330" s="37" t="n">
        <v>33</v>
      </c>
      <c r="J1330" s="39" t="n">
        <v>1249.99</v>
      </c>
      <c r="K1330" s="37" t="s">
        <v>322</v>
      </c>
      <c r="L1330" s="39" t="n">
        <v>105.37</v>
      </c>
      <c r="M1330" s="39" t="n">
        <v>70</v>
      </c>
      <c r="N1330" s="39" t="n">
        <f aca="false">J1330*Resumo!$C$7</f>
        <v>2.49998</v>
      </c>
      <c r="O1330" s="39" t="n">
        <f aca="false">J1330*Resumo!$C$8</f>
        <v>2.49998</v>
      </c>
      <c r="P1330" s="39" t="n">
        <f aca="false">Resumo!$C$10*CEILING(I1330/100,1)</f>
        <v>1</v>
      </c>
      <c r="Q1330" s="39" t="n">
        <f aca="false">Resumo!$C$9</f>
        <v>11.9</v>
      </c>
      <c r="R1330" s="39" t="n">
        <f aca="false">SUM(M1330:Q1330)*Resumo!$C$11</f>
        <v>4.8344978</v>
      </c>
      <c r="S1330" s="39" t="n">
        <f aca="false">SUM(M1330:R1330)</f>
        <v>92.7344578</v>
      </c>
      <c r="T1330" s="39" t="n">
        <f aca="false">S1330/(1-Resumo!$C$5)</f>
        <v>105.380065681818</v>
      </c>
      <c r="U1330" s="39" t="n">
        <v>82.21</v>
      </c>
      <c r="V1330" s="39" t="n">
        <f aca="false">J1330*Resumo!$B$6</f>
        <v>1.24999</v>
      </c>
      <c r="W1330" s="39" t="n">
        <f aca="false">J1330*Resumo!$B$7</f>
        <v>2.49998</v>
      </c>
      <c r="X1330" s="39" t="n">
        <f aca="false">Resumo!$B$9</f>
        <v>1</v>
      </c>
      <c r="Y1330" s="39" t="n">
        <f aca="false">Resumo!$B$10*CEILING(I1330/100,1)</f>
        <v>4.5</v>
      </c>
      <c r="Z1330" s="39" t="n">
        <f aca="false">Resumo!$B$12*CEILING(I1330,1)</f>
        <v>1.98</v>
      </c>
      <c r="AA1330" s="39" t="n">
        <f aca="false">Resumo!$B$13*CEILING(I1330,1)</f>
        <v>14.85</v>
      </c>
      <c r="AB1330" s="39" t="n">
        <f aca="false">SUM(U1330:AA1330)</f>
        <v>108.28997</v>
      </c>
      <c r="AC1330" s="39" t="n">
        <f aca="false">AB1330/(1-Resumo!$B$5)</f>
        <v>123.056784090909</v>
      </c>
      <c r="AD1330" s="39" t="n">
        <f aca="false">(AB1330-AA1330)/(1-Resumo!$B$5)</f>
        <v>106.181784090909</v>
      </c>
      <c r="AE1330" s="39" t="n">
        <f aca="false">AC1330-T1330</f>
        <v>17.6767184090909</v>
      </c>
      <c r="AF1330" s="40" t="n">
        <f aca="false">AC1330/T1330-1</f>
        <v>0.167742526014963</v>
      </c>
      <c r="AG1330" s="37" t="str">
        <f aca="false">IF(AC1330&lt;T1330,"SIM","NÃO")</f>
        <v>NÃO</v>
      </c>
      <c r="AH1330" s="37" t="n">
        <v>10</v>
      </c>
      <c r="AI1330" s="37" t="n">
        <v>5</v>
      </c>
      <c r="AJ1330" s="37" t="s">
        <v>323</v>
      </c>
    </row>
    <row r="1331" customFormat="false" ht="15" hidden="false" customHeight="false" outlineLevel="0" collapsed="false">
      <c r="A1331" s="37" t="n">
        <v>380653909</v>
      </c>
      <c r="B1331" s="38" t="n">
        <v>46256.4431597222</v>
      </c>
      <c r="C1331" s="37" t="s">
        <v>320</v>
      </c>
      <c r="D1331" s="37" t="s">
        <v>1444</v>
      </c>
      <c r="E1331" s="37" t="n">
        <v>22211230</v>
      </c>
      <c r="F1331" s="37" t="s">
        <v>139</v>
      </c>
      <c r="G1331" s="37" t="s">
        <v>198</v>
      </c>
      <c r="H1331" s="37" t="s">
        <v>171</v>
      </c>
      <c r="I1331" s="37" t="n">
        <v>53.5</v>
      </c>
      <c r="J1331" s="39" t="n">
        <v>579.85</v>
      </c>
      <c r="K1331" s="37" t="s">
        <v>322</v>
      </c>
      <c r="L1331" s="39" t="n">
        <v>113.93</v>
      </c>
      <c r="M1331" s="39" t="n">
        <v>79.81</v>
      </c>
      <c r="N1331" s="39" t="n">
        <f aca="false">J1331*Resumo!$C$7</f>
        <v>1.1597</v>
      </c>
      <c r="O1331" s="39" t="n">
        <f aca="false">J1331*Resumo!$C$8</f>
        <v>1.1597</v>
      </c>
      <c r="P1331" s="39" t="n">
        <f aca="false">Resumo!$C$10*CEILING(I1331/100,1)</f>
        <v>1</v>
      </c>
      <c r="Q1331" s="39" t="n">
        <f aca="false">Resumo!$C$9</f>
        <v>11.9</v>
      </c>
      <c r="R1331" s="39" t="n">
        <f aca="false">SUM(M1331:Q1331)*Resumo!$C$11</f>
        <v>5.226617</v>
      </c>
      <c r="S1331" s="39" t="n">
        <f aca="false">SUM(M1331:R1331)</f>
        <v>100.256017</v>
      </c>
      <c r="T1331" s="39" t="n">
        <f aca="false">S1331/(1-Resumo!$C$5)</f>
        <v>113.927292045455</v>
      </c>
      <c r="U1331" s="39" t="n">
        <v>112.3</v>
      </c>
      <c r="V1331" s="39" t="n">
        <f aca="false">J1331*Resumo!$B$6</f>
        <v>0.57985</v>
      </c>
      <c r="W1331" s="39" t="n">
        <f aca="false">J1331*Resumo!$B$7</f>
        <v>1.1597</v>
      </c>
      <c r="X1331" s="39" t="n">
        <f aca="false">Resumo!$B$9</f>
        <v>1</v>
      </c>
      <c r="Y1331" s="39" t="n">
        <f aca="false">Resumo!$B$10*CEILING(I1331/100,1)</f>
        <v>4.5</v>
      </c>
      <c r="Z1331" s="39" t="n">
        <f aca="false">Resumo!$B$12*CEILING(I1331,1)</f>
        <v>3.24</v>
      </c>
      <c r="AA1331" s="39" t="n">
        <f aca="false">Resumo!$B$13*CEILING(I1331,1)</f>
        <v>24.3</v>
      </c>
      <c r="AB1331" s="39" t="n">
        <f aca="false">SUM(U1331:AA1331)</f>
        <v>147.07955</v>
      </c>
      <c r="AC1331" s="39" t="n">
        <f aca="false">AB1331/(1-Resumo!$B$5)</f>
        <v>167.135852272727</v>
      </c>
      <c r="AD1331" s="39" t="n">
        <f aca="false">(AB1331-AA1331)/(1-Resumo!$B$5)</f>
        <v>139.522215909091</v>
      </c>
      <c r="AE1331" s="39" t="n">
        <f aca="false">AC1331-T1331</f>
        <v>53.2085602272727</v>
      </c>
      <c r="AF1331" s="40" t="n">
        <f aca="false">AC1331/T1331-1</f>
        <v>0.467039629152632</v>
      </c>
      <c r="AG1331" s="37" t="str">
        <f aca="false">IF(AC1331&lt;T1331,"SIM","NÃO")</f>
        <v>NÃO</v>
      </c>
      <c r="AH1331" s="37" t="n">
        <v>8</v>
      </c>
      <c r="AI1331" s="37" t="n">
        <v>5</v>
      </c>
      <c r="AJ1331" s="37" t="s">
        <v>323</v>
      </c>
    </row>
    <row r="1332" customFormat="false" ht="15" hidden="false" customHeight="false" outlineLevel="0" collapsed="false">
      <c r="A1332" s="37" t="n">
        <v>380669212</v>
      </c>
      <c r="B1332" s="38" t="n">
        <v>46256.4595486111</v>
      </c>
      <c r="C1332" s="37" t="s">
        <v>325</v>
      </c>
      <c r="D1332" s="37" t="s">
        <v>1562</v>
      </c>
      <c r="E1332" s="37" t="n">
        <v>22040021</v>
      </c>
      <c r="F1332" s="37" t="s">
        <v>139</v>
      </c>
      <c r="G1332" s="37" t="s">
        <v>198</v>
      </c>
      <c r="H1332" s="37" t="s">
        <v>176</v>
      </c>
      <c r="I1332" s="37" t="n">
        <v>124.2</v>
      </c>
      <c r="J1332" s="39" t="n">
        <v>1526.91</v>
      </c>
      <c r="K1332" s="37" t="s">
        <v>322</v>
      </c>
      <c r="L1332" s="39" t="n">
        <v>233.6</v>
      </c>
      <c r="M1332" s="39" t="n">
        <v>174.85</v>
      </c>
      <c r="N1332" s="39" t="n">
        <f aca="false">J1332*Resumo!$C$7</f>
        <v>3.05382</v>
      </c>
      <c r="O1332" s="39" t="n">
        <f aca="false">J1332*Resumo!$C$8</f>
        <v>3.05382</v>
      </c>
      <c r="P1332" s="39" t="n">
        <f aca="false">Resumo!$C$10*CEILING(I1332/100,1)</f>
        <v>2</v>
      </c>
      <c r="Q1332" s="39" t="n">
        <f aca="false">Resumo!$C$9</f>
        <v>11.9</v>
      </c>
      <c r="R1332" s="39" t="n">
        <f aca="false">SUM(M1332:Q1332)*Resumo!$C$11</f>
        <v>10.7171702</v>
      </c>
      <c r="S1332" s="39" t="n">
        <f aca="false">SUM(M1332:R1332)</f>
        <v>205.5748102</v>
      </c>
      <c r="T1332" s="39" t="n">
        <f aca="false">S1332/(1-Resumo!$C$5)</f>
        <v>233.607738863636</v>
      </c>
      <c r="U1332" s="39" t="n">
        <v>239.25</v>
      </c>
      <c r="V1332" s="39" t="n">
        <f aca="false">J1332*Resumo!$B$6</f>
        <v>1.52691</v>
      </c>
      <c r="W1332" s="39" t="n">
        <f aca="false">J1332*Resumo!$B$7</f>
        <v>3.05382</v>
      </c>
      <c r="X1332" s="39" t="n">
        <f aca="false">Resumo!$B$9</f>
        <v>1</v>
      </c>
      <c r="Y1332" s="39" t="n">
        <f aca="false">Resumo!$B$10*CEILING(I1332/100,1)</f>
        <v>9</v>
      </c>
      <c r="Z1332" s="39" t="n">
        <f aca="false">Resumo!$B$12*CEILING(I1332,1)</f>
        <v>7.5</v>
      </c>
      <c r="AA1332" s="39" t="n">
        <f aca="false">Resumo!$B$13*CEILING(I1332,1)</f>
        <v>56.25</v>
      </c>
      <c r="AB1332" s="39" t="n">
        <f aca="false">SUM(U1332:AA1332)</f>
        <v>317.58073</v>
      </c>
      <c r="AC1332" s="39" t="n">
        <f aca="false">AB1332/(1-Resumo!$B$5)</f>
        <v>360.887193181818</v>
      </c>
      <c r="AD1332" s="39" t="n">
        <f aca="false">(AB1332-AA1332)/(1-Resumo!$B$5)</f>
        <v>296.966738636364</v>
      </c>
      <c r="AE1332" s="39" t="n">
        <f aca="false">AC1332-T1332</f>
        <v>127.279454318182</v>
      </c>
      <c r="AF1332" s="40" t="n">
        <f aca="false">AC1332/T1332-1</f>
        <v>0.544842627805573</v>
      </c>
      <c r="AG1332" s="37" t="str">
        <f aca="false">IF(AC1332&lt;T1332,"SIM","NÃO")</f>
        <v>NÃO</v>
      </c>
      <c r="AH1332" s="37" t="n">
        <v>8</v>
      </c>
      <c r="AI1332" s="37" t="n">
        <v>5</v>
      </c>
      <c r="AJ1332" s="37" t="s">
        <v>323</v>
      </c>
    </row>
    <row r="1333" customFormat="false" ht="15" hidden="false" customHeight="false" outlineLevel="0" collapsed="false">
      <c r="A1333" s="37" t="n">
        <v>380770116</v>
      </c>
      <c r="B1333" s="38" t="n">
        <v>46256.4829513889</v>
      </c>
      <c r="C1333" s="37" t="s">
        <v>325</v>
      </c>
      <c r="D1333" s="37" t="s">
        <v>1563</v>
      </c>
      <c r="E1333" s="37" t="n">
        <v>27283260</v>
      </c>
      <c r="F1333" s="37" t="s">
        <v>148</v>
      </c>
      <c r="G1333" s="37" t="s">
        <v>201</v>
      </c>
      <c r="H1333" s="37" t="s">
        <v>169</v>
      </c>
      <c r="I1333" s="37" t="n">
        <v>35.3</v>
      </c>
      <c r="J1333" s="39" t="n">
        <v>443.95</v>
      </c>
      <c r="K1333" s="37" t="s">
        <v>322</v>
      </c>
      <c r="L1333" s="39" t="n">
        <v>122.38</v>
      </c>
      <c r="M1333" s="39" t="n">
        <v>87.4</v>
      </c>
      <c r="N1333" s="39" t="n">
        <f aca="false">J1333*Resumo!$C$7</f>
        <v>0.8879</v>
      </c>
      <c r="O1333" s="39" t="n">
        <f aca="false">J1333*Resumo!$C$8</f>
        <v>0.8879</v>
      </c>
      <c r="P1333" s="39" t="n">
        <f aca="false">Resumo!$C$10*CEILING(I1333/100,1)</f>
        <v>1</v>
      </c>
      <c r="Q1333" s="39" t="n">
        <f aca="false">Resumo!$C$9</f>
        <v>11.9</v>
      </c>
      <c r="R1333" s="39" t="n">
        <f aca="false">SUM(M1333:Q1333)*Resumo!$C$11</f>
        <v>5.614169</v>
      </c>
      <c r="S1333" s="39" t="n">
        <f aca="false">SUM(M1333:R1333)</f>
        <v>107.689969</v>
      </c>
      <c r="T1333" s="39" t="n">
        <f aca="false">S1333/(1-Resumo!$C$5)</f>
        <v>122.374964772727</v>
      </c>
      <c r="U1333" s="39" t="n">
        <v>124.38</v>
      </c>
      <c r="V1333" s="39" t="n">
        <f aca="false">J1333*Resumo!$B$6</f>
        <v>0.44395</v>
      </c>
      <c r="W1333" s="39" t="n">
        <f aca="false">J1333*Resumo!$B$7</f>
        <v>0.8879</v>
      </c>
      <c r="X1333" s="39" t="n">
        <f aca="false">Resumo!$B$9</f>
        <v>1</v>
      </c>
      <c r="Y1333" s="39" t="n">
        <f aca="false">Resumo!$B$10*CEILING(I1333/100,1)</f>
        <v>4.5</v>
      </c>
      <c r="Z1333" s="39" t="n">
        <f aca="false">Resumo!$B$12*CEILING(I1333,1)</f>
        <v>2.16</v>
      </c>
      <c r="AA1333" s="39" t="n">
        <f aca="false">Resumo!$B$13*CEILING(I1333,1)</f>
        <v>16.2</v>
      </c>
      <c r="AB1333" s="39" t="n">
        <f aca="false">SUM(U1333:AA1333)</f>
        <v>149.57185</v>
      </c>
      <c r="AC1333" s="39" t="n">
        <f aca="false">AB1333/(1-Resumo!$B$5)</f>
        <v>169.968011363636</v>
      </c>
      <c r="AD1333" s="39" t="n">
        <f aca="false">(AB1333-AA1333)/(1-Resumo!$B$5)</f>
        <v>151.558920454545</v>
      </c>
      <c r="AE1333" s="39" t="n">
        <f aca="false">AC1333-T1333</f>
        <v>47.5930465909091</v>
      </c>
      <c r="AF1333" s="40" t="n">
        <f aca="false">AC1333/T1333-1</f>
        <v>0.388911626485843</v>
      </c>
      <c r="AG1333" s="37" t="str">
        <f aca="false">IF(AC1333&lt;T1333,"SIM","NÃO")</f>
        <v>NÃO</v>
      </c>
      <c r="AH1333" s="37" t="n">
        <v>13</v>
      </c>
      <c r="AI1333" s="37" t="n">
        <v>10</v>
      </c>
      <c r="AJ1333" s="37" t="s">
        <v>323</v>
      </c>
    </row>
    <row r="1334" customFormat="false" ht="15" hidden="false" customHeight="false" outlineLevel="0" collapsed="false">
      <c r="A1334" s="37" t="n">
        <v>379960014</v>
      </c>
      <c r="B1334" s="38" t="n">
        <v>46256.4954861111</v>
      </c>
      <c r="C1334" s="37" t="s">
        <v>341</v>
      </c>
      <c r="D1334" s="37" t="s">
        <v>1564</v>
      </c>
      <c r="E1334" s="37" t="n">
        <v>22733510</v>
      </c>
      <c r="F1334" s="37" t="s">
        <v>139</v>
      </c>
      <c r="G1334" s="37" t="s">
        <v>198</v>
      </c>
      <c r="H1334" s="37" t="s">
        <v>169</v>
      </c>
      <c r="I1334" s="37" t="n">
        <v>37.2</v>
      </c>
      <c r="J1334" s="39" t="n">
        <v>433.49</v>
      </c>
      <c r="K1334" s="37" t="s">
        <v>322</v>
      </c>
      <c r="L1334" s="39" t="n">
        <v>91.94</v>
      </c>
      <c r="M1334" s="39" t="n">
        <v>62.05</v>
      </c>
      <c r="N1334" s="39" t="n">
        <f aca="false">J1334*Resumo!$C$7</f>
        <v>0.86698</v>
      </c>
      <c r="O1334" s="39" t="n">
        <f aca="false">J1334*Resumo!$C$8</f>
        <v>0.86698</v>
      </c>
      <c r="P1334" s="39" t="n">
        <f aca="false">Resumo!$C$10*CEILING(I1334/100,1)</f>
        <v>1</v>
      </c>
      <c r="Q1334" s="39" t="n">
        <f aca="false">Resumo!$C$9</f>
        <v>11.9</v>
      </c>
      <c r="R1334" s="39" t="n">
        <f aca="false">SUM(M1334:Q1334)*Resumo!$C$11</f>
        <v>4.2176178</v>
      </c>
      <c r="S1334" s="39" t="n">
        <f aca="false">SUM(M1334:R1334)</f>
        <v>80.9015778</v>
      </c>
      <c r="T1334" s="39" t="n">
        <f aca="false">S1334/(1-Resumo!$C$5)</f>
        <v>91.9336111363636</v>
      </c>
      <c r="U1334" s="39" t="n">
        <v>93.97</v>
      </c>
      <c r="V1334" s="39" t="n">
        <f aca="false">J1334*Resumo!$B$6</f>
        <v>0.43349</v>
      </c>
      <c r="W1334" s="39" t="n">
        <f aca="false">J1334*Resumo!$B$7</f>
        <v>0.86698</v>
      </c>
      <c r="X1334" s="39" t="n">
        <f aca="false">Resumo!$B$9</f>
        <v>1</v>
      </c>
      <c r="Y1334" s="39" t="n">
        <f aca="false">Resumo!$B$10*CEILING(I1334/100,1)</f>
        <v>4.5</v>
      </c>
      <c r="Z1334" s="39" t="n">
        <f aca="false">Resumo!$B$12*CEILING(I1334,1)</f>
        <v>2.28</v>
      </c>
      <c r="AA1334" s="39" t="n">
        <f aca="false">Resumo!$B$13*CEILING(I1334,1)</f>
        <v>17.1</v>
      </c>
      <c r="AB1334" s="39" t="n">
        <f aca="false">SUM(U1334:AA1334)</f>
        <v>120.15047</v>
      </c>
      <c r="AC1334" s="39" t="n">
        <f aca="false">AB1334/(1-Resumo!$B$5)</f>
        <v>136.534625</v>
      </c>
      <c r="AD1334" s="39" t="n">
        <f aca="false">(AB1334-AA1334)/(1-Resumo!$B$5)</f>
        <v>117.102806818182</v>
      </c>
      <c r="AE1334" s="39" t="n">
        <f aca="false">AC1334-T1334</f>
        <v>44.6010138636364</v>
      </c>
      <c r="AF1334" s="40" t="n">
        <f aca="false">AC1334/T1334-1</f>
        <v>0.485143717431924</v>
      </c>
      <c r="AG1334" s="37" t="str">
        <f aca="false">IF(AC1334&lt;T1334,"SIM","NÃO")</f>
        <v>NÃO</v>
      </c>
      <c r="AH1334" s="37" t="n">
        <v>8</v>
      </c>
      <c r="AI1334" s="37" t="n">
        <v>5</v>
      </c>
      <c r="AJ1334" s="37" t="s">
        <v>323</v>
      </c>
    </row>
    <row r="1335" customFormat="false" ht="15" hidden="false" customHeight="false" outlineLevel="0" collapsed="false">
      <c r="A1335" s="37" t="n">
        <v>380707784</v>
      </c>
      <c r="B1335" s="38" t="n">
        <v>46256.5102546296</v>
      </c>
      <c r="C1335" s="37" t="s">
        <v>320</v>
      </c>
      <c r="D1335" s="37" t="s">
        <v>372</v>
      </c>
      <c r="E1335" s="37" t="n">
        <v>22753031</v>
      </c>
      <c r="F1335" s="37" t="s">
        <v>139</v>
      </c>
      <c r="G1335" s="37" t="s">
        <v>198</v>
      </c>
      <c r="H1335" s="37" t="s">
        <v>168</v>
      </c>
      <c r="I1335" s="37" t="n">
        <v>27</v>
      </c>
      <c r="J1335" s="39" t="n">
        <v>329.99</v>
      </c>
      <c r="K1335" s="37" t="s">
        <v>322</v>
      </c>
      <c r="L1335" s="39" t="n">
        <v>81.91</v>
      </c>
      <c r="M1335" s="39" t="n">
        <v>54.1</v>
      </c>
      <c r="N1335" s="39" t="n">
        <f aca="false">J1335*Resumo!$C$7</f>
        <v>0.65998</v>
      </c>
      <c r="O1335" s="39" t="n">
        <f aca="false">J1335*Resumo!$C$8</f>
        <v>0.65998</v>
      </c>
      <c r="P1335" s="39" t="n">
        <f aca="false">Resumo!$C$10*CEILING(I1335/100,1)</f>
        <v>1</v>
      </c>
      <c r="Q1335" s="39" t="n">
        <f aca="false">Resumo!$C$9</f>
        <v>11.9</v>
      </c>
      <c r="R1335" s="39" t="n">
        <f aca="false">SUM(M1335:Q1335)*Resumo!$C$11</f>
        <v>3.7575978</v>
      </c>
      <c r="S1335" s="39" t="n">
        <f aca="false">SUM(M1335:R1335)</f>
        <v>72.0775578</v>
      </c>
      <c r="T1335" s="39" t="n">
        <f aca="false">S1335/(1-Resumo!$C$5)</f>
        <v>81.9063156818182</v>
      </c>
      <c r="U1335" s="39" t="n">
        <v>82.21</v>
      </c>
      <c r="V1335" s="39" t="n">
        <f aca="false">J1335*Resumo!$B$6</f>
        <v>0.32999</v>
      </c>
      <c r="W1335" s="39" t="n">
        <f aca="false">J1335*Resumo!$B$7</f>
        <v>0.65998</v>
      </c>
      <c r="X1335" s="39" t="n">
        <f aca="false">Resumo!$B$9</f>
        <v>1</v>
      </c>
      <c r="Y1335" s="39" t="n">
        <f aca="false">Resumo!$B$10*CEILING(I1335/100,1)</f>
        <v>4.5</v>
      </c>
      <c r="Z1335" s="39" t="n">
        <f aca="false">Resumo!$B$12*CEILING(I1335,1)</f>
        <v>1.62</v>
      </c>
      <c r="AA1335" s="39" t="n">
        <f aca="false">Resumo!$B$13*CEILING(I1335,1)</f>
        <v>12.15</v>
      </c>
      <c r="AB1335" s="39" t="n">
        <f aca="false">SUM(U1335:AA1335)</f>
        <v>102.46997</v>
      </c>
      <c r="AC1335" s="39" t="n">
        <f aca="false">AB1335/(1-Resumo!$B$5)</f>
        <v>116.443147727273</v>
      </c>
      <c r="AD1335" s="39" t="n">
        <f aca="false">(AB1335-AA1335)/(1-Resumo!$B$5)</f>
        <v>102.636329545455</v>
      </c>
      <c r="AE1335" s="39" t="n">
        <f aca="false">AC1335-T1335</f>
        <v>34.5368320454545</v>
      </c>
      <c r="AF1335" s="40" t="n">
        <f aca="false">AC1335/T1335-1</f>
        <v>0.421662624645698</v>
      </c>
      <c r="AG1335" s="37" t="str">
        <f aca="false">IF(AC1335&lt;T1335,"SIM","NÃO")</f>
        <v>NÃO</v>
      </c>
      <c r="AH1335" s="37" t="n">
        <v>8</v>
      </c>
      <c r="AI1335" s="37" t="n">
        <v>5</v>
      </c>
      <c r="AJ1335" s="37" t="s">
        <v>323</v>
      </c>
    </row>
    <row r="1336" customFormat="false" ht="15" hidden="false" customHeight="false" outlineLevel="0" collapsed="false">
      <c r="A1336" s="37" t="n">
        <v>380707787</v>
      </c>
      <c r="B1336" s="38" t="n">
        <v>46256.5102546296</v>
      </c>
      <c r="C1336" s="37" t="s">
        <v>320</v>
      </c>
      <c r="D1336" s="37" t="s">
        <v>372</v>
      </c>
      <c r="E1336" s="37" t="n">
        <v>22753031</v>
      </c>
      <c r="F1336" s="37" t="s">
        <v>139</v>
      </c>
      <c r="G1336" s="37" t="s">
        <v>198</v>
      </c>
      <c r="H1336" s="37" t="s">
        <v>168</v>
      </c>
      <c r="I1336" s="37" t="n">
        <v>27.5</v>
      </c>
      <c r="J1336" s="39" t="n">
        <v>369.99</v>
      </c>
      <c r="K1336" s="37" t="s">
        <v>322</v>
      </c>
      <c r="L1336" s="39" t="n">
        <v>82.1</v>
      </c>
      <c r="M1336" s="39" t="n">
        <v>54.1</v>
      </c>
      <c r="N1336" s="39" t="n">
        <f aca="false">J1336*Resumo!$C$7</f>
        <v>0.73998</v>
      </c>
      <c r="O1336" s="39" t="n">
        <f aca="false">J1336*Resumo!$C$8</f>
        <v>0.73998</v>
      </c>
      <c r="P1336" s="39" t="n">
        <f aca="false">Resumo!$C$10*CEILING(I1336/100,1)</f>
        <v>1</v>
      </c>
      <c r="Q1336" s="39" t="n">
        <f aca="false">Resumo!$C$9</f>
        <v>11.9</v>
      </c>
      <c r="R1336" s="39" t="n">
        <f aca="false">SUM(M1336:Q1336)*Resumo!$C$11</f>
        <v>3.7663978</v>
      </c>
      <c r="S1336" s="39" t="n">
        <f aca="false">SUM(M1336:R1336)</f>
        <v>72.2463578</v>
      </c>
      <c r="T1336" s="39" t="n">
        <f aca="false">S1336/(1-Resumo!$C$5)</f>
        <v>82.0981338636364</v>
      </c>
      <c r="U1336" s="39" t="n">
        <v>82.21</v>
      </c>
      <c r="V1336" s="39" t="n">
        <f aca="false">J1336*Resumo!$B$6</f>
        <v>0.36999</v>
      </c>
      <c r="W1336" s="39" t="n">
        <f aca="false">J1336*Resumo!$B$7</f>
        <v>0.73998</v>
      </c>
      <c r="X1336" s="39" t="n">
        <f aca="false">Resumo!$B$9</f>
        <v>1</v>
      </c>
      <c r="Y1336" s="39" t="n">
        <f aca="false">Resumo!$B$10*CEILING(I1336/100,1)</f>
        <v>4.5</v>
      </c>
      <c r="Z1336" s="39" t="n">
        <f aca="false">Resumo!$B$12*CEILING(I1336,1)</f>
        <v>1.68</v>
      </c>
      <c r="AA1336" s="39" t="n">
        <f aca="false">Resumo!$B$13*CEILING(I1336,1)</f>
        <v>12.6</v>
      </c>
      <c r="AB1336" s="39" t="n">
        <f aca="false">SUM(U1336:AA1336)</f>
        <v>103.09997</v>
      </c>
      <c r="AC1336" s="39" t="n">
        <f aca="false">AB1336/(1-Resumo!$B$5)</f>
        <v>117.159056818182</v>
      </c>
      <c r="AD1336" s="39" t="n">
        <f aca="false">(AB1336-AA1336)/(1-Resumo!$B$5)</f>
        <v>102.840875</v>
      </c>
      <c r="AE1336" s="39" t="n">
        <f aca="false">AC1336-T1336</f>
        <v>35.0609229545454</v>
      </c>
      <c r="AF1336" s="40" t="n">
        <f aca="false">AC1336/T1336-1</f>
        <v>0.427061143835267</v>
      </c>
      <c r="AG1336" s="37" t="str">
        <f aca="false">IF(AC1336&lt;T1336,"SIM","NÃO")</f>
        <v>NÃO</v>
      </c>
      <c r="AH1336" s="37" t="n">
        <v>8</v>
      </c>
      <c r="AI1336" s="37" t="n">
        <v>5</v>
      </c>
      <c r="AJ1336" s="37" t="s">
        <v>323</v>
      </c>
    </row>
    <row r="1337" customFormat="false" ht="15" hidden="false" customHeight="false" outlineLevel="0" collapsed="false">
      <c r="A1337" s="37" t="n">
        <v>380714662</v>
      </c>
      <c r="B1337" s="38" t="n">
        <v>46256.5217013889</v>
      </c>
      <c r="C1337" s="37" t="s">
        <v>352</v>
      </c>
      <c r="D1337" s="37" t="s">
        <v>1565</v>
      </c>
      <c r="E1337" s="37" t="n">
        <v>20770270</v>
      </c>
      <c r="F1337" s="37" t="s">
        <v>139</v>
      </c>
      <c r="G1337" s="37" t="s">
        <v>198</v>
      </c>
      <c r="H1337" s="37" t="s">
        <v>171</v>
      </c>
      <c r="I1337" s="37" t="n">
        <v>52.3</v>
      </c>
      <c r="J1337" s="39" t="n">
        <v>719.99</v>
      </c>
      <c r="K1337" s="37" t="s">
        <v>322</v>
      </c>
      <c r="L1337" s="39" t="n">
        <v>114.6</v>
      </c>
      <c r="M1337" s="39" t="n">
        <v>79.81</v>
      </c>
      <c r="N1337" s="39" t="n">
        <f aca="false">J1337*Resumo!$C$7</f>
        <v>1.43998</v>
      </c>
      <c r="O1337" s="39" t="n">
        <f aca="false">J1337*Resumo!$C$8</f>
        <v>1.43998</v>
      </c>
      <c r="P1337" s="39" t="n">
        <f aca="false">Resumo!$C$10*CEILING(I1337/100,1)</f>
        <v>1</v>
      </c>
      <c r="Q1337" s="39" t="n">
        <f aca="false">Resumo!$C$9</f>
        <v>11.9</v>
      </c>
      <c r="R1337" s="39" t="n">
        <f aca="false">SUM(M1337:Q1337)*Resumo!$C$11</f>
        <v>5.2574478</v>
      </c>
      <c r="S1337" s="39" t="n">
        <f aca="false">SUM(M1337:R1337)</f>
        <v>100.8474078</v>
      </c>
      <c r="T1337" s="39" t="n">
        <f aca="false">S1337/(1-Resumo!$C$5)</f>
        <v>114.599327045455</v>
      </c>
      <c r="U1337" s="39" t="n">
        <v>112.3</v>
      </c>
      <c r="V1337" s="39" t="n">
        <f aca="false">J1337*Resumo!$B$6</f>
        <v>0.71999</v>
      </c>
      <c r="W1337" s="39" t="n">
        <f aca="false">J1337*Resumo!$B$7</f>
        <v>1.43998</v>
      </c>
      <c r="X1337" s="39" t="n">
        <f aca="false">Resumo!$B$9</f>
        <v>1</v>
      </c>
      <c r="Y1337" s="39" t="n">
        <f aca="false">Resumo!$B$10*CEILING(I1337/100,1)</f>
        <v>4.5</v>
      </c>
      <c r="Z1337" s="39" t="n">
        <f aca="false">Resumo!$B$12*CEILING(I1337,1)</f>
        <v>3.18</v>
      </c>
      <c r="AA1337" s="39" t="n">
        <f aca="false">Resumo!$B$13*CEILING(I1337,1)</f>
        <v>23.85</v>
      </c>
      <c r="AB1337" s="39" t="n">
        <f aca="false">SUM(U1337:AA1337)</f>
        <v>146.98997</v>
      </c>
      <c r="AC1337" s="39" t="n">
        <f aca="false">AB1337/(1-Resumo!$B$5)</f>
        <v>167.034056818182</v>
      </c>
      <c r="AD1337" s="39" t="n">
        <f aca="false">(AB1337-AA1337)/(1-Resumo!$B$5)</f>
        <v>139.931784090909</v>
      </c>
      <c r="AE1337" s="39" t="n">
        <f aca="false">AC1337-T1337</f>
        <v>52.4347297727273</v>
      </c>
      <c r="AF1337" s="40" t="n">
        <f aca="false">AC1337/T1337-1</f>
        <v>0.457548321832026</v>
      </c>
      <c r="AG1337" s="37" t="str">
        <f aca="false">IF(AC1337&lt;T1337,"SIM","NÃO")</f>
        <v>NÃO</v>
      </c>
      <c r="AH1337" s="37" t="n">
        <v>8</v>
      </c>
      <c r="AI1337" s="37" t="n">
        <v>5</v>
      </c>
      <c r="AJ1337" s="37" t="s">
        <v>323</v>
      </c>
    </row>
    <row r="1338" customFormat="false" ht="15" hidden="false" customHeight="false" outlineLevel="0" collapsed="false">
      <c r="A1338" s="37" t="n">
        <v>380734980</v>
      </c>
      <c r="B1338" s="38" t="n">
        <v>46256.5555787037</v>
      </c>
      <c r="C1338" s="37" t="s">
        <v>320</v>
      </c>
      <c r="D1338" s="37" t="s">
        <v>1566</v>
      </c>
      <c r="E1338" s="37" t="n">
        <v>23097604</v>
      </c>
      <c r="F1338" s="37" t="s">
        <v>139</v>
      </c>
      <c r="G1338" s="37" t="s">
        <v>198</v>
      </c>
      <c r="H1338" s="37" t="s">
        <v>172</v>
      </c>
      <c r="I1338" s="37" t="n">
        <v>66.8</v>
      </c>
      <c r="J1338" s="39" t="n">
        <v>699.99</v>
      </c>
      <c r="K1338" s="37" t="s">
        <v>322</v>
      </c>
      <c r="L1338" s="39" t="n">
        <v>124.56</v>
      </c>
      <c r="M1338" s="39" t="n">
        <v>88.2</v>
      </c>
      <c r="N1338" s="39" t="n">
        <f aca="false">J1338*Resumo!$C$7</f>
        <v>1.39998</v>
      </c>
      <c r="O1338" s="39" t="n">
        <f aca="false">J1338*Resumo!$C$8</f>
        <v>1.39998</v>
      </c>
      <c r="P1338" s="39" t="n">
        <f aca="false">Resumo!$C$10*CEILING(I1338/100,1)</f>
        <v>1</v>
      </c>
      <c r="Q1338" s="39" t="n">
        <f aca="false">Resumo!$C$9</f>
        <v>11.9</v>
      </c>
      <c r="R1338" s="39" t="n">
        <f aca="false">SUM(M1338:Q1338)*Resumo!$C$11</f>
        <v>5.7144978</v>
      </c>
      <c r="S1338" s="39" t="n">
        <f aca="false">SUM(M1338:R1338)</f>
        <v>109.6144578</v>
      </c>
      <c r="T1338" s="39" t="n">
        <f aca="false">S1338/(1-Resumo!$C$5)</f>
        <v>124.561883863636</v>
      </c>
      <c r="U1338" s="39" t="n">
        <v>131.02</v>
      </c>
      <c r="V1338" s="39" t="n">
        <f aca="false">J1338*Resumo!$B$6</f>
        <v>0.69999</v>
      </c>
      <c r="W1338" s="39" t="n">
        <f aca="false">J1338*Resumo!$B$7</f>
        <v>1.39998</v>
      </c>
      <c r="X1338" s="39" t="n">
        <f aca="false">Resumo!$B$9</f>
        <v>1</v>
      </c>
      <c r="Y1338" s="39" t="n">
        <f aca="false">Resumo!$B$10*CEILING(I1338/100,1)</f>
        <v>4.5</v>
      </c>
      <c r="Z1338" s="39" t="n">
        <f aca="false">Resumo!$B$12*CEILING(I1338,1)</f>
        <v>4.02</v>
      </c>
      <c r="AA1338" s="39" t="n">
        <f aca="false">Resumo!$B$13*CEILING(I1338,1)</f>
        <v>30.15</v>
      </c>
      <c r="AB1338" s="39" t="n">
        <f aca="false">SUM(U1338:AA1338)</f>
        <v>172.78997</v>
      </c>
      <c r="AC1338" s="39" t="n">
        <f aca="false">AB1338/(1-Resumo!$B$5)</f>
        <v>196.352238636364</v>
      </c>
      <c r="AD1338" s="39" t="n">
        <f aca="false">(AB1338-AA1338)/(1-Resumo!$B$5)</f>
        <v>162.090875</v>
      </c>
      <c r="AE1338" s="39" t="n">
        <f aca="false">AC1338-T1338</f>
        <v>71.7903547727273</v>
      </c>
      <c r="AF1338" s="40" t="n">
        <f aca="false">AC1338/T1338-1</f>
        <v>0.576342879105132</v>
      </c>
      <c r="AG1338" s="37" t="str">
        <f aca="false">IF(AC1338&lt;T1338,"SIM","NÃO")</f>
        <v>NÃO</v>
      </c>
      <c r="AH1338" s="37" t="n">
        <v>8</v>
      </c>
      <c r="AI1338" s="37" t="n">
        <v>5</v>
      </c>
      <c r="AJ1338" s="37" t="s">
        <v>323</v>
      </c>
    </row>
    <row r="1339" customFormat="false" ht="15" hidden="false" customHeight="false" outlineLevel="0" collapsed="false">
      <c r="A1339" s="37" t="n">
        <v>380735757</v>
      </c>
      <c r="B1339" s="38" t="n">
        <v>46256.5581597222</v>
      </c>
      <c r="C1339" s="37" t="s">
        <v>320</v>
      </c>
      <c r="D1339" s="37" t="s">
        <v>1567</v>
      </c>
      <c r="E1339" s="37" t="n">
        <v>26280310</v>
      </c>
      <c r="F1339" s="37" t="s">
        <v>142</v>
      </c>
      <c r="G1339" s="37" t="s">
        <v>207</v>
      </c>
      <c r="H1339" s="37" t="s">
        <v>171</v>
      </c>
      <c r="I1339" s="37" t="n">
        <v>52.3</v>
      </c>
      <c r="J1339" s="39" t="n">
        <v>669.99</v>
      </c>
      <c r="K1339" s="37" t="s">
        <v>322</v>
      </c>
      <c r="L1339" s="39" t="n">
        <v>128.49</v>
      </c>
      <c r="M1339" s="39" t="n">
        <v>91.6</v>
      </c>
      <c r="N1339" s="39" t="n">
        <f aca="false">J1339*Resumo!$C$7</f>
        <v>1.33998</v>
      </c>
      <c r="O1339" s="39" t="n">
        <f aca="false">J1339*Resumo!$C$8</f>
        <v>1.33998</v>
      </c>
      <c r="P1339" s="39" t="n">
        <f aca="false">Resumo!$C$10*CEILING(I1339/100,1)</f>
        <v>1</v>
      </c>
      <c r="Q1339" s="39" t="n">
        <f aca="false">Resumo!$C$9</f>
        <v>11.9</v>
      </c>
      <c r="R1339" s="39" t="n">
        <f aca="false">SUM(M1339:Q1339)*Resumo!$C$11</f>
        <v>5.8948978</v>
      </c>
      <c r="S1339" s="39" t="n">
        <f aca="false">SUM(M1339:R1339)</f>
        <v>113.0748578</v>
      </c>
      <c r="T1339" s="39" t="n">
        <f aca="false">S1339/(1-Resumo!$C$5)</f>
        <v>128.494156590909</v>
      </c>
      <c r="U1339" s="39" t="n">
        <v>112.3</v>
      </c>
      <c r="V1339" s="39" t="n">
        <f aca="false">J1339*Resumo!$B$6</f>
        <v>0.66999</v>
      </c>
      <c r="W1339" s="39" t="n">
        <f aca="false">J1339*Resumo!$B$7</f>
        <v>1.33998</v>
      </c>
      <c r="X1339" s="39" t="n">
        <f aca="false">Resumo!$B$9</f>
        <v>1</v>
      </c>
      <c r="Y1339" s="39" t="n">
        <f aca="false">Resumo!$B$10*CEILING(I1339/100,1)</f>
        <v>4.5</v>
      </c>
      <c r="Z1339" s="39" t="n">
        <f aca="false">Resumo!$B$12*CEILING(I1339,1)</f>
        <v>3.18</v>
      </c>
      <c r="AA1339" s="39" t="n">
        <f aca="false">Resumo!$B$13*CEILING(I1339,1)</f>
        <v>23.85</v>
      </c>
      <c r="AB1339" s="39" t="n">
        <f aca="false">SUM(U1339:AA1339)</f>
        <v>146.83997</v>
      </c>
      <c r="AC1339" s="39" t="n">
        <f aca="false">AB1339/(1-Resumo!$B$5)</f>
        <v>166.863602272727</v>
      </c>
      <c r="AD1339" s="39" t="n">
        <f aca="false">(AB1339-AA1339)/(1-Resumo!$B$5)</f>
        <v>139.761329545455</v>
      </c>
      <c r="AE1339" s="39" t="n">
        <f aca="false">AC1339-T1339</f>
        <v>38.3694456818182</v>
      </c>
      <c r="AF1339" s="40" t="n">
        <f aca="false">AC1339/T1339-1</f>
        <v>0.29860848695226</v>
      </c>
      <c r="AG1339" s="37" t="str">
        <f aca="false">IF(AC1339&lt;T1339,"SIM","NÃO")</f>
        <v>NÃO</v>
      </c>
      <c r="AH1339" s="37" t="n">
        <v>10</v>
      </c>
      <c r="AI1339" s="37" t="n">
        <v>5</v>
      </c>
      <c r="AJ1339" s="37" t="s">
        <v>323</v>
      </c>
    </row>
    <row r="1340" customFormat="false" ht="15" hidden="false" customHeight="false" outlineLevel="0" collapsed="false">
      <c r="A1340" s="37" t="n">
        <v>380734815</v>
      </c>
      <c r="B1340" s="38" t="n">
        <v>46256.5584143519</v>
      </c>
      <c r="C1340" s="37" t="s">
        <v>352</v>
      </c>
      <c r="D1340" s="37" t="s">
        <v>1568</v>
      </c>
      <c r="E1340" s="37" t="n">
        <v>27410180</v>
      </c>
      <c r="F1340" s="37" t="s">
        <v>234</v>
      </c>
      <c r="G1340" s="37" t="s">
        <v>201</v>
      </c>
      <c r="H1340" s="37" t="s">
        <v>174</v>
      </c>
      <c r="I1340" s="37" t="n">
        <v>81.7</v>
      </c>
      <c r="J1340" s="39" t="n">
        <v>692.99</v>
      </c>
      <c r="K1340" s="37" t="s">
        <v>322</v>
      </c>
      <c r="L1340" s="39" t="n">
        <v>191.92</v>
      </c>
      <c r="M1340" s="39" t="n">
        <v>144.41</v>
      </c>
      <c r="N1340" s="39" t="n">
        <f aca="false">J1340*Resumo!$C$7</f>
        <v>1.38598</v>
      </c>
      <c r="O1340" s="39" t="n">
        <f aca="false">J1340*Resumo!$C$8</f>
        <v>1.38598</v>
      </c>
      <c r="P1340" s="39" t="n">
        <f aca="false">Resumo!$C$10*CEILING(I1340/100,1)</f>
        <v>1</v>
      </c>
      <c r="Q1340" s="39" t="n">
        <f aca="false">Resumo!$C$9</f>
        <v>11.9</v>
      </c>
      <c r="R1340" s="39" t="n">
        <f aca="false">SUM(M1340:Q1340)*Resumo!$C$11</f>
        <v>8.8045078</v>
      </c>
      <c r="S1340" s="39" t="n">
        <f aca="false">SUM(M1340:R1340)</f>
        <v>168.8864678</v>
      </c>
      <c r="T1340" s="39" t="n">
        <f aca="false">S1340/(1-Resumo!$C$5)</f>
        <v>191.916440681818</v>
      </c>
      <c r="U1340" s="39" t="n">
        <v>197.35</v>
      </c>
      <c r="V1340" s="39" t="n">
        <f aca="false">J1340*Resumo!$B$6</f>
        <v>0.69299</v>
      </c>
      <c r="W1340" s="39" t="n">
        <f aca="false">J1340*Resumo!$B$7</f>
        <v>1.38598</v>
      </c>
      <c r="X1340" s="39" t="n">
        <f aca="false">Resumo!$B$9</f>
        <v>1</v>
      </c>
      <c r="Y1340" s="39" t="n">
        <f aca="false">Resumo!$B$10*CEILING(I1340/100,1)</f>
        <v>4.5</v>
      </c>
      <c r="Z1340" s="39" t="n">
        <f aca="false">Resumo!$B$12*CEILING(I1340,1)</f>
        <v>4.92</v>
      </c>
      <c r="AA1340" s="39" t="n">
        <f aca="false">Resumo!$B$13*CEILING(I1340,1)</f>
        <v>36.9</v>
      </c>
      <c r="AB1340" s="39" t="n">
        <f aca="false">SUM(U1340:AA1340)</f>
        <v>246.74897</v>
      </c>
      <c r="AC1340" s="39" t="n">
        <f aca="false">AB1340/(1-Resumo!$B$5)</f>
        <v>280.396556818182</v>
      </c>
      <c r="AD1340" s="39" t="n">
        <f aca="false">(AB1340-AA1340)/(1-Resumo!$B$5)</f>
        <v>238.464738636364</v>
      </c>
      <c r="AE1340" s="39" t="n">
        <f aca="false">AC1340-T1340</f>
        <v>88.4801161363636</v>
      </c>
      <c r="AF1340" s="40" t="n">
        <f aca="false">AC1340/T1340-1</f>
        <v>0.461034582665361</v>
      </c>
      <c r="AG1340" s="37" t="str">
        <f aca="false">IF(AC1340&lt;T1340,"SIM","NÃO")</f>
        <v>NÃO</v>
      </c>
      <c r="AH1340" s="37" t="n">
        <v>13</v>
      </c>
      <c r="AI1340" s="37" t="n">
        <v>10</v>
      </c>
      <c r="AJ1340" s="37" t="s">
        <v>327</v>
      </c>
    </row>
    <row r="1341" customFormat="false" ht="15" hidden="false" customHeight="false" outlineLevel="0" collapsed="false">
      <c r="A1341" s="37" t="n">
        <v>380743264</v>
      </c>
      <c r="B1341" s="38" t="n">
        <v>46256.5750925926</v>
      </c>
      <c r="C1341" s="37" t="s">
        <v>320</v>
      </c>
      <c r="D1341" s="37" t="s">
        <v>1569</v>
      </c>
      <c r="E1341" s="37" t="n">
        <v>21843154</v>
      </c>
      <c r="F1341" s="37" t="s">
        <v>139</v>
      </c>
      <c r="G1341" s="37" t="s">
        <v>198</v>
      </c>
      <c r="H1341" s="37" t="s">
        <v>172</v>
      </c>
      <c r="I1341" s="37" t="n">
        <v>66.8</v>
      </c>
      <c r="J1341" s="39" t="n">
        <v>699.99</v>
      </c>
      <c r="K1341" s="37" t="s">
        <v>322</v>
      </c>
      <c r="L1341" s="39" t="n">
        <v>124.56</v>
      </c>
      <c r="M1341" s="39" t="n">
        <v>88.2</v>
      </c>
      <c r="N1341" s="39" t="n">
        <f aca="false">J1341*Resumo!$C$7</f>
        <v>1.39998</v>
      </c>
      <c r="O1341" s="39" t="n">
        <f aca="false">J1341*Resumo!$C$8</f>
        <v>1.39998</v>
      </c>
      <c r="P1341" s="39" t="n">
        <f aca="false">Resumo!$C$10*CEILING(I1341/100,1)</f>
        <v>1</v>
      </c>
      <c r="Q1341" s="39" t="n">
        <f aca="false">Resumo!$C$9</f>
        <v>11.9</v>
      </c>
      <c r="R1341" s="39" t="n">
        <f aca="false">SUM(M1341:Q1341)*Resumo!$C$11</f>
        <v>5.7144978</v>
      </c>
      <c r="S1341" s="39" t="n">
        <f aca="false">SUM(M1341:R1341)</f>
        <v>109.6144578</v>
      </c>
      <c r="T1341" s="39" t="n">
        <f aca="false">S1341/(1-Resumo!$C$5)</f>
        <v>124.561883863636</v>
      </c>
      <c r="U1341" s="39" t="n">
        <v>131.02</v>
      </c>
      <c r="V1341" s="39" t="n">
        <f aca="false">J1341*Resumo!$B$6</f>
        <v>0.69999</v>
      </c>
      <c r="W1341" s="39" t="n">
        <f aca="false">J1341*Resumo!$B$7</f>
        <v>1.39998</v>
      </c>
      <c r="X1341" s="39" t="n">
        <f aca="false">Resumo!$B$9</f>
        <v>1</v>
      </c>
      <c r="Y1341" s="39" t="n">
        <f aca="false">Resumo!$B$10*CEILING(I1341/100,1)</f>
        <v>4.5</v>
      </c>
      <c r="Z1341" s="39" t="n">
        <f aca="false">Resumo!$B$12*CEILING(I1341,1)</f>
        <v>4.02</v>
      </c>
      <c r="AA1341" s="39" t="n">
        <f aca="false">Resumo!$B$13*CEILING(I1341,1)</f>
        <v>30.15</v>
      </c>
      <c r="AB1341" s="39" t="n">
        <f aca="false">SUM(U1341:AA1341)</f>
        <v>172.78997</v>
      </c>
      <c r="AC1341" s="39" t="n">
        <f aca="false">AB1341/(1-Resumo!$B$5)</f>
        <v>196.352238636364</v>
      </c>
      <c r="AD1341" s="39" t="n">
        <f aca="false">(AB1341-AA1341)/(1-Resumo!$B$5)</f>
        <v>162.090875</v>
      </c>
      <c r="AE1341" s="39" t="n">
        <f aca="false">AC1341-T1341</f>
        <v>71.7903547727273</v>
      </c>
      <c r="AF1341" s="40" t="n">
        <f aca="false">AC1341/T1341-1</f>
        <v>0.576342879105132</v>
      </c>
      <c r="AG1341" s="37" t="str">
        <f aca="false">IF(AC1341&lt;T1341,"SIM","NÃO")</f>
        <v>NÃO</v>
      </c>
      <c r="AH1341" s="37" t="n">
        <v>8</v>
      </c>
      <c r="AI1341" s="37" t="n">
        <v>5</v>
      </c>
      <c r="AJ1341" s="37" t="s">
        <v>323</v>
      </c>
    </row>
    <row r="1342" customFormat="false" ht="15" hidden="false" customHeight="false" outlineLevel="0" collapsed="false">
      <c r="A1342" s="37" t="n">
        <v>380812943</v>
      </c>
      <c r="B1342" s="38" t="n">
        <v>46256.6552199074</v>
      </c>
      <c r="C1342" s="37" t="s">
        <v>320</v>
      </c>
      <c r="D1342" s="37" t="s">
        <v>1570</v>
      </c>
      <c r="E1342" s="37" t="n">
        <v>28027130</v>
      </c>
      <c r="F1342" s="37" t="s">
        <v>144</v>
      </c>
      <c r="G1342" s="37" t="s">
        <v>201</v>
      </c>
      <c r="H1342" s="37" t="s">
        <v>170</v>
      </c>
      <c r="I1342" s="37" t="n">
        <v>46.8</v>
      </c>
      <c r="J1342" s="39" t="n">
        <v>506.56</v>
      </c>
      <c r="K1342" s="37" t="s">
        <v>322</v>
      </c>
      <c r="L1342" s="39" t="n">
        <v>130.58</v>
      </c>
      <c r="M1342" s="39" t="n">
        <v>94</v>
      </c>
      <c r="N1342" s="39" t="n">
        <f aca="false">J1342*Resumo!$C$7</f>
        <v>1.01312</v>
      </c>
      <c r="O1342" s="39" t="n">
        <f aca="false">J1342*Resumo!$C$8</f>
        <v>1.01312</v>
      </c>
      <c r="P1342" s="39" t="n">
        <f aca="false">Resumo!$C$10*CEILING(I1342/100,1)</f>
        <v>1</v>
      </c>
      <c r="Q1342" s="39" t="n">
        <f aca="false">Resumo!$C$9</f>
        <v>11.9</v>
      </c>
      <c r="R1342" s="39" t="n">
        <f aca="false">SUM(M1342:Q1342)*Resumo!$C$11</f>
        <v>5.9909432</v>
      </c>
      <c r="S1342" s="39" t="n">
        <f aca="false">SUM(M1342:R1342)</f>
        <v>114.9171832</v>
      </c>
      <c r="T1342" s="39" t="n">
        <f aca="false">S1342/(1-Resumo!$C$5)</f>
        <v>130.587708181818</v>
      </c>
      <c r="U1342" s="39" t="n">
        <v>152.54</v>
      </c>
      <c r="V1342" s="39" t="n">
        <f aca="false">J1342*Resumo!$B$6</f>
        <v>0.50656</v>
      </c>
      <c r="W1342" s="39" t="n">
        <f aca="false">J1342*Resumo!$B$7</f>
        <v>1.01312</v>
      </c>
      <c r="X1342" s="39" t="n">
        <f aca="false">Resumo!$B$9</f>
        <v>1</v>
      </c>
      <c r="Y1342" s="39" t="n">
        <f aca="false">Resumo!$B$10*CEILING(I1342/100,1)</f>
        <v>4.5</v>
      </c>
      <c r="Z1342" s="39" t="n">
        <f aca="false">Resumo!$B$12*CEILING(I1342,1)</f>
        <v>2.82</v>
      </c>
      <c r="AA1342" s="39" t="n">
        <f aca="false">Resumo!$B$13*CEILING(I1342,1)</f>
        <v>21.15</v>
      </c>
      <c r="AB1342" s="39" t="n">
        <f aca="false">SUM(U1342:AA1342)</f>
        <v>183.52968</v>
      </c>
      <c r="AC1342" s="39" t="n">
        <f aca="false">AB1342/(1-Resumo!$B$5)</f>
        <v>208.556454545455</v>
      </c>
      <c r="AD1342" s="39" t="n">
        <f aca="false">(AB1342-AA1342)/(1-Resumo!$B$5)</f>
        <v>184.522363636364</v>
      </c>
      <c r="AE1342" s="39" t="n">
        <f aca="false">AC1342-T1342</f>
        <v>77.9687463636363</v>
      </c>
      <c r="AF1342" s="40" t="n">
        <f aca="false">AC1342/T1342-1</f>
        <v>0.597060377651164</v>
      </c>
      <c r="AG1342" s="37" t="str">
        <f aca="false">IF(AC1342&lt;T1342,"SIM","NÃO")</f>
        <v>NÃO</v>
      </c>
      <c r="AH1342" s="37" t="n">
        <v>13</v>
      </c>
      <c r="AI1342" s="37" t="n">
        <v>11</v>
      </c>
      <c r="AJ1342" s="37" t="s">
        <v>323</v>
      </c>
    </row>
    <row r="1343" customFormat="false" ht="15" hidden="false" customHeight="false" outlineLevel="0" collapsed="false">
      <c r="A1343" s="37" t="n">
        <v>380823553</v>
      </c>
      <c r="B1343" s="38" t="n">
        <v>46256.6661458333</v>
      </c>
      <c r="C1343" s="37" t="s">
        <v>320</v>
      </c>
      <c r="D1343" s="37" t="s">
        <v>1571</v>
      </c>
      <c r="E1343" s="37" t="n">
        <v>21241190</v>
      </c>
      <c r="F1343" s="37" t="s">
        <v>139</v>
      </c>
      <c r="G1343" s="37" t="s">
        <v>198</v>
      </c>
      <c r="H1343" s="37" t="s">
        <v>170</v>
      </c>
      <c r="I1343" s="37" t="n">
        <v>48</v>
      </c>
      <c r="J1343" s="39" t="n">
        <v>899.99</v>
      </c>
      <c r="K1343" s="37" t="s">
        <v>322</v>
      </c>
      <c r="L1343" s="39" t="n">
        <v>104.9</v>
      </c>
      <c r="M1343" s="39" t="n">
        <v>71</v>
      </c>
      <c r="N1343" s="39" t="n">
        <f aca="false">J1343*Resumo!$C$7</f>
        <v>1.79998</v>
      </c>
      <c r="O1343" s="39" t="n">
        <f aca="false">J1343*Resumo!$C$8</f>
        <v>1.79998</v>
      </c>
      <c r="P1343" s="39" t="n">
        <f aca="false">Resumo!$C$10*CEILING(I1343/100,1)</f>
        <v>1</v>
      </c>
      <c r="Q1343" s="39" t="n">
        <f aca="false">Resumo!$C$9</f>
        <v>11.9</v>
      </c>
      <c r="R1343" s="39" t="n">
        <f aca="false">SUM(M1343:Q1343)*Resumo!$C$11</f>
        <v>4.8124978</v>
      </c>
      <c r="S1343" s="39" t="n">
        <f aca="false">SUM(M1343:R1343)</f>
        <v>92.3124578</v>
      </c>
      <c r="T1343" s="39" t="n">
        <f aca="false">S1343/(1-Resumo!$C$5)</f>
        <v>104.900520227273</v>
      </c>
      <c r="U1343" s="39" t="n">
        <v>93.97</v>
      </c>
      <c r="V1343" s="39" t="n">
        <f aca="false">J1343*Resumo!$B$6</f>
        <v>0.89999</v>
      </c>
      <c r="W1343" s="39" t="n">
        <f aca="false">J1343*Resumo!$B$7</f>
        <v>1.79998</v>
      </c>
      <c r="X1343" s="39" t="n">
        <f aca="false">Resumo!$B$9</f>
        <v>1</v>
      </c>
      <c r="Y1343" s="39" t="n">
        <f aca="false">Resumo!$B$10*CEILING(I1343/100,1)</f>
        <v>4.5</v>
      </c>
      <c r="Z1343" s="39" t="n">
        <f aca="false">Resumo!$B$12*CEILING(I1343,1)</f>
        <v>2.88</v>
      </c>
      <c r="AA1343" s="39" t="n">
        <f aca="false">Resumo!$B$13*CEILING(I1343,1)</f>
        <v>21.6</v>
      </c>
      <c r="AB1343" s="39" t="n">
        <f aca="false">SUM(U1343:AA1343)</f>
        <v>126.64997</v>
      </c>
      <c r="AC1343" s="39" t="n">
        <f aca="false">AB1343/(1-Resumo!$B$5)</f>
        <v>143.920420454545</v>
      </c>
      <c r="AD1343" s="39" t="n">
        <f aca="false">(AB1343-AA1343)/(1-Resumo!$B$5)</f>
        <v>119.374965909091</v>
      </c>
      <c r="AE1343" s="39" t="n">
        <f aca="false">AC1343-T1343</f>
        <v>39.0199002272727</v>
      </c>
      <c r="AF1343" s="40" t="n">
        <f aca="false">AC1343/T1343-1</f>
        <v>0.371970512088348</v>
      </c>
      <c r="AG1343" s="37" t="str">
        <f aca="false">IF(AC1343&lt;T1343,"SIM","NÃO")</f>
        <v>NÃO</v>
      </c>
      <c r="AH1343" s="37" t="n">
        <v>8</v>
      </c>
      <c r="AI1343" s="37" t="n">
        <v>5</v>
      </c>
      <c r="AJ1343" s="37" t="s">
        <v>323</v>
      </c>
    </row>
    <row r="1344" customFormat="false" ht="15" hidden="false" customHeight="false" outlineLevel="0" collapsed="false">
      <c r="A1344" s="37" t="n">
        <v>380886492</v>
      </c>
      <c r="B1344" s="38" t="n">
        <v>46256.7324768519</v>
      </c>
      <c r="C1344" s="37" t="s">
        <v>517</v>
      </c>
      <c r="D1344" s="37" t="s">
        <v>1572</v>
      </c>
      <c r="E1344" s="37" t="n">
        <v>20230014</v>
      </c>
      <c r="F1344" s="37" t="s">
        <v>139</v>
      </c>
      <c r="G1344" s="37" t="s">
        <v>198</v>
      </c>
      <c r="H1344" s="37" t="s">
        <v>168</v>
      </c>
      <c r="I1344" s="37" t="n">
        <v>27.4</v>
      </c>
      <c r="J1344" s="39" t="n">
        <v>323.99</v>
      </c>
      <c r="K1344" s="37" t="s">
        <v>322</v>
      </c>
      <c r="L1344" s="39" t="n">
        <v>81.89</v>
      </c>
      <c r="M1344" s="39" t="n">
        <v>54.1</v>
      </c>
      <c r="N1344" s="39" t="n">
        <f aca="false">J1344*Resumo!$C$7</f>
        <v>0.64798</v>
      </c>
      <c r="O1344" s="39" t="n">
        <f aca="false">J1344*Resumo!$C$8</f>
        <v>0.64798</v>
      </c>
      <c r="P1344" s="39" t="n">
        <f aca="false">Resumo!$C$10*CEILING(I1344/100,1)</f>
        <v>1</v>
      </c>
      <c r="Q1344" s="39" t="n">
        <f aca="false">Resumo!$C$9</f>
        <v>11.9</v>
      </c>
      <c r="R1344" s="39" t="n">
        <f aca="false">SUM(M1344:Q1344)*Resumo!$C$11</f>
        <v>3.7562778</v>
      </c>
      <c r="S1344" s="39" t="n">
        <f aca="false">SUM(M1344:R1344)</f>
        <v>72.0522378</v>
      </c>
      <c r="T1344" s="39" t="n">
        <f aca="false">S1344/(1-Resumo!$C$5)</f>
        <v>81.8775429545455</v>
      </c>
      <c r="U1344" s="39" t="n">
        <v>82.21</v>
      </c>
      <c r="V1344" s="39" t="n">
        <f aca="false">J1344*Resumo!$B$6</f>
        <v>0.32399</v>
      </c>
      <c r="W1344" s="39" t="n">
        <f aca="false">J1344*Resumo!$B$7</f>
        <v>0.64798</v>
      </c>
      <c r="X1344" s="39" t="n">
        <f aca="false">Resumo!$B$9</f>
        <v>1</v>
      </c>
      <c r="Y1344" s="39" t="n">
        <f aca="false">Resumo!$B$10*CEILING(I1344/100,1)</f>
        <v>4.5</v>
      </c>
      <c r="Z1344" s="39" t="n">
        <f aca="false">Resumo!$B$12*CEILING(I1344,1)</f>
        <v>1.68</v>
      </c>
      <c r="AA1344" s="39" t="n">
        <f aca="false">Resumo!$B$13*CEILING(I1344,1)</f>
        <v>12.6</v>
      </c>
      <c r="AB1344" s="39" t="n">
        <f aca="false">SUM(U1344:AA1344)</f>
        <v>102.96197</v>
      </c>
      <c r="AC1344" s="39" t="n">
        <f aca="false">AB1344/(1-Resumo!$B$5)</f>
        <v>117.002238636364</v>
      </c>
      <c r="AD1344" s="39" t="n">
        <f aca="false">(AB1344-AA1344)/(1-Resumo!$B$5)</f>
        <v>102.684056818182</v>
      </c>
      <c r="AE1344" s="39" t="n">
        <f aca="false">AC1344-T1344</f>
        <v>35.1246956818182</v>
      </c>
      <c r="AF1344" s="40" t="n">
        <f aca="false">AC1344/T1344-1</f>
        <v>0.428990592711334</v>
      </c>
      <c r="AG1344" s="37" t="str">
        <f aca="false">IF(AC1344&lt;T1344,"SIM","NÃO")</f>
        <v>NÃO</v>
      </c>
      <c r="AH1344" s="37" t="n">
        <v>8</v>
      </c>
      <c r="AI1344" s="37" t="n">
        <v>5</v>
      </c>
      <c r="AJ1344" s="37" t="s">
        <v>323</v>
      </c>
    </row>
    <row r="1345" customFormat="false" ht="15" hidden="false" customHeight="false" outlineLevel="0" collapsed="false">
      <c r="A1345" s="37" t="n">
        <v>380879027</v>
      </c>
      <c r="B1345" s="38" t="n">
        <v>46256.7383333333</v>
      </c>
      <c r="C1345" s="37" t="s">
        <v>320</v>
      </c>
      <c r="D1345" s="37" t="s">
        <v>1573</v>
      </c>
      <c r="E1345" s="37" t="n">
        <v>23918540</v>
      </c>
      <c r="F1345" s="37" t="s">
        <v>149</v>
      </c>
      <c r="G1345" s="37" t="s">
        <v>201</v>
      </c>
      <c r="H1345" s="37" t="s">
        <v>170</v>
      </c>
      <c r="I1345" s="37" t="n">
        <v>46.8</v>
      </c>
      <c r="J1345" s="39" t="n">
        <v>506.56</v>
      </c>
      <c r="K1345" s="37" t="s">
        <v>322</v>
      </c>
      <c r="L1345" s="39" t="n">
        <v>130.58</v>
      </c>
      <c r="M1345" s="39" t="n">
        <v>94</v>
      </c>
      <c r="N1345" s="39" t="n">
        <f aca="false">J1345*Resumo!$C$7</f>
        <v>1.01312</v>
      </c>
      <c r="O1345" s="39" t="n">
        <f aca="false">J1345*Resumo!$C$8</f>
        <v>1.01312</v>
      </c>
      <c r="P1345" s="39" t="n">
        <f aca="false">Resumo!$C$10*CEILING(I1345/100,1)</f>
        <v>1</v>
      </c>
      <c r="Q1345" s="39" t="n">
        <f aca="false">Resumo!$C$9</f>
        <v>11.9</v>
      </c>
      <c r="R1345" s="39" t="n">
        <f aca="false">SUM(M1345:Q1345)*Resumo!$C$11</f>
        <v>5.9909432</v>
      </c>
      <c r="S1345" s="39" t="n">
        <f aca="false">SUM(M1345:R1345)</f>
        <v>114.9171832</v>
      </c>
      <c r="T1345" s="39" t="n">
        <f aca="false">S1345/(1-Resumo!$C$5)</f>
        <v>130.587708181818</v>
      </c>
      <c r="U1345" s="39" t="n">
        <v>124.38</v>
      </c>
      <c r="V1345" s="39" t="n">
        <f aca="false">J1345*Resumo!$B$6</f>
        <v>0.50656</v>
      </c>
      <c r="W1345" s="39" t="n">
        <f aca="false">J1345*Resumo!$B$7</f>
        <v>1.01312</v>
      </c>
      <c r="X1345" s="39" t="n">
        <f aca="false">Resumo!$B$9</f>
        <v>1</v>
      </c>
      <c r="Y1345" s="39" t="n">
        <f aca="false">Resumo!$B$10*CEILING(I1345/100,1)</f>
        <v>4.5</v>
      </c>
      <c r="Z1345" s="39" t="n">
        <f aca="false">Resumo!$B$12*CEILING(I1345,1)</f>
        <v>2.82</v>
      </c>
      <c r="AA1345" s="39" t="n">
        <f aca="false">Resumo!$B$13*CEILING(I1345,1)</f>
        <v>21.15</v>
      </c>
      <c r="AB1345" s="39" t="n">
        <f aca="false">SUM(U1345:AA1345)</f>
        <v>155.36968</v>
      </c>
      <c r="AC1345" s="39" t="n">
        <f aca="false">AB1345/(1-Resumo!$B$5)</f>
        <v>176.556454545455</v>
      </c>
      <c r="AD1345" s="39" t="n">
        <f aca="false">(AB1345-AA1345)/(1-Resumo!$B$5)</f>
        <v>152.522363636364</v>
      </c>
      <c r="AE1345" s="39" t="n">
        <f aca="false">AC1345-T1345</f>
        <v>45.9687463636363</v>
      </c>
      <c r="AF1345" s="40" t="n">
        <f aca="false">AC1345/T1345-1</f>
        <v>0.352014343491148</v>
      </c>
      <c r="AG1345" s="37" t="str">
        <f aca="false">IF(AC1345&lt;T1345,"SIM","NÃO")</f>
        <v>NÃO</v>
      </c>
      <c r="AH1345" s="37" t="n">
        <v>13</v>
      </c>
      <c r="AI1345" s="37" t="n">
        <v>10</v>
      </c>
      <c r="AJ1345" s="37" t="s">
        <v>323</v>
      </c>
    </row>
    <row r="1346" customFormat="false" ht="15" hidden="false" customHeight="false" outlineLevel="0" collapsed="false">
      <c r="A1346" s="37" t="n">
        <v>380888889</v>
      </c>
      <c r="B1346" s="38" t="n">
        <v>46256.7579976852</v>
      </c>
      <c r="C1346" s="37" t="s">
        <v>320</v>
      </c>
      <c r="D1346" s="37" t="s">
        <v>1574</v>
      </c>
      <c r="E1346" s="37" t="n">
        <v>21931383</v>
      </c>
      <c r="F1346" s="37" t="s">
        <v>139</v>
      </c>
      <c r="G1346" s="37" t="s">
        <v>198</v>
      </c>
      <c r="H1346" s="37" t="s">
        <v>168</v>
      </c>
      <c r="I1346" s="37" t="n">
        <v>33</v>
      </c>
      <c r="J1346" s="39" t="n">
        <v>499.69</v>
      </c>
      <c r="K1346" s="37" t="s">
        <v>322</v>
      </c>
      <c r="L1346" s="39" t="n">
        <v>82.73</v>
      </c>
      <c r="M1346" s="39" t="n">
        <v>54.1</v>
      </c>
      <c r="N1346" s="39" t="n">
        <f aca="false">J1346*Resumo!$C$7</f>
        <v>0.99938</v>
      </c>
      <c r="O1346" s="39" t="n">
        <f aca="false">J1346*Resumo!$C$8</f>
        <v>0.99938</v>
      </c>
      <c r="P1346" s="39" t="n">
        <f aca="false">Resumo!$C$10*CEILING(I1346/100,1)</f>
        <v>1</v>
      </c>
      <c r="Q1346" s="39" t="n">
        <f aca="false">Resumo!$C$9</f>
        <v>11.9</v>
      </c>
      <c r="R1346" s="39" t="n">
        <f aca="false">SUM(M1346:Q1346)*Resumo!$C$11</f>
        <v>3.7949318</v>
      </c>
      <c r="S1346" s="39" t="n">
        <f aca="false">SUM(M1346:R1346)</f>
        <v>72.7936918</v>
      </c>
      <c r="T1346" s="39" t="n">
        <f aca="false">S1346/(1-Resumo!$C$5)</f>
        <v>82.7201043181818</v>
      </c>
      <c r="U1346" s="39" t="n">
        <v>82.21</v>
      </c>
      <c r="V1346" s="39" t="n">
        <f aca="false">J1346*Resumo!$B$6</f>
        <v>0.49969</v>
      </c>
      <c r="W1346" s="39" t="n">
        <f aca="false">J1346*Resumo!$B$7</f>
        <v>0.99938</v>
      </c>
      <c r="X1346" s="39" t="n">
        <f aca="false">Resumo!$B$9</f>
        <v>1</v>
      </c>
      <c r="Y1346" s="39" t="n">
        <f aca="false">Resumo!$B$10*CEILING(I1346/100,1)</f>
        <v>4.5</v>
      </c>
      <c r="Z1346" s="39" t="n">
        <f aca="false">Resumo!$B$12*CEILING(I1346,1)</f>
        <v>1.98</v>
      </c>
      <c r="AA1346" s="39" t="n">
        <f aca="false">Resumo!$B$13*CEILING(I1346,1)</f>
        <v>14.85</v>
      </c>
      <c r="AB1346" s="39" t="n">
        <f aca="false">SUM(U1346:AA1346)</f>
        <v>106.03907</v>
      </c>
      <c r="AC1346" s="39" t="n">
        <f aca="false">AB1346/(1-Resumo!$B$5)</f>
        <v>120.498943181818</v>
      </c>
      <c r="AD1346" s="39" t="n">
        <f aca="false">(AB1346-AA1346)/(1-Resumo!$B$5)</f>
        <v>103.623943181818</v>
      </c>
      <c r="AE1346" s="39" t="n">
        <f aca="false">AC1346-T1346</f>
        <v>37.7788388636363</v>
      </c>
      <c r="AF1346" s="40" t="n">
        <f aca="false">AC1346/T1346-1</f>
        <v>0.456706857118077</v>
      </c>
      <c r="AG1346" s="37" t="str">
        <f aca="false">IF(AC1346&lt;T1346,"SIM","NÃO")</f>
        <v>NÃO</v>
      </c>
      <c r="AH1346" s="37" t="n">
        <v>8</v>
      </c>
      <c r="AI1346" s="37" t="n">
        <v>5</v>
      </c>
      <c r="AJ1346" s="37" t="s">
        <v>323</v>
      </c>
    </row>
    <row r="1347" customFormat="false" ht="15" hidden="false" customHeight="false" outlineLevel="0" collapsed="false">
      <c r="A1347" s="37" t="n">
        <v>380889975</v>
      </c>
      <c r="B1347" s="38" t="n">
        <v>46256.7599884259</v>
      </c>
      <c r="C1347" s="37" t="s">
        <v>325</v>
      </c>
      <c r="D1347" s="37" t="s">
        <v>1575</v>
      </c>
      <c r="E1347" s="37" t="n">
        <v>25960410</v>
      </c>
      <c r="F1347" s="37" t="s">
        <v>221</v>
      </c>
      <c r="G1347" s="37" t="s">
        <v>201</v>
      </c>
      <c r="H1347" s="37" t="s">
        <v>169</v>
      </c>
      <c r="I1347" s="37" t="n">
        <v>36.8</v>
      </c>
      <c r="J1347" s="39" t="n">
        <v>434.53</v>
      </c>
      <c r="K1347" s="37" t="s">
        <v>322</v>
      </c>
      <c r="L1347" s="39" t="n">
        <v>122.33</v>
      </c>
      <c r="M1347" s="39" t="n">
        <v>87.4</v>
      </c>
      <c r="N1347" s="39" t="n">
        <f aca="false">J1347*Resumo!$C$7</f>
        <v>0.86906</v>
      </c>
      <c r="O1347" s="39" t="n">
        <f aca="false">J1347*Resumo!$C$8</f>
        <v>0.86906</v>
      </c>
      <c r="P1347" s="39" t="n">
        <f aca="false">Resumo!$C$10*CEILING(I1347/100,1)</f>
        <v>1</v>
      </c>
      <c r="Q1347" s="39" t="n">
        <f aca="false">Resumo!$C$9</f>
        <v>11.9</v>
      </c>
      <c r="R1347" s="39" t="n">
        <f aca="false">SUM(M1347:Q1347)*Resumo!$C$11</f>
        <v>5.6120966</v>
      </c>
      <c r="S1347" s="39" t="n">
        <f aca="false">SUM(M1347:R1347)</f>
        <v>107.6502166</v>
      </c>
      <c r="T1347" s="39" t="n">
        <f aca="false">S1347/(1-Resumo!$C$5)</f>
        <v>122.329791590909</v>
      </c>
      <c r="U1347" s="39" t="n">
        <v>125.63</v>
      </c>
      <c r="V1347" s="39" t="n">
        <f aca="false">J1347*Resumo!$B$6</f>
        <v>0.43453</v>
      </c>
      <c r="W1347" s="39" t="n">
        <f aca="false">J1347*Resumo!$B$7</f>
        <v>0.86906</v>
      </c>
      <c r="X1347" s="39" t="n">
        <f aca="false">Resumo!$B$9</f>
        <v>1</v>
      </c>
      <c r="Y1347" s="39" t="n">
        <f aca="false">Resumo!$B$10*CEILING(I1347/100,1)</f>
        <v>4.5</v>
      </c>
      <c r="Z1347" s="39" t="n">
        <f aca="false">Resumo!$B$12*CEILING(I1347,1)</f>
        <v>2.22</v>
      </c>
      <c r="AA1347" s="39" t="n">
        <f aca="false">Resumo!$B$13*CEILING(I1347,1)</f>
        <v>16.65</v>
      </c>
      <c r="AB1347" s="39" t="n">
        <f aca="false">SUM(U1347:AA1347)</f>
        <v>151.30359</v>
      </c>
      <c r="AC1347" s="39" t="n">
        <f aca="false">AB1347/(1-Resumo!$B$5)</f>
        <v>171.935897727273</v>
      </c>
      <c r="AD1347" s="39" t="n">
        <f aca="false">(AB1347-AA1347)/(1-Resumo!$B$5)</f>
        <v>153.015443181818</v>
      </c>
      <c r="AE1347" s="39" t="n">
        <f aca="false">AC1347-T1347</f>
        <v>49.6061061363636</v>
      </c>
      <c r="AF1347" s="40" t="n">
        <f aca="false">AC1347/T1347-1</f>
        <v>0.405511245390286</v>
      </c>
      <c r="AG1347" s="37" t="str">
        <f aca="false">IF(AC1347&lt;T1347,"SIM","NÃO")</f>
        <v>NÃO</v>
      </c>
      <c r="AH1347" s="37" t="n">
        <v>13</v>
      </c>
      <c r="AI1347" s="37" t="n">
        <v>10</v>
      </c>
      <c r="AJ1347" s="37" t="s">
        <v>327</v>
      </c>
    </row>
    <row r="1348" customFormat="false" ht="15" hidden="false" customHeight="false" outlineLevel="0" collapsed="false">
      <c r="A1348" s="37" t="n">
        <v>380924162</v>
      </c>
      <c r="B1348" s="38" t="n">
        <v>46256.8082638889</v>
      </c>
      <c r="C1348" s="37" t="s">
        <v>325</v>
      </c>
      <c r="D1348" s="37" t="s">
        <v>1576</v>
      </c>
      <c r="E1348" s="37" t="n">
        <v>24474770</v>
      </c>
      <c r="F1348" s="37" t="s">
        <v>140</v>
      </c>
      <c r="G1348" s="37" t="s">
        <v>207</v>
      </c>
      <c r="H1348" s="37" t="s">
        <v>172</v>
      </c>
      <c r="I1348" s="37" t="n">
        <v>66.8</v>
      </c>
      <c r="J1348" s="39" t="n">
        <v>636.47</v>
      </c>
      <c r="K1348" s="37" t="s">
        <v>322</v>
      </c>
      <c r="L1348" s="39" t="n">
        <v>139.48</v>
      </c>
      <c r="M1348" s="39" t="n">
        <v>100.9</v>
      </c>
      <c r="N1348" s="39" t="n">
        <f aca="false">J1348*Resumo!$C$7</f>
        <v>1.27294</v>
      </c>
      <c r="O1348" s="39" t="n">
        <f aca="false">J1348*Resumo!$C$8</f>
        <v>1.27294</v>
      </c>
      <c r="P1348" s="39" t="n">
        <f aca="false">Resumo!$C$10*CEILING(I1348/100,1)</f>
        <v>1</v>
      </c>
      <c r="Q1348" s="39" t="n">
        <f aca="false">Resumo!$C$9</f>
        <v>11.9</v>
      </c>
      <c r="R1348" s="39" t="n">
        <f aca="false">SUM(M1348:Q1348)*Resumo!$C$11</f>
        <v>6.3990234</v>
      </c>
      <c r="S1348" s="39" t="n">
        <f aca="false">SUM(M1348:R1348)</f>
        <v>122.7449034</v>
      </c>
      <c r="T1348" s="39" t="n">
        <f aca="false">S1348/(1-Resumo!$C$5)</f>
        <v>139.482844772727</v>
      </c>
      <c r="U1348" s="39" t="n">
        <v>149.5</v>
      </c>
      <c r="V1348" s="39" t="n">
        <f aca="false">J1348*Resumo!$B$6</f>
        <v>0.63647</v>
      </c>
      <c r="W1348" s="39" t="n">
        <f aca="false">J1348*Resumo!$B$7</f>
        <v>1.27294</v>
      </c>
      <c r="X1348" s="39" t="n">
        <f aca="false">Resumo!$B$9</f>
        <v>1</v>
      </c>
      <c r="Y1348" s="39" t="n">
        <f aca="false">Resumo!$B$10*CEILING(I1348/100,1)</f>
        <v>4.5</v>
      </c>
      <c r="Z1348" s="39" t="n">
        <f aca="false">Resumo!$B$12*CEILING(I1348,1)</f>
        <v>4.02</v>
      </c>
      <c r="AA1348" s="39" t="n">
        <f aca="false">Resumo!$B$13*CEILING(I1348,1)</f>
        <v>30.15</v>
      </c>
      <c r="AB1348" s="39" t="n">
        <f aca="false">SUM(U1348:AA1348)</f>
        <v>191.07941</v>
      </c>
      <c r="AC1348" s="39" t="n">
        <f aca="false">AB1348/(1-Resumo!$B$5)</f>
        <v>217.135693181818</v>
      </c>
      <c r="AD1348" s="39" t="n">
        <f aca="false">(AB1348-AA1348)/(1-Resumo!$B$5)</f>
        <v>182.874329545455</v>
      </c>
      <c r="AE1348" s="39" t="n">
        <f aca="false">AC1348-T1348</f>
        <v>77.6528484090909</v>
      </c>
      <c r="AF1348" s="40" t="n">
        <f aca="false">AC1348/T1348-1</f>
        <v>0.556719706538952</v>
      </c>
      <c r="AG1348" s="37" t="str">
        <f aca="false">IF(AC1348&lt;T1348,"SIM","NÃO")</f>
        <v>NÃO</v>
      </c>
      <c r="AH1348" s="37" t="n">
        <v>10</v>
      </c>
      <c r="AI1348" s="37" t="n">
        <v>7</v>
      </c>
      <c r="AJ1348" s="37" t="s">
        <v>323</v>
      </c>
    </row>
    <row r="1349" customFormat="false" ht="15" hidden="false" customHeight="false" outlineLevel="0" collapsed="false">
      <c r="A1349" s="37" t="n">
        <v>380931066</v>
      </c>
      <c r="B1349" s="38" t="n">
        <v>46256.819525463</v>
      </c>
      <c r="C1349" s="37" t="s">
        <v>325</v>
      </c>
      <c r="D1349" s="37" t="s">
        <v>1488</v>
      </c>
      <c r="E1349" s="37" t="n">
        <v>22770190</v>
      </c>
      <c r="F1349" s="37" t="s">
        <v>139</v>
      </c>
      <c r="G1349" s="37" t="s">
        <v>198</v>
      </c>
      <c r="H1349" s="37" t="s">
        <v>172</v>
      </c>
      <c r="I1349" s="37" t="n">
        <v>61.4</v>
      </c>
      <c r="J1349" s="39" t="n">
        <v>962.28</v>
      </c>
      <c r="K1349" s="37" t="s">
        <v>322</v>
      </c>
      <c r="L1349" s="39" t="n">
        <v>125.81</v>
      </c>
      <c r="M1349" s="39" t="n">
        <v>88.2</v>
      </c>
      <c r="N1349" s="39" t="n">
        <f aca="false">J1349*Resumo!$C$7</f>
        <v>1.92456</v>
      </c>
      <c r="O1349" s="39" t="n">
        <f aca="false">J1349*Resumo!$C$8</f>
        <v>1.92456</v>
      </c>
      <c r="P1349" s="39" t="n">
        <f aca="false">Resumo!$C$10*CEILING(I1349/100,1)</f>
        <v>1</v>
      </c>
      <c r="Q1349" s="39" t="n">
        <f aca="false">Resumo!$C$9</f>
        <v>11.9</v>
      </c>
      <c r="R1349" s="39" t="n">
        <f aca="false">SUM(M1349:Q1349)*Resumo!$C$11</f>
        <v>5.7722016</v>
      </c>
      <c r="S1349" s="39" t="n">
        <f aca="false">SUM(M1349:R1349)</f>
        <v>110.7213216</v>
      </c>
      <c r="T1349" s="39" t="n">
        <f aca="false">S1349/(1-Resumo!$C$5)</f>
        <v>125.819683636364</v>
      </c>
      <c r="U1349" s="39" t="n">
        <v>131.02</v>
      </c>
      <c r="V1349" s="39" t="n">
        <f aca="false">J1349*Resumo!$B$6</f>
        <v>0.96228</v>
      </c>
      <c r="W1349" s="39" t="n">
        <f aca="false">J1349*Resumo!$B$7</f>
        <v>1.92456</v>
      </c>
      <c r="X1349" s="39" t="n">
        <f aca="false">Resumo!$B$9</f>
        <v>1</v>
      </c>
      <c r="Y1349" s="39" t="n">
        <f aca="false">Resumo!$B$10*CEILING(I1349/100,1)</f>
        <v>4.5</v>
      </c>
      <c r="Z1349" s="39" t="n">
        <f aca="false">Resumo!$B$12*CEILING(I1349,1)</f>
        <v>3.72</v>
      </c>
      <c r="AA1349" s="39" t="n">
        <f aca="false">Resumo!$B$13*CEILING(I1349,1)</f>
        <v>27.9</v>
      </c>
      <c r="AB1349" s="39" t="n">
        <f aca="false">SUM(U1349:AA1349)</f>
        <v>171.02684</v>
      </c>
      <c r="AC1349" s="39" t="n">
        <f aca="false">AB1349/(1-Resumo!$B$5)</f>
        <v>194.348681818182</v>
      </c>
      <c r="AD1349" s="39" t="n">
        <f aca="false">(AB1349-AA1349)/(1-Resumo!$B$5)</f>
        <v>162.644136363636</v>
      </c>
      <c r="AE1349" s="39" t="n">
        <f aca="false">AC1349-T1349</f>
        <v>68.5289981818182</v>
      </c>
      <c r="AF1349" s="40" t="n">
        <f aca="false">AC1349/T1349-1</f>
        <v>0.544660391770468</v>
      </c>
      <c r="AG1349" s="37" t="str">
        <f aca="false">IF(AC1349&lt;T1349,"SIM","NÃO")</f>
        <v>NÃO</v>
      </c>
      <c r="AH1349" s="37" t="n">
        <v>8</v>
      </c>
      <c r="AI1349" s="37" t="n">
        <v>5</v>
      </c>
      <c r="AJ1349" s="37" t="s">
        <v>323</v>
      </c>
    </row>
    <row r="1350" customFormat="false" ht="15" hidden="false" customHeight="false" outlineLevel="0" collapsed="false">
      <c r="A1350" s="37" t="n">
        <v>380956095</v>
      </c>
      <c r="B1350" s="38" t="n">
        <v>46256.856724537</v>
      </c>
      <c r="C1350" s="37" t="s">
        <v>320</v>
      </c>
      <c r="D1350" s="37" t="s">
        <v>1577</v>
      </c>
      <c r="E1350" s="37" t="n">
        <v>26293567</v>
      </c>
      <c r="F1350" s="37" t="s">
        <v>142</v>
      </c>
      <c r="G1350" s="37" t="s">
        <v>207</v>
      </c>
      <c r="H1350" s="37" t="s">
        <v>172</v>
      </c>
      <c r="I1350" s="37" t="n">
        <v>61.5</v>
      </c>
      <c r="J1350" s="39" t="n">
        <v>696.68</v>
      </c>
      <c r="K1350" s="37" t="s">
        <v>322</v>
      </c>
      <c r="L1350" s="39" t="n">
        <v>139.76</v>
      </c>
      <c r="M1350" s="39" t="n">
        <v>100.9</v>
      </c>
      <c r="N1350" s="39" t="n">
        <f aca="false">J1350*Resumo!$C$7</f>
        <v>1.39336</v>
      </c>
      <c r="O1350" s="39" t="n">
        <f aca="false">J1350*Resumo!$C$8</f>
        <v>1.39336</v>
      </c>
      <c r="P1350" s="39" t="n">
        <f aca="false">Resumo!$C$10*CEILING(I1350/100,1)</f>
        <v>1</v>
      </c>
      <c r="Q1350" s="39" t="n">
        <f aca="false">Resumo!$C$9</f>
        <v>11.9</v>
      </c>
      <c r="R1350" s="39" t="n">
        <f aca="false">SUM(M1350:Q1350)*Resumo!$C$11</f>
        <v>6.4122696</v>
      </c>
      <c r="S1350" s="39" t="n">
        <f aca="false">SUM(M1350:R1350)</f>
        <v>122.9989896</v>
      </c>
      <c r="T1350" s="39" t="n">
        <f aca="false">S1350/(1-Resumo!$C$5)</f>
        <v>139.771579090909</v>
      </c>
      <c r="U1350" s="39" t="n">
        <v>131.02</v>
      </c>
      <c r="V1350" s="39" t="n">
        <f aca="false">J1350*Resumo!$B$6</f>
        <v>0.69668</v>
      </c>
      <c r="W1350" s="39" t="n">
        <f aca="false">J1350*Resumo!$B$7</f>
        <v>1.39336</v>
      </c>
      <c r="X1350" s="39" t="n">
        <f aca="false">Resumo!$B$9</f>
        <v>1</v>
      </c>
      <c r="Y1350" s="39" t="n">
        <f aca="false">Resumo!$B$10*CEILING(I1350/100,1)</f>
        <v>4.5</v>
      </c>
      <c r="Z1350" s="39" t="n">
        <f aca="false">Resumo!$B$12*CEILING(I1350,1)</f>
        <v>3.72</v>
      </c>
      <c r="AA1350" s="39" t="n">
        <f aca="false">Resumo!$B$13*CEILING(I1350,1)</f>
        <v>27.9</v>
      </c>
      <c r="AB1350" s="39" t="n">
        <f aca="false">SUM(U1350:AA1350)</f>
        <v>170.23004</v>
      </c>
      <c r="AC1350" s="39" t="n">
        <f aca="false">AB1350/(1-Resumo!$B$5)</f>
        <v>193.443227272727</v>
      </c>
      <c r="AD1350" s="39" t="n">
        <f aca="false">(AB1350-AA1350)/(1-Resumo!$B$5)</f>
        <v>161.738681818182</v>
      </c>
      <c r="AE1350" s="39" t="n">
        <f aca="false">AC1350-T1350</f>
        <v>53.6716481818182</v>
      </c>
      <c r="AF1350" s="40" t="n">
        <f aca="false">AC1350/T1350-1</f>
        <v>0.383995434056802</v>
      </c>
      <c r="AG1350" s="37" t="str">
        <f aca="false">IF(AC1350&lt;T1350,"SIM","NÃO")</f>
        <v>NÃO</v>
      </c>
      <c r="AH1350" s="37" t="n">
        <v>10</v>
      </c>
      <c r="AI1350" s="37" t="n">
        <v>5</v>
      </c>
      <c r="AJ1350" s="37" t="s">
        <v>323</v>
      </c>
    </row>
    <row r="1351" customFormat="false" ht="15" hidden="false" customHeight="false" outlineLevel="0" collapsed="false">
      <c r="A1351" s="37" t="n">
        <v>380981915</v>
      </c>
      <c r="B1351" s="38" t="n">
        <v>46256.8987847222</v>
      </c>
      <c r="C1351" s="37" t="s">
        <v>320</v>
      </c>
      <c r="D1351" s="37" t="s">
        <v>1578</v>
      </c>
      <c r="E1351" s="37" t="n">
        <v>20735320</v>
      </c>
      <c r="F1351" s="37" t="s">
        <v>139</v>
      </c>
      <c r="G1351" s="37" t="s">
        <v>198</v>
      </c>
      <c r="H1351" s="37" t="s">
        <v>170</v>
      </c>
      <c r="I1351" s="37" t="n">
        <v>46.8</v>
      </c>
      <c r="J1351" s="39" t="n">
        <v>506.56</v>
      </c>
      <c r="K1351" s="37" t="s">
        <v>322</v>
      </c>
      <c r="L1351" s="39" t="n">
        <v>103.01</v>
      </c>
      <c r="M1351" s="39" t="n">
        <v>71</v>
      </c>
      <c r="N1351" s="39" t="n">
        <f aca="false">J1351*Resumo!$C$7</f>
        <v>1.01312</v>
      </c>
      <c r="O1351" s="39" t="n">
        <f aca="false">J1351*Resumo!$C$8</f>
        <v>1.01312</v>
      </c>
      <c r="P1351" s="39" t="n">
        <f aca="false">Resumo!$C$10*CEILING(I1351/100,1)</f>
        <v>1</v>
      </c>
      <c r="Q1351" s="39" t="n">
        <f aca="false">Resumo!$C$9</f>
        <v>11.9</v>
      </c>
      <c r="R1351" s="39" t="n">
        <f aca="false">SUM(M1351:Q1351)*Resumo!$C$11</f>
        <v>4.7259432</v>
      </c>
      <c r="S1351" s="39" t="n">
        <f aca="false">SUM(M1351:R1351)</f>
        <v>90.6521832</v>
      </c>
      <c r="T1351" s="39" t="n">
        <f aca="false">S1351/(1-Resumo!$C$5)</f>
        <v>103.013844545455</v>
      </c>
      <c r="U1351" s="39" t="n">
        <v>93.97</v>
      </c>
      <c r="V1351" s="39" t="n">
        <f aca="false">J1351*Resumo!$B$6</f>
        <v>0.50656</v>
      </c>
      <c r="W1351" s="39" t="n">
        <f aca="false">J1351*Resumo!$B$7</f>
        <v>1.01312</v>
      </c>
      <c r="X1351" s="39" t="n">
        <f aca="false">Resumo!$B$9</f>
        <v>1</v>
      </c>
      <c r="Y1351" s="39" t="n">
        <f aca="false">Resumo!$B$10*CEILING(I1351/100,1)</f>
        <v>4.5</v>
      </c>
      <c r="Z1351" s="39" t="n">
        <f aca="false">Resumo!$B$12*CEILING(I1351,1)</f>
        <v>2.82</v>
      </c>
      <c r="AA1351" s="39" t="n">
        <f aca="false">Resumo!$B$13*CEILING(I1351,1)</f>
        <v>21.15</v>
      </c>
      <c r="AB1351" s="39" t="n">
        <f aca="false">SUM(U1351:AA1351)</f>
        <v>124.95968</v>
      </c>
      <c r="AC1351" s="39" t="n">
        <f aca="false">AB1351/(1-Resumo!$B$5)</f>
        <v>141.999636363636</v>
      </c>
      <c r="AD1351" s="39" t="n">
        <f aca="false">(AB1351-AA1351)/(1-Resumo!$B$5)</f>
        <v>117.965545454545</v>
      </c>
      <c r="AE1351" s="39" t="n">
        <f aca="false">AC1351-T1351</f>
        <v>38.9857918181818</v>
      </c>
      <c r="AF1351" s="40" t="n">
        <f aca="false">AC1351/T1351-1</f>
        <v>0.378451964298638</v>
      </c>
      <c r="AG1351" s="37" t="str">
        <f aca="false">IF(AC1351&lt;T1351,"SIM","NÃO")</f>
        <v>NÃO</v>
      </c>
      <c r="AH1351" s="37" t="n">
        <v>8</v>
      </c>
      <c r="AI1351" s="37" t="n">
        <v>5</v>
      </c>
      <c r="AJ1351" s="37" t="s">
        <v>323</v>
      </c>
    </row>
    <row r="1352" customFormat="false" ht="15" hidden="false" customHeight="false" outlineLevel="0" collapsed="false">
      <c r="A1352" s="37" t="n">
        <v>381013807</v>
      </c>
      <c r="B1352" s="38" t="n">
        <v>46256.9456712963</v>
      </c>
      <c r="C1352" s="37" t="s">
        <v>325</v>
      </c>
      <c r="D1352" s="37" t="s">
        <v>1579</v>
      </c>
      <c r="E1352" s="37" t="n">
        <v>25975550</v>
      </c>
      <c r="F1352" s="37" t="s">
        <v>221</v>
      </c>
      <c r="G1352" s="37" t="s">
        <v>201</v>
      </c>
      <c r="H1352" s="37" t="s">
        <v>176</v>
      </c>
      <c r="I1352" s="37" t="n">
        <v>124.2</v>
      </c>
      <c r="J1352" s="39" t="n">
        <v>1526.91</v>
      </c>
      <c r="K1352" s="37" t="s">
        <v>322</v>
      </c>
      <c r="L1352" s="39" t="n">
        <v>260.6</v>
      </c>
      <c r="M1352" s="39" t="n">
        <v>197.37</v>
      </c>
      <c r="N1352" s="39" t="n">
        <f aca="false">J1352*Resumo!$C$7</f>
        <v>3.05382</v>
      </c>
      <c r="O1352" s="39" t="n">
        <f aca="false">J1352*Resumo!$C$8</f>
        <v>3.05382</v>
      </c>
      <c r="P1352" s="39" t="n">
        <f aca="false">Resumo!$C$10*CEILING(I1352/100,1)</f>
        <v>2</v>
      </c>
      <c r="Q1352" s="39" t="n">
        <f aca="false">Resumo!$C$9</f>
        <v>11.9</v>
      </c>
      <c r="R1352" s="39" t="n">
        <f aca="false">SUM(M1352:Q1352)*Resumo!$C$11</f>
        <v>11.9557702</v>
      </c>
      <c r="S1352" s="39" t="n">
        <f aca="false">SUM(M1352:R1352)</f>
        <v>229.3334102</v>
      </c>
      <c r="T1352" s="39" t="n">
        <f aca="false">S1352/(1-Resumo!$C$5)</f>
        <v>260.606147954545</v>
      </c>
      <c r="U1352" s="39" t="n">
        <v>264.84</v>
      </c>
      <c r="V1352" s="39" t="n">
        <f aca="false">J1352*Resumo!$B$6</f>
        <v>1.52691</v>
      </c>
      <c r="W1352" s="39" t="n">
        <f aca="false">J1352*Resumo!$B$7</f>
        <v>3.05382</v>
      </c>
      <c r="X1352" s="39" t="n">
        <f aca="false">Resumo!$B$9</f>
        <v>1</v>
      </c>
      <c r="Y1352" s="39" t="n">
        <f aca="false">Resumo!$B$10*CEILING(I1352/100,1)</f>
        <v>9</v>
      </c>
      <c r="Z1352" s="39" t="n">
        <f aca="false">Resumo!$B$12*CEILING(I1352,1)</f>
        <v>7.5</v>
      </c>
      <c r="AA1352" s="39" t="n">
        <f aca="false">Resumo!$B$13*CEILING(I1352,1)</f>
        <v>56.25</v>
      </c>
      <c r="AB1352" s="39" t="n">
        <f aca="false">SUM(U1352:AA1352)</f>
        <v>343.17073</v>
      </c>
      <c r="AC1352" s="39" t="n">
        <f aca="false">AB1352/(1-Resumo!$B$5)</f>
        <v>389.966738636364</v>
      </c>
      <c r="AD1352" s="39" t="n">
        <f aca="false">(AB1352-AA1352)/(1-Resumo!$B$5)</f>
        <v>326.046284090909</v>
      </c>
      <c r="AE1352" s="39" t="n">
        <f aca="false">AC1352-T1352</f>
        <v>129.360590681818</v>
      </c>
      <c r="AF1352" s="40" t="n">
        <f aca="false">AC1352/T1352-1</f>
        <v>0.496383495543555</v>
      </c>
      <c r="AG1352" s="37" t="str">
        <f aca="false">IF(AC1352&lt;T1352,"SIM","NÃO")</f>
        <v>NÃO</v>
      </c>
      <c r="AH1352" s="37" t="n">
        <v>13</v>
      </c>
      <c r="AI1352" s="37" t="n">
        <v>10</v>
      </c>
      <c r="AJ1352" s="37" t="s">
        <v>327</v>
      </c>
    </row>
    <row r="1353" customFormat="false" ht="15" hidden="false" customHeight="false" outlineLevel="0" collapsed="false">
      <c r="A1353" s="37" t="n">
        <v>381024577</v>
      </c>
      <c r="B1353" s="38" t="n">
        <v>46256.9612384259</v>
      </c>
      <c r="C1353" s="37" t="s">
        <v>325</v>
      </c>
      <c r="D1353" s="37" t="s">
        <v>1580</v>
      </c>
      <c r="E1353" s="37" t="n">
        <v>23020590</v>
      </c>
      <c r="F1353" s="37" t="s">
        <v>139</v>
      </c>
      <c r="G1353" s="37" t="s">
        <v>198</v>
      </c>
      <c r="H1353" s="37" t="s">
        <v>172</v>
      </c>
      <c r="I1353" s="37" t="n">
        <v>63</v>
      </c>
      <c r="J1353" s="39" t="n">
        <v>942.65</v>
      </c>
      <c r="K1353" s="37" t="s">
        <v>322</v>
      </c>
      <c r="L1353" s="39" t="n">
        <v>125.74</v>
      </c>
      <c r="M1353" s="39" t="n">
        <v>88.2</v>
      </c>
      <c r="N1353" s="39" t="n">
        <f aca="false">J1353*Resumo!$C$7</f>
        <v>1.8853</v>
      </c>
      <c r="O1353" s="39" t="n">
        <f aca="false">J1353*Resumo!$C$8</f>
        <v>1.8853</v>
      </c>
      <c r="P1353" s="39" t="n">
        <f aca="false">Resumo!$C$10*CEILING(I1353/100,1)</f>
        <v>1</v>
      </c>
      <c r="Q1353" s="39" t="n">
        <f aca="false">Resumo!$C$9</f>
        <v>11.9</v>
      </c>
      <c r="R1353" s="39" t="n">
        <f aca="false">SUM(M1353:Q1353)*Resumo!$C$11</f>
        <v>5.767883</v>
      </c>
      <c r="S1353" s="39" t="n">
        <f aca="false">SUM(M1353:R1353)</f>
        <v>110.638483</v>
      </c>
      <c r="T1353" s="39" t="n">
        <f aca="false">S1353/(1-Resumo!$C$5)</f>
        <v>125.725548863636</v>
      </c>
      <c r="U1353" s="39" t="n">
        <v>131.02</v>
      </c>
      <c r="V1353" s="39" t="n">
        <f aca="false">J1353*Resumo!$B$6</f>
        <v>0.94265</v>
      </c>
      <c r="W1353" s="39" t="n">
        <f aca="false">J1353*Resumo!$B$7</f>
        <v>1.8853</v>
      </c>
      <c r="X1353" s="39" t="n">
        <f aca="false">Resumo!$B$9</f>
        <v>1</v>
      </c>
      <c r="Y1353" s="39" t="n">
        <f aca="false">Resumo!$B$10*CEILING(I1353/100,1)</f>
        <v>4.5</v>
      </c>
      <c r="Z1353" s="39" t="n">
        <f aca="false">Resumo!$B$12*CEILING(I1353,1)</f>
        <v>3.78</v>
      </c>
      <c r="AA1353" s="39" t="n">
        <f aca="false">Resumo!$B$13*CEILING(I1353,1)</f>
        <v>28.35</v>
      </c>
      <c r="AB1353" s="39" t="n">
        <f aca="false">SUM(U1353:AA1353)</f>
        <v>171.47795</v>
      </c>
      <c r="AC1353" s="39" t="n">
        <f aca="false">AB1353/(1-Resumo!$B$5)</f>
        <v>194.861306818182</v>
      </c>
      <c r="AD1353" s="39" t="n">
        <f aca="false">(AB1353-AA1353)/(1-Resumo!$B$5)</f>
        <v>162.645397727273</v>
      </c>
      <c r="AE1353" s="39" t="n">
        <f aca="false">AC1353-T1353</f>
        <v>69.1357579545455</v>
      </c>
      <c r="AF1353" s="40" t="n">
        <f aca="false">AC1353/T1353-1</f>
        <v>0.549894262378851</v>
      </c>
      <c r="AG1353" s="37" t="str">
        <f aca="false">IF(AC1353&lt;T1353,"SIM","NÃO")</f>
        <v>NÃO</v>
      </c>
      <c r="AH1353" s="37" t="n">
        <v>8</v>
      </c>
      <c r="AI1353" s="37" t="n">
        <v>5</v>
      </c>
      <c r="AJ1353" s="37" t="s">
        <v>323</v>
      </c>
    </row>
    <row r="1354" customFormat="false" ht="15" hidden="false" customHeight="false" outlineLevel="0" collapsed="false">
      <c r="A1354" s="37" t="n">
        <v>381030290</v>
      </c>
      <c r="B1354" s="38" t="n">
        <v>46256.9718634259</v>
      </c>
      <c r="C1354" s="37" t="s">
        <v>320</v>
      </c>
      <c r="D1354" s="37" t="s">
        <v>1581</v>
      </c>
      <c r="E1354" s="37" t="n">
        <v>25086390</v>
      </c>
      <c r="F1354" s="37" t="s">
        <v>141</v>
      </c>
      <c r="G1354" s="37" t="s">
        <v>207</v>
      </c>
      <c r="H1354" s="37" t="s">
        <v>172</v>
      </c>
      <c r="I1354" s="37" t="n">
        <v>66.8</v>
      </c>
      <c r="J1354" s="39" t="n">
        <v>699.99</v>
      </c>
      <c r="K1354" s="37" t="s">
        <v>322</v>
      </c>
      <c r="L1354" s="39" t="n">
        <v>139.78</v>
      </c>
      <c r="M1354" s="39" t="n">
        <v>100.9</v>
      </c>
      <c r="N1354" s="39" t="n">
        <f aca="false">J1354*Resumo!$C$7</f>
        <v>1.39998</v>
      </c>
      <c r="O1354" s="39" t="n">
        <f aca="false">J1354*Resumo!$C$8</f>
        <v>1.39998</v>
      </c>
      <c r="P1354" s="39" t="n">
        <f aca="false">Resumo!$C$10*CEILING(I1354/100,1)</f>
        <v>1</v>
      </c>
      <c r="Q1354" s="39" t="n">
        <f aca="false">Resumo!$C$9</f>
        <v>11.9</v>
      </c>
      <c r="R1354" s="39" t="n">
        <f aca="false">SUM(M1354:Q1354)*Resumo!$C$11</f>
        <v>6.4129978</v>
      </c>
      <c r="S1354" s="39" t="n">
        <f aca="false">SUM(M1354:R1354)</f>
        <v>123.0129578</v>
      </c>
      <c r="T1354" s="39" t="n">
        <f aca="false">S1354/(1-Resumo!$C$5)</f>
        <v>139.787452045455</v>
      </c>
      <c r="U1354" s="39" t="n">
        <v>131.02</v>
      </c>
      <c r="V1354" s="39" t="n">
        <f aca="false">J1354*Resumo!$B$6</f>
        <v>0.69999</v>
      </c>
      <c r="W1354" s="39" t="n">
        <f aca="false">J1354*Resumo!$B$7</f>
        <v>1.39998</v>
      </c>
      <c r="X1354" s="39" t="n">
        <f aca="false">Resumo!$B$9</f>
        <v>1</v>
      </c>
      <c r="Y1354" s="39" t="n">
        <f aca="false">Resumo!$B$10*CEILING(I1354/100,1)</f>
        <v>4.5</v>
      </c>
      <c r="Z1354" s="39" t="n">
        <f aca="false">Resumo!$B$12*CEILING(I1354,1)</f>
        <v>4.02</v>
      </c>
      <c r="AA1354" s="39" t="n">
        <f aca="false">Resumo!$B$13*CEILING(I1354,1)</f>
        <v>30.15</v>
      </c>
      <c r="AB1354" s="39" t="n">
        <f aca="false">SUM(U1354:AA1354)</f>
        <v>172.78997</v>
      </c>
      <c r="AC1354" s="39" t="n">
        <f aca="false">AB1354/(1-Resumo!$B$5)</f>
        <v>196.352238636364</v>
      </c>
      <c r="AD1354" s="39" t="n">
        <f aca="false">(AB1354-AA1354)/(1-Resumo!$B$5)</f>
        <v>162.090875</v>
      </c>
      <c r="AE1354" s="39" t="n">
        <f aca="false">AC1354-T1354</f>
        <v>56.5647865909091</v>
      </c>
      <c r="AF1354" s="40" t="n">
        <f aca="false">AC1354/T1354-1</f>
        <v>0.404648527197677</v>
      </c>
      <c r="AG1354" s="37" t="str">
        <f aca="false">IF(AC1354&lt;T1354,"SIM","NÃO")</f>
        <v>NÃO</v>
      </c>
      <c r="AH1354" s="37" t="n">
        <v>10</v>
      </c>
      <c r="AI1354" s="37" t="n">
        <v>5</v>
      </c>
      <c r="AJ1354" s="37" t="s">
        <v>323</v>
      </c>
    </row>
    <row r="1355" customFormat="false" ht="15" hidden="false" customHeight="false" outlineLevel="0" collapsed="false">
      <c r="A1355" s="37" t="n">
        <v>381048390</v>
      </c>
      <c r="B1355" s="38" t="n">
        <v>46257.0012037037</v>
      </c>
      <c r="C1355" s="37" t="s">
        <v>320</v>
      </c>
      <c r="D1355" s="37" t="s">
        <v>1582</v>
      </c>
      <c r="E1355" s="37" t="n">
        <v>22270016</v>
      </c>
      <c r="F1355" s="37" t="s">
        <v>139</v>
      </c>
      <c r="G1355" s="37" t="s">
        <v>198</v>
      </c>
      <c r="H1355" s="37" t="s">
        <v>170</v>
      </c>
      <c r="I1355" s="37" t="n">
        <v>48</v>
      </c>
      <c r="J1355" s="39" t="n">
        <v>899.99</v>
      </c>
      <c r="K1355" s="37" t="s">
        <v>322</v>
      </c>
      <c r="L1355" s="39" t="n">
        <v>104.9</v>
      </c>
      <c r="M1355" s="39" t="n">
        <v>71</v>
      </c>
      <c r="N1355" s="39" t="n">
        <f aca="false">J1355*Resumo!$C$7</f>
        <v>1.79998</v>
      </c>
      <c r="O1355" s="39" t="n">
        <f aca="false">J1355*Resumo!$C$8</f>
        <v>1.79998</v>
      </c>
      <c r="P1355" s="39" t="n">
        <f aca="false">Resumo!$C$10*CEILING(I1355/100,1)</f>
        <v>1</v>
      </c>
      <c r="Q1355" s="39" t="n">
        <f aca="false">Resumo!$C$9</f>
        <v>11.9</v>
      </c>
      <c r="R1355" s="39" t="n">
        <f aca="false">SUM(M1355:Q1355)*Resumo!$C$11</f>
        <v>4.8124978</v>
      </c>
      <c r="S1355" s="39" t="n">
        <f aca="false">SUM(M1355:R1355)</f>
        <v>92.3124578</v>
      </c>
      <c r="T1355" s="39" t="n">
        <f aca="false">S1355/(1-Resumo!$C$5)</f>
        <v>104.900520227273</v>
      </c>
      <c r="U1355" s="39" t="n">
        <v>93.97</v>
      </c>
      <c r="V1355" s="39" t="n">
        <f aca="false">J1355*Resumo!$B$6</f>
        <v>0.89999</v>
      </c>
      <c r="W1355" s="39" t="n">
        <f aca="false">J1355*Resumo!$B$7</f>
        <v>1.79998</v>
      </c>
      <c r="X1355" s="39" t="n">
        <f aca="false">Resumo!$B$9</f>
        <v>1</v>
      </c>
      <c r="Y1355" s="39" t="n">
        <f aca="false">Resumo!$B$10*CEILING(I1355/100,1)</f>
        <v>4.5</v>
      </c>
      <c r="Z1355" s="39" t="n">
        <f aca="false">Resumo!$B$12*CEILING(I1355,1)</f>
        <v>2.88</v>
      </c>
      <c r="AA1355" s="39" t="n">
        <f aca="false">Resumo!$B$13*CEILING(I1355,1)</f>
        <v>21.6</v>
      </c>
      <c r="AB1355" s="39" t="n">
        <f aca="false">SUM(U1355:AA1355)</f>
        <v>126.64997</v>
      </c>
      <c r="AC1355" s="39" t="n">
        <f aca="false">AB1355/(1-Resumo!$B$5)</f>
        <v>143.920420454545</v>
      </c>
      <c r="AD1355" s="39" t="n">
        <f aca="false">(AB1355-AA1355)/(1-Resumo!$B$5)</f>
        <v>119.374965909091</v>
      </c>
      <c r="AE1355" s="39" t="n">
        <f aca="false">AC1355-T1355</f>
        <v>39.0199002272727</v>
      </c>
      <c r="AF1355" s="40" t="n">
        <f aca="false">AC1355/T1355-1</f>
        <v>0.371970512088348</v>
      </c>
      <c r="AG1355" s="37" t="str">
        <f aca="false">IF(AC1355&lt;T1355,"SIM","NÃO")</f>
        <v>NÃO</v>
      </c>
      <c r="AH1355" s="37" t="n">
        <v>8</v>
      </c>
      <c r="AI1355" s="37" t="n">
        <v>5</v>
      </c>
      <c r="AJ1355" s="37" t="s">
        <v>323</v>
      </c>
    </row>
    <row r="1356" customFormat="false" ht="15" hidden="false" customHeight="false" outlineLevel="0" collapsed="false">
      <c r="A1356" s="37" t="n">
        <v>381178984</v>
      </c>
      <c r="B1356" s="38" t="n">
        <v>46257.1960763889</v>
      </c>
      <c r="C1356" s="37" t="s">
        <v>325</v>
      </c>
      <c r="D1356" s="37" t="s">
        <v>1583</v>
      </c>
      <c r="E1356" s="37" t="n">
        <v>23025034</v>
      </c>
      <c r="F1356" s="37" t="s">
        <v>139</v>
      </c>
      <c r="G1356" s="37" t="s">
        <v>198</v>
      </c>
      <c r="H1356" s="37" t="s">
        <v>170</v>
      </c>
      <c r="I1356" s="37" t="n">
        <v>41.4</v>
      </c>
      <c r="J1356" s="39" t="n">
        <v>387</v>
      </c>
      <c r="K1356" s="37" t="s">
        <v>322</v>
      </c>
      <c r="L1356" s="39" t="n">
        <v>102.43</v>
      </c>
      <c r="M1356" s="39" t="n">
        <v>71</v>
      </c>
      <c r="N1356" s="39" t="n">
        <f aca="false">J1356*Resumo!$C$7</f>
        <v>0.774</v>
      </c>
      <c r="O1356" s="39" t="n">
        <f aca="false">J1356*Resumo!$C$8</f>
        <v>0.774</v>
      </c>
      <c r="P1356" s="39" t="n">
        <f aca="false">Resumo!$C$10*CEILING(I1356/100,1)</f>
        <v>1</v>
      </c>
      <c r="Q1356" s="39" t="n">
        <f aca="false">Resumo!$C$9</f>
        <v>11.9</v>
      </c>
      <c r="R1356" s="39" t="n">
        <f aca="false">SUM(M1356:Q1356)*Resumo!$C$11</f>
        <v>4.69964</v>
      </c>
      <c r="S1356" s="39" t="n">
        <f aca="false">SUM(M1356:R1356)</f>
        <v>90.14764</v>
      </c>
      <c r="T1356" s="39" t="n">
        <f aca="false">S1356/(1-Resumo!$C$5)</f>
        <v>102.4405</v>
      </c>
      <c r="U1356" s="39" t="n">
        <v>93.97</v>
      </c>
      <c r="V1356" s="39" t="n">
        <f aca="false">J1356*Resumo!$B$6</f>
        <v>0.387</v>
      </c>
      <c r="W1356" s="39" t="n">
        <f aca="false">J1356*Resumo!$B$7</f>
        <v>0.774</v>
      </c>
      <c r="X1356" s="39" t="n">
        <f aca="false">Resumo!$B$9</f>
        <v>1</v>
      </c>
      <c r="Y1356" s="39" t="n">
        <f aca="false">Resumo!$B$10*CEILING(I1356/100,1)</f>
        <v>4.5</v>
      </c>
      <c r="Z1356" s="39" t="n">
        <f aca="false">Resumo!$B$12*CEILING(I1356,1)</f>
        <v>2.52</v>
      </c>
      <c r="AA1356" s="39" t="n">
        <f aca="false">Resumo!$B$13*CEILING(I1356,1)</f>
        <v>18.9</v>
      </c>
      <c r="AB1356" s="39" t="n">
        <f aca="false">SUM(U1356:AA1356)</f>
        <v>122.051</v>
      </c>
      <c r="AC1356" s="39" t="n">
        <f aca="false">AB1356/(1-Resumo!$B$5)</f>
        <v>138.694318181818</v>
      </c>
      <c r="AD1356" s="39" t="n">
        <f aca="false">(AB1356-AA1356)/(1-Resumo!$B$5)</f>
        <v>117.217045454545</v>
      </c>
      <c r="AE1356" s="39" t="n">
        <f aca="false">AC1356-T1356</f>
        <v>36.2538181818182</v>
      </c>
      <c r="AF1356" s="40" t="n">
        <f aca="false">AC1356/T1356-1</f>
        <v>0.353901222483472</v>
      </c>
      <c r="AG1356" s="37" t="str">
        <f aca="false">IF(AC1356&lt;T1356,"SIM","NÃO")</f>
        <v>NÃO</v>
      </c>
      <c r="AH1356" s="37" t="n">
        <v>8</v>
      </c>
      <c r="AI1356" s="37" t="n">
        <v>5</v>
      </c>
      <c r="AJ1356" s="37" t="s">
        <v>323</v>
      </c>
    </row>
    <row r="1357" customFormat="false" ht="15" hidden="false" customHeight="false" outlineLevel="0" collapsed="false">
      <c r="A1357" s="37" t="n">
        <v>381232733</v>
      </c>
      <c r="B1357" s="38" t="n">
        <v>46257.3109837963</v>
      </c>
      <c r="C1357" s="37" t="s">
        <v>320</v>
      </c>
      <c r="D1357" s="37" t="s">
        <v>1584</v>
      </c>
      <c r="E1357" s="37" t="n">
        <v>25261100</v>
      </c>
      <c r="F1357" s="37" t="s">
        <v>141</v>
      </c>
      <c r="G1357" s="37" t="s">
        <v>207</v>
      </c>
      <c r="H1357" s="37" t="s">
        <v>168</v>
      </c>
      <c r="I1357" s="37" t="n">
        <v>31.5</v>
      </c>
      <c r="J1357" s="39" t="n">
        <v>429.99</v>
      </c>
      <c r="K1357" s="37" t="s">
        <v>322</v>
      </c>
      <c r="L1357" s="39" t="n">
        <v>101.44</v>
      </c>
      <c r="M1357" s="39" t="n">
        <v>70</v>
      </c>
      <c r="N1357" s="39" t="n">
        <f aca="false">J1357*Resumo!$C$7</f>
        <v>0.85998</v>
      </c>
      <c r="O1357" s="39" t="n">
        <f aca="false">J1357*Resumo!$C$8</f>
        <v>0.85998</v>
      </c>
      <c r="P1357" s="39" t="n">
        <f aca="false">Resumo!$C$10*CEILING(I1357/100,1)</f>
        <v>1</v>
      </c>
      <c r="Q1357" s="39" t="n">
        <f aca="false">Resumo!$C$9</f>
        <v>11.9</v>
      </c>
      <c r="R1357" s="39" t="n">
        <f aca="false">SUM(M1357:Q1357)*Resumo!$C$11</f>
        <v>4.6540978</v>
      </c>
      <c r="S1357" s="39" t="n">
        <f aca="false">SUM(M1357:R1357)</f>
        <v>89.2740578</v>
      </c>
      <c r="T1357" s="39" t="n">
        <f aca="false">S1357/(1-Resumo!$C$5)</f>
        <v>101.447792954545</v>
      </c>
      <c r="U1357" s="39" t="n">
        <v>82.21</v>
      </c>
      <c r="V1357" s="39" t="n">
        <f aca="false">J1357*Resumo!$B$6</f>
        <v>0.42999</v>
      </c>
      <c r="W1357" s="39" t="n">
        <f aca="false">J1357*Resumo!$B$7</f>
        <v>0.85998</v>
      </c>
      <c r="X1357" s="39" t="n">
        <f aca="false">Resumo!$B$9</f>
        <v>1</v>
      </c>
      <c r="Y1357" s="39" t="n">
        <f aca="false">Resumo!$B$10*CEILING(I1357/100,1)</f>
        <v>4.5</v>
      </c>
      <c r="Z1357" s="39" t="n">
        <f aca="false">Resumo!$B$12*CEILING(I1357,1)</f>
        <v>1.92</v>
      </c>
      <c r="AA1357" s="39" t="n">
        <f aca="false">Resumo!$B$13*CEILING(I1357,1)</f>
        <v>14.4</v>
      </c>
      <c r="AB1357" s="39" t="n">
        <f aca="false">SUM(U1357:AA1357)</f>
        <v>105.31997</v>
      </c>
      <c r="AC1357" s="39" t="n">
        <f aca="false">AB1357/(1-Resumo!$B$5)</f>
        <v>119.681784090909</v>
      </c>
      <c r="AD1357" s="39" t="n">
        <f aca="false">(AB1357-AA1357)/(1-Resumo!$B$5)</f>
        <v>103.318147727273</v>
      </c>
      <c r="AE1357" s="39" t="n">
        <f aca="false">AC1357-T1357</f>
        <v>18.2339911363636</v>
      </c>
      <c r="AF1357" s="40" t="n">
        <f aca="false">AC1357/T1357-1</f>
        <v>0.179737681868875</v>
      </c>
      <c r="AG1357" s="37" t="str">
        <f aca="false">IF(AC1357&lt;T1357,"SIM","NÃO")</f>
        <v>NÃO</v>
      </c>
      <c r="AH1357" s="37" t="n">
        <v>10</v>
      </c>
      <c r="AI1357" s="37" t="n">
        <v>5</v>
      </c>
      <c r="AJ1357" s="37" t="s">
        <v>323</v>
      </c>
    </row>
    <row r="1358" customFormat="false" ht="15" hidden="false" customHeight="false" outlineLevel="0" collapsed="false">
      <c r="A1358" s="37" t="n">
        <v>381234748</v>
      </c>
      <c r="B1358" s="38" t="n">
        <v>46257.3203356482</v>
      </c>
      <c r="C1358" s="37" t="s">
        <v>320</v>
      </c>
      <c r="D1358" s="37" t="s">
        <v>1585</v>
      </c>
      <c r="E1358" s="37" t="n">
        <v>23068320</v>
      </c>
      <c r="F1358" s="37" t="s">
        <v>139</v>
      </c>
      <c r="G1358" s="37" t="s">
        <v>198</v>
      </c>
      <c r="H1358" s="37" t="s">
        <v>167</v>
      </c>
      <c r="I1358" s="37" t="n">
        <v>19.5</v>
      </c>
      <c r="J1358" s="39" t="n">
        <v>348.32</v>
      </c>
      <c r="K1358" s="37" t="s">
        <v>365</v>
      </c>
      <c r="L1358" s="39" t="n">
        <v>70.42</v>
      </c>
      <c r="M1358" s="39" t="n">
        <v>39.83</v>
      </c>
      <c r="N1358" s="39" t="n">
        <f aca="false">J1358*Resumo!$C$7</f>
        <v>0.69664</v>
      </c>
      <c r="O1358" s="39" t="n">
        <f aca="false">J1358*Resumo!$C$8</f>
        <v>0.69664</v>
      </c>
      <c r="P1358" s="39" t="n">
        <f aca="false">Resumo!$C$10*CEILING(I1358/100,1)</f>
        <v>1</v>
      </c>
      <c r="Q1358" s="39" t="n">
        <f aca="false">Resumo!$C$9</f>
        <v>11.9</v>
      </c>
      <c r="R1358" s="39" t="n">
        <f aca="false">SUM(M1358:Q1358)*Resumo!$C$11</f>
        <v>2.9767804</v>
      </c>
      <c r="S1358" s="39" t="n">
        <f aca="false">SUM(M1358:R1358)</f>
        <v>57.1000604</v>
      </c>
      <c r="T1358" s="39" t="n">
        <f aca="false">S1358/(1-Resumo!$C$5)</f>
        <v>64.8864322727273</v>
      </c>
      <c r="U1358" s="39" t="n">
        <v>46.98</v>
      </c>
      <c r="V1358" s="39" t="n">
        <f aca="false">J1358*Resumo!$B$6</f>
        <v>0.34832</v>
      </c>
      <c r="W1358" s="39" t="n">
        <f aca="false">J1358*Resumo!$B$7</f>
        <v>0.69664</v>
      </c>
      <c r="X1358" s="39" t="n">
        <f aca="false">Resumo!$B$9</f>
        <v>1</v>
      </c>
      <c r="Y1358" s="39" t="n">
        <f aca="false">Resumo!$B$10*CEILING(I1358/100,1)</f>
        <v>4.5</v>
      </c>
      <c r="Z1358" s="39" t="n">
        <f aca="false">Resumo!$B$12*CEILING(I1358,1)</f>
        <v>1.2</v>
      </c>
      <c r="AA1358" s="39" t="n">
        <f aca="false">Resumo!$B$13*CEILING(I1358,1)</f>
        <v>9</v>
      </c>
      <c r="AB1358" s="39" t="n">
        <f aca="false">SUM(U1358:AA1358)</f>
        <v>63.72496</v>
      </c>
      <c r="AC1358" s="39" t="n">
        <f aca="false">AB1358/(1-Resumo!$B$5)</f>
        <v>72.4147272727273</v>
      </c>
      <c r="AD1358" s="39" t="n">
        <f aca="false">(AB1358-AA1358)/(1-Resumo!$B$5)</f>
        <v>62.1874545454545</v>
      </c>
      <c r="AE1358" s="39" t="n">
        <f aca="false">AC1358-T1358</f>
        <v>7.52829499999999</v>
      </c>
      <c r="AF1358" s="40" t="n">
        <f aca="false">AC1358/T1358-1</f>
        <v>0.116022637342079</v>
      </c>
      <c r="AG1358" s="37" t="str">
        <f aca="false">IF(AC1358&lt;T1358,"SIM","NÃO")</f>
        <v>NÃO</v>
      </c>
      <c r="AH1358" s="37" t="n">
        <v>8</v>
      </c>
      <c r="AI1358" s="37" t="n">
        <v>5</v>
      </c>
      <c r="AJ1358" s="37" t="s">
        <v>323</v>
      </c>
    </row>
    <row r="1359" customFormat="false" ht="15" hidden="false" customHeight="false" outlineLevel="0" collapsed="false">
      <c r="A1359" s="37" t="n">
        <v>381239839</v>
      </c>
      <c r="B1359" s="38" t="n">
        <v>46257.3430208333</v>
      </c>
      <c r="C1359" s="37" t="s">
        <v>325</v>
      </c>
      <c r="D1359" s="37" t="s">
        <v>1586</v>
      </c>
      <c r="E1359" s="37" t="n">
        <v>24851564</v>
      </c>
      <c r="F1359" s="37" t="s">
        <v>154</v>
      </c>
      <c r="G1359" s="37" t="s">
        <v>201</v>
      </c>
      <c r="H1359" s="37" t="s">
        <v>172</v>
      </c>
      <c r="I1359" s="37" t="n">
        <v>63</v>
      </c>
      <c r="J1359" s="39" t="n">
        <v>942.65</v>
      </c>
      <c r="K1359" s="37" t="s">
        <v>322</v>
      </c>
      <c r="L1359" s="39" t="n">
        <v>156.55</v>
      </c>
      <c r="M1359" s="39" t="n">
        <v>113.9</v>
      </c>
      <c r="N1359" s="39" t="n">
        <f aca="false">J1359*Resumo!$C$7</f>
        <v>1.8853</v>
      </c>
      <c r="O1359" s="39" t="n">
        <f aca="false">J1359*Resumo!$C$8</f>
        <v>1.8853</v>
      </c>
      <c r="P1359" s="39" t="n">
        <f aca="false">Resumo!$C$10*CEILING(I1359/100,1)</f>
        <v>1</v>
      </c>
      <c r="Q1359" s="39" t="n">
        <f aca="false">Resumo!$C$9</f>
        <v>11.9</v>
      </c>
      <c r="R1359" s="39" t="n">
        <f aca="false">SUM(M1359:Q1359)*Resumo!$C$11</f>
        <v>7.181383</v>
      </c>
      <c r="S1359" s="39" t="n">
        <f aca="false">SUM(M1359:R1359)</f>
        <v>137.751983</v>
      </c>
      <c r="T1359" s="39" t="n">
        <f aca="false">S1359/(1-Resumo!$C$5)</f>
        <v>156.536344318182</v>
      </c>
      <c r="U1359" s="39" t="n">
        <v>149.5</v>
      </c>
      <c r="V1359" s="39" t="n">
        <f aca="false">J1359*Resumo!$B$6</f>
        <v>0.94265</v>
      </c>
      <c r="W1359" s="39" t="n">
        <f aca="false">J1359*Resumo!$B$7</f>
        <v>1.8853</v>
      </c>
      <c r="X1359" s="39" t="n">
        <f aca="false">Resumo!$B$9</f>
        <v>1</v>
      </c>
      <c r="Y1359" s="39" t="n">
        <f aca="false">Resumo!$B$10*CEILING(I1359/100,1)</f>
        <v>4.5</v>
      </c>
      <c r="Z1359" s="39" t="n">
        <f aca="false">Resumo!$B$12*CEILING(I1359,1)</f>
        <v>3.78</v>
      </c>
      <c r="AA1359" s="39" t="n">
        <f aca="false">Resumo!$B$13*CEILING(I1359,1)</f>
        <v>28.35</v>
      </c>
      <c r="AB1359" s="39" t="n">
        <f aca="false">SUM(U1359:AA1359)</f>
        <v>189.95795</v>
      </c>
      <c r="AC1359" s="39" t="n">
        <f aca="false">AB1359/(1-Resumo!$B$5)</f>
        <v>215.861306818182</v>
      </c>
      <c r="AD1359" s="39" t="n">
        <f aca="false">(AB1359-AA1359)/(1-Resumo!$B$5)</f>
        <v>183.645397727273</v>
      </c>
      <c r="AE1359" s="39" t="n">
        <f aca="false">AC1359-T1359</f>
        <v>59.3249624999999</v>
      </c>
      <c r="AF1359" s="40" t="n">
        <f aca="false">AC1359/T1359-1</f>
        <v>0.378985230288844</v>
      </c>
      <c r="AG1359" s="37" t="str">
        <f aca="false">IF(AC1359&lt;T1359,"SIM","NÃO")</f>
        <v>NÃO</v>
      </c>
      <c r="AH1359" s="37" t="n">
        <v>13</v>
      </c>
      <c r="AI1359" s="37" t="n">
        <v>7</v>
      </c>
      <c r="AJ1359" s="37" t="s">
        <v>323</v>
      </c>
    </row>
    <row r="1360" customFormat="false" ht="15" hidden="false" customHeight="false" outlineLevel="0" collapsed="false">
      <c r="A1360" s="37" t="n">
        <v>381273576</v>
      </c>
      <c r="B1360" s="38" t="n">
        <v>46257.391099537</v>
      </c>
      <c r="C1360" s="37" t="s">
        <v>320</v>
      </c>
      <c r="D1360" s="37" t="s">
        <v>1587</v>
      </c>
      <c r="E1360" s="37" t="n">
        <v>22763153</v>
      </c>
      <c r="F1360" s="37" t="s">
        <v>139</v>
      </c>
      <c r="G1360" s="37" t="s">
        <v>198</v>
      </c>
      <c r="H1360" s="37" t="s">
        <v>170</v>
      </c>
      <c r="I1360" s="37" t="n">
        <v>41.4</v>
      </c>
      <c r="J1360" s="39" t="n">
        <v>449.99</v>
      </c>
      <c r="K1360" s="37" t="s">
        <v>322</v>
      </c>
      <c r="L1360" s="39" t="n">
        <v>102.74</v>
      </c>
      <c r="M1360" s="39" t="n">
        <v>71</v>
      </c>
      <c r="N1360" s="39" t="n">
        <f aca="false">J1360*Resumo!$C$7</f>
        <v>0.89998</v>
      </c>
      <c r="O1360" s="39" t="n">
        <f aca="false">J1360*Resumo!$C$8</f>
        <v>0.89998</v>
      </c>
      <c r="P1360" s="39" t="n">
        <f aca="false">Resumo!$C$10*CEILING(I1360/100,1)</f>
        <v>1</v>
      </c>
      <c r="Q1360" s="39" t="n">
        <f aca="false">Resumo!$C$9</f>
        <v>11.9</v>
      </c>
      <c r="R1360" s="39" t="n">
        <f aca="false">SUM(M1360:Q1360)*Resumo!$C$11</f>
        <v>4.7134978</v>
      </c>
      <c r="S1360" s="39" t="n">
        <f aca="false">SUM(M1360:R1360)</f>
        <v>90.4134578</v>
      </c>
      <c r="T1360" s="39" t="n">
        <f aca="false">S1360/(1-Resumo!$C$5)</f>
        <v>102.742565681818</v>
      </c>
      <c r="U1360" s="39" t="n">
        <v>93.97</v>
      </c>
      <c r="V1360" s="39" t="n">
        <f aca="false">J1360*Resumo!$B$6</f>
        <v>0.44999</v>
      </c>
      <c r="W1360" s="39" t="n">
        <f aca="false">J1360*Resumo!$B$7</f>
        <v>0.89998</v>
      </c>
      <c r="X1360" s="39" t="n">
        <f aca="false">Resumo!$B$9</f>
        <v>1</v>
      </c>
      <c r="Y1360" s="39" t="n">
        <f aca="false">Resumo!$B$10*CEILING(I1360/100,1)</f>
        <v>4.5</v>
      </c>
      <c r="Z1360" s="39" t="n">
        <f aca="false">Resumo!$B$12*CEILING(I1360,1)</f>
        <v>2.52</v>
      </c>
      <c r="AA1360" s="39" t="n">
        <f aca="false">Resumo!$B$13*CEILING(I1360,1)</f>
        <v>18.9</v>
      </c>
      <c r="AB1360" s="39" t="n">
        <f aca="false">SUM(U1360:AA1360)</f>
        <v>122.23997</v>
      </c>
      <c r="AC1360" s="39" t="n">
        <f aca="false">AB1360/(1-Resumo!$B$5)</f>
        <v>138.909056818182</v>
      </c>
      <c r="AD1360" s="39" t="n">
        <f aca="false">(AB1360-AA1360)/(1-Resumo!$B$5)</f>
        <v>117.431784090909</v>
      </c>
      <c r="AE1360" s="39" t="n">
        <f aca="false">AC1360-T1360</f>
        <v>36.1664911363636</v>
      </c>
      <c r="AF1360" s="40" t="n">
        <f aca="false">AC1360/T1360-1</f>
        <v>0.352010784394533</v>
      </c>
      <c r="AG1360" s="37" t="str">
        <f aca="false">IF(AC1360&lt;T1360,"SIM","NÃO")</f>
        <v>NÃO</v>
      </c>
      <c r="AH1360" s="37" t="n">
        <v>8</v>
      </c>
      <c r="AI1360" s="37" t="n">
        <v>5</v>
      </c>
      <c r="AJ1360" s="37" t="s">
        <v>323</v>
      </c>
    </row>
    <row r="1361" customFormat="false" ht="15" hidden="false" customHeight="false" outlineLevel="0" collapsed="false">
      <c r="A1361" s="37" t="n">
        <v>381396282</v>
      </c>
      <c r="B1361" s="38" t="n">
        <v>46257.4339583333</v>
      </c>
      <c r="C1361" s="37" t="s">
        <v>325</v>
      </c>
      <c r="D1361" s="37" t="s">
        <v>1588</v>
      </c>
      <c r="E1361" s="37" t="n">
        <v>23036053</v>
      </c>
      <c r="F1361" s="37" t="s">
        <v>139</v>
      </c>
      <c r="G1361" s="37" t="s">
        <v>198</v>
      </c>
      <c r="H1361" s="37" t="s">
        <v>175</v>
      </c>
      <c r="I1361" s="37" t="n">
        <v>100.4</v>
      </c>
      <c r="J1361" s="39" t="n">
        <v>1151.99</v>
      </c>
      <c r="K1361" s="37" t="s">
        <v>322</v>
      </c>
      <c r="L1361" s="39" t="n">
        <v>185.15</v>
      </c>
      <c r="M1361" s="39" t="n">
        <v>135.94</v>
      </c>
      <c r="N1361" s="39" t="n">
        <f aca="false">J1361*Resumo!$C$7</f>
        <v>2.30398</v>
      </c>
      <c r="O1361" s="39" t="n">
        <f aca="false">J1361*Resumo!$C$8</f>
        <v>2.30398</v>
      </c>
      <c r="P1361" s="39" t="n">
        <f aca="false">Resumo!$C$10*CEILING(I1361/100,1)</f>
        <v>2</v>
      </c>
      <c r="Q1361" s="39" t="n">
        <f aca="false">Resumo!$C$9</f>
        <v>11.9</v>
      </c>
      <c r="R1361" s="39" t="n">
        <f aca="false">SUM(M1361:Q1361)*Resumo!$C$11</f>
        <v>8.4946378</v>
      </c>
      <c r="S1361" s="39" t="n">
        <f aca="false">SUM(M1361:R1361)</f>
        <v>162.9425978</v>
      </c>
      <c r="T1361" s="39" t="n">
        <f aca="false">S1361/(1-Resumo!$C$5)</f>
        <v>185.162042954545</v>
      </c>
      <c r="U1361" s="39" t="n">
        <v>201.59</v>
      </c>
      <c r="V1361" s="39" t="n">
        <f aca="false">J1361*Resumo!$B$6</f>
        <v>1.15199</v>
      </c>
      <c r="W1361" s="39" t="n">
        <f aca="false">J1361*Resumo!$B$7</f>
        <v>2.30398</v>
      </c>
      <c r="X1361" s="39" t="n">
        <f aca="false">Resumo!$B$9</f>
        <v>1</v>
      </c>
      <c r="Y1361" s="39" t="n">
        <f aca="false">Resumo!$B$10*CEILING(I1361/100,1)</f>
        <v>9</v>
      </c>
      <c r="Z1361" s="39" t="n">
        <f aca="false">Resumo!$B$12*CEILING(I1361,1)</f>
        <v>6.06</v>
      </c>
      <c r="AA1361" s="39" t="n">
        <f aca="false">Resumo!$B$13*CEILING(I1361,1)</f>
        <v>45.45</v>
      </c>
      <c r="AB1361" s="39" t="n">
        <f aca="false">SUM(U1361:AA1361)</f>
        <v>266.55597</v>
      </c>
      <c r="AC1361" s="39" t="n">
        <f aca="false">AB1361/(1-Resumo!$B$5)</f>
        <v>302.904511363636</v>
      </c>
      <c r="AD1361" s="39" t="n">
        <f aca="false">(AB1361-AA1361)/(1-Resumo!$B$5)</f>
        <v>251.256784090909</v>
      </c>
      <c r="AE1361" s="39" t="n">
        <f aca="false">AC1361-T1361</f>
        <v>117.742468409091</v>
      </c>
      <c r="AF1361" s="40" t="n">
        <f aca="false">AC1361/T1361-1</f>
        <v>0.635888795188952</v>
      </c>
      <c r="AG1361" s="37" t="str">
        <f aca="false">IF(AC1361&lt;T1361,"SIM","NÃO")</f>
        <v>NÃO</v>
      </c>
      <c r="AH1361" s="37" t="n">
        <v>8</v>
      </c>
      <c r="AI1361" s="37" t="n">
        <v>5</v>
      </c>
      <c r="AJ1361" s="37" t="s">
        <v>323</v>
      </c>
    </row>
    <row r="1362" customFormat="false" ht="15" hidden="false" customHeight="false" outlineLevel="0" collapsed="false">
      <c r="A1362" s="37" t="n">
        <v>381324357</v>
      </c>
      <c r="B1362" s="38" t="n">
        <v>46257.4597222222</v>
      </c>
      <c r="C1362" s="37" t="s">
        <v>352</v>
      </c>
      <c r="D1362" s="37" t="s">
        <v>1589</v>
      </c>
      <c r="E1362" s="37" t="n">
        <v>24457530</v>
      </c>
      <c r="F1362" s="37" t="s">
        <v>140</v>
      </c>
      <c r="G1362" s="37" t="s">
        <v>207</v>
      </c>
      <c r="H1362" s="37" t="s">
        <v>173</v>
      </c>
      <c r="I1362" s="37" t="n">
        <v>73</v>
      </c>
      <c r="J1362" s="39" t="n">
        <v>999.99</v>
      </c>
      <c r="K1362" s="37" t="s">
        <v>322</v>
      </c>
      <c r="L1362" s="39" t="n">
        <v>152.8</v>
      </c>
      <c r="M1362" s="39" t="n">
        <v>110.55</v>
      </c>
      <c r="N1362" s="39" t="n">
        <f aca="false">J1362*Resumo!$C$7</f>
        <v>1.99998</v>
      </c>
      <c r="O1362" s="39" t="n">
        <f aca="false">J1362*Resumo!$C$8</f>
        <v>1.99998</v>
      </c>
      <c r="P1362" s="39" t="n">
        <f aca="false">Resumo!$C$10*CEILING(I1362/100,1)</f>
        <v>1</v>
      </c>
      <c r="Q1362" s="39" t="n">
        <f aca="false">Resumo!$C$9</f>
        <v>11.9</v>
      </c>
      <c r="R1362" s="39" t="n">
        <f aca="false">SUM(M1362:Q1362)*Resumo!$C$11</f>
        <v>7.0097478</v>
      </c>
      <c r="S1362" s="39" t="n">
        <f aca="false">SUM(M1362:R1362)</f>
        <v>134.4597078</v>
      </c>
      <c r="T1362" s="39" t="n">
        <f aca="false">S1362/(1-Resumo!$C$5)</f>
        <v>152.7951225</v>
      </c>
      <c r="U1362" s="39" t="n">
        <v>142.74</v>
      </c>
      <c r="V1362" s="39" t="n">
        <f aca="false">J1362*Resumo!$B$6</f>
        <v>0.99999</v>
      </c>
      <c r="W1362" s="39" t="n">
        <f aca="false">J1362*Resumo!$B$7</f>
        <v>1.99998</v>
      </c>
      <c r="X1362" s="39" t="n">
        <f aca="false">Resumo!$B$9</f>
        <v>1</v>
      </c>
      <c r="Y1362" s="39" t="n">
        <f aca="false">Resumo!$B$10*CEILING(I1362/100,1)</f>
        <v>4.5</v>
      </c>
      <c r="Z1362" s="39" t="n">
        <f aca="false">Resumo!$B$12*CEILING(I1362,1)</f>
        <v>4.38</v>
      </c>
      <c r="AA1362" s="39" t="n">
        <f aca="false">Resumo!$B$13*CEILING(I1362,1)</f>
        <v>32.85</v>
      </c>
      <c r="AB1362" s="39" t="n">
        <f aca="false">SUM(U1362:AA1362)</f>
        <v>188.46997</v>
      </c>
      <c r="AC1362" s="39" t="n">
        <f aca="false">AB1362/(1-Resumo!$B$5)</f>
        <v>214.170420454545</v>
      </c>
      <c r="AD1362" s="39" t="n">
        <f aca="false">(AB1362-AA1362)/(1-Resumo!$B$5)</f>
        <v>176.840875</v>
      </c>
      <c r="AE1362" s="39" t="n">
        <f aca="false">AC1362-T1362</f>
        <v>61.3752979545454</v>
      </c>
      <c r="AF1362" s="40" t="n">
        <f aca="false">AC1362/T1362-1</f>
        <v>0.401683620198972</v>
      </c>
      <c r="AG1362" s="37" t="str">
        <f aca="false">IF(AC1362&lt;T1362,"SIM","NÃO")</f>
        <v>NÃO</v>
      </c>
      <c r="AH1362" s="37" t="n">
        <v>10</v>
      </c>
      <c r="AI1362" s="37" t="n">
        <v>7</v>
      </c>
      <c r="AJ1362" s="37" t="s">
        <v>323</v>
      </c>
    </row>
    <row r="1363" customFormat="false" ht="15" hidden="false" customHeight="false" outlineLevel="0" collapsed="false">
      <c r="A1363" s="37" t="n">
        <v>381327904</v>
      </c>
      <c r="B1363" s="38" t="n">
        <v>46257.4608796296</v>
      </c>
      <c r="C1363" s="37" t="s">
        <v>325</v>
      </c>
      <c r="D1363" s="37" t="s">
        <v>1590</v>
      </c>
      <c r="E1363" s="37" t="n">
        <v>26087390</v>
      </c>
      <c r="F1363" s="37" t="s">
        <v>142</v>
      </c>
      <c r="G1363" s="37" t="s">
        <v>207</v>
      </c>
      <c r="H1363" s="37" t="s">
        <v>174</v>
      </c>
      <c r="I1363" s="37" t="n">
        <v>81.7</v>
      </c>
      <c r="J1363" s="39" t="n">
        <v>563</v>
      </c>
      <c r="K1363" s="37" t="s">
        <v>322</v>
      </c>
      <c r="L1363" s="39" t="n">
        <v>171.53</v>
      </c>
      <c r="M1363" s="39" t="n">
        <v>127.92</v>
      </c>
      <c r="N1363" s="39" t="n">
        <f aca="false">J1363*Resumo!$C$7</f>
        <v>1.126</v>
      </c>
      <c r="O1363" s="39" t="n">
        <f aca="false">J1363*Resumo!$C$8</f>
        <v>1.126</v>
      </c>
      <c r="P1363" s="39" t="n">
        <f aca="false">Resumo!$C$10*CEILING(I1363/100,1)</f>
        <v>1</v>
      </c>
      <c r="Q1363" s="39" t="n">
        <f aca="false">Resumo!$C$9</f>
        <v>11.9</v>
      </c>
      <c r="R1363" s="39" t="n">
        <f aca="false">SUM(M1363:Q1363)*Resumo!$C$11</f>
        <v>7.86896</v>
      </c>
      <c r="S1363" s="39" t="n">
        <f aca="false">SUM(M1363:R1363)</f>
        <v>150.94096</v>
      </c>
      <c r="T1363" s="39" t="n">
        <f aca="false">S1363/(1-Resumo!$C$5)</f>
        <v>171.523818181818</v>
      </c>
      <c r="U1363" s="39" t="n">
        <v>167.99</v>
      </c>
      <c r="V1363" s="39" t="n">
        <f aca="false">J1363*Resumo!$B$6</f>
        <v>0.563</v>
      </c>
      <c r="W1363" s="39" t="n">
        <f aca="false">J1363*Resumo!$B$7</f>
        <v>1.126</v>
      </c>
      <c r="X1363" s="39" t="n">
        <f aca="false">Resumo!$B$9</f>
        <v>1</v>
      </c>
      <c r="Y1363" s="39" t="n">
        <f aca="false">Resumo!$B$10*CEILING(I1363/100,1)</f>
        <v>4.5</v>
      </c>
      <c r="Z1363" s="39" t="n">
        <f aca="false">Resumo!$B$12*CEILING(I1363,1)</f>
        <v>4.92</v>
      </c>
      <c r="AA1363" s="39" t="n">
        <f aca="false">Resumo!$B$13*CEILING(I1363,1)</f>
        <v>36.9</v>
      </c>
      <c r="AB1363" s="39" t="n">
        <f aca="false">SUM(U1363:AA1363)</f>
        <v>216.999</v>
      </c>
      <c r="AC1363" s="39" t="n">
        <f aca="false">AB1363/(1-Resumo!$B$5)</f>
        <v>246.589772727273</v>
      </c>
      <c r="AD1363" s="39" t="n">
        <f aca="false">(AB1363-AA1363)/(1-Resumo!$B$5)</f>
        <v>204.657954545455</v>
      </c>
      <c r="AE1363" s="39" t="n">
        <f aca="false">AC1363-T1363</f>
        <v>75.0659545454546</v>
      </c>
      <c r="AF1363" s="40" t="n">
        <f aca="false">AC1363/T1363-1</f>
        <v>0.437641578535078</v>
      </c>
      <c r="AG1363" s="37" t="str">
        <f aca="false">IF(AC1363&lt;T1363,"SIM","NÃO")</f>
        <v>NÃO</v>
      </c>
      <c r="AH1363" s="37" t="n">
        <v>10</v>
      </c>
      <c r="AI1363" s="37" t="n">
        <v>5</v>
      </c>
      <c r="AJ1363" s="37" t="s">
        <v>323</v>
      </c>
    </row>
    <row r="1364" customFormat="false" ht="15" hidden="false" customHeight="false" outlineLevel="0" collapsed="false">
      <c r="A1364" s="37" t="n">
        <v>381336046</v>
      </c>
      <c r="B1364" s="38" t="n">
        <v>46257.4736226852</v>
      </c>
      <c r="C1364" s="37" t="s">
        <v>320</v>
      </c>
      <c r="D1364" s="37" t="s">
        <v>1591</v>
      </c>
      <c r="E1364" s="37" t="n">
        <v>26553161</v>
      </c>
      <c r="F1364" s="37" t="s">
        <v>155</v>
      </c>
      <c r="G1364" s="37" t="s">
        <v>207</v>
      </c>
      <c r="H1364" s="37" t="s">
        <v>168</v>
      </c>
      <c r="I1364" s="37" t="n">
        <v>33</v>
      </c>
      <c r="J1364" s="39" t="n">
        <v>499.69</v>
      </c>
      <c r="K1364" s="37" t="s">
        <v>322</v>
      </c>
      <c r="L1364" s="39" t="n">
        <v>101.78</v>
      </c>
      <c r="M1364" s="39" t="n">
        <v>70</v>
      </c>
      <c r="N1364" s="39" t="n">
        <f aca="false">J1364*Resumo!$C$7</f>
        <v>0.99938</v>
      </c>
      <c r="O1364" s="39" t="n">
        <f aca="false">J1364*Resumo!$C$8</f>
        <v>0.99938</v>
      </c>
      <c r="P1364" s="39" t="n">
        <f aca="false">Resumo!$C$10*CEILING(I1364/100,1)</f>
        <v>1</v>
      </c>
      <c r="Q1364" s="39" t="n">
        <f aca="false">Resumo!$C$9</f>
        <v>11.9</v>
      </c>
      <c r="R1364" s="39" t="n">
        <f aca="false">SUM(M1364:Q1364)*Resumo!$C$11</f>
        <v>4.6694318</v>
      </c>
      <c r="S1364" s="39" t="n">
        <f aca="false">SUM(M1364:R1364)</f>
        <v>89.5681918</v>
      </c>
      <c r="T1364" s="39" t="n">
        <f aca="false">S1364/(1-Resumo!$C$5)</f>
        <v>101.782036136364</v>
      </c>
      <c r="U1364" s="39" t="n">
        <v>82.21</v>
      </c>
      <c r="V1364" s="39" t="n">
        <f aca="false">J1364*Resumo!$B$6</f>
        <v>0.49969</v>
      </c>
      <c r="W1364" s="39" t="n">
        <f aca="false">J1364*Resumo!$B$7</f>
        <v>0.99938</v>
      </c>
      <c r="X1364" s="39" t="n">
        <f aca="false">Resumo!$B$9</f>
        <v>1</v>
      </c>
      <c r="Y1364" s="39" t="n">
        <f aca="false">Resumo!$B$10*CEILING(I1364/100,1)</f>
        <v>4.5</v>
      </c>
      <c r="Z1364" s="39" t="n">
        <f aca="false">Resumo!$B$12*CEILING(I1364,1)</f>
        <v>1.98</v>
      </c>
      <c r="AA1364" s="39" t="n">
        <f aca="false">Resumo!$B$13*CEILING(I1364,1)</f>
        <v>14.85</v>
      </c>
      <c r="AB1364" s="39" t="n">
        <f aca="false">SUM(U1364:AA1364)</f>
        <v>106.03907</v>
      </c>
      <c r="AC1364" s="39" t="n">
        <f aca="false">AB1364/(1-Resumo!$B$5)</f>
        <v>120.498943181818</v>
      </c>
      <c r="AD1364" s="39" t="n">
        <f aca="false">(AB1364-AA1364)/(1-Resumo!$B$5)</f>
        <v>103.623943181818</v>
      </c>
      <c r="AE1364" s="39" t="n">
        <f aca="false">AC1364-T1364</f>
        <v>18.7169070454545</v>
      </c>
      <c r="AF1364" s="40" t="n">
        <f aca="false">AC1364/T1364-1</f>
        <v>0.183892047712411</v>
      </c>
      <c r="AG1364" s="37" t="str">
        <f aca="false">IF(AC1364&lt;T1364,"SIM","NÃO")</f>
        <v>NÃO</v>
      </c>
      <c r="AH1364" s="37" t="n">
        <v>10</v>
      </c>
      <c r="AI1364" s="37" t="n">
        <v>5</v>
      </c>
      <c r="AJ1364" s="37" t="s">
        <v>323</v>
      </c>
    </row>
    <row r="1365" customFormat="false" ht="15" hidden="false" customHeight="false" outlineLevel="0" collapsed="false">
      <c r="A1365" s="37" t="n">
        <v>381377228</v>
      </c>
      <c r="B1365" s="38" t="n">
        <v>46257.5263657407</v>
      </c>
      <c r="C1365" s="37" t="s">
        <v>320</v>
      </c>
      <c r="D1365" s="37" t="s">
        <v>1592</v>
      </c>
      <c r="E1365" s="37" t="n">
        <v>22783210</v>
      </c>
      <c r="F1365" s="37" t="s">
        <v>139</v>
      </c>
      <c r="G1365" s="37" t="s">
        <v>198</v>
      </c>
      <c r="H1365" s="37" t="s">
        <v>171</v>
      </c>
      <c r="I1365" s="37" t="n">
        <v>52.3</v>
      </c>
      <c r="J1365" s="39" t="n">
        <v>669.99</v>
      </c>
      <c r="K1365" s="37" t="s">
        <v>322</v>
      </c>
      <c r="L1365" s="39" t="n">
        <v>114.36</v>
      </c>
      <c r="M1365" s="39" t="n">
        <v>79.81</v>
      </c>
      <c r="N1365" s="39" t="n">
        <f aca="false">J1365*Resumo!$C$7</f>
        <v>1.33998</v>
      </c>
      <c r="O1365" s="39" t="n">
        <f aca="false">J1365*Resumo!$C$8</f>
        <v>1.33998</v>
      </c>
      <c r="P1365" s="39" t="n">
        <f aca="false">Resumo!$C$10*CEILING(I1365/100,1)</f>
        <v>1</v>
      </c>
      <c r="Q1365" s="39" t="n">
        <f aca="false">Resumo!$C$9</f>
        <v>11.9</v>
      </c>
      <c r="R1365" s="39" t="n">
        <f aca="false">SUM(M1365:Q1365)*Resumo!$C$11</f>
        <v>5.2464478</v>
      </c>
      <c r="S1365" s="39" t="n">
        <f aca="false">SUM(M1365:R1365)</f>
        <v>100.6364078</v>
      </c>
      <c r="T1365" s="39" t="n">
        <f aca="false">S1365/(1-Resumo!$C$5)</f>
        <v>114.359554318182</v>
      </c>
      <c r="U1365" s="39" t="n">
        <v>112.3</v>
      </c>
      <c r="V1365" s="39" t="n">
        <f aca="false">J1365*Resumo!$B$6</f>
        <v>0.66999</v>
      </c>
      <c r="W1365" s="39" t="n">
        <f aca="false">J1365*Resumo!$B$7</f>
        <v>1.33998</v>
      </c>
      <c r="X1365" s="39" t="n">
        <f aca="false">Resumo!$B$9</f>
        <v>1</v>
      </c>
      <c r="Y1365" s="39" t="n">
        <f aca="false">Resumo!$B$10*CEILING(I1365/100,1)</f>
        <v>4.5</v>
      </c>
      <c r="Z1365" s="39" t="n">
        <f aca="false">Resumo!$B$12*CEILING(I1365,1)</f>
        <v>3.18</v>
      </c>
      <c r="AA1365" s="39" t="n">
        <f aca="false">Resumo!$B$13*CEILING(I1365,1)</f>
        <v>23.85</v>
      </c>
      <c r="AB1365" s="39" t="n">
        <f aca="false">SUM(U1365:AA1365)</f>
        <v>146.83997</v>
      </c>
      <c r="AC1365" s="39" t="n">
        <f aca="false">AB1365/(1-Resumo!$B$5)</f>
        <v>166.863602272727</v>
      </c>
      <c r="AD1365" s="39" t="n">
        <f aca="false">(AB1365-AA1365)/(1-Resumo!$B$5)</f>
        <v>139.761329545455</v>
      </c>
      <c r="AE1365" s="39" t="n">
        <f aca="false">AC1365-T1365</f>
        <v>52.5040479545454</v>
      </c>
      <c r="AF1365" s="40" t="n">
        <f aca="false">AC1365/T1365-1</f>
        <v>0.459113786054673</v>
      </c>
      <c r="AG1365" s="37" t="str">
        <f aca="false">IF(AC1365&lt;T1365,"SIM","NÃO")</f>
        <v>NÃO</v>
      </c>
      <c r="AH1365" s="37" t="n">
        <v>8</v>
      </c>
      <c r="AI1365" s="37" t="n">
        <v>5</v>
      </c>
      <c r="AJ1365" s="37" t="s">
        <v>323</v>
      </c>
    </row>
    <row r="1366" customFormat="false" ht="15" hidden="false" customHeight="false" outlineLevel="0" collapsed="false">
      <c r="A1366" s="37" t="n">
        <v>381381190</v>
      </c>
      <c r="B1366" s="38" t="n">
        <v>46257.5328356482</v>
      </c>
      <c r="C1366" s="37" t="s">
        <v>325</v>
      </c>
      <c r="D1366" s="37" t="s">
        <v>1593</v>
      </c>
      <c r="E1366" s="37" t="n">
        <v>20745250</v>
      </c>
      <c r="F1366" s="37" t="s">
        <v>139</v>
      </c>
      <c r="G1366" s="37" t="s">
        <v>198</v>
      </c>
      <c r="H1366" s="37" t="s">
        <v>174</v>
      </c>
      <c r="I1366" s="37" t="n">
        <v>87</v>
      </c>
      <c r="J1366" s="39" t="n">
        <v>1188.88</v>
      </c>
      <c r="K1366" s="37" t="s">
        <v>322</v>
      </c>
      <c r="L1366" s="39" t="n">
        <v>164.8</v>
      </c>
      <c r="M1366" s="39" t="n">
        <v>119.8</v>
      </c>
      <c r="N1366" s="39" t="n">
        <f aca="false">J1366*Resumo!$C$7</f>
        <v>2.37776</v>
      </c>
      <c r="O1366" s="39" t="n">
        <f aca="false">J1366*Resumo!$C$8</f>
        <v>2.37776</v>
      </c>
      <c r="P1366" s="39" t="n">
        <f aca="false">Resumo!$C$10*CEILING(I1366/100,1)</f>
        <v>1</v>
      </c>
      <c r="Q1366" s="39" t="n">
        <f aca="false">Resumo!$C$9</f>
        <v>11.9</v>
      </c>
      <c r="R1366" s="39" t="n">
        <f aca="false">SUM(M1366:Q1366)*Resumo!$C$11</f>
        <v>7.5600536</v>
      </c>
      <c r="S1366" s="39" t="n">
        <f aca="false">SUM(M1366:R1366)</f>
        <v>145.0155736</v>
      </c>
      <c r="T1366" s="39" t="n">
        <f aca="false">S1366/(1-Resumo!$C$5)</f>
        <v>164.790424545455</v>
      </c>
      <c r="U1366" s="39" t="n">
        <v>167.99</v>
      </c>
      <c r="V1366" s="39" t="n">
        <f aca="false">J1366*Resumo!$B$6</f>
        <v>1.18888</v>
      </c>
      <c r="W1366" s="39" t="n">
        <f aca="false">J1366*Resumo!$B$7</f>
        <v>2.37776</v>
      </c>
      <c r="X1366" s="39" t="n">
        <f aca="false">Resumo!$B$9</f>
        <v>1</v>
      </c>
      <c r="Y1366" s="39" t="n">
        <f aca="false">Resumo!$B$10*CEILING(I1366/100,1)</f>
        <v>4.5</v>
      </c>
      <c r="Z1366" s="39" t="n">
        <f aca="false">Resumo!$B$12*CEILING(I1366,1)</f>
        <v>5.22</v>
      </c>
      <c r="AA1366" s="39" t="n">
        <f aca="false">Resumo!$B$13*CEILING(I1366,1)</f>
        <v>39.15</v>
      </c>
      <c r="AB1366" s="39" t="n">
        <f aca="false">SUM(U1366:AA1366)</f>
        <v>221.42664</v>
      </c>
      <c r="AC1366" s="39" t="n">
        <f aca="false">AB1366/(1-Resumo!$B$5)</f>
        <v>251.621181818182</v>
      </c>
      <c r="AD1366" s="39" t="n">
        <f aca="false">(AB1366-AA1366)/(1-Resumo!$B$5)</f>
        <v>207.132545454545</v>
      </c>
      <c r="AE1366" s="39" t="n">
        <f aca="false">AC1366-T1366</f>
        <v>86.8307572727273</v>
      </c>
      <c r="AF1366" s="40" t="n">
        <f aca="false">AC1366/T1366-1</f>
        <v>0.526916278735459</v>
      </c>
      <c r="AG1366" s="37" t="str">
        <f aca="false">IF(AC1366&lt;T1366,"SIM","NÃO")</f>
        <v>NÃO</v>
      </c>
      <c r="AH1366" s="37" t="n">
        <v>8</v>
      </c>
      <c r="AI1366" s="37" t="n">
        <v>5</v>
      </c>
      <c r="AJ1366" s="37" t="s">
        <v>323</v>
      </c>
    </row>
    <row r="1367" customFormat="false" ht="15" hidden="false" customHeight="false" outlineLevel="0" collapsed="false">
      <c r="A1367" s="37" t="n">
        <v>381384208</v>
      </c>
      <c r="B1367" s="38" t="n">
        <v>46257.5453819444</v>
      </c>
      <c r="C1367" s="37" t="s">
        <v>355</v>
      </c>
      <c r="D1367" s="37" t="s">
        <v>1594</v>
      </c>
      <c r="E1367" s="37" t="n">
        <v>20530400</v>
      </c>
      <c r="F1367" s="37" t="s">
        <v>139</v>
      </c>
      <c r="G1367" s="37" t="s">
        <v>198</v>
      </c>
      <c r="H1367" s="37" t="s">
        <v>172</v>
      </c>
      <c r="I1367" s="37" t="n">
        <v>69</v>
      </c>
      <c r="J1367" s="39" t="n">
        <v>839.99</v>
      </c>
      <c r="K1367" s="37" t="s">
        <v>322</v>
      </c>
      <c r="L1367" s="39" t="n">
        <v>125.24</v>
      </c>
      <c r="M1367" s="39" t="n">
        <v>88.2</v>
      </c>
      <c r="N1367" s="39" t="n">
        <f aca="false">J1367*Resumo!$C$7</f>
        <v>1.67998</v>
      </c>
      <c r="O1367" s="39" t="n">
        <f aca="false">J1367*Resumo!$C$8</f>
        <v>1.67998</v>
      </c>
      <c r="P1367" s="39" t="n">
        <f aca="false">Resumo!$C$10*CEILING(I1367/100,1)</f>
        <v>1</v>
      </c>
      <c r="Q1367" s="39" t="n">
        <f aca="false">Resumo!$C$9</f>
        <v>11.9</v>
      </c>
      <c r="R1367" s="39" t="n">
        <f aca="false">SUM(M1367:Q1367)*Resumo!$C$11</f>
        <v>5.7452978</v>
      </c>
      <c r="S1367" s="39" t="n">
        <f aca="false">SUM(M1367:R1367)</f>
        <v>110.2052578</v>
      </c>
      <c r="T1367" s="39" t="n">
        <f aca="false">S1367/(1-Resumo!$C$5)</f>
        <v>125.2332475</v>
      </c>
      <c r="U1367" s="39" t="n">
        <v>131.02</v>
      </c>
      <c r="V1367" s="39" t="n">
        <f aca="false">J1367*Resumo!$B$6</f>
        <v>0.83999</v>
      </c>
      <c r="W1367" s="39" t="n">
        <f aca="false">J1367*Resumo!$B$7</f>
        <v>1.67998</v>
      </c>
      <c r="X1367" s="39" t="n">
        <f aca="false">Resumo!$B$9</f>
        <v>1</v>
      </c>
      <c r="Y1367" s="39" t="n">
        <f aca="false">Resumo!$B$10*CEILING(I1367/100,1)</f>
        <v>4.5</v>
      </c>
      <c r="Z1367" s="39" t="n">
        <f aca="false">Resumo!$B$12*CEILING(I1367,1)</f>
        <v>4.14</v>
      </c>
      <c r="AA1367" s="39" t="n">
        <f aca="false">Resumo!$B$13*CEILING(I1367,1)</f>
        <v>31.05</v>
      </c>
      <c r="AB1367" s="39" t="n">
        <f aca="false">SUM(U1367:AA1367)</f>
        <v>174.22997</v>
      </c>
      <c r="AC1367" s="39" t="n">
        <f aca="false">AB1367/(1-Resumo!$B$5)</f>
        <v>197.988602272727</v>
      </c>
      <c r="AD1367" s="39" t="n">
        <f aca="false">(AB1367-AA1367)/(1-Resumo!$B$5)</f>
        <v>162.704511363636</v>
      </c>
      <c r="AE1367" s="39" t="n">
        <f aca="false">AC1367-T1367</f>
        <v>72.7553547727273</v>
      </c>
      <c r="AF1367" s="40" t="n">
        <f aca="false">AC1367/T1367-1</f>
        <v>0.580958780716177</v>
      </c>
      <c r="AG1367" s="37" t="str">
        <f aca="false">IF(AC1367&lt;T1367,"SIM","NÃO")</f>
        <v>NÃO</v>
      </c>
      <c r="AH1367" s="37" t="n">
        <v>8</v>
      </c>
      <c r="AI1367" s="37" t="n">
        <v>5</v>
      </c>
      <c r="AJ1367" s="37" t="s">
        <v>323</v>
      </c>
    </row>
    <row r="1368" customFormat="false" ht="15" hidden="false" customHeight="false" outlineLevel="0" collapsed="false">
      <c r="A1368" s="37" t="n">
        <v>381415367</v>
      </c>
      <c r="B1368" s="38" t="n">
        <v>46257.5802546296</v>
      </c>
      <c r="C1368" s="37" t="s">
        <v>320</v>
      </c>
      <c r="D1368" s="37" t="s">
        <v>1595</v>
      </c>
      <c r="E1368" s="37" t="n">
        <v>27971750</v>
      </c>
      <c r="F1368" s="37" t="s">
        <v>146</v>
      </c>
      <c r="G1368" s="37" t="s">
        <v>201</v>
      </c>
      <c r="H1368" s="37" t="s">
        <v>170</v>
      </c>
      <c r="I1368" s="37" t="n">
        <v>45</v>
      </c>
      <c r="J1368" s="39" t="n">
        <v>508.8</v>
      </c>
      <c r="K1368" s="37" t="s">
        <v>322</v>
      </c>
      <c r="L1368" s="39" t="n">
        <v>130.6</v>
      </c>
      <c r="M1368" s="39" t="n">
        <v>94</v>
      </c>
      <c r="N1368" s="39" t="n">
        <f aca="false">J1368*Resumo!$C$7</f>
        <v>1.0176</v>
      </c>
      <c r="O1368" s="39" t="n">
        <f aca="false">J1368*Resumo!$C$8</f>
        <v>1.0176</v>
      </c>
      <c r="P1368" s="39" t="n">
        <f aca="false">Resumo!$C$10*CEILING(I1368/100,1)</f>
        <v>1</v>
      </c>
      <c r="Q1368" s="39" t="n">
        <f aca="false">Resumo!$C$9</f>
        <v>11.9</v>
      </c>
      <c r="R1368" s="39" t="n">
        <f aca="false">SUM(M1368:Q1368)*Resumo!$C$11</f>
        <v>5.991436</v>
      </c>
      <c r="S1368" s="39" t="n">
        <f aca="false">SUM(M1368:R1368)</f>
        <v>114.926636</v>
      </c>
      <c r="T1368" s="39" t="n">
        <f aca="false">S1368/(1-Resumo!$C$5)</f>
        <v>130.59845</v>
      </c>
      <c r="U1368" s="39" t="n">
        <v>152.54</v>
      </c>
      <c r="V1368" s="39" t="n">
        <f aca="false">J1368*Resumo!$B$6</f>
        <v>0.5088</v>
      </c>
      <c r="W1368" s="39" t="n">
        <f aca="false">J1368*Resumo!$B$7</f>
        <v>1.0176</v>
      </c>
      <c r="X1368" s="39" t="n">
        <f aca="false">Resumo!$B$9</f>
        <v>1</v>
      </c>
      <c r="Y1368" s="39" t="n">
        <f aca="false">Resumo!$B$10*CEILING(I1368/100,1)</f>
        <v>4.5</v>
      </c>
      <c r="Z1368" s="39" t="n">
        <f aca="false">Resumo!$B$12*CEILING(I1368,1)</f>
        <v>2.7</v>
      </c>
      <c r="AA1368" s="39" t="n">
        <f aca="false">Resumo!$B$13*CEILING(I1368,1)</f>
        <v>20.25</v>
      </c>
      <c r="AB1368" s="39" t="n">
        <f aca="false">SUM(U1368:AA1368)</f>
        <v>182.5164</v>
      </c>
      <c r="AC1368" s="39" t="n">
        <f aca="false">AB1368/(1-Resumo!$B$5)</f>
        <v>207.405</v>
      </c>
      <c r="AD1368" s="39" t="n">
        <f aca="false">(AB1368-AA1368)/(1-Resumo!$B$5)</f>
        <v>184.393636363636</v>
      </c>
      <c r="AE1368" s="39" t="n">
        <f aca="false">AC1368-T1368</f>
        <v>76.80655</v>
      </c>
      <c r="AF1368" s="40" t="n">
        <f aca="false">AC1368/T1368-1</f>
        <v>0.588112263200673</v>
      </c>
      <c r="AG1368" s="37" t="str">
        <f aca="false">IF(AC1368&lt;T1368,"SIM","NÃO")</f>
        <v>NÃO</v>
      </c>
      <c r="AH1368" s="37" t="n">
        <v>13</v>
      </c>
      <c r="AI1368" s="37" t="n">
        <v>11</v>
      </c>
      <c r="AJ1368" s="37" t="s">
        <v>323</v>
      </c>
    </row>
    <row r="1369" customFormat="false" ht="15" hidden="false" customHeight="false" outlineLevel="0" collapsed="false">
      <c r="A1369" s="37" t="n">
        <v>381446740</v>
      </c>
      <c r="B1369" s="38" t="n">
        <v>46257.6167939815</v>
      </c>
      <c r="C1369" s="37" t="s">
        <v>320</v>
      </c>
      <c r="D1369" s="37" t="s">
        <v>1596</v>
      </c>
      <c r="E1369" s="37" t="n">
        <v>21910100</v>
      </c>
      <c r="F1369" s="37" t="s">
        <v>139</v>
      </c>
      <c r="G1369" s="37" t="s">
        <v>198</v>
      </c>
      <c r="H1369" s="37" t="s">
        <v>176</v>
      </c>
      <c r="I1369" s="37" t="n">
        <v>124.2</v>
      </c>
      <c r="J1369" s="39" t="n">
        <v>1649.99</v>
      </c>
      <c r="K1369" s="37" t="s">
        <v>322</v>
      </c>
      <c r="L1369" s="39" t="n">
        <v>234.19</v>
      </c>
      <c r="M1369" s="39" t="n">
        <v>174.85</v>
      </c>
      <c r="N1369" s="39" t="n">
        <f aca="false">J1369*Resumo!$C$7</f>
        <v>3.29998</v>
      </c>
      <c r="O1369" s="39" t="n">
        <f aca="false">J1369*Resumo!$C$8</f>
        <v>3.29998</v>
      </c>
      <c r="P1369" s="39" t="n">
        <f aca="false">Resumo!$C$10*CEILING(I1369/100,1)</f>
        <v>2</v>
      </c>
      <c r="Q1369" s="39" t="n">
        <f aca="false">Resumo!$C$9</f>
        <v>11.9</v>
      </c>
      <c r="R1369" s="39" t="n">
        <f aca="false">SUM(M1369:Q1369)*Resumo!$C$11</f>
        <v>10.7442478</v>
      </c>
      <c r="S1369" s="39" t="n">
        <f aca="false">SUM(M1369:R1369)</f>
        <v>206.0942078</v>
      </c>
      <c r="T1369" s="39" t="n">
        <f aca="false">S1369/(1-Resumo!$C$5)</f>
        <v>234.197963409091</v>
      </c>
      <c r="U1369" s="39" t="n">
        <v>239.25</v>
      </c>
      <c r="V1369" s="39" t="n">
        <f aca="false">J1369*Resumo!$B$6</f>
        <v>1.64999</v>
      </c>
      <c r="W1369" s="39" t="n">
        <f aca="false">J1369*Resumo!$B$7</f>
        <v>3.29998</v>
      </c>
      <c r="X1369" s="39" t="n">
        <f aca="false">Resumo!$B$9</f>
        <v>1</v>
      </c>
      <c r="Y1369" s="39" t="n">
        <f aca="false">Resumo!$B$10*CEILING(I1369/100,1)</f>
        <v>9</v>
      </c>
      <c r="Z1369" s="39" t="n">
        <f aca="false">Resumo!$B$12*CEILING(I1369,1)</f>
        <v>7.5</v>
      </c>
      <c r="AA1369" s="39" t="n">
        <f aca="false">Resumo!$B$13*CEILING(I1369,1)</f>
        <v>56.25</v>
      </c>
      <c r="AB1369" s="39" t="n">
        <f aca="false">SUM(U1369:AA1369)</f>
        <v>317.94997</v>
      </c>
      <c r="AC1369" s="39" t="n">
        <f aca="false">AB1369/(1-Resumo!$B$5)</f>
        <v>361.306784090909</v>
      </c>
      <c r="AD1369" s="39" t="n">
        <f aca="false">(AB1369-AA1369)/(1-Resumo!$B$5)</f>
        <v>297.386329545455</v>
      </c>
      <c r="AE1369" s="39" t="n">
        <f aca="false">AC1369-T1369</f>
        <v>127.108820681818</v>
      </c>
      <c r="AF1369" s="40" t="n">
        <f aca="false">AC1369/T1369-1</f>
        <v>0.542740930926832</v>
      </c>
      <c r="AG1369" s="37" t="str">
        <f aca="false">IF(AC1369&lt;T1369,"SIM","NÃO")</f>
        <v>NÃO</v>
      </c>
      <c r="AH1369" s="37" t="n">
        <v>8</v>
      </c>
      <c r="AI1369" s="37" t="n">
        <v>5</v>
      </c>
      <c r="AJ1369" s="37" t="s">
        <v>323</v>
      </c>
    </row>
    <row r="1370" customFormat="false" ht="15" hidden="false" customHeight="false" outlineLevel="0" collapsed="false">
      <c r="A1370" s="37" t="n">
        <v>381457314</v>
      </c>
      <c r="B1370" s="38" t="n">
        <v>46257.6284490741</v>
      </c>
      <c r="C1370" s="37" t="s">
        <v>320</v>
      </c>
      <c r="D1370" s="37" t="s">
        <v>1597</v>
      </c>
      <c r="E1370" s="37" t="n">
        <v>26052390</v>
      </c>
      <c r="F1370" s="37" t="s">
        <v>142</v>
      </c>
      <c r="G1370" s="37" t="s">
        <v>207</v>
      </c>
      <c r="H1370" s="37" t="s">
        <v>174</v>
      </c>
      <c r="I1370" s="37" t="n">
        <v>83.9</v>
      </c>
      <c r="J1370" s="39" t="n">
        <v>1149.9</v>
      </c>
      <c r="K1370" s="37" t="s">
        <v>322</v>
      </c>
      <c r="L1370" s="39" t="n">
        <v>174.34</v>
      </c>
      <c r="M1370" s="39" t="n">
        <v>127.92</v>
      </c>
      <c r="N1370" s="39" t="n">
        <f aca="false">J1370*Resumo!$C$7</f>
        <v>2.2998</v>
      </c>
      <c r="O1370" s="39" t="n">
        <f aca="false">J1370*Resumo!$C$8</f>
        <v>2.2998</v>
      </c>
      <c r="P1370" s="39" t="n">
        <f aca="false">Resumo!$C$10*CEILING(I1370/100,1)</f>
        <v>1</v>
      </c>
      <c r="Q1370" s="39" t="n">
        <f aca="false">Resumo!$C$9</f>
        <v>11.9</v>
      </c>
      <c r="R1370" s="39" t="n">
        <f aca="false">SUM(M1370:Q1370)*Resumo!$C$11</f>
        <v>7.998078</v>
      </c>
      <c r="S1370" s="39" t="n">
        <f aca="false">SUM(M1370:R1370)</f>
        <v>153.417678</v>
      </c>
      <c r="T1370" s="39" t="n">
        <f aca="false">S1370/(1-Resumo!$C$5)</f>
        <v>174.338270454545</v>
      </c>
      <c r="U1370" s="39" t="n">
        <v>167.99</v>
      </c>
      <c r="V1370" s="39" t="n">
        <f aca="false">J1370*Resumo!$B$6</f>
        <v>1.1499</v>
      </c>
      <c r="W1370" s="39" t="n">
        <f aca="false">J1370*Resumo!$B$7</f>
        <v>2.2998</v>
      </c>
      <c r="X1370" s="39" t="n">
        <f aca="false">Resumo!$B$9</f>
        <v>1</v>
      </c>
      <c r="Y1370" s="39" t="n">
        <f aca="false">Resumo!$B$10*CEILING(I1370/100,1)</f>
        <v>4.5</v>
      </c>
      <c r="Z1370" s="39" t="n">
        <f aca="false">Resumo!$B$12*CEILING(I1370,1)</f>
        <v>5.04</v>
      </c>
      <c r="AA1370" s="39" t="n">
        <f aca="false">Resumo!$B$13*CEILING(I1370,1)</f>
        <v>37.8</v>
      </c>
      <c r="AB1370" s="39" t="n">
        <f aca="false">SUM(U1370:AA1370)</f>
        <v>219.7797</v>
      </c>
      <c r="AC1370" s="39" t="n">
        <f aca="false">AB1370/(1-Resumo!$B$5)</f>
        <v>249.749659090909</v>
      </c>
      <c r="AD1370" s="39" t="n">
        <f aca="false">(AB1370-AA1370)/(1-Resumo!$B$5)</f>
        <v>206.795113636364</v>
      </c>
      <c r="AE1370" s="39" t="n">
        <f aca="false">AC1370-T1370</f>
        <v>75.4113886363637</v>
      </c>
      <c r="AF1370" s="40" t="n">
        <f aca="false">AC1370/T1370-1</f>
        <v>0.432557856859234</v>
      </c>
      <c r="AG1370" s="37" t="str">
        <f aca="false">IF(AC1370&lt;T1370,"SIM","NÃO")</f>
        <v>NÃO</v>
      </c>
      <c r="AH1370" s="37" t="n">
        <v>10</v>
      </c>
      <c r="AI1370" s="37" t="n">
        <v>5</v>
      </c>
      <c r="AJ1370" s="37" t="s">
        <v>323</v>
      </c>
    </row>
    <row r="1371" customFormat="false" ht="15" hidden="false" customHeight="false" outlineLevel="0" collapsed="false">
      <c r="A1371" s="37" t="n">
        <v>381461866</v>
      </c>
      <c r="B1371" s="38" t="n">
        <v>46257.6346643519</v>
      </c>
      <c r="C1371" s="37" t="s">
        <v>320</v>
      </c>
      <c r="D1371" s="37" t="s">
        <v>1458</v>
      </c>
      <c r="E1371" s="37" t="n">
        <v>21675090</v>
      </c>
      <c r="F1371" s="37" t="s">
        <v>139</v>
      </c>
      <c r="G1371" s="37" t="s">
        <v>198</v>
      </c>
      <c r="H1371" s="37" t="s">
        <v>168</v>
      </c>
      <c r="I1371" s="37" t="n">
        <v>27.6</v>
      </c>
      <c r="J1371" s="39" t="n">
        <v>599.99</v>
      </c>
      <c r="K1371" s="37" t="s">
        <v>322</v>
      </c>
      <c r="L1371" s="39" t="n">
        <v>83.2</v>
      </c>
      <c r="M1371" s="39" t="n">
        <v>54.1</v>
      </c>
      <c r="N1371" s="39" t="n">
        <f aca="false">J1371*Resumo!$C$7</f>
        <v>1.19998</v>
      </c>
      <c r="O1371" s="39" t="n">
        <f aca="false">J1371*Resumo!$C$8</f>
        <v>1.19998</v>
      </c>
      <c r="P1371" s="39" t="n">
        <f aca="false">Resumo!$C$10*CEILING(I1371/100,1)</f>
        <v>1</v>
      </c>
      <c r="Q1371" s="39" t="n">
        <f aca="false">Resumo!$C$9</f>
        <v>11.9</v>
      </c>
      <c r="R1371" s="39" t="n">
        <f aca="false">SUM(M1371:Q1371)*Resumo!$C$11</f>
        <v>3.8169978</v>
      </c>
      <c r="S1371" s="39" t="n">
        <f aca="false">SUM(M1371:R1371)</f>
        <v>73.2169578</v>
      </c>
      <c r="T1371" s="39" t="n">
        <f aca="false">S1371/(1-Resumo!$C$5)</f>
        <v>83.2010884090909</v>
      </c>
      <c r="U1371" s="39" t="n">
        <v>82.21</v>
      </c>
      <c r="V1371" s="39" t="n">
        <f aca="false">J1371*Resumo!$B$6</f>
        <v>0.59999</v>
      </c>
      <c r="W1371" s="39" t="n">
        <f aca="false">J1371*Resumo!$B$7</f>
        <v>1.19998</v>
      </c>
      <c r="X1371" s="39" t="n">
        <f aca="false">Resumo!$B$9</f>
        <v>1</v>
      </c>
      <c r="Y1371" s="39" t="n">
        <f aca="false">Resumo!$B$10*CEILING(I1371/100,1)</f>
        <v>4.5</v>
      </c>
      <c r="Z1371" s="39" t="n">
        <f aca="false">Resumo!$B$12*CEILING(I1371,1)</f>
        <v>1.68</v>
      </c>
      <c r="AA1371" s="39" t="n">
        <f aca="false">Resumo!$B$13*CEILING(I1371,1)</f>
        <v>12.6</v>
      </c>
      <c r="AB1371" s="39" t="n">
        <f aca="false">SUM(U1371:AA1371)</f>
        <v>103.78997</v>
      </c>
      <c r="AC1371" s="39" t="n">
        <f aca="false">AB1371/(1-Resumo!$B$5)</f>
        <v>117.943147727273</v>
      </c>
      <c r="AD1371" s="39" t="n">
        <f aca="false">(AB1371-AA1371)/(1-Resumo!$B$5)</f>
        <v>103.624965909091</v>
      </c>
      <c r="AE1371" s="39" t="n">
        <f aca="false">AC1371-T1371</f>
        <v>34.7420593181818</v>
      </c>
      <c r="AF1371" s="40" t="n">
        <f aca="false">AC1371/T1371-1</f>
        <v>0.417567365794048</v>
      </c>
      <c r="AG1371" s="37" t="str">
        <f aca="false">IF(AC1371&lt;T1371,"SIM","NÃO")</f>
        <v>NÃO</v>
      </c>
      <c r="AH1371" s="37" t="n">
        <v>8</v>
      </c>
      <c r="AI1371" s="37" t="n">
        <v>5</v>
      </c>
      <c r="AJ1371" s="37" t="s">
        <v>323</v>
      </c>
    </row>
    <row r="1372" customFormat="false" ht="15" hidden="false" customHeight="false" outlineLevel="0" collapsed="false">
      <c r="A1372" s="37" t="n">
        <v>381518273</v>
      </c>
      <c r="B1372" s="38" t="n">
        <v>46257.7055439815</v>
      </c>
      <c r="C1372" s="37" t="s">
        <v>320</v>
      </c>
      <c r="D1372" s="37" t="s">
        <v>1598</v>
      </c>
      <c r="E1372" s="37" t="n">
        <v>20785130</v>
      </c>
      <c r="F1372" s="37" t="s">
        <v>139</v>
      </c>
      <c r="G1372" s="37" t="s">
        <v>198</v>
      </c>
      <c r="H1372" s="37" t="s">
        <v>170</v>
      </c>
      <c r="I1372" s="37" t="n">
        <v>45.3</v>
      </c>
      <c r="J1372" s="39" t="n">
        <v>630.04</v>
      </c>
      <c r="K1372" s="37" t="s">
        <v>322</v>
      </c>
      <c r="L1372" s="39" t="n">
        <v>103.6</v>
      </c>
      <c r="M1372" s="39" t="n">
        <v>71</v>
      </c>
      <c r="N1372" s="39" t="n">
        <f aca="false">J1372*Resumo!$C$7</f>
        <v>1.26008</v>
      </c>
      <c r="O1372" s="39" t="n">
        <f aca="false">J1372*Resumo!$C$8</f>
        <v>1.26008</v>
      </c>
      <c r="P1372" s="39" t="n">
        <f aca="false">Resumo!$C$10*CEILING(I1372/100,1)</f>
        <v>1</v>
      </c>
      <c r="Q1372" s="39" t="n">
        <f aca="false">Resumo!$C$9</f>
        <v>11.9</v>
      </c>
      <c r="R1372" s="39" t="n">
        <f aca="false">SUM(M1372:Q1372)*Resumo!$C$11</f>
        <v>4.7531088</v>
      </c>
      <c r="S1372" s="39" t="n">
        <f aca="false">SUM(M1372:R1372)</f>
        <v>91.1732688</v>
      </c>
      <c r="T1372" s="39" t="n">
        <f aca="false">S1372/(1-Resumo!$C$5)</f>
        <v>103.605987272727</v>
      </c>
      <c r="U1372" s="39" t="n">
        <v>93.97</v>
      </c>
      <c r="V1372" s="39" t="n">
        <f aca="false">J1372*Resumo!$B$6</f>
        <v>0.63004</v>
      </c>
      <c r="W1372" s="39" t="n">
        <f aca="false">J1372*Resumo!$B$7</f>
        <v>1.26008</v>
      </c>
      <c r="X1372" s="39" t="n">
        <f aca="false">Resumo!$B$9</f>
        <v>1</v>
      </c>
      <c r="Y1372" s="39" t="n">
        <f aca="false">Resumo!$B$10*CEILING(I1372/100,1)</f>
        <v>4.5</v>
      </c>
      <c r="Z1372" s="39" t="n">
        <f aca="false">Resumo!$B$12*CEILING(I1372,1)</f>
        <v>2.76</v>
      </c>
      <c r="AA1372" s="39" t="n">
        <f aca="false">Resumo!$B$13*CEILING(I1372,1)</f>
        <v>20.7</v>
      </c>
      <c r="AB1372" s="39" t="n">
        <f aca="false">SUM(U1372:AA1372)</f>
        <v>124.82012</v>
      </c>
      <c r="AC1372" s="39" t="n">
        <f aca="false">AB1372/(1-Resumo!$B$5)</f>
        <v>141.841045454545</v>
      </c>
      <c r="AD1372" s="39" t="n">
        <f aca="false">(AB1372-AA1372)/(1-Resumo!$B$5)</f>
        <v>118.318318181818</v>
      </c>
      <c r="AE1372" s="39" t="n">
        <f aca="false">AC1372-T1372</f>
        <v>38.2350581818182</v>
      </c>
      <c r="AF1372" s="40" t="n">
        <f aca="false">AC1372/T1372-1</f>
        <v>0.369042940357975</v>
      </c>
      <c r="AG1372" s="37" t="str">
        <f aca="false">IF(AC1372&lt;T1372,"SIM","NÃO")</f>
        <v>NÃO</v>
      </c>
      <c r="AH1372" s="37" t="n">
        <v>8</v>
      </c>
      <c r="AI1372" s="37" t="n">
        <v>5</v>
      </c>
      <c r="AJ1372" s="37" t="s">
        <v>323</v>
      </c>
    </row>
    <row r="1373" customFormat="false" ht="15" hidden="false" customHeight="false" outlineLevel="0" collapsed="false">
      <c r="A1373" s="37" t="n">
        <v>381521482</v>
      </c>
      <c r="B1373" s="38" t="n">
        <v>46257.7091203704</v>
      </c>
      <c r="C1373" s="37" t="s">
        <v>320</v>
      </c>
      <c r="D1373" s="37" t="s">
        <v>1599</v>
      </c>
      <c r="E1373" s="37" t="n">
        <v>21215050</v>
      </c>
      <c r="F1373" s="37" t="s">
        <v>139</v>
      </c>
      <c r="G1373" s="37" t="s">
        <v>198</v>
      </c>
      <c r="H1373" s="37" t="s">
        <v>172</v>
      </c>
      <c r="I1373" s="37" t="n">
        <v>61.4</v>
      </c>
      <c r="J1373" s="39" t="n">
        <v>881.88</v>
      </c>
      <c r="K1373" s="37" t="s">
        <v>322</v>
      </c>
      <c r="L1373" s="39" t="n">
        <v>125.42</v>
      </c>
      <c r="M1373" s="39" t="n">
        <v>88.2</v>
      </c>
      <c r="N1373" s="39" t="n">
        <f aca="false">J1373*Resumo!$C$7</f>
        <v>1.76376</v>
      </c>
      <c r="O1373" s="39" t="n">
        <f aca="false">J1373*Resumo!$C$8</f>
        <v>1.76376</v>
      </c>
      <c r="P1373" s="39" t="n">
        <f aca="false">Resumo!$C$10*CEILING(I1373/100,1)</f>
        <v>1</v>
      </c>
      <c r="Q1373" s="39" t="n">
        <f aca="false">Resumo!$C$9</f>
        <v>11.9</v>
      </c>
      <c r="R1373" s="39" t="n">
        <f aca="false">SUM(M1373:Q1373)*Resumo!$C$11</f>
        <v>5.7545136</v>
      </c>
      <c r="S1373" s="39" t="n">
        <f aca="false">SUM(M1373:R1373)</f>
        <v>110.3820336</v>
      </c>
      <c r="T1373" s="39" t="n">
        <f aca="false">S1373/(1-Resumo!$C$5)</f>
        <v>125.434129090909</v>
      </c>
      <c r="U1373" s="39" t="n">
        <v>131.02</v>
      </c>
      <c r="V1373" s="39" t="n">
        <f aca="false">J1373*Resumo!$B$6</f>
        <v>0.88188</v>
      </c>
      <c r="W1373" s="39" t="n">
        <f aca="false">J1373*Resumo!$B$7</f>
        <v>1.76376</v>
      </c>
      <c r="X1373" s="39" t="n">
        <f aca="false">Resumo!$B$9</f>
        <v>1</v>
      </c>
      <c r="Y1373" s="39" t="n">
        <f aca="false">Resumo!$B$10*CEILING(I1373/100,1)</f>
        <v>4.5</v>
      </c>
      <c r="Z1373" s="39" t="n">
        <f aca="false">Resumo!$B$12*CEILING(I1373,1)</f>
        <v>3.72</v>
      </c>
      <c r="AA1373" s="39" t="n">
        <f aca="false">Resumo!$B$13*CEILING(I1373,1)</f>
        <v>27.9</v>
      </c>
      <c r="AB1373" s="39" t="n">
        <f aca="false">SUM(U1373:AA1373)</f>
        <v>170.78564</v>
      </c>
      <c r="AC1373" s="39" t="n">
        <f aca="false">AB1373/(1-Resumo!$B$5)</f>
        <v>194.074590909091</v>
      </c>
      <c r="AD1373" s="39" t="n">
        <f aca="false">(AB1373-AA1373)/(1-Resumo!$B$5)</f>
        <v>162.370045454545</v>
      </c>
      <c r="AE1373" s="39" t="n">
        <f aca="false">AC1373-T1373</f>
        <v>68.6404618181819</v>
      </c>
      <c r="AF1373" s="40" t="n">
        <f aca="false">AC1373/T1373-1</f>
        <v>0.547223170564961</v>
      </c>
      <c r="AG1373" s="37" t="str">
        <f aca="false">IF(AC1373&lt;T1373,"SIM","NÃO")</f>
        <v>NÃO</v>
      </c>
      <c r="AH1373" s="37" t="n">
        <v>8</v>
      </c>
      <c r="AI1373" s="37" t="n">
        <v>5</v>
      </c>
      <c r="AJ1373" s="37" t="s">
        <v>323</v>
      </c>
    </row>
    <row r="1374" customFormat="false" ht="15" hidden="false" customHeight="false" outlineLevel="0" collapsed="false">
      <c r="A1374" s="37" t="n">
        <v>381524742</v>
      </c>
      <c r="B1374" s="38" t="n">
        <v>46257.7140856482</v>
      </c>
      <c r="C1374" s="37" t="s">
        <v>325</v>
      </c>
      <c r="D1374" s="37" t="s">
        <v>1600</v>
      </c>
      <c r="E1374" s="37" t="n">
        <v>22221020</v>
      </c>
      <c r="F1374" s="37" t="s">
        <v>139</v>
      </c>
      <c r="G1374" s="37" t="s">
        <v>198</v>
      </c>
      <c r="H1374" s="37" t="s">
        <v>170</v>
      </c>
      <c r="I1374" s="37" t="n">
        <v>43.5</v>
      </c>
      <c r="J1374" s="39" t="n">
        <v>679.09</v>
      </c>
      <c r="K1374" s="37" t="s">
        <v>322</v>
      </c>
      <c r="L1374" s="39" t="n">
        <v>103.84</v>
      </c>
      <c r="M1374" s="39" t="n">
        <v>71</v>
      </c>
      <c r="N1374" s="39" t="n">
        <f aca="false">J1374*Resumo!$C$7</f>
        <v>1.35818</v>
      </c>
      <c r="O1374" s="39" t="n">
        <f aca="false">J1374*Resumo!$C$8</f>
        <v>1.35818</v>
      </c>
      <c r="P1374" s="39" t="n">
        <f aca="false">Resumo!$C$10*CEILING(I1374/100,1)</f>
        <v>1</v>
      </c>
      <c r="Q1374" s="39" t="n">
        <f aca="false">Resumo!$C$9</f>
        <v>11.9</v>
      </c>
      <c r="R1374" s="39" t="n">
        <f aca="false">SUM(M1374:Q1374)*Resumo!$C$11</f>
        <v>4.7638998</v>
      </c>
      <c r="S1374" s="39" t="n">
        <f aca="false">SUM(M1374:R1374)</f>
        <v>91.3802598</v>
      </c>
      <c r="T1374" s="39" t="n">
        <f aca="false">S1374/(1-Resumo!$C$5)</f>
        <v>103.841204318182</v>
      </c>
      <c r="U1374" s="39" t="n">
        <v>93.97</v>
      </c>
      <c r="V1374" s="39" t="n">
        <f aca="false">J1374*Resumo!$B$6</f>
        <v>0.67909</v>
      </c>
      <c r="W1374" s="39" t="n">
        <f aca="false">J1374*Resumo!$B$7</f>
        <v>1.35818</v>
      </c>
      <c r="X1374" s="39" t="n">
        <f aca="false">Resumo!$B$9</f>
        <v>1</v>
      </c>
      <c r="Y1374" s="39" t="n">
        <f aca="false">Resumo!$B$10*CEILING(I1374/100,1)</f>
        <v>4.5</v>
      </c>
      <c r="Z1374" s="39" t="n">
        <f aca="false">Resumo!$B$12*CEILING(I1374,1)</f>
        <v>2.64</v>
      </c>
      <c r="AA1374" s="39" t="n">
        <f aca="false">Resumo!$B$13*CEILING(I1374,1)</f>
        <v>19.8</v>
      </c>
      <c r="AB1374" s="39" t="n">
        <f aca="false">SUM(U1374:AA1374)</f>
        <v>123.94727</v>
      </c>
      <c r="AC1374" s="39" t="n">
        <f aca="false">AB1374/(1-Resumo!$B$5)</f>
        <v>140.849170454545</v>
      </c>
      <c r="AD1374" s="39" t="n">
        <f aca="false">(AB1374-AA1374)/(1-Resumo!$B$5)</f>
        <v>118.349170454545</v>
      </c>
      <c r="AE1374" s="39" t="n">
        <f aca="false">AC1374-T1374</f>
        <v>37.0079661363636</v>
      </c>
      <c r="AF1374" s="40" t="n">
        <f aca="false">AC1374/T1374-1</f>
        <v>0.356389993542128</v>
      </c>
      <c r="AG1374" s="37" t="str">
        <f aca="false">IF(AC1374&lt;T1374,"SIM","NÃO")</f>
        <v>NÃO</v>
      </c>
      <c r="AH1374" s="37" t="n">
        <v>8</v>
      </c>
      <c r="AI1374" s="37" t="n">
        <v>5</v>
      </c>
      <c r="AJ1374" s="37" t="s">
        <v>323</v>
      </c>
    </row>
    <row r="1375" customFormat="false" ht="15" hidden="false" customHeight="false" outlineLevel="0" collapsed="false">
      <c r="A1375" s="37" t="n">
        <v>381540782</v>
      </c>
      <c r="B1375" s="38" t="n">
        <v>46257.7439930556</v>
      </c>
      <c r="C1375" s="37" t="s">
        <v>346</v>
      </c>
      <c r="D1375" s="37" t="s">
        <v>1601</v>
      </c>
      <c r="E1375" s="37" t="n">
        <v>22011002</v>
      </c>
      <c r="F1375" s="37" t="s">
        <v>139</v>
      </c>
      <c r="G1375" s="37" t="s">
        <v>198</v>
      </c>
      <c r="H1375" s="37" t="s">
        <v>169</v>
      </c>
      <c r="I1375" s="37" t="n">
        <v>40</v>
      </c>
      <c r="J1375" s="39" t="n">
        <v>509.99</v>
      </c>
      <c r="K1375" s="37" t="s">
        <v>322</v>
      </c>
      <c r="L1375" s="39" t="n">
        <v>92.3</v>
      </c>
      <c r="M1375" s="39" t="n">
        <v>62.05</v>
      </c>
      <c r="N1375" s="39" t="n">
        <f aca="false">J1375*Resumo!$C$7</f>
        <v>1.01998</v>
      </c>
      <c r="O1375" s="39" t="n">
        <f aca="false">J1375*Resumo!$C$8</f>
        <v>1.01998</v>
      </c>
      <c r="P1375" s="39" t="n">
        <f aca="false">Resumo!$C$10*CEILING(I1375/100,1)</f>
        <v>1</v>
      </c>
      <c r="Q1375" s="39" t="n">
        <f aca="false">Resumo!$C$9</f>
        <v>11.9</v>
      </c>
      <c r="R1375" s="39" t="n">
        <f aca="false">SUM(M1375:Q1375)*Resumo!$C$11</f>
        <v>4.2344478</v>
      </c>
      <c r="S1375" s="39" t="n">
        <f aca="false">SUM(M1375:R1375)</f>
        <v>81.2244078</v>
      </c>
      <c r="T1375" s="39" t="n">
        <f aca="false">S1375/(1-Resumo!$C$5)</f>
        <v>92.3004634090909</v>
      </c>
      <c r="U1375" s="39" t="n">
        <v>93.97</v>
      </c>
      <c r="V1375" s="39" t="n">
        <f aca="false">J1375*Resumo!$B$6</f>
        <v>0.50999</v>
      </c>
      <c r="W1375" s="39" t="n">
        <f aca="false">J1375*Resumo!$B$7</f>
        <v>1.01998</v>
      </c>
      <c r="X1375" s="39" t="n">
        <f aca="false">Resumo!$B$9</f>
        <v>1</v>
      </c>
      <c r="Y1375" s="39" t="n">
        <f aca="false">Resumo!$B$10*CEILING(I1375/100,1)</f>
        <v>4.5</v>
      </c>
      <c r="Z1375" s="39" t="n">
        <f aca="false">Resumo!$B$12*CEILING(I1375,1)</f>
        <v>2.4</v>
      </c>
      <c r="AA1375" s="39" t="n">
        <f aca="false">Resumo!$B$13*CEILING(I1375,1)</f>
        <v>18</v>
      </c>
      <c r="AB1375" s="39" t="n">
        <f aca="false">SUM(U1375:AA1375)</f>
        <v>121.39997</v>
      </c>
      <c r="AC1375" s="39" t="n">
        <f aca="false">AB1375/(1-Resumo!$B$5)</f>
        <v>137.954511363636</v>
      </c>
      <c r="AD1375" s="39" t="n">
        <f aca="false">(AB1375-AA1375)/(1-Resumo!$B$5)</f>
        <v>117.499965909091</v>
      </c>
      <c r="AE1375" s="39" t="n">
        <f aca="false">AC1375-T1375</f>
        <v>45.6540479545455</v>
      </c>
      <c r="AF1375" s="40" t="n">
        <f aca="false">AC1375/T1375-1</f>
        <v>0.494624255050586</v>
      </c>
      <c r="AG1375" s="37" t="str">
        <f aca="false">IF(AC1375&lt;T1375,"SIM","NÃO")</f>
        <v>NÃO</v>
      </c>
      <c r="AH1375" s="37" t="n">
        <v>8</v>
      </c>
      <c r="AI1375" s="37" t="n">
        <v>5</v>
      </c>
      <c r="AJ1375" s="37" t="s">
        <v>323</v>
      </c>
    </row>
    <row r="1376" customFormat="false" ht="15" hidden="false" customHeight="false" outlineLevel="0" collapsed="false">
      <c r="A1376" s="37" t="n">
        <v>381537514</v>
      </c>
      <c r="B1376" s="38" t="n">
        <v>46257.750775463</v>
      </c>
      <c r="C1376" s="37" t="s">
        <v>320</v>
      </c>
      <c r="D1376" s="37" t="s">
        <v>1602</v>
      </c>
      <c r="E1376" s="37" t="n">
        <v>25035800</v>
      </c>
      <c r="F1376" s="37" t="s">
        <v>141</v>
      </c>
      <c r="G1376" s="37" t="s">
        <v>207</v>
      </c>
      <c r="H1376" s="37" t="s">
        <v>169</v>
      </c>
      <c r="I1376" s="37" t="n">
        <v>40</v>
      </c>
      <c r="J1376" s="39" t="n">
        <v>529.99</v>
      </c>
      <c r="K1376" s="37" t="s">
        <v>322</v>
      </c>
      <c r="L1376" s="39" t="n">
        <v>113.5</v>
      </c>
      <c r="M1376" s="39" t="n">
        <v>79.65</v>
      </c>
      <c r="N1376" s="39" t="n">
        <f aca="false">J1376*Resumo!$C$7</f>
        <v>1.05998</v>
      </c>
      <c r="O1376" s="39" t="n">
        <f aca="false">J1376*Resumo!$C$8</f>
        <v>1.05998</v>
      </c>
      <c r="P1376" s="39" t="n">
        <f aca="false">Resumo!$C$10*CEILING(I1376/100,1)</f>
        <v>1</v>
      </c>
      <c r="Q1376" s="39" t="n">
        <f aca="false">Resumo!$C$9</f>
        <v>11.9</v>
      </c>
      <c r="R1376" s="39" t="n">
        <f aca="false">SUM(M1376:Q1376)*Resumo!$C$11</f>
        <v>5.2068478</v>
      </c>
      <c r="S1376" s="39" t="n">
        <f aca="false">SUM(M1376:R1376)</f>
        <v>99.8768078</v>
      </c>
      <c r="T1376" s="39" t="n">
        <f aca="false">S1376/(1-Resumo!$C$5)</f>
        <v>113.4963725</v>
      </c>
      <c r="U1376" s="39" t="n">
        <v>93.97</v>
      </c>
      <c r="V1376" s="39" t="n">
        <f aca="false">J1376*Resumo!$B$6</f>
        <v>0.52999</v>
      </c>
      <c r="W1376" s="39" t="n">
        <f aca="false">J1376*Resumo!$B$7</f>
        <v>1.05998</v>
      </c>
      <c r="X1376" s="39" t="n">
        <f aca="false">Resumo!$B$9</f>
        <v>1</v>
      </c>
      <c r="Y1376" s="39" t="n">
        <f aca="false">Resumo!$B$10*CEILING(I1376/100,1)</f>
        <v>4.5</v>
      </c>
      <c r="Z1376" s="39" t="n">
        <f aca="false">Resumo!$B$12*CEILING(I1376,1)</f>
        <v>2.4</v>
      </c>
      <c r="AA1376" s="39" t="n">
        <f aca="false">Resumo!$B$13*CEILING(I1376,1)</f>
        <v>18</v>
      </c>
      <c r="AB1376" s="39" t="n">
        <f aca="false">SUM(U1376:AA1376)</f>
        <v>121.45997</v>
      </c>
      <c r="AC1376" s="39" t="n">
        <f aca="false">AB1376/(1-Resumo!$B$5)</f>
        <v>138.022693181818</v>
      </c>
      <c r="AD1376" s="39" t="n">
        <f aca="false">(AB1376-AA1376)/(1-Resumo!$B$5)</f>
        <v>117.568147727273</v>
      </c>
      <c r="AE1376" s="39" t="n">
        <f aca="false">AC1376-T1376</f>
        <v>24.5263206818182</v>
      </c>
      <c r="AF1376" s="40" t="n">
        <f aca="false">AC1376/T1376-1</f>
        <v>0.216097837680391</v>
      </c>
      <c r="AG1376" s="37" t="str">
        <f aca="false">IF(AC1376&lt;T1376,"SIM","NÃO")</f>
        <v>NÃO</v>
      </c>
      <c r="AH1376" s="37" t="n">
        <v>10</v>
      </c>
      <c r="AI1376" s="37" t="n">
        <v>5</v>
      </c>
      <c r="AJ1376" s="37" t="s">
        <v>323</v>
      </c>
    </row>
    <row r="1377" customFormat="false" ht="15" hidden="false" customHeight="false" outlineLevel="0" collapsed="false">
      <c r="A1377" s="37" t="n">
        <v>381555150</v>
      </c>
      <c r="B1377" s="38" t="n">
        <v>46257.7731828704</v>
      </c>
      <c r="C1377" s="37" t="s">
        <v>325</v>
      </c>
      <c r="D1377" s="37" t="s">
        <v>836</v>
      </c>
      <c r="E1377" s="37" t="n">
        <v>21650002</v>
      </c>
      <c r="F1377" s="37" t="s">
        <v>139</v>
      </c>
      <c r="G1377" s="37" t="s">
        <v>198</v>
      </c>
      <c r="H1377" s="37" t="s">
        <v>171</v>
      </c>
      <c r="I1377" s="37" t="n">
        <v>51.7</v>
      </c>
      <c r="J1377" s="39" t="n">
        <v>609.97</v>
      </c>
      <c r="K1377" s="37" t="s">
        <v>322</v>
      </c>
      <c r="L1377" s="39" t="n">
        <v>114.07</v>
      </c>
      <c r="M1377" s="39" t="n">
        <v>79.81</v>
      </c>
      <c r="N1377" s="39" t="n">
        <f aca="false">J1377*Resumo!$C$7</f>
        <v>1.21994</v>
      </c>
      <c r="O1377" s="39" t="n">
        <f aca="false">J1377*Resumo!$C$8</f>
        <v>1.21994</v>
      </c>
      <c r="P1377" s="39" t="n">
        <f aca="false">Resumo!$C$10*CEILING(I1377/100,1)</f>
        <v>1</v>
      </c>
      <c r="Q1377" s="39" t="n">
        <f aca="false">Resumo!$C$9</f>
        <v>11.9</v>
      </c>
      <c r="R1377" s="39" t="n">
        <f aca="false">SUM(M1377:Q1377)*Resumo!$C$11</f>
        <v>5.2332434</v>
      </c>
      <c r="S1377" s="39" t="n">
        <f aca="false">SUM(M1377:R1377)</f>
        <v>100.3831234</v>
      </c>
      <c r="T1377" s="39" t="n">
        <f aca="false">S1377/(1-Resumo!$C$5)</f>
        <v>114.071731136364</v>
      </c>
      <c r="U1377" s="39" t="n">
        <v>112.3</v>
      </c>
      <c r="V1377" s="39" t="n">
        <f aca="false">J1377*Resumo!$B$6</f>
        <v>0.60997</v>
      </c>
      <c r="W1377" s="39" t="n">
        <f aca="false">J1377*Resumo!$B$7</f>
        <v>1.21994</v>
      </c>
      <c r="X1377" s="39" t="n">
        <f aca="false">Resumo!$B$9</f>
        <v>1</v>
      </c>
      <c r="Y1377" s="39" t="n">
        <f aca="false">Resumo!$B$10*CEILING(I1377/100,1)</f>
        <v>4.5</v>
      </c>
      <c r="Z1377" s="39" t="n">
        <f aca="false">Resumo!$B$12*CEILING(I1377,1)</f>
        <v>3.12</v>
      </c>
      <c r="AA1377" s="39" t="n">
        <f aca="false">Resumo!$B$13*CEILING(I1377,1)</f>
        <v>23.4</v>
      </c>
      <c r="AB1377" s="39" t="n">
        <f aca="false">SUM(U1377:AA1377)</f>
        <v>146.14991</v>
      </c>
      <c r="AC1377" s="39" t="n">
        <f aca="false">AB1377/(1-Resumo!$B$5)</f>
        <v>166.079443181818</v>
      </c>
      <c r="AD1377" s="39" t="n">
        <f aca="false">(AB1377-AA1377)/(1-Resumo!$B$5)</f>
        <v>139.488534090909</v>
      </c>
      <c r="AE1377" s="39" t="n">
        <f aca="false">AC1377-T1377</f>
        <v>52.0077120454546</v>
      </c>
      <c r="AF1377" s="40" t="n">
        <f aca="false">AC1377/T1377-1</f>
        <v>0.455921125482732</v>
      </c>
      <c r="AG1377" s="37" t="str">
        <f aca="false">IF(AC1377&lt;T1377,"SIM","NÃO")</f>
        <v>NÃO</v>
      </c>
      <c r="AH1377" s="37" t="n">
        <v>8</v>
      </c>
      <c r="AI1377" s="37" t="n">
        <v>5</v>
      </c>
      <c r="AJ1377" s="37" t="s">
        <v>323</v>
      </c>
    </row>
    <row r="1378" customFormat="false" ht="15" hidden="false" customHeight="false" outlineLevel="0" collapsed="false">
      <c r="A1378" s="37" t="n">
        <v>381564536</v>
      </c>
      <c r="B1378" s="38" t="n">
        <v>46257.7874652778</v>
      </c>
      <c r="C1378" s="37" t="s">
        <v>320</v>
      </c>
      <c r="D1378" s="37" t="s">
        <v>1603</v>
      </c>
      <c r="E1378" s="37" t="n">
        <v>25963007</v>
      </c>
      <c r="F1378" s="37" t="s">
        <v>221</v>
      </c>
      <c r="G1378" s="37" t="s">
        <v>201</v>
      </c>
      <c r="H1378" s="37" t="s">
        <v>168</v>
      </c>
      <c r="I1378" s="37" t="n">
        <v>27.6</v>
      </c>
      <c r="J1378" s="39" t="n">
        <v>599.99</v>
      </c>
      <c r="K1378" s="37" t="s">
        <v>322</v>
      </c>
      <c r="L1378" s="39" t="n">
        <v>110.06</v>
      </c>
      <c r="M1378" s="39" t="n">
        <v>76.5</v>
      </c>
      <c r="N1378" s="39" t="n">
        <f aca="false">J1378*Resumo!$C$7</f>
        <v>1.19998</v>
      </c>
      <c r="O1378" s="39" t="n">
        <f aca="false">J1378*Resumo!$C$8</f>
        <v>1.19998</v>
      </c>
      <c r="P1378" s="39" t="n">
        <f aca="false">Resumo!$C$10*CEILING(I1378/100,1)</f>
        <v>1</v>
      </c>
      <c r="Q1378" s="39" t="n">
        <f aca="false">Resumo!$C$9</f>
        <v>11.9</v>
      </c>
      <c r="R1378" s="39" t="n">
        <f aca="false">SUM(M1378:Q1378)*Resumo!$C$11</f>
        <v>5.0489978</v>
      </c>
      <c r="S1378" s="39" t="n">
        <f aca="false">SUM(M1378:R1378)</f>
        <v>96.8489578</v>
      </c>
      <c r="T1378" s="39" t="n">
        <f aca="false">S1378/(1-Resumo!$C$5)</f>
        <v>110.055633863636</v>
      </c>
      <c r="U1378" s="39" t="n">
        <v>120.78</v>
      </c>
      <c r="V1378" s="39" t="n">
        <f aca="false">J1378*Resumo!$B$6</f>
        <v>0.59999</v>
      </c>
      <c r="W1378" s="39" t="n">
        <f aca="false">J1378*Resumo!$B$7</f>
        <v>1.19998</v>
      </c>
      <c r="X1378" s="39" t="n">
        <f aca="false">Resumo!$B$9</f>
        <v>1</v>
      </c>
      <c r="Y1378" s="39" t="n">
        <f aca="false">Resumo!$B$10*CEILING(I1378/100,1)</f>
        <v>4.5</v>
      </c>
      <c r="Z1378" s="39" t="n">
        <f aca="false">Resumo!$B$12*CEILING(I1378,1)</f>
        <v>1.68</v>
      </c>
      <c r="AA1378" s="39" t="n">
        <f aca="false">Resumo!$B$13*CEILING(I1378,1)</f>
        <v>12.6</v>
      </c>
      <c r="AB1378" s="39" t="n">
        <f aca="false">SUM(U1378:AA1378)</f>
        <v>142.35997</v>
      </c>
      <c r="AC1378" s="39" t="n">
        <f aca="false">AB1378/(1-Resumo!$B$5)</f>
        <v>161.772693181818</v>
      </c>
      <c r="AD1378" s="39" t="n">
        <f aca="false">(AB1378-AA1378)/(1-Resumo!$B$5)</f>
        <v>147.454511363636</v>
      </c>
      <c r="AE1378" s="39" t="n">
        <f aca="false">AC1378-T1378</f>
        <v>51.7170593181818</v>
      </c>
      <c r="AF1378" s="40" t="n">
        <f aca="false">AC1378/T1378-1</f>
        <v>0.469917418151091</v>
      </c>
      <c r="AG1378" s="37" t="str">
        <f aca="false">IF(AC1378&lt;T1378,"SIM","NÃO")</f>
        <v>NÃO</v>
      </c>
      <c r="AH1378" s="37" t="n">
        <v>13</v>
      </c>
      <c r="AI1378" s="37" t="n">
        <v>10</v>
      </c>
      <c r="AJ1378" s="37" t="s">
        <v>327</v>
      </c>
    </row>
    <row r="1379" customFormat="false" ht="15" hidden="false" customHeight="false" outlineLevel="0" collapsed="false">
      <c r="A1379" s="37" t="n">
        <v>381566734</v>
      </c>
      <c r="B1379" s="38" t="n">
        <v>46257.790474537</v>
      </c>
      <c r="C1379" s="37" t="s">
        <v>325</v>
      </c>
      <c r="D1379" s="37" t="s">
        <v>1604</v>
      </c>
      <c r="E1379" s="37" t="n">
        <v>23071180</v>
      </c>
      <c r="F1379" s="37" t="s">
        <v>139</v>
      </c>
      <c r="G1379" s="37" t="s">
        <v>198</v>
      </c>
      <c r="H1379" s="37" t="s">
        <v>174</v>
      </c>
      <c r="I1379" s="37" t="n">
        <v>81.7</v>
      </c>
      <c r="J1379" s="39" t="n">
        <v>562</v>
      </c>
      <c r="K1379" s="37" t="s">
        <v>322</v>
      </c>
      <c r="L1379" s="39" t="n">
        <v>161.77</v>
      </c>
      <c r="M1379" s="39" t="n">
        <v>119.8</v>
      </c>
      <c r="N1379" s="39" t="n">
        <f aca="false">J1379*Resumo!$C$7</f>
        <v>1.124</v>
      </c>
      <c r="O1379" s="39" t="n">
        <f aca="false">J1379*Resumo!$C$8</f>
        <v>1.124</v>
      </c>
      <c r="P1379" s="39" t="n">
        <f aca="false">Resumo!$C$10*CEILING(I1379/100,1)</f>
        <v>1</v>
      </c>
      <c r="Q1379" s="39" t="n">
        <f aca="false">Resumo!$C$9</f>
        <v>11.9</v>
      </c>
      <c r="R1379" s="39" t="n">
        <f aca="false">SUM(M1379:Q1379)*Resumo!$C$11</f>
        <v>7.42214</v>
      </c>
      <c r="S1379" s="39" t="n">
        <f aca="false">SUM(M1379:R1379)</f>
        <v>142.37014</v>
      </c>
      <c r="T1379" s="39" t="n">
        <f aca="false">S1379/(1-Resumo!$C$5)</f>
        <v>161.78425</v>
      </c>
      <c r="U1379" s="39" t="n">
        <v>167.99</v>
      </c>
      <c r="V1379" s="39" t="n">
        <f aca="false">J1379*Resumo!$B$6</f>
        <v>0.562</v>
      </c>
      <c r="W1379" s="39" t="n">
        <f aca="false">J1379*Resumo!$B$7</f>
        <v>1.124</v>
      </c>
      <c r="X1379" s="39" t="n">
        <f aca="false">Resumo!$B$9</f>
        <v>1</v>
      </c>
      <c r="Y1379" s="39" t="n">
        <f aca="false">Resumo!$B$10*CEILING(I1379/100,1)</f>
        <v>4.5</v>
      </c>
      <c r="Z1379" s="39" t="n">
        <f aca="false">Resumo!$B$12*CEILING(I1379,1)</f>
        <v>4.92</v>
      </c>
      <c r="AA1379" s="39" t="n">
        <f aca="false">Resumo!$B$13*CEILING(I1379,1)</f>
        <v>36.9</v>
      </c>
      <c r="AB1379" s="39" t="n">
        <f aca="false">SUM(U1379:AA1379)</f>
        <v>216.996</v>
      </c>
      <c r="AC1379" s="39" t="n">
        <f aca="false">AB1379/(1-Resumo!$B$5)</f>
        <v>246.586363636364</v>
      </c>
      <c r="AD1379" s="39" t="n">
        <f aca="false">(AB1379-AA1379)/(1-Resumo!$B$5)</f>
        <v>204.654545454545</v>
      </c>
      <c r="AE1379" s="39" t="n">
        <f aca="false">AC1379-T1379</f>
        <v>84.8021136363636</v>
      </c>
      <c r="AF1379" s="40" t="n">
        <f aca="false">AC1379/T1379-1</f>
        <v>0.524167918918953</v>
      </c>
      <c r="AG1379" s="37" t="str">
        <f aca="false">IF(AC1379&lt;T1379,"SIM","NÃO")</f>
        <v>NÃO</v>
      </c>
      <c r="AH1379" s="37" t="n">
        <v>8</v>
      </c>
      <c r="AI1379" s="37" t="n">
        <v>5</v>
      </c>
      <c r="AJ1379" s="37" t="s">
        <v>323</v>
      </c>
    </row>
    <row r="1380" customFormat="false" ht="15" hidden="false" customHeight="false" outlineLevel="0" collapsed="false">
      <c r="A1380" s="37" t="n">
        <v>381610688</v>
      </c>
      <c r="B1380" s="38" t="n">
        <v>46257.8362268519</v>
      </c>
      <c r="C1380" s="37" t="s">
        <v>359</v>
      </c>
      <c r="D1380" s="37" t="s">
        <v>1605</v>
      </c>
      <c r="E1380" s="37" t="n">
        <v>20730110</v>
      </c>
      <c r="F1380" s="37" t="s">
        <v>139</v>
      </c>
      <c r="G1380" s="37" t="s">
        <v>198</v>
      </c>
      <c r="H1380" s="37" t="s">
        <v>168</v>
      </c>
      <c r="I1380" s="37" t="n">
        <v>24.4</v>
      </c>
      <c r="J1380" s="39" t="n">
        <v>299.99</v>
      </c>
      <c r="K1380" s="37" t="s">
        <v>322</v>
      </c>
      <c r="L1380" s="39" t="n">
        <v>81.76</v>
      </c>
      <c r="M1380" s="39" t="n">
        <v>54.1</v>
      </c>
      <c r="N1380" s="39" t="n">
        <f aca="false">J1380*Resumo!$C$7</f>
        <v>0.59998</v>
      </c>
      <c r="O1380" s="39" t="n">
        <f aca="false">J1380*Resumo!$C$8</f>
        <v>0.59998</v>
      </c>
      <c r="P1380" s="39" t="n">
        <f aca="false">Resumo!$C$10*CEILING(I1380/100,1)</f>
        <v>1</v>
      </c>
      <c r="Q1380" s="39" t="n">
        <f aca="false">Resumo!$C$9</f>
        <v>11.9</v>
      </c>
      <c r="R1380" s="39" t="n">
        <f aca="false">SUM(M1380:Q1380)*Resumo!$C$11</f>
        <v>3.7509978</v>
      </c>
      <c r="S1380" s="39" t="n">
        <f aca="false">SUM(M1380:R1380)</f>
        <v>71.9509578</v>
      </c>
      <c r="T1380" s="39" t="n">
        <f aca="false">S1380/(1-Resumo!$C$5)</f>
        <v>81.7624520454545</v>
      </c>
      <c r="U1380" s="39" t="n">
        <v>82.21</v>
      </c>
      <c r="V1380" s="39" t="n">
        <f aca="false">J1380*Resumo!$B$6</f>
        <v>0.29999</v>
      </c>
      <c r="W1380" s="39" t="n">
        <f aca="false">J1380*Resumo!$B$7</f>
        <v>0.59998</v>
      </c>
      <c r="X1380" s="39" t="n">
        <f aca="false">Resumo!$B$9</f>
        <v>1</v>
      </c>
      <c r="Y1380" s="39" t="n">
        <f aca="false">Resumo!$B$10*CEILING(I1380/100,1)</f>
        <v>4.5</v>
      </c>
      <c r="Z1380" s="39" t="n">
        <f aca="false">Resumo!$B$12*CEILING(I1380,1)</f>
        <v>1.5</v>
      </c>
      <c r="AA1380" s="39" t="n">
        <f aca="false">Resumo!$B$13*CEILING(I1380,1)</f>
        <v>11.25</v>
      </c>
      <c r="AB1380" s="39" t="n">
        <f aca="false">SUM(U1380:AA1380)</f>
        <v>101.35997</v>
      </c>
      <c r="AC1380" s="39" t="n">
        <f aca="false">AB1380/(1-Resumo!$B$5)</f>
        <v>115.181784090909</v>
      </c>
      <c r="AD1380" s="39" t="n">
        <f aca="false">(AB1380-AA1380)/(1-Resumo!$B$5)</f>
        <v>102.397693181818</v>
      </c>
      <c r="AE1380" s="39" t="n">
        <f aca="false">AC1380-T1380</f>
        <v>33.4193320454545</v>
      </c>
      <c r="AF1380" s="40" t="n">
        <f aca="false">AC1380/T1380-1</f>
        <v>0.408736910518236</v>
      </c>
      <c r="AG1380" s="37" t="str">
        <f aca="false">IF(AC1380&lt;T1380,"SIM","NÃO")</f>
        <v>NÃO</v>
      </c>
      <c r="AH1380" s="37" t="n">
        <v>8</v>
      </c>
      <c r="AI1380" s="37" t="n">
        <v>5</v>
      </c>
      <c r="AJ1380" s="37" t="s">
        <v>323</v>
      </c>
    </row>
    <row r="1381" customFormat="false" ht="15" hidden="false" customHeight="false" outlineLevel="0" collapsed="false">
      <c r="A1381" s="37" t="n">
        <v>381617128</v>
      </c>
      <c r="B1381" s="38" t="n">
        <v>46257.8422685185</v>
      </c>
      <c r="C1381" s="37" t="s">
        <v>325</v>
      </c>
      <c r="D1381" s="37" t="s">
        <v>1606</v>
      </c>
      <c r="E1381" s="37" t="n">
        <v>24451840</v>
      </c>
      <c r="F1381" s="37" t="s">
        <v>140</v>
      </c>
      <c r="G1381" s="37" t="s">
        <v>207</v>
      </c>
      <c r="H1381" s="37" t="s">
        <v>172</v>
      </c>
      <c r="I1381" s="37" t="n">
        <v>66.8</v>
      </c>
      <c r="J1381" s="39" t="n">
        <v>588.63</v>
      </c>
      <c r="K1381" s="37" t="s">
        <v>322</v>
      </c>
      <c r="L1381" s="39" t="n">
        <v>139.26</v>
      </c>
      <c r="M1381" s="39" t="n">
        <v>100.9</v>
      </c>
      <c r="N1381" s="39" t="n">
        <f aca="false">J1381*Resumo!$C$7</f>
        <v>1.17726</v>
      </c>
      <c r="O1381" s="39" t="n">
        <f aca="false">J1381*Resumo!$C$8</f>
        <v>1.17726</v>
      </c>
      <c r="P1381" s="39" t="n">
        <f aca="false">Resumo!$C$10*CEILING(I1381/100,1)</f>
        <v>1</v>
      </c>
      <c r="Q1381" s="39" t="n">
        <f aca="false">Resumo!$C$9</f>
        <v>11.9</v>
      </c>
      <c r="R1381" s="39" t="n">
        <f aca="false">SUM(M1381:Q1381)*Resumo!$C$11</f>
        <v>6.3884986</v>
      </c>
      <c r="S1381" s="39" t="n">
        <f aca="false">SUM(M1381:R1381)</f>
        <v>122.5430186</v>
      </c>
      <c r="T1381" s="39" t="n">
        <f aca="false">S1381/(1-Resumo!$C$5)</f>
        <v>139.253430227273</v>
      </c>
      <c r="U1381" s="39" t="n">
        <v>149.5</v>
      </c>
      <c r="V1381" s="39" t="n">
        <f aca="false">J1381*Resumo!$B$6</f>
        <v>0.58863</v>
      </c>
      <c r="W1381" s="39" t="n">
        <f aca="false">J1381*Resumo!$B$7</f>
        <v>1.17726</v>
      </c>
      <c r="X1381" s="39" t="n">
        <f aca="false">Resumo!$B$9</f>
        <v>1</v>
      </c>
      <c r="Y1381" s="39" t="n">
        <f aca="false">Resumo!$B$10*CEILING(I1381/100,1)</f>
        <v>4.5</v>
      </c>
      <c r="Z1381" s="39" t="n">
        <f aca="false">Resumo!$B$12*CEILING(I1381,1)</f>
        <v>4.02</v>
      </c>
      <c r="AA1381" s="39" t="n">
        <f aca="false">Resumo!$B$13*CEILING(I1381,1)</f>
        <v>30.15</v>
      </c>
      <c r="AB1381" s="39" t="n">
        <f aca="false">SUM(U1381:AA1381)</f>
        <v>190.93589</v>
      </c>
      <c r="AC1381" s="39" t="n">
        <f aca="false">AB1381/(1-Resumo!$B$5)</f>
        <v>216.972602272727</v>
      </c>
      <c r="AD1381" s="39" t="n">
        <f aca="false">(AB1381-AA1381)/(1-Resumo!$B$5)</f>
        <v>182.711238636364</v>
      </c>
      <c r="AE1381" s="39" t="n">
        <f aca="false">AC1381-T1381</f>
        <v>77.7191720454545</v>
      </c>
      <c r="AF1381" s="40" t="n">
        <f aca="false">AC1381/T1381-1</f>
        <v>0.558113160434258</v>
      </c>
      <c r="AG1381" s="37" t="str">
        <f aca="false">IF(AC1381&lt;T1381,"SIM","NÃO")</f>
        <v>NÃO</v>
      </c>
      <c r="AH1381" s="37" t="n">
        <v>10</v>
      </c>
      <c r="AI1381" s="37" t="n">
        <v>7</v>
      </c>
      <c r="AJ1381" s="37" t="s">
        <v>323</v>
      </c>
    </row>
    <row r="1382" customFormat="false" ht="15" hidden="false" customHeight="false" outlineLevel="0" collapsed="false">
      <c r="A1382" s="37" t="n">
        <v>381749944</v>
      </c>
      <c r="B1382" s="38" t="n">
        <v>46257.9052314815</v>
      </c>
      <c r="C1382" s="37" t="s">
        <v>325</v>
      </c>
      <c r="D1382" s="37" t="s">
        <v>1607</v>
      </c>
      <c r="E1382" s="37" t="n">
        <v>23031203</v>
      </c>
      <c r="F1382" s="37" t="s">
        <v>139</v>
      </c>
      <c r="G1382" s="37" t="s">
        <v>198</v>
      </c>
      <c r="H1382" s="37" t="s">
        <v>176</v>
      </c>
      <c r="I1382" s="37" t="n">
        <v>124.2</v>
      </c>
      <c r="J1382" s="39" t="n">
        <v>1526.91</v>
      </c>
      <c r="K1382" s="37" t="s">
        <v>322</v>
      </c>
      <c r="L1382" s="39" t="n">
        <v>233.6</v>
      </c>
      <c r="M1382" s="39" t="n">
        <v>174.85</v>
      </c>
      <c r="N1382" s="39" t="n">
        <f aca="false">J1382*Resumo!$C$7</f>
        <v>3.05382</v>
      </c>
      <c r="O1382" s="39" t="n">
        <f aca="false">J1382*Resumo!$C$8</f>
        <v>3.05382</v>
      </c>
      <c r="P1382" s="39" t="n">
        <f aca="false">Resumo!$C$10*CEILING(I1382/100,1)</f>
        <v>2</v>
      </c>
      <c r="Q1382" s="39" t="n">
        <f aca="false">Resumo!$C$9</f>
        <v>11.9</v>
      </c>
      <c r="R1382" s="39" t="n">
        <f aca="false">SUM(M1382:Q1382)*Resumo!$C$11</f>
        <v>10.7171702</v>
      </c>
      <c r="S1382" s="39" t="n">
        <f aca="false">SUM(M1382:R1382)</f>
        <v>205.5748102</v>
      </c>
      <c r="T1382" s="39" t="n">
        <f aca="false">S1382/(1-Resumo!$C$5)</f>
        <v>233.607738863636</v>
      </c>
      <c r="U1382" s="39" t="n">
        <v>239.25</v>
      </c>
      <c r="V1382" s="39" t="n">
        <f aca="false">J1382*Resumo!$B$6</f>
        <v>1.52691</v>
      </c>
      <c r="W1382" s="39" t="n">
        <f aca="false">J1382*Resumo!$B$7</f>
        <v>3.05382</v>
      </c>
      <c r="X1382" s="39" t="n">
        <f aca="false">Resumo!$B$9</f>
        <v>1</v>
      </c>
      <c r="Y1382" s="39" t="n">
        <f aca="false">Resumo!$B$10*CEILING(I1382/100,1)</f>
        <v>9</v>
      </c>
      <c r="Z1382" s="39" t="n">
        <f aca="false">Resumo!$B$12*CEILING(I1382,1)</f>
        <v>7.5</v>
      </c>
      <c r="AA1382" s="39" t="n">
        <f aca="false">Resumo!$B$13*CEILING(I1382,1)</f>
        <v>56.25</v>
      </c>
      <c r="AB1382" s="39" t="n">
        <f aca="false">SUM(U1382:AA1382)</f>
        <v>317.58073</v>
      </c>
      <c r="AC1382" s="39" t="n">
        <f aca="false">AB1382/(1-Resumo!$B$5)</f>
        <v>360.887193181818</v>
      </c>
      <c r="AD1382" s="39" t="n">
        <f aca="false">(AB1382-AA1382)/(1-Resumo!$B$5)</f>
        <v>296.966738636364</v>
      </c>
      <c r="AE1382" s="39" t="n">
        <f aca="false">AC1382-T1382</f>
        <v>127.279454318182</v>
      </c>
      <c r="AF1382" s="40" t="n">
        <f aca="false">AC1382/T1382-1</f>
        <v>0.544842627805573</v>
      </c>
      <c r="AG1382" s="37" t="str">
        <f aca="false">IF(AC1382&lt;T1382,"SIM","NÃO")</f>
        <v>NÃO</v>
      </c>
      <c r="AH1382" s="37" t="n">
        <v>8</v>
      </c>
      <c r="AI1382" s="37" t="n">
        <v>5</v>
      </c>
      <c r="AJ1382" s="37" t="s">
        <v>323</v>
      </c>
    </row>
    <row r="1383" customFormat="false" ht="15" hidden="false" customHeight="false" outlineLevel="0" collapsed="false">
      <c r="A1383" s="37" t="n">
        <v>381664063</v>
      </c>
      <c r="B1383" s="38" t="n">
        <v>46257.9081365741</v>
      </c>
      <c r="C1383" s="37" t="s">
        <v>352</v>
      </c>
      <c r="D1383" s="37" t="s">
        <v>920</v>
      </c>
      <c r="E1383" s="37" t="n">
        <v>22753050</v>
      </c>
      <c r="F1383" s="37" t="s">
        <v>139</v>
      </c>
      <c r="G1383" s="37" t="s">
        <v>198</v>
      </c>
      <c r="H1383" s="37" t="s">
        <v>168</v>
      </c>
      <c r="I1383" s="37" t="n">
        <v>22.4</v>
      </c>
      <c r="J1383" s="39" t="n">
        <v>434.99</v>
      </c>
      <c r="K1383" s="37" t="s">
        <v>322</v>
      </c>
      <c r="L1383" s="39" t="n">
        <v>82.41</v>
      </c>
      <c r="M1383" s="39" t="n">
        <v>54.1</v>
      </c>
      <c r="N1383" s="39" t="n">
        <f aca="false">J1383*Resumo!$C$7</f>
        <v>0.86998</v>
      </c>
      <c r="O1383" s="39" t="n">
        <f aca="false">J1383*Resumo!$C$8</f>
        <v>0.86998</v>
      </c>
      <c r="P1383" s="39" t="n">
        <f aca="false">Resumo!$C$10*CEILING(I1383/100,1)</f>
        <v>1</v>
      </c>
      <c r="Q1383" s="39" t="n">
        <f aca="false">Resumo!$C$9</f>
        <v>11.9</v>
      </c>
      <c r="R1383" s="39" t="n">
        <f aca="false">SUM(M1383:Q1383)*Resumo!$C$11</f>
        <v>3.7806978</v>
      </c>
      <c r="S1383" s="39" t="n">
        <f aca="false">SUM(M1383:R1383)</f>
        <v>72.5206578</v>
      </c>
      <c r="T1383" s="39" t="n">
        <f aca="false">S1383/(1-Resumo!$C$5)</f>
        <v>82.4098384090909</v>
      </c>
      <c r="U1383" s="39" t="n">
        <v>82.21</v>
      </c>
      <c r="V1383" s="39" t="n">
        <f aca="false">J1383*Resumo!$B$6</f>
        <v>0.43499</v>
      </c>
      <c r="W1383" s="39" t="n">
        <f aca="false">J1383*Resumo!$B$7</f>
        <v>0.86998</v>
      </c>
      <c r="X1383" s="39" t="n">
        <f aca="false">Resumo!$B$9</f>
        <v>1</v>
      </c>
      <c r="Y1383" s="39" t="n">
        <f aca="false">Resumo!$B$10*CEILING(I1383/100,1)</f>
        <v>4.5</v>
      </c>
      <c r="Z1383" s="39" t="n">
        <f aca="false">Resumo!$B$12*CEILING(I1383,1)</f>
        <v>1.38</v>
      </c>
      <c r="AA1383" s="39" t="n">
        <f aca="false">Resumo!$B$13*CEILING(I1383,1)</f>
        <v>10.35</v>
      </c>
      <c r="AB1383" s="39" t="n">
        <f aca="false">SUM(U1383:AA1383)</f>
        <v>100.74497</v>
      </c>
      <c r="AC1383" s="39" t="n">
        <f aca="false">AB1383/(1-Resumo!$B$5)</f>
        <v>114.482920454545</v>
      </c>
      <c r="AD1383" s="39" t="n">
        <f aca="false">(AB1383-AA1383)/(1-Resumo!$B$5)</f>
        <v>102.721556818182</v>
      </c>
      <c r="AE1383" s="39" t="n">
        <f aca="false">AC1383-T1383</f>
        <v>32.0730820454545</v>
      </c>
      <c r="AF1383" s="40" t="n">
        <f aca="false">AC1383/T1383-1</f>
        <v>0.389189964021534</v>
      </c>
      <c r="AG1383" s="37" t="str">
        <f aca="false">IF(AC1383&lt;T1383,"SIM","NÃO")</f>
        <v>NÃO</v>
      </c>
      <c r="AH1383" s="37" t="n">
        <v>8</v>
      </c>
      <c r="AI1383" s="37" t="n">
        <v>5</v>
      </c>
      <c r="AJ1383" s="37" t="s">
        <v>323</v>
      </c>
    </row>
    <row r="1384" customFormat="false" ht="15" hidden="false" customHeight="false" outlineLevel="0" collapsed="false">
      <c r="A1384" s="37" t="n">
        <v>381687413</v>
      </c>
      <c r="B1384" s="38" t="n">
        <v>46257.9338310185</v>
      </c>
      <c r="C1384" s="37" t="s">
        <v>320</v>
      </c>
      <c r="D1384" s="37" t="s">
        <v>1608</v>
      </c>
      <c r="E1384" s="37" t="n">
        <v>25211300</v>
      </c>
      <c r="F1384" s="37" t="s">
        <v>141</v>
      </c>
      <c r="G1384" s="37" t="s">
        <v>207</v>
      </c>
      <c r="H1384" s="37" t="s">
        <v>170</v>
      </c>
      <c r="I1384" s="37" t="n">
        <v>46.8</v>
      </c>
      <c r="J1384" s="39" t="n">
        <v>506.56</v>
      </c>
      <c r="K1384" s="37" t="s">
        <v>322</v>
      </c>
      <c r="L1384" s="39" t="n">
        <v>116.49</v>
      </c>
      <c r="M1384" s="39" t="n">
        <v>82.25</v>
      </c>
      <c r="N1384" s="39" t="n">
        <f aca="false">J1384*Resumo!$C$7</f>
        <v>1.01312</v>
      </c>
      <c r="O1384" s="39" t="n">
        <f aca="false">J1384*Resumo!$C$8</f>
        <v>1.01312</v>
      </c>
      <c r="P1384" s="39" t="n">
        <f aca="false">Resumo!$C$10*CEILING(I1384/100,1)</f>
        <v>1</v>
      </c>
      <c r="Q1384" s="39" t="n">
        <f aca="false">Resumo!$C$9</f>
        <v>11.9</v>
      </c>
      <c r="R1384" s="39" t="n">
        <f aca="false">SUM(M1384:Q1384)*Resumo!$C$11</f>
        <v>5.3446932</v>
      </c>
      <c r="S1384" s="39" t="n">
        <f aca="false">SUM(M1384:R1384)</f>
        <v>102.5209332</v>
      </c>
      <c r="T1384" s="39" t="n">
        <f aca="false">S1384/(1-Resumo!$C$5)</f>
        <v>116.501060454545</v>
      </c>
      <c r="U1384" s="39" t="n">
        <v>93.97</v>
      </c>
      <c r="V1384" s="39" t="n">
        <f aca="false">J1384*Resumo!$B$6</f>
        <v>0.50656</v>
      </c>
      <c r="W1384" s="39" t="n">
        <f aca="false">J1384*Resumo!$B$7</f>
        <v>1.01312</v>
      </c>
      <c r="X1384" s="39" t="n">
        <f aca="false">Resumo!$B$9</f>
        <v>1</v>
      </c>
      <c r="Y1384" s="39" t="n">
        <f aca="false">Resumo!$B$10*CEILING(I1384/100,1)</f>
        <v>4.5</v>
      </c>
      <c r="Z1384" s="39" t="n">
        <f aca="false">Resumo!$B$12*CEILING(I1384,1)</f>
        <v>2.82</v>
      </c>
      <c r="AA1384" s="39" t="n">
        <f aca="false">Resumo!$B$13*CEILING(I1384,1)</f>
        <v>21.15</v>
      </c>
      <c r="AB1384" s="39" t="n">
        <f aca="false">SUM(U1384:AA1384)</f>
        <v>124.95968</v>
      </c>
      <c r="AC1384" s="39" t="n">
        <f aca="false">AB1384/(1-Resumo!$B$5)</f>
        <v>141.999636363636</v>
      </c>
      <c r="AD1384" s="39" t="n">
        <f aca="false">(AB1384-AA1384)/(1-Resumo!$B$5)</f>
        <v>117.965545454545</v>
      </c>
      <c r="AE1384" s="39" t="n">
        <f aca="false">AC1384-T1384</f>
        <v>25.4985759090909</v>
      </c>
      <c r="AF1384" s="40" t="n">
        <f aca="false">AC1384/T1384-1</f>
        <v>0.218869903927094</v>
      </c>
      <c r="AG1384" s="37" t="str">
        <f aca="false">IF(AC1384&lt;T1384,"SIM","NÃO")</f>
        <v>NÃO</v>
      </c>
      <c r="AH1384" s="37" t="n">
        <v>10</v>
      </c>
      <c r="AI1384" s="37" t="n">
        <v>5</v>
      </c>
      <c r="AJ1384" s="37" t="s">
        <v>323</v>
      </c>
    </row>
    <row r="1385" customFormat="false" ht="15" hidden="false" customHeight="false" outlineLevel="0" collapsed="false">
      <c r="A1385" s="37" t="n">
        <v>381692974</v>
      </c>
      <c r="B1385" s="38" t="n">
        <v>46257.9423263889</v>
      </c>
      <c r="C1385" s="37" t="s">
        <v>320</v>
      </c>
      <c r="D1385" s="37" t="s">
        <v>1609</v>
      </c>
      <c r="E1385" s="37" t="n">
        <v>24470545</v>
      </c>
      <c r="F1385" s="37" t="s">
        <v>140</v>
      </c>
      <c r="G1385" s="37" t="s">
        <v>207</v>
      </c>
      <c r="H1385" s="37" t="s">
        <v>171</v>
      </c>
      <c r="I1385" s="37" t="n">
        <v>52.2</v>
      </c>
      <c r="J1385" s="39" t="n">
        <v>719.99</v>
      </c>
      <c r="K1385" s="37" t="s">
        <v>322</v>
      </c>
      <c r="L1385" s="39" t="n">
        <v>128.74</v>
      </c>
      <c r="M1385" s="39" t="n">
        <v>91.6</v>
      </c>
      <c r="N1385" s="39" t="n">
        <f aca="false">J1385*Resumo!$C$7</f>
        <v>1.43998</v>
      </c>
      <c r="O1385" s="39" t="n">
        <f aca="false">J1385*Resumo!$C$8</f>
        <v>1.43998</v>
      </c>
      <c r="P1385" s="39" t="n">
        <f aca="false">Resumo!$C$10*CEILING(I1385/100,1)</f>
        <v>1</v>
      </c>
      <c r="Q1385" s="39" t="n">
        <f aca="false">Resumo!$C$9</f>
        <v>11.9</v>
      </c>
      <c r="R1385" s="39" t="n">
        <f aca="false">SUM(M1385:Q1385)*Resumo!$C$11</f>
        <v>5.9058978</v>
      </c>
      <c r="S1385" s="39" t="n">
        <f aca="false">SUM(M1385:R1385)</f>
        <v>113.2858578</v>
      </c>
      <c r="T1385" s="39" t="n">
        <f aca="false">S1385/(1-Resumo!$C$5)</f>
        <v>128.733929318182</v>
      </c>
      <c r="U1385" s="39" t="n">
        <v>128.14</v>
      </c>
      <c r="V1385" s="39" t="n">
        <f aca="false">J1385*Resumo!$B$6</f>
        <v>0.71999</v>
      </c>
      <c r="W1385" s="39" t="n">
        <f aca="false">J1385*Resumo!$B$7</f>
        <v>1.43998</v>
      </c>
      <c r="X1385" s="39" t="n">
        <f aca="false">Resumo!$B$9</f>
        <v>1</v>
      </c>
      <c r="Y1385" s="39" t="n">
        <f aca="false">Resumo!$B$10*CEILING(I1385/100,1)</f>
        <v>4.5</v>
      </c>
      <c r="Z1385" s="39" t="n">
        <f aca="false">Resumo!$B$12*CEILING(I1385,1)</f>
        <v>3.18</v>
      </c>
      <c r="AA1385" s="39" t="n">
        <f aca="false">Resumo!$B$13*CEILING(I1385,1)</f>
        <v>23.85</v>
      </c>
      <c r="AB1385" s="39" t="n">
        <f aca="false">SUM(U1385:AA1385)</f>
        <v>162.82997</v>
      </c>
      <c r="AC1385" s="39" t="n">
        <f aca="false">AB1385/(1-Resumo!$B$5)</f>
        <v>185.034056818182</v>
      </c>
      <c r="AD1385" s="39" t="n">
        <f aca="false">(AB1385-AA1385)/(1-Resumo!$B$5)</f>
        <v>157.931784090909</v>
      </c>
      <c r="AE1385" s="39" t="n">
        <f aca="false">AC1385-T1385</f>
        <v>56.3001275</v>
      </c>
      <c r="AF1385" s="40" t="n">
        <f aca="false">AC1385/T1385-1</f>
        <v>0.437337132473035</v>
      </c>
      <c r="AG1385" s="37" t="str">
        <f aca="false">IF(AC1385&lt;T1385,"SIM","NÃO")</f>
        <v>NÃO</v>
      </c>
      <c r="AH1385" s="37" t="n">
        <v>10</v>
      </c>
      <c r="AI1385" s="37" t="n">
        <v>7</v>
      </c>
      <c r="AJ1385" s="37" t="s">
        <v>323</v>
      </c>
    </row>
    <row r="1386" customFormat="false" ht="15" hidden="false" customHeight="false" outlineLevel="0" collapsed="false">
      <c r="A1386" s="37" t="n">
        <v>381704414</v>
      </c>
      <c r="B1386" s="38" t="n">
        <v>46257.9601157407</v>
      </c>
      <c r="C1386" s="37" t="s">
        <v>325</v>
      </c>
      <c r="D1386" s="37" t="s">
        <v>645</v>
      </c>
      <c r="E1386" s="37" t="n">
        <v>23020230</v>
      </c>
      <c r="F1386" s="37" t="s">
        <v>139</v>
      </c>
      <c r="G1386" s="37" t="s">
        <v>198</v>
      </c>
      <c r="H1386" s="37" t="s">
        <v>168</v>
      </c>
      <c r="I1386" s="37" t="n">
        <v>31.4</v>
      </c>
      <c r="J1386" s="39" t="n">
        <v>368.32</v>
      </c>
      <c r="K1386" s="37" t="s">
        <v>322</v>
      </c>
      <c r="L1386" s="39" t="n">
        <v>82.1</v>
      </c>
      <c r="M1386" s="39" t="n">
        <v>54.1</v>
      </c>
      <c r="N1386" s="39" t="n">
        <f aca="false">J1386*Resumo!$C$7</f>
        <v>0.73664</v>
      </c>
      <c r="O1386" s="39" t="n">
        <f aca="false">J1386*Resumo!$C$8</f>
        <v>0.73664</v>
      </c>
      <c r="P1386" s="39" t="n">
        <f aca="false">Resumo!$C$10*CEILING(I1386/100,1)</f>
        <v>1</v>
      </c>
      <c r="Q1386" s="39" t="n">
        <f aca="false">Resumo!$C$9</f>
        <v>11.9</v>
      </c>
      <c r="R1386" s="39" t="n">
        <f aca="false">SUM(M1386:Q1386)*Resumo!$C$11</f>
        <v>3.7660304</v>
      </c>
      <c r="S1386" s="39" t="n">
        <f aca="false">SUM(M1386:R1386)</f>
        <v>72.2393104</v>
      </c>
      <c r="T1386" s="39" t="n">
        <f aca="false">S1386/(1-Resumo!$C$5)</f>
        <v>82.0901254545455</v>
      </c>
      <c r="U1386" s="39" t="n">
        <v>82.21</v>
      </c>
      <c r="V1386" s="39" t="n">
        <f aca="false">J1386*Resumo!$B$6</f>
        <v>0.36832</v>
      </c>
      <c r="W1386" s="39" t="n">
        <f aca="false">J1386*Resumo!$B$7</f>
        <v>0.73664</v>
      </c>
      <c r="X1386" s="39" t="n">
        <f aca="false">Resumo!$B$9</f>
        <v>1</v>
      </c>
      <c r="Y1386" s="39" t="n">
        <f aca="false">Resumo!$B$10*CEILING(I1386/100,1)</f>
        <v>4.5</v>
      </c>
      <c r="Z1386" s="39" t="n">
        <f aca="false">Resumo!$B$12*CEILING(I1386,1)</f>
        <v>1.92</v>
      </c>
      <c r="AA1386" s="39" t="n">
        <f aca="false">Resumo!$B$13*CEILING(I1386,1)</f>
        <v>14.4</v>
      </c>
      <c r="AB1386" s="39" t="n">
        <f aca="false">SUM(U1386:AA1386)</f>
        <v>105.13496</v>
      </c>
      <c r="AC1386" s="39" t="n">
        <f aca="false">AB1386/(1-Resumo!$B$5)</f>
        <v>119.471545454545</v>
      </c>
      <c r="AD1386" s="39" t="n">
        <f aca="false">(AB1386-AA1386)/(1-Resumo!$B$5)</f>
        <v>103.107909090909</v>
      </c>
      <c r="AE1386" s="39" t="n">
        <f aca="false">AC1386-T1386</f>
        <v>37.38142</v>
      </c>
      <c r="AF1386" s="40" t="n">
        <f aca="false">AC1386/T1386-1</f>
        <v>0.455370482052664</v>
      </c>
      <c r="AG1386" s="37" t="str">
        <f aca="false">IF(AC1386&lt;T1386,"SIM","NÃO")</f>
        <v>NÃO</v>
      </c>
      <c r="AH1386" s="37" t="n">
        <v>8</v>
      </c>
      <c r="AI1386" s="37" t="n">
        <v>5</v>
      </c>
      <c r="AJ1386" s="37" t="s">
        <v>323</v>
      </c>
    </row>
    <row r="1387" customFormat="false" ht="15" hidden="false" customHeight="false" outlineLevel="0" collapsed="false">
      <c r="A1387" s="37" t="n">
        <v>381708602</v>
      </c>
      <c r="B1387" s="38" t="n">
        <v>46257.9671875</v>
      </c>
      <c r="C1387" s="37" t="s">
        <v>320</v>
      </c>
      <c r="D1387" s="37" t="s">
        <v>1610</v>
      </c>
      <c r="E1387" s="37" t="n">
        <v>22790877</v>
      </c>
      <c r="F1387" s="37" t="s">
        <v>139</v>
      </c>
      <c r="G1387" s="37" t="s">
        <v>198</v>
      </c>
      <c r="H1387" s="37" t="s">
        <v>168</v>
      </c>
      <c r="I1387" s="37" t="n">
        <v>27</v>
      </c>
      <c r="J1387" s="39" t="n">
        <v>349.99</v>
      </c>
      <c r="K1387" s="37" t="s">
        <v>322</v>
      </c>
      <c r="L1387" s="39" t="n">
        <v>82</v>
      </c>
      <c r="M1387" s="39" t="n">
        <v>54.1</v>
      </c>
      <c r="N1387" s="39" t="n">
        <f aca="false">J1387*Resumo!$C$7</f>
        <v>0.69998</v>
      </c>
      <c r="O1387" s="39" t="n">
        <f aca="false">J1387*Resumo!$C$8</f>
        <v>0.69998</v>
      </c>
      <c r="P1387" s="39" t="n">
        <f aca="false">Resumo!$C$10*CEILING(I1387/100,1)</f>
        <v>1</v>
      </c>
      <c r="Q1387" s="39" t="n">
        <f aca="false">Resumo!$C$9</f>
        <v>11.9</v>
      </c>
      <c r="R1387" s="39" t="n">
        <f aca="false">SUM(M1387:Q1387)*Resumo!$C$11</f>
        <v>3.7619978</v>
      </c>
      <c r="S1387" s="39" t="n">
        <f aca="false">SUM(M1387:R1387)</f>
        <v>72.1619578</v>
      </c>
      <c r="T1387" s="39" t="n">
        <f aca="false">S1387/(1-Resumo!$C$5)</f>
        <v>82.0022247727273</v>
      </c>
      <c r="U1387" s="39" t="n">
        <v>82.21</v>
      </c>
      <c r="V1387" s="39" t="n">
        <f aca="false">J1387*Resumo!$B$6</f>
        <v>0.34999</v>
      </c>
      <c r="W1387" s="39" t="n">
        <f aca="false">J1387*Resumo!$B$7</f>
        <v>0.69998</v>
      </c>
      <c r="X1387" s="39" t="n">
        <f aca="false">Resumo!$B$9</f>
        <v>1</v>
      </c>
      <c r="Y1387" s="39" t="n">
        <f aca="false">Resumo!$B$10*CEILING(I1387/100,1)</f>
        <v>4.5</v>
      </c>
      <c r="Z1387" s="39" t="n">
        <f aca="false">Resumo!$B$12*CEILING(I1387,1)</f>
        <v>1.62</v>
      </c>
      <c r="AA1387" s="39" t="n">
        <f aca="false">Resumo!$B$13*CEILING(I1387,1)</f>
        <v>12.15</v>
      </c>
      <c r="AB1387" s="39" t="n">
        <f aca="false">SUM(U1387:AA1387)</f>
        <v>102.52997</v>
      </c>
      <c r="AC1387" s="39" t="n">
        <f aca="false">AB1387/(1-Resumo!$B$5)</f>
        <v>116.511329545455</v>
      </c>
      <c r="AD1387" s="39" t="n">
        <f aca="false">(AB1387-AA1387)/(1-Resumo!$B$5)</f>
        <v>102.704511363636</v>
      </c>
      <c r="AE1387" s="39" t="n">
        <f aca="false">AC1387-T1387</f>
        <v>34.5091047727273</v>
      </c>
      <c r="AF1387" s="40" t="n">
        <f aca="false">AC1387/T1387-1</f>
        <v>0.42083132339849</v>
      </c>
      <c r="AG1387" s="37" t="str">
        <f aca="false">IF(AC1387&lt;T1387,"SIM","NÃO")</f>
        <v>NÃO</v>
      </c>
      <c r="AH1387" s="37" t="n">
        <v>8</v>
      </c>
      <c r="AI1387" s="37" t="n">
        <v>5</v>
      </c>
      <c r="AJ1387" s="37" t="s">
        <v>323</v>
      </c>
    </row>
    <row r="1388" customFormat="false" ht="15" hidden="false" customHeight="false" outlineLevel="0" collapsed="false">
      <c r="A1388" s="37" t="n">
        <v>381028973</v>
      </c>
      <c r="B1388" s="38" t="n">
        <v>46258.0063078704</v>
      </c>
      <c r="C1388" s="37" t="s">
        <v>355</v>
      </c>
      <c r="D1388" s="37" t="s">
        <v>1611</v>
      </c>
      <c r="E1388" s="37" t="n">
        <v>21321560</v>
      </c>
      <c r="F1388" s="37" t="s">
        <v>139</v>
      </c>
      <c r="G1388" s="37" t="s">
        <v>198</v>
      </c>
      <c r="H1388" s="37" t="s">
        <v>168</v>
      </c>
      <c r="I1388" s="37" t="n">
        <v>21.75</v>
      </c>
      <c r="J1388" s="39" t="n">
        <v>329.99</v>
      </c>
      <c r="K1388" s="37" t="s">
        <v>322</v>
      </c>
      <c r="L1388" s="39" t="n">
        <v>81.91</v>
      </c>
      <c r="M1388" s="39" t="n">
        <v>54.1</v>
      </c>
      <c r="N1388" s="39" t="n">
        <f aca="false">J1388*Resumo!$C$7</f>
        <v>0.65998</v>
      </c>
      <c r="O1388" s="39" t="n">
        <f aca="false">J1388*Resumo!$C$8</f>
        <v>0.65998</v>
      </c>
      <c r="P1388" s="39" t="n">
        <f aca="false">Resumo!$C$10*CEILING(I1388/100,1)</f>
        <v>1</v>
      </c>
      <c r="Q1388" s="39" t="n">
        <f aca="false">Resumo!$C$9</f>
        <v>11.9</v>
      </c>
      <c r="R1388" s="39" t="n">
        <f aca="false">SUM(M1388:Q1388)*Resumo!$C$11</f>
        <v>3.7575978</v>
      </c>
      <c r="S1388" s="39" t="n">
        <f aca="false">SUM(M1388:R1388)</f>
        <v>72.0775578</v>
      </c>
      <c r="T1388" s="39" t="n">
        <f aca="false">S1388/(1-Resumo!$C$5)</f>
        <v>81.9063156818182</v>
      </c>
      <c r="U1388" s="39" t="n">
        <v>82.21</v>
      </c>
      <c r="V1388" s="39" t="n">
        <f aca="false">J1388*Resumo!$B$6</f>
        <v>0.32999</v>
      </c>
      <c r="W1388" s="39" t="n">
        <f aca="false">J1388*Resumo!$B$7</f>
        <v>0.65998</v>
      </c>
      <c r="X1388" s="39" t="n">
        <f aca="false">Resumo!$B$9</f>
        <v>1</v>
      </c>
      <c r="Y1388" s="39" t="n">
        <f aca="false">Resumo!$B$10*CEILING(I1388/100,1)</f>
        <v>4.5</v>
      </c>
      <c r="Z1388" s="39" t="n">
        <f aca="false">Resumo!$B$12*CEILING(I1388,1)</f>
        <v>1.32</v>
      </c>
      <c r="AA1388" s="39" t="n">
        <f aca="false">Resumo!$B$13*CEILING(I1388,1)</f>
        <v>9.9</v>
      </c>
      <c r="AB1388" s="39" t="n">
        <f aca="false">SUM(U1388:AA1388)</f>
        <v>99.91997</v>
      </c>
      <c r="AC1388" s="39" t="n">
        <f aca="false">AB1388/(1-Resumo!$B$5)</f>
        <v>113.545420454545</v>
      </c>
      <c r="AD1388" s="39" t="n">
        <f aca="false">(AB1388-AA1388)/(1-Resumo!$B$5)</f>
        <v>102.295420454545</v>
      </c>
      <c r="AE1388" s="39" t="n">
        <f aca="false">AC1388-T1388</f>
        <v>31.6391047727273</v>
      </c>
      <c r="AF1388" s="40" t="n">
        <f aca="false">AC1388/T1388-1</f>
        <v>0.386284067466004</v>
      </c>
      <c r="AG1388" s="37" t="str">
        <f aca="false">IF(AC1388&lt;T1388,"SIM","NÃO")</f>
        <v>NÃO</v>
      </c>
      <c r="AH1388" s="37" t="n">
        <v>8</v>
      </c>
      <c r="AI1388" s="37" t="n">
        <v>5</v>
      </c>
      <c r="AJ1388" s="37" t="s">
        <v>323</v>
      </c>
    </row>
    <row r="1389" customFormat="false" ht="15" hidden="false" customHeight="false" outlineLevel="0" collapsed="false">
      <c r="A1389" s="37" t="n">
        <v>381888888</v>
      </c>
      <c r="B1389" s="38" t="n">
        <v>46258.2803472222</v>
      </c>
      <c r="C1389" s="37" t="s">
        <v>320</v>
      </c>
      <c r="D1389" s="37" t="s">
        <v>1612</v>
      </c>
      <c r="E1389" s="37" t="n">
        <v>24716570</v>
      </c>
      <c r="F1389" s="37" t="s">
        <v>140</v>
      </c>
      <c r="G1389" s="37" t="s">
        <v>207</v>
      </c>
      <c r="H1389" s="37" t="s">
        <v>168</v>
      </c>
      <c r="I1389" s="37" t="n">
        <v>22.4</v>
      </c>
      <c r="J1389" s="39" t="n">
        <v>519.99</v>
      </c>
      <c r="K1389" s="37" t="s">
        <v>322</v>
      </c>
      <c r="L1389" s="39" t="n">
        <v>101.87</v>
      </c>
      <c r="M1389" s="39" t="n">
        <v>70</v>
      </c>
      <c r="N1389" s="39" t="n">
        <f aca="false">J1389*Resumo!$C$7</f>
        <v>1.03998</v>
      </c>
      <c r="O1389" s="39" t="n">
        <f aca="false">J1389*Resumo!$C$8</f>
        <v>1.03998</v>
      </c>
      <c r="P1389" s="39" t="n">
        <f aca="false">Resumo!$C$10*CEILING(I1389/100,1)</f>
        <v>1</v>
      </c>
      <c r="Q1389" s="39" t="n">
        <f aca="false">Resumo!$C$9</f>
        <v>11.9</v>
      </c>
      <c r="R1389" s="39" t="n">
        <f aca="false">SUM(M1389:Q1389)*Resumo!$C$11</f>
        <v>4.6738978</v>
      </c>
      <c r="S1389" s="39" t="n">
        <f aca="false">SUM(M1389:R1389)</f>
        <v>89.6538578</v>
      </c>
      <c r="T1389" s="39" t="n">
        <f aca="false">S1389/(1-Resumo!$C$5)</f>
        <v>101.879383863636</v>
      </c>
      <c r="U1389" s="39" t="n">
        <v>100.58</v>
      </c>
      <c r="V1389" s="39" t="n">
        <f aca="false">J1389*Resumo!$B$6</f>
        <v>0.51999</v>
      </c>
      <c r="W1389" s="39" t="n">
        <f aca="false">J1389*Resumo!$B$7</f>
        <v>1.03998</v>
      </c>
      <c r="X1389" s="39" t="n">
        <f aca="false">Resumo!$B$9</f>
        <v>1</v>
      </c>
      <c r="Y1389" s="39" t="n">
        <f aca="false">Resumo!$B$10*CEILING(I1389/100,1)</f>
        <v>4.5</v>
      </c>
      <c r="Z1389" s="39" t="n">
        <f aca="false">Resumo!$B$12*CEILING(I1389,1)</f>
        <v>1.38</v>
      </c>
      <c r="AA1389" s="39" t="n">
        <f aca="false">Resumo!$B$13*CEILING(I1389,1)</f>
        <v>10.35</v>
      </c>
      <c r="AB1389" s="39" t="n">
        <f aca="false">SUM(U1389:AA1389)</f>
        <v>119.36997</v>
      </c>
      <c r="AC1389" s="39" t="n">
        <f aca="false">AB1389/(1-Resumo!$B$5)</f>
        <v>135.647693181818</v>
      </c>
      <c r="AD1389" s="39" t="n">
        <f aca="false">(AB1389-AA1389)/(1-Resumo!$B$5)</f>
        <v>123.886329545455</v>
      </c>
      <c r="AE1389" s="39" t="n">
        <f aca="false">AC1389-T1389</f>
        <v>33.7683093181818</v>
      </c>
      <c r="AF1389" s="40" t="n">
        <f aca="false">AC1389/T1389-1</f>
        <v>0.331453803876357</v>
      </c>
      <c r="AG1389" s="37" t="str">
        <f aca="false">IF(AC1389&lt;T1389,"SIM","NÃO")</f>
        <v>NÃO</v>
      </c>
      <c r="AH1389" s="37" t="n">
        <v>10</v>
      </c>
      <c r="AI1389" s="37" t="n">
        <v>7</v>
      </c>
      <c r="AJ1389" s="37" t="s">
        <v>323</v>
      </c>
    </row>
    <row r="1390" customFormat="false" ht="15" hidden="false" customHeight="false" outlineLevel="0" collapsed="false">
      <c r="A1390" s="37" t="n">
        <v>381977516</v>
      </c>
      <c r="B1390" s="38" t="n">
        <v>46258.4177662037</v>
      </c>
      <c r="C1390" s="37" t="s">
        <v>320</v>
      </c>
      <c r="D1390" s="37" t="s">
        <v>1613</v>
      </c>
      <c r="E1390" s="37" t="n">
        <v>20211010</v>
      </c>
      <c r="F1390" s="37" t="s">
        <v>139</v>
      </c>
      <c r="G1390" s="37" t="s">
        <v>198</v>
      </c>
      <c r="H1390" s="37" t="s">
        <v>169</v>
      </c>
      <c r="I1390" s="37" t="n">
        <v>36.9</v>
      </c>
      <c r="J1390" s="39" t="n">
        <v>389.99</v>
      </c>
      <c r="K1390" s="37" t="s">
        <v>322</v>
      </c>
      <c r="L1390" s="39" t="n">
        <v>91.73</v>
      </c>
      <c r="M1390" s="39" t="n">
        <v>62.05</v>
      </c>
      <c r="N1390" s="39" t="n">
        <f aca="false">J1390*Resumo!$C$7</f>
        <v>0.77998</v>
      </c>
      <c r="O1390" s="39" t="n">
        <f aca="false">J1390*Resumo!$C$8</f>
        <v>0.77998</v>
      </c>
      <c r="P1390" s="39" t="n">
        <f aca="false">Resumo!$C$10*CEILING(I1390/100,1)</f>
        <v>1</v>
      </c>
      <c r="Q1390" s="39" t="n">
        <f aca="false">Resumo!$C$9</f>
        <v>11.9</v>
      </c>
      <c r="R1390" s="39" t="n">
        <f aca="false">SUM(M1390:Q1390)*Resumo!$C$11</f>
        <v>4.2080478</v>
      </c>
      <c r="S1390" s="39" t="n">
        <f aca="false">SUM(M1390:R1390)</f>
        <v>80.7180078</v>
      </c>
      <c r="T1390" s="39" t="n">
        <f aca="false">S1390/(1-Resumo!$C$5)</f>
        <v>91.7250088636364</v>
      </c>
      <c r="U1390" s="39" t="n">
        <v>93.97</v>
      </c>
      <c r="V1390" s="39" t="n">
        <f aca="false">J1390*Resumo!$B$6</f>
        <v>0.38999</v>
      </c>
      <c r="W1390" s="39" t="n">
        <f aca="false">J1390*Resumo!$B$7</f>
        <v>0.77998</v>
      </c>
      <c r="X1390" s="39" t="n">
        <f aca="false">Resumo!$B$9</f>
        <v>1</v>
      </c>
      <c r="Y1390" s="39" t="n">
        <f aca="false">Resumo!$B$10*CEILING(I1390/100,1)</f>
        <v>4.5</v>
      </c>
      <c r="Z1390" s="39" t="n">
        <f aca="false">Resumo!$B$12*CEILING(I1390,1)</f>
        <v>2.22</v>
      </c>
      <c r="AA1390" s="39" t="n">
        <f aca="false">Resumo!$B$13*CEILING(I1390,1)</f>
        <v>16.65</v>
      </c>
      <c r="AB1390" s="39" t="n">
        <f aca="false">SUM(U1390:AA1390)</f>
        <v>119.50997</v>
      </c>
      <c r="AC1390" s="39" t="n">
        <f aca="false">AB1390/(1-Resumo!$B$5)</f>
        <v>135.806784090909</v>
      </c>
      <c r="AD1390" s="39" t="n">
        <f aca="false">(AB1390-AA1390)/(1-Resumo!$B$5)</f>
        <v>116.886329545455</v>
      </c>
      <c r="AE1390" s="39" t="n">
        <f aca="false">AC1390-T1390</f>
        <v>44.0817752272727</v>
      </c>
      <c r="AF1390" s="40" t="n">
        <f aca="false">AC1390/T1390-1</f>
        <v>0.480586219324407</v>
      </c>
      <c r="AG1390" s="37" t="str">
        <f aca="false">IF(AC1390&lt;T1390,"SIM","NÃO")</f>
        <v>NÃO</v>
      </c>
      <c r="AH1390" s="37" t="n">
        <v>8</v>
      </c>
      <c r="AI1390" s="37" t="n">
        <v>5</v>
      </c>
      <c r="AJ1390" s="37" t="s">
        <v>323</v>
      </c>
    </row>
    <row r="1391" customFormat="false" ht="15" hidden="false" customHeight="false" outlineLevel="0" collapsed="false">
      <c r="A1391" s="37" t="n">
        <v>381990085</v>
      </c>
      <c r="B1391" s="38" t="n">
        <v>46258.4411921296</v>
      </c>
      <c r="C1391" s="37" t="s">
        <v>320</v>
      </c>
      <c r="D1391" s="37" t="s">
        <v>434</v>
      </c>
      <c r="E1391" s="37" t="n">
        <v>28200000</v>
      </c>
      <c r="F1391" s="37" t="s">
        <v>245</v>
      </c>
      <c r="G1391" s="37" t="s">
        <v>201</v>
      </c>
      <c r="H1391" s="37" t="s">
        <v>169</v>
      </c>
      <c r="I1391" s="37" t="n">
        <v>36.9</v>
      </c>
      <c r="J1391" s="39" t="n">
        <v>389.99</v>
      </c>
      <c r="K1391" s="37" t="s">
        <v>322</v>
      </c>
      <c r="L1391" s="39" t="n">
        <v>122.11</v>
      </c>
      <c r="M1391" s="39" t="n">
        <v>87.4</v>
      </c>
      <c r="N1391" s="39" t="n">
        <f aca="false">J1391*Resumo!$C$7</f>
        <v>0.77998</v>
      </c>
      <c r="O1391" s="39" t="n">
        <f aca="false">J1391*Resumo!$C$8</f>
        <v>0.77998</v>
      </c>
      <c r="P1391" s="39" t="n">
        <f aca="false">Resumo!$C$10*CEILING(I1391/100,1)</f>
        <v>1</v>
      </c>
      <c r="Q1391" s="39" t="n">
        <f aca="false">Resumo!$C$9</f>
        <v>11.9</v>
      </c>
      <c r="R1391" s="39" t="n">
        <f aca="false">SUM(M1391:Q1391)*Resumo!$C$11</f>
        <v>5.6022978</v>
      </c>
      <c r="S1391" s="39" t="n">
        <f aca="false">SUM(M1391:R1391)</f>
        <v>107.4622578</v>
      </c>
      <c r="T1391" s="39" t="n">
        <f aca="false">S1391/(1-Resumo!$C$5)</f>
        <v>122.116202045455</v>
      </c>
      <c r="U1391" s="39" t="n">
        <v>143.04</v>
      </c>
      <c r="V1391" s="39" t="n">
        <f aca="false">J1391*Resumo!$B$6</f>
        <v>0.38999</v>
      </c>
      <c r="W1391" s="39" t="n">
        <f aca="false">J1391*Resumo!$B$7</f>
        <v>0.77998</v>
      </c>
      <c r="X1391" s="39" t="n">
        <f aca="false">Resumo!$B$9</f>
        <v>1</v>
      </c>
      <c r="Y1391" s="39" t="n">
        <f aca="false">Resumo!$B$10*CEILING(I1391/100,1)</f>
        <v>4.5</v>
      </c>
      <c r="Z1391" s="39" t="n">
        <f aca="false">Resumo!$B$12*CEILING(I1391,1)</f>
        <v>2.22</v>
      </c>
      <c r="AA1391" s="39" t="n">
        <f aca="false">Resumo!$B$13*CEILING(I1391,1)</f>
        <v>16.65</v>
      </c>
      <c r="AB1391" s="39" t="n">
        <f aca="false">SUM(U1391:AA1391)</f>
        <v>168.57997</v>
      </c>
      <c r="AC1391" s="39" t="n">
        <f aca="false">AB1391/(1-Resumo!$B$5)</f>
        <v>191.568147727273</v>
      </c>
      <c r="AD1391" s="39" t="n">
        <f aca="false">(AB1391-AA1391)/(1-Resumo!$B$5)</f>
        <v>172.647693181818</v>
      </c>
      <c r="AE1391" s="39" t="n">
        <f aca="false">AC1391-T1391</f>
        <v>69.4519456818182</v>
      </c>
      <c r="AF1391" s="40" t="n">
        <f aca="false">AC1391/T1391-1</f>
        <v>0.568736535516938</v>
      </c>
      <c r="AG1391" s="37" t="str">
        <f aca="false">IF(AC1391&lt;T1391,"SIM","NÃO")</f>
        <v>NÃO</v>
      </c>
      <c r="AH1391" s="37" t="n">
        <v>13</v>
      </c>
      <c r="AI1391" s="37" t="n">
        <v>11</v>
      </c>
      <c r="AJ1391" s="37" t="s">
        <v>327</v>
      </c>
    </row>
    <row r="1392" customFormat="false" ht="15" hidden="false" customHeight="false" outlineLevel="0" collapsed="false">
      <c r="A1392" s="37" t="n">
        <v>381999030</v>
      </c>
      <c r="B1392" s="38" t="n">
        <v>46258.4588541667</v>
      </c>
      <c r="C1392" s="37" t="s">
        <v>320</v>
      </c>
      <c r="D1392" s="37" t="s">
        <v>1614</v>
      </c>
      <c r="E1392" s="37" t="n">
        <v>26520020</v>
      </c>
      <c r="F1392" s="37" t="s">
        <v>224</v>
      </c>
      <c r="G1392" s="37" t="s">
        <v>207</v>
      </c>
      <c r="H1392" s="37" t="s">
        <v>171</v>
      </c>
      <c r="I1392" s="37" t="n">
        <v>52.3</v>
      </c>
      <c r="J1392" s="39" t="n">
        <v>616.99</v>
      </c>
      <c r="K1392" s="37" t="s">
        <v>322</v>
      </c>
      <c r="L1392" s="39" t="n">
        <v>128.23</v>
      </c>
      <c r="M1392" s="39" t="n">
        <v>91.6</v>
      </c>
      <c r="N1392" s="39" t="n">
        <f aca="false">J1392*Resumo!$C$7</f>
        <v>1.23398</v>
      </c>
      <c r="O1392" s="39" t="n">
        <f aca="false">J1392*Resumo!$C$8</f>
        <v>1.23398</v>
      </c>
      <c r="P1392" s="39" t="n">
        <f aca="false">Resumo!$C$10*CEILING(I1392/100,1)</f>
        <v>1</v>
      </c>
      <c r="Q1392" s="39" t="n">
        <f aca="false">Resumo!$C$9</f>
        <v>11.9</v>
      </c>
      <c r="R1392" s="39" t="n">
        <f aca="false">SUM(M1392:Q1392)*Resumo!$C$11</f>
        <v>5.8832378</v>
      </c>
      <c r="S1392" s="39" t="n">
        <f aca="false">SUM(M1392:R1392)</f>
        <v>112.8511978</v>
      </c>
      <c r="T1392" s="39" t="n">
        <f aca="false">S1392/(1-Resumo!$C$5)</f>
        <v>128.2399975</v>
      </c>
      <c r="U1392" s="39" t="n">
        <v>112.3</v>
      </c>
      <c r="V1392" s="39" t="n">
        <f aca="false">J1392*Resumo!$B$6</f>
        <v>0.61699</v>
      </c>
      <c r="W1392" s="39" t="n">
        <f aca="false">J1392*Resumo!$B$7</f>
        <v>1.23398</v>
      </c>
      <c r="X1392" s="39" t="n">
        <f aca="false">Resumo!$B$9</f>
        <v>1</v>
      </c>
      <c r="Y1392" s="39" t="n">
        <f aca="false">Resumo!$B$10*CEILING(I1392/100,1)</f>
        <v>4.5</v>
      </c>
      <c r="Z1392" s="39" t="n">
        <f aca="false">Resumo!$B$12*CEILING(I1392,1)</f>
        <v>3.18</v>
      </c>
      <c r="AA1392" s="39" t="n">
        <f aca="false">Resumo!$B$13*CEILING(I1392,1)</f>
        <v>23.85</v>
      </c>
      <c r="AB1392" s="39" t="n">
        <f aca="false">SUM(U1392:AA1392)</f>
        <v>146.68097</v>
      </c>
      <c r="AC1392" s="39" t="n">
        <f aca="false">AB1392/(1-Resumo!$B$5)</f>
        <v>166.682920454545</v>
      </c>
      <c r="AD1392" s="39" t="n">
        <f aca="false">(AB1392-AA1392)/(1-Resumo!$B$5)</f>
        <v>139.580647727273</v>
      </c>
      <c r="AE1392" s="39" t="n">
        <f aca="false">AC1392-T1392</f>
        <v>38.4429229545455</v>
      </c>
      <c r="AF1392" s="40" t="n">
        <f aca="false">AC1392/T1392-1</f>
        <v>0.299773266562529</v>
      </c>
      <c r="AG1392" s="37" t="str">
        <f aca="false">IF(AC1392&lt;T1392,"SIM","NÃO")</f>
        <v>NÃO</v>
      </c>
      <c r="AH1392" s="37" t="n">
        <v>10</v>
      </c>
      <c r="AI1392" s="37" t="n">
        <v>5</v>
      </c>
      <c r="AJ1392" s="37" t="s">
        <v>327</v>
      </c>
    </row>
    <row r="1393" customFormat="false" ht="15" hidden="false" customHeight="false" outlineLevel="0" collapsed="false">
      <c r="A1393" s="37" t="n">
        <v>382144712</v>
      </c>
      <c r="B1393" s="38" t="n">
        <v>46258.6739236111</v>
      </c>
      <c r="C1393" s="37" t="s">
        <v>320</v>
      </c>
      <c r="D1393" s="37" t="s">
        <v>1615</v>
      </c>
      <c r="E1393" s="37" t="n">
        <v>28020465</v>
      </c>
      <c r="F1393" s="37" t="s">
        <v>144</v>
      </c>
      <c r="G1393" s="37" t="s">
        <v>201</v>
      </c>
      <c r="H1393" s="37" t="s">
        <v>175</v>
      </c>
      <c r="I1393" s="37" t="n">
        <v>106.5</v>
      </c>
      <c r="J1393" s="39" t="n">
        <v>1163.99</v>
      </c>
      <c r="K1393" s="37" t="s">
        <v>322</v>
      </c>
      <c r="L1393" s="39" t="n">
        <v>216.24</v>
      </c>
      <c r="M1393" s="39" t="n">
        <v>161.81</v>
      </c>
      <c r="N1393" s="39" t="n">
        <f aca="false">J1393*Resumo!$C$7</f>
        <v>2.32798</v>
      </c>
      <c r="O1393" s="39" t="n">
        <f aca="false">J1393*Resumo!$C$8</f>
        <v>2.32798</v>
      </c>
      <c r="P1393" s="39" t="n">
        <f aca="false">Resumo!$C$10*CEILING(I1393/100,1)</f>
        <v>2</v>
      </c>
      <c r="Q1393" s="39" t="n">
        <f aca="false">Resumo!$C$9</f>
        <v>11.9</v>
      </c>
      <c r="R1393" s="39" t="n">
        <f aca="false">SUM(M1393:Q1393)*Resumo!$C$11</f>
        <v>9.9201278</v>
      </c>
      <c r="S1393" s="39" t="n">
        <f aca="false">SUM(M1393:R1393)</f>
        <v>190.2860878</v>
      </c>
      <c r="T1393" s="39" t="n">
        <f aca="false">S1393/(1-Resumo!$C$5)</f>
        <v>216.234190681818</v>
      </c>
      <c r="U1393" s="39" t="n">
        <v>236.82</v>
      </c>
      <c r="V1393" s="39" t="n">
        <f aca="false">J1393*Resumo!$B$6</f>
        <v>1.16399</v>
      </c>
      <c r="W1393" s="39" t="n">
        <f aca="false">J1393*Resumo!$B$7</f>
        <v>2.32798</v>
      </c>
      <c r="X1393" s="39" t="n">
        <f aca="false">Resumo!$B$9</f>
        <v>1</v>
      </c>
      <c r="Y1393" s="39" t="n">
        <f aca="false">Resumo!$B$10*CEILING(I1393/100,1)</f>
        <v>9</v>
      </c>
      <c r="Z1393" s="39" t="n">
        <f aca="false">Resumo!$B$12*CEILING(I1393,1)</f>
        <v>6.42</v>
      </c>
      <c r="AA1393" s="39" t="n">
        <f aca="false">Resumo!$B$13*CEILING(I1393,1)</f>
        <v>48.15</v>
      </c>
      <c r="AB1393" s="39" t="n">
        <f aca="false">SUM(U1393:AA1393)</f>
        <v>304.88197</v>
      </c>
      <c r="AC1393" s="39" t="n">
        <f aca="false">AB1393/(1-Resumo!$B$5)</f>
        <v>346.456784090909</v>
      </c>
      <c r="AD1393" s="39" t="n">
        <f aca="false">(AB1393-AA1393)/(1-Resumo!$B$5)</f>
        <v>291.740875</v>
      </c>
      <c r="AE1393" s="39" t="n">
        <f aca="false">AC1393-T1393</f>
        <v>130.222593409091</v>
      </c>
      <c r="AF1393" s="40" t="n">
        <f aca="false">AC1393/T1393-1</f>
        <v>0.602229430038237</v>
      </c>
      <c r="AG1393" s="37" t="str">
        <f aca="false">IF(AC1393&lt;T1393,"SIM","NÃO")</f>
        <v>NÃO</v>
      </c>
      <c r="AH1393" s="37" t="n">
        <v>13</v>
      </c>
      <c r="AI1393" s="37" t="n">
        <v>11</v>
      </c>
      <c r="AJ1393" s="37" t="s">
        <v>323</v>
      </c>
    </row>
    <row r="1394" customFormat="false" ht="15" hidden="false" customHeight="false" outlineLevel="0" collapsed="false">
      <c r="A1394" s="37" t="n">
        <v>382186460</v>
      </c>
      <c r="B1394" s="38" t="n">
        <v>46258.7376388889</v>
      </c>
      <c r="C1394" s="37" t="s">
        <v>320</v>
      </c>
      <c r="D1394" s="37" t="s">
        <v>1616</v>
      </c>
      <c r="E1394" s="37" t="n">
        <v>21521360</v>
      </c>
      <c r="F1394" s="37" t="s">
        <v>139</v>
      </c>
      <c r="G1394" s="37" t="s">
        <v>198</v>
      </c>
      <c r="H1394" s="37" t="s">
        <v>170</v>
      </c>
      <c r="I1394" s="37" t="n">
        <v>45.3</v>
      </c>
      <c r="J1394" s="39" t="n">
        <v>625.99</v>
      </c>
      <c r="K1394" s="37" t="s">
        <v>322</v>
      </c>
      <c r="L1394" s="39" t="n">
        <v>103.58</v>
      </c>
      <c r="M1394" s="39" t="n">
        <v>71</v>
      </c>
      <c r="N1394" s="39" t="n">
        <f aca="false">J1394*Resumo!$C$7</f>
        <v>1.25198</v>
      </c>
      <c r="O1394" s="39" t="n">
        <f aca="false">J1394*Resumo!$C$8</f>
        <v>1.25198</v>
      </c>
      <c r="P1394" s="39" t="n">
        <f aca="false">Resumo!$C$10*CEILING(I1394/100,1)</f>
        <v>1</v>
      </c>
      <c r="Q1394" s="39" t="n">
        <f aca="false">Resumo!$C$9</f>
        <v>11.9</v>
      </c>
      <c r="R1394" s="39" t="n">
        <f aca="false">SUM(M1394:Q1394)*Resumo!$C$11</f>
        <v>4.7522178</v>
      </c>
      <c r="S1394" s="39" t="n">
        <f aca="false">SUM(M1394:R1394)</f>
        <v>91.1561778</v>
      </c>
      <c r="T1394" s="39" t="n">
        <f aca="false">S1394/(1-Resumo!$C$5)</f>
        <v>103.586565681818</v>
      </c>
      <c r="U1394" s="39" t="n">
        <v>93.97</v>
      </c>
      <c r="V1394" s="39" t="n">
        <f aca="false">J1394*Resumo!$B$6</f>
        <v>0.62599</v>
      </c>
      <c r="W1394" s="39" t="n">
        <f aca="false">J1394*Resumo!$B$7</f>
        <v>1.25198</v>
      </c>
      <c r="X1394" s="39" t="n">
        <f aca="false">Resumo!$B$9</f>
        <v>1</v>
      </c>
      <c r="Y1394" s="39" t="n">
        <f aca="false">Resumo!$B$10*CEILING(I1394/100,1)</f>
        <v>4.5</v>
      </c>
      <c r="Z1394" s="39" t="n">
        <f aca="false">Resumo!$B$12*CEILING(I1394,1)</f>
        <v>2.76</v>
      </c>
      <c r="AA1394" s="39" t="n">
        <f aca="false">Resumo!$B$13*CEILING(I1394,1)</f>
        <v>20.7</v>
      </c>
      <c r="AB1394" s="39" t="n">
        <f aca="false">SUM(U1394:AA1394)</f>
        <v>124.80797</v>
      </c>
      <c r="AC1394" s="39" t="n">
        <f aca="false">AB1394/(1-Resumo!$B$5)</f>
        <v>141.827238636364</v>
      </c>
      <c r="AD1394" s="39" t="n">
        <f aca="false">(AB1394-AA1394)/(1-Resumo!$B$5)</f>
        <v>118.304511363636</v>
      </c>
      <c r="AE1394" s="39" t="n">
        <f aca="false">AC1394-T1394</f>
        <v>38.2406729545455</v>
      </c>
      <c r="AF1394" s="40" t="n">
        <f aca="false">AC1394/T1394-1</f>
        <v>0.369166336414777</v>
      </c>
      <c r="AG1394" s="37" t="str">
        <f aca="false">IF(AC1394&lt;T1394,"SIM","NÃO")</f>
        <v>NÃO</v>
      </c>
      <c r="AH1394" s="37" t="n">
        <v>8</v>
      </c>
      <c r="AI1394" s="37" t="n">
        <v>5</v>
      </c>
      <c r="AJ1394" s="37" t="s">
        <v>323</v>
      </c>
    </row>
    <row r="1395" customFormat="false" ht="15" hidden="false" customHeight="false" outlineLevel="0" collapsed="false">
      <c r="A1395" s="37" t="n">
        <v>382189603</v>
      </c>
      <c r="B1395" s="38" t="n">
        <v>46258.7424305556</v>
      </c>
      <c r="C1395" s="37" t="s">
        <v>359</v>
      </c>
      <c r="D1395" s="37" t="s">
        <v>1617</v>
      </c>
      <c r="E1395" s="37" t="n">
        <v>22621070</v>
      </c>
      <c r="F1395" s="37" t="s">
        <v>139</v>
      </c>
      <c r="G1395" s="37" t="s">
        <v>198</v>
      </c>
      <c r="H1395" s="37" t="s">
        <v>169</v>
      </c>
      <c r="I1395" s="37" t="n">
        <v>40</v>
      </c>
      <c r="J1395" s="39" t="n">
        <v>599.99</v>
      </c>
      <c r="K1395" s="37" t="s">
        <v>322</v>
      </c>
      <c r="L1395" s="39" t="n">
        <v>92.73</v>
      </c>
      <c r="M1395" s="39" t="n">
        <v>62.05</v>
      </c>
      <c r="N1395" s="39" t="n">
        <f aca="false">J1395*Resumo!$C$7</f>
        <v>1.19998</v>
      </c>
      <c r="O1395" s="39" t="n">
        <f aca="false">J1395*Resumo!$C$8</f>
        <v>1.19998</v>
      </c>
      <c r="P1395" s="39" t="n">
        <f aca="false">Resumo!$C$10*CEILING(I1395/100,1)</f>
        <v>1</v>
      </c>
      <c r="Q1395" s="39" t="n">
        <f aca="false">Resumo!$C$9</f>
        <v>11.9</v>
      </c>
      <c r="R1395" s="39" t="n">
        <f aca="false">SUM(M1395:Q1395)*Resumo!$C$11</f>
        <v>4.2542478</v>
      </c>
      <c r="S1395" s="39" t="n">
        <f aca="false">SUM(M1395:R1395)</f>
        <v>81.6042078</v>
      </c>
      <c r="T1395" s="39" t="n">
        <f aca="false">S1395/(1-Resumo!$C$5)</f>
        <v>92.7320543181818</v>
      </c>
      <c r="U1395" s="39" t="n">
        <v>93.97</v>
      </c>
      <c r="V1395" s="39" t="n">
        <f aca="false">J1395*Resumo!$B$6</f>
        <v>0.59999</v>
      </c>
      <c r="W1395" s="39" t="n">
        <f aca="false">J1395*Resumo!$B$7</f>
        <v>1.19998</v>
      </c>
      <c r="X1395" s="39" t="n">
        <f aca="false">Resumo!$B$9</f>
        <v>1</v>
      </c>
      <c r="Y1395" s="39" t="n">
        <f aca="false">Resumo!$B$10*CEILING(I1395/100,1)</f>
        <v>4.5</v>
      </c>
      <c r="Z1395" s="39" t="n">
        <f aca="false">Resumo!$B$12*CEILING(I1395,1)</f>
        <v>2.4</v>
      </c>
      <c r="AA1395" s="39" t="n">
        <f aca="false">Resumo!$B$13*CEILING(I1395,1)</f>
        <v>18</v>
      </c>
      <c r="AB1395" s="39" t="n">
        <f aca="false">SUM(U1395:AA1395)</f>
        <v>121.66997</v>
      </c>
      <c r="AC1395" s="39" t="n">
        <f aca="false">AB1395/(1-Resumo!$B$5)</f>
        <v>138.261329545455</v>
      </c>
      <c r="AD1395" s="39" t="n">
        <f aca="false">(AB1395-AA1395)/(1-Resumo!$B$5)</f>
        <v>117.806784090909</v>
      </c>
      <c r="AE1395" s="39" t="n">
        <f aca="false">AC1395-T1395</f>
        <v>45.5292752272727</v>
      </c>
      <c r="AF1395" s="40" t="n">
        <f aca="false">AC1395/T1395-1</f>
        <v>0.490976669955492</v>
      </c>
      <c r="AG1395" s="37" t="str">
        <f aca="false">IF(AC1395&lt;T1395,"SIM","NÃO")</f>
        <v>NÃO</v>
      </c>
      <c r="AH1395" s="37" t="n">
        <v>8</v>
      </c>
      <c r="AI1395" s="37" t="n">
        <v>5</v>
      </c>
      <c r="AJ1395" s="37" t="s">
        <v>323</v>
      </c>
    </row>
    <row r="1396" customFormat="false" ht="15" hidden="false" customHeight="false" outlineLevel="0" collapsed="false">
      <c r="A1396" s="37" t="n">
        <v>382209211</v>
      </c>
      <c r="B1396" s="38" t="n">
        <v>46258.7730671296</v>
      </c>
      <c r="C1396" s="37" t="s">
        <v>320</v>
      </c>
      <c r="D1396" s="37" t="s">
        <v>1618</v>
      </c>
      <c r="E1396" s="37" t="n">
        <v>25040335</v>
      </c>
      <c r="F1396" s="37" t="s">
        <v>141</v>
      </c>
      <c r="G1396" s="37" t="s">
        <v>207</v>
      </c>
      <c r="H1396" s="37" t="s">
        <v>171</v>
      </c>
      <c r="I1396" s="37" t="n">
        <v>52.3</v>
      </c>
      <c r="J1396" s="39" t="n">
        <v>616.99</v>
      </c>
      <c r="K1396" s="37" t="s">
        <v>322</v>
      </c>
      <c r="L1396" s="39" t="n">
        <v>128.23</v>
      </c>
      <c r="M1396" s="39" t="n">
        <v>91.6</v>
      </c>
      <c r="N1396" s="39" t="n">
        <f aca="false">J1396*Resumo!$C$7</f>
        <v>1.23398</v>
      </c>
      <c r="O1396" s="39" t="n">
        <f aca="false">J1396*Resumo!$C$8</f>
        <v>1.23398</v>
      </c>
      <c r="P1396" s="39" t="n">
        <f aca="false">Resumo!$C$10*CEILING(I1396/100,1)</f>
        <v>1</v>
      </c>
      <c r="Q1396" s="39" t="n">
        <f aca="false">Resumo!$C$9</f>
        <v>11.9</v>
      </c>
      <c r="R1396" s="39" t="n">
        <f aca="false">SUM(M1396:Q1396)*Resumo!$C$11</f>
        <v>5.8832378</v>
      </c>
      <c r="S1396" s="39" t="n">
        <f aca="false">SUM(M1396:R1396)</f>
        <v>112.8511978</v>
      </c>
      <c r="T1396" s="39" t="n">
        <f aca="false">S1396/(1-Resumo!$C$5)</f>
        <v>128.2399975</v>
      </c>
      <c r="U1396" s="39" t="n">
        <v>112.3</v>
      </c>
      <c r="V1396" s="39" t="n">
        <f aca="false">J1396*Resumo!$B$6</f>
        <v>0.61699</v>
      </c>
      <c r="W1396" s="39" t="n">
        <f aca="false">J1396*Resumo!$B$7</f>
        <v>1.23398</v>
      </c>
      <c r="X1396" s="39" t="n">
        <f aca="false">Resumo!$B$9</f>
        <v>1</v>
      </c>
      <c r="Y1396" s="39" t="n">
        <f aca="false">Resumo!$B$10*CEILING(I1396/100,1)</f>
        <v>4.5</v>
      </c>
      <c r="Z1396" s="39" t="n">
        <f aca="false">Resumo!$B$12*CEILING(I1396,1)</f>
        <v>3.18</v>
      </c>
      <c r="AA1396" s="39" t="n">
        <f aca="false">Resumo!$B$13*CEILING(I1396,1)</f>
        <v>23.85</v>
      </c>
      <c r="AB1396" s="39" t="n">
        <f aca="false">SUM(U1396:AA1396)</f>
        <v>146.68097</v>
      </c>
      <c r="AC1396" s="39" t="n">
        <f aca="false">AB1396/(1-Resumo!$B$5)</f>
        <v>166.682920454545</v>
      </c>
      <c r="AD1396" s="39" t="n">
        <f aca="false">(AB1396-AA1396)/(1-Resumo!$B$5)</f>
        <v>139.580647727273</v>
      </c>
      <c r="AE1396" s="39" t="n">
        <f aca="false">AC1396-T1396</f>
        <v>38.4429229545455</v>
      </c>
      <c r="AF1396" s="40" t="n">
        <f aca="false">AC1396/T1396-1</f>
        <v>0.299773266562529</v>
      </c>
      <c r="AG1396" s="37" t="str">
        <f aca="false">IF(AC1396&lt;T1396,"SIM","NÃO")</f>
        <v>NÃO</v>
      </c>
      <c r="AH1396" s="37" t="n">
        <v>10</v>
      </c>
      <c r="AI1396" s="37" t="n">
        <v>5</v>
      </c>
      <c r="AJ1396" s="37" t="s">
        <v>323</v>
      </c>
    </row>
    <row r="1397" customFormat="false" ht="15" hidden="false" customHeight="false" outlineLevel="0" collapsed="false">
      <c r="A1397" s="37" t="n">
        <v>382243284</v>
      </c>
      <c r="B1397" s="38" t="n">
        <v>46258.8181597222</v>
      </c>
      <c r="C1397" s="37" t="s">
        <v>325</v>
      </c>
      <c r="D1397" s="37" t="s">
        <v>1619</v>
      </c>
      <c r="E1397" s="37" t="n">
        <v>26554150</v>
      </c>
      <c r="F1397" s="37" t="s">
        <v>155</v>
      </c>
      <c r="G1397" s="37" t="s">
        <v>207</v>
      </c>
      <c r="H1397" s="37" t="s">
        <v>171</v>
      </c>
      <c r="I1397" s="37" t="n">
        <v>51.06</v>
      </c>
      <c r="J1397" s="39" t="n">
        <v>640.1</v>
      </c>
      <c r="K1397" s="37" t="s">
        <v>322</v>
      </c>
      <c r="L1397" s="39" t="n">
        <v>128.35</v>
      </c>
      <c r="M1397" s="39" t="n">
        <v>91.6</v>
      </c>
      <c r="N1397" s="39" t="n">
        <f aca="false">J1397*Resumo!$C$7</f>
        <v>1.2802</v>
      </c>
      <c r="O1397" s="39" t="n">
        <f aca="false">J1397*Resumo!$C$8</f>
        <v>1.2802</v>
      </c>
      <c r="P1397" s="39" t="n">
        <f aca="false">Resumo!$C$10*CEILING(I1397/100,1)</f>
        <v>1</v>
      </c>
      <c r="Q1397" s="39" t="n">
        <f aca="false">Resumo!$C$9</f>
        <v>11.9</v>
      </c>
      <c r="R1397" s="39" t="n">
        <f aca="false">SUM(M1397:Q1397)*Resumo!$C$11</f>
        <v>5.888322</v>
      </c>
      <c r="S1397" s="39" t="n">
        <f aca="false">SUM(M1397:R1397)</f>
        <v>112.948722</v>
      </c>
      <c r="T1397" s="39" t="n">
        <f aca="false">S1397/(1-Resumo!$C$5)</f>
        <v>128.350820454545</v>
      </c>
      <c r="U1397" s="39" t="n">
        <v>112.3</v>
      </c>
      <c r="V1397" s="39" t="n">
        <f aca="false">J1397*Resumo!$B$6</f>
        <v>0.6401</v>
      </c>
      <c r="W1397" s="39" t="n">
        <f aca="false">J1397*Resumo!$B$7</f>
        <v>1.2802</v>
      </c>
      <c r="X1397" s="39" t="n">
        <f aca="false">Resumo!$B$9</f>
        <v>1</v>
      </c>
      <c r="Y1397" s="39" t="n">
        <f aca="false">Resumo!$B$10*CEILING(I1397/100,1)</f>
        <v>4.5</v>
      </c>
      <c r="Z1397" s="39" t="n">
        <f aca="false">Resumo!$B$12*CEILING(I1397,1)</f>
        <v>3.12</v>
      </c>
      <c r="AA1397" s="39" t="n">
        <f aca="false">Resumo!$B$13*CEILING(I1397,1)</f>
        <v>23.4</v>
      </c>
      <c r="AB1397" s="39" t="n">
        <f aca="false">SUM(U1397:AA1397)</f>
        <v>146.2403</v>
      </c>
      <c r="AC1397" s="39" t="n">
        <f aca="false">AB1397/(1-Resumo!$B$5)</f>
        <v>166.182159090909</v>
      </c>
      <c r="AD1397" s="39" t="n">
        <f aca="false">(AB1397-AA1397)/(1-Resumo!$B$5)</f>
        <v>139.59125</v>
      </c>
      <c r="AE1397" s="39" t="n">
        <f aca="false">AC1397-T1397</f>
        <v>37.8313386363636</v>
      </c>
      <c r="AF1397" s="40" t="n">
        <f aca="false">AC1397/T1397-1</f>
        <v>0.294749488179246</v>
      </c>
      <c r="AG1397" s="37" t="str">
        <f aca="false">IF(AC1397&lt;T1397,"SIM","NÃO")</f>
        <v>NÃO</v>
      </c>
      <c r="AH1397" s="37" t="n">
        <v>10</v>
      </c>
      <c r="AI1397" s="37" t="n">
        <v>5</v>
      </c>
      <c r="AJ1397" s="37" t="s">
        <v>323</v>
      </c>
    </row>
    <row r="1398" customFormat="false" ht="15" hidden="false" customHeight="false" outlineLevel="0" collapsed="false">
      <c r="A1398" s="37" t="n">
        <v>382303255</v>
      </c>
      <c r="B1398" s="38" t="n">
        <v>46258.8869907407</v>
      </c>
      <c r="C1398" s="37" t="s">
        <v>325</v>
      </c>
      <c r="D1398" s="37" t="s">
        <v>1620</v>
      </c>
      <c r="E1398" s="37" t="n">
        <v>22451262</v>
      </c>
      <c r="F1398" s="37" t="s">
        <v>139</v>
      </c>
      <c r="G1398" s="37" t="s">
        <v>198</v>
      </c>
      <c r="H1398" s="37" t="s">
        <v>172</v>
      </c>
      <c r="I1398" s="37" t="n">
        <v>64.6</v>
      </c>
      <c r="J1398" s="39" t="n">
        <v>1169.99</v>
      </c>
      <c r="K1398" s="37" t="s">
        <v>322</v>
      </c>
      <c r="L1398" s="39" t="n">
        <v>126.82</v>
      </c>
      <c r="M1398" s="39" t="n">
        <v>88.2</v>
      </c>
      <c r="N1398" s="39" t="n">
        <f aca="false">J1398*Resumo!$C$7</f>
        <v>2.33998</v>
      </c>
      <c r="O1398" s="39" t="n">
        <f aca="false">J1398*Resumo!$C$8</f>
        <v>2.33998</v>
      </c>
      <c r="P1398" s="39" t="n">
        <f aca="false">Resumo!$C$10*CEILING(I1398/100,1)</f>
        <v>1</v>
      </c>
      <c r="Q1398" s="39" t="n">
        <f aca="false">Resumo!$C$9</f>
        <v>11.9</v>
      </c>
      <c r="R1398" s="39" t="n">
        <f aca="false">SUM(M1398:Q1398)*Resumo!$C$11</f>
        <v>5.8178978</v>
      </c>
      <c r="S1398" s="39" t="n">
        <f aca="false">SUM(M1398:R1398)</f>
        <v>111.5978578</v>
      </c>
      <c r="T1398" s="39" t="n">
        <f aca="false">S1398/(1-Resumo!$C$5)</f>
        <v>126.8157475</v>
      </c>
      <c r="U1398" s="39" t="n">
        <v>131.02</v>
      </c>
      <c r="V1398" s="39" t="n">
        <f aca="false">J1398*Resumo!$B$6</f>
        <v>1.16999</v>
      </c>
      <c r="W1398" s="39" t="n">
        <f aca="false">J1398*Resumo!$B$7</f>
        <v>2.33998</v>
      </c>
      <c r="X1398" s="39" t="n">
        <f aca="false">Resumo!$B$9</f>
        <v>1</v>
      </c>
      <c r="Y1398" s="39" t="n">
        <f aca="false">Resumo!$B$10*CEILING(I1398/100,1)</f>
        <v>4.5</v>
      </c>
      <c r="Z1398" s="39" t="n">
        <f aca="false">Resumo!$B$12*CEILING(I1398,1)</f>
        <v>3.9</v>
      </c>
      <c r="AA1398" s="39" t="n">
        <f aca="false">Resumo!$B$13*CEILING(I1398,1)</f>
        <v>29.25</v>
      </c>
      <c r="AB1398" s="39" t="n">
        <f aca="false">SUM(U1398:AA1398)</f>
        <v>173.17997</v>
      </c>
      <c r="AC1398" s="39" t="n">
        <f aca="false">AB1398/(1-Resumo!$B$5)</f>
        <v>196.795420454545</v>
      </c>
      <c r="AD1398" s="39" t="n">
        <f aca="false">(AB1398-AA1398)/(1-Resumo!$B$5)</f>
        <v>163.556784090909</v>
      </c>
      <c r="AE1398" s="39" t="n">
        <f aca="false">AC1398-T1398</f>
        <v>69.9796729545455</v>
      </c>
      <c r="AF1398" s="40" t="n">
        <f aca="false">AC1398/T1398-1</f>
        <v>0.551821633622792</v>
      </c>
      <c r="AG1398" s="37" t="str">
        <f aca="false">IF(AC1398&lt;T1398,"SIM","NÃO")</f>
        <v>NÃO</v>
      </c>
      <c r="AH1398" s="37" t="n">
        <v>8</v>
      </c>
      <c r="AI1398" s="37" t="n">
        <v>5</v>
      </c>
      <c r="AJ1398" s="37" t="s">
        <v>323</v>
      </c>
    </row>
    <row r="1399" customFormat="false" ht="15" hidden="false" customHeight="false" outlineLevel="0" collapsed="false">
      <c r="A1399" s="37" t="n">
        <v>382324984</v>
      </c>
      <c r="B1399" s="38" t="n">
        <v>46258.9375462963</v>
      </c>
      <c r="C1399" s="37" t="s">
        <v>320</v>
      </c>
      <c r="D1399" s="37" t="s">
        <v>1621</v>
      </c>
      <c r="E1399" s="37" t="n">
        <v>28981640</v>
      </c>
      <c r="F1399" s="37" t="s">
        <v>153</v>
      </c>
      <c r="G1399" s="37" t="s">
        <v>201</v>
      </c>
      <c r="H1399" s="37" t="s">
        <v>169</v>
      </c>
      <c r="I1399" s="37" t="n">
        <v>40</v>
      </c>
      <c r="J1399" s="39" t="n">
        <v>579.99</v>
      </c>
      <c r="K1399" s="37" t="s">
        <v>322</v>
      </c>
      <c r="L1399" s="39" t="n">
        <v>123.02</v>
      </c>
      <c r="M1399" s="39" t="n">
        <v>87.4</v>
      </c>
      <c r="N1399" s="39" t="n">
        <f aca="false">J1399*Resumo!$C$7</f>
        <v>1.15998</v>
      </c>
      <c r="O1399" s="39" t="n">
        <f aca="false">J1399*Resumo!$C$8</f>
        <v>1.15998</v>
      </c>
      <c r="P1399" s="39" t="n">
        <f aca="false">Resumo!$C$10*CEILING(I1399/100,1)</f>
        <v>1</v>
      </c>
      <c r="Q1399" s="39" t="n">
        <f aca="false">Resumo!$C$9</f>
        <v>11.9</v>
      </c>
      <c r="R1399" s="39" t="n">
        <f aca="false">SUM(M1399:Q1399)*Resumo!$C$11</f>
        <v>5.6440978</v>
      </c>
      <c r="S1399" s="39" t="n">
        <f aca="false">SUM(M1399:R1399)</f>
        <v>108.2640578</v>
      </c>
      <c r="T1399" s="39" t="n">
        <f aca="false">S1399/(1-Resumo!$C$5)</f>
        <v>123.027338409091</v>
      </c>
      <c r="U1399" s="39" t="n">
        <v>124.38</v>
      </c>
      <c r="V1399" s="39" t="n">
        <f aca="false">J1399*Resumo!$B$6</f>
        <v>0.57999</v>
      </c>
      <c r="W1399" s="39" t="n">
        <f aca="false">J1399*Resumo!$B$7</f>
        <v>1.15998</v>
      </c>
      <c r="X1399" s="39" t="n">
        <f aca="false">Resumo!$B$9</f>
        <v>1</v>
      </c>
      <c r="Y1399" s="39" t="n">
        <f aca="false">Resumo!$B$10*CEILING(I1399/100,1)</f>
        <v>4.5</v>
      </c>
      <c r="Z1399" s="39" t="n">
        <f aca="false">Resumo!$B$12*CEILING(I1399,1)</f>
        <v>2.4</v>
      </c>
      <c r="AA1399" s="39" t="n">
        <f aca="false">Resumo!$B$13*CEILING(I1399,1)</f>
        <v>18</v>
      </c>
      <c r="AB1399" s="39" t="n">
        <f aca="false">SUM(U1399:AA1399)</f>
        <v>152.01997</v>
      </c>
      <c r="AC1399" s="39" t="n">
        <f aca="false">AB1399/(1-Resumo!$B$5)</f>
        <v>172.749965909091</v>
      </c>
      <c r="AD1399" s="39" t="n">
        <f aca="false">(AB1399-AA1399)/(1-Resumo!$B$5)</f>
        <v>152.295420454545</v>
      </c>
      <c r="AE1399" s="39" t="n">
        <f aca="false">AC1399-T1399</f>
        <v>49.7226275</v>
      </c>
      <c r="AF1399" s="40" t="n">
        <f aca="false">AC1399/T1399-1</f>
        <v>0.404159174237048</v>
      </c>
      <c r="AG1399" s="37" t="str">
        <f aca="false">IF(AC1399&lt;T1399,"SIM","NÃO")</f>
        <v>NÃO</v>
      </c>
      <c r="AH1399" s="37" t="n">
        <v>13</v>
      </c>
      <c r="AI1399" s="37" t="n">
        <v>10</v>
      </c>
      <c r="AJ1399" s="37" t="s">
        <v>323</v>
      </c>
    </row>
    <row r="1400" customFormat="false" ht="15" hidden="false" customHeight="false" outlineLevel="0" collapsed="false">
      <c r="A1400" s="37" t="n">
        <v>382333235</v>
      </c>
      <c r="B1400" s="38" t="n">
        <v>46258.9604976852</v>
      </c>
      <c r="C1400" s="37" t="s">
        <v>320</v>
      </c>
      <c r="D1400" s="37" t="s">
        <v>1622</v>
      </c>
      <c r="E1400" s="37" t="n">
        <v>28971530</v>
      </c>
      <c r="F1400" s="37" t="s">
        <v>153</v>
      </c>
      <c r="G1400" s="37" t="s">
        <v>201</v>
      </c>
      <c r="H1400" s="37" t="s">
        <v>168</v>
      </c>
      <c r="I1400" s="37" t="n">
        <v>27.4</v>
      </c>
      <c r="J1400" s="39" t="n">
        <v>369.99</v>
      </c>
      <c r="K1400" s="37" t="s">
        <v>322</v>
      </c>
      <c r="L1400" s="39" t="n">
        <v>108.95</v>
      </c>
      <c r="M1400" s="39" t="n">
        <v>76.5</v>
      </c>
      <c r="N1400" s="39" t="n">
        <f aca="false">J1400*Resumo!$C$7</f>
        <v>0.73998</v>
      </c>
      <c r="O1400" s="39" t="n">
        <f aca="false">J1400*Resumo!$C$8</f>
        <v>0.73998</v>
      </c>
      <c r="P1400" s="39" t="n">
        <f aca="false">Resumo!$C$10*CEILING(I1400/100,1)</f>
        <v>1</v>
      </c>
      <c r="Q1400" s="39" t="n">
        <f aca="false">Resumo!$C$9</f>
        <v>11.9</v>
      </c>
      <c r="R1400" s="39" t="n">
        <f aca="false">SUM(M1400:Q1400)*Resumo!$C$11</f>
        <v>4.9983978</v>
      </c>
      <c r="S1400" s="39" t="n">
        <f aca="false">SUM(M1400:R1400)</f>
        <v>95.8783578</v>
      </c>
      <c r="T1400" s="39" t="n">
        <f aca="false">S1400/(1-Resumo!$C$5)</f>
        <v>108.952679318182</v>
      </c>
      <c r="U1400" s="39" t="n">
        <v>114.95</v>
      </c>
      <c r="V1400" s="39" t="n">
        <f aca="false">J1400*Resumo!$B$6</f>
        <v>0.36999</v>
      </c>
      <c r="W1400" s="39" t="n">
        <f aca="false">J1400*Resumo!$B$7</f>
        <v>0.73998</v>
      </c>
      <c r="X1400" s="39" t="n">
        <f aca="false">Resumo!$B$9</f>
        <v>1</v>
      </c>
      <c r="Y1400" s="39" t="n">
        <f aca="false">Resumo!$B$10*CEILING(I1400/100,1)</f>
        <v>4.5</v>
      </c>
      <c r="Z1400" s="39" t="n">
        <f aca="false">Resumo!$B$12*CEILING(I1400,1)</f>
        <v>1.68</v>
      </c>
      <c r="AA1400" s="39" t="n">
        <f aca="false">Resumo!$B$13*CEILING(I1400,1)</f>
        <v>12.6</v>
      </c>
      <c r="AB1400" s="39" t="n">
        <f aca="false">SUM(U1400:AA1400)</f>
        <v>135.83997</v>
      </c>
      <c r="AC1400" s="39" t="n">
        <f aca="false">AB1400/(1-Resumo!$B$5)</f>
        <v>154.363602272727</v>
      </c>
      <c r="AD1400" s="39" t="n">
        <f aca="false">(AB1400-AA1400)/(1-Resumo!$B$5)</f>
        <v>140.045420454545</v>
      </c>
      <c r="AE1400" s="39" t="n">
        <f aca="false">AC1400-T1400</f>
        <v>45.4109229545454</v>
      </c>
      <c r="AF1400" s="40" t="n">
        <f aca="false">AC1400/T1400-1</f>
        <v>0.416794917194545</v>
      </c>
      <c r="AG1400" s="37" t="str">
        <f aca="false">IF(AC1400&lt;T1400,"SIM","NÃO")</f>
        <v>NÃO</v>
      </c>
      <c r="AH1400" s="37" t="n">
        <v>13</v>
      </c>
      <c r="AI1400" s="37" t="n">
        <v>10</v>
      </c>
      <c r="AJ1400" s="37" t="s">
        <v>323</v>
      </c>
    </row>
    <row r="1401" customFormat="false" ht="15" hidden="false" customHeight="false" outlineLevel="0" collapsed="false">
      <c r="A1401" s="37" t="n">
        <v>382607232</v>
      </c>
      <c r="B1401" s="38" t="n">
        <v>46259.4163425926</v>
      </c>
      <c r="C1401" s="37" t="s">
        <v>320</v>
      </c>
      <c r="D1401" s="37" t="s">
        <v>1623</v>
      </c>
      <c r="E1401" s="37" t="n">
        <v>23050340</v>
      </c>
      <c r="F1401" s="37" t="s">
        <v>139</v>
      </c>
      <c r="G1401" s="37" t="s">
        <v>198</v>
      </c>
      <c r="H1401" s="37" t="s">
        <v>170</v>
      </c>
      <c r="I1401" s="37" t="n">
        <v>45.3</v>
      </c>
      <c r="J1401" s="39" t="n">
        <v>630.04</v>
      </c>
      <c r="K1401" s="37" t="s">
        <v>322</v>
      </c>
      <c r="L1401" s="39" t="n">
        <v>103.6</v>
      </c>
      <c r="M1401" s="39" t="n">
        <v>71</v>
      </c>
      <c r="N1401" s="39" t="n">
        <f aca="false">J1401*Resumo!$C$7</f>
        <v>1.26008</v>
      </c>
      <c r="O1401" s="39" t="n">
        <f aca="false">J1401*Resumo!$C$8</f>
        <v>1.26008</v>
      </c>
      <c r="P1401" s="39" t="n">
        <f aca="false">Resumo!$C$10*CEILING(I1401/100,1)</f>
        <v>1</v>
      </c>
      <c r="Q1401" s="39" t="n">
        <f aca="false">Resumo!$C$9</f>
        <v>11.9</v>
      </c>
      <c r="R1401" s="39" t="n">
        <f aca="false">SUM(M1401:Q1401)*Resumo!$C$11</f>
        <v>4.7531088</v>
      </c>
      <c r="S1401" s="39" t="n">
        <f aca="false">SUM(M1401:R1401)</f>
        <v>91.1732688</v>
      </c>
      <c r="T1401" s="39" t="n">
        <f aca="false">S1401/(1-Resumo!$C$5)</f>
        <v>103.605987272727</v>
      </c>
      <c r="U1401" s="39" t="n">
        <v>93.97</v>
      </c>
      <c r="V1401" s="39" t="n">
        <f aca="false">J1401*Resumo!$B$6</f>
        <v>0.63004</v>
      </c>
      <c r="W1401" s="39" t="n">
        <f aca="false">J1401*Resumo!$B$7</f>
        <v>1.26008</v>
      </c>
      <c r="X1401" s="39" t="n">
        <f aca="false">Resumo!$B$9</f>
        <v>1</v>
      </c>
      <c r="Y1401" s="39" t="n">
        <f aca="false">Resumo!$B$10*CEILING(I1401/100,1)</f>
        <v>4.5</v>
      </c>
      <c r="Z1401" s="39" t="n">
        <f aca="false">Resumo!$B$12*CEILING(I1401,1)</f>
        <v>2.76</v>
      </c>
      <c r="AA1401" s="39" t="n">
        <f aca="false">Resumo!$B$13*CEILING(I1401,1)</f>
        <v>20.7</v>
      </c>
      <c r="AB1401" s="39" t="n">
        <f aca="false">SUM(U1401:AA1401)</f>
        <v>124.82012</v>
      </c>
      <c r="AC1401" s="39" t="n">
        <f aca="false">AB1401/(1-Resumo!$B$5)</f>
        <v>141.841045454545</v>
      </c>
      <c r="AD1401" s="39" t="n">
        <f aca="false">(AB1401-AA1401)/(1-Resumo!$B$5)</f>
        <v>118.318318181818</v>
      </c>
      <c r="AE1401" s="39" t="n">
        <f aca="false">AC1401-T1401</f>
        <v>38.2350581818182</v>
      </c>
      <c r="AF1401" s="40" t="n">
        <f aca="false">AC1401/T1401-1</f>
        <v>0.369042940357975</v>
      </c>
      <c r="AG1401" s="37" t="str">
        <f aca="false">IF(AC1401&lt;T1401,"SIM","NÃO")</f>
        <v>NÃO</v>
      </c>
      <c r="AH1401" s="37" t="n">
        <v>8</v>
      </c>
      <c r="AI1401" s="37" t="n">
        <v>5</v>
      </c>
      <c r="AJ1401" s="37" t="s">
        <v>323</v>
      </c>
    </row>
    <row r="1402" customFormat="false" ht="15" hidden="false" customHeight="false" outlineLevel="0" collapsed="false">
      <c r="A1402" s="37" t="n">
        <v>382624721</v>
      </c>
      <c r="B1402" s="38" t="n">
        <v>46259.4397916667</v>
      </c>
      <c r="C1402" s="37" t="s">
        <v>320</v>
      </c>
      <c r="D1402" s="37" t="s">
        <v>900</v>
      </c>
      <c r="E1402" s="37" t="n">
        <v>25850000</v>
      </c>
      <c r="F1402" s="37" t="s">
        <v>216</v>
      </c>
      <c r="G1402" s="37" t="s">
        <v>201</v>
      </c>
      <c r="H1402" s="37" t="s">
        <v>169</v>
      </c>
      <c r="I1402" s="37" t="n">
        <v>40</v>
      </c>
      <c r="J1402" s="39" t="n">
        <v>569.99</v>
      </c>
      <c r="K1402" s="37" t="s">
        <v>322</v>
      </c>
      <c r="L1402" s="39" t="n">
        <v>122.98</v>
      </c>
      <c r="M1402" s="39" t="n">
        <v>87.4</v>
      </c>
      <c r="N1402" s="39" t="n">
        <f aca="false">J1402*Resumo!$C$7</f>
        <v>1.13998</v>
      </c>
      <c r="O1402" s="39" t="n">
        <f aca="false">J1402*Resumo!$C$8</f>
        <v>1.13998</v>
      </c>
      <c r="P1402" s="39" t="n">
        <f aca="false">Resumo!$C$10*CEILING(I1402/100,1)</f>
        <v>1</v>
      </c>
      <c r="Q1402" s="39" t="n">
        <f aca="false">Resumo!$C$9</f>
        <v>11.9</v>
      </c>
      <c r="R1402" s="39" t="n">
        <f aca="false">SUM(M1402:Q1402)*Resumo!$C$11</f>
        <v>5.6418978</v>
      </c>
      <c r="S1402" s="39" t="n">
        <f aca="false">SUM(M1402:R1402)</f>
        <v>108.2218578</v>
      </c>
      <c r="T1402" s="39" t="n">
        <f aca="false">S1402/(1-Resumo!$C$5)</f>
        <v>122.979383863636</v>
      </c>
      <c r="U1402" s="39" t="n">
        <v>125.63</v>
      </c>
      <c r="V1402" s="39" t="n">
        <f aca="false">J1402*Resumo!$B$6</f>
        <v>0.56999</v>
      </c>
      <c r="W1402" s="39" t="n">
        <f aca="false">J1402*Resumo!$B$7</f>
        <v>1.13998</v>
      </c>
      <c r="X1402" s="39" t="n">
        <f aca="false">Resumo!$B$9</f>
        <v>1</v>
      </c>
      <c r="Y1402" s="39" t="n">
        <f aca="false">Resumo!$B$10*CEILING(I1402/100,1)</f>
        <v>4.5</v>
      </c>
      <c r="Z1402" s="39" t="n">
        <f aca="false">Resumo!$B$12*CEILING(I1402,1)</f>
        <v>2.4</v>
      </c>
      <c r="AA1402" s="39" t="n">
        <f aca="false">Resumo!$B$13*CEILING(I1402,1)</f>
        <v>18</v>
      </c>
      <c r="AB1402" s="39" t="n">
        <f aca="false">SUM(U1402:AA1402)</f>
        <v>153.23997</v>
      </c>
      <c r="AC1402" s="39" t="n">
        <f aca="false">AB1402/(1-Resumo!$B$5)</f>
        <v>174.136329545455</v>
      </c>
      <c r="AD1402" s="39" t="n">
        <f aca="false">(AB1402-AA1402)/(1-Resumo!$B$5)</f>
        <v>153.681784090909</v>
      </c>
      <c r="AE1402" s="39" t="n">
        <f aca="false">AC1402-T1402</f>
        <v>51.1569456818182</v>
      </c>
      <c r="AF1402" s="40" t="n">
        <f aca="false">AC1402/T1402-1</f>
        <v>0.415979850236871</v>
      </c>
      <c r="AG1402" s="37" t="str">
        <f aca="false">IF(AC1402&lt;T1402,"SIM","NÃO")</f>
        <v>NÃO</v>
      </c>
      <c r="AH1402" s="37" t="n">
        <v>13</v>
      </c>
      <c r="AI1402" s="37" t="n">
        <v>10</v>
      </c>
      <c r="AJ1402" s="37" t="s">
        <v>327</v>
      </c>
    </row>
    <row r="1403" customFormat="false" ht="15" hidden="false" customHeight="false" outlineLevel="0" collapsed="false">
      <c r="A1403" s="37" t="n">
        <v>382733594</v>
      </c>
      <c r="B1403" s="38" t="n">
        <v>46259.5651851852</v>
      </c>
      <c r="C1403" s="37" t="s">
        <v>325</v>
      </c>
      <c r="D1403" s="37" t="s">
        <v>1624</v>
      </c>
      <c r="E1403" s="37" t="n">
        <v>26572280</v>
      </c>
      <c r="F1403" s="37" t="s">
        <v>155</v>
      </c>
      <c r="G1403" s="37" t="s">
        <v>207</v>
      </c>
      <c r="H1403" s="37" t="s">
        <v>175</v>
      </c>
      <c r="I1403" s="37" t="n">
        <v>106.5</v>
      </c>
      <c r="J1403" s="39" t="n">
        <v>1099.99</v>
      </c>
      <c r="K1403" s="37" t="s">
        <v>322</v>
      </c>
      <c r="L1403" s="39" t="n">
        <v>195.1</v>
      </c>
      <c r="M1403" s="39" t="n">
        <v>144.44</v>
      </c>
      <c r="N1403" s="39" t="n">
        <f aca="false">J1403*Resumo!$C$7</f>
        <v>2.19998</v>
      </c>
      <c r="O1403" s="39" t="n">
        <f aca="false">J1403*Resumo!$C$8</f>
        <v>2.19998</v>
      </c>
      <c r="P1403" s="39" t="n">
        <f aca="false">Resumo!$C$10*CEILING(I1403/100,1)</f>
        <v>2</v>
      </c>
      <c r="Q1403" s="39" t="n">
        <f aca="false">Resumo!$C$9</f>
        <v>11.9</v>
      </c>
      <c r="R1403" s="39" t="n">
        <f aca="false">SUM(M1403:Q1403)*Resumo!$C$11</f>
        <v>8.9506978</v>
      </c>
      <c r="S1403" s="39" t="n">
        <f aca="false">SUM(M1403:R1403)</f>
        <v>171.6906578</v>
      </c>
      <c r="T1403" s="39" t="n">
        <f aca="false">S1403/(1-Resumo!$C$5)</f>
        <v>195.103020227273</v>
      </c>
      <c r="U1403" s="39" t="n">
        <v>201.59</v>
      </c>
      <c r="V1403" s="39" t="n">
        <f aca="false">J1403*Resumo!$B$6</f>
        <v>1.09999</v>
      </c>
      <c r="W1403" s="39" t="n">
        <f aca="false">J1403*Resumo!$B$7</f>
        <v>2.19998</v>
      </c>
      <c r="X1403" s="39" t="n">
        <f aca="false">Resumo!$B$9</f>
        <v>1</v>
      </c>
      <c r="Y1403" s="39" t="n">
        <f aca="false">Resumo!$B$10*CEILING(I1403/100,1)</f>
        <v>9</v>
      </c>
      <c r="Z1403" s="39" t="n">
        <f aca="false">Resumo!$B$12*CEILING(I1403,1)</f>
        <v>6.42</v>
      </c>
      <c r="AA1403" s="39" t="n">
        <f aca="false">Resumo!$B$13*CEILING(I1403,1)</f>
        <v>48.15</v>
      </c>
      <c r="AB1403" s="39" t="n">
        <f aca="false">SUM(U1403:AA1403)</f>
        <v>269.45997</v>
      </c>
      <c r="AC1403" s="39" t="n">
        <f aca="false">AB1403/(1-Resumo!$B$5)</f>
        <v>306.204511363636</v>
      </c>
      <c r="AD1403" s="39" t="n">
        <f aca="false">(AB1403-AA1403)/(1-Resumo!$B$5)</f>
        <v>251.488602272727</v>
      </c>
      <c r="AE1403" s="39" t="n">
        <f aca="false">AC1403-T1403</f>
        <v>111.101491136364</v>
      </c>
      <c r="AF1403" s="40" t="n">
        <f aca="false">AC1403/T1403-1</f>
        <v>0.569450390911136</v>
      </c>
      <c r="AG1403" s="37" t="str">
        <f aca="false">IF(AC1403&lt;T1403,"SIM","NÃO")</f>
        <v>NÃO</v>
      </c>
      <c r="AH1403" s="37" t="n">
        <v>10</v>
      </c>
      <c r="AI1403" s="37" t="n">
        <v>5</v>
      </c>
      <c r="AJ1403" s="37" t="s">
        <v>323</v>
      </c>
    </row>
    <row r="1404" customFormat="false" ht="15" hidden="false" customHeight="false" outlineLevel="0" collapsed="false">
      <c r="A1404" s="37" t="n">
        <v>382804280</v>
      </c>
      <c r="B1404" s="38" t="n">
        <v>46259.6659027778</v>
      </c>
      <c r="C1404" s="37" t="s">
        <v>320</v>
      </c>
      <c r="D1404" s="37" t="s">
        <v>1625</v>
      </c>
      <c r="E1404" s="37" t="n">
        <v>20725080</v>
      </c>
      <c r="F1404" s="37" t="s">
        <v>139</v>
      </c>
      <c r="G1404" s="37" t="s">
        <v>198</v>
      </c>
      <c r="H1404" s="37" t="s">
        <v>170</v>
      </c>
      <c r="I1404" s="37" t="n">
        <v>48.3</v>
      </c>
      <c r="J1404" s="39" t="n">
        <v>459.99</v>
      </c>
      <c r="K1404" s="37" t="s">
        <v>322</v>
      </c>
      <c r="L1404" s="39" t="n">
        <v>102.8</v>
      </c>
      <c r="M1404" s="39" t="n">
        <v>71</v>
      </c>
      <c r="N1404" s="39" t="n">
        <f aca="false">J1404*Resumo!$C$7</f>
        <v>0.91998</v>
      </c>
      <c r="O1404" s="39" t="n">
        <f aca="false">J1404*Resumo!$C$8</f>
        <v>0.91998</v>
      </c>
      <c r="P1404" s="39" t="n">
        <f aca="false">Resumo!$C$10*CEILING(I1404/100,1)</f>
        <v>1</v>
      </c>
      <c r="Q1404" s="39" t="n">
        <f aca="false">Resumo!$C$9</f>
        <v>11.9</v>
      </c>
      <c r="R1404" s="39" t="n">
        <f aca="false">SUM(M1404:Q1404)*Resumo!$C$11</f>
        <v>4.7156978</v>
      </c>
      <c r="S1404" s="39" t="n">
        <f aca="false">SUM(M1404:R1404)</f>
        <v>90.4556578</v>
      </c>
      <c r="T1404" s="39" t="n">
        <f aca="false">S1404/(1-Resumo!$C$5)</f>
        <v>102.790520227273</v>
      </c>
      <c r="U1404" s="39" t="n">
        <v>93.97</v>
      </c>
      <c r="V1404" s="39" t="n">
        <f aca="false">J1404*Resumo!$B$6</f>
        <v>0.45999</v>
      </c>
      <c r="W1404" s="39" t="n">
        <f aca="false">J1404*Resumo!$B$7</f>
        <v>0.91998</v>
      </c>
      <c r="X1404" s="39" t="n">
        <f aca="false">Resumo!$B$9</f>
        <v>1</v>
      </c>
      <c r="Y1404" s="39" t="n">
        <f aca="false">Resumo!$B$10*CEILING(I1404/100,1)</f>
        <v>4.5</v>
      </c>
      <c r="Z1404" s="39" t="n">
        <f aca="false">Resumo!$B$12*CEILING(I1404,1)</f>
        <v>2.94</v>
      </c>
      <c r="AA1404" s="39" t="n">
        <f aca="false">Resumo!$B$13*CEILING(I1404,1)</f>
        <v>22.05</v>
      </c>
      <c r="AB1404" s="39" t="n">
        <f aca="false">SUM(U1404:AA1404)</f>
        <v>125.83997</v>
      </c>
      <c r="AC1404" s="39" t="n">
        <f aca="false">AB1404/(1-Resumo!$B$5)</f>
        <v>142.999965909091</v>
      </c>
      <c r="AD1404" s="39" t="n">
        <f aca="false">(AB1404-AA1404)/(1-Resumo!$B$5)</f>
        <v>117.943147727273</v>
      </c>
      <c r="AE1404" s="39" t="n">
        <f aca="false">AC1404-T1404</f>
        <v>40.2094456818182</v>
      </c>
      <c r="AF1404" s="40" t="n">
        <f aca="false">AC1404/T1404-1</f>
        <v>0.391178540520215</v>
      </c>
      <c r="AG1404" s="37" t="str">
        <f aca="false">IF(AC1404&lt;T1404,"SIM","NÃO")</f>
        <v>NÃO</v>
      </c>
      <c r="AH1404" s="37" t="n">
        <v>8</v>
      </c>
      <c r="AI1404" s="37" t="n">
        <v>5</v>
      </c>
      <c r="AJ1404" s="37" t="s">
        <v>323</v>
      </c>
    </row>
    <row r="1405" customFormat="false" ht="15" hidden="false" customHeight="false" outlineLevel="0" collapsed="false">
      <c r="A1405" s="37" t="n">
        <v>382342840</v>
      </c>
      <c r="B1405" s="38" t="n">
        <v>46259.672962963</v>
      </c>
      <c r="C1405" s="37" t="s">
        <v>355</v>
      </c>
      <c r="D1405" s="37" t="s">
        <v>326</v>
      </c>
      <c r="E1405" s="37" t="n">
        <v>26545580</v>
      </c>
      <c r="F1405" s="37" t="s">
        <v>224</v>
      </c>
      <c r="G1405" s="37" t="s">
        <v>207</v>
      </c>
      <c r="H1405" s="37" t="s">
        <v>169</v>
      </c>
      <c r="I1405" s="37" t="n">
        <v>37.2</v>
      </c>
      <c r="J1405" s="39" t="n">
        <v>439.99</v>
      </c>
      <c r="K1405" s="37" t="s">
        <v>322</v>
      </c>
      <c r="L1405" s="39" t="n">
        <v>113.07</v>
      </c>
      <c r="M1405" s="39" t="n">
        <v>79.65</v>
      </c>
      <c r="N1405" s="39" t="n">
        <f aca="false">J1405*Resumo!$C$7</f>
        <v>0.87998</v>
      </c>
      <c r="O1405" s="39" t="n">
        <f aca="false">J1405*Resumo!$C$8</f>
        <v>0.87998</v>
      </c>
      <c r="P1405" s="39" t="n">
        <f aca="false">Resumo!$C$10*CEILING(I1405/100,1)</f>
        <v>1</v>
      </c>
      <c r="Q1405" s="39" t="n">
        <f aca="false">Resumo!$C$9</f>
        <v>11.9</v>
      </c>
      <c r="R1405" s="39" t="n">
        <f aca="false">SUM(M1405:Q1405)*Resumo!$C$11</f>
        <v>5.1870478</v>
      </c>
      <c r="S1405" s="39" t="n">
        <f aca="false">SUM(M1405:R1405)</f>
        <v>99.4970078</v>
      </c>
      <c r="T1405" s="39" t="n">
        <f aca="false">S1405/(1-Resumo!$C$5)</f>
        <v>113.064781590909</v>
      </c>
      <c r="U1405" s="39" t="n">
        <v>93.97</v>
      </c>
      <c r="V1405" s="39" t="n">
        <f aca="false">J1405*Resumo!$B$6</f>
        <v>0.43999</v>
      </c>
      <c r="W1405" s="39" t="n">
        <f aca="false">J1405*Resumo!$B$7</f>
        <v>0.87998</v>
      </c>
      <c r="X1405" s="39" t="n">
        <f aca="false">Resumo!$B$9</f>
        <v>1</v>
      </c>
      <c r="Y1405" s="39" t="n">
        <f aca="false">Resumo!$B$10*CEILING(I1405/100,1)</f>
        <v>4.5</v>
      </c>
      <c r="Z1405" s="39" t="n">
        <f aca="false">Resumo!$B$12*CEILING(I1405,1)</f>
        <v>2.28</v>
      </c>
      <c r="AA1405" s="39" t="n">
        <f aca="false">Resumo!$B$13*CEILING(I1405,1)</f>
        <v>17.1</v>
      </c>
      <c r="AB1405" s="39" t="n">
        <f aca="false">SUM(U1405:AA1405)</f>
        <v>120.16997</v>
      </c>
      <c r="AC1405" s="39" t="n">
        <f aca="false">AB1405/(1-Resumo!$B$5)</f>
        <v>136.556784090909</v>
      </c>
      <c r="AD1405" s="39" t="n">
        <f aca="false">(AB1405-AA1405)/(1-Resumo!$B$5)</f>
        <v>117.124965909091</v>
      </c>
      <c r="AE1405" s="39" t="n">
        <f aca="false">AC1405-T1405</f>
        <v>23.4920025</v>
      </c>
      <c r="AF1405" s="40" t="n">
        <f aca="false">AC1405/T1405-1</f>
        <v>0.20777471259794</v>
      </c>
      <c r="AG1405" s="37" t="str">
        <f aca="false">IF(AC1405&lt;T1405,"SIM","NÃO")</f>
        <v>NÃO</v>
      </c>
      <c r="AH1405" s="37" t="n">
        <v>10</v>
      </c>
      <c r="AI1405" s="37" t="n">
        <v>5</v>
      </c>
      <c r="AJ1405" s="37" t="s">
        <v>327</v>
      </c>
    </row>
    <row r="1406" customFormat="false" ht="15" hidden="false" customHeight="false" outlineLevel="0" collapsed="false">
      <c r="A1406" s="37" t="n">
        <v>382810318</v>
      </c>
      <c r="B1406" s="38" t="n">
        <v>46259.6915509259</v>
      </c>
      <c r="C1406" s="37" t="s">
        <v>341</v>
      </c>
      <c r="D1406" s="37" t="s">
        <v>991</v>
      </c>
      <c r="E1406" s="37" t="n">
        <v>28120000</v>
      </c>
      <c r="F1406" s="37" t="s">
        <v>144</v>
      </c>
      <c r="G1406" s="37" t="s">
        <v>201</v>
      </c>
      <c r="H1406" s="37" t="s">
        <v>168</v>
      </c>
      <c r="I1406" s="37" t="n">
        <v>31.9</v>
      </c>
      <c r="J1406" s="39" t="n">
        <v>739.99</v>
      </c>
      <c r="K1406" s="37" t="s">
        <v>322</v>
      </c>
      <c r="L1406" s="39" t="n">
        <v>110.73</v>
      </c>
      <c r="M1406" s="39" t="n">
        <v>76.5</v>
      </c>
      <c r="N1406" s="39" t="n">
        <f aca="false">J1406*Resumo!$C$7</f>
        <v>1.47998</v>
      </c>
      <c r="O1406" s="39" t="n">
        <f aca="false">J1406*Resumo!$C$8</f>
        <v>1.47998</v>
      </c>
      <c r="P1406" s="39" t="n">
        <f aca="false">Resumo!$C$10*CEILING(I1406/100,1)</f>
        <v>1</v>
      </c>
      <c r="Q1406" s="39" t="n">
        <f aca="false">Resumo!$C$9</f>
        <v>11.9</v>
      </c>
      <c r="R1406" s="39" t="n">
        <f aca="false">SUM(M1406:Q1406)*Resumo!$C$11</f>
        <v>5.0797978</v>
      </c>
      <c r="S1406" s="39" t="n">
        <f aca="false">SUM(M1406:R1406)</f>
        <v>97.4397578</v>
      </c>
      <c r="T1406" s="39" t="n">
        <f aca="false">S1406/(1-Resumo!$C$5)</f>
        <v>110.7269975</v>
      </c>
      <c r="U1406" s="39" t="n">
        <v>138.29</v>
      </c>
      <c r="V1406" s="39" t="n">
        <f aca="false">J1406*Resumo!$B$6</f>
        <v>0.73999</v>
      </c>
      <c r="W1406" s="39" t="n">
        <f aca="false">J1406*Resumo!$B$7</f>
        <v>1.47998</v>
      </c>
      <c r="X1406" s="39" t="n">
        <f aca="false">Resumo!$B$9</f>
        <v>1</v>
      </c>
      <c r="Y1406" s="39" t="n">
        <f aca="false">Resumo!$B$10*CEILING(I1406/100,1)</f>
        <v>4.5</v>
      </c>
      <c r="Z1406" s="39" t="n">
        <f aca="false">Resumo!$B$12*CEILING(I1406,1)</f>
        <v>1.92</v>
      </c>
      <c r="AA1406" s="39" t="n">
        <f aca="false">Resumo!$B$13*CEILING(I1406,1)</f>
        <v>14.4</v>
      </c>
      <c r="AB1406" s="39" t="n">
        <f aca="false">SUM(U1406:AA1406)</f>
        <v>162.32997</v>
      </c>
      <c r="AC1406" s="39" t="n">
        <f aca="false">AB1406/(1-Resumo!$B$5)</f>
        <v>184.465875</v>
      </c>
      <c r="AD1406" s="39" t="n">
        <f aca="false">(AB1406-AA1406)/(1-Resumo!$B$5)</f>
        <v>168.102238636364</v>
      </c>
      <c r="AE1406" s="39" t="n">
        <f aca="false">AC1406-T1406</f>
        <v>73.7388775</v>
      </c>
      <c r="AF1406" s="40" t="n">
        <f aca="false">AC1406/T1406-1</f>
        <v>0.665952108924474</v>
      </c>
      <c r="AG1406" s="37" t="str">
        <f aca="false">IF(AC1406&lt;T1406,"SIM","NÃO")</f>
        <v>NÃO</v>
      </c>
      <c r="AH1406" s="37" t="n">
        <v>13</v>
      </c>
      <c r="AI1406" s="37" t="n">
        <v>11</v>
      </c>
      <c r="AJ1406" s="37" t="s">
        <v>323</v>
      </c>
    </row>
    <row r="1407" customFormat="false" ht="15" hidden="false" customHeight="false" outlineLevel="0" collapsed="false">
      <c r="A1407" s="37" t="n">
        <v>382957836</v>
      </c>
      <c r="B1407" s="38" t="n">
        <v>46259.7281018519</v>
      </c>
      <c r="C1407" s="37" t="s">
        <v>325</v>
      </c>
      <c r="D1407" s="37" t="s">
        <v>1626</v>
      </c>
      <c r="E1407" s="37" t="n">
        <v>21241050</v>
      </c>
      <c r="F1407" s="37" t="s">
        <v>139</v>
      </c>
      <c r="G1407" s="37" t="s">
        <v>198</v>
      </c>
      <c r="H1407" s="37" t="s">
        <v>175</v>
      </c>
      <c r="I1407" s="37" t="n">
        <v>106.5</v>
      </c>
      <c r="J1407" s="39" t="n">
        <v>960</v>
      </c>
      <c r="K1407" s="37" t="s">
        <v>322</v>
      </c>
      <c r="L1407" s="39" t="n">
        <v>184.24</v>
      </c>
      <c r="M1407" s="39" t="n">
        <v>135.94</v>
      </c>
      <c r="N1407" s="39" t="n">
        <f aca="false">J1407*Resumo!$C$7</f>
        <v>1.92</v>
      </c>
      <c r="O1407" s="39" t="n">
        <f aca="false">J1407*Resumo!$C$8</f>
        <v>1.92</v>
      </c>
      <c r="P1407" s="39" t="n">
        <f aca="false">Resumo!$C$10*CEILING(I1407/100,1)</f>
        <v>2</v>
      </c>
      <c r="Q1407" s="39" t="n">
        <f aca="false">Resumo!$C$9</f>
        <v>11.9</v>
      </c>
      <c r="R1407" s="39" t="n">
        <f aca="false">SUM(M1407:Q1407)*Resumo!$C$11</f>
        <v>8.4524</v>
      </c>
      <c r="S1407" s="39" t="n">
        <f aca="false">SUM(M1407:R1407)</f>
        <v>162.1324</v>
      </c>
      <c r="T1407" s="39" t="n">
        <f aca="false">S1407/(1-Resumo!$C$5)</f>
        <v>184.241363636364</v>
      </c>
      <c r="U1407" s="39" t="n">
        <v>201.59</v>
      </c>
      <c r="V1407" s="39" t="n">
        <f aca="false">J1407*Resumo!$B$6</f>
        <v>0.96</v>
      </c>
      <c r="W1407" s="39" t="n">
        <f aca="false">J1407*Resumo!$B$7</f>
        <v>1.92</v>
      </c>
      <c r="X1407" s="39" t="n">
        <f aca="false">Resumo!$B$9</f>
        <v>1</v>
      </c>
      <c r="Y1407" s="39" t="n">
        <f aca="false">Resumo!$B$10*CEILING(I1407/100,1)</f>
        <v>9</v>
      </c>
      <c r="Z1407" s="39" t="n">
        <f aca="false">Resumo!$B$12*CEILING(I1407,1)</f>
        <v>6.42</v>
      </c>
      <c r="AA1407" s="39" t="n">
        <f aca="false">Resumo!$B$13*CEILING(I1407,1)</f>
        <v>48.15</v>
      </c>
      <c r="AB1407" s="39" t="n">
        <f aca="false">SUM(U1407:AA1407)</f>
        <v>269.04</v>
      </c>
      <c r="AC1407" s="39" t="n">
        <f aca="false">AB1407/(1-Resumo!$B$5)</f>
        <v>305.727272727273</v>
      </c>
      <c r="AD1407" s="39" t="n">
        <f aca="false">(AB1407-AA1407)/(1-Resumo!$B$5)</f>
        <v>251.011363636364</v>
      </c>
      <c r="AE1407" s="39" t="n">
        <f aca="false">AC1407-T1407</f>
        <v>121.485909090909</v>
      </c>
      <c r="AF1407" s="40" t="n">
        <f aca="false">AC1407/T1407-1</f>
        <v>0.65938455237818</v>
      </c>
      <c r="AG1407" s="37" t="str">
        <f aca="false">IF(AC1407&lt;T1407,"SIM","NÃO")</f>
        <v>NÃO</v>
      </c>
      <c r="AH1407" s="37" t="n">
        <v>8</v>
      </c>
      <c r="AI1407" s="37" t="n">
        <v>5</v>
      </c>
      <c r="AJ1407" s="37" t="s">
        <v>323</v>
      </c>
    </row>
    <row r="1408" customFormat="false" ht="15" hidden="false" customHeight="false" outlineLevel="0" collapsed="false">
      <c r="A1408" s="37" t="n">
        <v>382891300</v>
      </c>
      <c r="B1408" s="38" t="n">
        <v>46259.7754166667</v>
      </c>
      <c r="C1408" s="37" t="s">
        <v>320</v>
      </c>
      <c r="D1408" s="37" t="s">
        <v>1627</v>
      </c>
      <c r="E1408" s="37" t="n">
        <v>21775540</v>
      </c>
      <c r="F1408" s="37" t="s">
        <v>139</v>
      </c>
      <c r="G1408" s="37" t="s">
        <v>198</v>
      </c>
      <c r="H1408" s="37" t="s">
        <v>168</v>
      </c>
      <c r="I1408" s="37" t="n">
        <v>23</v>
      </c>
      <c r="J1408" s="39" t="n">
        <v>349.99</v>
      </c>
      <c r="K1408" s="37" t="s">
        <v>322</v>
      </c>
      <c r="L1408" s="39" t="n">
        <v>82</v>
      </c>
      <c r="M1408" s="39" t="n">
        <v>54.1</v>
      </c>
      <c r="N1408" s="39" t="n">
        <f aca="false">J1408*Resumo!$C$7</f>
        <v>0.69998</v>
      </c>
      <c r="O1408" s="39" t="n">
        <f aca="false">J1408*Resumo!$C$8</f>
        <v>0.69998</v>
      </c>
      <c r="P1408" s="39" t="n">
        <f aca="false">Resumo!$C$10*CEILING(I1408/100,1)</f>
        <v>1</v>
      </c>
      <c r="Q1408" s="39" t="n">
        <f aca="false">Resumo!$C$9</f>
        <v>11.9</v>
      </c>
      <c r="R1408" s="39" t="n">
        <f aca="false">SUM(M1408:Q1408)*Resumo!$C$11</f>
        <v>3.7619978</v>
      </c>
      <c r="S1408" s="39" t="n">
        <f aca="false">SUM(M1408:R1408)</f>
        <v>72.1619578</v>
      </c>
      <c r="T1408" s="39" t="n">
        <f aca="false">S1408/(1-Resumo!$C$5)</f>
        <v>82.0022247727273</v>
      </c>
      <c r="U1408" s="39" t="n">
        <v>82.21</v>
      </c>
      <c r="V1408" s="39" t="n">
        <f aca="false">J1408*Resumo!$B$6</f>
        <v>0.34999</v>
      </c>
      <c r="W1408" s="39" t="n">
        <f aca="false">J1408*Resumo!$B$7</f>
        <v>0.69998</v>
      </c>
      <c r="X1408" s="39" t="n">
        <f aca="false">Resumo!$B$9</f>
        <v>1</v>
      </c>
      <c r="Y1408" s="39" t="n">
        <f aca="false">Resumo!$B$10*CEILING(I1408/100,1)</f>
        <v>4.5</v>
      </c>
      <c r="Z1408" s="39" t="n">
        <f aca="false">Resumo!$B$12*CEILING(I1408,1)</f>
        <v>1.38</v>
      </c>
      <c r="AA1408" s="39" t="n">
        <f aca="false">Resumo!$B$13*CEILING(I1408,1)</f>
        <v>10.35</v>
      </c>
      <c r="AB1408" s="39" t="n">
        <f aca="false">SUM(U1408:AA1408)</f>
        <v>100.48997</v>
      </c>
      <c r="AC1408" s="39" t="n">
        <f aca="false">AB1408/(1-Resumo!$B$5)</f>
        <v>114.193147727273</v>
      </c>
      <c r="AD1408" s="39" t="n">
        <f aca="false">(AB1408-AA1408)/(1-Resumo!$B$5)</f>
        <v>102.431784090909</v>
      </c>
      <c r="AE1408" s="39" t="n">
        <f aca="false">AC1408-T1408</f>
        <v>32.1909229545454</v>
      </c>
      <c r="AF1408" s="40" t="n">
        <f aca="false">AC1408/T1408-1</f>
        <v>0.392561580417653</v>
      </c>
      <c r="AG1408" s="37" t="str">
        <f aca="false">IF(AC1408&lt;T1408,"SIM","NÃO")</f>
        <v>NÃO</v>
      </c>
      <c r="AH1408" s="37" t="n">
        <v>8</v>
      </c>
      <c r="AI1408" s="37" t="n">
        <v>5</v>
      </c>
      <c r="AJ1408" s="37" t="s">
        <v>323</v>
      </c>
    </row>
    <row r="1409" customFormat="false" ht="15" hidden="false" customHeight="false" outlineLevel="0" collapsed="false">
      <c r="A1409" s="37" t="n">
        <v>383013255</v>
      </c>
      <c r="B1409" s="38" t="n">
        <v>46259.8908101852</v>
      </c>
      <c r="C1409" s="37" t="s">
        <v>517</v>
      </c>
      <c r="D1409" s="37" t="s">
        <v>1628</v>
      </c>
      <c r="E1409" s="37" t="n">
        <v>21910280</v>
      </c>
      <c r="F1409" s="37" t="s">
        <v>139</v>
      </c>
      <c r="G1409" s="37" t="s">
        <v>198</v>
      </c>
      <c r="H1409" s="37" t="s">
        <v>169</v>
      </c>
      <c r="I1409" s="37" t="n">
        <v>40</v>
      </c>
      <c r="J1409" s="39" t="n">
        <v>569.99</v>
      </c>
      <c r="K1409" s="37" t="s">
        <v>322</v>
      </c>
      <c r="L1409" s="39" t="n">
        <v>92.59</v>
      </c>
      <c r="M1409" s="39" t="n">
        <v>62.05</v>
      </c>
      <c r="N1409" s="39" t="n">
        <f aca="false">J1409*Resumo!$C$7</f>
        <v>1.13998</v>
      </c>
      <c r="O1409" s="39" t="n">
        <f aca="false">J1409*Resumo!$C$8</f>
        <v>1.13998</v>
      </c>
      <c r="P1409" s="39" t="n">
        <f aca="false">Resumo!$C$10*CEILING(I1409/100,1)</f>
        <v>1</v>
      </c>
      <c r="Q1409" s="39" t="n">
        <f aca="false">Resumo!$C$9</f>
        <v>11.9</v>
      </c>
      <c r="R1409" s="39" t="n">
        <f aca="false">SUM(M1409:Q1409)*Resumo!$C$11</f>
        <v>4.2476478</v>
      </c>
      <c r="S1409" s="39" t="n">
        <f aca="false">SUM(M1409:R1409)</f>
        <v>81.4776078</v>
      </c>
      <c r="T1409" s="39" t="n">
        <f aca="false">S1409/(1-Resumo!$C$5)</f>
        <v>92.5881906818182</v>
      </c>
      <c r="U1409" s="39" t="n">
        <v>93.97</v>
      </c>
      <c r="V1409" s="39" t="n">
        <f aca="false">J1409*Resumo!$B$6</f>
        <v>0.56999</v>
      </c>
      <c r="W1409" s="39" t="n">
        <f aca="false">J1409*Resumo!$B$7</f>
        <v>1.13998</v>
      </c>
      <c r="X1409" s="39" t="n">
        <f aca="false">Resumo!$B$9</f>
        <v>1</v>
      </c>
      <c r="Y1409" s="39" t="n">
        <f aca="false">Resumo!$B$10*CEILING(I1409/100,1)</f>
        <v>4.5</v>
      </c>
      <c r="Z1409" s="39" t="n">
        <f aca="false">Resumo!$B$12*CEILING(I1409,1)</f>
        <v>2.4</v>
      </c>
      <c r="AA1409" s="39" t="n">
        <f aca="false">Resumo!$B$13*CEILING(I1409,1)</f>
        <v>18</v>
      </c>
      <c r="AB1409" s="39" t="n">
        <f aca="false">SUM(U1409:AA1409)</f>
        <v>121.57997</v>
      </c>
      <c r="AC1409" s="39" t="n">
        <f aca="false">AB1409/(1-Resumo!$B$5)</f>
        <v>138.159056818182</v>
      </c>
      <c r="AD1409" s="39" t="n">
        <f aca="false">(AB1409-AA1409)/(1-Resumo!$B$5)</f>
        <v>117.704511363636</v>
      </c>
      <c r="AE1409" s="39" t="n">
        <f aca="false">AC1409-T1409</f>
        <v>45.5708661363637</v>
      </c>
      <c r="AF1409" s="40" t="n">
        <f aca="false">AC1409/T1409-1</f>
        <v>0.492188753239268</v>
      </c>
      <c r="AG1409" s="37" t="str">
        <f aca="false">IF(AC1409&lt;T1409,"SIM","NÃO")</f>
        <v>NÃO</v>
      </c>
      <c r="AH1409" s="37" t="n">
        <v>8</v>
      </c>
      <c r="AI1409" s="37" t="n">
        <v>5</v>
      </c>
      <c r="AJ1409" s="37" t="s">
        <v>323</v>
      </c>
    </row>
    <row r="1410" customFormat="false" ht="15" hidden="false" customHeight="false" outlineLevel="0" collapsed="false">
      <c r="A1410" s="37" t="n">
        <v>383034031</v>
      </c>
      <c r="B1410" s="38" t="n">
        <v>46259.9170717593</v>
      </c>
      <c r="C1410" s="37" t="s">
        <v>517</v>
      </c>
      <c r="D1410" s="37" t="s">
        <v>378</v>
      </c>
      <c r="E1410" s="37" t="n">
        <v>23520400</v>
      </c>
      <c r="F1410" s="37" t="s">
        <v>139</v>
      </c>
      <c r="G1410" s="37" t="s">
        <v>198</v>
      </c>
      <c r="H1410" s="37" t="s">
        <v>168</v>
      </c>
      <c r="I1410" s="37" t="n">
        <v>27.4</v>
      </c>
      <c r="J1410" s="39" t="n">
        <v>323.99</v>
      </c>
      <c r="K1410" s="37" t="s">
        <v>322</v>
      </c>
      <c r="L1410" s="39" t="n">
        <v>81.89</v>
      </c>
      <c r="M1410" s="39" t="n">
        <v>54.1</v>
      </c>
      <c r="N1410" s="39" t="n">
        <f aca="false">J1410*Resumo!$C$7</f>
        <v>0.64798</v>
      </c>
      <c r="O1410" s="39" t="n">
        <f aca="false">J1410*Resumo!$C$8</f>
        <v>0.64798</v>
      </c>
      <c r="P1410" s="39" t="n">
        <f aca="false">Resumo!$C$10*CEILING(I1410/100,1)</f>
        <v>1</v>
      </c>
      <c r="Q1410" s="39" t="n">
        <f aca="false">Resumo!$C$9</f>
        <v>11.9</v>
      </c>
      <c r="R1410" s="39" t="n">
        <f aca="false">SUM(M1410:Q1410)*Resumo!$C$11</f>
        <v>3.7562778</v>
      </c>
      <c r="S1410" s="39" t="n">
        <f aca="false">SUM(M1410:R1410)</f>
        <v>72.0522378</v>
      </c>
      <c r="T1410" s="39" t="n">
        <f aca="false">S1410/(1-Resumo!$C$5)</f>
        <v>81.8775429545455</v>
      </c>
      <c r="U1410" s="39" t="n">
        <v>82.21</v>
      </c>
      <c r="V1410" s="39" t="n">
        <f aca="false">J1410*Resumo!$B$6</f>
        <v>0.32399</v>
      </c>
      <c r="W1410" s="39" t="n">
        <f aca="false">J1410*Resumo!$B$7</f>
        <v>0.64798</v>
      </c>
      <c r="X1410" s="39" t="n">
        <f aca="false">Resumo!$B$9</f>
        <v>1</v>
      </c>
      <c r="Y1410" s="39" t="n">
        <f aca="false">Resumo!$B$10*CEILING(I1410/100,1)</f>
        <v>4.5</v>
      </c>
      <c r="Z1410" s="39" t="n">
        <f aca="false">Resumo!$B$12*CEILING(I1410,1)</f>
        <v>1.68</v>
      </c>
      <c r="AA1410" s="39" t="n">
        <f aca="false">Resumo!$B$13*CEILING(I1410,1)</f>
        <v>12.6</v>
      </c>
      <c r="AB1410" s="39" t="n">
        <f aca="false">SUM(U1410:AA1410)</f>
        <v>102.96197</v>
      </c>
      <c r="AC1410" s="39" t="n">
        <f aca="false">AB1410/(1-Resumo!$B$5)</f>
        <v>117.002238636364</v>
      </c>
      <c r="AD1410" s="39" t="n">
        <f aca="false">(AB1410-AA1410)/(1-Resumo!$B$5)</f>
        <v>102.684056818182</v>
      </c>
      <c r="AE1410" s="39" t="n">
        <f aca="false">AC1410-T1410</f>
        <v>35.1246956818182</v>
      </c>
      <c r="AF1410" s="40" t="n">
        <f aca="false">AC1410/T1410-1</f>
        <v>0.428990592711334</v>
      </c>
      <c r="AG1410" s="37" t="str">
        <f aca="false">IF(AC1410&lt;T1410,"SIM","NÃO")</f>
        <v>NÃO</v>
      </c>
      <c r="AH1410" s="37" t="n">
        <v>8</v>
      </c>
      <c r="AI1410" s="37" t="n">
        <v>5</v>
      </c>
      <c r="AJ1410" s="37" t="s">
        <v>323</v>
      </c>
    </row>
    <row r="1411" customFormat="false" ht="15" hidden="false" customHeight="false" outlineLevel="0" collapsed="false">
      <c r="A1411" s="37" t="n">
        <v>383043854</v>
      </c>
      <c r="B1411" s="38" t="n">
        <v>46259.9566087963</v>
      </c>
      <c r="C1411" s="37" t="s">
        <v>320</v>
      </c>
      <c r="D1411" s="37" t="s">
        <v>1629</v>
      </c>
      <c r="E1411" s="37" t="n">
        <v>28053100</v>
      </c>
      <c r="F1411" s="37" t="s">
        <v>144</v>
      </c>
      <c r="G1411" s="37" t="s">
        <v>201</v>
      </c>
      <c r="H1411" s="37" t="s">
        <v>171</v>
      </c>
      <c r="I1411" s="37" t="n">
        <v>52.3</v>
      </c>
      <c r="J1411" s="39" t="n">
        <v>699.99</v>
      </c>
      <c r="K1411" s="37" t="s">
        <v>322</v>
      </c>
      <c r="L1411" s="39" t="n">
        <v>143.02</v>
      </c>
      <c r="M1411" s="39" t="n">
        <v>103.6</v>
      </c>
      <c r="N1411" s="39" t="n">
        <f aca="false">J1411*Resumo!$C$7</f>
        <v>1.39998</v>
      </c>
      <c r="O1411" s="39" t="n">
        <f aca="false">J1411*Resumo!$C$8</f>
        <v>1.39998</v>
      </c>
      <c r="P1411" s="39" t="n">
        <f aca="false">Resumo!$C$10*CEILING(I1411/100,1)</f>
        <v>1</v>
      </c>
      <c r="Q1411" s="39" t="n">
        <f aca="false">Resumo!$C$9</f>
        <v>11.9</v>
      </c>
      <c r="R1411" s="39" t="n">
        <f aca="false">SUM(M1411:Q1411)*Resumo!$C$11</f>
        <v>6.5614978</v>
      </c>
      <c r="S1411" s="39" t="n">
        <f aca="false">SUM(M1411:R1411)</f>
        <v>125.8614578</v>
      </c>
      <c r="T1411" s="39" t="n">
        <f aca="false">S1411/(1-Resumo!$C$5)</f>
        <v>143.024383863636</v>
      </c>
      <c r="U1411" s="39" t="n">
        <v>162.04</v>
      </c>
      <c r="V1411" s="39" t="n">
        <f aca="false">J1411*Resumo!$B$6</f>
        <v>0.69999</v>
      </c>
      <c r="W1411" s="39" t="n">
        <f aca="false">J1411*Resumo!$B$7</f>
        <v>1.39998</v>
      </c>
      <c r="X1411" s="39" t="n">
        <f aca="false">Resumo!$B$9</f>
        <v>1</v>
      </c>
      <c r="Y1411" s="39" t="n">
        <f aca="false">Resumo!$B$10*CEILING(I1411/100,1)</f>
        <v>4.5</v>
      </c>
      <c r="Z1411" s="39" t="n">
        <f aca="false">Resumo!$B$12*CEILING(I1411,1)</f>
        <v>3.18</v>
      </c>
      <c r="AA1411" s="39" t="n">
        <f aca="false">Resumo!$B$13*CEILING(I1411,1)</f>
        <v>23.85</v>
      </c>
      <c r="AB1411" s="39" t="n">
        <f aca="false">SUM(U1411:AA1411)</f>
        <v>196.66997</v>
      </c>
      <c r="AC1411" s="39" t="n">
        <f aca="false">AB1411/(1-Resumo!$B$5)</f>
        <v>223.488602272727</v>
      </c>
      <c r="AD1411" s="39" t="n">
        <f aca="false">(AB1411-AA1411)/(1-Resumo!$B$5)</f>
        <v>196.386329545455</v>
      </c>
      <c r="AE1411" s="39" t="n">
        <f aca="false">AC1411-T1411</f>
        <v>80.4642184090909</v>
      </c>
      <c r="AF1411" s="40" t="n">
        <f aca="false">AC1411/T1411-1</f>
        <v>0.56259091097227</v>
      </c>
      <c r="AG1411" s="37" t="str">
        <f aca="false">IF(AC1411&lt;T1411,"SIM","NÃO")</f>
        <v>NÃO</v>
      </c>
      <c r="AH1411" s="37" t="n">
        <v>13</v>
      </c>
      <c r="AI1411" s="37" t="n">
        <v>11</v>
      </c>
      <c r="AJ1411" s="37" t="s">
        <v>323</v>
      </c>
    </row>
    <row r="1412" customFormat="false" ht="15" hidden="false" customHeight="false" outlineLevel="0" collapsed="false">
      <c r="A1412" s="37" t="n">
        <v>383077490</v>
      </c>
      <c r="B1412" s="38" t="n">
        <v>46260.0084837963</v>
      </c>
      <c r="C1412" s="37" t="s">
        <v>320</v>
      </c>
      <c r="D1412" s="37" t="s">
        <v>1630</v>
      </c>
      <c r="E1412" s="37" t="n">
        <v>28995639</v>
      </c>
      <c r="F1412" s="37" t="s">
        <v>281</v>
      </c>
      <c r="G1412" s="37" t="s">
        <v>201</v>
      </c>
      <c r="H1412" s="37" t="s">
        <v>168</v>
      </c>
      <c r="I1412" s="37" t="n">
        <v>33.4</v>
      </c>
      <c r="J1412" s="39" t="n">
        <v>439.99</v>
      </c>
      <c r="K1412" s="37" t="s">
        <v>322</v>
      </c>
      <c r="L1412" s="39" t="n">
        <v>109.28</v>
      </c>
      <c r="M1412" s="39" t="n">
        <v>76.5</v>
      </c>
      <c r="N1412" s="39" t="n">
        <f aca="false">J1412*Resumo!$C$7</f>
        <v>0.87998</v>
      </c>
      <c r="O1412" s="39" t="n">
        <f aca="false">J1412*Resumo!$C$8</f>
        <v>0.87998</v>
      </c>
      <c r="P1412" s="39" t="n">
        <f aca="false">Resumo!$C$10*CEILING(I1412/100,1)</f>
        <v>1</v>
      </c>
      <c r="Q1412" s="39" t="n">
        <f aca="false">Resumo!$C$9</f>
        <v>11.9</v>
      </c>
      <c r="R1412" s="39" t="n">
        <f aca="false">SUM(M1412:Q1412)*Resumo!$C$11</f>
        <v>5.0137978</v>
      </c>
      <c r="S1412" s="39" t="n">
        <f aca="false">SUM(M1412:R1412)</f>
        <v>96.1737578</v>
      </c>
      <c r="T1412" s="39" t="n">
        <f aca="false">S1412/(1-Resumo!$C$5)</f>
        <v>109.288361136364</v>
      </c>
      <c r="U1412" s="39" t="n">
        <v>114.95</v>
      </c>
      <c r="V1412" s="39" t="n">
        <f aca="false">J1412*Resumo!$B$6</f>
        <v>0.43999</v>
      </c>
      <c r="W1412" s="39" t="n">
        <f aca="false">J1412*Resumo!$B$7</f>
        <v>0.87998</v>
      </c>
      <c r="X1412" s="39" t="n">
        <f aca="false">Resumo!$B$9</f>
        <v>1</v>
      </c>
      <c r="Y1412" s="39" t="n">
        <f aca="false">Resumo!$B$10*CEILING(I1412/100,1)</f>
        <v>4.5</v>
      </c>
      <c r="Z1412" s="39" t="n">
        <f aca="false">Resumo!$B$12*CEILING(I1412,1)</f>
        <v>2.04</v>
      </c>
      <c r="AA1412" s="39" t="n">
        <f aca="false">Resumo!$B$13*CEILING(I1412,1)</f>
        <v>15.3</v>
      </c>
      <c r="AB1412" s="39" t="n">
        <f aca="false">SUM(U1412:AA1412)</f>
        <v>139.10997</v>
      </c>
      <c r="AC1412" s="39" t="n">
        <f aca="false">AB1412/(1-Resumo!$B$5)</f>
        <v>158.079511363636</v>
      </c>
      <c r="AD1412" s="39" t="n">
        <f aca="false">(AB1412-AA1412)/(1-Resumo!$B$5)</f>
        <v>140.693147727273</v>
      </c>
      <c r="AE1412" s="39" t="n">
        <f aca="false">AC1412-T1412</f>
        <v>48.7911502272727</v>
      </c>
      <c r="AF1412" s="40" t="n">
        <f aca="false">AC1412/T1412-1</f>
        <v>0.446444156724008</v>
      </c>
      <c r="AG1412" s="37" t="str">
        <f aca="false">IF(AC1412&lt;T1412,"SIM","NÃO")</f>
        <v>NÃO</v>
      </c>
      <c r="AH1412" s="37" t="n">
        <v>13</v>
      </c>
      <c r="AI1412" s="37" t="n">
        <v>10</v>
      </c>
      <c r="AJ1412" s="37" t="s">
        <v>327</v>
      </c>
    </row>
    <row r="1413" customFormat="false" ht="15" hidden="false" customHeight="false" outlineLevel="0" collapsed="false">
      <c r="A1413" s="37" t="n">
        <v>383315549</v>
      </c>
      <c r="B1413" s="38" t="n">
        <v>46260.3809027778</v>
      </c>
      <c r="C1413" s="37" t="s">
        <v>352</v>
      </c>
      <c r="D1413" s="37" t="s">
        <v>1631</v>
      </c>
      <c r="E1413" s="37" t="n">
        <v>22031071</v>
      </c>
      <c r="F1413" s="37" t="s">
        <v>139</v>
      </c>
      <c r="G1413" s="37" t="s">
        <v>198</v>
      </c>
      <c r="H1413" s="37" t="s">
        <v>170</v>
      </c>
      <c r="I1413" s="37" t="n">
        <v>44.5</v>
      </c>
      <c r="J1413" s="39" t="n">
        <v>769.99</v>
      </c>
      <c r="K1413" s="37" t="s">
        <v>322</v>
      </c>
      <c r="L1413" s="39" t="n">
        <v>104.27</v>
      </c>
      <c r="M1413" s="39" t="n">
        <v>71</v>
      </c>
      <c r="N1413" s="39" t="n">
        <f aca="false">J1413*Resumo!$C$7</f>
        <v>1.53998</v>
      </c>
      <c r="O1413" s="39" t="n">
        <f aca="false">J1413*Resumo!$C$8</f>
        <v>1.53998</v>
      </c>
      <c r="P1413" s="39" t="n">
        <f aca="false">Resumo!$C$10*CEILING(I1413/100,1)</f>
        <v>1</v>
      </c>
      <c r="Q1413" s="39" t="n">
        <f aca="false">Resumo!$C$9</f>
        <v>11.9</v>
      </c>
      <c r="R1413" s="39" t="n">
        <f aca="false">SUM(M1413:Q1413)*Resumo!$C$11</f>
        <v>4.7838978</v>
      </c>
      <c r="S1413" s="39" t="n">
        <f aca="false">SUM(M1413:R1413)</f>
        <v>91.7638578</v>
      </c>
      <c r="T1413" s="39" t="n">
        <f aca="false">S1413/(1-Resumo!$C$5)</f>
        <v>104.277111136364</v>
      </c>
      <c r="U1413" s="39" t="n">
        <v>93.97</v>
      </c>
      <c r="V1413" s="39" t="n">
        <f aca="false">J1413*Resumo!$B$6</f>
        <v>0.76999</v>
      </c>
      <c r="W1413" s="39" t="n">
        <f aca="false">J1413*Resumo!$B$7</f>
        <v>1.53998</v>
      </c>
      <c r="X1413" s="39" t="n">
        <f aca="false">Resumo!$B$9</f>
        <v>1</v>
      </c>
      <c r="Y1413" s="39" t="n">
        <f aca="false">Resumo!$B$10*CEILING(I1413/100,1)</f>
        <v>4.5</v>
      </c>
      <c r="Z1413" s="39" t="n">
        <f aca="false">Resumo!$B$12*CEILING(I1413,1)</f>
        <v>2.7</v>
      </c>
      <c r="AA1413" s="39" t="n">
        <f aca="false">Resumo!$B$13*CEILING(I1413,1)</f>
        <v>20.25</v>
      </c>
      <c r="AB1413" s="39" t="n">
        <f aca="false">SUM(U1413:AA1413)</f>
        <v>124.72997</v>
      </c>
      <c r="AC1413" s="39" t="n">
        <f aca="false">AB1413/(1-Resumo!$B$5)</f>
        <v>141.738602272727</v>
      </c>
      <c r="AD1413" s="39" t="n">
        <f aca="false">(AB1413-AA1413)/(1-Resumo!$B$5)</f>
        <v>118.727238636364</v>
      </c>
      <c r="AE1413" s="39" t="n">
        <f aca="false">AC1413-T1413</f>
        <v>37.4614911363636</v>
      </c>
      <c r="AF1413" s="40" t="n">
        <f aca="false">AC1413/T1413-1</f>
        <v>0.359249414642635</v>
      </c>
      <c r="AG1413" s="37" t="str">
        <f aca="false">IF(AC1413&lt;T1413,"SIM","NÃO")</f>
        <v>NÃO</v>
      </c>
      <c r="AH1413" s="37" t="n">
        <v>8</v>
      </c>
      <c r="AI1413" s="37" t="n">
        <v>5</v>
      </c>
      <c r="AJ1413" s="37" t="s">
        <v>323</v>
      </c>
    </row>
    <row r="1414" customFormat="false" ht="15" hidden="false" customHeight="false" outlineLevel="0" collapsed="false">
      <c r="A1414" s="37" t="n">
        <v>383406966</v>
      </c>
      <c r="B1414" s="38" t="n">
        <v>46260.4856134259</v>
      </c>
      <c r="C1414" s="37" t="s">
        <v>320</v>
      </c>
      <c r="D1414" s="37" t="s">
        <v>1632</v>
      </c>
      <c r="E1414" s="37" t="n">
        <v>22740360</v>
      </c>
      <c r="F1414" s="37" t="s">
        <v>139</v>
      </c>
      <c r="G1414" s="37" t="s">
        <v>198</v>
      </c>
      <c r="H1414" s="37" t="s">
        <v>171</v>
      </c>
      <c r="I1414" s="37" t="n">
        <v>54</v>
      </c>
      <c r="J1414" s="39" t="n">
        <v>956.51</v>
      </c>
      <c r="K1414" s="37" t="s">
        <v>322</v>
      </c>
      <c r="L1414" s="39" t="n">
        <v>115.73</v>
      </c>
      <c r="M1414" s="39" t="n">
        <v>79.81</v>
      </c>
      <c r="N1414" s="39" t="n">
        <f aca="false">J1414*Resumo!$C$7</f>
        <v>1.91302</v>
      </c>
      <c r="O1414" s="39" t="n">
        <f aca="false">J1414*Resumo!$C$8</f>
        <v>1.91302</v>
      </c>
      <c r="P1414" s="39" t="n">
        <f aca="false">Resumo!$C$10*CEILING(I1414/100,1)</f>
        <v>1</v>
      </c>
      <c r="Q1414" s="39" t="n">
        <f aca="false">Resumo!$C$9</f>
        <v>11.9</v>
      </c>
      <c r="R1414" s="39" t="n">
        <f aca="false">SUM(M1414:Q1414)*Resumo!$C$11</f>
        <v>5.3094822</v>
      </c>
      <c r="S1414" s="39" t="n">
        <f aca="false">SUM(M1414:R1414)</f>
        <v>101.8455222</v>
      </c>
      <c r="T1414" s="39" t="n">
        <f aca="false">S1414/(1-Resumo!$C$5)</f>
        <v>115.733547954545</v>
      </c>
      <c r="U1414" s="39" t="n">
        <v>112.3</v>
      </c>
      <c r="V1414" s="39" t="n">
        <f aca="false">J1414*Resumo!$B$6</f>
        <v>0.95651</v>
      </c>
      <c r="W1414" s="39" t="n">
        <f aca="false">J1414*Resumo!$B$7</f>
        <v>1.91302</v>
      </c>
      <c r="X1414" s="39" t="n">
        <f aca="false">Resumo!$B$9</f>
        <v>1</v>
      </c>
      <c r="Y1414" s="39" t="n">
        <f aca="false">Resumo!$B$10*CEILING(I1414/100,1)</f>
        <v>4.5</v>
      </c>
      <c r="Z1414" s="39" t="n">
        <f aca="false">Resumo!$B$12*CEILING(I1414,1)</f>
        <v>3.24</v>
      </c>
      <c r="AA1414" s="39" t="n">
        <f aca="false">Resumo!$B$13*CEILING(I1414,1)</f>
        <v>24.3</v>
      </c>
      <c r="AB1414" s="39" t="n">
        <f aca="false">SUM(U1414:AA1414)</f>
        <v>148.20953</v>
      </c>
      <c r="AC1414" s="39" t="n">
        <f aca="false">AB1414/(1-Resumo!$B$5)</f>
        <v>168.419920454545</v>
      </c>
      <c r="AD1414" s="39" t="n">
        <f aca="false">(AB1414-AA1414)/(1-Resumo!$B$5)</f>
        <v>140.806284090909</v>
      </c>
      <c r="AE1414" s="39" t="n">
        <f aca="false">AC1414-T1414</f>
        <v>52.6863725</v>
      </c>
      <c r="AF1414" s="40" t="n">
        <f aca="false">AC1414/T1414-1</f>
        <v>0.45523854950591</v>
      </c>
      <c r="AG1414" s="37" t="str">
        <f aca="false">IF(AC1414&lt;T1414,"SIM","NÃO")</f>
        <v>NÃO</v>
      </c>
      <c r="AH1414" s="37" t="n">
        <v>8</v>
      </c>
      <c r="AI1414" s="37" t="n">
        <v>5</v>
      </c>
      <c r="AJ1414" s="37" t="s">
        <v>323</v>
      </c>
    </row>
    <row r="1415" customFormat="false" ht="15" hidden="false" customHeight="false" outlineLevel="0" collapsed="false">
      <c r="A1415" s="37" t="n">
        <v>383526672</v>
      </c>
      <c r="B1415" s="38" t="n">
        <v>46260.569537037</v>
      </c>
      <c r="C1415" s="37" t="s">
        <v>320</v>
      </c>
      <c r="D1415" s="37" t="s">
        <v>1633</v>
      </c>
      <c r="E1415" s="37" t="n">
        <v>28013080</v>
      </c>
      <c r="F1415" s="37" t="s">
        <v>144</v>
      </c>
      <c r="G1415" s="37" t="s">
        <v>201</v>
      </c>
      <c r="H1415" s="37" t="s">
        <v>170</v>
      </c>
      <c r="I1415" s="37" t="n">
        <v>41</v>
      </c>
      <c r="J1415" s="39" t="n">
        <v>487.99</v>
      </c>
      <c r="K1415" s="37" t="s">
        <v>322</v>
      </c>
      <c r="L1415" s="39" t="n">
        <v>130.51</v>
      </c>
      <c r="M1415" s="39" t="n">
        <v>94</v>
      </c>
      <c r="N1415" s="39" t="n">
        <f aca="false">J1415*Resumo!$C$7</f>
        <v>0.97598</v>
      </c>
      <c r="O1415" s="39" t="n">
        <f aca="false">J1415*Resumo!$C$8</f>
        <v>0.97598</v>
      </c>
      <c r="P1415" s="39" t="n">
        <f aca="false">Resumo!$C$10*CEILING(I1415/100,1)</f>
        <v>1</v>
      </c>
      <c r="Q1415" s="39" t="n">
        <f aca="false">Resumo!$C$9</f>
        <v>11.9</v>
      </c>
      <c r="R1415" s="39" t="n">
        <f aca="false">SUM(M1415:Q1415)*Resumo!$C$11</f>
        <v>5.9868578</v>
      </c>
      <c r="S1415" s="39" t="n">
        <f aca="false">SUM(M1415:R1415)</f>
        <v>114.8388178</v>
      </c>
      <c r="T1415" s="39" t="n">
        <f aca="false">S1415/(1-Resumo!$C$5)</f>
        <v>130.498656590909</v>
      </c>
      <c r="U1415" s="39" t="n">
        <v>152.54</v>
      </c>
      <c r="V1415" s="39" t="n">
        <f aca="false">J1415*Resumo!$B$6</f>
        <v>0.48799</v>
      </c>
      <c r="W1415" s="39" t="n">
        <f aca="false">J1415*Resumo!$B$7</f>
        <v>0.97598</v>
      </c>
      <c r="X1415" s="39" t="n">
        <f aca="false">Resumo!$B$9</f>
        <v>1</v>
      </c>
      <c r="Y1415" s="39" t="n">
        <f aca="false">Resumo!$B$10*CEILING(I1415/100,1)</f>
        <v>4.5</v>
      </c>
      <c r="Z1415" s="39" t="n">
        <f aca="false">Resumo!$B$12*CEILING(I1415,1)</f>
        <v>2.46</v>
      </c>
      <c r="AA1415" s="39" t="n">
        <f aca="false">Resumo!$B$13*CEILING(I1415,1)</f>
        <v>18.45</v>
      </c>
      <c r="AB1415" s="39" t="n">
        <f aca="false">SUM(U1415:AA1415)</f>
        <v>180.41397</v>
      </c>
      <c r="AC1415" s="39" t="n">
        <f aca="false">AB1415/(1-Resumo!$B$5)</f>
        <v>205.015875</v>
      </c>
      <c r="AD1415" s="39" t="n">
        <f aca="false">(AB1415-AA1415)/(1-Resumo!$B$5)</f>
        <v>184.049965909091</v>
      </c>
      <c r="AE1415" s="39" t="n">
        <f aca="false">AC1415-T1415</f>
        <v>74.5172184090909</v>
      </c>
      <c r="AF1415" s="40" t="n">
        <f aca="false">AC1415/T1415-1</f>
        <v>0.571019046139989</v>
      </c>
      <c r="AG1415" s="37" t="str">
        <f aca="false">IF(AC1415&lt;T1415,"SIM","NÃO")</f>
        <v>NÃO</v>
      </c>
      <c r="AH1415" s="37" t="n">
        <v>13</v>
      </c>
      <c r="AI1415" s="37" t="n">
        <v>11</v>
      </c>
      <c r="AJ1415" s="37" t="s">
        <v>323</v>
      </c>
    </row>
    <row r="1416" customFormat="false" ht="15" hidden="false" customHeight="false" outlineLevel="0" collapsed="false">
      <c r="A1416" s="37" t="n">
        <v>383500033</v>
      </c>
      <c r="B1416" s="38" t="n">
        <v>46260.6241550926</v>
      </c>
      <c r="C1416" s="37" t="s">
        <v>352</v>
      </c>
      <c r="D1416" s="37" t="s">
        <v>1634</v>
      </c>
      <c r="E1416" s="37" t="n">
        <v>27345220</v>
      </c>
      <c r="F1416" s="37" t="s">
        <v>233</v>
      </c>
      <c r="G1416" s="37" t="s">
        <v>201</v>
      </c>
      <c r="H1416" s="37" t="s">
        <v>171</v>
      </c>
      <c r="I1416" s="37" t="n">
        <v>52.3</v>
      </c>
      <c r="J1416" s="39" t="n">
        <v>532.49</v>
      </c>
      <c r="K1416" s="37" t="s">
        <v>322</v>
      </c>
      <c r="L1416" s="39" t="n">
        <v>142.2</v>
      </c>
      <c r="M1416" s="39" t="n">
        <v>103.6</v>
      </c>
      <c r="N1416" s="39" t="n">
        <f aca="false">J1416*Resumo!$C$7</f>
        <v>1.06498</v>
      </c>
      <c r="O1416" s="39" t="n">
        <f aca="false">J1416*Resumo!$C$8</f>
        <v>1.06498</v>
      </c>
      <c r="P1416" s="39" t="n">
        <f aca="false">Resumo!$C$10*CEILING(I1416/100,1)</f>
        <v>1</v>
      </c>
      <c r="Q1416" s="39" t="n">
        <f aca="false">Resumo!$C$9</f>
        <v>11.9</v>
      </c>
      <c r="R1416" s="39" t="n">
        <f aca="false">SUM(M1416:Q1416)*Resumo!$C$11</f>
        <v>6.5246478</v>
      </c>
      <c r="S1416" s="39" t="n">
        <f aca="false">SUM(M1416:R1416)</f>
        <v>125.1546078</v>
      </c>
      <c r="T1416" s="39" t="n">
        <f aca="false">S1416/(1-Resumo!$C$5)</f>
        <v>142.221145227273</v>
      </c>
      <c r="U1416" s="39" t="n">
        <v>142.32</v>
      </c>
      <c r="V1416" s="39" t="n">
        <f aca="false">J1416*Resumo!$B$6</f>
        <v>0.53249</v>
      </c>
      <c r="W1416" s="39" t="n">
        <f aca="false">J1416*Resumo!$B$7</f>
        <v>1.06498</v>
      </c>
      <c r="X1416" s="39" t="n">
        <f aca="false">Resumo!$B$9</f>
        <v>1</v>
      </c>
      <c r="Y1416" s="39" t="n">
        <f aca="false">Resumo!$B$10*CEILING(I1416/100,1)</f>
        <v>4.5</v>
      </c>
      <c r="Z1416" s="39" t="n">
        <f aca="false">Resumo!$B$12*CEILING(I1416,1)</f>
        <v>3.18</v>
      </c>
      <c r="AA1416" s="39" t="n">
        <f aca="false">Resumo!$B$13*CEILING(I1416,1)</f>
        <v>23.85</v>
      </c>
      <c r="AB1416" s="39" t="n">
        <f aca="false">SUM(U1416:AA1416)</f>
        <v>176.44747</v>
      </c>
      <c r="AC1416" s="39" t="n">
        <f aca="false">AB1416/(1-Resumo!$B$5)</f>
        <v>200.508488636364</v>
      </c>
      <c r="AD1416" s="39" t="n">
        <f aca="false">(AB1416-AA1416)/(1-Resumo!$B$5)</f>
        <v>173.406215909091</v>
      </c>
      <c r="AE1416" s="39" t="n">
        <f aca="false">AC1416-T1416</f>
        <v>58.2873434090909</v>
      </c>
      <c r="AF1416" s="40" t="n">
        <f aca="false">AC1416/T1416-1</f>
        <v>0.409835986877664</v>
      </c>
      <c r="AG1416" s="37" t="str">
        <f aca="false">IF(AC1416&lt;T1416,"SIM","NÃO")</f>
        <v>NÃO</v>
      </c>
      <c r="AH1416" s="37" t="n">
        <v>13</v>
      </c>
      <c r="AI1416" s="37" t="n">
        <v>10</v>
      </c>
      <c r="AJ1416" s="37" t="s">
        <v>327</v>
      </c>
    </row>
    <row r="1417" customFormat="false" ht="15" hidden="false" customHeight="false" outlineLevel="0" collapsed="false">
      <c r="A1417" s="37" t="n">
        <v>383603624</v>
      </c>
      <c r="B1417" s="38" t="n">
        <v>46260.7405439815</v>
      </c>
      <c r="C1417" s="37" t="s">
        <v>320</v>
      </c>
      <c r="D1417" s="37" t="s">
        <v>434</v>
      </c>
      <c r="E1417" s="37" t="n">
        <v>28200000</v>
      </c>
      <c r="F1417" s="37" t="s">
        <v>245</v>
      </c>
      <c r="G1417" s="37" t="s">
        <v>201</v>
      </c>
      <c r="H1417" s="37" t="s">
        <v>169</v>
      </c>
      <c r="I1417" s="37" t="n">
        <v>37.2</v>
      </c>
      <c r="J1417" s="39" t="n">
        <v>359.99</v>
      </c>
      <c r="K1417" s="37" t="s">
        <v>322</v>
      </c>
      <c r="L1417" s="39" t="n">
        <v>121.98</v>
      </c>
      <c r="M1417" s="39" t="n">
        <v>87.4</v>
      </c>
      <c r="N1417" s="39" t="n">
        <f aca="false">J1417*Resumo!$C$7</f>
        <v>0.71998</v>
      </c>
      <c r="O1417" s="39" t="n">
        <f aca="false">J1417*Resumo!$C$8</f>
        <v>0.71998</v>
      </c>
      <c r="P1417" s="39" t="n">
        <f aca="false">Resumo!$C$10*CEILING(I1417/100,1)</f>
        <v>1</v>
      </c>
      <c r="Q1417" s="39" t="n">
        <f aca="false">Resumo!$C$9</f>
        <v>11.9</v>
      </c>
      <c r="R1417" s="39" t="n">
        <f aca="false">SUM(M1417:Q1417)*Resumo!$C$11</f>
        <v>5.5956978</v>
      </c>
      <c r="S1417" s="39" t="n">
        <f aca="false">SUM(M1417:R1417)</f>
        <v>107.3356578</v>
      </c>
      <c r="T1417" s="39" t="n">
        <f aca="false">S1417/(1-Resumo!$C$5)</f>
        <v>121.972338409091</v>
      </c>
      <c r="U1417" s="39" t="n">
        <v>143.04</v>
      </c>
      <c r="V1417" s="39" t="n">
        <f aca="false">J1417*Resumo!$B$6</f>
        <v>0.35999</v>
      </c>
      <c r="W1417" s="39" t="n">
        <f aca="false">J1417*Resumo!$B$7</f>
        <v>0.71998</v>
      </c>
      <c r="X1417" s="39" t="n">
        <f aca="false">Resumo!$B$9</f>
        <v>1</v>
      </c>
      <c r="Y1417" s="39" t="n">
        <f aca="false">Resumo!$B$10*CEILING(I1417/100,1)</f>
        <v>4.5</v>
      </c>
      <c r="Z1417" s="39" t="n">
        <f aca="false">Resumo!$B$12*CEILING(I1417,1)</f>
        <v>2.28</v>
      </c>
      <c r="AA1417" s="39" t="n">
        <f aca="false">Resumo!$B$13*CEILING(I1417,1)</f>
        <v>17.1</v>
      </c>
      <c r="AB1417" s="39" t="n">
        <f aca="false">SUM(U1417:AA1417)</f>
        <v>168.99997</v>
      </c>
      <c r="AC1417" s="39" t="n">
        <f aca="false">AB1417/(1-Resumo!$B$5)</f>
        <v>192.045420454545</v>
      </c>
      <c r="AD1417" s="39" t="n">
        <f aca="false">(AB1417-AA1417)/(1-Resumo!$B$5)</f>
        <v>172.613602272727</v>
      </c>
      <c r="AE1417" s="39" t="n">
        <f aca="false">AC1417-T1417</f>
        <v>70.0730820454545</v>
      </c>
      <c r="AF1417" s="40" t="n">
        <f aca="false">AC1417/T1417-1</f>
        <v>0.574499783798781</v>
      </c>
      <c r="AG1417" s="37" t="str">
        <f aca="false">IF(AC1417&lt;T1417,"SIM","NÃO")</f>
        <v>NÃO</v>
      </c>
      <c r="AH1417" s="37" t="n">
        <v>13</v>
      </c>
      <c r="AI1417" s="37" t="n">
        <v>11</v>
      </c>
      <c r="AJ1417" s="37" t="s">
        <v>327</v>
      </c>
    </row>
    <row r="1418" customFormat="false" ht="15" hidden="false" customHeight="false" outlineLevel="0" collapsed="false">
      <c r="A1418" s="37" t="n">
        <v>383677748</v>
      </c>
      <c r="B1418" s="38" t="n">
        <v>46260.8353703704</v>
      </c>
      <c r="C1418" s="37" t="s">
        <v>320</v>
      </c>
      <c r="D1418" s="37" t="s">
        <v>1635</v>
      </c>
      <c r="E1418" s="37" t="n">
        <v>21072720</v>
      </c>
      <c r="F1418" s="37" t="s">
        <v>139</v>
      </c>
      <c r="G1418" s="37" t="s">
        <v>198</v>
      </c>
      <c r="H1418" s="37" t="s">
        <v>176</v>
      </c>
      <c r="I1418" s="37" t="n">
        <v>140.9</v>
      </c>
      <c r="J1418" s="39" t="n">
        <v>1799.99</v>
      </c>
      <c r="K1418" s="37" t="s">
        <v>322</v>
      </c>
      <c r="L1418" s="39" t="n">
        <v>234.92</v>
      </c>
      <c r="M1418" s="39" t="n">
        <v>174.85</v>
      </c>
      <c r="N1418" s="39" t="n">
        <f aca="false">J1418*Resumo!$C$7</f>
        <v>3.59998</v>
      </c>
      <c r="O1418" s="39" t="n">
        <f aca="false">J1418*Resumo!$C$8</f>
        <v>3.59998</v>
      </c>
      <c r="P1418" s="39" t="n">
        <f aca="false">Resumo!$C$10*CEILING(I1418/100,1)</f>
        <v>2</v>
      </c>
      <c r="Q1418" s="39" t="n">
        <f aca="false">Resumo!$C$9</f>
        <v>11.9</v>
      </c>
      <c r="R1418" s="39" t="n">
        <f aca="false">SUM(M1418:Q1418)*Resumo!$C$11</f>
        <v>10.7772478</v>
      </c>
      <c r="S1418" s="39" t="n">
        <f aca="false">SUM(M1418:R1418)</f>
        <v>206.7272078</v>
      </c>
      <c r="T1418" s="39" t="n">
        <f aca="false">S1418/(1-Resumo!$C$5)</f>
        <v>234.917281590909</v>
      </c>
      <c r="U1418" s="39" t="n">
        <v>239.25</v>
      </c>
      <c r="V1418" s="39" t="n">
        <f aca="false">J1418*Resumo!$B$6</f>
        <v>1.79999</v>
      </c>
      <c r="W1418" s="39" t="n">
        <f aca="false">J1418*Resumo!$B$7</f>
        <v>3.59998</v>
      </c>
      <c r="X1418" s="39" t="n">
        <f aca="false">Resumo!$B$9</f>
        <v>1</v>
      </c>
      <c r="Y1418" s="39" t="n">
        <f aca="false">Resumo!$B$10*CEILING(I1418/100,1)</f>
        <v>9</v>
      </c>
      <c r="Z1418" s="39" t="n">
        <f aca="false">Resumo!$B$12*CEILING(I1418,1)</f>
        <v>8.46</v>
      </c>
      <c r="AA1418" s="39" t="n">
        <f aca="false">Resumo!$B$13*CEILING(I1418,1)</f>
        <v>63.45</v>
      </c>
      <c r="AB1418" s="39" t="n">
        <f aca="false">SUM(U1418:AA1418)</f>
        <v>326.55997</v>
      </c>
      <c r="AC1418" s="39" t="n">
        <f aca="false">AB1418/(1-Resumo!$B$5)</f>
        <v>371.090875</v>
      </c>
      <c r="AD1418" s="39" t="n">
        <f aca="false">(AB1418-AA1418)/(1-Resumo!$B$5)</f>
        <v>298.988602272727</v>
      </c>
      <c r="AE1418" s="39" t="n">
        <f aca="false">AC1418-T1418</f>
        <v>136.173593409091</v>
      </c>
      <c r="AF1418" s="40" t="n">
        <f aca="false">AC1418/T1418-1</f>
        <v>0.57966613816955</v>
      </c>
      <c r="AG1418" s="37" t="str">
        <f aca="false">IF(AC1418&lt;T1418,"SIM","NÃO")</f>
        <v>NÃO</v>
      </c>
      <c r="AH1418" s="37" t="n">
        <v>8</v>
      </c>
      <c r="AI1418" s="37" t="n">
        <v>5</v>
      </c>
      <c r="AJ1418" s="37" t="s">
        <v>323</v>
      </c>
    </row>
    <row r="1419" customFormat="false" ht="15" hidden="false" customHeight="false" outlineLevel="0" collapsed="false">
      <c r="A1419" s="37" t="n">
        <v>383688889</v>
      </c>
      <c r="B1419" s="38" t="n">
        <v>46260.8521875</v>
      </c>
      <c r="C1419" s="37" t="s">
        <v>325</v>
      </c>
      <c r="D1419" s="37" t="s">
        <v>952</v>
      </c>
      <c r="E1419" s="37" t="n">
        <v>28985225</v>
      </c>
      <c r="F1419" s="37" t="s">
        <v>153</v>
      </c>
      <c r="G1419" s="37" t="s">
        <v>201</v>
      </c>
      <c r="H1419" s="37" t="s">
        <v>172</v>
      </c>
      <c r="I1419" s="37" t="n">
        <v>69.15</v>
      </c>
      <c r="J1419" s="39" t="n">
        <v>697.84</v>
      </c>
      <c r="K1419" s="37" t="s">
        <v>322</v>
      </c>
      <c r="L1419" s="39" t="n">
        <v>155.38</v>
      </c>
      <c r="M1419" s="39" t="n">
        <v>113.9</v>
      </c>
      <c r="N1419" s="39" t="n">
        <f aca="false">J1419*Resumo!$C$7</f>
        <v>1.39568</v>
      </c>
      <c r="O1419" s="39" t="n">
        <f aca="false">J1419*Resumo!$C$8</f>
        <v>1.39568</v>
      </c>
      <c r="P1419" s="39" t="n">
        <f aca="false">Resumo!$C$10*CEILING(I1419/100,1)</f>
        <v>1</v>
      </c>
      <c r="Q1419" s="39" t="n">
        <f aca="false">Resumo!$C$9</f>
        <v>11.9</v>
      </c>
      <c r="R1419" s="39" t="n">
        <f aca="false">SUM(M1419:Q1419)*Resumo!$C$11</f>
        <v>7.1275248</v>
      </c>
      <c r="S1419" s="39" t="n">
        <f aca="false">SUM(M1419:R1419)</f>
        <v>136.7188848</v>
      </c>
      <c r="T1419" s="39" t="n">
        <f aca="false">S1419/(1-Resumo!$C$5)</f>
        <v>155.362369090909</v>
      </c>
      <c r="U1419" s="39" t="n">
        <v>166.05</v>
      </c>
      <c r="V1419" s="39" t="n">
        <f aca="false">J1419*Resumo!$B$6</f>
        <v>0.69784</v>
      </c>
      <c r="W1419" s="39" t="n">
        <f aca="false">J1419*Resumo!$B$7</f>
        <v>1.39568</v>
      </c>
      <c r="X1419" s="39" t="n">
        <f aca="false">Resumo!$B$9</f>
        <v>1</v>
      </c>
      <c r="Y1419" s="39" t="n">
        <f aca="false">Resumo!$B$10*CEILING(I1419/100,1)</f>
        <v>4.5</v>
      </c>
      <c r="Z1419" s="39" t="n">
        <f aca="false">Resumo!$B$12*CEILING(I1419,1)</f>
        <v>4.2</v>
      </c>
      <c r="AA1419" s="39" t="n">
        <f aca="false">Resumo!$B$13*CEILING(I1419,1)</f>
        <v>31.5</v>
      </c>
      <c r="AB1419" s="39" t="n">
        <f aca="false">SUM(U1419:AA1419)</f>
        <v>209.34352</v>
      </c>
      <c r="AC1419" s="39" t="n">
        <f aca="false">AB1419/(1-Resumo!$B$5)</f>
        <v>237.890363636364</v>
      </c>
      <c r="AD1419" s="39" t="n">
        <f aca="false">(AB1419-AA1419)/(1-Resumo!$B$5)</f>
        <v>202.094909090909</v>
      </c>
      <c r="AE1419" s="39" t="n">
        <f aca="false">AC1419-T1419</f>
        <v>82.5279945454545</v>
      </c>
      <c r="AF1419" s="40" t="n">
        <f aca="false">AC1419/T1419-1</f>
        <v>0.531196808006731</v>
      </c>
      <c r="AG1419" s="37" t="str">
        <f aca="false">IF(AC1419&lt;T1419,"SIM","NÃO")</f>
        <v>NÃO</v>
      </c>
      <c r="AH1419" s="37" t="n">
        <v>13</v>
      </c>
      <c r="AI1419" s="37" t="n">
        <v>10</v>
      </c>
      <c r="AJ1419" s="37" t="s">
        <v>323</v>
      </c>
    </row>
    <row r="1420" customFormat="false" ht="15" hidden="false" customHeight="false" outlineLevel="0" collapsed="false">
      <c r="A1420" s="37" t="n">
        <v>383754580</v>
      </c>
      <c r="B1420" s="38" t="n">
        <v>46260.9596759259</v>
      </c>
      <c r="C1420" s="37" t="s">
        <v>320</v>
      </c>
      <c r="D1420" s="37" t="s">
        <v>1636</v>
      </c>
      <c r="E1420" s="37" t="n">
        <v>28920803</v>
      </c>
      <c r="F1420" s="37" t="s">
        <v>152</v>
      </c>
      <c r="G1420" s="37" t="s">
        <v>201</v>
      </c>
      <c r="H1420" s="37" t="s">
        <v>168</v>
      </c>
      <c r="I1420" s="37" t="n">
        <v>33</v>
      </c>
      <c r="J1420" s="39" t="n">
        <v>389.99</v>
      </c>
      <c r="K1420" s="37" t="s">
        <v>322</v>
      </c>
      <c r="L1420" s="39" t="n">
        <v>109.05</v>
      </c>
      <c r="M1420" s="39" t="n">
        <v>76.5</v>
      </c>
      <c r="N1420" s="39" t="n">
        <f aca="false">J1420*Resumo!$C$7</f>
        <v>0.77998</v>
      </c>
      <c r="O1420" s="39" t="n">
        <f aca="false">J1420*Resumo!$C$8</f>
        <v>0.77998</v>
      </c>
      <c r="P1420" s="39" t="n">
        <f aca="false">Resumo!$C$10*CEILING(I1420/100,1)</f>
        <v>1</v>
      </c>
      <c r="Q1420" s="39" t="n">
        <f aca="false">Resumo!$C$9</f>
        <v>11.9</v>
      </c>
      <c r="R1420" s="39" t="n">
        <f aca="false">SUM(M1420:Q1420)*Resumo!$C$11</f>
        <v>5.0027978</v>
      </c>
      <c r="S1420" s="39" t="n">
        <f aca="false">SUM(M1420:R1420)</f>
        <v>95.9627578</v>
      </c>
      <c r="T1420" s="39" t="n">
        <f aca="false">S1420/(1-Resumo!$C$5)</f>
        <v>109.048588409091</v>
      </c>
      <c r="U1420" s="39" t="n">
        <v>114.95</v>
      </c>
      <c r="V1420" s="39" t="n">
        <f aca="false">J1420*Resumo!$B$6</f>
        <v>0.38999</v>
      </c>
      <c r="W1420" s="39" t="n">
        <f aca="false">J1420*Resumo!$B$7</f>
        <v>0.77998</v>
      </c>
      <c r="X1420" s="39" t="n">
        <f aca="false">Resumo!$B$9</f>
        <v>1</v>
      </c>
      <c r="Y1420" s="39" t="n">
        <f aca="false">Resumo!$B$10*CEILING(I1420/100,1)</f>
        <v>4.5</v>
      </c>
      <c r="Z1420" s="39" t="n">
        <f aca="false">Resumo!$B$12*CEILING(I1420,1)</f>
        <v>1.98</v>
      </c>
      <c r="AA1420" s="39" t="n">
        <f aca="false">Resumo!$B$13*CEILING(I1420,1)</f>
        <v>14.85</v>
      </c>
      <c r="AB1420" s="39" t="n">
        <f aca="false">SUM(U1420:AA1420)</f>
        <v>138.44997</v>
      </c>
      <c r="AC1420" s="39" t="n">
        <f aca="false">AB1420/(1-Resumo!$B$5)</f>
        <v>157.329511363636</v>
      </c>
      <c r="AD1420" s="39" t="n">
        <f aca="false">(AB1420-AA1420)/(1-Resumo!$B$5)</f>
        <v>140.454511363636</v>
      </c>
      <c r="AE1420" s="39" t="n">
        <f aca="false">AC1420-T1420</f>
        <v>48.2809229545455</v>
      </c>
      <c r="AF1420" s="40" t="n">
        <f aca="false">AC1420/T1420-1</f>
        <v>0.442746886125859</v>
      </c>
      <c r="AG1420" s="37" t="str">
        <f aca="false">IF(AC1420&lt;T1420,"SIM","NÃO")</f>
        <v>NÃO</v>
      </c>
      <c r="AH1420" s="37" t="n">
        <v>13</v>
      </c>
      <c r="AI1420" s="37" t="n">
        <v>10</v>
      </c>
      <c r="AJ1420" s="37" t="s">
        <v>323</v>
      </c>
    </row>
    <row r="1421" customFormat="false" ht="15" hidden="false" customHeight="false" outlineLevel="0" collapsed="false">
      <c r="A1421" s="37" t="n">
        <v>383776219</v>
      </c>
      <c r="B1421" s="38" t="n">
        <v>46261.015775463</v>
      </c>
      <c r="C1421" s="37" t="s">
        <v>320</v>
      </c>
      <c r="D1421" s="37" t="s">
        <v>724</v>
      </c>
      <c r="E1421" s="37" t="n">
        <v>22471210</v>
      </c>
      <c r="F1421" s="37" t="s">
        <v>139</v>
      </c>
      <c r="G1421" s="37" t="s">
        <v>198</v>
      </c>
      <c r="H1421" s="37" t="s">
        <v>169</v>
      </c>
      <c r="I1421" s="37" t="n">
        <v>35.3</v>
      </c>
      <c r="J1421" s="39" t="n">
        <v>499.99</v>
      </c>
      <c r="K1421" s="37" t="s">
        <v>322</v>
      </c>
      <c r="L1421" s="39" t="n">
        <v>92.25</v>
      </c>
      <c r="M1421" s="39" t="n">
        <v>62.05</v>
      </c>
      <c r="N1421" s="39" t="n">
        <f aca="false">J1421*Resumo!$C$7</f>
        <v>0.99998</v>
      </c>
      <c r="O1421" s="39" t="n">
        <f aca="false">J1421*Resumo!$C$8</f>
        <v>0.99998</v>
      </c>
      <c r="P1421" s="39" t="n">
        <f aca="false">Resumo!$C$10*CEILING(I1421/100,1)</f>
        <v>1</v>
      </c>
      <c r="Q1421" s="39" t="n">
        <f aca="false">Resumo!$C$9</f>
        <v>11.9</v>
      </c>
      <c r="R1421" s="39" t="n">
        <f aca="false">SUM(M1421:Q1421)*Resumo!$C$11</f>
        <v>4.2322478</v>
      </c>
      <c r="S1421" s="39" t="n">
        <f aca="false">SUM(M1421:R1421)</f>
        <v>81.1822078</v>
      </c>
      <c r="T1421" s="39" t="n">
        <f aca="false">S1421/(1-Resumo!$C$5)</f>
        <v>92.2525088636364</v>
      </c>
      <c r="U1421" s="39" t="n">
        <v>93.97</v>
      </c>
      <c r="V1421" s="39" t="n">
        <f aca="false">J1421*Resumo!$B$6</f>
        <v>0.49999</v>
      </c>
      <c r="W1421" s="39" t="n">
        <f aca="false">J1421*Resumo!$B$7</f>
        <v>0.99998</v>
      </c>
      <c r="X1421" s="39" t="n">
        <f aca="false">Resumo!$B$9</f>
        <v>1</v>
      </c>
      <c r="Y1421" s="39" t="n">
        <f aca="false">Resumo!$B$10*CEILING(I1421/100,1)</f>
        <v>4.5</v>
      </c>
      <c r="Z1421" s="39" t="n">
        <f aca="false">Resumo!$B$12*CEILING(I1421,1)</f>
        <v>2.16</v>
      </c>
      <c r="AA1421" s="39" t="n">
        <f aca="false">Resumo!$B$13*CEILING(I1421,1)</f>
        <v>16.2</v>
      </c>
      <c r="AB1421" s="39" t="n">
        <f aca="false">SUM(U1421:AA1421)</f>
        <v>119.32997</v>
      </c>
      <c r="AC1421" s="39" t="n">
        <f aca="false">AB1421/(1-Resumo!$B$5)</f>
        <v>135.602238636364</v>
      </c>
      <c r="AD1421" s="39" t="n">
        <f aca="false">(AB1421-AA1421)/(1-Resumo!$B$5)</f>
        <v>117.193147727273</v>
      </c>
      <c r="AE1421" s="39" t="n">
        <f aca="false">AC1421-T1421</f>
        <v>43.3497297727273</v>
      </c>
      <c r="AF1421" s="40" t="n">
        <f aca="false">AC1421/T1421-1</f>
        <v>0.469902990246097</v>
      </c>
      <c r="AG1421" s="37" t="str">
        <f aca="false">IF(AC1421&lt;T1421,"SIM","NÃO")</f>
        <v>NÃO</v>
      </c>
      <c r="AH1421" s="37" t="n">
        <v>8</v>
      </c>
      <c r="AI1421" s="37" t="n">
        <v>5</v>
      </c>
      <c r="AJ1421" s="37" t="s">
        <v>323</v>
      </c>
    </row>
    <row r="1422" customFormat="false" ht="15" hidden="false" customHeight="false" outlineLevel="0" collapsed="false">
      <c r="A1422" s="37" t="n">
        <v>383936863</v>
      </c>
      <c r="B1422" s="38" t="n">
        <v>46261.3361921296</v>
      </c>
      <c r="C1422" s="37" t="s">
        <v>320</v>
      </c>
      <c r="D1422" s="37" t="s">
        <v>1637</v>
      </c>
      <c r="E1422" s="37" t="n">
        <v>20020010</v>
      </c>
      <c r="F1422" s="37" t="s">
        <v>139</v>
      </c>
      <c r="G1422" s="37" t="s">
        <v>198</v>
      </c>
      <c r="H1422" s="37" t="s">
        <v>168</v>
      </c>
      <c r="I1422" s="37" t="n">
        <v>33</v>
      </c>
      <c r="J1422" s="39" t="n">
        <v>589.99</v>
      </c>
      <c r="K1422" s="37" t="s">
        <v>322</v>
      </c>
      <c r="L1422" s="39" t="n">
        <v>83.15</v>
      </c>
      <c r="M1422" s="39" t="n">
        <v>54.1</v>
      </c>
      <c r="N1422" s="39" t="n">
        <f aca="false">J1422*Resumo!$C$7</f>
        <v>1.17998</v>
      </c>
      <c r="O1422" s="39" t="n">
        <f aca="false">J1422*Resumo!$C$8</f>
        <v>1.17998</v>
      </c>
      <c r="P1422" s="39" t="n">
        <f aca="false">Resumo!$C$10*CEILING(I1422/100,1)</f>
        <v>1</v>
      </c>
      <c r="Q1422" s="39" t="n">
        <f aca="false">Resumo!$C$9</f>
        <v>11.9</v>
      </c>
      <c r="R1422" s="39" t="n">
        <f aca="false">SUM(M1422:Q1422)*Resumo!$C$11</f>
        <v>3.8147978</v>
      </c>
      <c r="S1422" s="39" t="n">
        <f aca="false">SUM(M1422:R1422)</f>
        <v>73.1747578</v>
      </c>
      <c r="T1422" s="39" t="n">
        <f aca="false">S1422/(1-Resumo!$C$5)</f>
        <v>83.1531338636364</v>
      </c>
      <c r="U1422" s="39" t="n">
        <v>82.21</v>
      </c>
      <c r="V1422" s="39" t="n">
        <f aca="false">J1422*Resumo!$B$6</f>
        <v>0.58999</v>
      </c>
      <c r="W1422" s="39" t="n">
        <f aca="false">J1422*Resumo!$B$7</f>
        <v>1.17998</v>
      </c>
      <c r="X1422" s="39" t="n">
        <f aca="false">Resumo!$B$9</f>
        <v>1</v>
      </c>
      <c r="Y1422" s="39" t="n">
        <f aca="false">Resumo!$B$10*CEILING(I1422/100,1)</f>
        <v>4.5</v>
      </c>
      <c r="Z1422" s="39" t="n">
        <f aca="false">Resumo!$B$12*CEILING(I1422,1)</f>
        <v>1.98</v>
      </c>
      <c r="AA1422" s="39" t="n">
        <f aca="false">Resumo!$B$13*CEILING(I1422,1)</f>
        <v>14.85</v>
      </c>
      <c r="AB1422" s="39" t="n">
        <f aca="false">SUM(U1422:AA1422)</f>
        <v>106.30997</v>
      </c>
      <c r="AC1422" s="39" t="n">
        <f aca="false">AB1422/(1-Resumo!$B$5)</f>
        <v>120.806784090909</v>
      </c>
      <c r="AD1422" s="39" t="n">
        <f aca="false">(AB1422-AA1422)/(1-Resumo!$B$5)</f>
        <v>103.931784090909</v>
      </c>
      <c r="AE1422" s="39" t="n">
        <f aca="false">AC1422-T1422</f>
        <v>37.6536502272727</v>
      </c>
      <c r="AF1422" s="40" t="n">
        <f aca="false">AC1422/T1422-1</f>
        <v>0.452822984266851</v>
      </c>
      <c r="AG1422" s="37" t="str">
        <f aca="false">IF(AC1422&lt;T1422,"SIM","NÃO")</f>
        <v>NÃO</v>
      </c>
      <c r="AH1422" s="37" t="n">
        <v>8</v>
      </c>
      <c r="AI1422" s="37" t="n">
        <v>5</v>
      </c>
      <c r="AJ1422" s="37" t="s">
        <v>323</v>
      </c>
    </row>
    <row r="1423" customFormat="false" ht="15" hidden="false" customHeight="false" outlineLevel="0" collapsed="false">
      <c r="A1423" s="37" t="n">
        <v>384390789</v>
      </c>
      <c r="B1423" s="38" t="n">
        <v>46261.4150231482</v>
      </c>
      <c r="C1423" s="37" t="s">
        <v>320</v>
      </c>
      <c r="D1423" s="37" t="s">
        <v>1638</v>
      </c>
      <c r="E1423" s="37" t="n">
        <v>28180000</v>
      </c>
      <c r="F1423" s="37" t="s">
        <v>244</v>
      </c>
      <c r="G1423" s="37" t="s">
        <v>201</v>
      </c>
      <c r="H1423" s="37" t="s">
        <v>169</v>
      </c>
      <c r="I1423" s="37" t="n">
        <v>37.59</v>
      </c>
      <c r="J1423" s="39" t="n">
        <v>479.99</v>
      </c>
      <c r="K1423" s="37" t="s">
        <v>322</v>
      </c>
      <c r="L1423" s="39" t="n">
        <v>122.55</v>
      </c>
      <c r="M1423" s="39" t="n">
        <v>87.4</v>
      </c>
      <c r="N1423" s="39" t="n">
        <f aca="false">J1423*Resumo!$C$7</f>
        <v>0.95998</v>
      </c>
      <c r="O1423" s="39" t="n">
        <f aca="false">J1423*Resumo!$C$8</f>
        <v>0.95998</v>
      </c>
      <c r="P1423" s="39" t="n">
        <f aca="false">Resumo!$C$10*CEILING(I1423/100,1)</f>
        <v>1</v>
      </c>
      <c r="Q1423" s="39" t="n">
        <f aca="false">Resumo!$C$9</f>
        <v>11.9</v>
      </c>
      <c r="R1423" s="39" t="n">
        <f aca="false">SUM(M1423:Q1423)*Resumo!$C$11</f>
        <v>5.6220978</v>
      </c>
      <c r="S1423" s="39" t="n">
        <f aca="false">SUM(M1423:R1423)</f>
        <v>107.8420578</v>
      </c>
      <c r="T1423" s="39" t="n">
        <f aca="false">S1423/(1-Resumo!$C$5)</f>
        <v>122.547792954545</v>
      </c>
      <c r="U1423" s="39" t="n">
        <v>143.04</v>
      </c>
      <c r="V1423" s="39" t="n">
        <f aca="false">J1423*Resumo!$B$6</f>
        <v>0.47999</v>
      </c>
      <c r="W1423" s="39" t="n">
        <f aca="false">J1423*Resumo!$B$7</f>
        <v>0.95998</v>
      </c>
      <c r="X1423" s="39" t="n">
        <f aca="false">Resumo!$B$9</f>
        <v>1</v>
      </c>
      <c r="Y1423" s="39" t="n">
        <f aca="false">Resumo!$B$10*CEILING(I1423/100,1)</f>
        <v>4.5</v>
      </c>
      <c r="Z1423" s="39" t="n">
        <f aca="false">Resumo!$B$12*CEILING(I1423,1)</f>
        <v>2.28</v>
      </c>
      <c r="AA1423" s="39" t="n">
        <f aca="false">Resumo!$B$13*CEILING(I1423,1)</f>
        <v>17.1</v>
      </c>
      <c r="AB1423" s="39" t="n">
        <f aca="false">SUM(U1423:AA1423)</f>
        <v>169.35997</v>
      </c>
      <c r="AC1423" s="39" t="n">
        <f aca="false">AB1423/(1-Resumo!$B$5)</f>
        <v>192.454511363636</v>
      </c>
      <c r="AD1423" s="39" t="n">
        <f aca="false">(AB1423-AA1423)/(1-Resumo!$B$5)</f>
        <v>173.022693181818</v>
      </c>
      <c r="AE1423" s="39" t="n">
        <f aca="false">AC1423-T1423</f>
        <v>69.9067184090909</v>
      </c>
      <c r="AF1423" s="40" t="n">
        <f aca="false">AC1423/T1423-1</f>
        <v>0.57044453207754</v>
      </c>
      <c r="AG1423" s="37" t="str">
        <f aca="false">IF(AC1423&lt;T1423,"SIM","NÃO")</f>
        <v>NÃO</v>
      </c>
      <c r="AH1423" s="37" t="n">
        <v>13</v>
      </c>
      <c r="AI1423" s="37" t="n">
        <v>11</v>
      </c>
      <c r="AJ1423" s="37" t="s">
        <v>327</v>
      </c>
    </row>
    <row r="1424" customFormat="false" ht="15" hidden="false" customHeight="false" outlineLevel="0" collapsed="false">
      <c r="A1424" s="37" t="n">
        <v>384006619</v>
      </c>
      <c r="B1424" s="38" t="n">
        <v>46261.4413541667</v>
      </c>
      <c r="C1424" s="37" t="s">
        <v>320</v>
      </c>
      <c r="D1424" s="37" t="s">
        <v>1639</v>
      </c>
      <c r="E1424" s="37" t="n">
        <v>25264180</v>
      </c>
      <c r="F1424" s="37" t="s">
        <v>141</v>
      </c>
      <c r="G1424" s="37" t="s">
        <v>207</v>
      </c>
      <c r="H1424" s="37" t="s">
        <v>173</v>
      </c>
      <c r="I1424" s="37" t="n">
        <v>71.9</v>
      </c>
      <c r="J1424" s="39" t="n">
        <v>779.69</v>
      </c>
      <c r="K1424" s="37" t="s">
        <v>322</v>
      </c>
      <c r="L1424" s="39" t="n">
        <v>151.74</v>
      </c>
      <c r="M1424" s="39" t="n">
        <v>110.55</v>
      </c>
      <c r="N1424" s="39" t="n">
        <f aca="false">J1424*Resumo!$C$7</f>
        <v>1.55938</v>
      </c>
      <c r="O1424" s="39" t="n">
        <f aca="false">J1424*Resumo!$C$8</f>
        <v>1.55938</v>
      </c>
      <c r="P1424" s="39" t="n">
        <f aca="false">Resumo!$C$10*CEILING(I1424/100,1)</f>
        <v>1</v>
      </c>
      <c r="Q1424" s="39" t="n">
        <f aca="false">Resumo!$C$9</f>
        <v>11.9</v>
      </c>
      <c r="R1424" s="39" t="n">
        <f aca="false">SUM(M1424:Q1424)*Resumo!$C$11</f>
        <v>6.9612818</v>
      </c>
      <c r="S1424" s="39" t="n">
        <f aca="false">SUM(M1424:R1424)</f>
        <v>133.5300418</v>
      </c>
      <c r="T1424" s="39" t="n">
        <f aca="false">S1424/(1-Resumo!$C$5)</f>
        <v>151.738683863636</v>
      </c>
      <c r="U1424" s="39" t="n">
        <v>134.39</v>
      </c>
      <c r="V1424" s="39" t="n">
        <f aca="false">J1424*Resumo!$B$6</f>
        <v>0.77969</v>
      </c>
      <c r="W1424" s="39" t="n">
        <f aca="false">J1424*Resumo!$B$7</f>
        <v>1.55938</v>
      </c>
      <c r="X1424" s="39" t="n">
        <f aca="false">Resumo!$B$9</f>
        <v>1</v>
      </c>
      <c r="Y1424" s="39" t="n">
        <f aca="false">Resumo!$B$10*CEILING(I1424/100,1)</f>
        <v>4.5</v>
      </c>
      <c r="Z1424" s="39" t="n">
        <f aca="false">Resumo!$B$12*CEILING(I1424,1)</f>
        <v>4.32</v>
      </c>
      <c r="AA1424" s="39" t="n">
        <f aca="false">Resumo!$B$13*CEILING(I1424,1)</f>
        <v>32.4</v>
      </c>
      <c r="AB1424" s="39" t="n">
        <f aca="false">SUM(U1424:AA1424)</f>
        <v>178.94907</v>
      </c>
      <c r="AC1424" s="39" t="n">
        <f aca="false">AB1424/(1-Resumo!$B$5)</f>
        <v>203.351215909091</v>
      </c>
      <c r="AD1424" s="39" t="n">
        <f aca="false">(AB1424-AA1424)/(1-Resumo!$B$5)</f>
        <v>166.533034090909</v>
      </c>
      <c r="AE1424" s="39" t="n">
        <f aca="false">AC1424-T1424</f>
        <v>51.6125320454545</v>
      </c>
      <c r="AF1424" s="40" t="n">
        <f aca="false">AC1424/T1424-1</f>
        <v>0.340140897042691</v>
      </c>
      <c r="AG1424" s="37" t="str">
        <f aca="false">IF(AC1424&lt;T1424,"SIM","NÃO")</f>
        <v>NÃO</v>
      </c>
      <c r="AH1424" s="37" t="n">
        <v>10</v>
      </c>
      <c r="AI1424" s="37" t="n">
        <v>5</v>
      </c>
      <c r="AJ1424" s="37" t="s">
        <v>323</v>
      </c>
    </row>
    <row r="1425" customFormat="false" ht="15" hidden="false" customHeight="false" outlineLevel="0" collapsed="false">
      <c r="A1425" s="37" t="n">
        <v>384035356</v>
      </c>
      <c r="B1425" s="38" t="n">
        <v>46261.4814814815</v>
      </c>
      <c r="C1425" s="37" t="s">
        <v>325</v>
      </c>
      <c r="D1425" s="37" t="s">
        <v>1640</v>
      </c>
      <c r="E1425" s="37" t="n">
        <v>21371440</v>
      </c>
      <c r="F1425" s="37" t="s">
        <v>139</v>
      </c>
      <c r="G1425" s="37" t="s">
        <v>198</v>
      </c>
      <c r="H1425" s="37" t="s">
        <v>171</v>
      </c>
      <c r="I1425" s="37" t="n">
        <v>51.3</v>
      </c>
      <c r="J1425" s="39" t="n">
        <v>669.95</v>
      </c>
      <c r="K1425" s="37" t="s">
        <v>322</v>
      </c>
      <c r="L1425" s="39" t="n">
        <v>114.36</v>
      </c>
      <c r="M1425" s="39" t="n">
        <v>79.81</v>
      </c>
      <c r="N1425" s="39" t="n">
        <f aca="false">J1425*Resumo!$C$7</f>
        <v>1.3399</v>
      </c>
      <c r="O1425" s="39" t="n">
        <f aca="false">J1425*Resumo!$C$8</f>
        <v>1.3399</v>
      </c>
      <c r="P1425" s="39" t="n">
        <f aca="false">Resumo!$C$10*CEILING(I1425/100,1)</f>
        <v>1</v>
      </c>
      <c r="Q1425" s="39" t="n">
        <f aca="false">Resumo!$C$9</f>
        <v>11.9</v>
      </c>
      <c r="R1425" s="39" t="n">
        <f aca="false">SUM(M1425:Q1425)*Resumo!$C$11</f>
        <v>5.246439</v>
      </c>
      <c r="S1425" s="39" t="n">
        <f aca="false">SUM(M1425:R1425)</f>
        <v>100.636239</v>
      </c>
      <c r="T1425" s="39" t="n">
        <f aca="false">S1425/(1-Resumo!$C$5)</f>
        <v>114.3593625</v>
      </c>
      <c r="U1425" s="39" t="n">
        <v>112.3</v>
      </c>
      <c r="V1425" s="39" t="n">
        <f aca="false">J1425*Resumo!$B$6</f>
        <v>0.66995</v>
      </c>
      <c r="W1425" s="39" t="n">
        <f aca="false">J1425*Resumo!$B$7</f>
        <v>1.3399</v>
      </c>
      <c r="X1425" s="39" t="n">
        <f aca="false">Resumo!$B$9</f>
        <v>1</v>
      </c>
      <c r="Y1425" s="39" t="n">
        <f aca="false">Resumo!$B$10*CEILING(I1425/100,1)</f>
        <v>4.5</v>
      </c>
      <c r="Z1425" s="39" t="n">
        <f aca="false">Resumo!$B$12*CEILING(I1425,1)</f>
        <v>3.12</v>
      </c>
      <c r="AA1425" s="39" t="n">
        <f aca="false">Resumo!$B$13*CEILING(I1425,1)</f>
        <v>23.4</v>
      </c>
      <c r="AB1425" s="39" t="n">
        <f aca="false">SUM(U1425:AA1425)</f>
        <v>146.32985</v>
      </c>
      <c r="AC1425" s="39" t="n">
        <f aca="false">AB1425/(1-Resumo!$B$5)</f>
        <v>166.283920454545</v>
      </c>
      <c r="AD1425" s="39" t="n">
        <f aca="false">(AB1425-AA1425)/(1-Resumo!$B$5)</f>
        <v>139.693011363636</v>
      </c>
      <c r="AE1425" s="39" t="n">
        <f aca="false">AC1425-T1425</f>
        <v>51.9245579545454</v>
      </c>
      <c r="AF1425" s="40" t="n">
        <f aca="false">AC1425/T1425-1</f>
        <v>0.454047284100114</v>
      </c>
      <c r="AG1425" s="37" t="str">
        <f aca="false">IF(AC1425&lt;T1425,"SIM","NÃO")</f>
        <v>NÃO</v>
      </c>
      <c r="AH1425" s="37" t="n">
        <v>8</v>
      </c>
      <c r="AI1425" s="37" t="n">
        <v>5</v>
      </c>
      <c r="AJ1425" s="37" t="s">
        <v>323</v>
      </c>
    </row>
    <row r="1426" customFormat="false" ht="15" hidden="false" customHeight="false" outlineLevel="0" collapsed="false">
      <c r="A1426" s="37" t="n">
        <v>384049640</v>
      </c>
      <c r="B1426" s="38" t="n">
        <v>46261.499837963</v>
      </c>
      <c r="C1426" s="37" t="s">
        <v>325</v>
      </c>
      <c r="D1426" s="37" t="s">
        <v>1641</v>
      </c>
      <c r="E1426" s="37" t="n">
        <v>28625570</v>
      </c>
      <c r="F1426" s="37" t="s">
        <v>157</v>
      </c>
      <c r="G1426" s="37" t="s">
        <v>201</v>
      </c>
      <c r="H1426" s="37" t="s">
        <v>175</v>
      </c>
      <c r="I1426" s="37" t="n">
        <v>117.5</v>
      </c>
      <c r="J1426" s="39" t="n">
        <v>1239</v>
      </c>
      <c r="K1426" s="37" t="s">
        <v>322</v>
      </c>
      <c r="L1426" s="39" t="n">
        <v>216.6</v>
      </c>
      <c r="M1426" s="39" t="n">
        <v>161.81</v>
      </c>
      <c r="N1426" s="39" t="n">
        <f aca="false">J1426*Resumo!$C$7</f>
        <v>2.478</v>
      </c>
      <c r="O1426" s="39" t="n">
        <f aca="false">J1426*Resumo!$C$8</f>
        <v>2.478</v>
      </c>
      <c r="P1426" s="39" t="n">
        <f aca="false">Resumo!$C$10*CEILING(I1426/100,1)</f>
        <v>2</v>
      </c>
      <c r="Q1426" s="39" t="n">
        <f aca="false">Resumo!$C$9</f>
        <v>11.9</v>
      </c>
      <c r="R1426" s="39" t="n">
        <f aca="false">SUM(M1426:Q1426)*Resumo!$C$11</f>
        <v>9.93663</v>
      </c>
      <c r="S1426" s="39" t="n">
        <f aca="false">SUM(M1426:R1426)</f>
        <v>190.60263</v>
      </c>
      <c r="T1426" s="39" t="n">
        <f aca="false">S1426/(1-Resumo!$C$5)</f>
        <v>216.593897727273</v>
      </c>
      <c r="U1426" s="39" t="n">
        <v>236.82</v>
      </c>
      <c r="V1426" s="39" t="n">
        <f aca="false">J1426*Resumo!$B$6</f>
        <v>1.239</v>
      </c>
      <c r="W1426" s="39" t="n">
        <f aca="false">J1426*Resumo!$B$7</f>
        <v>2.478</v>
      </c>
      <c r="X1426" s="39" t="n">
        <f aca="false">Resumo!$B$9</f>
        <v>1</v>
      </c>
      <c r="Y1426" s="39" t="n">
        <f aca="false">Resumo!$B$10*CEILING(I1426/100,1)</f>
        <v>9</v>
      </c>
      <c r="Z1426" s="39" t="n">
        <f aca="false">Resumo!$B$12*CEILING(I1426,1)</f>
        <v>7.08</v>
      </c>
      <c r="AA1426" s="39" t="n">
        <f aca="false">Resumo!$B$13*CEILING(I1426,1)</f>
        <v>53.1</v>
      </c>
      <c r="AB1426" s="39" t="n">
        <f aca="false">SUM(U1426:AA1426)</f>
        <v>310.717</v>
      </c>
      <c r="AC1426" s="39" t="n">
        <f aca="false">AB1426/(1-Resumo!$B$5)</f>
        <v>353.0875</v>
      </c>
      <c r="AD1426" s="39" t="n">
        <f aca="false">(AB1426-AA1426)/(1-Resumo!$B$5)</f>
        <v>292.746590909091</v>
      </c>
      <c r="AE1426" s="39" t="n">
        <f aca="false">AC1426-T1426</f>
        <v>136.493602272727</v>
      </c>
      <c r="AF1426" s="40" t="n">
        <f aca="false">AC1426/T1426-1</f>
        <v>0.630182122880466</v>
      </c>
      <c r="AG1426" s="37" t="str">
        <f aca="false">IF(AC1426&lt;T1426,"SIM","NÃO")</f>
        <v>NÃO</v>
      </c>
      <c r="AH1426" s="37" t="n">
        <v>13</v>
      </c>
      <c r="AI1426" s="37" t="n">
        <v>10</v>
      </c>
      <c r="AJ1426" s="37" t="s">
        <v>323</v>
      </c>
    </row>
    <row r="1427" customFormat="false" ht="15" hidden="false" customHeight="false" outlineLevel="0" collapsed="false">
      <c r="A1427" s="37" t="n">
        <v>384130138</v>
      </c>
      <c r="B1427" s="38" t="n">
        <v>46261.6111689815</v>
      </c>
      <c r="C1427" s="37" t="s">
        <v>320</v>
      </c>
      <c r="D1427" s="37" t="s">
        <v>1058</v>
      </c>
      <c r="E1427" s="37" t="n">
        <v>28415000</v>
      </c>
      <c r="F1427" s="37" t="s">
        <v>254</v>
      </c>
      <c r="G1427" s="37" t="s">
        <v>201</v>
      </c>
      <c r="H1427" s="37" t="s">
        <v>170</v>
      </c>
      <c r="I1427" s="37" t="n">
        <v>46.8</v>
      </c>
      <c r="J1427" s="39" t="n">
        <v>599.99</v>
      </c>
      <c r="K1427" s="37" t="s">
        <v>322</v>
      </c>
      <c r="L1427" s="39" t="n">
        <v>131.03</v>
      </c>
      <c r="M1427" s="39" t="n">
        <v>94</v>
      </c>
      <c r="N1427" s="39" t="n">
        <f aca="false">J1427*Resumo!$C$7</f>
        <v>1.19998</v>
      </c>
      <c r="O1427" s="39" t="n">
        <f aca="false">J1427*Resumo!$C$8</f>
        <v>1.19998</v>
      </c>
      <c r="P1427" s="39" t="n">
        <f aca="false">Resumo!$C$10*CEILING(I1427/100,1)</f>
        <v>1</v>
      </c>
      <c r="Q1427" s="39" t="n">
        <f aca="false">Resumo!$C$9</f>
        <v>11.9</v>
      </c>
      <c r="R1427" s="39" t="n">
        <f aca="false">SUM(M1427:Q1427)*Resumo!$C$11</f>
        <v>6.0114978</v>
      </c>
      <c r="S1427" s="39" t="n">
        <f aca="false">SUM(M1427:R1427)</f>
        <v>115.3114578</v>
      </c>
      <c r="T1427" s="39" t="n">
        <f aca="false">S1427/(1-Resumo!$C$5)</f>
        <v>131.0357475</v>
      </c>
      <c r="U1427" s="39" t="n">
        <v>152.54</v>
      </c>
      <c r="V1427" s="39" t="n">
        <f aca="false">J1427*Resumo!$B$6</f>
        <v>0.59999</v>
      </c>
      <c r="W1427" s="39" t="n">
        <f aca="false">J1427*Resumo!$B$7</f>
        <v>1.19998</v>
      </c>
      <c r="X1427" s="39" t="n">
        <f aca="false">Resumo!$B$9</f>
        <v>1</v>
      </c>
      <c r="Y1427" s="39" t="n">
        <f aca="false">Resumo!$B$10*CEILING(I1427/100,1)</f>
        <v>4.5</v>
      </c>
      <c r="Z1427" s="39" t="n">
        <f aca="false">Resumo!$B$12*CEILING(I1427,1)</f>
        <v>2.82</v>
      </c>
      <c r="AA1427" s="39" t="n">
        <f aca="false">Resumo!$B$13*CEILING(I1427,1)</f>
        <v>21.15</v>
      </c>
      <c r="AB1427" s="39" t="n">
        <f aca="false">SUM(U1427:AA1427)</f>
        <v>183.80997</v>
      </c>
      <c r="AC1427" s="39" t="n">
        <f aca="false">AB1427/(1-Resumo!$B$5)</f>
        <v>208.874965909091</v>
      </c>
      <c r="AD1427" s="39" t="n">
        <f aca="false">(AB1427-AA1427)/(1-Resumo!$B$5)</f>
        <v>184.840875</v>
      </c>
      <c r="AE1427" s="39" t="n">
        <f aca="false">AC1427-T1427</f>
        <v>77.8392184090909</v>
      </c>
      <c r="AF1427" s="40" t="n">
        <f aca="false">AC1427/T1427-1</f>
        <v>0.594030406924575</v>
      </c>
      <c r="AG1427" s="37" t="str">
        <f aca="false">IF(AC1427&lt;T1427,"SIM","NÃO")</f>
        <v>NÃO</v>
      </c>
      <c r="AH1427" s="37" t="n">
        <v>13</v>
      </c>
      <c r="AI1427" s="37" t="n">
        <v>11</v>
      </c>
      <c r="AJ1427" s="37" t="s">
        <v>327</v>
      </c>
    </row>
    <row r="1428" customFormat="false" ht="15" hidden="false" customHeight="false" outlineLevel="0" collapsed="false">
      <c r="A1428" s="37" t="n">
        <v>384146031</v>
      </c>
      <c r="B1428" s="38" t="n">
        <v>46261.6361805556</v>
      </c>
      <c r="C1428" s="37" t="s">
        <v>359</v>
      </c>
      <c r="D1428" s="37" t="s">
        <v>1642</v>
      </c>
      <c r="E1428" s="37" t="n">
        <v>23035146</v>
      </c>
      <c r="F1428" s="37" t="s">
        <v>139</v>
      </c>
      <c r="G1428" s="37" t="s">
        <v>198</v>
      </c>
      <c r="H1428" s="37" t="s">
        <v>176</v>
      </c>
      <c r="I1428" s="37" t="n">
        <v>128.1</v>
      </c>
      <c r="J1428" s="39" t="n">
        <v>1529.99</v>
      </c>
      <c r="K1428" s="37" t="s">
        <v>322</v>
      </c>
      <c r="L1428" s="39" t="n">
        <v>233.62</v>
      </c>
      <c r="M1428" s="39" t="n">
        <v>174.85</v>
      </c>
      <c r="N1428" s="39" t="n">
        <f aca="false">J1428*Resumo!$C$7</f>
        <v>3.05998</v>
      </c>
      <c r="O1428" s="39" t="n">
        <f aca="false">J1428*Resumo!$C$8</f>
        <v>3.05998</v>
      </c>
      <c r="P1428" s="39" t="n">
        <f aca="false">Resumo!$C$10*CEILING(I1428/100,1)</f>
        <v>2</v>
      </c>
      <c r="Q1428" s="39" t="n">
        <f aca="false">Resumo!$C$9</f>
        <v>11.9</v>
      </c>
      <c r="R1428" s="39" t="n">
        <f aca="false">SUM(M1428:Q1428)*Resumo!$C$11</f>
        <v>10.7178478</v>
      </c>
      <c r="S1428" s="39" t="n">
        <f aca="false">SUM(M1428:R1428)</f>
        <v>205.5878078</v>
      </c>
      <c r="T1428" s="39" t="n">
        <f aca="false">S1428/(1-Resumo!$C$5)</f>
        <v>233.622508863636</v>
      </c>
      <c r="U1428" s="39" t="n">
        <v>239.25</v>
      </c>
      <c r="V1428" s="39" t="n">
        <f aca="false">J1428*Resumo!$B$6</f>
        <v>1.52999</v>
      </c>
      <c r="W1428" s="39" t="n">
        <f aca="false">J1428*Resumo!$B$7</f>
        <v>3.05998</v>
      </c>
      <c r="X1428" s="39" t="n">
        <f aca="false">Resumo!$B$9</f>
        <v>1</v>
      </c>
      <c r="Y1428" s="39" t="n">
        <f aca="false">Resumo!$B$10*CEILING(I1428/100,1)</f>
        <v>9</v>
      </c>
      <c r="Z1428" s="39" t="n">
        <f aca="false">Resumo!$B$12*CEILING(I1428,1)</f>
        <v>7.74</v>
      </c>
      <c r="AA1428" s="39" t="n">
        <f aca="false">Resumo!$B$13*CEILING(I1428,1)</f>
        <v>58.05</v>
      </c>
      <c r="AB1428" s="39" t="n">
        <f aca="false">SUM(U1428:AA1428)</f>
        <v>319.62997</v>
      </c>
      <c r="AC1428" s="39" t="n">
        <f aca="false">AB1428/(1-Resumo!$B$5)</f>
        <v>363.215875</v>
      </c>
      <c r="AD1428" s="39" t="n">
        <f aca="false">(AB1428-AA1428)/(1-Resumo!$B$5)</f>
        <v>297.249965909091</v>
      </c>
      <c r="AE1428" s="39" t="n">
        <f aca="false">AC1428-T1428</f>
        <v>129.593366136364</v>
      </c>
      <c r="AF1428" s="40" t="n">
        <f aca="false">AC1428/T1428-1</f>
        <v>0.554712672022568</v>
      </c>
      <c r="AG1428" s="37" t="str">
        <f aca="false">IF(AC1428&lt;T1428,"SIM","NÃO")</f>
        <v>NÃO</v>
      </c>
      <c r="AH1428" s="37" t="n">
        <v>8</v>
      </c>
      <c r="AI1428" s="37" t="n">
        <v>5</v>
      </c>
      <c r="AJ1428" s="37" t="s">
        <v>323</v>
      </c>
    </row>
    <row r="1429" customFormat="false" ht="15" hidden="false" customHeight="false" outlineLevel="0" collapsed="false">
      <c r="A1429" s="37" t="n">
        <v>384146896</v>
      </c>
      <c r="B1429" s="38" t="n">
        <v>46261.6371412037</v>
      </c>
      <c r="C1429" s="37" t="s">
        <v>325</v>
      </c>
      <c r="D1429" s="37" t="s">
        <v>1643</v>
      </c>
      <c r="E1429" s="37" t="n">
        <v>24736210</v>
      </c>
      <c r="F1429" s="37" t="s">
        <v>140</v>
      </c>
      <c r="G1429" s="37" t="s">
        <v>207</v>
      </c>
      <c r="H1429" s="37" t="s">
        <v>168</v>
      </c>
      <c r="I1429" s="37" t="n">
        <v>22.6</v>
      </c>
      <c r="J1429" s="39" t="n">
        <v>489.95</v>
      </c>
      <c r="K1429" s="37" t="s">
        <v>322</v>
      </c>
      <c r="L1429" s="39" t="n">
        <v>101.74</v>
      </c>
      <c r="M1429" s="39" t="n">
        <v>70</v>
      </c>
      <c r="N1429" s="39" t="n">
        <f aca="false">J1429*Resumo!$C$7</f>
        <v>0.9799</v>
      </c>
      <c r="O1429" s="39" t="n">
        <f aca="false">J1429*Resumo!$C$8</f>
        <v>0.9799</v>
      </c>
      <c r="P1429" s="39" t="n">
        <f aca="false">Resumo!$C$10*CEILING(I1429/100,1)</f>
        <v>1</v>
      </c>
      <c r="Q1429" s="39" t="n">
        <f aca="false">Resumo!$C$9</f>
        <v>11.9</v>
      </c>
      <c r="R1429" s="39" t="n">
        <f aca="false">SUM(M1429:Q1429)*Resumo!$C$11</f>
        <v>4.667289</v>
      </c>
      <c r="S1429" s="39" t="n">
        <f aca="false">SUM(M1429:R1429)</f>
        <v>89.527089</v>
      </c>
      <c r="T1429" s="39" t="n">
        <f aca="false">S1429/(1-Resumo!$C$5)</f>
        <v>101.735328409091</v>
      </c>
      <c r="U1429" s="39" t="n">
        <v>100.58</v>
      </c>
      <c r="V1429" s="39" t="n">
        <f aca="false">J1429*Resumo!$B$6</f>
        <v>0.48995</v>
      </c>
      <c r="W1429" s="39" t="n">
        <f aca="false">J1429*Resumo!$B$7</f>
        <v>0.9799</v>
      </c>
      <c r="X1429" s="39" t="n">
        <f aca="false">Resumo!$B$9</f>
        <v>1</v>
      </c>
      <c r="Y1429" s="39" t="n">
        <f aca="false">Resumo!$B$10*CEILING(I1429/100,1)</f>
        <v>4.5</v>
      </c>
      <c r="Z1429" s="39" t="n">
        <f aca="false">Resumo!$B$12*CEILING(I1429,1)</f>
        <v>1.38</v>
      </c>
      <c r="AA1429" s="39" t="n">
        <f aca="false">Resumo!$B$13*CEILING(I1429,1)</f>
        <v>10.35</v>
      </c>
      <c r="AB1429" s="39" t="n">
        <f aca="false">SUM(U1429:AA1429)</f>
        <v>119.27985</v>
      </c>
      <c r="AC1429" s="39" t="n">
        <f aca="false">AB1429/(1-Resumo!$B$5)</f>
        <v>135.545284090909</v>
      </c>
      <c r="AD1429" s="39" t="n">
        <f aca="false">(AB1429-AA1429)/(1-Resumo!$B$5)</f>
        <v>123.783920454545</v>
      </c>
      <c r="AE1429" s="39" t="n">
        <f aca="false">AC1429-T1429</f>
        <v>33.8099556818182</v>
      </c>
      <c r="AF1429" s="40" t="n">
        <f aca="false">AC1429/T1429-1</f>
        <v>0.332332496592177</v>
      </c>
      <c r="AG1429" s="37" t="str">
        <f aca="false">IF(AC1429&lt;T1429,"SIM","NÃO")</f>
        <v>NÃO</v>
      </c>
      <c r="AH1429" s="37" t="n">
        <v>10</v>
      </c>
      <c r="AI1429" s="37" t="n">
        <v>7</v>
      </c>
      <c r="AJ1429" s="37" t="s">
        <v>323</v>
      </c>
    </row>
    <row r="1430" customFormat="false" ht="15" hidden="false" customHeight="false" outlineLevel="0" collapsed="false">
      <c r="A1430" s="37" t="n">
        <v>384198047</v>
      </c>
      <c r="B1430" s="38" t="n">
        <v>46261.7076273148</v>
      </c>
      <c r="C1430" s="37" t="s">
        <v>320</v>
      </c>
      <c r="D1430" s="37" t="s">
        <v>1644</v>
      </c>
      <c r="E1430" s="37" t="n">
        <v>25651075</v>
      </c>
      <c r="F1430" s="37" t="s">
        <v>150</v>
      </c>
      <c r="G1430" s="37" t="s">
        <v>201</v>
      </c>
      <c r="H1430" s="37" t="s">
        <v>174</v>
      </c>
      <c r="I1430" s="37" t="n">
        <v>90</v>
      </c>
      <c r="J1430" s="39" t="n">
        <v>859.99</v>
      </c>
      <c r="K1430" s="37" t="s">
        <v>322</v>
      </c>
      <c r="L1430" s="39" t="n">
        <v>192.72</v>
      </c>
      <c r="M1430" s="39" t="n">
        <v>144.41</v>
      </c>
      <c r="N1430" s="39" t="n">
        <f aca="false">J1430*Resumo!$C$7</f>
        <v>1.71998</v>
      </c>
      <c r="O1430" s="39" t="n">
        <f aca="false">J1430*Resumo!$C$8</f>
        <v>1.71998</v>
      </c>
      <c r="P1430" s="39" t="n">
        <f aca="false">Resumo!$C$10*CEILING(I1430/100,1)</f>
        <v>1</v>
      </c>
      <c r="Q1430" s="39" t="n">
        <f aca="false">Resumo!$C$9</f>
        <v>11.9</v>
      </c>
      <c r="R1430" s="39" t="n">
        <f aca="false">SUM(M1430:Q1430)*Resumo!$C$11</f>
        <v>8.8412478</v>
      </c>
      <c r="S1430" s="39" t="n">
        <f aca="false">SUM(M1430:R1430)</f>
        <v>169.5912078</v>
      </c>
      <c r="T1430" s="39" t="n">
        <f aca="false">S1430/(1-Resumo!$C$5)</f>
        <v>192.717281590909</v>
      </c>
      <c r="U1430" s="39" t="n">
        <v>197.35</v>
      </c>
      <c r="V1430" s="39" t="n">
        <f aca="false">J1430*Resumo!$B$6</f>
        <v>0.85999</v>
      </c>
      <c r="W1430" s="39" t="n">
        <f aca="false">J1430*Resumo!$B$7</f>
        <v>1.71998</v>
      </c>
      <c r="X1430" s="39" t="n">
        <f aca="false">Resumo!$B$9</f>
        <v>1</v>
      </c>
      <c r="Y1430" s="39" t="n">
        <f aca="false">Resumo!$B$10*CEILING(I1430/100,1)</f>
        <v>4.5</v>
      </c>
      <c r="Z1430" s="39" t="n">
        <f aca="false">Resumo!$B$12*CEILING(I1430,1)</f>
        <v>5.4</v>
      </c>
      <c r="AA1430" s="39" t="n">
        <f aca="false">Resumo!$B$13*CEILING(I1430,1)</f>
        <v>40.5</v>
      </c>
      <c r="AB1430" s="39" t="n">
        <f aca="false">SUM(U1430:AA1430)</f>
        <v>251.32997</v>
      </c>
      <c r="AC1430" s="39" t="n">
        <f aca="false">AB1430/(1-Resumo!$B$5)</f>
        <v>285.602238636364</v>
      </c>
      <c r="AD1430" s="39" t="n">
        <f aca="false">(AB1430-AA1430)/(1-Resumo!$B$5)</f>
        <v>239.579511363636</v>
      </c>
      <c r="AE1430" s="39" t="n">
        <f aca="false">AC1430-T1430</f>
        <v>92.8849570454546</v>
      </c>
      <c r="AF1430" s="40" t="n">
        <f aca="false">AC1430/T1430-1</f>
        <v>0.481975234803417</v>
      </c>
      <c r="AG1430" s="37" t="str">
        <f aca="false">IF(AC1430&lt;T1430,"SIM","NÃO")</f>
        <v>NÃO</v>
      </c>
      <c r="AH1430" s="37" t="n">
        <v>13</v>
      </c>
      <c r="AI1430" s="37" t="n">
        <v>8</v>
      </c>
      <c r="AJ1430" s="37" t="s">
        <v>323</v>
      </c>
    </row>
    <row r="1431" customFormat="false" ht="15" hidden="false" customHeight="false" outlineLevel="0" collapsed="false">
      <c r="A1431" s="37" t="n">
        <v>384199337</v>
      </c>
      <c r="B1431" s="38" t="n">
        <v>46261.7096527778</v>
      </c>
      <c r="C1431" s="37" t="s">
        <v>325</v>
      </c>
      <c r="D1431" s="37" t="s">
        <v>1645</v>
      </c>
      <c r="E1431" s="37" t="n">
        <v>22770580</v>
      </c>
      <c r="F1431" s="37" t="s">
        <v>139</v>
      </c>
      <c r="G1431" s="37" t="s">
        <v>198</v>
      </c>
      <c r="H1431" s="37" t="s">
        <v>167</v>
      </c>
      <c r="I1431" s="37" t="n">
        <v>13.18</v>
      </c>
      <c r="J1431" s="39" t="n">
        <v>246.99</v>
      </c>
      <c r="K1431" s="37" t="s">
        <v>322</v>
      </c>
      <c r="L1431" s="39" t="n">
        <v>64.39</v>
      </c>
      <c r="M1431" s="39" t="n">
        <v>39.83</v>
      </c>
      <c r="N1431" s="39" t="n">
        <f aca="false">J1431*Resumo!$C$7</f>
        <v>0.49398</v>
      </c>
      <c r="O1431" s="39" t="n">
        <f aca="false">J1431*Resumo!$C$8</f>
        <v>0.49398</v>
      </c>
      <c r="P1431" s="39" t="n">
        <f aca="false">Resumo!$C$10*CEILING(I1431/100,1)</f>
        <v>1</v>
      </c>
      <c r="Q1431" s="39" t="n">
        <f aca="false">Resumo!$C$9</f>
        <v>11.9</v>
      </c>
      <c r="R1431" s="39" t="n">
        <f aca="false">SUM(M1431:Q1431)*Resumo!$C$11</f>
        <v>2.9544878</v>
      </c>
      <c r="S1431" s="39" t="n">
        <f aca="false">SUM(M1431:R1431)</f>
        <v>56.6724478</v>
      </c>
      <c r="T1431" s="39" t="n">
        <f aca="false">S1431/(1-Resumo!$C$5)</f>
        <v>64.4005088636364</v>
      </c>
      <c r="U1431" s="39" t="n">
        <v>46.98</v>
      </c>
      <c r="V1431" s="39" t="n">
        <f aca="false">J1431*Resumo!$B$6</f>
        <v>0.24699</v>
      </c>
      <c r="W1431" s="39" t="n">
        <f aca="false">J1431*Resumo!$B$7</f>
        <v>0.49398</v>
      </c>
      <c r="X1431" s="39" t="n">
        <f aca="false">Resumo!$B$9</f>
        <v>1</v>
      </c>
      <c r="Y1431" s="39" t="n">
        <f aca="false">Resumo!$B$10*CEILING(I1431/100,1)</f>
        <v>4.5</v>
      </c>
      <c r="Z1431" s="39" t="n">
        <f aca="false">Resumo!$B$12*CEILING(I1431,1)</f>
        <v>0.84</v>
      </c>
      <c r="AA1431" s="39" t="n">
        <f aca="false">Resumo!$B$13*CEILING(I1431,1)</f>
        <v>6.3</v>
      </c>
      <c r="AB1431" s="39" t="n">
        <f aca="false">SUM(U1431:AA1431)</f>
        <v>60.36097</v>
      </c>
      <c r="AC1431" s="39" t="n">
        <f aca="false">AB1431/(1-Resumo!$B$5)</f>
        <v>68.5920113636364</v>
      </c>
      <c r="AD1431" s="39" t="n">
        <f aca="false">(AB1431-AA1431)/(1-Resumo!$B$5)</f>
        <v>61.4329204545455</v>
      </c>
      <c r="AE1431" s="39" t="n">
        <f aca="false">AC1431-T1431</f>
        <v>4.1915025</v>
      </c>
      <c r="AF1431" s="40" t="n">
        <f aca="false">AC1431/T1431-1</f>
        <v>0.0650849282709118</v>
      </c>
      <c r="AG1431" s="37" t="str">
        <f aca="false">IF(AC1431&lt;T1431,"SIM","NÃO")</f>
        <v>NÃO</v>
      </c>
      <c r="AH1431" s="37" t="n">
        <v>8</v>
      </c>
      <c r="AI1431" s="37" t="n">
        <v>5</v>
      </c>
      <c r="AJ1431" s="37" t="s">
        <v>323</v>
      </c>
    </row>
    <row r="1432" customFormat="false" ht="15" hidden="false" customHeight="false" outlineLevel="0" collapsed="false">
      <c r="A1432" s="37" t="n">
        <v>384209314</v>
      </c>
      <c r="B1432" s="38" t="n">
        <v>46261.7237615741</v>
      </c>
      <c r="C1432" s="37" t="s">
        <v>320</v>
      </c>
      <c r="D1432" s="37" t="s">
        <v>1646</v>
      </c>
      <c r="E1432" s="37" t="n">
        <v>28220000</v>
      </c>
      <c r="F1432" s="37" t="s">
        <v>245</v>
      </c>
      <c r="G1432" s="37" t="s">
        <v>201</v>
      </c>
      <c r="H1432" s="37" t="s">
        <v>167</v>
      </c>
      <c r="I1432" s="37" t="n">
        <v>19.9</v>
      </c>
      <c r="J1432" s="39" t="n">
        <v>299.99</v>
      </c>
      <c r="K1432" s="37" t="s">
        <v>322</v>
      </c>
      <c r="L1432" s="39" t="n">
        <v>80.09</v>
      </c>
      <c r="M1432" s="39" t="n">
        <v>52.71</v>
      </c>
      <c r="N1432" s="39" t="n">
        <f aca="false">J1432*Resumo!$C$7</f>
        <v>0.59998</v>
      </c>
      <c r="O1432" s="39" t="n">
        <f aca="false">J1432*Resumo!$C$8</f>
        <v>0.59998</v>
      </c>
      <c r="P1432" s="39" t="n">
        <f aca="false">Resumo!$C$10*CEILING(I1432/100,1)</f>
        <v>1</v>
      </c>
      <c r="Q1432" s="39" t="n">
        <f aca="false">Resumo!$C$9</f>
        <v>11.9</v>
      </c>
      <c r="R1432" s="39" t="n">
        <f aca="false">SUM(M1432:Q1432)*Resumo!$C$11</f>
        <v>3.6745478</v>
      </c>
      <c r="S1432" s="39" t="n">
        <f aca="false">SUM(M1432:R1432)</f>
        <v>70.4845078</v>
      </c>
      <c r="T1432" s="39" t="n">
        <f aca="false">S1432/(1-Resumo!$C$5)</f>
        <v>80.0960315909091</v>
      </c>
      <c r="U1432" s="39" t="n">
        <v>124.04</v>
      </c>
      <c r="V1432" s="39" t="n">
        <f aca="false">J1432*Resumo!$B$6</f>
        <v>0.29999</v>
      </c>
      <c r="W1432" s="39" t="n">
        <f aca="false">J1432*Resumo!$B$7</f>
        <v>0.59998</v>
      </c>
      <c r="X1432" s="39" t="n">
        <f aca="false">Resumo!$B$9</f>
        <v>1</v>
      </c>
      <c r="Y1432" s="39" t="n">
        <f aca="false">Resumo!$B$10*CEILING(I1432/100,1)</f>
        <v>4.5</v>
      </c>
      <c r="Z1432" s="39" t="n">
        <f aca="false">Resumo!$B$12*CEILING(I1432,1)</f>
        <v>1.2</v>
      </c>
      <c r="AA1432" s="39" t="n">
        <f aca="false">Resumo!$B$13*CEILING(I1432,1)</f>
        <v>9</v>
      </c>
      <c r="AB1432" s="39" t="n">
        <f aca="false">SUM(U1432:AA1432)</f>
        <v>140.63997</v>
      </c>
      <c r="AC1432" s="39" t="n">
        <f aca="false">AB1432/(1-Resumo!$B$5)</f>
        <v>159.818147727273</v>
      </c>
      <c r="AD1432" s="39" t="n">
        <f aca="false">(AB1432-AA1432)/(1-Resumo!$B$5)</f>
        <v>149.590875</v>
      </c>
      <c r="AE1432" s="39" t="n">
        <f aca="false">AC1432-T1432</f>
        <v>79.7221161363636</v>
      </c>
      <c r="AF1432" s="40" t="n">
        <f aca="false">AC1432/T1432-1</f>
        <v>0.995331660668843</v>
      </c>
      <c r="AG1432" s="37" t="str">
        <f aca="false">IF(AC1432&lt;T1432,"SIM","NÃO")</f>
        <v>NÃO</v>
      </c>
      <c r="AH1432" s="37" t="n">
        <v>13</v>
      </c>
      <c r="AI1432" s="37" t="n">
        <v>11</v>
      </c>
      <c r="AJ1432" s="37" t="s">
        <v>327</v>
      </c>
    </row>
    <row r="1433" customFormat="false" ht="15" hidden="false" customHeight="false" outlineLevel="0" collapsed="false">
      <c r="A1433" s="37" t="n">
        <v>384253709</v>
      </c>
      <c r="B1433" s="38" t="n">
        <v>46261.7981134259</v>
      </c>
      <c r="C1433" s="37" t="s">
        <v>320</v>
      </c>
      <c r="D1433" s="37" t="s">
        <v>1321</v>
      </c>
      <c r="E1433" s="37" t="n">
        <v>26113660</v>
      </c>
      <c r="F1433" s="37" t="s">
        <v>145</v>
      </c>
      <c r="G1433" s="37" t="s">
        <v>207</v>
      </c>
      <c r="H1433" s="37" t="s">
        <v>172</v>
      </c>
      <c r="I1433" s="37" t="n">
        <v>63</v>
      </c>
      <c r="J1433" s="39" t="n">
        <v>829.99</v>
      </c>
      <c r="K1433" s="37" t="s">
        <v>322</v>
      </c>
      <c r="L1433" s="39" t="n">
        <v>140.41</v>
      </c>
      <c r="M1433" s="39" t="n">
        <v>100.9</v>
      </c>
      <c r="N1433" s="39" t="n">
        <f aca="false">J1433*Resumo!$C$7</f>
        <v>1.65998</v>
      </c>
      <c r="O1433" s="39" t="n">
        <f aca="false">J1433*Resumo!$C$8</f>
        <v>1.65998</v>
      </c>
      <c r="P1433" s="39" t="n">
        <f aca="false">Resumo!$C$10*CEILING(I1433/100,1)</f>
        <v>1</v>
      </c>
      <c r="Q1433" s="39" t="n">
        <f aca="false">Resumo!$C$9</f>
        <v>11.9</v>
      </c>
      <c r="R1433" s="39" t="n">
        <f aca="false">SUM(M1433:Q1433)*Resumo!$C$11</f>
        <v>6.4415978</v>
      </c>
      <c r="S1433" s="39" t="n">
        <f aca="false">SUM(M1433:R1433)</f>
        <v>123.5615578</v>
      </c>
      <c r="T1433" s="39" t="n">
        <f aca="false">S1433/(1-Resumo!$C$5)</f>
        <v>140.410861136364</v>
      </c>
      <c r="U1433" s="39" t="n">
        <v>131.02</v>
      </c>
      <c r="V1433" s="39" t="n">
        <f aca="false">J1433*Resumo!$B$6</f>
        <v>0.82999</v>
      </c>
      <c r="W1433" s="39" t="n">
        <f aca="false">J1433*Resumo!$B$7</f>
        <v>1.65998</v>
      </c>
      <c r="X1433" s="39" t="n">
        <f aca="false">Resumo!$B$9</f>
        <v>1</v>
      </c>
      <c r="Y1433" s="39" t="n">
        <f aca="false">Resumo!$B$10*CEILING(I1433/100,1)</f>
        <v>4.5</v>
      </c>
      <c r="Z1433" s="39" t="n">
        <f aca="false">Resumo!$B$12*CEILING(I1433,1)</f>
        <v>3.78</v>
      </c>
      <c r="AA1433" s="39" t="n">
        <f aca="false">Resumo!$B$13*CEILING(I1433,1)</f>
        <v>28.35</v>
      </c>
      <c r="AB1433" s="39" t="n">
        <f aca="false">SUM(U1433:AA1433)</f>
        <v>171.13997</v>
      </c>
      <c r="AC1433" s="39" t="n">
        <f aca="false">AB1433/(1-Resumo!$B$5)</f>
        <v>194.477238636364</v>
      </c>
      <c r="AD1433" s="39" t="n">
        <f aca="false">(AB1433-AA1433)/(1-Resumo!$B$5)</f>
        <v>162.261329545455</v>
      </c>
      <c r="AE1433" s="39" t="n">
        <f aca="false">AC1433-T1433</f>
        <v>54.0663775</v>
      </c>
      <c r="AF1433" s="40" t="n">
        <f aca="false">AC1433/T1433-1</f>
        <v>0.385058371285766</v>
      </c>
      <c r="AG1433" s="37" t="str">
        <f aca="false">IF(AC1433&lt;T1433,"SIM","NÃO")</f>
        <v>NÃO</v>
      </c>
      <c r="AH1433" s="37" t="n">
        <v>10</v>
      </c>
      <c r="AI1433" s="37" t="n">
        <v>5</v>
      </c>
      <c r="AJ1433" s="37" t="s">
        <v>323</v>
      </c>
    </row>
    <row r="1434" customFormat="false" ht="15" hidden="false" customHeight="false" outlineLevel="0" collapsed="false">
      <c r="A1434" s="37" t="n">
        <v>384330809</v>
      </c>
      <c r="B1434" s="38" t="n">
        <v>46261.9417592593</v>
      </c>
      <c r="C1434" s="37" t="s">
        <v>352</v>
      </c>
      <c r="D1434" s="37" t="s">
        <v>1647</v>
      </c>
      <c r="E1434" s="37" t="n">
        <v>28981070</v>
      </c>
      <c r="F1434" s="37" t="s">
        <v>153</v>
      </c>
      <c r="G1434" s="37" t="s">
        <v>201</v>
      </c>
      <c r="H1434" s="37" t="s">
        <v>173</v>
      </c>
      <c r="I1434" s="37" t="n">
        <v>71.9</v>
      </c>
      <c r="J1434" s="39" t="n">
        <v>796.49</v>
      </c>
      <c r="K1434" s="37" t="s">
        <v>322</v>
      </c>
      <c r="L1434" s="39" t="n">
        <v>168.13</v>
      </c>
      <c r="M1434" s="39" t="n">
        <v>124.16</v>
      </c>
      <c r="N1434" s="39" t="n">
        <f aca="false">J1434*Resumo!$C$7</f>
        <v>1.59298</v>
      </c>
      <c r="O1434" s="39" t="n">
        <f aca="false">J1434*Resumo!$C$8</f>
        <v>1.59298</v>
      </c>
      <c r="P1434" s="39" t="n">
        <f aca="false">Resumo!$C$10*CEILING(I1434/100,1)</f>
        <v>1</v>
      </c>
      <c r="Q1434" s="39" t="n">
        <f aca="false">Resumo!$C$9</f>
        <v>11.9</v>
      </c>
      <c r="R1434" s="39" t="n">
        <f aca="false">SUM(M1434:Q1434)*Resumo!$C$11</f>
        <v>7.7135278</v>
      </c>
      <c r="S1434" s="39" t="n">
        <f aca="false">SUM(M1434:R1434)</f>
        <v>147.9594878</v>
      </c>
      <c r="T1434" s="39" t="n">
        <f aca="false">S1434/(1-Resumo!$C$5)</f>
        <v>168.135781590909</v>
      </c>
      <c r="U1434" s="39" t="n">
        <v>166.05</v>
      </c>
      <c r="V1434" s="39" t="n">
        <f aca="false">J1434*Resumo!$B$6</f>
        <v>0.79649</v>
      </c>
      <c r="W1434" s="39" t="n">
        <f aca="false">J1434*Resumo!$B$7</f>
        <v>1.59298</v>
      </c>
      <c r="X1434" s="39" t="n">
        <f aca="false">Resumo!$B$9</f>
        <v>1</v>
      </c>
      <c r="Y1434" s="39" t="n">
        <f aca="false">Resumo!$B$10*CEILING(I1434/100,1)</f>
        <v>4.5</v>
      </c>
      <c r="Z1434" s="39" t="n">
        <f aca="false">Resumo!$B$12*CEILING(I1434,1)</f>
        <v>4.32</v>
      </c>
      <c r="AA1434" s="39" t="n">
        <f aca="false">Resumo!$B$13*CEILING(I1434,1)</f>
        <v>32.4</v>
      </c>
      <c r="AB1434" s="39" t="n">
        <f aca="false">SUM(U1434:AA1434)</f>
        <v>210.65947</v>
      </c>
      <c r="AC1434" s="39" t="n">
        <f aca="false">AB1434/(1-Resumo!$B$5)</f>
        <v>239.385761363636</v>
      </c>
      <c r="AD1434" s="39" t="n">
        <f aca="false">(AB1434-AA1434)/(1-Resumo!$B$5)</f>
        <v>202.567579545455</v>
      </c>
      <c r="AE1434" s="39" t="n">
        <f aca="false">AC1434-T1434</f>
        <v>71.2499797727273</v>
      </c>
      <c r="AF1434" s="40" t="n">
        <f aca="false">AC1434/T1434-1</f>
        <v>0.423764525900177</v>
      </c>
      <c r="AG1434" s="37" t="str">
        <f aca="false">IF(AC1434&lt;T1434,"SIM","NÃO")</f>
        <v>NÃO</v>
      </c>
      <c r="AH1434" s="37" t="n">
        <v>13</v>
      </c>
      <c r="AI1434" s="37" t="n">
        <v>10</v>
      </c>
      <c r="AJ1434" s="37" t="s">
        <v>323</v>
      </c>
    </row>
    <row r="1435" customFormat="false" ht="15" hidden="false" customHeight="false" outlineLevel="0" collapsed="false">
      <c r="A1435" s="37" t="n">
        <v>384357499</v>
      </c>
      <c r="B1435" s="38" t="n">
        <v>46261.9910185185</v>
      </c>
      <c r="C1435" s="37" t="s">
        <v>320</v>
      </c>
      <c r="D1435" s="37" t="s">
        <v>1648</v>
      </c>
      <c r="E1435" s="37" t="n">
        <v>25650230</v>
      </c>
      <c r="F1435" s="37" t="s">
        <v>150</v>
      </c>
      <c r="G1435" s="37" t="s">
        <v>201</v>
      </c>
      <c r="H1435" s="37" t="s">
        <v>173</v>
      </c>
      <c r="I1435" s="37" t="n">
        <v>71.9</v>
      </c>
      <c r="J1435" s="39" t="n">
        <v>779.69</v>
      </c>
      <c r="K1435" s="37" t="s">
        <v>322</v>
      </c>
      <c r="L1435" s="39" t="n">
        <v>168.06</v>
      </c>
      <c r="M1435" s="39" t="n">
        <v>124.16</v>
      </c>
      <c r="N1435" s="39" t="n">
        <f aca="false">J1435*Resumo!$C$7</f>
        <v>1.55938</v>
      </c>
      <c r="O1435" s="39" t="n">
        <f aca="false">J1435*Resumo!$C$8</f>
        <v>1.55938</v>
      </c>
      <c r="P1435" s="39" t="n">
        <f aca="false">Resumo!$C$10*CEILING(I1435/100,1)</f>
        <v>1</v>
      </c>
      <c r="Q1435" s="39" t="n">
        <f aca="false">Resumo!$C$9</f>
        <v>11.9</v>
      </c>
      <c r="R1435" s="39" t="n">
        <f aca="false">SUM(M1435:Q1435)*Resumo!$C$11</f>
        <v>7.7098318</v>
      </c>
      <c r="S1435" s="39" t="n">
        <f aca="false">SUM(M1435:R1435)</f>
        <v>147.8885918</v>
      </c>
      <c r="T1435" s="39" t="n">
        <f aca="false">S1435/(1-Resumo!$C$5)</f>
        <v>168.055217954545</v>
      </c>
      <c r="U1435" s="39" t="n">
        <v>166.05</v>
      </c>
      <c r="V1435" s="39" t="n">
        <f aca="false">J1435*Resumo!$B$6</f>
        <v>0.77969</v>
      </c>
      <c r="W1435" s="39" t="n">
        <f aca="false">J1435*Resumo!$B$7</f>
        <v>1.55938</v>
      </c>
      <c r="X1435" s="39" t="n">
        <f aca="false">Resumo!$B$9</f>
        <v>1</v>
      </c>
      <c r="Y1435" s="39" t="n">
        <f aca="false">Resumo!$B$10*CEILING(I1435/100,1)</f>
        <v>4.5</v>
      </c>
      <c r="Z1435" s="39" t="n">
        <f aca="false">Resumo!$B$12*CEILING(I1435,1)</f>
        <v>4.32</v>
      </c>
      <c r="AA1435" s="39" t="n">
        <f aca="false">Resumo!$B$13*CEILING(I1435,1)</f>
        <v>32.4</v>
      </c>
      <c r="AB1435" s="39" t="n">
        <f aca="false">SUM(U1435:AA1435)</f>
        <v>210.60907</v>
      </c>
      <c r="AC1435" s="39" t="n">
        <f aca="false">AB1435/(1-Resumo!$B$5)</f>
        <v>239.328488636364</v>
      </c>
      <c r="AD1435" s="39" t="n">
        <f aca="false">(AB1435-AA1435)/(1-Resumo!$B$5)</f>
        <v>202.510306818182</v>
      </c>
      <c r="AE1435" s="39" t="n">
        <f aca="false">AC1435-T1435</f>
        <v>71.2732706818182</v>
      </c>
      <c r="AF1435" s="40" t="n">
        <f aca="false">AC1435/T1435-1</f>
        <v>0.424106264294012</v>
      </c>
      <c r="AG1435" s="37" t="str">
        <f aca="false">IF(AC1435&lt;T1435,"SIM","NÃO")</f>
        <v>NÃO</v>
      </c>
      <c r="AH1435" s="37" t="n">
        <v>13</v>
      </c>
      <c r="AI1435" s="37" t="n">
        <v>8</v>
      </c>
      <c r="AJ1435" s="37" t="s">
        <v>323</v>
      </c>
    </row>
    <row r="1436" customFormat="false" ht="15" hidden="false" customHeight="false" outlineLevel="0" collapsed="false">
      <c r="A1436" s="37" t="n">
        <v>384404979</v>
      </c>
      <c r="B1436" s="38" t="n">
        <v>46262.0945486111</v>
      </c>
      <c r="C1436" s="37" t="s">
        <v>325</v>
      </c>
      <c r="D1436" s="37" t="s">
        <v>1649</v>
      </c>
      <c r="E1436" s="37" t="n">
        <v>21221420</v>
      </c>
      <c r="F1436" s="37" t="s">
        <v>139</v>
      </c>
      <c r="G1436" s="37" t="s">
        <v>198</v>
      </c>
      <c r="H1436" s="37" t="s">
        <v>173</v>
      </c>
      <c r="I1436" s="37" t="n">
        <v>79.4</v>
      </c>
      <c r="J1436" s="39" t="n">
        <v>949.62</v>
      </c>
      <c r="K1436" s="37" t="s">
        <v>322</v>
      </c>
      <c r="L1436" s="39" t="n">
        <v>137.03</v>
      </c>
      <c r="M1436" s="39" t="n">
        <v>97.6</v>
      </c>
      <c r="N1436" s="39" t="n">
        <f aca="false">J1436*Resumo!$C$7</f>
        <v>1.89924</v>
      </c>
      <c r="O1436" s="39" t="n">
        <f aca="false">J1436*Resumo!$C$8</f>
        <v>1.89924</v>
      </c>
      <c r="P1436" s="39" t="n">
        <f aca="false">Resumo!$C$10*CEILING(I1436/100,1)</f>
        <v>1</v>
      </c>
      <c r="Q1436" s="39" t="n">
        <f aca="false">Resumo!$C$9</f>
        <v>11.9</v>
      </c>
      <c r="R1436" s="39" t="n">
        <f aca="false">SUM(M1436:Q1436)*Resumo!$C$11</f>
        <v>6.2864164</v>
      </c>
      <c r="S1436" s="39" t="n">
        <f aca="false">SUM(M1436:R1436)</f>
        <v>120.5848964</v>
      </c>
      <c r="T1436" s="39" t="n">
        <f aca="false">S1436/(1-Resumo!$C$5)</f>
        <v>137.028291363636</v>
      </c>
      <c r="U1436" s="39" t="n">
        <v>134.39</v>
      </c>
      <c r="V1436" s="39" t="n">
        <f aca="false">J1436*Resumo!$B$6</f>
        <v>0.94962</v>
      </c>
      <c r="W1436" s="39" t="n">
        <f aca="false">J1436*Resumo!$B$7</f>
        <v>1.89924</v>
      </c>
      <c r="X1436" s="39" t="n">
        <f aca="false">Resumo!$B$9</f>
        <v>1</v>
      </c>
      <c r="Y1436" s="39" t="n">
        <f aca="false">Resumo!$B$10*CEILING(I1436/100,1)</f>
        <v>4.5</v>
      </c>
      <c r="Z1436" s="39" t="n">
        <f aca="false">Resumo!$B$12*CEILING(I1436,1)</f>
        <v>4.8</v>
      </c>
      <c r="AA1436" s="39" t="n">
        <f aca="false">Resumo!$B$13*CEILING(I1436,1)</f>
        <v>36</v>
      </c>
      <c r="AB1436" s="39" t="n">
        <f aca="false">SUM(U1436:AA1436)</f>
        <v>183.53886</v>
      </c>
      <c r="AC1436" s="39" t="n">
        <f aca="false">AB1436/(1-Resumo!$B$5)</f>
        <v>208.566886363636</v>
      </c>
      <c r="AD1436" s="39" t="n">
        <f aca="false">(AB1436-AA1436)/(1-Resumo!$B$5)</f>
        <v>167.657795454545</v>
      </c>
      <c r="AE1436" s="39" t="n">
        <f aca="false">AC1436-T1436</f>
        <v>71.538595</v>
      </c>
      <c r="AF1436" s="40" t="n">
        <f aca="false">AC1436/T1436-1</f>
        <v>0.522071714447316</v>
      </c>
      <c r="AG1436" s="37" t="str">
        <f aca="false">IF(AC1436&lt;T1436,"SIM","NÃO")</f>
        <v>NÃO</v>
      </c>
      <c r="AH1436" s="37" t="n">
        <v>8</v>
      </c>
      <c r="AI1436" s="37" t="n">
        <v>5</v>
      </c>
      <c r="AJ1436" s="37" t="s">
        <v>323</v>
      </c>
    </row>
    <row r="1437" customFormat="false" ht="15" hidden="false" customHeight="false" outlineLevel="0" collapsed="false">
      <c r="A1437" s="37" t="n">
        <v>384536620</v>
      </c>
      <c r="B1437" s="38" t="n">
        <v>46262.3971180556</v>
      </c>
      <c r="C1437" s="37" t="s">
        <v>320</v>
      </c>
      <c r="D1437" s="37" t="s">
        <v>1650</v>
      </c>
      <c r="E1437" s="37" t="n">
        <v>21870260</v>
      </c>
      <c r="F1437" s="37" t="s">
        <v>139</v>
      </c>
      <c r="G1437" s="37" t="s">
        <v>198</v>
      </c>
      <c r="H1437" s="37" t="s">
        <v>170</v>
      </c>
      <c r="I1437" s="37" t="n">
        <v>48.3</v>
      </c>
      <c r="J1437" s="39" t="n">
        <v>459.99</v>
      </c>
      <c r="K1437" s="37" t="s">
        <v>322</v>
      </c>
      <c r="L1437" s="39" t="n">
        <v>102.8</v>
      </c>
      <c r="M1437" s="39" t="n">
        <v>71</v>
      </c>
      <c r="N1437" s="39" t="n">
        <f aca="false">J1437*Resumo!$C$7</f>
        <v>0.91998</v>
      </c>
      <c r="O1437" s="39" t="n">
        <f aca="false">J1437*Resumo!$C$8</f>
        <v>0.91998</v>
      </c>
      <c r="P1437" s="39" t="n">
        <f aca="false">Resumo!$C$10*CEILING(I1437/100,1)</f>
        <v>1</v>
      </c>
      <c r="Q1437" s="39" t="n">
        <f aca="false">Resumo!$C$9</f>
        <v>11.9</v>
      </c>
      <c r="R1437" s="39" t="n">
        <f aca="false">SUM(M1437:Q1437)*Resumo!$C$11</f>
        <v>4.7156978</v>
      </c>
      <c r="S1437" s="39" t="n">
        <f aca="false">SUM(M1437:R1437)</f>
        <v>90.4556578</v>
      </c>
      <c r="T1437" s="39" t="n">
        <f aca="false">S1437/(1-Resumo!$C$5)</f>
        <v>102.790520227273</v>
      </c>
      <c r="U1437" s="39" t="n">
        <v>93.97</v>
      </c>
      <c r="V1437" s="39" t="n">
        <f aca="false">J1437*Resumo!$B$6</f>
        <v>0.45999</v>
      </c>
      <c r="W1437" s="39" t="n">
        <f aca="false">J1437*Resumo!$B$7</f>
        <v>0.91998</v>
      </c>
      <c r="X1437" s="39" t="n">
        <f aca="false">Resumo!$B$9</f>
        <v>1</v>
      </c>
      <c r="Y1437" s="39" t="n">
        <f aca="false">Resumo!$B$10*CEILING(I1437/100,1)</f>
        <v>4.5</v>
      </c>
      <c r="Z1437" s="39" t="n">
        <f aca="false">Resumo!$B$12*CEILING(I1437,1)</f>
        <v>2.94</v>
      </c>
      <c r="AA1437" s="39" t="n">
        <f aca="false">Resumo!$B$13*CEILING(I1437,1)</f>
        <v>22.05</v>
      </c>
      <c r="AB1437" s="39" t="n">
        <f aca="false">SUM(U1437:AA1437)</f>
        <v>125.83997</v>
      </c>
      <c r="AC1437" s="39" t="n">
        <f aca="false">AB1437/(1-Resumo!$B$5)</f>
        <v>142.999965909091</v>
      </c>
      <c r="AD1437" s="39" t="n">
        <f aca="false">(AB1437-AA1437)/(1-Resumo!$B$5)</f>
        <v>117.943147727273</v>
      </c>
      <c r="AE1437" s="39" t="n">
        <f aca="false">AC1437-T1437</f>
        <v>40.2094456818182</v>
      </c>
      <c r="AF1437" s="40" t="n">
        <f aca="false">AC1437/T1437-1</f>
        <v>0.391178540520215</v>
      </c>
      <c r="AG1437" s="37" t="str">
        <f aca="false">IF(AC1437&lt;T1437,"SIM","NÃO")</f>
        <v>NÃO</v>
      </c>
      <c r="AH1437" s="37" t="n">
        <v>8</v>
      </c>
      <c r="AI1437" s="37" t="n">
        <v>5</v>
      </c>
      <c r="AJ1437" s="37" t="s">
        <v>323</v>
      </c>
    </row>
    <row r="1438" customFormat="false" ht="15" hidden="false" customHeight="false" outlineLevel="0" collapsed="false">
      <c r="A1438" s="37" t="n">
        <v>384547504</v>
      </c>
      <c r="B1438" s="38" t="n">
        <v>46262.4158217593</v>
      </c>
      <c r="C1438" s="37" t="s">
        <v>320</v>
      </c>
      <c r="D1438" s="37" t="s">
        <v>1651</v>
      </c>
      <c r="E1438" s="37" t="n">
        <v>22220040</v>
      </c>
      <c r="F1438" s="37" t="s">
        <v>139</v>
      </c>
      <c r="G1438" s="37" t="s">
        <v>198</v>
      </c>
      <c r="H1438" s="37" t="s">
        <v>171</v>
      </c>
      <c r="I1438" s="37" t="n">
        <v>52.3</v>
      </c>
      <c r="J1438" s="39" t="n">
        <v>627.28</v>
      </c>
      <c r="K1438" s="37" t="s">
        <v>322</v>
      </c>
      <c r="L1438" s="39" t="n">
        <v>114.15</v>
      </c>
      <c r="M1438" s="39" t="n">
        <v>79.81</v>
      </c>
      <c r="N1438" s="39" t="n">
        <f aca="false">J1438*Resumo!$C$7</f>
        <v>1.25456</v>
      </c>
      <c r="O1438" s="39" t="n">
        <f aca="false">J1438*Resumo!$C$8</f>
        <v>1.25456</v>
      </c>
      <c r="P1438" s="39" t="n">
        <f aca="false">Resumo!$C$10*CEILING(I1438/100,1)</f>
        <v>1</v>
      </c>
      <c r="Q1438" s="39" t="n">
        <f aca="false">Resumo!$C$9</f>
        <v>11.9</v>
      </c>
      <c r="R1438" s="39" t="n">
        <f aca="false">SUM(M1438:Q1438)*Resumo!$C$11</f>
        <v>5.2370516</v>
      </c>
      <c r="S1438" s="39" t="n">
        <f aca="false">SUM(M1438:R1438)</f>
        <v>100.4561716</v>
      </c>
      <c r="T1438" s="39" t="n">
        <f aca="false">S1438/(1-Resumo!$C$5)</f>
        <v>114.154740454545</v>
      </c>
      <c r="U1438" s="39" t="n">
        <v>112.3</v>
      </c>
      <c r="V1438" s="39" t="n">
        <f aca="false">J1438*Resumo!$B$6</f>
        <v>0.62728</v>
      </c>
      <c r="W1438" s="39" t="n">
        <f aca="false">J1438*Resumo!$B$7</f>
        <v>1.25456</v>
      </c>
      <c r="X1438" s="39" t="n">
        <f aca="false">Resumo!$B$9</f>
        <v>1</v>
      </c>
      <c r="Y1438" s="39" t="n">
        <f aca="false">Resumo!$B$10*CEILING(I1438/100,1)</f>
        <v>4.5</v>
      </c>
      <c r="Z1438" s="39" t="n">
        <f aca="false">Resumo!$B$12*CEILING(I1438,1)</f>
        <v>3.18</v>
      </c>
      <c r="AA1438" s="39" t="n">
        <f aca="false">Resumo!$B$13*CEILING(I1438,1)</f>
        <v>23.85</v>
      </c>
      <c r="AB1438" s="39" t="n">
        <f aca="false">SUM(U1438:AA1438)</f>
        <v>146.71184</v>
      </c>
      <c r="AC1438" s="39" t="n">
        <f aca="false">AB1438/(1-Resumo!$B$5)</f>
        <v>166.718</v>
      </c>
      <c r="AD1438" s="39" t="n">
        <f aca="false">(AB1438-AA1438)/(1-Resumo!$B$5)</f>
        <v>139.615727272727</v>
      </c>
      <c r="AE1438" s="39" t="n">
        <f aca="false">AC1438-T1438</f>
        <v>52.5632595454545</v>
      </c>
      <c r="AF1438" s="40" t="n">
        <f aca="false">AC1438/T1438-1</f>
        <v>0.46045621352347</v>
      </c>
      <c r="AG1438" s="37" t="str">
        <f aca="false">IF(AC1438&lt;T1438,"SIM","NÃO")</f>
        <v>NÃO</v>
      </c>
      <c r="AH1438" s="37" t="n">
        <v>8</v>
      </c>
      <c r="AI1438" s="37" t="n">
        <v>5</v>
      </c>
      <c r="AJ1438" s="37" t="s">
        <v>323</v>
      </c>
    </row>
    <row r="1439" customFormat="false" ht="15" hidden="false" customHeight="false" outlineLevel="0" collapsed="false">
      <c r="A1439" s="37" t="n">
        <v>384634120</v>
      </c>
      <c r="B1439" s="38" t="n">
        <v>46262.5377199074</v>
      </c>
      <c r="C1439" s="37" t="s">
        <v>320</v>
      </c>
      <c r="D1439" s="37" t="s">
        <v>1652</v>
      </c>
      <c r="E1439" s="37" t="n">
        <v>21755430</v>
      </c>
      <c r="F1439" s="37" t="s">
        <v>139</v>
      </c>
      <c r="G1439" s="37" t="s">
        <v>198</v>
      </c>
      <c r="H1439" s="37" t="s">
        <v>171</v>
      </c>
      <c r="I1439" s="37" t="n">
        <v>51.3</v>
      </c>
      <c r="J1439" s="39" t="n">
        <v>649.99</v>
      </c>
      <c r="K1439" s="37" t="s">
        <v>322</v>
      </c>
      <c r="L1439" s="39" t="n">
        <v>114.26</v>
      </c>
      <c r="M1439" s="39" t="n">
        <v>79.81</v>
      </c>
      <c r="N1439" s="39" t="n">
        <f aca="false">J1439*Resumo!$C$7</f>
        <v>1.29998</v>
      </c>
      <c r="O1439" s="39" t="n">
        <f aca="false">J1439*Resumo!$C$8</f>
        <v>1.29998</v>
      </c>
      <c r="P1439" s="39" t="n">
        <f aca="false">Resumo!$C$10*CEILING(I1439/100,1)</f>
        <v>1</v>
      </c>
      <c r="Q1439" s="39" t="n">
        <f aca="false">Resumo!$C$9</f>
        <v>11.9</v>
      </c>
      <c r="R1439" s="39" t="n">
        <f aca="false">SUM(M1439:Q1439)*Resumo!$C$11</f>
        <v>5.2420478</v>
      </c>
      <c r="S1439" s="39" t="n">
        <f aca="false">SUM(M1439:R1439)</f>
        <v>100.5520078</v>
      </c>
      <c r="T1439" s="39" t="n">
        <f aca="false">S1439/(1-Resumo!$C$5)</f>
        <v>114.263645227273</v>
      </c>
      <c r="U1439" s="39" t="n">
        <v>112.3</v>
      </c>
      <c r="V1439" s="39" t="n">
        <f aca="false">J1439*Resumo!$B$6</f>
        <v>0.64999</v>
      </c>
      <c r="W1439" s="39" t="n">
        <f aca="false">J1439*Resumo!$B$7</f>
        <v>1.29998</v>
      </c>
      <c r="X1439" s="39" t="n">
        <f aca="false">Resumo!$B$9</f>
        <v>1</v>
      </c>
      <c r="Y1439" s="39" t="n">
        <f aca="false">Resumo!$B$10*CEILING(I1439/100,1)</f>
        <v>4.5</v>
      </c>
      <c r="Z1439" s="39" t="n">
        <f aca="false">Resumo!$B$12*CEILING(I1439,1)</f>
        <v>3.12</v>
      </c>
      <c r="AA1439" s="39" t="n">
        <f aca="false">Resumo!$B$13*CEILING(I1439,1)</f>
        <v>23.4</v>
      </c>
      <c r="AB1439" s="39" t="n">
        <f aca="false">SUM(U1439:AA1439)</f>
        <v>146.26997</v>
      </c>
      <c r="AC1439" s="39" t="n">
        <f aca="false">AB1439/(1-Resumo!$B$5)</f>
        <v>166.215875</v>
      </c>
      <c r="AD1439" s="39" t="n">
        <f aca="false">(AB1439-AA1439)/(1-Resumo!$B$5)</f>
        <v>139.624965909091</v>
      </c>
      <c r="AE1439" s="39" t="n">
        <f aca="false">AC1439-T1439</f>
        <v>51.9522297727273</v>
      </c>
      <c r="AF1439" s="40" t="n">
        <f aca="false">AC1439/T1439-1</f>
        <v>0.454669809189032</v>
      </c>
      <c r="AG1439" s="37" t="str">
        <f aca="false">IF(AC1439&lt;T1439,"SIM","NÃO")</f>
        <v>NÃO</v>
      </c>
      <c r="AH1439" s="37" t="n">
        <v>8</v>
      </c>
      <c r="AI1439" s="37" t="n">
        <v>5</v>
      </c>
      <c r="AJ1439" s="37" t="s">
        <v>323</v>
      </c>
    </row>
    <row r="1440" customFormat="false" ht="15" hidden="false" customHeight="false" outlineLevel="0" collapsed="false">
      <c r="A1440" s="37" t="n">
        <v>384686178</v>
      </c>
      <c r="B1440" s="38" t="n">
        <v>46262.6190856482</v>
      </c>
      <c r="C1440" s="37" t="s">
        <v>320</v>
      </c>
      <c r="D1440" s="37" t="s">
        <v>1653</v>
      </c>
      <c r="E1440" s="37" t="n">
        <v>28051320</v>
      </c>
      <c r="F1440" s="37" t="s">
        <v>144</v>
      </c>
      <c r="G1440" s="37" t="s">
        <v>201</v>
      </c>
      <c r="H1440" s="37" t="s">
        <v>168</v>
      </c>
      <c r="I1440" s="37" t="n">
        <v>27</v>
      </c>
      <c r="J1440" s="39" t="n">
        <v>319.99</v>
      </c>
      <c r="K1440" s="37" t="s">
        <v>322</v>
      </c>
      <c r="L1440" s="39" t="n">
        <v>108.72</v>
      </c>
      <c r="M1440" s="39" t="n">
        <v>76.5</v>
      </c>
      <c r="N1440" s="39" t="n">
        <f aca="false">J1440*Resumo!$C$7</f>
        <v>0.63998</v>
      </c>
      <c r="O1440" s="39" t="n">
        <f aca="false">J1440*Resumo!$C$8</f>
        <v>0.63998</v>
      </c>
      <c r="P1440" s="39" t="n">
        <f aca="false">Resumo!$C$10*CEILING(I1440/100,1)</f>
        <v>1</v>
      </c>
      <c r="Q1440" s="39" t="n">
        <f aca="false">Resumo!$C$9</f>
        <v>11.9</v>
      </c>
      <c r="R1440" s="39" t="n">
        <f aca="false">SUM(M1440:Q1440)*Resumo!$C$11</f>
        <v>4.9873978</v>
      </c>
      <c r="S1440" s="39" t="n">
        <f aca="false">SUM(M1440:R1440)</f>
        <v>95.6673578</v>
      </c>
      <c r="T1440" s="39" t="n">
        <f aca="false">S1440/(1-Resumo!$C$5)</f>
        <v>108.712906590909</v>
      </c>
      <c r="U1440" s="39" t="n">
        <v>138.29</v>
      </c>
      <c r="V1440" s="39" t="n">
        <f aca="false">J1440*Resumo!$B$6</f>
        <v>0.31999</v>
      </c>
      <c r="W1440" s="39" t="n">
        <f aca="false">J1440*Resumo!$B$7</f>
        <v>0.63998</v>
      </c>
      <c r="X1440" s="39" t="n">
        <f aca="false">Resumo!$B$9</f>
        <v>1</v>
      </c>
      <c r="Y1440" s="39" t="n">
        <f aca="false">Resumo!$B$10*CEILING(I1440/100,1)</f>
        <v>4.5</v>
      </c>
      <c r="Z1440" s="39" t="n">
        <f aca="false">Resumo!$B$12*CEILING(I1440,1)</f>
        <v>1.62</v>
      </c>
      <c r="AA1440" s="39" t="n">
        <f aca="false">Resumo!$B$13*CEILING(I1440,1)</f>
        <v>12.15</v>
      </c>
      <c r="AB1440" s="39" t="n">
        <f aca="false">SUM(U1440:AA1440)</f>
        <v>158.51997</v>
      </c>
      <c r="AC1440" s="39" t="n">
        <f aca="false">AB1440/(1-Resumo!$B$5)</f>
        <v>180.136329545455</v>
      </c>
      <c r="AD1440" s="39" t="n">
        <f aca="false">(AB1440-AA1440)/(1-Resumo!$B$5)</f>
        <v>166.329511363636</v>
      </c>
      <c r="AE1440" s="39" t="n">
        <f aca="false">AC1440-T1440</f>
        <v>71.4234229545455</v>
      </c>
      <c r="AF1440" s="40" t="n">
        <f aca="false">AC1440/T1440-1</f>
        <v>0.656991199980648</v>
      </c>
      <c r="AG1440" s="37" t="str">
        <f aca="false">IF(AC1440&lt;T1440,"SIM","NÃO")</f>
        <v>NÃO</v>
      </c>
      <c r="AH1440" s="37" t="n">
        <v>13</v>
      </c>
      <c r="AI1440" s="37" t="n">
        <v>11</v>
      </c>
      <c r="AJ1440" s="37" t="s">
        <v>323</v>
      </c>
    </row>
    <row r="1441" customFormat="false" ht="15" hidden="false" customHeight="false" outlineLevel="0" collapsed="false">
      <c r="A1441" s="37" t="n">
        <v>384731455</v>
      </c>
      <c r="B1441" s="38" t="n">
        <v>46262.6906712963</v>
      </c>
      <c r="C1441" s="37" t="s">
        <v>320</v>
      </c>
      <c r="D1441" s="37" t="s">
        <v>1654</v>
      </c>
      <c r="E1441" s="37" t="n">
        <v>26551481</v>
      </c>
      <c r="F1441" s="37" t="s">
        <v>155</v>
      </c>
      <c r="G1441" s="37" t="s">
        <v>207</v>
      </c>
      <c r="H1441" s="37" t="s">
        <v>170</v>
      </c>
      <c r="I1441" s="37" t="n">
        <v>45.3</v>
      </c>
      <c r="J1441" s="39" t="n">
        <v>630.04</v>
      </c>
      <c r="K1441" s="37" t="s">
        <v>322</v>
      </c>
      <c r="L1441" s="39" t="n">
        <v>117.09</v>
      </c>
      <c r="M1441" s="39" t="n">
        <v>82.25</v>
      </c>
      <c r="N1441" s="39" t="n">
        <f aca="false">J1441*Resumo!$C$7</f>
        <v>1.26008</v>
      </c>
      <c r="O1441" s="39" t="n">
        <f aca="false">J1441*Resumo!$C$8</f>
        <v>1.26008</v>
      </c>
      <c r="P1441" s="39" t="n">
        <f aca="false">Resumo!$C$10*CEILING(I1441/100,1)</f>
        <v>1</v>
      </c>
      <c r="Q1441" s="39" t="n">
        <f aca="false">Resumo!$C$9</f>
        <v>11.9</v>
      </c>
      <c r="R1441" s="39" t="n">
        <f aca="false">SUM(M1441:Q1441)*Resumo!$C$11</f>
        <v>5.3718588</v>
      </c>
      <c r="S1441" s="39" t="n">
        <f aca="false">SUM(M1441:R1441)</f>
        <v>103.0420188</v>
      </c>
      <c r="T1441" s="39" t="n">
        <f aca="false">S1441/(1-Resumo!$C$5)</f>
        <v>117.093203181818</v>
      </c>
      <c r="U1441" s="39" t="n">
        <v>93.97</v>
      </c>
      <c r="V1441" s="39" t="n">
        <f aca="false">J1441*Resumo!$B$6</f>
        <v>0.63004</v>
      </c>
      <c r="W1441" s="39" t="n">
        <f aca="false">J1441*Resumo!$B$7</f>
        <v>1.26008</v>
      </c>
      <c r="X1441" s="39" t="n">
        <f aca="false">Resumo!$B$9</f>
        <v>1</v>
      </c>
      <c r="Y1441" s="39" t="n">
        <f aca="false">Resumo!$B$10*CEILING(I1441/100,1)</f>
        <v>4.5</v>
      </c>
      <c r="Z1441" s="39" t="n">
        <f aca="false">Resumo!$B$12*CEILING(I1441,1)</f>
        <v>2.76</v>
      </c>
      <c r="AA1441" s="39" t="n">
        <f aca="false">Resumo!$B$13*CEILING(I1441,1)</f>
        <v>20.7</v>
      </c>
      <c r="AB1441" s="39" t="n">
        <f aca="false">SUM(U1441:AA1441)</f>
        <v>124.82012</v>
      </c>
      <c r="AC1441" s="39" t="n">
        <f aca="false">AB1441/(1-Resumo!$B$5)</f>
        <v>141.841045454545</v>
      </c>
      <c r="AD1441" s="39" t="n">
        <f aca="false">(AB1441-AA1441)/(1-Resumo!$B$5)</f>
        <v>118.318318181818</v>
      </c>
      <c r="AE1441" s="39" t="n">
        <f aca="false">AC1441-T1441</f>
        <v>24.7478422727273</v>
      </c>
      <c r="AF1441" s="40" t="n">
        <f aca="false">AC1441/T1441-1</f>
        <v>0.211351654923127</v>
      </c>
      <c r="AG1441" s="37" t="str">
        <f aca="false">IF(AC1441&lt;T1441,"SIM","NÃO")</f>
        <v>NÃO</v>
      </c>
      <c r="AH1441" s="37" t="n">
        <v>10</v>
      </c>
      <c r="AI1441" s="37" t="n">
        <v>5</v>
      </c>
      <c r="AJ1441" s="37" t="s">
        <v>323</v>
      </c>
    </row>
    <row r="1442" customFormat="false" ht="15" hidden="false" customHeight="false" outlineLevel="0" collapsed="false">
      <c r="A1442" s="37" t="n">
        <v>384777364</v>
      </c>
      <c r="B1442" s="38" t="n">
        <v>46262.7674421296</v>
      </c>
      <c r="C1442" s="37" t="s">
        <v>355</v>
      </c>
      <c r="D1442" s="37" t="s">
        <v>1655</v>
      </c>
      <c r="E1442" s="37" t="n">
        <v>25010350</v>
      </c>
      <c r="F1442" s="37" t="s">
        <v>141</v>
      </c>
      <c r="G1442" s="37" t="s">
        <v>207</v>
      </c>
      <c r="H1442" s="37" t="s">
        <v>167</v>
      </c>
      <c r="I1442" s="37" t="n">
        <v>2.83</v>
      </c>
      <c r="J1442" s="39" t="n">
        <v>239.99</v>
      </c>
      <c r="K1442" s="37" t="s">
        <v>322</v>
      </c>
      <c r="L1442" s="39" t="n">
        <v>74.99</v>
      </c>
      <c r="M1442" s="39" t="n">
        <v>48.69</v>
      </c>
      <c r="N1442" s="39" t="n">
        <f aca="false">J1442*Resumo!$C$7</f>
        <v>0.47998</v>
      </c>
      <c r="O1442" s="39" t="n">
        <f aca="false">J1442*Resumo!$C$8</f>
        <v>0.47998</v>
      </c>
      <c r="P1442" s="39" t="n">
        <f aca="false">Resumo!$C$10*CEILING(I1442/100,1)</f>
        <v>1</v>
      </c>
      <c r="Q1442" s="39" t="n">
        <f aca="false">Resumo!$C$9</f>
        <v>11.9</v>
      </c>
      <c r="R1442" s="39" t="n">
        <f aca="false">SUM(M1442:Q1442)*Resumo!$C$11</f>
        <v>3.4402478</v>
      </c>
      <c r="S1442" s="39" t="n">
        <f aca="false">SUM(M1442:R1442)</f>
        <v>65.9902078</v>
      </c>
      <c r="T1442" s="39" t="n">
        <f aca="false">S1442/(1-Resumo!$C$5)</f>
        <v>74.9888725</v>
      </c>
      <c r="U1442" s="39" t="n">
        <v>46.98</v>
      </c>
      <c r="V1442" s="39" t="n">
        <f aca="false">J1442*Resumo!$B$6</f>
        <v>0.23999</v>
      </c>
      <c r="W1442" s="39" t="n">
        <f aca="false">J1442*Resumo!$B$7</f>
        <v>0.47998</v>
      </c>
      <c r="X1442" s="39" t="n">
        <f aca="false">Resumo!$B$9</f>
        <v>1</v>
      </c>
      <c r="Y1442" s="39" t="n">
        <f aca="false">Resumo!$B$10*CEILING(I1442/100,1)</f>
        <v>4.5</v>
      </c>
      <c r="Z1442" s="39" t="n">
        <f aca="false">Resumo!$B$12*CEILING(I1442,1)</f>
        <v>0.18</v>
      </c>
      <c r="AA1442" s="39" t="n">
        <f aca="false">Resumo!$B$13*CEILING(I1442,1)</f>
        <v>1.35</v>
      </c>
      <c r="AB1442" s="39" t="n">
        <f aca="false">SUM(U1442:AA1442)</f>
        <v>54.72997</v>
      </c>
      <c r="AC1442" s="39" t="n">
        <f aca="false">AB1442/(1-Resumo!$B$5)</f>
        <v>62.1931477272727</v>
      </c>
      <c r="AD1442" s="39" t="n">
        <f aca="false">(AB1442-AA1442)/(1-Resumo!$B$5)</f>
        <v>60.6590568181818</v>
      </c>
      <c r="AE1442" s="39" t="n">
        <f aca="false">AC1442-T1442</f>
        <v>-12.7957247727273</v>
      </c>
      <c r="AF1442" s="40" t="n">
        <f aca="false">AC1442/T1442-1</f>
        <v>-0.170634980179589</v>
      </c>
      <c r="AG1442" s="37" t="str">
        <f aca="false">IF(AC1442&lt;T1442,"SIM","NÃO")</f>
        <v>SIM</v>
      </c>
      <c r="AH1442" s="37" t="n">
        <v>10</v>
      </c>
      <c r="AI1442" s="37" t="n">
        <v>5</v>
      </c>
      <c r="AJ1442" s="37" t="s">
        <v>323</v>
      </c>
    </row>
    <row r="1443" customFormat="false" ht="15" hidden="false" customHeight="false" outlineLevel="0" collapsed="false">
      <c r="A1443" s="37" t="n">
        <v>384806872</v>
      </c>
      <c r="B1443" s="38" t="n">
        <v>46262.8150231482</v>
      </c>
      <c r="C1443" s="37" t="s">
        <v>325</v>
      </c>
      <c r="D1443" s="37" t="s">
        <v>656</v>
      </c>
      <c r="E1443" s="37" t="n">
        <v>22790880</v>
      </c>
      <c r="F1443" s="37" t="s">
        <v>139</v>
      </c>
      <c r="G1443" s="37" t="s">
        <v>198</v>
      </c>
      <c r="H1443" s="37" t="s">
        <v>176</v>
      </c>
      <c r="I1443" s="37" t="n">
        <v>124.2</v>
      </c>
      <c r="J1443" s="39" t="n">
        <v>1611.28</v>
      </c>
      <c r="K1443" s="37" t="s">
        <v>322</v>
      </c>
      <c r="L1443" s="39" t="n">
        <v>234.01</v>
      </c>
      <c r="M1443" s="39" t="n">
        <v>174.85</v>
      </c>
      <c r="N1443" s="39" t="n">
        <f aca="false">J1443*Resumo!$C$7</f>
        <v>3.22256</v>
      </c>
      <c r="O1443" s="39" t="n">
        <f aca="false">J1443*Resumo!$C$8</f>
        <v>3.22256</v>
      </c>
      <c r="P1443" s="39" t="n">
        <f aca="false">Resumo!$C$10*CEILING(I1443/100,1)</f>
        <v>2</v>
      </c>
      <c r="Q1443" s="39" t="n">
        <f aca="false">Resumo!$C$9</f>
        <v>11.9</v>
      </c>
      <c r="R1443" s="39" t="n">
        <f aca="false">SUM(M1443:Q1443)*Resumo!$C$11</f>
        <v>10.7357316</v>
      </c>
      <c r="S1443" s="39" t="n">
        <f aca="false">SUM(M1443:R1443)</f>
        <v>205.9308516</v>
      </c>
      <c r="T1443" s="39" t="n">
        <f aca="false">S1443/(1-Resumo!$C$5)</f>
        <v>234.012331363636</v>
      </c>
      <c r="U1443" s="39" t="n">
        <v>239.25</v>
      </c>
      <c r="V1443" s="39" t="n">
        <f aca="false">J1443*Resumo!$B$6</f>
        <v>1.61128</v>
      </c>
      <c r="W1443" s="39" t="n">
        <f aca="false">J1443*Resumo!$B$7</f>
        <v>3.22256</v>
      </c>
      <c r="X1443" s="39" t="n">
        <f aca="false">Resumo!$B$9</f>
        <v>1</v>
      </c>
      <c r="Y1443" s="39" t="n">
        <f aca="false">Resumo!$B$10*CEILING(I1443/100,1)</f>
        <v>9</v>
      </c>
      <c r="Z1443" s="39" t="n">
        <f aca="false">Resumo!$B$12*CEILING(I1443,1)</f>
        <v>7.5</v>
      </c>
      <c r="AA1443" s="39" t="n">
        <f aca="false">Resumo!$B$13*CEILING(I1443,1)</f>
        <v>56.25</v>
      </c>
      <c r="AB1443" s="39" t="n">
        <f aca="false">SUM(U1443:AA1443)</f>
        <v>317.83384</v>
      </c>
      <c r="AC1443" s="39" t="n">
        <f aca="false">AB1443/(1-Resumo!$B$5)</f>
        <v>361.174818181818</v>
      </c>
      <c r="AD1443" s="39" t="n">
        <f aca="false">(AB1443-AA1443)/(1-Resumo!$B$5)</f>
        <v>297.254363636364</v>
      </c>
      <c r="AE1443" s="39" t="n">
        <f aca="false">AC1443-T1443</f>
        <v>127.162486818182</v>
      </c>
      <c r="AF1443" s="40" t="n">
        <f aca="false">AC1443/T1443-1</f>
        <v>0.543400794638388</v>
      </c>
      <c r="AG1443" s="37" t="str">
        <f aca="false">IF(AC1443&lt;T1443,"SIM","NÃO")</f>
        <v>NÃO</v>
      </c>
      <c r="AH1443" s="37" t="n">
        <v>8</v>
      </c>
      <c r="AI1443" s="37" t="n">
        <v>5</v>
      </c>
      <c r="AJ1443" s="37" t="s">
        <v>323</v>
      </c>
    </row>
    <row r="1444" customFormat="false" ht="15" hidden="false" customHeight="false" outlineLevel="0" collapsed="false">
      <c r="A1444" s="37" t="n">
        <v>384820107</v>
      </c>
      <c r="B1444" s="38" t="n">
        <v>46262.8352430556</v>
      </c>
      <c r="C1444" s="37" t="s">
        <v>320</v>
      </c>
      <c r="D1444" s="37" t="s">
        <v>1656</v>
      </c>
      <c r="E1444" s="37" t="n">
        <v>24470500</v>
      </c>
      <c r="F1444" s="37" t="s">
        <v>140</v>
      </c>
      <c r="G1444" s="37" t="s">
        <v>207</v>
      </c>
      <c r="H1444" s="37" t="s">
        <v>169</v>
      </c>
      <c r="I1444" s="37" t="n">
        <v>36.8</v>
      </c>
      <c r="J1444" s="39" t="n">
        <v>469.99</v>
      </c>
      <c r="K1444" s="37" t="s">
        <v>322</v>
      </c>
      <c r="L1444" s="39" t="n">
        <v>113.2</v>
      </c>
      <c r="M1444" s="39" t="n">
        <v>79.65</v>
      </c>
      <c r="N1444" s="39" t="n">
        <f aca="false">J1444*Resumo!$C$7</f>
        <v>0.93998</v>
      </c>
      <c r="O1444" s="39" t="n">
        <f aca="false">J1444*Resumo!$C$8</f>
        <v>0.93998</v>
      </c>
      <c r="P1444" s="39" t="n">
        <f aca="false">Resumo!$C$10*CEILING(I1444/100,1)</f>
        <v>1</v>
      </c>
      <c r="Q1444" s="39" t="n">
        <f aca="false">Resumo!$C$9</f>
        <v>11.9</v>
      </c>
      <c r="R1444" s="39" t="n">
        <f aca="false">SUM(M1444:Q1444)*Resumo!$C$11</f>
        <v>5.1936478</v>
      </c>
      <c r="S1444" s="39" t="n">
        <f aca="false">SUM(M1444:R1444)</f>
        <v>99.6236078</v>
      </c>
      <c r="T1444" s="39" t="n">
        <f aca="false">S1444/(1-Resumo!$C$5)</f>
        <v>113.208645227273</v>
      </c>
      <c r="U1444" s="39" t="n">
        <v>114.95</v>
      </c>
      <c r="V1444" s="39" t="n">
        <f aca="false">J1444*Resumo!$B$6</f>
        <v>0.46999</v>
      </c>
      <c r="W1444" s="39" t="n">
        <f aca="false">J1444*Resumo!$B$7</f>
        <v>0.93998</v>
      </c>
      <c r="X1444" s="39" t="n">
        <f aca="false">Resumo!$B$9</f>
        <v>1</v>
      </c>
      <c r="Y1444" s="39" t="n">
        <f aca="false">Resumo!$B$10*CEILING(I1444/100,1)</f>
        <v>4.5</v>
      </c>
      <c r="Z1444" s="39" t="n">
        <f aca="false">Resumo!$B$12*CEILING(I1444,1)</f>
        <v>2.22</v>
      </c>
      <c r="AA1444" s="39" t="n">
        <f aca="false">Resumo!$B$13*CEILING(I1444,1)</f>
        <v>16.65</v>
      </c>
      <c r="AB1444" s="39" t="n">
        <f aca="false">SUM(U1444:AA1444)</f>
        <v>140.72997</v>
      </c>
      <c r="AC1444" s="39" t="n">
        <f aca="false">AB1444/(1-Resumo!$B$5)</f>
        <v>159.920420454545</v>
      </c>
      <c r="AD1444" s="39" t="n">
        <f aca="false">(AB1444-AA1444)/(1-Resumo!$B$5)</f>
        <v>140.999965909091</v>
      </c>
      <c r="AE1444" s="39" t="n">
        <f aca="false">AC1444-T1444</f>
        <v>46.7117752272727</v>
      </c>
      <c r="AF1444" s="40" t="n">
        <f aca="false">AC1444/T1444-1</f>
        <v>0.412616678995639</v>
      </c>
      <c r="AG1444" s="37" t="str">
        <f aca="false">IF(AC1444&lt;T1444,"SIM","NÃO")</f>
        <v>NÃO</v>
      </c>
      <c r="AH1444" s="37" t="n">
        <v>10</v>
      </c>
      <c r="AI1444" s="37" t="n">
        <v>7</v>
      </c>
      <c r="AJ1444" s="37" t="s">
        <v>323</v>
      </c>
    </row>
    <row r="1445" customFormat="false" ht="15" hidden="false" customHeight="false" outlineLevel="0" collapsed="false">
      <c r="A1445" s="37" t="n">
        <v>384893965</v>
      </c>
      <c r="B1445" s="38" t="n">
        <v>46262.9852430556</v>
      </c>
      <c r="C1445" s="37" t="s">
        <v>352</v>
      </c>
      <c r="D1445" s="37" t="s">
        <v>1657</v>
      </c>
      <c r="E1445" s="37" t="n">
        <v>24934350</v>
      </c>
      <c r="F1445" s="37" t="s">
        <v>151</v>
      </c>
      <c r="G1445" s="37" t="s">
        <v>201</v>
      </c>
      <c r="H1445" s="37" t="s">
        <v>169</v>
      </c>
      <c r="I1445" s="37" t="n">
        <v>37.2</v>
      </c>
      <c r="J1445" s="39" t="n">
        <v>439.99</v>
      </c>
      <c r="K1445" s="37" t="s">
        <v>322</v>
      </c>
      <c r="L1445" s="39" t="n">
        <v>122.35</v>
      </c>
      <c r="M1445" s="39" t="n">
        <v>87.4</v>
      </c>
      <c r="N1445" s="39" t="n">
        <f aca="false">J1445*Resumo!$C$7</f>
        <v>0.87998</v>
      </c>
      <c r="O1445" s="39" t="n">
        <f aca="false">J1445*Resumo!$C$8</f>
        <v>0.87998</v>
      </c>
      <c r="P1445" s="39" t="n">
        <f aca="false">Resumo!$C$10*CEILING(I1445/100,1)</f>
        <v>1</v>
      </c>
      <c r="Q1445" s="39" t="n">
        <f aca="false">Resumo!$C$9</f>
        <v>11.9</v>
      </c>
      <c r="R1445" s="39" t="n">
        <f aca="false">SUM(M1445:Q1445)*Resumo!$C$11</f>
        <v>5.6132978</v>
      </c>
      <c r="S1445" s="39" t="n">
        <f aca="false">SUM(M1445:R1445)</f>
        <v>107.6732578</v>
      </c>
      <c r="T1445" s="39" t="n">
        <f aca="false">S1445/(1-Resumo!$C$5)</f>
        <v>122.355974772727</v>
      </c>
      <c r="U1445" s="39" t="n">
        <v>114.95</v>
      </c>
      <c r="V1445" s="39" t="n">
        <f aca="false">J1445*Resumo!$B$6</f>
        <v>0.43999</v>
      </c>
      <c r="W1445" s="39" t="n">
        <f aca="false">J1445*Resumo!$B$7</f>
        <v>0.87998</v>
      </c>
      <c r="X1445" s="39" t="n">
        <f aca="false">Resumo!$B$9</f>
        <v>1</v>
      </c>
      <c r="Y1445" s="39" t="n">
        <f aca="false">Resumo!$B$10*CEILING(I1445/100,1)</f>
        <v>4.5</v>
      </c>
      <c r="Z1445" s="39" t="n">
        <f aca="false">Resumo!$B$12*CEILING(I1445,1)</f>
        <v>2.28</v>
      </c>
      <c r="AA1445" s="39" t="n">
        <f aca="false">Resumo!$B$13*CEILING(I1445,1)</f>
        <v>17.1</v>
      </c>
      <c r="AB1445" s="39" t="n">
        <f aca="false">SUM(U1445:AA1445)</f>
        <v>141.14997</v>
      </c>
      <c r="AC1445" s="39" t="n">
        <f aca="false">AB1445/(1-Resumo!$B$5)</f>
        <v>160.397693181818</v>
      </c>
      <c r="AD1445" s="39" t="n">
        <f aca="false">(AB1445-AA1445)/(1-Resumo!$B$5)</f>
        <v>140.965875</v>
      </c>
      <c r="AE1445" s="39" t="n">
        <f aca="false">AC1445-T1445</f>
        <v>38.0417184090909</v>
      </c>
      <c r="AF1445" s="40" t="n">
        <f aca="false">AC1445/T1445-1</f>
        <v>0.310910182193819</v>
      </c>
      <c r="AG1445" s="37" t="str">
        <f aca="false">IF(AC1445&lt;T1445,"SIM","NÃO")</f>
        <v>NÃO</v>
      </c>
      <c r="AH1445" s="37" t="n">
        <v>13</v>
      </c>
      <c r="AI1445" s="37" t="n">
        <v>7</v>
      </c>
      <c r="AJ1445" s="37" t="s">
        <v>323</v>
      </c>
    </row>
    <row r="1446" customFormat="false" ht="15" hidden="false" customHeight="false" outlineLevel="0" collapsed="false">
      <c r="A1446" s="37" t="n">
        <v>385113103</v>
      </c>
      <c r="B1446" s="38" t="n">
        <v>46263.4127546296</v>
      </c>
      <c r="C1446" s="37" t="s">
        <v>320</v>
      </c>
      <c r="D1446" s="37" t="s">
        <v>1063</v>
      </c>
      <c r="E1446" s="37" t="n">
        <v>22410001</v>
      </c>
      <c r="F1446" s="37" t="s">
        <v>139</v>
      </c>
      <c r="G1446" s="37" t="s">
        <v>198</v>
      </c>
      <c r="H1446" s="37" t="s">
        <v>170</v>
      </c>
      <c r="I1446" s="37" t="n">
        <v>41</v>
      </c>
      <c r="J1446" s="39" t="n">
        <v>559.99</v>
      </c>
      <c r="K1446" s="37" t="s">
        <v>322</v>
      </c>
      <c r="L1446" s="39" t="n">
        <v>103.27</v>
      </c>
      <c r="M1446" s="39" t="n">
        <v>71</v>
      </c>
      <c r="N1446" s="39" t="n">
        <f aca="false">J1446*Resumo!$C$7</f>
        <v>1.11998</v>
      </c>
      <c r="O1446" s="39" t="n">
        <f aca="false">J1446*Resumo!$C$8</f>
        <v>1.11998</v>
      </c>
      <c r="P1446" s="39" t="n">
        <f aca="false">Resumo!$C$10*CEILING(I1446/100,1)</f>
        <v>1</v>
      </c>
      <c r="Q1446" s="39" t="n">
        <f aca="false">Resumo!$C$9</f>
        <v>11.9</v>
      </c>
      <c r="R1446" s="39" t="n">
        <f aca="false">SUM(M1446:Q1446)*Resumo!$C$11</f>
        <v>4.7376978</v>
      </c>
      <c r="S1446" s="39" t="n">
        <f aca="false">SUM(M1446:R1446)</f>
        <v>90.8776578</v>
      </c>
      <c r="T1446" s="39" t="n">
        <f aca="false">S1446/(1-Resumo!$C$5)</f>
        <v>103.270065681818</v>
      </c>
      <c r="U1446" s="39" t="n">
        <v>93.97</v>
      </c>
      <c r="V1446" s="39" t="n">
        <f aca="false">J1446*Resumo!$B$6</f>
        <v>0.55999</v>
      </c>
      <c r="W1446" s="39" t="n">
        <f aca="false">J1446*Resumo!$B$7</f>
        <v>1.11998</v>
      </c>
      <c r="X1446" s="39" t="n">
        <f aca="false">Resumo!$B$9</f>
        <v>1</v>
      </c>
      <c r="Y1446" s="39" t="n">
        <f aca="false">Resumo!$B$10*CEILING(I1446/100,1)</f>
        <v>4.5</v>
      </c>
      <c r="Z1446" s="39" t="n">
        <f aca="false">Resumo!$B$12*CEILING(I1446,1)</f>
        <v>2.46</v>
      </c>
      <c r="AA1446" s="39" t="n">
        <f aca="false">Resumo!$B$13*CEILING(I1446,1)</f>
        <v>18.45</v>
      </c>
      <c r="AB1446" s="39" t="n">
        <f aca="false">SUM(U1446:AA1446)</f>
        <v>122.05997</v>
      </c>
      <c r="AC1446" s="39" t="n">
        <f aca="false">AB1446/(1-Resumo!$B$5)</f>
        <v>138.704511363636</v>
      </c>
      <c r="AD1446" s="39" t="n">
        <f aca="false">(AB1446-AA1446)/(1-Resumo!$B$5)</f>
        <v>117.738602272727</v>
      </c>
      <c r="AE1446" s="39" t="n">
        <f aca="false">AC1446-T1446</f>
        <v>35.4344456818182</v>
      </c>
      <c r="AF1446" s="40" t="n">
        <f aca="false">AC1446/T1446-1</f>
        <v>0.343124074221024</v>
      </c>
      <c r="AG1446" s="37" t="str">
        <f aca="false">IF(AC1446&lt;T1446,"SIM","NÃO")</f>
        <v>NÃO</v>
      </c>
      <c r="AH1446" s="37" t="n">
        <v>8</v>
      </c>
      <c r="AI1446" s="37" t="n">
        <v>5</v>
      </c>
      <c r="AJ1446" s="37" t="s">
        <v>323</v>
      </c>
    </row>
    <row r="1447" customFormat="false" ht="15" hidden="false" customHeight="false" outlineLevel="0" collapsed="false">
      <c r="A1447" s="37" t="n">
        <v>385146624</v>
      </c>
      <c r="B1447" s="38" t="n">
        <v>46263.4552083333</v>
      </c>
      <c r="C1447" s="37" t="s">
        <v>517</v>
      </c>
      <c r="D1447" s="37" t="s">
        <v>1658</v>
      </c>
      <c r="E1447" s="37" t="n">
        <v>28941382</v>
      </c>
      <c r="F1447" s="37" t="s">
        <v>278</v>
      </c>
      <c r="G1447" s="37" t="s">
        <v>201</v>
      </c>
      <c r="H1447" s="37" t="s">
        <v>170</v>
      </c>
      <c r="I1447" s="37" t="n">
        <v>49.6</v>
      </c>
      <c r="J1447" s="39" t="n">
        <v>611.99</v>
      </c>
      <c r="K1447" s="37" t="s">
        <v>322</v>
      </c>
      <c r="L1447" s="39" t="n">
        <v>131.08</v>
      </c>
      <c r="M1447" s="39" t="n">
        <v>94</v>
      </c>
      <c r="N1447" s="39" t="n">
        <f aca="false">J1447*Resumo!$C$7</f>
        <v>1.22398</v>
      </c>
      <c r="O1447" s="39" t="n">
        <f aca="false">J1447*Resumo!$C$8</f>
        <v>1.22398</v>
      </c>
      <c r="P1447" s="39" t="n">
        <f aca="false">Resumo!$C$10*CEILING(I1447/100,1)</f>
        <v>1</v>
      </c>
      <c r="Q1447" s="39" t="n">
        <f aca="false">Resumo!$C$9</f>
        <v>11.9</v>
      </c>
      <c r="R1447" s="39" t="n">
        <f aca="false">SUM(M1447:Q1447)*Resumo!$C$11</f>
        <v>6.0141378</v>
      </c>
      <c r="S1447" s="39" t="n">
        <f aca="false">SUM(M1447:R1447)</f>
        <v>115.3620978</v>
      </c>
      <c r="T1447" s="39" t="n">
        <f aca="false">S1447/(1-Resumo!$C$5)</f>
        <v>131.093292954545</v>
      </c>
      <c r="U1447" s="39" t="n">
        <v>129.29</v>
      </c>
      <c r="V1447" s="39" t="n">
        <f aca="false">J1447*Resumo!$B$6</f>
        <v>0.61199</v>
      </c>
      <c r="W1447" s="39" t="n">
        <f aca="false">J1447*Resumo!$B$7</f>
        <v>1.22398</v>
      </c>
      <c r="X1447" s="39" t="n">
        <f aca="false">Resumo!$B$9</f>
        <v>1</v>
      </c>
      <c r="Y1447" s="39" t="n">
        <f aca="false">Resumo!$B$10*CEILING(I1447/100,1)</f>
        <v>4.5</v>
      </c>
      <c r="Z1447" s="39" t="n">
        <f aca="false">Resumo!$B$12*CEILING(I1447,1)</f>
        <v>3</v>
      </c>
      <c r="AA1447" s="39" t="n">
        <f aca="false">Resumo!$B$13*CEILING(I1447,1)</f>
        <v>22.5</v>
      </c>
      <c r="AB1447" s="39" t="n">
        <f aca="false">SUM(U1447:AA1447)</f>
        <v>162.12597</v>
      </c>
      <c r="AC1447" s="39" t="n">
        <f aca="false">AB1447/(1-Resumo!$B$5)</f>
        <v>184.234056818182</v>
      </c>
      <c r="AD1447" s="39" t="n">
        <f aca="false">(AB1447-AA1447)/(1-Resumo!$B$5)</f>
        <v>158.665875</v>
      </c>
      <c r="AE1447" s="39" t="n">
        <f aca="false">AC1447-T1447</f>
        <v>53.1407638636364</v>
      </c>
      <c r="AF1447" s="40" t="n">
        <f aca="false">AC1447/T1447-1</f>
        <v>0.405366000547885</v>
      </c>
      <c r="AG1447" s="37" t="str">
        <f aca="false">IF(AC1447&lt;T1447,"SIM","NÃO")</f>
        <v>NÃO</v>
      </c>
      <c r="AH1447" s="37" t="n">
        <v>13</v>
      </c>
      <c r="AI1447" s="37" t="n">
        <v>10</v>
      </c>
      <c r="AJ1447" s="37" t="s">
        <v>327</v>
      </c>
    </row>
    <row r="1448" customFormat="false" ht="15" hidden="false" customHeight="false" outlineLevel="0" collapsed="false">
      <c r="A1448" s="37" t="n">
        <v>385165833</v>
      </c>
      <c r="B1448" s="38" t="n">
        <v>46263.5053819444</v>
      </c>
      <c r="C1448" s="37" t="s">
        <v>325</v>
      </c>
      <c r="D1448" s="37" t="s">
        <v>1659</v>
      </c>
      <c r="E1448" s="37" t="n">
        <v>22753211</v>
      </c>
      <c r="F1448" s="37" t="s">
        <v>139</v>
      </c>
      <c r="G1448" s="37" t="s">
        <v>198</v>
      </c>
      <c r="H1448" s="37" t="s">
        <v>168</v>
      </c>
      <c r="I1448" s="37" t="n">
        <v>27.5</v>
      </c>
      <c r="J1448" s="39" t="n">
        <v>338</v>
      </c>
      <c r="K1448" s="37" t="s">
        <v>322</v>
      </c>
      <c r="L1448" s="39" t="n">
        <v>81.95</v>
      </c>
      <c r="M1448" s="39" t="n">
        <v>54.1</v>
      </c>
      <c r="N1448" s="39" t="n">
        <f aca="false">J1448*Resumo!$C$7</f>
        <v>0.676</v>
      </c>
      <c r="O1448" s="39" t="n">
        <f aca="false">J1448*Resumo!$C$8</f>
        <v>0.676</v>
      </c>
      <c r="P1448" s="39" t="n">
        <f aca="false">Resumo!$C$10*CEILING(I1448/100,1)</f>
        <v>1</v>
      </c>
      <c r="Q1448" s="39" t="n">
        <f aca="false">Resumo!$C$9</f>
        <v>11.9</v>
      </c>
      <c r="R1448" s="39" t="n">
        <f aca="false">SUM(M1448:Q1448)*Resumo!$C$11</f>
        <v>3.75936</v>
      </c>
      <c r="S1448" s="39" t="n">
        <f aca="false">SUM(M1448:R1448)</f>
        <v>72.11136</v>
      </c>
      <c r="T1448" s="39" t="n">
        <f aca="false">S1448/(1-Resumo!$C$5)</f>
        <v>81.9447272727273</v>
      </c>
      <c r="U1448" s="39" t="n">
        <v>82.21</v>
      </c>
      <c r="V1448" s="39" t="n">
        <f aca="false">J1448*Resumo!$B$6</f>
        <v>0.338</v>
      </c>
      <c r="W1448" s="39" t="n">
        <f aca="false">J1448*Resumo!$B$7</f>
        <v>0.676</v>
      </c>
      <c r="X1448" s="39" t="n">
        <f aca="false">Resumo!$B$9</f>
        <v>1</v>
      </c>
      <c r="Y1448" s="39" t="n">
        <f aca="false">Resumo!$B$10*CEILING(I1448/100,1)</f>
        <v>4.5</v>
      </c>
      <c r="Z1448" s="39" t="n">
        <f aca="false">Resumo!$B$12*CEILING(I1448,1)</f>
        <v>1.68</v>
      </c>
      <c r="AA1448" s="39" t="n">
        <f aca="false">Resumo!$B$13*CEILING(I1448,1)</f>
        <v>12.6</v>
      </c>
      <c r="AB1448" s="39" t="n">
        <f aca="false">SUM(U1448:AA1448)</f>
        <v>103.004</v>
      </c>
      <c r="AC1448" s="39" t="n">
        <f aca="false">AB1448/(1-Resumo!$B$5)</f>
        <v>117.05</v>
      </c>
      <c r="AD1448" s="39" t="n">
        <f aca="false">(AB1448-AA1448)/(1-Resumo!$B$5)</f>
        <v>102.731818181818</v>
      </c>
      <c r="AE1448" s="39" t="n">
        <f aca="false">AC1448-T1448</f>
        <v>35.1052727272727</v>
      </c>
      <c r="AF1448" s="40" t="n">
        <f aca="false">AC1448/T1448-1</f>
        <v>0.428401849583755</v>
      </c>
      <c r="AG1448" s="37" t="str">
        <f aca="false">IF(AC1448&lt;T1448,"SIM","NÃO")</f>
        <v>NÃO</v>
      </c>
      <c r="AH1448" s="37" t="n">
        <v>8</v>
      </c>
      <c r="AI1448" s="37" t="n">
        <v>5</v>
      </c>
      <c r="AJ1448" s="37" t="s">
        <v>323</v>
      </c>
    </row>
    <row r="1449" customFormat="false" ht="15" hidden="false" customHeight="false" outlineLevel="0" collapsed="false">
      <c r="A1449" s="37" t="n">
        <v>385178796</v>
      </c>
      <c r="B1449" s="38" t="n">
        <v>46263.5300694444</v>
      </c>
      <c r="C1449" s="37" t="s">
        <v>320</v>
      </c>
      <c r="D1449" s="37" t="s">
        <v>1660</v>
      </c>
      <c r="E1449" s="37" t="n">
        <v>23082220</v>
      </c>
      <c r="F1449" s="37" t="s">
        <v>139</v>
      </c>
      <c r="G1449" s="37" t="s">
        <v>198</v>
      </c>
      <c r="H1449" s="37" t="s">
        <v>172</v>
      </c>
      <c r="I1449" s="37" t="n">
        <v>69.15</v>
      </c>
      <c r="J1449" s="39" t="n">
        <v>859.99</v>
      </c>
      <c r="K1449" s="37" t="s">
        <v>322</v>
      </c>
      <c r="L1449" s="39" t="n">
        <v>125.33</v>
      </c>
      <c r="M1449" s="39" t="n">
        <v>88.2</v>
      </c>
      <c r="N1449" s="39" t="n">
        <f aca="false">J1449*Resumo!$C$7</f>
        <v>1.71998</v>
      </c>
      <c r="O1449" s="39" t="n">
        <f aca="false">J1449*Resumo!$C$8</f>
        <v>1.71998</v>
      </c>
      <c r="P1449" s="39" t="n">
        <f aca="false">Resumo!$C$10*CEILING(I1449/100,1)</f>
        <v>1</v>
      </c>
      <c r="Q1449" s="39" t="n">
        <f aca="false">Resumo!$C$9</f>
        <v>11.9</v>
      </c>
      <c r="R1449" s="39" t="n">
        <f aca="false">SUM(M1449:Q1449)*Resumo!$C$11</f>
        <v>5.7496978</v>
      </c>
      <c r="S1449" s="39" t="n">
        <f aca="false">SUM(M1449:R1449)</f>
        <v>110.2896578</v>
      </c>
      <c r="T1449" s="39" t="n">
        <f aca="false">S1449/(1-Resumo!$C$5)</f>
        <v>125.329156590909</v>
      </c>
      <c r="U1449" s="39" t="n">
        <v>131.02</v>
      </c>
      <c r="V1449" s="39" t="n">
        <f aca="false">J1449*Resumo!$B$6</f>
        <v>0.85999</v>
      </c>
      <c r="W1449" s="39" t="n">
        <f aca="false">J1449*Resumo!$B$7</f>
        <v>1.71998</v>
      </c>
      <c r="X1449" s="39" t="n">
        <f aca="false">Resumo!$B$9</f>
        <v>1</v>
      </c>
      <c r="Y1449" s="39" t="n">
        <f aca="false">Resumo!$B$10*CEILING(I1449/100,1)</f>
        <v>4.5</v>
      </c>
      <c r="Z1449" s="39" t="n">
        <f aca="false">Resumo!$B$12*CEILING(I1449,1)</f>
        <v>4.2</v>
      </c>
      <c r="AA1449" s="39" t="n">
        <f aca="false">Resumo!$B$13*CEILING(I1449,1)</f>
        <v>31.5</v>
      </c>
      <c r="AB1449" s="39" t="n">
        <f aca="false">SUM(U1449:AA1449)</f>
        <v>174.79997</v>
      </c>
      <c r="AC1449" s="39" t="n">
        <f aca="false">AB1449/(1-Resumo!$B$5)</f>
        <v>198.636329545455</v>
      </c>
      <c r="AD1449" s="39" t="n">
        <f aca="false">(AB1449-AA1449)/(1-Resumo!$B$5)</f>
        <v>162.840875</v>
      </c>
      <c r="AE1449" s="39" t="n">
        <f aca="false">AC1449-T1449</f>
        <v>73.3071729545454</v>
      </c>
      <c r="AF1449" s="40" t="n">
        <f aca="false">AC1449/T1449-1</f>
        <v>0.58491714895864</v>
      </c>
      <c r="AG1449" s="37" t="str">
        <f aca="false">IF(AC1449&lt;T1449,"SIM","NÃO")</f>
        <v>NÃO</v>
      </c>
      <c r="AH1449" s="37" t="n">
        <v>8</v>
      </c>
      <c r="AI1449" s="37" t="n">
        <v>5</v>
      </c>
      <c r="AJ1449" s="37" t="s">
        <v>323</v>
      </c>
    </row>
    <row r="1450" customFormat="false" ht="15" hidden="false" customHeight="false" outlineLevel="0" collapsed="false">
      <c r="A1450" s="37" t="n">
        <v>385206442</v>
      </c>
      <c r="B1450" s="38" t="n">
        <v>46263.5816203704</v>
      </c>
      <c r="C1450" s="37" t="s">
        <v>320</v>
      </c>
      <c r="D1450" s="37" t="s">
        <v>1661</v>
      </c>
      <c r="E1450" s="37" t="n">
        <v>26167570</v>
      </c>
      <c r="F1450" s="37" t="s">
        <v>145</v>
      </c>
      <c r="G1450" s="37" t="s">
        <v>207</v>
      </c>
      <c r="H1450" s="37" t="s">
        <v>169</v>
      </c>
      <c r="I1450" s="37" t="n">
        <v>35.3</v>
      </c>
      <c r="J1450" s="39" t="n">
        <v>499.99</v>
      </c>
      <c r="K1450" s="37" t="s">
        <v>322</v>
      </c>
      <c r="L1450" s="39" t="n">
        <v>113.35</v>
      </c>
      <c r="M1450" s="39" t="n">
        <v>79.65</v>
      </c>
      <c r="N1450" s="39" t="n">
        <f aca="false">J1450*Resumo!$C$7</f>
        <v>0.99998</v>
      </c>
      <c r="O1450" s="39" t="n">
        <f aca="false">J1450*Resumo!$C$8</f>
        <v>0.99998</v>
      </c>
      <c r="P1450" s="39" t="n">
        <f aca="false">Resumo!$C$10*CEILING(I1450/100,1)</f>
        <v>1</v>
      </c>
      <c r="Q1450" s="39" t="n">
        <f aca="false">Resumo!$C$9</f>
        <v>11.9</v>
      </c>
      <c r="R1450" s="39" t="n">
        <f aca="false">SUM(M1450:Q1450)*Resumo!$C$11</f>
        <v>5.2002478</v>
      </c>
      <c r="S1450" s="39" t="n">
        <f aca="false">SUM(M1450:R1450)</f>
        <v>99.7502078</v>
      </c>
      <c r="T1450" s="39" t="n">
        <f aca="false">S1450/(1-Resumo!$C$5)</f>
        <v>113.352508863636</v>
      </c>
      <c r="U1450" s="39" t="n">
        <v>93.97</v>
      </c>
      <c r="V1450" s="39" t="n">
        <f aca="false">J1450*Resumo!$B$6</f>
        <v>0.49999</v>
      </c>
      <c r="W1450" s="39" t="n">
        <f aca="false">J1450*Resumo!$B$7</f>
        <v>0.99998</v>
      </c>
      <c r="X1450" s="39" t="n">
        <f aca="false">Resumo!$B$9</f>
        <v>1</v>
      </c>
      <c r="Y1450" s="39" t="n">
        <f aca="false">Resumo!$B$10*CEILING(I1450/100,1)</f>
        <v>4.5</v>
      </c>
      <c r="Z1450" s="39" t="n">
        <f aca="false">Resumo!$B$12*CEILING(I1450,1)</f>
        <v>2.16</v>
      </c>
      <c r="AA1450" s="39" t="n">
        <f aca="false">Resumo!$B$13*CEILING(I1450,1)</f>
        <v>16.2</v>
      </c>
      <c r="AB1450" s="39" t="n">
        <f aca="false">SUM(U1450:AA1450)</f>
        <v>119.32997</v>
      </c>
      <c r="AC1450" s="39" t="n">
        <f aca="false">AB1450/(1-Resumo!$B$5)</f>
        <v>135.602238636364</v>
      </c>
      <c r="AD1450" s="39" t="n">
        <f aca="false">(AB1450-AA1450)/(1-Resumo!$B$5)</f>
        <v>117.193147727273</v>
      </c>
      <c r="AE1450" s="39" t="n">
        <f aca="false">AC1450-T1450</f>
        <v>22.2497297727273</v>
      </c>
      <c r="AF1450" s="40" t="n">
        <f aca="false">AC1450/T1450-1</f>
        <v>0.196287933948545</v>
      </c>
      <c r="AG1450" s="37" t="str">
        <f aca="false">IF(AC1450&lt;T1450,"SIM","NÃO")</f>
        <v>NÃO</v>
      </c>
      <c r="AH1450" s="37" t="n">
        <v>10</v>
      </c>
      <c r="AI1450" s="37" t="n">
        <v>5</v>
      </c>
      <c r="AJ1450" s="37" t="s">
        <v>323</v>
      </c>
    </row>
    <row r="1451" customFormat="false" ht="15" hidden="false" customHeight="false" outlineLevel="0" collapsed="false">
      <c r="A1451" s="37" t="n">
        <v>385211355</v>
      </c>
      <c r="B1451" s="38" t="n">
        <v>46263.5910763889</v>
      </c>
      <c r="C1451" s="37" t="s">
        <v>320</v>
      </c>
      <c r="D1451" s="37" t="s">
        <v>935</v>
      </c>
      <c r="E1451" s="37" t="n">
        <v>20765171</v>
      </c>
      <c r="F1451" s="37" t="s">
        <v>139</v>
      </c>
      <c r="G1451" s="37" t="s">
        <v>198</v>
      </c>
      <c r="H1451" s="37" t="s">
        <v>174</v>
      </c>
      <c r="I1451" s="37" t="n">
        <v>93.8</v>
      </c>
      <c r="J1451" s="39" t="n">
        <v>999.99</v>
      </c>
      <c r="K1451" s="37" t="s">
        <v>322</v>
      </c>
      <c r="L1451" s="39" t="n">
        <v>163.89</v>
      </c>
      <c r="M1451" s="39" t="n">
        <v>119.8</v>
      </c>
      <c r="N1451" s="39" t="n">
        <f aca="false">J1451*Resumo!$C$7</f>
        <v>1.99998</v>
      </c>
      <c r="O1451" s="39" t="n">
        <f aca="false">J1451*Resumo!$C$8</f>
        <v>1.99998</v>
      </c>
      <c r="P1451" s="39" t="n">
        <f aca="false">Resumo!$C$10*CEILING(I1451/100,1)</f>
        <v>1</v>
      </c>
      <c r="Q1451" s="39" t="n">
        <f aca="false">Resumo!$C$9</f>
        <v>11.9</v>
      </c>
      <c r="R1451" s="39" t="n">
        <f aca="false">SUM(M1451:Q1451)*Resumo!$C$11</f>
        <v>7.5184978</v>
      </c>
      <c r="S1451" s="39" t="n">
        <f aca="false">SUM(M1451:R1451)</f>
        <v>144.2184578</v>
      </c>
      <c r="T1451" s="39" t="n">
        <f aca="false">S1451/(1-Resumo!$C$5)</f>
        <v>163.884611136364</v>
      </c>
      <c r="U1451" s="39" t="n">
        <v>167.99</v>
      </c>
      <c r="V1451" s="39" t="n">
        <f aca="false">J1451*Resumo!$B$6</f>
        <v>0.99999</v>
      </c>
      <c r="W1451" s="39" t="n">
        <f aca="false">J1451*Resumo!$B$7</f>
        <v>1.99998</v>
      </c>
      <c r="X1451" s="39" t="n">
        <f aca="false">Resumo!$B$9</f>
        <v>1</v>
      </c>
      <c r="Y1451" s="39" t="n">
        <f aca="false">Resumo!$B$10*CEILING(I1451/100,1)</f>
        <v>4.5</v>
      </c>
      <c r="Z1451" s="39" t="n">
        <f aca="false">Resumo!$B$12*CEILING(I1451,1)</f>
        <v>5.64</v>
      </c>
      <c r="AA1451" s="39" t="n">
        <f aca="false">Resumo!$B$13*CEILING(I1451,1)</f>
        <v>42.3</v>
      </c>
      <c r="AB1451" s="39" t="n">
        <f aca="false">SUM(U1451:AA1451)</f>
        <v>224.42997</v>
      </c>
      <c r="AC1451" s="39" t="n">
        <f aca="false">AB1451/(1-Resumo!$B$5)</f>
        <v>255.034056818182</v>
      </c>
      <c r="AD1451" s="39" t="n">
        <f aca="false">(AB1451-AA1451)/(1-Resumo!$B$5)</f>
        <v>206.965875</v>
      </c>
      <c r="AE1451" s="39" t="n">
        <f aca="false">AC1451-T1451</f>
        <v>91.1494456818182</v>
      </c>
      <c r="AF1451" s="40" t="n">
        <f aca="false">AC1451/T1451-1</f>
        <v>0.556180626416323</v>
      </c>
      <c r="AG1451" s="37" t="str">
        <f aca="false">IF(AC1451&lt;T1451,"SIM","NÃO")</f>
        <v>NÃO</v>
      </c>
      <c r="AH1451" s="37" t="n">
        <v>8</v>
      </c>
      <c r="AI1451" s="37" t="n">
        <v>5</v>
      </c>
      <c r="AJ1451" s="37" t="s">
        <v>323</v>
      </c>
    </row>
    <row r="1452" customFormat="false" ht="15" hidden="false" customHeight="false" outlineLevel="0" collapsed="false">
      <c r="A1452" s="37" t="n">
        <v>385221301</v>
      </c>
      <c r="B1452" s="38" t="n">
        <v>46263.6106134259</v>
      </c>
      <c r="C1452" s="37" t="s">
        <v>320</v>
      </c>
      <c r="D1452" s="37" t="s">
        <v>1662</v>
      </c>
      <c r="E1452" s="37" t="n">
        <v>25040220</v>
      </c>
      <c r="F1452" s="37" t="s">
        <v>141</v>
      </c>
      <c r="G1452" s="37" t="s">
        <v>207</v>
      </c>
      <c r="H1452" s="37" t="s">
        <v>175</v>
      </c>
      <c r="I1452" s="37" t="n">
        <v>106.5</v>
      </c>
      <c r="J1452" s="39" t="n">
        <v>1077.9</v>
      </c>
      <c r="K1452" s="37" t="s">
        <v>322</v>
      </c>
      <c r="L1452" s="39" t="n">
        <v>195.01</v>
      </c>
      <c r="M1452" s="39" t="n">
        <v>144.44</v>
      </c>
      <c r="N1452" s="39" t="n">
        <f aca="false">J1452*Resumo!$C$7</f>
        <v>2.1558</v>
      </c>
      <c r="O1452" s="39" t="n">
        <f aca="false">J1452*Resumo!$C$8</f>
        <v>2.1558</v>
      </c>
      <c r="P1452" s="39" t="n">
        <f aca="false">Resumo!$C$10*CEILING(I1452/100,1)</f>
        <v>2</v>
      </c>
      <c r="Q1452" s="39" t="n">
        <f aca="false">Resumo!$C$9</f>
        <v>11.9</v>
      </c>
      <c r="R1452" s="39" t="n">
        <f aca="false">SUM(M1452:Q1452)*Resumo!$C$11</f>
        <v>8.945838</v>
      </c>
      <c r="S1452" s="39" t="n">
        <f aca="false">SUM(M1452:R1452)</f>
        <v>171.597438</v>
      </c>
      <c r="T1452" s="39" t="n">
        <f aca="false">S1452/(1-Resumo!$C$5)</f>
        <v>194.997088636364</v>
      </c>
      <c r="U1452" s="39" t="n">
        <v>201.59</v>
      </c>
      <c r="V1452" s="39" t="n">
        <f aca="false">J1452*Resumo!$B$6</f>
        <v>1.0779</v>
      </c>
      <c r="W1452" s="39" t="n">
        <f aca="false">J1452*Resumo!$B$7</f>
        <v>2.1558</v>
      </c>
      <c r="X1452" s="39" t="n">
        <f aca="false">Resumo!$B$9</f>
        <v>1</v>
      </c>
      <c r="Y1452" s="39" t="n">
        <f aca="false">Resumo!$B$10*CEILING(I1452/100,1)</f>
        <v>9</v>
      </c>
      <c r="Z1452" s="39" t="n">
        <f aca="false">Resumo!$B$12*CEILING(I1452,1)</f>
        <v>6.42</v>
      </c>
      <c r="AA1452" s="39" t="n">
        <f aca="false">Resumo!$B$13*CEILING(I1452,1)</f>
        <v>48.15</v>
      </c>
      <c r="AB1452" s="39" t="n">
        <f aca="false">SUM(U1452:AA1452)</f>
        <v>269.3937</v>
      </c>
      <c r="AC1452" s="39" t="n">
        <f aca="false">AB1452/(1-Resumo!$B$5)</f>
        <v>306.129204545455</v>
      </c>
      <c r="AD1452" s="39" t="n">
        <f aca="false">(AB1452-AA1452)/(1-Resumo!$B$5)</f>
        <v>251.413295454545</v>
      </c>
      <c r="AE1452" s="39" t="n">
        <f aca="false">AC1452-T1452</f>
        <v>111.132115909091</v>
      </c>
      <c r="AF1452" s="40" t="n">
        <f aca="false">AC1452/T1452-1</f>
        <v>0.569916795610899</v>
      </c>
      <c r="AG1452" s="37" t="str">
        <f aca="false">IF(AC1452&lt;T1452,"SIM","NÃO")</f>
        <v>NÃO</v>
      </c>
      <c r="AH1452" s="37" t="n">
        <v>10</v>
      </c>
      <c r="AI1452" s="37" t="n">
        <v>5</v>
      </c>
      <c r="AJ1452" s="37" t="s">
        <v>323</v>
      </c>
    </row>
    <row r="1453" customFormat="false" ht="15" hidden="false" customHeight="false" outlineLevel="0" collapsed="false">
      <c r="A1453" s="37" t="n">
        <v>385247902</v>
      </c>
      <c r="B1453" s="38" t="n">
        <v>46263.6619675926</v>
      </c>
      <c r="C1453" s="37" t="s">
        <v>325</v>
      </c>
      <c r="D1453" s="37" t="s">
        <v>1663</v>
      </c>
      <c r="E1453" s="37" t="n">
        <v>22765430</v>
      </c>
      <c r="F1453" s="37" t="s">
        <v>139</v>
      </c>
      <c r="G1453" s="37" t="s">
        <v>198</v>
      </c>
      <c r="H1453" s="37" t="s">
        <v>172</v>
      </c>
      <c r="I1453" s="37" t="n">
        <v>69.15</v>
      </c>
      <c r="J1453" s="39" t="n">
        <v>697.84</v>
      </c>
      <c r="K1453" s="37" t="s">
        <v>322</v>
      </c>
      <c r="L1453" s="39" t="n">
        <v>124.56</v>
      </c>
      <c r="M1453" s="39" t="n">
        <v>88.2</v>
      </c>
      <c r="N1453" s="39" t="n">
        <f aca="false">J1453*Resumo!$C$7</f>
        <v>1.39568</v>
      </c>
      <c r="O1453" s="39" t="n">
        <f aca="false">J1453*Resumo!$C$8</f>
        <v>1.39568</v>
      </c>
      <c r="P1453" s="39" t="n">
        <f aca="false">Resumo!$C$10*CEILING(I1453/100,1)</f>
        <v>1</v>
      </c>
      <c r="Q1453" s="39" t="n">
        <f aca="false">Resumo!$C$9</f>
        <v>11.9</v>
      </c>
      <c r="R1453" s="39" t="n">
        <f aca="false">SUM(M1453:Q1453)*Resumo!$C$11</f>
        <v>5.7140248</v>
      </c>
      <c r="S1453" s="39" t="n">
        <f aca="false">SUM(M1453:R1453)</f>
        <v>109.6053848</v>
      </c>
      <c r="T1453" s="39" t="n">
        <f aca="false">S1453/(1-Resumo!$C$5)</f>
        <v>124.551573636364</v>
      </c>
      <c r="U1453" s="39" t="n">
        <v>131.02</v>
      </c>
      <c r="V1453" s="39" t="n">
        <f aca="false">J1453*Resumo!$B$6</f>
        <v>0.69784</v>
      </c>
      <c r="W1453" s="39" t="n">
        <f aca="false">J1453*Resumo!$B$7</f>
        <v>1.39568</v>
      </c>
      <c r="X1453" s="39" t="n">
        <f aca="false">Resumo!$B$9</f>
        <v>1</v>
      </c>
      <c r="Y1453" s="39" t="n">
        <f aca="false">Resumo!$B$10*CEILING(I1453/100,1)</f>
        <v>4.5</v>
      </c>
      <c r="Z1453" s="39" t="n">
        <f aca="false">Resumo!$B$12*CEILING(I1453,1)</f>
        <v>4.2</v>
      </c>
      <c r="AA1453" s="39" t="n">
        <f aca="false">Resumo!$B$13*CEILING(I1453,1)</f>
        <v>31.5</v>
      </c>
      <c r="AB1453" s="39" t="n">
        <f aca="false">SUM(U1453:AA1453)</f>
        <v>174.31352</v>
      </c>
      <c r="AC1453" s="39" t="n">
        <f aca="false">AB1453/(1-Resumo!$B$5)</f>
        <v>198.083545454545</v>
      </c>
      <c r="AD1453" s="39" t="n">
        <f aca="false">(AB1453-AA1453)/(1-Resumo!$B$5)</f>
        <v>162.288090909091</v>
      </c>
      <c r="AE1453" s="39" t="n">
        <f aca="false">AC1453-T1453</f>
        <v>73.5319718181818</v>
      </c>
      <c r="AF1453" s="40" t="n">
        <f aca="false">AC1453/T1453-1</f>
        <v>0.590373687552621</v>
      </c>
      <c r="AG1453" s="37" t="str">
        <f aca="false">IF(AC1453&lt;T1453,"SIM","NÃO")</f>
        <v>NÃO</v>
      </c>
      <c r="AH1453" s="37" t="n">
        <v>8</v>
      </c>
      <c r="AI1453" s="37" t="n">
        <v>5</v>
      </c>
      <c r="AJ1453" s="37" t="s">
        <v>323</v>
      </c>
    </row>
    <row r="1454" customFormat="false" ht="15" hidden="false" customHeight="false" outlineLevel="0" collapsed="false">
      <c r="A1454" s="37" t="n">
        <v>385282833</v>
      </c>
      <c r="B1454" s="38" t="n">
        <v>46263.7193634259</v>
      </c>
      <c r="C1454" s="37" t="s">
        <v>325</v>
      </c>
      <c r="D1454" s="37" t="s">
        <v>1664</v>
      </c>
      <c r="E1454" s="37" t="n">
        <v>23575050</v>
      </c>
      <c r="F1454" s="37" t="s">
        <v>139</v>
      </c>
      <c r="G1454" s="37" t="s">
        <v>198</v>
      </c>
      <c r="H1454" s="37" t="s">
        <v>167</v>
      </c>
      <c r="I1454" s="37" t="n">
        <v>13.18</v>
      </c>
      <c r="J1454" s="39" t="n">
        <v>259.95</v>
      </c>
      <c r="K1454" s="37" t="s">
        <v>322</v>
      </c>
      <c r="L1454" s="39" t="n">
        <v>64.47</v>
      </c>
      <c r="M1454" s="39" t="n">
        <v>39.83</v>
      </c>
      <c r="N1454" s="39" t="n">
        <f aca="false">J1454*Resumo!$C$7</f>
        <v>0.5199</v>
      </c>
      <c r="O1454" s="39" t="n">
        <f aca="false">J1454*Resumo!$C$8</f>
        <v>0.5199</v>
      </c>
      <c r="P1454" s="39" t="n">
        <f aca="false">Resumo!$C$10*CEILING(I1454/100,1)</f>
        <v>1</v>
      </c>
      <c r="Q1454" s="39" t="n">
        <f aca="false">Resumo!$C$9</f>
        <v>11.9</v>
      </c>
      <c r="R1454" s="39" t="n">
        <f aca="false">SUM(M1454:Q1454)*Resumo!$C$11</f>
        <v>2.957339</v>
      </c>
      <c r="S1454" s="39" t="n">
        <f aca="false">SUM(M1454:R1454)</f>
        <v>56.727139</v>
      </c>
      <c r="T1454" s="39" t="n">
        <f aca="false">S1454/(1-Resumo!$C$5)</f>
        <v>64.4626579545455</v>
      </c>
      <c r="U1454" s="39" t="n">
        <v>46.98</v>
      </c>
      <c r="V1454" s="39" t="n">
        <f aca="false">J1454*Resumo!$B$6</f>
        <v>0.25995</v>
      </c>
      <c r="W1454" s="39" t="n">
        <f aca="false">J1454*Resumo!$B$7</f>
        <v>0.5199</v>
      </c>
      <c r="X1454" s="39" t="n">
        <f aca="false">Resumo!$B$9</f>
        <v>1</v>
      </c>
      <c r="Y1454" s="39" t="n">
        <f aca="false">Resumo!$B$10*CEILING(I1454/100,1)</f>
        <v>4.5</v>
      </c>
      <c r="Z1454" s="39" t="n">
        <f aca="false">Resumo!$B$12*CEILING(I1454,1)</f>
        <v>0.84</v>
      </c>
      <c r="AA1454" s="39" t="n">
        <f aca="false">Resumo!$B$13*CEILING(I1454,1)</f>
        <v>6.3</v>
      </c>
      <c r="AB1454" s="39" t="n">
        <f aca="false">SUM(U1454:AA1454)</f>
        <v>60.39985</v>
      </c>
      <c r="AC1454" s="39" t="n">
        <f aca="false">AB1454/(1-Resumo!$B$5)</f>
        <v>68.6361931818182</v>
      </c>
      <c r="AD1454" s="39" t="n">
        <f aca="false">(AB1454-AA1454)/(1-Resumo!$B$5)</f>
        <v>61.4771022727273</v>
      </c>
      <c r="AE1454" s="39" t="n">
        <f aca="false">AC1454-T1454</f>
        <v>4.17353522727272</v>
      </c>
      <c r="AF1454" s="40" t="n">
        <f aca="false">AC1454/T1454-1</f>
        <v>0.0647434555090112</v>
      </c>
      <c r="AG1454" s="37" t="str">
        <f aca="false">IF(AC1454&lt;T1454,"SIM","NÃO")</f>
        <v>NÃO</v>
      </c>
      <c r="AH1454" s="37" t="n">
        <v>8</v>
      </c>
      <c r="AI1454" s="37" t="n">
        <v>5</v>
      </c>
      <c r="AJ1454" s="37" t="s">
        <v>323</v>
      </c>
    </row>
    <row r="1455" customFormat="false" ht="15" hidden="false" customHeight="false" outlineLevel="0" collapsed="false">
      <c r="A1455" s="37" t="n">
        <v>385321354</v>
      </c>
      <c r="B1455" s="38" t="n">
        <v>46263.7881018519</v>
      </c>
      <c r="C1455" s="37" t="s">
        <v>320</v>
      </c>
      <c r="D1455" s="37" t="s">
        <v>1665</v>
      </c>
      <c r="E1455" s="37" t="n">
        <v>25041130</v>
      </c>
      <c r="F1455" s="37" t="s">
        <v>141</v>
      </c>
      <c r="G1455" s="37" t="s">
        <v>207</v>
      </c>
      <c r="H1455" s="37" t="s">
        <v>170</v>
      </c>
      <c r="I1455" s="37" t="n">
        <v>44.6</v>
      </c>
      <c r="J1455" s="39" t="n">
        <v>549.99</v>
      </c>
      <c r="K1455" s="37" t="s">
        <v>322</v>
      </c>
      <c r="L1455" s="39" t="n">
        <v>116.7</v>
      </c>
      <c r="M1455" s="39" t="n">
        <v>82.25</v>
      </c>
      <c r="N1455" s="39" t="n">
        <f aca="false">J1455*Resumo!$C$7</f>
        <v>1.09998</v>
      </c>
      <c r="O1455" s="39" t="n">
        <f aca="false">J1455*Resumo!$C$8</f>
        <v>1.09998</v>
      </c>
      <c r="P1455" s="39" t="n">
        <f aca="false">Resumo!$C$10*CEILING(I1455/100,1)</f>
        <v>1</v>
      </c>
      <c r="Q1455" s="39" t="n">
        <f aca="false">Resumo!$C$9</f>
        <v>11.9</v>
      </c>
      <c r="R1455" s="39" t="n">
        <f aca="false">SUM(M1455:Q1455)*Resumo!$C$11</f>
        <v>5.3542478</v>
      </c>
      <c r="S1455" s="39" t="n">
        <f aca="false">SUM(M1455:R1455)</f>
        <v>102.7042078</v>
      </c>
      <c r="T1455" s="39" t="n">
        <f aca="false">S1455/(1-Resumo!$C$5)</f>
        <v>116.709327045455</v>
      </c>
      <c r="U1455" s="39" t="n">
        <v>93.97</v>
      </c>
      <c r="V1455" s="39" t="n">
        <f aca="false">J1455*Resumo!$B$6</f>
        <v>0.54999</v>
      </c>
      <c r="W1455" s="39" t="n">
        <f aca="false">J1455*Resumo!$B$7</f>
        <v>1.09998</v>
      </c>
      <c r="X1455" s="39" t="n">
        <f aca="false">Resumo!$B$9</f>
        <v>1</v>
      </c>
      <c r="Y1455" s="39" t="n">
        <f aca="false">Resumo!$B$10*CEILING(I1455/100,1)</f>
        <v>4.5</v>
      </c>
      <c r="Z1455" s="39" t="n">
        <f aca="false">Resumo!$B$12*CEILING(I1455,1)</f>
        <v>2.7</v>
      </c>
      <c r="AA1455" s="39" t="n">
        <f aca="false">Resumo!$B$13*CEILING(I1455,1)</f>
        <v>20.25</v>
      </c>
      <c r="AB1455" s="39" t="n">
        <f aca="false">SUM(U1455:AA1455)</f>
        <v>124.06997</v>
      </c>
      <c r="AC1455" s="39" t="n">
        <f aca="false">AB1455/(1-Resumo!$B$5)</f>
        <v>140.988602272727</v>
      </c>
      <c r="AD1455" s="39" t="n">
        <f aca="false">(AB1455-AA1455)/(1-Resumo!$B$5)</f>
        <v>117.977238636364</v>
      </c>
      <c r="AE1455" s="39" t="n">
        <f aca="false">AC1455-T1455</f>
        <v>24.2792752272727</v>
      </c>
      <c r="AF1455" s="40" t="n">
        <f aca="false">AC1455/T1455-1</f>
        <v>0.208032004312875</v>
      </c>
      <c r="AG1455" s="37" t="str">
        <f aca="false">IF(AC1455&lt;T1455,"SIM","NÃO")</f>
        <v>NÃO</v>
      </c>
      <c r="AH1455" s="37" t="n">
        <v>10</v>
      </c>
      <c r="AI1455" s="37" t="n">
        <v>5</v>
      </c>
      <c r="AJ1455" s="37" t="s">
        <v>323</v>
      </c>
    </row>
    <row r="1456" customFormat="false" ht="15" hidden="false" customHeight="false" outlineLevel="0" collapsed="false">
      <c r="A1456" s="37" t="n">
        <v>385350376</v>
      </c>
      <c r="B1456" s="38" t="n">
        <v>46263.8332638889</v>
      </c>
      <c r="C1456" s="37" t="s">
        <v>325</v>
      </c>
      <c r="D1456" s="37" t="s">
        <v>1666</v>
      </c>
      <c r="E1456" s="37" t="n">
        <v>25931890</v>
      </c>
      <c r="F1456" s="37" t="s">
        <v>156</v>
      </c>
      <c r="G1456" s="37" t="s">
        <v>201</v>
      </c>
      <c r="H1456" s="37" t="s">
        <v>171</v>
      </c>
      <c r="I1456" s="37" t="n">
        <v>52.3</v>
      </c>
      <c r="J1456" s="39" t="n">
        <v>640.44</v>
      </c>
      <c r="K1456" s="37" t="s">
        <v>322</v>
      </c>
      <c r="L1456" s="39" t="n">
        <v>142.74</v>
      </c>
      <c r="M1456" s="39" t="n">
        <v>103.6</v>
      </c>
      <c r="N1456" s="39" t="n">
        <f aca="false">J1456*Resumo!$C$7</f>
        <v>1.28088</v>
      </c>
      <c r="O1456" s="39" t="n">
        <f aca="false">J1456*Resumo!$C$8</f>
        <v>1.28088</v>
      </c>
      <c r="P1456" s="39" t="n">
        <f aca="false">Resumo!$C$10*CEILING(I1456/100,1)</f>
        <v>1</v>
      </c>
      <c r="Q1456" s="39" t="n">
        <f aca="false">Resumo!$C$9</f>
        <v>11.9</v>
      </c>
      <c r="R1456" s="39" t="n">
        <f aca="false">SUM(M1456:Q1456)*Resumo!$C$11</f>
        <v>6.5483968</v>
      </c>
      <c r="S1456" s="39" t="n">
        <f aca="false">SUM(M1456:R1456)</f>
        <v>125.6101568</v>
      </c>
      <c r="T1456" s="39" t="n">
        <f aca="false">S1456/(1-Resumo!$C$5)</f>
        <v>142.738814545455</v>
      </c>
      <c r="U1456" s="39" t="n">
        <v>127.03</v>
      </c>
      <c r="V1456" s="39" t="n">
        <f aca="false">J1456*Resumo!$B$6</f>
        <v>0.64044</v>
      </c>
      <c r="W1456" s="39" t="n">
        <f aca="false">J1456*Resumo!$B$7</f>
        <v>1.28088</v>
      </c>
      <c r="X1456" s="39" t="n">
        <f aca="false">Resumo!$B$9</f>
        <v>1</v>
      </c>
      <c r="Y1456" s="39" t="n">
        <f aca="false">Resumo!$B$10*CEILING(I1456/100,1)</f>
        <v>4.5</v>
      </c>
      <c r="Z1456" s="39" t="n">
        <f aca="false">Resumo!$B$12*CEILING(I1456,1)</f>
        <v>3.18</v>
      </c>
      <c r="AA1456" s="39" t="n">
        <f aca="false">Resumo!$B$13*CEILING(I1456,1)</f>
        <v>23.85</v>
      </c>
      <c r="AB1456" s="39" t="n">
        <f aca="false">SUM(U1456:AA1456)</f>
        <v>161.48132</v>
      </c>
      <c r="AC1456" s="39" t="n">
        <f aca="false">AB1456/(1-Resumo!$B$5)</f>
        <v>183.5015</v>
      </c>
      <c r="AD1456" s="39" t="n">
        <f aca="false">(AB1456-AA1456)/(1-Resumo!$B$5)</f>
        <v>156.399227272727</v>
      </c>
      <c r="AE1456" s="39" t="n">
        <f aca="false">AC1456-T1456</f>
        <v>40.7626854545455</v>
      </c>
      <c r="AF1456" s="40" t="n">
        <f aca="false">AC1456/T1456-1</f>
        <v>0.285575339716477</v>
      </c>
      <c r="AG1456" s="37" t="str">
        <f aca="false">IF(AC1456&lt;T1456,"SIM","NÃO")</f>
        <v>NÃO</v>
      </c>
      <c r="AH1456" s="37" t="n">
        <v>13</v>
      </c>
      <c r="AI1456" s="37" t="n">
        <v>6</v>
      </c>
      <c r="AJ1456" s="37" t="s">
        <v>323</v>
      </c>
    </row>
    <row r="1457" customFormat="false" ht="15" hidden="false" customHeight="false" outlineLevel="0" collapsed="false">
      <c r="A1457" s="37" t="n">
        <v>385361210</v>
      </c>
      <c r="B1457" s="38" t="n">
        <v>46263.85625</v>
      </c>
      <c r="C1457" s="37" t="s">
        <v>320</v>
      </c>
      <c r="D1457" s="37" t="s">
        <v>1667</v>
      </c>
      <c r="E1457" s="37" t="n">
        <v>25680000</v>
      </c>
      <c r="F1457" s="37" t="s">
        <v>150</v>
      </c>
      <c r="G1457" s="37" t="s">
        <v>201</v>
      </c>
      <c r="H1457" s="37" t="s">
        <v>170</v>
      </c>
      <c r="I1457" s="37" t="n">
        <v>46.8</v>
      </c>
      <c r="J1457" s="39" t="n">
        <v>599.99</v>
      </c>
      <c r="K1457" s="37" t="s">
        <v>322</v>
      </c>
      <c r="L1457" s="39" t="n">
        <v>131.03</v>
      </c>
      <c r="M1457" s="39" t="n">
        <v>94</v>
      </c>
      <c r="N1457" s="39" t="n">
        <f aca="false">J1457*Resumo!$C$7</f>
        <v>1.19998</v>
      </c>
      <c r="O1457" s="39" t="n">
        <f aca="false">J1457*Resumo!$C$8</f>
        <v>1.19998</v>
      </c>
      <c r="P1457" s="39" t="n">
        <f aca="false">Resumo!$C$10*CEILING(I1457/100,1)</f>
        <v>1</v>
      </c>
      <c r="Q1457" s="39" t="n">
        <f aca="false">Resumo!$C$9</f>
        <v>11.9</v>
      </c>
      <c r="R1457" s="39" t="n">
        <f aca="false">SUM(M1457:Q1457)*Resumo!$C$11</f>
        <v>6.0114978</v>
      </c>
      <c r="S1457" s="39" t="n">
        <f aca="false">SUM(M1457:R1457)</f>
        <v>115.3114578</v>
      </c>
      <c r="T1457" s="39" t="n">
        <f aca="false">S1457/(1-Resumo!$C$5)</f>
        <v>131.0357475</v>
      </c>
      <c r="U1457" s="39" t="n">
        <v>124.38</v>
      </c>
      <c r="V1457" s="39" t="n">
        <f aca="false">J1457*Resumo!$B$6</f>
        <v>0.59999</v>
      </c>
      <c r="W1457" s="39" t="n">
        <f aca="false">J1457*Resumo!$B$7</f>
        <v>1.19998</v>
      </c>
      <c r="X1457" s="39" t="n">
        <f aca="false">Resumo!$B$9</f>
        <v>1</v>
      </c>
      <c r="Y1457" s="39" t="n">
        <f aca="false">Resumo!$B$10*CEILING(I1457/100,1)</f>
        <v>4.5</v>
      </c>
      <c r="Z1457" s="39" t="n">
        <f aca="false">Resumo!$B$12*CEILING(I1457,1)</f>
        <v>2.82</v>
      </c>
      <c r="AA1457" s="39" t="n">
        <f aca="false">Resumo!$B$13*CEILING(I1457,1)</f>
        <v>21.15</v>
      </c>
      <c r="AB1457" s="39" t="n">
        <f aca="false">SUM(U1457:AA1457)</f>
        <v>155.64997</v>
      </c>
      <c r="AC1457" s="39" t="n">
        <f aca="false">AB1457/(1-Resumo!$B$5)</f>
        <v>176.874965909091</v>
      </c>
      <c r="AD1457" s="39" t="n">
        <f aca="false">(AB1457-AA1457)/(1-Resumo!$B$5)</f>
        <v>152.840875</v>
      </c>
      <c r="AE1457" s="39" t="n">
        <f aca="false">AC1457-T1457</f>
        <v>45.8392184090909</v>
      </c>
      <c r="AF1457" s="40" t="n">
        <f aca="false">AC1457/T1457-1</f>
        <v>0.349822237699609</v>
      </c>
      <c r="AG1457" s="37" t="str">
        <f aca="false">IF(AC1457&lt;T1457,"SIM","NÃO")</f>
        <v>NÃO</v>
      </c>
      <c r="AH1457" s="37" t="n">
        <v>13</v>
      </c>
      <c r="AI1457" s="37" t="n">
        <v>8</v>
      </c>
      <c r="AJ1457" s="37" t="s">
        <v>323</v>
      </c>
    </row>
    <row r="1458" customFormat="false" ht="15" hidden="false" customHeight="false" outlineLevel="0" collapsed="false">
      <c r="A1458" s="37" t="n">
        <v>385409515</v>
      </c>
      <c r="B1458" s="38" t="n">
        <v>46263.9572453704</v>
      </c>
      <c r="C1458" s="37" t="s">
        <v>320</v>
      </c>
      <c r="D1458" s="37" t="s">
        <v>619</v>
      </c>
      <c r="E1458" s="37" t="n">
        <v>24910750</v>
      </c>
      <c r="F1458" s="37" t="s">
        <v>151</v>
      </c>
      <c r="G1458" s="37" t="s">
        <v>201</v>
      </c>
      <c r="H1458" s="37" t="s">
        <v>169</v>
      </c>
      <c r="I1458" s="37" t="n">
        <v>36.8</v>
      </c>
      <c r="J1458" s="39" t="n">
        <v>469.99</v>
      </c>
      <c r="K1458" s="37" t="s">
        <v>322</v>
      </c>
      <c r="L1458" s="39" t="n">
        <v>122.5</v>
      </c>
      <c r="M1458" s="39" t="n">
        <v>87.4</v>
      </c>
      <c r="N1458" s="39" t="n">
        <f aca="false">J1458*Resumo!$C$7</f>
        <v>0.93998</v>
      </c>
      <c r="O1458" s="39" t="n">
        <f aca="false">J1458*Resumo!$C$8</f>
        <v>0.93998</v>
      </c>
      <c r="P1458" s="39" t="n">
        <f aca="false">Resumo!$C$10*CEILING(I1458/100,1)</f>
        <v>1</v>
      </c>
      <c r="Q1458" s="39" t="n">
        <f aca="false">Resumo!$C$9</f>
        <v>11.9</v>
      </c>
      <c r="R1458" s="39" t="n">
        <f aca="false">SUM(M1458:Q1458)*Resumo!$C$11</f>
        <v>5.6198978</v>
      </c>
      <c r="S1458" s="39" t="n">
        <f aca="false">SUM(M1458:R1458)</f>
        <v>107.7998578</v>
      </c>
      <c r="T1458" s="39" t="n">
        <f aca="false">S1458/(1-Resumo!$C$5)</f>
        <v>122.499838409091</v>
      </c>
      <c r="U1458" s="39" t="n">
        <v>114.95</v>
      </c>
      <c r="V1458" s="39" t="n">
        <f aca="false">J1458*Resumo!$B$6</f>
        <v>0.46999</v>
      </c>
      <c r="W1458" s="39" t="n">
        <f aca="false">J1458*Resumo!$B$7</f>
        <v>0.93998</v>
      </c>
      <c r="X1458" s="39" t="n">
        <f aca="false">Resumo!$B$9</f>
        <v>1</v>
      </c>
      <c r="Y1458" s="39" t="n">
        <f aca="false">Resumo!$B$10*CEILING(I1458/100,1)</f>
        <v>4.5</v>
      </c>
      <c r="Z1458" s="39" t="n">
        <f aca="false">Resumo!$B$12*CEILING(I1458,1)</f>
        <v>2.22</v>
      </c>
      <c r="AA1458" s="39" t="n">
        <f aca="false">Resumo!$B$13*CEILING(I1458,1)</f>
        <v>16.65</v>
      </c>
      <c r="AB1458" s="39" t="n">
        <f aca="false">SUM(U1458:AA1458)</f>
        <v>140.72997</v>
      </c>
      <c r="AC1458" s="39" t="n">
        <f aca="false">AB1458/(1-Resumo!$B$5)</f>
        <v>159.920420454545</v>
      </c>
      <c r="AD1458" s="39" t="n">
        <f aca="false">(AB1458-AA1458)/(1-Resumo!$B$5)</f>
        <v>140.999965909091</v>
      </c>
      <c r="AE1458" s="39" t="n">
        <f aca="false">AC1458-T1458</f>
        <v>37.4205820454545</v>
      </c>
      <c r="AF1458" s="40" t="n">
        <f aca="false">AC1458/T1458-1</f>
        <v>0.305474542100926</v>
      </c>
      <c r="AG1458" s="37" t="str">
        <f aca="false">IF(AC1458&lt;T1458,"SIM","NÃO")</f>
        <v>NÃO</v>
      </c>
      <c r="AH1458" s="37" t="n">
        <v>13</v>
      </c>
      <c r="AI1458" s="37" t="n">
        <v>7</v>
      </c>
      <c r="AJ1458" s="37" t="s">
        <v>323</v>
      </c>
    </row>
    <row r="1459" customFormat="false" ht="15" hidden="false" customHeight="false" outlineLevel="0" collapsed="false">
      <c r="A1459" s="37" t="n">
        <v>385433694</v>
      </c>
      <c r="B1459" s="38" t="n">
        <v>46264.0006134259</v>
      </c>
      <c r="C1459" s="37" t="s">
        <v>320</v>
      </c>
      <c r="D1459" s="37" t="s">
        <v>1668</v>
      </c>
      <c r="E1459" s="37" t="n">
        <v>28623060</v>
      </c>
      <c r="F1459" s="37" t="s">
        <v>157</v>
      </c>
      <c r="G1459" s="37" t="s">
        <v>201</v>
      </c>
      <c r="H1459" s="37" t="s">
        <v>169</v>
      </c>
      <c r="I1459" s="37" t="n">
        <v>37.59</v>
      </c>
      <c r="J1459" s="39" t="n">
        <v>479.99</v>
      </c>
      <c r="K1459" s="37" t="s">
        <v>322</v>
      </c>
      <c r="L1459" s="39" t="n">
        <v>122.55</v>
      </c>
      <c r="M1459" s="39" t="n">
        <v>87.4</v>
      </c>
      <c r="N1459" s="39" t="n">
        <f aca="false">J1459*Resumo!$C$7</f>
        <v>0.95998</v>
      </c>
      <c r="O1459" s="39" t="n">
        <f aca="false">J1459*Resumo!$C$8</f>
        <v>0.95998</v>
      </c>
      <c r="P1459" s="39" t="n">
        <f aca="false">Resumo!$C$10*CEILING(I1459/100,1)</f>
        <v>1</v>
      </c>
      <c r="Q1459" s="39" t="n">
        <f aca="false">Resumo!$C$9</f>
        <v>11.9</v>
      </c>
      <c r="R1459" s="39" t="n">
        <f aca="false">SUM(M1459:Q1459)*Resumo!$C$11</f>
        <v>5.6220978</v>
      </c>
      <c r="S1459" s="39" t="n">
        <f aca="false">SUM(M1459:R1459)</f>
        <v>107.8420578</v>
      </c>
      <c r="T1459" s="39" t="n">
        <f aca="false">S1459/(1-Resumo!$C$5)</f>
        <v>122.547792954545</v>
      </c>
      <c r="U1459" s="39" t="n">
        <v>125.63</v>
      </c>
      <c r="V1459" s="39" t="n">
        <f aca="false">J1459*Resumo!$B$6</f>
        <v>0.47999</v>
      </c>
      <c r="W1459" s="39" t="n">
        <f aca="false">J1459*Resumo!$B$7</f>
        <v>0.95998</v>
      </c>
      <c r="X1459" s="39" t="n">
        <f aca="false">Resumo!$B$9</f>
        <v>1</v>
      </c>
      <c r="Y1459" s="39" t="n">
        <f aca="false">Resumo!$B$10*CEILING(I1459/100,1)</f>
        <v>4.5</v>
      </c>
      <c r="Z1459" s="39" t="n">
        <f aca="false">Resumo!$B$12*CEILING(I1459,1)</f>
        <v>2.28</v>
      </c>
      <c r="AA1459" s="39" t="n">
        <f aca="false">Resumo!$B$13*CEILING(I1459,1)</f>
        <v>17.1</v>
      </c>
      <c r="AB1459" s="39" t="n">
        <f aca="false">SUM(U1459:AA1459)</f>
        <v>151.94997</v>
      </c>
      <c r="AC1459" s="39" t="n">
        <f aca="false">AB1459/(1-Resumo!$B$5)</f>
        <v>172.670420454545</v>
      </c>
      <c r="AD1459" s="39" t="n">
        <f aca="false">(AB1459-AA1459)/(1-Resumo!$B$5)</f>
        <v>153.238602272727</v>
      </c>
      <c r="AE1459" s="39" t="n">
        <f aca="false">AC1459-T1459</f>
        <v>50.1226275</v>
      </c>
      <c r="AF1459" s="40" t="n">
        <f aca="false">AC1459/T1459-1</f>
        <v>0.40900473432917</v>
      </c>
      <c r="AG1459" s="37" t="str">
        <f aca="false">IF(AC1459&lt;T1459,"SIM","NÃO")</f>
        <v>NÃO</v>
      </c>
      <c r="AH1459" s="37" t="n">
        <v>13</v>
      </c>
      <c r="AI1459" s="37" t="n">
        <v>10</v>
      </c>
      <c r="AJ1459" s="37" t="s">
        <v>323</v>
      </c>
    </row>
    <row r="1460" customFormat="false" ht="15" hidden="false" customHeight="false" outlineLevel="0" collapsed="false">
      <c r="A1460" s="37" t="n">
        <v>385490918</v>
      </c>
      <c r="B1460" s="38" t="n">
        <v>46264.0778935185</v>
      </c>
      <c r="C1460" s="37" t="s">
        <v>320</v>
      </c>
      <c r="D1460" s="37" t="s">
        <v>1669</v>
      </c>
      <c r="E1460" s="37" t="n">
        <v>28690430</v>
      </c>
      <c r="F1460" s="37" t="s">
        <v>269</v>
      </c>
      <c r="G1460" s="37" t="s">
        <v>201</v>
      </c>
      <c r="H1460" s="37" t="s">
        <v>168</v>
      </c>
      <c r="I1460" s="37" t="n">
        <v>30.94</v>
      </c>
      <c r="J1460" s="39" t="n">
        <v>419.99</v>
      </c>
      <c r="K1460" s="37" t="s">
        <v>322</v>
      </c>
      <c r="L1460" s="39" t="n">
        <v>109.19</v>
      </c>
      <c r="M1460" s="39" t="n">
        <v>76.5</v>
      </c>
      <c r="N1460" s="39" t="n">
        <f aca="false">J1460*Resumo!$C$7</f>
        <v>0.83998</v>
      </c>
      <c r="O1460" s="39" t="n">
        <f aca="false">J1460*Resumo!$C$8</f>
        <v>0.83998</v>
      </c>
      <c r="P1460" s="39" t="n">
        <f aca="false">Resumo!$C$10*CEILING(I1460/100,1)</f>
        <v>1</v>
      </c>
      <c r="Q1460" s="39" t="n">
        <f aca="false">Resumo!$C$9</f>
        <v>11.9</v>
      </c>
      <c r="R1460" s="39" t="n">
        <f aca="false">SUM(M1460:Q1460)*Resumo!$C$11</f>
        <v>5.0093978</v>
      </c>
      <c r="S1460" s="39" t="n">
        <f aca="false">SUM(M1460:R1460)</f>
        <v>96.0893578</v>
      </c>
      <c r="T1460" s="39" t="n">
        <f aca="false">S1460/(1-Resumo!$C$5)</f>
        <v>109.192452045455</v>
      </c>
      <c r="U1460" s="39" t="n">
        <v>120.78</v>
      </c>
      <c r="V1460" s="39" t="n">
        <f aca="false">J1460*Resumo!$B$6</f>
        <v>0.41999</v>
      </c>
      <c r="W1460" s="39" t="n">
        <f aca="false">J1460*Resumo!$B$7</f>
        <v>0.83998</v>
      </c>
      <c r="X1460" s="39" t="n">
        <f aca="false">Resumo!$B$9</f>
        <v>1</v>
      </c>
      <c r="Y1460" s="39" t="n">
        <f aca="false">Resumo!$B$10*CEILING(I1460/100,1)</f>
        <v>4.5</v>
      </c>
      <c r="Z1460" s="39" t="n">
        <f aca="false">Resumo!$B$12*CEILING(I1460,1)</f>
        <v>1.86</v>
      </c>
      <c r="AA1460" s="39" t="n">
        <f aca="false">Resumo!$B$13*CEILING(I1460,1)</f>
        <v>13.95</v>
      </c>
      <c r="AB1460" s="39" t="n">
        <f aca="false">SUM(U1460:AA1460)</f>
        <v>143.34997</v>
      </c>
      <c r="AC1460" s="39" t="n">
        <f aca="false">AB1460/(1-Resumo!$B$5)</f>
        <v>162.897693181818</v>
      </c>
      <c r="AD1460" s="39" t="n">
        <f aca="false">(AB1460-AA1460)/(1-Resumo!$B$5)</f>
        <v>147.045420454545</v>
      </c>
      <c r="AE1460" s="39" t="n">
        <f aca="false">AC1460-T1460</f>
        <v>53.7052411363636</v>
      </c>
      <c r="AF1460" s="40" t="n">
        <f aca="false">AC1460/T1460-1</f>
        <v>0.491840233737102</v>
      </c>
      <c r="AG1460" s="37" t="str">
        <f aca="false">IF(AC1460&lt;T1460,"SIM","NÃO")</f>
        <v>NÃO</v>
      </c>
      <c r="AH1460" s="37" t="n">
        <v>13</v>
      </c>
      <c r="AI1460" s="37" t="n">
        <v>10</v>
      </c>
      <c r="AJ1460" s="37" t="s">
        <v>327</v>
      </c>
    </row>
    <row r="1461" customFormat="false" ht="15" hidden="false" customHeight="false" outlineLevel="0" collapsed="false">
      <c r="A1461" s="37" t="n">
        <v>385863558</v>
      </c>
      <c r="B1461" s="38" t="n">
        <v>46264.4151157407</v>
      </c>
      <c r="C1461" s="37" t="s">
        <v>320</v>
      </c>
      <c r="D1461" s="37" t="s">
        <v>1670</v>
      </c>
      <c r="E1461" s="37" t="n">
        <v>24724565</v>
      </c>
      <c r="F1461" s="37" t="s">
        <v>140</v>
      </c>
      <c r="G1461" s="37" t="s">
        <v>207</v>
      </c>
      <c r="H1461" s="37" t="s">
        <v>170</v>
      </c>
      <c r="I1461" s="37" t="n">
        <v>46.8</v>
      </c>
      <c r="J1461" s="39" t="n">
        <v>599.99</v>
      </c>
      <c r="K1461" s="37" t="s">
        <v>322</v>
      </c>
      <c r="L1461" s="39" t="n">
        <v>116.95</v>
      </c>
      <c r="M1461" s="39" t="n">
        <v>82.25</v>
      </c>
      <c r="N1461" s="39" t="n">
        <f aca="false">J1461*Resumo!$C$7</f>
        <v>1.19998</v>
      </c>
      <c r="O1461" s="39" t="n">
        <f aca="false">J1461*Resumo!$C$8</f>
        <v>1.19998</v>
      </c>
      <c r="P1461" s="39" t="n">
        <f aca="false">Resumo!$C$10*CEILING(I1461/100,1)</f>
        <v>1</v>
      </c>
      <c r="Q1461" s="39" t="n">
        <f aca="false">Resumo!$C$9</f>
        <v>11.9</v>
      </c>
      <c r="R1461" s="39" t="n">
        <f aca="false">SUM(M1461:Q1461)*Resumo!$C$11</f>
        <v>5.3652478</v>
      </c>
      <c r="S1461" s="39" t="n">
        <f aca="false">SUM(M1461:R1461)</f>
        <v>102.9152078</v>
      </c>
      <c r="T1461" s="39" t="n">
        <f aca="false">S1461/(1-Resumo!$C$5)</f>
        <v>116.949099772727</v>
      </c>
      <c r="U1461" s="39" t="n">
        <v>114.95</v>
      </c>
      <c r="V1461" s="39" t="n">
        <f aca="false">J1461*Resumo!$B$6</f>
        <v>0.59999</v>
      </c>
      <c r="W1461" s="39" t="n">
        <f aca="false">J1461*Resumo!$B$7</f>
        <v>1.19998</v>
      </c>
      <c r="X1461" s="39" t="n">
        <f aca="false">Resumo!$B$9</f>
        <v>1</v>
      </c>
      <c r="Y1461" s="39" t="n">
        <f aca="false">Resumo!$B$10*CEILING(I1461/100,1)</f>
        <v>4.5</v>
      </c>
      <c r="Z1461" s="39" t="n">
        <f aca="false">Resumo!$B$12*CEILING(I1461,1)</f>
        <v>2.82</v>
      </c>
      <c r="AA1461" s="39" t="n">
        <f aca="false">Resumo!$B$13*CEILING(I1461,1)</f>
        <v>21.15</v>
      </c>
      <c r="AB1461" s="39" t="n">
        <f aca="false">SUM(U1461:AA1461)</f>
        <v>146.21997</v>
      </c>
      <c r="AC1461" s="39" t="n">
        <f aca="false">AB1461/(1-Resumo!$B$5)</f>
        <v>166.159056818182</v>
      </c>
      <c r="AD1461" s="39" t="n">
        <f aca="false">(AB1461-AA1461)/(1-Resumo!$B$5)</f>
        <v>142.124965909091</v>
      </c>
      <c r="AE1461" s="39" t="n">
        <f aca="false">AC1461-T1461</f>
        <v>49.2099570454545</v>
      </c>
      <c r="AF1461" s="40" t="n">
        <f aca="false">AC1461/T1461-1</f>
        <v>0.420780981992051</v>
      </c>
      <c r="AG1461" s="37" t="str">
        <f aca="false">IF(AC1461&lt;T1461,"SIM","NÃO")</f>
        <v>NÃO</v>
      </c>
      <c r="AH1461" s="37" t="n">
        <v>10</v>
      </c>
      <c r="AI1461" s="37" t="n">
        <v>7</v>
      </c>
      <c r="AJ1461" s="37" t="s">
        <v>323</v>
      </c>
    </row>
    <row r="1462" customFormat="false" ht="15" hidden="false" customHeight="false" outlineLevel="0" collapsed="false">
      <c r="A1462" s="37" t="n">
        <v>385910859</v>
      </c>
      <c r="B1462" s="38" t="n">
        <v>46264.497962963</v>
      </c>
      <c r="C1462" s="37" t="s">
        <v>320</v>
      </c>
      <c r="D1462" s="37" t="s">
        <v>1671</v>
      </c>
      <c r="E1462" s="37" t="n">
        <v>27960186</v>
      </c>
      <c r="F1462" s="37" t="s">
        <v>146</v>
      </c>
      <c r="G1462" s="37" t="s">
        <v>201</v>
      </c>
      <c r="H1462" s="37" t="s">
        <v>168</v>
      </c>
      <c r="I1462" s="37" t="n">
        <v>33</v>
      </c>
      <c r="J1462" s="39" t="n">
        <v>429.99</v>
      </c>
      <c r="K1462" s="37" t="s">
        <v>322</v>
      </c>
      <c r="L1462" s="39" t="n">
        <v>109.24</v>
      </c>
      <c r="M1462" s="39" t="n">
        <v>76.5</v>
      </c>
      <c r="N1462" s="39" t="n">
        <f aca="false">J1462*Resumo!$C$7</f>
        <v>0.85998</v>
      </c>
      <c r="O1462" s="39" t="n">
        <f aca="false">J1462*Resumo!$C$8</f>
        <v>0.85998</v>
      </c>
      <c r="P1462" s="39" t="n">
        <f aca="false">Resumo!$C$10*CEILING(I1462/100,1)</f>
        <v>1</v>
      </c>
      <c r="Q1462" s="39" t="n">
        <f aca="false">Resumo!$C$9</f>
        <v>11.9</v>
      </c>
      <c r="R1462" s="39" t="n">
        <f aca="false">SUM(M1462:Q1462)*Resumo!$C$11</f>
        <v>5.0115978</v>
      </c>
      <c r="S1462" s="39" t="n">
        <f aca="false">SUM(M1462:R1462)</f>
        <v>96.1315578</v>
      </c>
      <c r="T1462" s="39" t="n">
        <f aca="false">S1462/(1-Resumo!$C$5)</f>
        <v>109.240406590909</v>
      </c>
      <c r="U1462" s="39" t="n">
        <v>138.29</v>
      </c>
      <c r="V1462" s="39" t="n">
        <f aca="false">J1462*Resumo!$B$6</f>
        <v>0.42999</v>
      </c>
      <c r="W1462" s="39" t="n">
        <f aca="false">J1462*Resumo!$B$7</f>
        <v>0.85998</v>
      </c>
      <c r="X1462" s="39" t="n">
        <f aca="false">Resumo!$B$9</f>
        <v>1</v>
      </c>
      <c r="Y1462" s="39" t="n">
        <f aca="false">Resumo!$B$10*CEILING(I1462/100,1)</f>
        <v>4.5</v>
      </c>
      <c r="Z1462" s="39" t="n">
        <f aca="false">Resumo!$B$12*CEILING(I1462,1)</f>
        <v>1.98</v>
      </c>
      <c r="AA1462" s="39" t="n">
        <f aca="false">Resumo!$B$13*CEILING(I1462,1)</f>
        <v>14.85</v>
      </c>
      <c r="AB1462" s="39" t="n">
        <f aca="false">SUM(U1462:AA1462)</f>
        <v>161.90997</v>
      </c>
      <c r="AC1462" s="39" t="n">
        <f aca="false">AB1462/(1-Resumo!$B$5)</f>
        <v>183.988602272727</v>
      </c>
      <c r="AD1462" s="39" t="n">
        <f aca="false">(AB1462-AA1462)/(1-Resumo!$B$5)</f>
        <v>167.113602272727</v>
      </c>
      <c r="AE1462" s="39" t="n">
        <f aca="false">AC1462-T1462</f>
        <v>74.7481956818182</v>
      </c>
      <c r="AF1462" s="40" t="n">
        <f aca="false">AC1462/T1462-1</f>
        <v>0.684254096213137</v>
      </c>
      <c r="AG1462" s="37" t="str">
        <f aca="false">IF(AC1462&lt;T1462,"SIM","NÃO")</f>
        <v>NÃO</v>
      </c>
      <c r="AH1462" s="37" t="n">
        <v>13</v>
      </c>
      <c r="AI1462" s="37" t="n">
        <v>11</v>
      </c>
      <c r="AJ1462" s="37" t="s">
        <v>323</v>
      </c>
    </row>
    <row r="1463" customFormat="false" ht="15" hidden="false" customHeight="false" outlineLevel="0" collapsed="false">
      <c r="A1463" s="37" t="n">
        <v>385954379</v>
      </c>
      <c r="B1463" s="38" t="n">
        <v>46264.5630787037</v>
      </c>
      <c r="C1463" s="37" t="s">
        <v>320</v>
      </c>
      <c r="D1463" s="37" t="s">
        <v>1672</v>
      </c>
      <c r="E1463" s="37" t="n">
        <v>26271360</v>
      </c>
      <c r="F1463" s="37" t="s">
        <v>142</v>
      </c>
      <c r="G1463" s="37" t="s">
        <v>207</v>
      </c>
      <c r="H1463" s="37" t="s">
        <v>169</v>
      </c>
      <c r="I1463" s="37" t="n">
        <v>37.2</v>
      </c>
      <c r="J1463" s="39" t="n">
        <v>366.5</v>
      </c>
      <c r="K1463" s="37" t="s">
        <v>322</v>
      </c>
      <c r="L1463" s="39" t="n">
        <v>112.7</v>
      </c>
      <c r="M1463" s="39" t="n">
        <v>79.65</v>
      </c>
      <c r="N1463" s="39" t="n">
        <f aca="false">J1463*Resumo!$C$7</f>
        <v>0.733</v>
      </c>
      <c r="O1463" s="39" t="n">
        <f aca="false">J1463*Resumo!$C$8</f>
        <v>0.733</v>
      </c>
      <c r="P1463" s="39" t="n">
        <f aca="false">Resumo!$C$10*CEILING(I1463/100,1)</f>
        <v>1</v>
      </c>
      <c r="Q1463" s="39" t="n">
        <f aca="false">Resumo!$C$9</f>
        <v>11.9</v>
      </c>
      <c r="R1463" s="39" t="n">
        <f aca="false">SUM(M1463:Q1463)*Resumo!$C$11</f>
        <v>5.17088</v>
      </c>
      <c r="S1463" s="39" t="n">
        <f aca="false">SUM(M1463:R1463)</f>
        <v>99.18688</v>
      </c>
      <c r="T1463" s="39" t="n">
        <f aca="false">S1463/(1-Resumo!$C$5)</f>
        <v>112.712363636364</v>
      </c>
      <c r="U1463" s="39" t="n">
        <v>93.97</v>
      </c>
      <c r="V1463" s="39" t="n">
        <f aca="false">J1463*Resumo!$B$6</f>
        <v>0.3665</v>
      </c>
      <c r="W1463" s="39" t="n">
        <f aca="false">J1463*Resumo!$B$7</f>
        <v>0.733</v>
      </c>
      <c r="X1463" s="39" t="n">
        <f aca="false">Resumo!$B$9</f>
        <v>1</v>
      </c>
      <c r="Y1463" s="39" t="n">
        <f aca="false">Resumo!$B$10*CEILING(I1463/100,1)</f>
        <v>4.5</v>
      </c>
      <c r="Z1463" s="39" t="n">
        <f aca="false">Resumo!$B$12*CEILING(I1463,1)</f>
        <v>2.28</v>
      </c>
      <c r="AA1463" s="39" t="n">
        <f aca="false">Resumo!$B$13*CEILING(I1463,1)</f>
        <v>17.1</v>
      </c>
      <c r="AB1463" s="39" t="n">
        <f aca="false">SUM(U1463:AA1463)</f>
        <v>119.9495</v>
      </c>
      <c r="AC1463" s="39" t="n">
        <f aca="false">AB1463/(1-Resumo!$B$5)</f>
        <v>136.30625</v>
      </c>
      <c r="AD1463" s="39" t="n">
        <f aca="false">(AB1463-AA1463)/(1-Resumo!$B$5)</f>
        <v>116.874431818182</v>
      </c>
      <c r="AE1463" s="39" t="n">
        <f aca="false">AC1463-T1463</f>
        <v>23.5938863636364</v>
      </c>
      <c r="AF1463" s="40" t="n">
        <f aca="false">AC1463/T1463-1</f>
        <v>0.209328290193219</v>
      </c>
      <c r="AG1463" s="37" t="str">
        <f aca="false">IF(AC1463&lt;T1463,"SIM","NÃO")</f>
        <v>NÃO</v>
      </c>
      <c r="AH1463" s="37" t="n">
        <v>10</v>
      </c>
      <c r="AI1463" s="37" t="n">
        <v>5</v>
      </c>
      <c r="AJ1463" s="37" t="s">
        <v>323</v>
      </c>
    </row>
    <row r="1464" customFormat="false" ht="15" hidden="false" customHeight="false" outlineLevel="0" collapsed="false">
      <c r="A1464" s="37" t="n">
        <v>386046900</v>
      </c>
      <c r="B1464" s="38" t="n">
        <v>46264.5783912037</v>
      </c>
      <c r="C1464" s="37" t="s">
        <v>325</v>
      </c>
      <c r="D1464" s="37" t="s">
        <v>1673</v>
      </c>
      <c r="E1464" s="37" t="n">
        <v>23058001</v>
      </c>
      <c r="F1464" s="37" t="s">
        <v>139</v>
      </c>
      <c r="G1464" s="37" t="s">
        <v>198</v>
      </c>
      <c r="H1464" s="37" t="s">
        <v>175</v>
      </c>
      <c r="I1464" s="37" t="n">
        <v>117.5</v>
      </c>
      <c r="J1464" s="39" t="n">
        <v>1252.9</v>
      </c>
      <c r="K1464" s="37" t="s">
        <v>322</v>
      </c>
      <c r="L1464" s="39" t="n">
        <v>185.66</v>
      </c>
      <c r="M1464" s="39" t="n">
        <v>135.94</v>
      </c>
      <c r="N1464" s="39" t="n">
        <f aca="false">J1464*Resumo!$C$7</f>
        <v>2.5058</v>
      </c>
      <c r="O1464" s="39" t="n">
        <f aca="false">J1464*Resumo!$C$8</f>
        <v>2.5058</v>
      </c>
      <c r="P1464" s="39" t="n">
        <f aca="false">Resumo!$C$10*CEILING(I1464/100,1)</f>
        <v>2</v>
      </c>
      <c r="Q1464" s="39" t="n">
        <f aca="false">Resumo!$C$9</f>
        <v>11.9</v>
      </c>
      <c r="R1464" s="39" t="n">
        <f aca="false">SUM(M1464:Q1464)*Resumo!$C$11</f>
        <v>8.516838</v>
      </c>
      <c r="S1464" s="39" t="n">
        <f aca="false">SUM(M1464:R1464)</f>
        <v>163.368438</v>
      </c>
      <c r="T1464" s="39" t="n">
        <f aca="false">S1464/(1-Resumo!$C$5)</f>
        <v>185.645952272727</v>
      </c>
      <c r="U1464" s="39" t="n">
        <v>201.59</v>
      </c>
      <c r="V1464" s="39" t="n">
        <f aca="false">J1464*Resumo!$B$6</f>
        <v>1.2529</v>
      </c>
      <c r="W1464" s="39" t="n">
        <f aca="false">J1464*Resumo!$B$7</f>
        <v>2.5058</v>
      </c>
      <c r="X1464" s="39" t="n">
        <f aca="false">Resumo!$B$9</f>
        <v>1</v>
      </c>
      <c r="Y1464" s="39" t="n">
        <f aca="false">Resumo!$B$10*CEILING(I1464/100,1)</f>
        <v>9</v>
      </c>
      <c r="Z1464" s="39" t="n">
        <f aca="false">Resumo!$B$12*CEILING(I1464,1)</f>
        <v>7.08</v>
      </c>
      <c r="AA1464" s="39" t="n">
        <f aca="false">Resumo!$B$13*CEILING(I1464,1)</f>
        <v>53.1</v>
      </c>
      <c r="AB1464" s="39" t="n">
        <f aca="false">SUM(U1464:AA1464)</f>
        <v>275.5287</v>
      </c>
      <c r="AC1464" s="39" t="n">
        <f aca="false">AB1464/(1-Resumo!$B$5)</f>
        <v>313.100795454545</v>
      </c>
      <c r="AD1464" s="39" t="n">
        <f aca="false">(AB1464-AA1464)/(1-Resumo!$B$5)</f>
        <v>252.759886363636</v>
      </c>
      <c r="AE1464" s="39" t="n">
        <f aca="false">AC1464-T1464</f>
        <v>127.454843181818</v>
      </c>
      <c r="AF1464" s="40" t="n">
        <f aca="false">AC1464/T1464-1</f>
        <v>0.686547924269191</v>
      </c>
      <c r="AG1464" s="37" t="str">
        <f aca="false">IF(AC1464&lt;T1464,"SIM","NÃO")</f>
        <v>NÃO</v>
      </c>
      <c r="AH1464" s="37" t="n">
        <v>8</v>
      </c>
      <c r="AI1464" s="37" t="n">
        <v>5</v>
      </c>
      <c r="AJ1464" s="37" t="s">
        <v>323</v>
      </c>
    </row>
    <row r="1465" customFormat="false" ht="15" hidden="false" customHeight="false" outlineLevel="0" collapsed="false">
      <c r="A1465" s="37" t="n">
        <v>386053353</v>
      </c>
      <c r="B1465" s="38" t="n">
        <v>46264.5876041667</v>
      </c>
      <c r="C1465" s="37" t="s">
        <v>325</v>
      </c>
      <c r="D1465" s="37" t="s">
        <v>1288</v>
      </c>
      <c r="E1465" s="37" t="n">
        <v>21745350</v>
      </c>
      <c r="F1465" s="37" t="s">
        <v>139</v>
      </c>
      <c r="G1465" s="37" t="s">
        <v>198</v>
      </c>
      <c r="H1465" s="37" t="s">
        <v>169</v>
      </c>
      <c r="I1465" s="37" t="n">
        <v>36.8</v>
      </c>
      <c r="J1465" s="39" t="n">
        <v>431.64</v>
      </c>
      <c r="K1465" s="37" t="s">
        <v>322</v>
      </c>
      <c r="L1465" s="39" t="n">
        <v>91.92</v>
      </c>
      <c r="M1465" s="39" t="n">
        <v>62.05</v>
      </c>
      <c r="N1465" s="39" t="n">
        <f aca="false">J1465*Resumo!$C$7</f>
        <v>0.86328</v>
      </c>
      <c r="O1465" s="39" t="n">
        <f aca="false">J1465*Resumo!$C$8</f>
        <v>0.86328</v>
      </c>
      <c r="P1465" s="39" t="n">
        <f aca="false">Resumo!$C$10*CEILING(I1465/100,1)</f>
        <v>1</v>
      </c>
      <c r="Q1465" s="39" t="n">
        <f aca="false">Resumo!$C$9</f>
        <v>11.9</v>
      </c>
      <c r="R1465" s="39" t="n">
        <f aca="false">SUM(M1465:Q1465)*Resumo!$C$11</f>
        <v>4.2172108</v>
      </c>
      <c r="S1465" s="39" t="n">
        <f aca="false">SUM(M1465:R1465)</f>
        <v>80.8937708</v>
      </c>
      <c r="T1465" s="39" t="n">
        <f aca="false">S1465/(1-Resumo!$C$5)</f>
        <v>91.9247395454545</v>
      </c>
      <c r="U1465" s="39" t="n">
        <v>93.97</v>
      </c>
      <c r="V1465" s="39" t="n">
        <f aca="false">J1465*Resumo!$B$6</f>
        <v>0.43164</v>
      </c>
      <c r="W1465" s="39" t="n">
        <f aca="false">J1465*Resumo!$B$7</f>
        <v>0.86328</v>
      </c>
      <c r="X1465" s="39" t="n">
        <f aca="false">Resumo!$B$9</f>
        <v>1</v>
      </c>
      <c r="Y1465" s="39" t="n">
        <f aca="false">Resumo!$B$10*CEILING(I1465/100,1)</f>
        <v>4.5</v>
      </c>
      <c r="Z1465" s="39" t="n">
        <f aca="false">Resumo!$B$12*CEILING(I1465,1)</f>
        <v>2.22</v>
      </c>
      <c r="AA1465" s="39" t="n">
        <f aca="false">Resumo!$B$13*CEILING(I1465,1)</f>
        <v>16.65</v>
      </c>
      <c r="AB1465" s="39" t="n">
        <f aca="false">SUM(U1465:AA1465)</f>
        <v>119.63492</v>
      </c>
      <c r="AC1465" s="39" t="n">
        <f aca="false">AB1465/(1-Resumo!$B$5)</f>
        <v>135.948772727273</v>
      </c>
      <c r="AD1465" s="39" t="n">
        <f aca="false">(AB1465-AA1465)/(1-Resumo!$B$5)</f>
        <v>117.028318181818</v>
      </c>
      <c r="AE1465" s="39" t="n">
        <f aca="false">AC1465-T1465</f>
        <v>44.0240331818182</v>
      </c>
      <c r="AF1465" s="40" t="n">
        <f aca="false">AC1465/T1465-1</f>
        <v>0.478913874540263</v>
      </c>
      <c r="AG1465" s="37" t="str">
        <f aca="false">IF(AC1465&lt;T1465,"SIM","NÃO")</f>
        <v>NÃO</v>
      </c>
      <c r="AH1465" s="37" t="n">
        <v>8</v>
      </c>
      <c r="AI1465" s="37" t="n">
        <v>5</v>
      </c>
      <c r="AJ1465" s="37" t="s">
        <v>323</v>
      </c>
    </row>
    <row r="1466" customFormat="false" ht="15" hidden="false" customHeight="false" outlineLevel="0" collapsed="false">
      <c r="A1466" s="37" t="n">
        <v>386006143</v>
      </c>
      <c r="B1466" s="38" t="n">
        <v>46264.6411689815</v>
      </c>
      <c r="C1466" s="37" t="s">
        <v>320</v>
      </c>
      <c r="D1466" s="37" t="s">
        <v>792</v>
      </c>
      <c r="E1466" s="37" t="n">
        <v>28637000</v>
      </c>
      <c r="F1466" s="37" t="s">
        <v>265</v>
      </c>
      <c r="G1466" s="37" t="s">
        <v>201</v>
      </c>
      <c r="H1466" s="37" t="s">
        <v>167</v>
      </c>
      <c r="I1466" s="37" t="n">
        <v>17</v>
      </c>
      <c r="J1466" s="39" t="n">
        <v>269.99</v>
      </c>
      <c r="K1466" s="37" t="s">
        <v>322</v>
      </c>
      <c r="L1466" s="39" t="n">
        <v>79.95</v>
      </c>
      <c r="M1466" s="39" t="n">
        <v>52.71</v>
      </c>
      <c r="N1466" s="39" t="n">
        <f aca="false">J1466*Resumo!$C$7</f>
        <v>0.53998</v>
      </c>
      <c r="O1466" s="39" t="n">
        <f aca="false">J1466*Resumo!$C$8</f>
        <v>0.53998</v>
      </c>
      <c r="P1466" s="39" t="n">
        <f aca="false">Resumo!$C$10*CEILING(I1466/100,1)</f>
        <v>1</v>
      </c>
      <c r="Q1466" s="39" t="n">
        <f aca="false">Resumo!$C$9</f>
        <v>11.9</v>
      </c>
      <c r="R1466" s="39" t="n">
        <f aca="false">SUM(M1466:Q1466)*Resumo!$C$11</f>
        <v>3.6679478</v>
      </c>
      <c r="S1466" s="39" t="n">
        <f aca="false">SUM(M1466:R1466)</f>
        <v>70.3579078</v>
      </c>
      <c r="T1466" s="39" t="n">
        <f aca="false">S1466/(1-Resumo!$C$5)</f>
        <v>79.9521679545454</v>
      </c>
      <c r="U1466" s="39" t="n">
        <v>106.53</v>
      </c>
      <c r="V1466" s="39" t="n">
        <f aca="false">J1466*Resumo!$B$6</f>
        <v>0.26999</v>
      </c>
      <c r="W1466" s="39" t="n">
        <f aca="false">J1466*Resumo!$B$7</f>
        <v>0.53998</v>
      </c>
      <c r="X1466" s="39" t="n">
        <f aca="false">Resumo!$B$9</f>
        <v>1</v>
      </c>
      <c r="Y1466" s="39" t="n">
        <f aca="false">Resumo!$B$10*CEILING(I1466/100,1)</f>
        <v>4.5</v>
      </c>
      <c r="Z1466" s="39" t="n">
        <f aca="false">Resumo!$B$12*CEILING(I1466,1)</f>
        <v>1.02</v>
      </c>
      <c r="AA1466" s="39" t="n">
        <f aca="false">Resumo!$B$13*CEILING(I1466,1)</f>
        <v>7.65</v>
      </c>
      <c r="AB1466" s="39" t="n">
        <f aca="false">SUM(U1466:AA1466)</f>
        <v>121.50997</v>
      </c>
      <c r="AC1466" s="39" t="n">
        <f aca="false">AB1466/(1-Resumo!$B$5)</f>
        <v>138.079511363636</v>
      </c>
      <c r="AD1466" s="39" t="n">
        <f aca="false">(AB1466-AA1466)/(1-Resumo!$B$5)</f>
        <v>129.386329545455</v>
      </c>
      <c r="AE1466" s="39" t="n">
        <f aca="false">AC1466-T1466</f>
        <v>58.1273434090909</v>
      </c>
      <c r="AF1466" s="40" t="n">
        <f aca="false">AC1466/T1466-1</f>
        <v>0.727026482160404</v>
      </c>
      <c r="AG1466" s="37" t="str">
        <f aca="false">IF(AC1466&lt;T1466,"SIM","NÃO")</f>
        <v>NÃO</v>
      </c>
      <c r="AH1466" s="37" t="n">
        <v>13</v>
      </c>
      <c r="AI1466" s="37" t="n">
        <v>10</v>
      </c>
      <c r="AJ1466" s="37" t="s">
        <v>327</v>
      </c>
    </row>
    <row r="1467" customFormat="false" ht="15" hidden="false" customHeight="false" outlineLevel="0" collapsed="false">
      <c r="A1467" s="37" t="n">
        <v>386101171</v>
      </c>
      <c r="B1467" s="38" t="n">
        <v>46264.6690625</v>
      </c>
      <c r="C1467" s="37" t="s">
        <v>325</v>
      </c>
      <c r="D1467" s="37" t="s">
        <v>1674</v>
      </c>
      <c r="E1467" s="37" t="n">
        <v>22710280</v>
      </c>
      <c r="F1467" s="37" t="s">
        <v>139</v>
      </c>
      <c r="G1467" s="37" t="s">
        <v>198</v>
      </c>
      <c r="H1467" s="37" t="s">
        <v>171</v>
      </c>
      <c r="I1467" s="37" t="n">
        <v>55</v>
      </c>
      <c r="J1467" s="39" t="n">
        <v>676</v>
      </c>
      <c r="K1467" s="37" t="s">
        <v>322</v>
      </c>
      <c r="L1467" s="39" t="n">
        <v>114.39</v>
      </c>
      <c r="M1467" s="39" t="n">
        <v>79.81</v>
      </c>
      <c r="N1467" s="39" t="n">
        <f aca="false">J1467*Resumo!$C$7</f>
        <v>1.352</v>
      </c>
      <c r="O1467" s="39" t="n">
        <f aca="false">J1467*Resumo!$C$8</f>
        <v>1.352</v>
      </c>
      <c r="P1467" s="39" t="n">
        <f aca="false">Resumo!$C$10*CEILING(I1467/100,1)</f>
        <v>1</v>
      </c>
      <c r="Q1467" s="39" t="n">
        <f aca="false">Resumo!$C$9</f>
        <v>11.9</v>
      </c>
      <c r="R1467" s="39" t="n">
        <f aca="false">SUM(M1467:Q1467)*Resumo!$C$11</f>
        <v>5.24777</v>
      </c>
      <c r="S1467" s="39" t="n">
        <f aca="false">SUM(M1467:R1467)</f>
        <v>100.66177</v>
      </c>
      <c r="T1467" s="39" t="n">
        <f aca="false">S1467/(1-Resumo!$C$5)</f>
        <v>114.388375</v>
      </c>
      <c r="U1467" s="39" t="n">
        <v>112.3</v>
      </c>
      <c r="V1467" s="39" t="n">
        <f aca="false">J1467*Resumo!$B$6</f>
        <v>0.676</v>
      </c>
      <c r="W1467" s="39" t="n">
        <f aca="false">J1467*Resumo!$B$7</f>
        <v>1.352</v>
      </c>
      <c r="X1467" s="39" t="n">
        <f aca="false">Resumo!$B$9</f>
        <v>1</v>
      </c>
      <c r="Y1467" s="39" t="n">
        <f aca="false">Resumo!$B$10*CEILING(I1467/100,1)</f>
        <v>4.5</v>
      </c>
      <c r="Z1467" s="39" t="n">
        <f aca="false">Resumo!$B$12*CEILING(I1467,1)</f>
        <v>3.3</v>
      </c>
      <c r="AA1467" s="39" t="n">
        <f aca="false">Resumo!$B$13*CEILING(I1467,1)</f>
        <v>24.75</v>
      </c>
      <c r="AB1467" s="39" t="n">
        <f aca="false">SUM(U1467:AA1467)</f>
        <v>147.878</v>
      </c>
      <c r="AC1467" s="39" t="n">
        <f aca="false">AB1467/(1-Resumo!$B$5)</f>
        <v>168.043181818182</v>
      </c>
      <c r="AD1467" s="39" t="n">
        <f aca="false">(AB1467-AA1467)/(1-Resumo!$B$5)</f>
        <v>139.918181818182</v>
      </c>
      <c r="AE1467" s="39" t="n">
        <f aca="false">AC1467-T1467</f>
        <v>53.6548068181818</v>
      </c>
      <c r="AF1467" s="40" t="n">
        <f aca="false">AC1467/T1467-1</f>
        <v>0.46905821346078</v>
      </c>
      <c r="AG1467" s="37" t="str">
        <f aca="false">IF(AC1467&lt;T1467,"SIM","NÃO")</f>
        <v>NÃO</v>
      </c>
      <c r="AH1467" s="37" t="n">
        <v>8</v>
      </c>
      <c r="AI1467" s="37" t="n">
        <v>5</v>
      </c>
      <c r="AJ1467" s="37" t="s">
        <v>323</v>
      </c>
    </row>
    <row r="1468" customFormat="false" ht="15" hidden="false" customHeight="false" outlineLevel="0" collapsed="false">
      <c r="A1468" s="37" t="n">
        <v>386028737</v>
      </c>
      <c r="B1468" s="38" t="n">
        <v>46264.6761226852</v>
      </c>
      <c r="C1468" s="37" t="s">
        <v>320</v>
      </c>
      <c r="D1468" s="37" t="s">
        <v>1055</v>
      </c>
      <c r="E1468" s="37" t="n">
        <v>23550570</v>
      </c>
      <c r="F1468" s="37" t="s">
        <v>139</v>
      </c>
      <c r="G1468" s="37" t="s">
        <v>198</v>
      </c>
      <c r="H1468" s="37" t="s">
        <v>175</v>
      </c>
      <c r="I1468" s="37" t="n">
        <v>106.5</v>
      </c>
      <c r="J1468" s="39" t="n">
        <v>1077.9</v>
      </c>
      <c r="K1468" s="37" t="s">
        <v>322</v>
      </c>
      <c r="L1468" s="39" t="n">
        <v>184.82</v>
      </c>
      <c r="M1468" s="39" t="n">
        <v>135.94</v>
      </c>
      <c r="N1468" s="39" t="n">
        <f aca="false">J1468*Resumo!$C$7</f>
        <v>2.1558</v>
      </c>
      <c r="O1468" s="39" t="n">
        <f aca="false">J1468*Resumo!$C$8</f>
        <v>2.1558</v>
      </c>
      <c r="P1468" s="39" t="n">
        <f aca="false">Resumo!$C$10*CEILING(I1468/100,1)</f>
        <v>2</v>
      </c>
      <c r="Q1468" s="39" t="n">
        <f aca="false">Resumo!$C$9</f>
        <v>11.9</v>
      </c>
      <c r="R1468" s="39" t="n">
        <f aca="false">SUM(M1468:Q1468)*Resumo!$C$11</f>
        <v>8.478338</v>
      </c>
      <c r="S1468" s="39" t="n">
        <f aca="false">SUM(M1468:R1468)</f>
        <v>162.629938</v>
      </c>
      <c r="T1468" s="39" t="n">
        <f aca="false">S1468/(1-Resumo!$C$5)</f>
        <v>184.806747727273</v>
      </c>
      <c r="U1468" s="39" t="n">
        <v>201.59</v>
      </c>
      <c r="V1468" s="39" t="n">
        <f aca="false">J1468*Resumo!$B$6</f>
        <v>1.0779</v>
      </c>
      <c r="W1468" s="39" t="n">
        <f aca="false">J1468*Resumo!$B$7</f>
        <v>2.1558</v>
      </c>
      <c r="X1468" s="39" t="n">
        <f aca="false">Resumo!$B$9</f>
        <v>1</v>
      </c>
      <c r="Y1468" s="39" t="n">
        <f aca="false">Resumo!$B$10*CEILING(I1468/100,1)</f>
        <v>9</v>
      </c>
      <c r="Z1468" s="39" t="n">
        <f aca="false">Resumo!$B$12*CEILING(I1468,1)</f>
        <v>6.42</v>
      </c>
      <c r="AA1468" s="39" t="n">
        <f aca="false">Resumo!$B$13*CEILING(I1468,1)</f>
        <v>48.15</v>
      </c>
      <c r="AB1468" s="39" t="n">
        <f aca="false">SUM(U1468:AA1468)</f>
        <v>269.3937</v>
      </c>
      <c r="AC1468" s="39" t="n">
        <f aca="false">AB1468/(1-Resumo!$B$5)</f>
        <v>306.129204545455</v>
      </c>
      <c r="AD1468" s="39" t="n">
        <f aca="false">(AB1468-AA1468)/(1-Resumo!$B$5)</f>
        <v>251.413295454545</v>
      </c>
      <c r="AE1468" s="39" t="n">
        <f aca="false">AC1468-T1468</f>
        <v>121.322456818182</v>
      </c>
      <c r="AF1468" s="40" t="n">
        <f aca="false">AC1468/T1468-1</f>
        <v>0.656482830363005</v>
      </c>
      <c r="AG1468" s="37" t="str">
        <f aca="false">IF(AC1468&lt;T1468,"SIM","NÃO")</f>
        <v>NÃO</v>
      </c>
      <c r="AH1468" s="37" t="n">
        <v>8</v>
      </c>
      <c r="AI1468" s="37" t="n">
        <v>5</v>
      </c>
      <c r="AJ1468" s="37" t="s">
        <v>323</v>
      </c>
    </row>
    <row r="1469" customFormat="false" ht="15" hidden="false" customHeight="false" outlineLevel="0" collapsed="false">
      <c r="A1469" s="37" t="n">
        <v>386038391</v>
      </c>
      <c r="B1469" s="38" t="n">
        <v>46264.6938310185</v>
      </c>
      <c r="C1469" s="37" t="s">
        <v>352</v>
      </c>
      <c r="D1469" s="37" t="s">
        <v>1675</v>
      </c>
      <c r="E1469" s="37" t="n">
        <v>25213160</v>
      </c>
      <c r="F1469" s="37" t="s">
        <v>141</v>
      </c>
      <c r="G1469" s="37" t="s">
        <v>207</v>
      </c>
      <c r="H1469" s="37" t="s">
        <v>175</v>
      </c>
      <c r="I1469" s="37" t="n">
        <v>106.5</v>
      </c>
      <c r="J1469" s="39" t="n">
        <v>947.49</v>
      </c>
      <c r="K1469" s="37" t="s">
        <v>322</v>
      </c>
      <c r="L1469" s="39" t="n">
        <v>194.36</v>
      </c>
      <c r="M1469" s="39" t="n">
        <v>144.44</v>
      </c>
      <c r="N1469" s="39" t="n">
        <f aca="false">J1469*Resumo!$C$7</f>
        <v>1.89498</v>
      </c>
      <c r="O1469" s="39" t="n">
        <f aca="false">J1469*Resumo!$C$8</f>
        <v>1.89498</v>
      </c>
      <c r="P1469" s="39" t="n">
        <f aca="false">Resumo!$C$10*CEILING(I1469/100,1)</f>
        <v>2</v>
      </c>
      <c r="Q1469" s="39" t="n">
        <f aca="false">Resumo!$C$9</f>
        <v>11.9</v>
      </c>
      <c r="R1469" s="39" t="n">
        <f aca="false">SUM(M1469:Q1469)*Resumo!$C$11</f>
        <v>8.9171478</v>
      </c>
      <c r="S1469" s="39" t="n">
        <f aca="false">SUM(M1469:R1469)</f>
        <v>171.0471078</v>
      </c>
      <c r="T1469" s="39" t="n">
        <f aca="false">S1469/(1-Resumo!$C$5)</f>
        <v>194.371713409091</v>
      </c>
      <c r="U1469" s="39" t="n">
        <v>201.59</v>
      </c>
      <c r="V1469" s="39" t="n">
        <f aca="false">J1469*Resumo!$B$6</f>
        <v>0.94749</v>
      </c>
      <c r="W1469" s="39" t="n">
        <f aca="false">J1469*Resumo!$B$7</f>
        <v>1.89498</v>
      </c>
      <c r="X1469" s="39" t="n">
        <f aca="false">Resumo!$B$9</f>
        <v>1</v>
      </c>
      <c r="Y1469" s="39" t="n">
        <f aca="false">Resumo!$B$10*CEILING(I1469/100,1)</f>
        <v>9</v>
      </c>
      <c r="Z1469" s="39" t="n">
        <f aca="false">Resumo!$B$12*CEILING(I1469,1)</f>
        <v>6.42</v>
      </c>
      <c r="AA1469" s="39" t="n">
        <f aca="false">Resumo!$B$13*CEILING(I1469,1)</f>
        <v>48.15</v>
      </c>
      <c r="AB1469" s="39" t="n">
        <f aca="false">SUM(U1469:AA1469)</f>
        <v>269.00247</v>
      </c>
      <c r="AC1469" s="39" t="n">
        <f aca="false">AB1469/(1-Resumo!$B$5)</f>
        <v>305.684625</v>
      </c>
      <c r="AD1469" s="39" t="n">
        <f aca="false">(AB1469-AA1469)/(1-Resumo!$B$5)</f>
        <v>250.968715909091</v>
      </c>
      <c r="AE1469" s="39" t="n">
        <f aca="false">AC1469-T1469</f>
        <v>111.312911590909</v>
      </c>
      <c r="AF1469" s="40" t="n">
        <f aca="false">AC1469/T1469-1</f>
        <v>0.572680610972599</v>
      </c>
      <c r="AG1469" s="37" t="str">
        <f aca="false">IF(AC1469&lt;T1469,"SIM","NÃO")</f>
        <v>NÃO</v>
      </c>
      <c r="AH1469" s="37" t="n">
        <v>10</v>
      </c>
      <c r="AI1469" s="37" t="n">
        <v>5</v>
      </c>
      <c r="AJ1469" s="37" t="s">
        <v>323</v>
      </c>
    </row>
    <row r="1470" customFormat="false" ht="15" hidden="false" customHeight="false" outlineLevel="0" collapsed="false">
      <c r="A1470" s="37" t="n">
        <v>386062475</v>
      </c>
      <c r="B1470" s="38" t="n">
        <v>46264.7291550926</v>
      </c>
      <c r="C1470" s="37" t="s">
        <v>320</v>
      </c>
      <c r="D1470" s="37" t="s">
        <v>1676</v>
      </c>
      <c r="E1470" s="37" t="n">
        <v>20230240</v>
      </c>
      <c r="F1470" s="37" t="s">
        <v>139</v>
      </c>
      <c r="G1470" s="37" t="s">
        <v>198</v>
      </c>
      <c r="H1470" s="37" t="s">
        <v>175</v>
      </c>
      <c r="I1470" s="37" t="n">
        <v>106.5</v>
      </c>
      <c r="J1470" s="39" t="n">
        <v>1077.9</v>
      </c>
      <c r="K1470" s="37" t="s">
        <v>322</v>
      </c>
      <c r="L1470" s="39" t="n">
        <v>184.82</v>
      </c>
      <c r="M1470" s="39" t="n">
        <v>135.94</v>
      </c>
      <c r="N1470" s="39" t="n">
        <f aca="false">J1470*Resumo!$C$7</f>
        <v>2.1558</v>
      </c>
      <c r="O1470" s="39" t="n">
        <f aca="false">J1470*Resumo!$C$8</f>
        <v>2.1558</v>
      </c>
      <c r="P1470" s="39" t="n">
        <f aca="false">Resumo!$C$10*CEILING(I1470/100,1)</f>
        <v>2</v>
      </c>
      <c r="Q1470" s="39" t="n">
        <f aca="false">Resumo!$C$9</f>
        <v>11.9</v>
      </c>
      <c r="R1470" s="39" t="n">
        <f aca="false">SUM(M1470:Q1470)*Resumo!$C$11</f>
        <v>8.478338</v>
      </c>
      <c r="S1470" s="39" t="n">
        <f aca="false">SUM(M1470:R1470)</f>
        <v>162.629938</v>
      </c>
      <c r="T1470" s="39" t="n">
        <f aca="false">S1470/(1-Resumo!$C$5)</f>
        <v>184.806747727273</v>
      </c>
      <c r="U1470" s="39" t="n">
        <v>201.59</v>
      </c>
      <c r="V1470" s="39" t="n">
        <f aca="false">J1470*Resumo!$B$6</f>
        <v>1.0779</v>
      </c>
      <c r="W1470" s="39" t="n">
        <f aca="false">J1470*Resumo!$B$7</f>
        <v>2.1558</v>
      </c>
      <c r="X1470" s="39" t="n">
        <f aca="false">Resumo!$B$9</f>
        <v>1</v>
      </c>
      <c r="Y1470" s="39" t="n">
        <f aca="false">Resumo!$B$10*CEILING(I1470/100,1)</f>
        <v>9</v>
      </c>
      <c r="Z1470" s="39" t="n">
        <f aca="false">Resumo!$B$12*CEILING(I1470,1)</f>
        <v>6.42</v>
      </c>
      <c r="AA1470" s="39" t="n">
        <f aca="false">Resumo!$B$13*CEILING(I1470,1)</f>
        <v>48.15</v>
      </c>
      <c r="AB1470" s="39" t="n">
        <f aca="false">SUM(U1470:AA1470)</f>
        <v>269.3937</v>
      </c>
      <c r="AC1470" s="39" t="n">
        <f aca="false">AB1470/(1-Resumo!$B$5)</f>
        <v>306.129204545455</v>
      </c>
      <c r="AD1470" s="39" t="n">
        <f aca="false">(AB1470-AA1470)/(1-Resumo!$B$5)</f>
        <v>251.413295454545</v>
      </c>
      <c r="AE1470" s="39" t="n">
        <f aca="false">AC1470-T1470</f>
        <v>121.322456818182</v>
      </c>
      <c r="AF1470" s="40" t="n">
        <f aca="false">AC1470/T1470-1</f>
        <v>0.656482830363005</v>
      </c>
      <c r="AG1470" s="37" t="str">
        <f aca="false">IF(AC1470&lt;T1470,"SIM","NÃO")</f>
        <v>NÃO</v>
      </c>
      <c r="AH1470" s="37" t="n">
        <v>8</v>
      </c>
      <c r="AI1470" s="37" t="n">
        <v>5</v>
      </c>
      <c r="AJ1470" s="37" t="s">
        <v>323</v>
      </c>
    </row>
    <row r="1471" customFormat="false" ht="15" hidden="false" customHeight="false" outlineLevel="0" collapsed="false">
      <c r="A1471" s="37" t="n">
        <v>386075289</v>
      </c>
      <c r="B1471" s="38" t="n">
        <v>46264.7536921296</v>
      </c>
      <c r="C1471" s="37" t="s">
        <v>320</v>
      </c>
      <c r="D1471" s="37" t="s">
        <v>1677</v>
      </c>
      <c r="E1471" s="37" t="n">
        <v>23935013</v>
      </c>
      <c r="F1471" s="37" t="s">
        <v>149</v>
      </c>
      <c r="G1471" s="37" t="s">
        <v>201</v>
      </c>
      <c r="H1471" s="37" t="s">
        <v>168</v>
      </c>
      <c r="I1471" s="37" t="n">
        <v>27.5</v>
      </c>
      <c r="J1471" s="39" t="n">
        <v>335.12</v>
      </c>
      <c r="K1471" s="37" t="s">
        <v>322</v>
      </c>
      <c r="L1471" s="39" t="n">
        <v>108.78</v>
      </c>
      <c r="M1471" s="39" t="n">
        <v>76.5</v>
      </c>
      <c r="N1471" s="39" t="n">
        <f aca="false">J1471*Resumo!$C$7</f>
        <v>0.67024</v>
      </c>
      <c r="O1471" s="39" t="n">
        <f aca="false">J1471*Resumo!$C$8</f>
        <v>0.67024</v>
      </c>
      <c r="P1471" s="39" t="n">
        <f aca="false">Resumo!$C$10*CEILING(I1471/100,1)</f>
        <v>1</v>
      </c>
      <c r="Q1471" s="39" t="n">
        <f aca="false">Resumo!$C$9</f>
        <v>11.9</v>
      </c>
      <c r="R1471" s="39" t="n">
        <f aca="false">SUM(M1471:Q1471)*Resumo!$C$11</f>
        <v>4.9907264</v>
      </c>
      <c r="S1471" s="39" t="n">
        <f aca="false">SUM(M1471:R1471)</f>
        <v>95.7312064</v>
      </c>
      <c r="T1471" s="39" t="n">
        <f aca="false">S1471/(1-Resumo!$C$5)</f>
        <v>108.785461818182</v>
      </c>
      <c r="U1471" s="39" t="n">
        <v>108.83</v>
      </c>
      <c r="V1471" s="39" t="n">
        <f aca="false">J1471*Resumo!$B$6</f>
        <v>0.33512</v>
      </c>
      <c r="W1471" s="39" t="n">
        <f aca="false">J1471*Resumo!$B$7</f>
        <v>0.67024</v>
      </c>
      <c r="X1471" s="39" t="n">
        <f aca="false">Resumo!$B$9</f>
        <v>1</v>
      </c>
      <c r="Y1471" s="39" t="n">
        <f aca="false">Resumo!$B$10*CEILING(I1471/100,1)</f>
        <v>4.5</v>
      </c>
      <c r="Z1471" s="39" t="n">
        <f aca="false">Resumo!$B$12*CEILING(I1471,1)</f>
        <v>1.68</v>
      </c>
      <c r="AA1471" s="39" t="n">
        <f aca="false">Resumo!$B$13*CEILING(I1471,1)</f>
        <v>12.6</v>
      </c>
      <c r="AB1471" s="39" t="n">
        <f aca="false">SUM(U1471:AA1471)</f>
        <v>129.61536</v>
      </c>
      <c r="AC1471" s="39" t="n">
        <f aca="false">AB1471/(1-Resumo!$B$5)</f>
        <v>147.290181818182</v>
      </c>
      <c r="AD1471" s="39" t="n">
        <f aca="false">(AB1471-AA1471)/(1-Resumo!$B$5)</f>
        <v>132.972</v>
      </c>
      <c r="AE1471" s="39" t="n">
        <f aca="false">AC1471-T1471</f>
        <v>38.50472</v>
      </c>
      <c r="AF1471" s="40" t="n">
        <f aca="false">AC1471/T1471-1</f>
        <v>0.353950972459488</v>
      </c>
      <c r="AG1471" s="37" t="str">
        <f aca="false">IF(AC1471&lt;T1471,"SIM","NÃO")</f>
        <v>NÃO</v>
      </c>
      <c r="AH1471" s="37" t="n">
        <v>13</v>
      </c>
      <c r="AI1471" s="37" t="n">
        <v>10</v>
      </c>
      <c r="AJ1471" s="37" t="s">
        <v>323</v>
      </c>
    </row>
    <row r="1472" customFormat="false" ht="15" hidden="false" customHeight="false" outlineLevel="0" collapsed="false">
      <c r="A1472" s="37" t="n">
        <v>386093745</v>
      </c>
      <c r="B1472" s="38" t="n">
        <v>46264.783275463</v>
      </c>
      <c r="C1472" s="37" t="s">
        <v>320</v>
      </c>
      <c r="D1472" s="37" t="s">
        <v>1678</v>
      </c>
      <c r="E1472" s="37" t="n">
        <v>25932145</v>
      </c>
      <c r="F1472" s="37" t="s">
        <v>156</v>
      </c>
      <c r="G1472" s="37" t="s">
        <v>201</v>
      </c>
      <c r="H1472" s="37" t="s">
        <v>167</v>
      </c>
      <c r="I1472" s="37" t="n">
        <v>19.5</v>
      </c>
      <c r="J1472" s="39" t="n">
        <v>549.99</v>
      </c>
      <c r="K1472" s="37" t="s">
        <v>322</v>
      </c>
      <c r="L1472" s="39" t="n">
        <v>81.3</v>
      </c>
      <c r="M1472" s="39" t="n">
        <v>52.71</v>
      </c>
      <c r="N1472" s="39" t="n">
        <f aca="false">J1472*Resumo!$C$7</f>
        <v>1.09998</v>
      </c>
      <c r="O1472" s="39" t="n">
        <f aca="false">J1472*Resumo!$C$8</f>
        <v>1.09998</v>
      </c>
      <c r="P1472" s="39" t="n">
        <f aca="false">Resumo!$C$10*CEILING(I1472/100,1)</f>
        <v>1</v>
      </c>
      <c r="Q1472" s="39" t="n">
        <f aca="false">Resumo!$C$9</f>
        <v>11.9</v>
      </c>
      <c r="R1472" s="39" t="n">
        <f aca="false">SUM(M1472:Q1472)*Resumo!$C$11</f>
        <v>3.7295478</v>
      </c>
      <c r="S1472" s="39" t="n">
        <f aca="false">SUM(M1472:R1472)</f>
        <v>71.5395078</v>
      </c>
      <c r="T1472" s="39" t="n">
        <f aca="false">S1472/(1-Resumo!$C$5)</f>
        <v>81.2948952272727</v>
      </c>
      <c r="U1472" s="39" t="n">
        <v>89.03</v>
      </c>
      <c r="V1472" s="39" t="n">
        <f aca="false">J1472*Resumo!$B$6</f>
        <v>0.54999</v>
      </c>
      <c r="W1472" s="39" t="n">
        <f aca="false">J1472*Resumo!$B$7</f>
        <v>1.09998</v>
      </c>
      <c r="X1472" s="39" t="n">
        <f aca="false">Resumo!$B$9</f>
        <v>1</v>
      </c>
      <c r="Y1472" s="39" t="n">
        <f aca="false">Resumo!$B$10*CEILING(I1472/100,1)</f>
        <v>4.5</v>
      </c>
      <c r="Z1472" s="39" t="n">
        <f aca="false">Resumo!$B$12*CEILING(I1472,1)</f>
        <v>1.2</v>
      </c>
      <c r="AA1472" s="39" t="n">
        <f aca="false">Resumo!$B$13*CEILING(I1472,1)</f>
        <v>9</v>
      </c>
      <c r="AB1472" s="39" t="n">
        <f aca="false">SUM(U1472:AA1472)</f>
        <v>106.37997</v>
      </c>
      <c r="AC1472" s="39" t="n">
        <f aca="false">AB1472/(1-Resumo!$B$5)</f>
        <v>120.886329545455</v>
      </c>
      <c r="AD1472" s="39" t="n">
        <f aca="false">(AB1472-AA1472)/(1-Resumo!$B$5)</f>
        <v>110.659056818182</v>
      </c>
      <c r="AE1472" s="39" t="n">
        <f aca="false">AC1472-T1472</f>
        <v>39.5914343181818</v>
      </c>
      <c r="AF1472" s="40" t="n">
        <f aca="false">AC1472/T1472-1</f>
        <v>0.487010090947257</v>
      </c>
      <c r="AG1472" s="37" t="str">
        <f aca="false">IF(AC1472&lt;T1472,"SIM","NÃO")</f>
        <v>NÃO</v>
      </c>
      <c r="AH1472" s="37" t="n">
        <v>13</v>
      </c>
      <c r="AI1472" s="37" t="n">
        <v>6</v>
      </c>
      <c r="AJ1472" s="37" t="s">
        <v>323</v>
      </c>
    </row>
    <row r="1473" customFormat="false" ht="15" hidden="false" customHeight="false" outlineLevel="0" collapsed="false">
      <c r="A1473" s="37" t="n">
        <v>386144293</v>
      </c>
      <c r="B1473" s="38" t="n">
        <v>46264.847962963</v>
      </c>
      <c r="C1473" s="37" t="s">
        <v>325</v>
      </c>
      <c r="D1473" s="37" t="s">
        <v>1679</v>
      </c>
      <c r="E1473" s="37" t="n">
        <v>26281010</v>
      </c>
      <c r="F1473" s="37" t="s">
        <v>142</v>
      </c>
      <c r="G1473" s="37" t="s">
        <v>207</v>
      </c>
      <c r="H1473" s="37" t="s">
        <v>168</v>
      </c>
      <c r="I1473" s="37" t="n">
        <v>27.5</v>
      </c>
      <c r="J1473" s="39" t="n">
        <v>343</v>
      </c>
      <c r="K1473" s="37" t="s">
        <v>322</v>
      </c>
      <c r="L1473" s="39" t="n">
        <v>101.05</v>
      </c>
      <c r="M1473" s="39" t="n">
        <v>70</v>
      </c>
      <c r="N1473" s="39" t="n">
        <f aca="false">J1473*Resumo!$C$7</f>
        <v>0.686</v>
      </c>
      <c r="O1473" s="39" t="n">
        <f aca="false">J1473*Resumo!$C$8</f>
        <v>0.686</v>
      </c>
      <c r="P1473" s="39" t="n">
        <f aca="false">Resumo!$C$10*CEILING(I1473/100,1)</f>
        <v>1</v>
      </c>
      <c r="Q1473" s="39" t="n">
        <f aca="false">Resumo!$C$9</f>
        <v>11.9</v>
      </c>
      <c r="R1473" s="39" t="n">
        <f aca="false">SUM(M1473:Q1473)*Resumo!$C$11</f>
        <v>4.63496</v>
      </c>
      <c r="S1473" s="39" t="n">
        <f aca="false">SUM(M1473:R1473)</f>
        <v>88.90696</v>
      </c>
      <c r="T1473" s="39" t="n">
        <f aca="false">S1473/(1-Resumo!$C$5)</f>
        <v>101.030636363636</v>
      </c>
      <c r="U1473" s="39" t="n">
        <v>82.21</v>
      </c>
      <c r="V1473" s="39" t="n">
        <f aca="false">J1473*Resumo!$B$6</f>
        <v>0.343</v>
      </c>
      <c r="W1473" s="39" t="n">
        <f aca="false">J1473*Resumo!$B$7</f>
        <v>0.686</v>
      </c>
      <c r="X1473" s="39" t="n">
        <f aca="false">Resumo!$B$9</f>
        <v>1</v>
      </c>
      <c r="Y1473" s="39" t="n">
        <f aca="false">Resumo!$B$10*CEILING(I1473/100,1)</f>
        <v>4.5</v>
      </c>
      <c r="Z1473" s="39" t="n">
        <f aca="false">Resumo!$B$12*CEILING(I1473,1)</f>
        <v>1.68</v>
      </c>
      <c r="AA1473" s="39" t="n">
        <f aca="false">Resumo!$B$13*CEILING(I1473,1)</f>
        <v>12.6</v>
      </c>
      <c r="AB1473" s="39" t="n">
        <f aca="false">SUM(U1473:AA1473)</f>
        <v>103.019</v>
      </c>
      <c r="AC1473" s="39" t="n">
        <f aca="false">AB1473/(1-Resumo!$B$5)</f>
        <v>117.067045454545</v>
      </c>
      <c r="AD1473" s="39" t="n">
        <f aca="false">(AB1473-AA1473)/(1-Resumo!$B$5)</f>
        <v>102.748863636364</v>
      </c>
      <c r="AE1473" s="39" t="n">
        <f aca="false">AC1473-T1473</f>
        <v>16.0364090909091</v>
      </c>
      <c r="AF1473" s="40" t="n">
        <f aca="false">AC1473/T1473-1</f>
        <v>0.158728180560892</v>
      </c>
      <c r="AG1473" s="37" t="str">
        <f aca="false">IF(AC1473&lt;T1473,"SIM","NÃO")</f>
        <v>NÃO</v>
      </c>
      <c r="AH1473" s="37" t="n">
        <v>10</v>
      </c>
      <c r="AI1473" s="37" t="n">
        <v>5</v>
      </c>
      <c r="AJ1473" s="37" t="s">
        <v>323</v>
      </c>
    </row>
    <row r="1474" customFormat="false" ht="15" hidden="false" customHeight="false" outlineLevel="0" collapsed="false">
      <c r="A1474" s="37" t="n">
        <v>386207806</v>
      </c>
      <c r="B1474" s="38" t="n">
        <v>46264.9767708333</v>
      </c>
      <c r="C1474" s="37" t="s">
        <v>320</v>
      </c>
      <c r="D1474" s="37" t="s">
        <v>1680</v>
      </c>
      <c r="E1474" s="37" t="n">
        <v>28230000</v>
      </c>
      <c r="F1474" s="37" t="s">
        <v>246</v>
      </c>
      <c r="G1474" s="37" t="s">
        <v>201</v>
      </c>
      <c r="H1474" s="37" t="s">
        <v>172</v>
      </c>
      <c r="I1474" s="37" t="n">
        <v>66.8</v>
      </c>
      <c r="J1474" s="39" t="n">
        <v>719.99</v>
      </c>
      <c r="K1474" s="37" t="s">
        <v>322</v>
      </c>
      <c r="L1474" s="39" t="n">
        <v>155.47</v>
      </c>
      <c r="M1474" s="39" t="n">
        <v>113.9</v>
      </c>
      <c r="N1474" s="39" t="n">
        <f aca="false">J1474*Resumo!$C$7</f>
        <v>1.43998</v>
      </c>
      <c r="O1474" s="39" t="n">
        <f aca="false">J1474*Resumo!$C$8</f>
        <v>1.43998</v>
      </c>
      <c r="P1474" s="39" t="n">
        <f aca="false">Resumo!$C$10*CEILING(I1474/100,1)</f>
        <v>1</v>
      </c>
      <c r="Q1474" s="39" t="n">
        <f aca="false">Resumo!$C$9</f>
        <v>11.9</v>
      </c>
      <c r="R1474" s="39" t="n">
        <f aca="false">SUM(M1474:Q1474)*Resumo!$C$11</f>
        <v>7.1323978</v>
      </c>
      <c r="S1474" s="39" t="n">
        <f aca="false">SUM(M1474:R1474)</f>
        <v>136.8123578</v>
      </c>
      <c r="T1474" s="39" t="n">
        <f aca="false">S1474/(1-Resumo!$C$5)</f>
        <v>155.468588409091</v>
      </c>
      <c r="U1474" s="39" t="n">
        <v>171.54</v>
      </c>
      <c r="V1474" s="39" t="n">
        <f aca="false">J1474*Resumo!$B$6</f>
        <v>0.71999</v>
      </c>
      <c r="W1474" s="39" t="n">
        <f aca="false">J1474*Resumo!$B$7</f>
        <v>1.43998</v>
      </c>
      <c r="X1474" s="39" t="n">
        <f aca="false">Resumo!$B$9</f>
        <v>1</v>
      </c>
      <c r="Y1474" s="39" t="n">
        <f aca="false">Resumo!$B$10*CEILING(I1474/100,1)</f>
        <v>4.5</v>
      </c>
      <c r="Z1474" s="39" t="n">
        <f aca="false">Resumo!$B$12*CEILING(I1474,1)</f>
        <v>4.02</v>
      </c>
      <c r="AA1474" s="39" t="n">
        <f aca="false">Resumo!$B$13*CEILING(I1474,1)</f>
        <v>30.15</v>
      </c>
      <c r="AB1474" s="39" t="n">
        <f aca="false">SUM(U1474:AA1474)</f>
        <v>213.36997</v>
      </c>
      <c r="AC1474" s="39" t="n">
        <f aca="false">AB1474/(1-Resumo!$B$5)</f>
        <v>242.465875</v>
      </c>
      <c r="AD1474" s="39" t="n">
        <f aca="false">(AB1474-AA1474)/(1-Resumo!$B$5)</f>
        <v>208.204511363636</v>
      </c>
      <c r="AE1474" s="39" t="n">
        <f aca="false">AC1474-T1474</f>
        <v>86.9972865909091</v>
      </c>
      <c r="AF1474" s="40" t="n">
        <f aca="false">AC1474/T1474-1</f>
        <v>0.559581118482851</v>
      </c>
      <c r="AG1474" s="37" t="str">
        <f aca="false">IF(AC1474&lt;T1474,"SIM","NÃO")</f>
        <v>NÃO</v>
      </c>
      <c r="AH1474" s="37" t="n">
        <v>13</v>
      </c>
      <c r="AI1474" s="37" t="n">
        <v>11</v>
      </c>
      <c r="AJ1474" s="37" t="s">
        <v>327</v>
      </c>
    </row>
    <row r="1475" customFormat="false" ht="15" hidden="false" customHeight="false" outlineLevel="0" collapsed="false">
      <c r="A1475" s="37" t="n">
        <v>386216093</v>
      </c>
      <c r="B1475" s="38" t="n">
        <v>46264.990625</v>
      </c>
      <c r="C1475" s="37" t="s">
        <v>325</v>
      </c>
      <c r="D1475" s="37" t="s">
        <v>1681</v>
      </c>
      <c r="E1475" s="37" t="n">
        <v>27944751</v>
      </c>
      <c r="F1475" s="37" t="s">
        <v>146</v>
      </c>
      <c r="G1475" s="37" t="s">
        <v>201</v>
      </c>
      <c r="H1475" s="37" t="s">
        <v>171</v>
      </c>
      <c r="I1475" s="37" t="n">
        <v>52.3</v>
      </c>
      <c r="J1475" s="39" t="n">
        <v>616.99</v>
      </c>
      <c r="K1475" s="37" t="s">
        <v>322</v>
      </c>
      <c r="L1475" s="39" t="n">
        <v>142.61</v>
      </c>
      <c r="M1475" s="39" t="n">
        <v>103.6</v>
      </c>
      <c r="N1475" s="39" t="n">
        <f aca="false">J1475*Resumo!$C$7</f>
        <v>1.23398</v>
      </c>
      <c r="O1475" s="39" t="n">
        <f aca="false">J1475*Resumo!$C$8</f>
        <v>1.23398</v>
      </c>
      <c r="P1475" s="39" t="n">
        <f aca="false">Resumo!$C$10*CEILING(I1475/100,1)</f>
        <v>1</v>
      </c>
      <c r="Q1475" s="39" t="n">
        <f aca="false">Resumo!$C$9</f>
        <v>11.9</v>
      </c>
      <c r="R1475" s="39" t="n">
        <f aca="false">SUM(M1475:Q1475)*Resumo!$C$11</f>
        <v>6.5432378</v>
      </c>
      <c r="S1475" s="39" t="n">
        <f aca="false">SUM(M1475:R1475)</f>
        <v>125.5111978</v>
      </c>
      <c r="T1475" s="39" t="n">
        <f aca="false">S1475/(1-Resumo!$C$5)</f>
        <v>142.626361136364</v>
      </c>
      <c r="U1475" s="39" t="n">
        <v>162.04</v>
      </c>
      <c r="V1475" s="39" t="n">
        <f aca="false">J1475*Resumo!$B$6</f>
        <v>0.61699</v>
      </c>
      <c r="W1475" s="39" t="n">
        <f aca="false">J1475*Resumo!$B$7</f>
        <v>1.23398</v>
      </c>
      <c r="X1475" s="39" t="n">
        <f aca="false">Resumo!$B$9</f>
        <v>1</v>
      </c>
      <c r="Y1475" s="39" t="n">
        <f aca="false">Resumo!$B$10*CEILING(I1475/100,1)</f>
        <v>4.5</v>
      </c>
      <c r="Z1475" s="39" t="n">
        <f aca="false">Resumo!$B$12*CEILING(I1475,1)</f>
        <v>3.18</v>
      </c>
      <c r="AA1475" s="39" t="n">
        <f aca="false">Resumo!$B$13*CEILING(I1475,1)</f>
        <v>23.85</v>
      </c>
      <c r="AB1475" s="39" t="n">
        <f aca="false">SUM(U1475:AA1475)</f>
        <v>196.42097</v>
      </c>
      <c r="AC1475" s="39" t="n">
        <f aca="false">AB1475/(1-Resumo!$B$5)</f>
        <v>223.205647727273</v>
      </c>
      <c r="AD1475" s="39" t="n">
        <f aca="false">(AB1475-AA1475)/(1-Resumo!$B$5)</f>
        <v>196.103375</v>
      </c>
      <c r="AE1475" s="39" t="n">
        <f aca="false">AC1475-T1475</f>
        <v>80.5792865909091</v>
      </c>
      <c r="AF1475" s="40" t="n">
        <f aca="false">AC1475/T1475-1</f>
        <v>0.56496769565528</v>
      </c>
      <c r="AG1475" s="37" t="str">
        <f aca="false">IF(AC1475&lt;T1475,"SIM","NÃO")</f>
        <v>NÃO</v>
      </c>
      <c r="AH1475" s="37" t="n">
        <v>13</v>
      </c>
      <c r="AI1475" s="37" t="n">
        <v>11</v>
      </c>
      <c r="AJ1475" s="37" t="s">
        <v>323</v>
      </c>
    </row>
    <row r="1476" customFormat="false" ht="15" hidden="false" customHeight="false" outlineLevel="0" collapsed="false">
      <c r="A1476" s="37" t="n">
        <v>386384292</v>
      </c>
      <c r="B1476" s="38" t="n">
        <v>46265.3753587963</v>
      </c>
      <c r="C1476" s="37" t="s">
        <v>320</v>
      </c>
      <c r="D1476" s="37" t="s">
        <v>529</v>
      </c>
      <c r="E1476" s="37" t="n">
        <v>28470000</v>
      </c>
      <c r="F1476" s="37" t="s">
        <v>258</v>
      </c>
      <c r="G1476" s="37" t="s">
        <v>201</v>
      </c>
      <c r="H1476" s="37" t="s">
        <v>171</v>
      </c>
      <c r="I1476" s="37" t="n">
        <v>52.3</v>
      </c>
      <c r="J1476" s="39" t="n">
        <v>627.28</v>
      </c>
      <c r="K1476" s="37" t="s">
        <v>322</v>
      </c>
      <c r="L1476" s="39" t="n">
        <v>142.67</v>
      </c>
      <c r="M1476" s="39" t="n">
        <v>103.6</v>
      </c>
      <c r="N1476" s="39" t="n">
        <f aca="false">J1476*Resumo!$C$7</f>
        <v>1.25456</v>
      </c>
      <c r="O1476" s="39" t="n">
        <f aca="false">J1476*Resumo!$C$8</f>
        <v>1.25456</v>
      </c>
      <c r="P1476" s="39" t="n">
        <f aca="false">Resumo!$C$10*CEILING(I1476/100,1)</f>
        <v>1</v>
      </c>
      <c r="Q1476" s="39" t="n">
        <f aca="false">Resumo!$C$9</f>
        <v>11.9</v>
      </c>
      <c r="R1476" s="39" t="n">
        <f aca="false">SUM(M1476:Q1476)*Resumo!$C$11</f>
        <v>6.5455016</v>
      </c>
      <c r="S1476" s="39" t="n">
        <f aca="false">SUM(M1476:R1476)</f>
        <v>125.5546216</v>
      </c>
      <c r="T1476" s="39" t="n">
        <f aca="false">S1476/(1-Resumo!$C$5)</f>
        <v>142.675706363636</v>
      </c>
      <c r="U1476" s="39" t="n">
        <v>162.04</v>
      </c>
      <c r="V1476" s="39" t="n">
        <f aca="false">J1476*Resumo!$B$6</f>
        <v>0.62728</v>
      </c>
      <c r="W1476" s="39" t="n">
        <f aca="false">J1476*Resumo!$B$7</f>
        <v>1.25456</v>
      </c>
      <c r="X1476" s="39" t="n">
        <f aca="false">Resumo!$B$9</f>
        <v>1</v>
      </c>
      <c r="Y1476" s="39" t="n">
        <f aca="false">Resumo!$B$10*CEILING(I1476/100,1)</f>
        <v>4.5</v>
      </c>
      <c r="Z1476" s="39" t="n">
        <f aca="false">Resumo!$B$12*CEILING(I1476,1)</f>
        <v>3.18</v>
      </c>
      <c r="AA1476" s="39" t="n">
        <f aca="false">Resumo!$B$13*CEILING(I1476,1)</f>
        <v>23.85</v>
      </c>
      <c r="AB1476" s="39" t="n">
        <f aca="false">SUM(U1476:AA1476)</f>
        <v>196.45184</v>
      </c>
      <c r="AC1476" s="39" t="n">
        <f aca="false">AB1476/(1-Resumo!$B$5)</f>
        <v>223.240727272727</v>
      </c>
      <c r="AD1476" s="39" t="n">
        <f aca="false">(AB1476-AA1476)/(1-Resumo!$B$5)</f>
        <v>196.138454545455</v>
      </c>
      <c r="AE1476" s="39" t="n">
        <f aca="false">AC1476-T1476</f>
        <v>80.5650209090909</v>
      </c>
      <c r="AF1476" s="40" t="n">
        <f aca="false">AC1476/T1476-1</f>
        <v>0.564672311512904</v>
      </c>
      <c r="AG1476" s="37" t="str">
        <f aca="false">IF(AC1476&lt;T1476,"SIM","NÃO")</f>
        <v>NÃO</v>
      </c>
      <c r="AH1476" s="37" t="n">
        <v>13</v>
      </c>
      <c r="AI1476" s="37" t="n">
        <v>11</v>
      </c>
      <c r="AJ1476" s="37" t="s">
        <v>327</v>
      </c>
    </row>
    <row r="1477" customFormat="false" ht="15" hidden="false" customHeight="false" outlineLevel="0" collapsed="false">
      <c r="A1477" s="37" t="n">
        <v>386481536</v>
      </c>
      <c r="B1477" s="38" t="n">
        <v>46265.3817013889</v>
      </c>
      <c r="C1477" s="37" t="s">
        <v>325</v>
      </c>
      <c r="D1477" s="37" t="s">
        <v>1682</v>
      </c>
      <c r="E1477" s="37" t="n">
        <v>21866340</v>
      </c>
      <c r="F1477" s="37" t="s">
        <v>139</v>
      </c>
      <c r="G1477" s="37" t="s">
        <v>198</v>
      </c>
      <c r="H1477" s="37" t="s">
        <v>176</v>
      </c>
      <c r="I1477" s="37" t="n">
        <v>124.2</v>
      </c>
      <c r="J1477" s="39" t="n">
        <v>1699.99</v>
      </c>
      <c r="K1477" s="37" t="s">
        <v>322</v>
      </c>
      <c r="L1477" s="39" t="n">
        <v>234.44</v>
      </c>
      <c r="M1477" s="39" t="n">
        <v>174.85</v>
      </c>
      <c r="N1477" s="39" t="n">
        <f aca="false">J1477*Resumo!$C$7</f>
        <v>3.39998</v>
      </c>
      <c r="O1477" s="39" t="n">
        <f aca="false">J1477*Resumo!$C$8</f>
        <v>3.39998</v>
      </c>
      <c r="P1477" s="39" t="n">
        <f aca="false">Resumo!$C$10*CEILING(I1477/100,1)</f>
        <v>2</v>
      </c>
      <c r="Q1477" s="39" t="n">
        <f aca="false">Resumo!$C$9</f>
        <v>11.9</v>
      </c>
      <c r="R1477" s="39" t="n">
        <f aca="false">SUM(M1477:Q1477)*Resumo!$C$11</f>
        <v>10.7552478</v>
      </c>
      <c r="S1477" s="39" t="n">
        <f aca="false">SUM(M1477:R1477)</f>
        <v>206.3052078</v>
      </c>
      <c r="T1477" s="39" t="n">
        <f aca="false">S1477/(1-Resumo!$C$5)</f>
        <v>234.437736136364</v>
      </c>
      <c r="U1477" s="39" t="n">
        <v>239.25</v>
      </c>
      <c r="V1477" s="39" t="n">
        <f aca="false">J1477*Resumo!$B$6</f>
        <v>1.69999</v>
      </c>
      <c r="W1477" s="39" t="n">
        <f aca="false">J1477*Resumo!$B$7</f>
        <v>3.39998</v>
      </c>
      <c r="X1477" s="39" t="n">
        <f aca="false">Resumo!$B$9</f>
        <v>1</v>
      </c>
      <c r="Y1477" s="39" t="n">
        <f aca="false">Resumo!$B$10*CEILING(I1477/100,1)</f>
        <v>9</v>
      </c>
      <c r="Z1477" s="39" t="n">
        <f aca="false">Resumo!$B$12*CEILING(I1477,1)</f>
        <v>7.5</v>
      </c>
      <c r="AA1477" s="39" t="n">
        <f aca="false">Resumo!$B$13*CEILING(I1477,1)</f>
        <v>56.25</v>
      </c>
      <c r="AB1477" s="39" t="n">
        <f aca="false">SUM(U1477:AA1477)</f>
        <v>318.09997</v>
      </c>
      <c r="AC1477" s="39" t="n">
        <f aca="false">AB1477/(1-Resumo!$B$5)</f>
        <v>361.477238636364</v>
      </c>
      <c r="AD1477" s="39" t="n">
        <f aca="false">(AB1477-AA1477)/(1-Resumo!$B$5)</f>
        <v>297.556784090909</v>
      </c>
      <c r="AE1477" s="39" t="n">
        <f aca="false">AC1477-T1477</f>
        <v>127.0395025</v>
      </c>
      <c r="AF1477" s="40" t="n">
        <f aca="false">AC1477/T1477-1</f>
        <v>0.541890160661276</v>
      </c>
      <c r="AG1477" s="37" t="str">
        <f aca="false">IF(AC1477&lt;T1477,"SIM","NÃO")</f>
        <v>NÃO</v>
      </c>
      <c r="AH1477" s="37" t="n">
        <v>8</v>
      </c>
      <c r="AI1477" s="37" t="n">
        <v>5</v>
      </c>
      <c r="AJ1477" s="37" t="s">
        <v>323</v>
      </c>
    </row>
    <row r="1478" customFormat="false" ht="15" hidden="false" customHeight="false" outlineLevel="0" collapsed="false">
      <c r="A1478" s="37" t="n">
        <v>386489157</v>
      </c>
      <c r="B1478" s="38" t="n">
        <v>46265.5163657407</v>
      </c>
      <c r="C1478" s="37" t="s">
        <v>320</v>
      </c>
      <c r="D1478" s="37" t="s">
        <v>1683</v>
      </c>
      <c r="E1478" s="37" t="n">
        <v>21340230</v>
      </c>
      <c r="F1478" s="37" t="s">
        <v>139</v>
      </c>
      <c r="G1478" s="37" t="s">
        <v>198</v>
      </c>
      <c r="H1478" s="37" t="s">
        <v>171</v>
      </c>
      <c r="I1478" s="37" t="n">
        <v>52.3</v>
      </c>
      <c r="J1478" s="39" t="n">
        <v>699.99</v>
      </c>
      <c r="K1478" s="37" t="s">
        <v>322</v>
      </c>
      <c r="L1478" s="39" t="n">
        <v>114.5</v>
      </c>
      <c r="M1478" s="39" t="n">
        <v>79.81</v>
      </c>
      <c r="N1478" s="39" t="n">
        <f aca="false">J1478*Resumo!$C$7</f>
        <v>1.39998</v>
      </c>
      <c r="O1478" s="39" t="n">
        <f aca="false">J1478*Resumo!$C$8</f>
        <v>1.39998</v>
      </c>
      <c r="P1478" s="39" t="n">
        <f aca="false">Resumo!$C$10*CEILING(I1478/100,1)</f>
        <v>1</v>
      </c>
      <c r="Q1478" s="39" t="n">
        <f aca="false">Resumo!$C$9</f>
        <v>11.9</v>
      </c>
      <c r="R1478" s="39" t="n">
        <f aca="false">SUM(M1478:Q1478)*Resumo!$C$11</f>
        <v>5.2530478</v>
      </c>
      <c r="S1478" s="39" t="n">
        <f aca="false">SUM(M1478:R1478)</f>
        <v>100.7630078</v>
      </c>
      <c r="T1478" s="39" t="n">
        <f aca="false">S1478/(1-Resumo!$C$5)</f>
        <v>114.503417954545</v>
      </c>
      <c r="U1478" s="39" t="n">
        <v>112.3</v>
      </c>
      <c r="V1478" s="39" t="n">
        <f aca="false">J1478*Resumo!$B$6</f>
        <v>0.69999</v>
      </c>
      <c r="W1478" s="39" t="n">
        <f aca="false">J1478*Resumo!$B$7</f>
        <v>1.39998</v>
      </c>
      <c r="X1478" s="39" t="n">
        <f aca="false">Resumo!$B$9</f>
        <v>1</v>
      </c>
      <c r="Y1478" s="39" t="n">
        <f aca="false">Resumo!$B$10*CEILING(I1478/100,1)</f>
        <v>4.5</v>
      </c>
      <c r="Z1478" s="39" t="n">
        <f aca="false">Resumo!$B$12*CEILING(I1478,1)</f>
        <v>3.18</v>
      </c>
      <c r="AA1478" s="39" t="n">
        <f aca="false">Resumo!$B$13*CEILING(I1478,1)</f>
        <v>23.85</v>
      </c>
      <c r="AB1478" s="39" t="n">
        <f aca="false">SUM(U1478:AA1478)</f>
        <v>146.92997</v>
      </c>
      <c r="AC1478" s="39" t="n">
        <f aca="false">AB1478/(1-Resumo!$B$5)</f>
        <v>166.965875</v>
      </c>
      <c r="AD1478" s="39" t="n">
        <f aca="false">(AB1478-AA1478)/(1-Resumo!$B$5)</f>
        <v>139.863602272727</v>
      </c>
      <c r="AE1478" s="39" t="n">
        <f aca="false">AC1478-T1478</f>
        <v>52.4624570454545</v>
      </c>
      <c r="AF1478" s="40" t="n">
        <f aca="false">AC1478/T1478-1</f>
        <v>0.458173720772952</v>
      </c>
      <c r="AG1478" s="37" t="str">
        <f aca="false">IF(AC1478&lt;T1478,"SIM","NÃO")</f>
        <v>NÃO</v>
      </c>
      <c r="AH1478" s="37" t="n">
        <v>8</v>
      </c>
      <c r="AI1478" s="37" t="n">
        <v>5</v>
      </c>
      <c r="AJ1478" s="37" t="s">
        <v>323</v>
      </c>
    </row>
    <row r="1479" customFormat="false" ht="15" hidden="false" customHeight="false" outlineLevel="0" collapsed="false">
      <c r="A1479" s="37" t="n">
        <v>386522327</v>
      </c>
      <c r="B1479" s="38" t="n">
        <v>46265.5685648148</v>
      </c>
      <c r="C1479" s="37" t="s">
        <v>320</v>
      </c>
      <c r="D1479" s="37" t="s">
        <v>792</v>
      </c>
      <c r="E1479" s="37" t="n">
        <v>28637000</v>
      </c>
      <c r="F1479" s="37" t="s">
        <v>265</v>
      </c>
      <c r="G1479" s="37" t="s">
        <v>201</v>
      </c>
      <c r="H1479" s="37" t="s">
        <v>171</v>
      </c>
      <c r="I1479" s="37" t="n">
        <v>52.3</v>
      </c>
      <c r="J1479" s="39" t="n">
        <v>699.99</v>
      </c>
      <c r="K1479" s="37" t="s">
        <v>322</v>
      </c>
      <c r="L1479" s="39" t="n">
        <v>143.02</v>
      </c>
      <c r="M1479" s="39" t="n">
        <v>103.6</v>
      </c>
      <c r="N1479" s="39" t="n">
        <f aca="false">J1479*Resumo!$C$7</f>
        <v>1.39998</v>
      </c>
      <c r="O1479" s="39" t="n">
        <f aca="false">J1479*Resumo!$C$8</f>
        <v>1.39998</v>
      </c>
      <c r="P1479" s="39" t="n">
        <f aca="false">Resumo!$C$10*CEILING(I1479/100,1)</f>
        <v>1</v>
      </c>
      <c r="Q1479" s="39" t="n">
        <f aca="false">Resumo!$C$9</f>
        <v>11.9</v>
      </c>
      <c r="R1479" s="39" t="n">
        <f aca="false">SUM(M1479:Q1479)*Resumo!$C$11</f>
        <v>6.5614978</v>
      </c>
      <c r="S1479" s="39" t="n">
        <f aca="false">SUM(M1479:R1479)</f>
        <v>125.8614578</v>
      </c>
      <c r="T1479" s="39" t="n">
        <f aca="false">S1479/(1-Resumo!$C$5)</f>
        <v>143.024383863636</v>
      </c>
      <c r="U1479" s="39" t="n">
        <v>144.53</v>
      </c>
      <c r="V1479" s="39" t="n">
        <f aca="false">J1479*Resumo!$B$6</f>
        <v>0.69999</v>
      </c>
      <c r="W1479" s="39" t="n">
        <f aca="false">J1479*Resumo!$B$7</f>
        <v>1.39998</v>
      </c>
      <c r="X1479" s="39" t="n">
        <f aca="false">Resumo!$B$9</f>
        <v>1</v>
      </c>
      <c r="Y1479" s="39" t="n">
        <f aca="false">Resumo!$B$10*CEILING(I1479/100,1)</f>
        <v>4.5</v>
      </c>
      <c r="Z1479" s="39" t="n">
        <f aca="false">Resumo!$B$12*CEILING(I1479,1)</f>
        <v>3.18</v>
      </c>
      <c r="AA1479" s="39" t="n">
        <f aca="false">Resumo!$B$13*CEILING(I1479,1)</f>
        <v>23.85</v>
      </c>
      <c r="AB1479" s="39" t="n">
        <f aca="false">SUM(U1479:AA1479)</f>
        <v>179.15997</v>
      </c>
      <c r="AC1479" s="39" t="n">
        <f aca="false">AB1479/(1-Resumo!$B$5)</f>
        <v>203.590875</v>
      </c>
      <c r="AD1479" s="39" t="n">
        <f aca="false">(AB1479-AA1479)/(1-Resumo!$B$5)</f>
        <v>176.488602272727</v>
      </c>
      <c r="AE1479" s="39" t="n">
        <f aca="false">AC1479-T1479</f>
        <v>60.5664911363636</v>
      </c>
      <c r="AF1479" s="40" t="n">
        <f aca="false">AC1479/T1479-1</f>
        <v>0.423469687477273</v>
      </c>
      <c r="AG1479" s="37" t="str">
        <f aca="false">IF(AC1479&lt;T1479,"SIM","NÃO")</f>
        <v>NÃO</v>
      </c>
      <c r="AH1479" s="37" t="n">
        <v>13</v>
      </c>
      <c r="AI1479" s="37" t="n">
        <v>10</v>
      </c>
      <c r="AJ1479" s="37" t="s">
        <v>327</v>
      </c>
    </row>
    <row r="1480" customFormat="false" ht="15" hidden="false" customHeight="false" outlineLevel="0" collapsed="false">
      <c r="A1480" s="37" t="n">
        <v>386636858</v>
      </c>
      <c r="B1480" s="38" t="n">
        <v>46265.6210416667</v>
      </c>
      <c r="C1480" s="37" t="s">
        <v>325</v>
      </c>
      <c r="D1480" s="37" t="s">
        <v>1684</v>
      </c>
      <c r="E1480" s="37" t="n">
        <v>28035053</v>
      </c>
      <c r="F1480" s="37" t="s">
        <v>144</v>
      </c>
      <c r="G1480" s="37" t="s">
        <v>201</v>
      </c>
      <c r="H1480" s="37" t="s">
        <v>175</v>
      </c>
      <c r="I1480" s="37" t="n">
        <v>106.5</v>
      </c>
      <c r="J1480" s="39" t="n">
        <v>1083.69</v>
      </c>
      <c r="K1480" s="37" t="s">
        <v>322</v>
      </c>
      <c r="L1480" s="39" t="n">
        <v>215.85</v>
      </c>
      <c r="M1480" s="39" t="n">
        <v>161.81</v>
      </c>
      <c r="N1480" s="39" t="n">
        <f aca="false">J1480*Resumo!$C$7</f>
        <v>2.16738</v>
      </c>
      <c r="O1480" s="39" t="n">
        <f aca="false">J1480*Resumo!$C$8</f>
        <v>2.16738</v>
      </c>
      <c r="P1480" s="39" t="n">
        <f aca="false">Resumo!$C$10*CEILING(I1480/100,1)</f>
        <v>2</v>
      </c>
      <c r="Q1480" s="39" t="n">
        <f aca="false">Resumo!$C$9</f>
        <v>11.9</v>
      </c>
      <c r="R1480" s="39" t="n">
        <f aca="false">SUM(M1480:Q1480)*Resumo!$C$11</f>
        <v>9.9024618</v>
      </c>
      <c r="S1480" s="39" t="n">
        <f aca="false">SUM(M1480:R1480)</f>
        <v>189.9472218</v>
      </c>
      <c r="T1480" s="39" t="n">
        <f aca="false">S1480/(1-Resumo!$C$5)</f>
        <v>215.849115681818</v>
      </c>
      <c r="U1480" s="39" t="n">
        <v>236.82</v>
      </c>
      <c r="V1480" s="39" t="n">
        <f aca="false">J1480*Resumo!$B$6</f>
        <v>1.08369</v>
      </c>
      <c r="W1480" s="39" t="n">
        <f aca="false">J1480*Resumo!$B$7</f>
        <v>2.16738</v>
      </c>
      <c r="X1480" s="39" t="n">
        <f aca="false">Resumo!$B$9</f>
        <v>1</v>
      </c>
      <c r="Y1480" s="39" t="n">
        <f aca="false">Resumo!$B$10*CEILING(I1480/100,1)</f>
        <v>9</v>
      </c>
      <c r="Z1480" s="39" t="n">
        <f aca="false">Resumo!$B$12*CEILING(I1480,1)</f>
        <v>6.42</v>
      </c>
      <c r="AA1480" s="39" t="n">
        <f aca="false">Resumo!$B$13*CEILING(I1480,1)</f>
        <v>48.15</v>
      </c>
      <c r="AB1480" s="39" t="n">
        <f aca="false">SUM(U1480:AA1480)</f>
        <v>304.64107</v>
      </c>
      <c r="AC1480" s="39" t="n">
        <f aca="false">AB1480/(1-Resumo!$B$5)</f>
        <v>346.183034090909</v>
      </c>
      <c r="AD1480" s="39" t="n">
        <f aca="false">(AB1480-AA1480)/(1-Resumo!$B$5)</f>
        <v>291.467125</v>
      </c>
      <c r="AE1480" s="39" t="n">
        <f aca="false">AC1480-T1480</f>
        <v>130.333918409091</v>
      </c>
      <c r="AF1480" s="40" t="n">
        <f aca="false">AC1480/T1480-1</f>
        <v>0.603819561629408</v>
      </c>
      <c r="AG1480" s="37" t="str">
        <f aca="false">IF(AC1480&lt;T1480,"SIM","NÃO")</f>
        <v>NÃO</v>
      </c>
      <c r="AH1480" s="37" t="n">
        <v>13</v>
      </c>
      <c r="AI1480" s="37" t="n">
        <v>11</v>
      </c>
      <c r="AJ1480" s="37" t="s">
        <v>323</v>
      </c>
    </row>
    <row r="1481" customFormat="false" ht="15" hidden="false" customHeight="false" outlineLevel="0" collapsed="false">
      <c r="A1481" s="37" t="n">
        <v>386563645</v>
      </c>
      <c r="B1481" s="38" t="n">
        <v>46265.6374189815</v>
      </c>
      <c r="C1481" s="37" t="s">
        <v>320</v>
      </c>
      <c r="D1481" s="37" t="s">
        <v>1685</v>
      </c>
      <c r="E1481" s="37" t="n">
        <v>23585126</v>
      </c>
      <c r="F1481" s="37" t="s">
        <v>139</v>
      </c>
      <c r="G1481" s="37" t="s">
        <v>198</v>
      </c>
      <c r="H1481" s="37" t="s">
        <v>168</v>
      </c>
      <c r="I1481" s="37" t="n">
        <v>27.4</v>
      </c>
      <c r="J1481" s="39" t="n">
        <v>329.99</v>
      </c>
      <c r="K1481" s="37" t="s">
        <v>322</v>
      </c>
      <c r="L1481" s="39" t="n">
        <v>81.91</v>
      </c>
      <c r="M1481" s="39" t="n">
        <v>54.1</v>
      </c>
      <c r="N1481" s="39" t="n">
        <f aca="false">J1481*Resumo!$C$7</f>
        <v>0.65998</v>
      </c>
      <c r="O1481" s="39" t="n">
        <f aca="false">J1481*Resumo!$C$8</f>
        <v>0.65998</v>
      </c>
      <c r="P1481" s="39" t="n">
        <f aca="false">Resumo!$C$10*CEILING(I1481/100,1)</f>
        <v>1</v>
      </c>
      <c r="Q1481" s="39" t="n">
        <f aca="false">Resumo!$C$9</f>
        <v>11.9</v>
      </c>
      <c r="R1481" s="39" t="n">
        <f aca="false">SUM(M1481:Q1481)*Resumo!$C$11</f>
        <v>3.7575978</v>
      </c>
      <c r="S1481" s="39" t="n">
        <f aca="false">SUM(M1481:R1481)</f>
        <v>72.0775578</v>
      </c>
      <c r="T1481" s="39" t="n">
        <f aca="false">S1481/(1-Resumo!$C$5)</f>
        <v>81.9063156818182</v>
      </c>
      <c r="U1481" s="39" t="n">
        <v>82.21</v>
      </c>
      <c r="V1481" s="39" t="n">
        <f aca="false">J1481*Resumo!$B$6</f>
        <v>0.32999</v>
      </c>
      <c r="W1481" s="39" t="n">
        <f aca="false">J1481*Resumo!$B$7</f>
        <v>0.65998</v>
      </c>
      <c r="X1481" s="39" t="n">
        <f aca="false">Resumo!$B$9</f>
        <v>1</v>
      </c>
      <c r="Y1481" s="39" t="n">
        <f aca="false">Resumo!$B$10*CEILING(I1481/100,1)</f>
        <v>4.5</v>
      </c>
      <c r="Z1481" s="39" t="n">
        <f aca="false">Resumo!$B$12*CEILING(I1481,1)</f>
        <v>1.68</v>
      </c>
      <c r="AA1481" s="39" t="n">
        <f aca="false">Resumo!$B$13*CEILING(I1481,1)</f>
        <v>12.6</v>
      </c>
      <c r="AB1481" s="39" t="n">
        <f aca="false">SUM(U1481:AA1481)</f>
        <v>102.97997</v>
      </c>
      <c r="AC1481" s="39" t="n">
        <f aca="false">AB1481/(1-Resumo!$B$5)</f>
        <v>117.022693181818</v>
      </c>
      <c r="AD1481" s="39" t="n">
        <f aca="false">(AB1481-AA1481)/(1-Resumo!$B$5)</f>
        <v>102.704511363636</v>
      </c>
      <c r="AE1481" s="39" t="n">
        <f aca="false">AC1481-T1481</f>
        <v>35.1163775</v>
      </c>
      <c r="AF1481" s="40" t="n">
        <f aca="false">AC1481/T1481-1</f>
        <v>0.428738336081637</v>
      </c>
      <c r="AG1481" s="37" t="str">
        <f aca="false">IF(AC1481&lt;T1481,"SIM","NÃO")</f>
        <v>NÃO</v>
      </c>
      <c r="AH1481" s="37" t="n">
        <v>8</v>
      </c>
      <c r="AI1481" s="37" t="n">
        <v>5</v>
      </c>
      <c r="AJ1481" s="37" t="s">
        <v>323</v>
      </c>
    </row>
    <row r="1482" customFormat="false" ht="15" hidden="false" customHeight="false" outlineLevel="0" collapsed="false">
      <c r="A1482" s="37" t="n">
        <v>386620753</v>
      </c>
      <c r="B1482" s="38" t="n">
        <v>46265.7176273148</v>
      </c>
      <c r="C1482" s="37" t="s">
        <v>320</v>
      </c>
      <c r="D1482" s="37" t="s">
        <v>1686</v>
      </c>
      <c r="E1482" s="37" t="n">
        <v>25045730</v>
      </c>
      <c r="F1482" s="37" t="s">
        <v>141</v>
      </c>
      <c r="G1482" s="37" t="s">
        <v>207</v>
      </c>
      <c r="H1482" s="37" t="s">
        <v>171</v>
      </c>
      <c r="I1482" s="37" t="n">
        <v>52.3</v>
      </c>
      <c r="J1482" s="39" t="n">
        <v>699.99</v>
      </c>
      <c r="K1482" s="37" t="s">
        <v>322</v>
      </c>
      <c r="L1482" s="39" t="n">
        <v>128.64</v>
      </c>
      <c r="M1482" s="39" t="n">
        <v>91.6</v>
      </c>
      <c r="N1482" s="39" t="n">
        <f aca="false">J1482*Resumo!$C$7</f>
        <v>1.39998</v>
      </c>
      <c r="O1482" s="39" t="n">
        <f aca="false">J1482*Resumo!$C$8</f>
        <v>1.39998</v>
      </c>
      <c r="P1482" s="39" t="n">
        <f aca="false">Resumo!$C$10*CEILING(I1482/100,1)</f>
        <v>1</v>
      </c>
      <c r="Q1482" s="39" t="n">
        <f aca="false">Resumo!$C$9</f>
        <v>11.9</v>
      </c>
      <c r="R1482" s="39" t="n">
        <f aca="false">SUM(M1482:Q1482)*Resumo!$C$11</f>
        <v>5.9014978</v>
      </c>
      <c r="S1482" s="39" t="n">
        <f aca="false">SUM(M1482:R1482)</f>
        <v>113.2014578</v>
      </c>
      <c r="T1482" s="39" t="n">
        <f aca="false">S1482/(1-Resumo!$C$5)</f>
        <v>128.638020227273</v>
      </c>
      <c r="U1482" s="39" t="n">
        <v>112.3</v>
      </c>
      <c r="V1482" s="39" t="n">
        <f aca="false">J1482*Resumo!$B$6</f>
        <v>0.69999</v>
      </c>
      <c r="W1482" s="39" t="n">
        <f aca="false">J1482*Resumo!$B$7</f>
        <v>1.39998</v>
      </c>
      <c r="X1482" s="39" t="n">
        <f aca="false">Resumo!$B$9</f>
        <v>1</v>
      </c>
      <c r="Y1482" s="39" t="n">
        <f aca="false">Resumo!$B$10*CEILING(I1482/100,1)</f>
        <v>4.5</v>
      </c>
      <c r="Z1482" s="39" t="n">
        <f aca="false">Resumo!$B$12*CEILING(I1482,1)</f>
        <v>3.18</v>
      </c>
      <c r="AA1482" s="39" t="n">
        <f aca="false">Resumo!$B$13*CEILING(I1482,1)</f>
        <v>23.85</v>
      </c>
      <c r="AB1482" s="39" t="n">
        <f aca="false">SUM(U1482:AA1482)</f>
        <v>146.92997</v>
      </c>
      <c r="AC1482" s="39" t="n">
        <f aca="false">AB1482/(1-Resumo!$B$5)</f>
        <v>166.965875</v>
      </c>
      <c r="AD1482" s="39" t="n">
        <f aca="false">(AB1482-AA1482)/(1-Resumo!$B$5)</f>
        <v>139.863602272727</v>
      </c>
      <c r="AE1482" s="39" t="n">
        <f aca="false">AC1482-T1482</f>
        <v>38.3278547727273</v>
      </c>
      <c r="AF1482" s="40" t="n">
        <f aca="false">AC1482/T1482-1</f>
        <v>0.297951217727162</v>
      </c>
      <c r="AG1482" s="37" t="str">
        <f aca="false">IF(AC1482&lt;T1482,"SIM","NÃO")</f>
        <v>NÃO</v>
      </c>
      <c r="AH1482" s="37" t="n">
        <v>10</v>
      </c>
      <c r="AI1482" s="37" t="n">
        <v>5</v>
      </c>
      <c r="AJ1482" s="37" t="s">
        <v>323</v>
      </c>
    </row>
    <row r="1483" customFormat="false" ht="15" hidden="false" customHeight="false" outlineLevel="0" collapsed="false">
      <c r="A1483" s="37" t="n">
        <v>386645225</v>
      </c>
      <c r="B1483" s="38" t="n">
        <v>46265.765150463</v>
      </c>
      <c r="C1483" s="37" t="s">
        <v>341</v>
      </c>
      <c r="D1483" s="37" t="s">
        <v>1687</v>
      </c>
      <c r="E1483" s="37" t="n">
        <v>26420000</v>
      </c>
      <c r="F1483" s="37" t="s">
        <v>223</v>
      </c>
      <c r="G1483" s="37" t="s">
        <v>201</v>
      </c>
      <c r="H1483" s="37" t="s">
        <v>168</v>
      </c>
      <c r="I1483" s="37" t="n">
        <v>33</v>
      </c>
      <c r="J1483" s="39" t="n">
        <v>433.49</v>
      </c>
      <c r="K1483" s="37" t="s">
        <v>322</v>
      </c>
      <c r="L1483" s="39" t="n">
        <v>109.26</v>
      </c>
      <c r="M1483" s="39" t="n">
        <v>76.5</v>
      </c>
      <c r="N1483" s="39" t="n">
        <f aca="false">J1483*Resumo!$C$7</f>
        <v>0.86698</v>
      </c>
      <c r="O1483" s="39" t="n">
        <f aca="false">J1483*Resumo!$C$8</f>
        <v>0.86698</v>
      </c>
      <c r="P1483" s="39" t="n">
        <f aca="false">Resumo!$C$10*CEILING(I1483/100,1)</f>
        <v>1</v>
      </c>
      <c r="Q1483" s="39" t="n">
        <f aca="false">Resumo!$C$9</f>
        <v>11.9</v>
      </c>
      <c r="R1483" s="39" t="n">
        <f aca="false">SUM(M1483:Q1483)*Resumo!$C$11</f>
        <v>5.0123678</v>
      </c>
      <c r="S1483" s="39" t="n">
        <f aca="false">SUM(M1483:R1483)</f>
        <v>96.1463278</v>
      </c>
      <c r="T1483" s="39" t="n">
        <f aca="false">S1483/(1-Resumo!$C$5)</f>
        <v>109.257190681818</v>
      </c>
      <c r="U1483" s="39" t="n">
        <v>82.21</v>
      </c>
      <c r="V1483" s="39" t="n">
        <f aca="false">J1483*Resumo!$B$6</f>
        <v>0.43349</v>
      </c>
      <c r="W1483" s="39" t="n">
        <f aca="false">J1483*Resumo!$B$7</f>
        <v>0.86698</v>
      </c>
      <c r="X1483" s="39" t="n">
        <f aca="false">Resumo!$B$9</f>
        <v>1</v>
      </c>
      <c r="Y1483" s="39" t="n">
        <f aca="false">Resumo!$B$10*CEILING(I1483/100,1)</f>
        <v>4.5</v>
      </c>
      <c r="Z1483" s="39" t="n">
        <f aca="false">Resumo!$B$12*CEILING(I1483,1)</f>
        <v>1.98</v>
      </c>
      <c r="AA1483" s="39" t="n">
        <f aca="false">Resumo!$B$13*CEILING(I1483,1)</f>
        <v>14.85</v>
      </c>
      <c r="AB1483" s="39" t="n">
        <f aca="false">SUM(U1483:AA1483)</f>
        <v>105.84047</v>
      </c>
      <c r="AC1483" s="39" t="n">
        <f aca="false">AB1483/(1-Resumo!$B$5)</f>
        <v>120.273261363636</v>
      </c>
      <c r="AD1483" s="39" t="n">
        <f aca="false">(AB1483-AA1483)/(1-Resumo!$B$5)</f>
        <v>103.398261363636</v>
      </c>
      <c r="AE1483" s="39" t="n">
        <f aca="false">AC1483-T1483</f>
        <v>11.0160706818182</v>
      </c>
      <c r="AF1483" s="40" t="n">
        <f aca="false">AC1483/T1483-1</f>
        <v>0.100826962628936</v>
      </c>
      <c r="AG1483" s="37" t="str">
        <f aca="false">IF(AC1483&lt;T1483,"SIM","NÃO")</f>
        <v>NÃO</v>
      </c>
      <c r="AH1483" s="37" t="n">
        <v>13</v>
      </c>
      <c r="AI1483" s="37" t="n">
        <v>5</v>
      </c>
      <c r="AJ1483" s="37" t="s">
        <v>327</v>
      </c>
    </row>
    <row r="1484" customFormat="false" ht="15" hidden="false" customHeight="false" outlineLevel="0" collapsed="false">
      <c r="A1484" s="37" t="n">
        <v>386682340</v>
      </c>
      <c r="B1484" s="38" t="n">
        <v>46265.8141203704</v>
      </c>
      <c r="C1484" s="37" t="s">
        <v>325</v>
      </c>
      <c r="D1484" s="37" t="s">
        <v>1688</v>
      </c>
      <c r="E1484" s="37" t="n">
        <v>21370200</v>
      </c>
      <c r="F1484" s="37" t="s">
        <v>139</v>
      </c>
      <c r="G1484" s="37" t="s">
        <v>198</v>
      </c>
      <c r="H1484" s="37" t="s">
        <v>171</v>
      </c>
      <c r="I1484" s="37" t="n">
        <v>52.3</v>
      </c>
      <c r="J1484" s="39" t="n">
        <v>640.18</v>
      </c>
      <c r="K1484" s="37" t="s">
        <v>322</v>
      </c>
      <c r="L1484" s="39" t="n">
        <v>114.22</v>
      </c>
      <c r="M1484" s="39" t="n">
        <v>79.81</v>
      </c>
      <c r="N1484" s="39" t="n">
        <f aca="false">J1484*Resumo!$C$7</f>
        <v>1.28036</v>
      </c>
      <c r="O1484" s="39" t="n">
        <f aca="false">J1484*Resumo!$C$8</f>
        <v>1.28036</v>
      </c>
      <c r="P1484" s="39" t="n">
        <f aca="false">Resumo!$C$10*CEILING(I1484/100,1)</f>
        <v>1</v>
      </c>
      <c r="Q1484" s="39" t="n">
        <f aca="false">Resumo!$C$9</f>
        <v>11.9</v>
      </c>
      <c r="R1484" s="39" t="n">
        <f aca="false">SUM(M1484:Q1484)*Resumo!$C$11</f>
        <v>5.2398896</v>
      </c>
      <c r="S1484" s="39" t="n">
        <f aca="false">SUM(M1484:R1484)</f>
        <v>100.5106096</v>
      </c>
      <c r="T1484" s="39" t="n">
        <f aca="false">S1484/(1-Resumo!$C$5)</f>
        <v>114.216601818182</v>
      </c>
      <c r="U1484" s="39" t="n">
        <v>112.3</v>
      </c>
      <c r="V1484" s="39" t="n">
        <f aca="false">J1484*Resumo!$B$6</f>
        <v>0.64018</v>
      </c>
      <c r="W1484" s="39" t="n">
        <f aca="false">J1484*Resumo!$B$7</f>
        <v>1.28036</v>
      </c>
      <c r="X1484" s="39" t="n">
        <f aca="false">Resumo!$B$9</f>
        <v>1</v>
      </c>
      <c r="Y1484" s="39" t="n">
        <f aca="false">Resumo!$B$10*CEILING(I1484/100,1)</f>
        <v>4.5</v>
      </c>
      <c r="Z1484" s="39" t="n">
        <f aca="false">Resumo!$B$12*CEILING(I1484,1)</f>
        <v>3.18</v>
      </c>
      <c r="AA1484" s="39" t="n">
        <f aca="false">Resumo!$B$13*CEILING(I1484,1)</f>
        <v>23.85</v>
      </c>
      <c r="AB1484" s="39" t="n">
        <f aca="false">SUM(U1484:AA1484)</f>
        <v>146.75054</v>
      </c>
      <c r="AC1484" s="39" t="n">
        <f aca="false">AB1484/(1-Resumo!$B$5)</f>
        <v>166.761977272727</v>
      </c>
      <c r="AD1484" s="39" t="n">
        <f aca="false">(AB1484-AA1484)/(1-Resumo!$B$5)</f>
        <v>139.659704545455</v>
      </c>
      <c r="AE1484" s="39" t="n">
        <f aca="false">AC1484-T1484</f>
        <v>52.5453754545455</v>
      </c>
      <c r="AF1484" s="40" t="n">
        <f aca="false">AC1484/T1484-1</f>
        <v>0.460050243292923</v>
      </c>
      <c r="AG1484" s="37" t="str">
        <f aca="false">IF(AC1484&lt;T1484,"SIM","NÃO")</f>
        <v>NÃO</v>
      </c>
      <c r="AH1484" s="37" t="n">
        <v>8</v>
      </c>
      <c r="AI1484" s="37" t="n">
        <v>5</v>
      </c>
      <c r="AJ1484" s="37" t="s">
        <v>323</v>
      </c>
    </row>
    <row r="1485" customFormat="false" ht="15" hidden="false" customHeight="false" outlineLevel="0" collapsed="false">
      <c r="A1485" s="37" t="n">
        <v>386697696</v>
      </c>
      <c r="B1485" s="38" t="n">
        <v>46265.8376273148</v>
      </c>
      <c r="C1485" s="37" t="s">
        <v>320</v>
      </c>
      <c r="D1485" s="37" t="s">
        <v>1689</v>
      </c>
      <c r="E1485" s="37" t="n">
        <v>22745270</v>
      </c>
      <c r="F1485" s="37" t="s">
        <v>139</v>
      </c>
      <c r="G1485" s="37" t="s">
        <v>198</v>
      </c>
      <c r="H1485" s="37" t="s">
        <v>171</v>
      </c>
      <c r="I1485" s="37" t="n">
        <v>52.3</v>
      </c>
      <c r="J1485" s="39" t="n">
        <v>627.28</v>
      </c>
      <c r="K1485" s="37" t="s">
        <v>322</v>
      </c>
      <c r="L1485" s="39" t="n">
        <v>114.15</v>
      </c>
      <c r="M1485" s="39" t="n">
        <v>79.81</v>
      </c>
      <c r="N1485" s="39" t="n">
        <f aca="false">J1485*Resumo!$C$7</f>
        <v>1.25456</v>
      </c>
      <c r="O1485" s="39" t="n">
        <f aca="false">J1485*Resumo!$C$8</f>
        <v>1.25456</v>
      </c>
      <c r="P1485" s="39" t="n">
        <f aca="false">Resumo!$C$10*CEILING(I1485/100,1)</f>
        <v>1</v>
      </c>
      <c r="Q1485" s="39" t="n">
        <f aca="false">Resumo!$C$9</f>
        <v>11.9</v>
      </c>
      <c r="R1485" s="39" t="n">
        <f aca="false">SUM(M1485:Q1485)*Resumo!$C$11</f>
        <v>5.2370516</v>
      </c>
      <c r="S1485" s="39" t="n">
        <f aca="false">SUM(M1485:R1485)</f>
        <v>100.4561716</v>
      </c>
      <c r="T1485" s="39" t="n">
        <f aca="false">S1485/(1-Resumo!$C$5)</f>
        <v>114.154740454545</v>
      </c>
      <c r="U1485" s="39" t="n">
        <v>112.3</v>
      </c>
      <c r="V1485" s="39" t="n">
        <f aca="false">J1485*Resumo!$B$6</f>
        <v>0.62728</v>
      </c>
      <c r="W1485" s="39" t="n">
        <f aca="false">J1485*Resumo!$B$7</f>
        <v>1.25456</v>
      </c>
      <c r="X1485" s="39" t="n">
        <f aca="false">Resumo!$B$9</f>
        <v>1</v>
      </c>
      <c r="Y1485" s="39" t="n">
        <f aca="false">Resumo!$B$10*CEILING(I1485/100,1)</f>
        <v>4.5</v>
      </c>
      <c r="Z1485" s="39" t="n">
        <f aca="false">Resumo!$B$12*CEILING(I1485,1)</f>
        <v>3.18</v>
      </c>
      <c r="AA1485" s="39" t="n">
        <f aca="false">Resumo!$B$13*CEILING(I1485,1)</f>
        <v>23.85</v>
      </c>
      <c r="AB1485" s="39" t="n">
        <f aca="false">SUM(U1485:AA1485)</f>
        <v>146.71184</v>
      </c>
      <c r="AC1485" s="39" t="n">
        <f aca="false">AB1485/(1-Resumo!$B$5)</f>
        <v>166.718</v>
      </c>
      <c r="AD1485" s="39" t="n">
        <f aca="false">(AB1485-AA1485)/(1-Resumo!$B$5)</f>
        <v>139.615727272727</v>
      </c>
      <c r="AE1485" s="39" t="n">
        <f aca="false">AC1485-T1485</f>
        <v>52.5632595454545</v>
      </c>
      <c r="AF1485" s="40" t="n">
        <f aca="false">AC1485/T1485-1</f>
        <v>0.46045621352347</v>
      </c>
      <c r="AG1485" s="37" t="str">
        <f aca="false">IF(AC1485&lt;T1485,"SIM","NÃO")</f>
        <v>NÃO</v>
      </c>
      <c r="AH1485" s="37" t="n">
        <v>8</v>
      </c>
      <c r="AI1485" s="37" t="n">
        <v>5</v>
      </c>
      <c r="AJ1485" s="37" t="s">
        <v>323</v>
      </c>
    </row>
    <row r="1486" customFormat="false" ht="15" hidden="false" customHeight="false" outlineLevel="0" collapsed="false">
      <c r="A1486" s="37" t="n">
        <v>386714403</v>
      </c>
      <c r="B1486" s="38" t="n">
        <v>46265.862337963</v>
      </c>
      <c r="C1486" s="37" t="s">
        <v>320</v>
      </c>
      <c r="D1486" s="37" t="s">
        <v>1690</v>
      </c>
      <c r="E1486" s="37" t="n">
        <v>27321620</v>
      </c>
      <c r="F1486" s="37" t="s">
        <v>233</v>
      </c>
      <c r="G1486" s="37" t="s">
        <v>201</v>
      </c>
      <c r="H1486" s="37" t="s">
        <v>176</v>
      </c>
      <c r="I1486" s="37" t="n">
        <v>125.8</v>
      </c>
      <c r="J1486" s="39" t="n">
        <v>1999.99</v>
      </c>
      <c r="K1486" s="37" t="s">
        <v>322</v>
      </c>
      <c r="L1486" s="39" t="n">
        <v>262.87</v>
      </c>
      <c r="M1486" s="39" t="n">
        <v>197.37</v>
      </c>
      <c r="N1486" s="39" t="n">
        <f aca="false">J1486*Resumo!$C$7</f>
        <v>3.99998</v>
      </c>
      <c r="O1486" s="39" t="n">
        <f aca="false">J1486*Resumo!$C$8</f>
        <v>3.99998</v>
      </c>
      <c r="P1486" s="39" t="n">
        <f aca="false">Resumo!$C$10*CEILING(I1486/100,1)</f>
        <v>2</v>
      </c>
      <c r="Q1486" s="39" t="n">
        <f aca="false">Resumo!$C$9</f>
        <v>11.9</v>
      </c>
      <c r="R1486" s="39" t="n">
        <f aca="false">SUM(M1486:Q1486)*Resumo!$C$11</f>
        <v>12.0598478</v>
      </c>
      <c r="S1486" s="39" t="n">
        <f aca="false">SUM(M1486:R1486)</f>
        <v>231.3298078</v>
      </c>
      <c r="T1486" s="39" t="n">
        <f aca="false">S1486/(1-Resumo!$C$5)</f>
        <v>262.874781590909</v>
      </c>
      <c r="U1486" s="39" t="n">
        <v>264.84</v>
      </c>
      <c r="V1486" s="39" t="n">
        <f aca="false">J1486*Resumo!$B$6</f>
        <v>1.99999</v>
      </c>
      <c r="W1486" s="39" t="n">
        <f aca="false">J1486*Resumo!$B$7</f>
        <v>3.99998</v>
      </c>
      <c r="X1486" s="39" t="n">
        <f aca="false">Resumo!$B$9</f>
        <v>1</v>
      </c>
      <c r="Y1486" s="39" t="n">
        <f aca="false">Resumo!$B$10*CEILING(I1486/100,1)</f>
        <v>9</v>
      </c>
      <c r="Z1486" s="39" t="n">
        <f aca="false">Resumo!$B$12*CEILING(I1486,1)</f>
        <v>7.56</v>
      </c>
      <c r="AA1486" s="39" t="n">
        <f aca="false">Resumo!$B$13*CEILING(I1486,1)</f>
        <v>56.7</v>
      </c>
      <c r="AB1486" s="39" t="n">
        <f aca="false">SUM(U1486:AA1486)</f>
        <v>345.09997</v>
      </c>
      <c r="AC1486" s="39" t="n">
        <f aca="false">AB1486/(1-Resumo!$B$5)</f>
        <v>392.159056818182</v>
      </c>
      <c r="AD1486" s="39" t="n">
        <f aca="false">(AB1486-AA1486)/(1-Resumo!$B$5)</f>
        <v>327.727238636364</v>
      </c>
      <c r="AE1486" s="39" t="n">
        <f aca="false">AC1486-T1486</f>
        <v>129.284275227273</v>
      </c>
      <c r="AF1486" s="40" t="n">
        <f aca="false">AC1486/T1486-1</f>
        <v>0.491809349093316</v>
      </c>
      <c r="AG1486" s="37" t="str">
        <f aca="false">IF(AC1486&lt;T1486,"SIM","NÃO")</f>
        <v>NÃO</v>
      </c>
      <c r="AH1486" s="37" t="n">
        <v>13</v>
      </c>
      <c r="AI1486" s="37" t="n">
        <v>10</v>
      </c>
      <c r="AJ1486" s="37" t="s">
        <v>327</v>
      </c>
    </row>
    <row r="1487" customFormat="false" ht="15" hidden="false" customHeight="false" outlineLevel="0" collapsed="false">
      <c r="A1487" s="37" t="n">
        <v>386717087</v>
      </c>
      <c r="B1487" s="38" t="n">
        <v>46265.8661111111</v>
      </c>
      <c r="C1487" s="37" t="s">
        <v>320</v>
      </c>
      <c r="D1487" s="37" t="s">
        <v>1691</v>
      </c>
      <c r="E1487" s="37" t="n">
        <v>28021340</v>
      </c>
      <c r="F1487" s="37" t="s">
        <v>144</v>
      </c>
      <c r="G1487" s="37" t="s">
        <v>201</v>
      </c>
      <c r="H1487" s="37" t="s">
        <v>172</v>
      </c>
      <c r="I1487" s="37" t="n">
        <v>69</v>
      </c>
      <c r="J1487" s="39" t="n">
        <v>799.99</v>
      </c>
      <c r="K1487" s="37" t="s">
        <v>322</v>
      </c>
      <c r="L1487" s="39" t="n">
        <v>155.85</v>
      </c>
      <c r="M1487" s="39" t="n">
        <v>113.9</v>
      </c>
      <c r="N1487" s="39" t="n">
        <f aca="false">J1487*Resumo!$C$7</f>
        <v>1.59998</v>
      </c>
      <c r="O1487" s="39" t="n">
        <f aca="false">J1487*Resumo!$C$8</f>
        <v>1.59998</v>
      </c>
      <c r="P1487" s="39" t="n">
        <f aca="false">Resumo!$C$10*CEILING(I1487/100,1)</f>
        <v>1</v>
      </c>
      <c r="Q1487" s="39" t="n">
        <f aca="false">Resumo!$C$9</f>
        <v>11.9</v>
      </c>
      <c r="R1487" s="39" t="n">
        <f aca="false">SUM(M1487:Q1487)*Resumo!$C$11</f>
        <v>7.1499978</v>
      </c>
      <c r="S1487" s="39" t="n">
        <f aca="false">SUM(M1487:R1487)</f>
        <v>137.1499578</v>
      </c>
      <c r="T1487" s="39" t="n">
        <f aca="false">S1487/(1-Resumo!$C$5)</f>
        <v>155.852224772727</v>
      </c>
      <c r="U1487" s="39" t="n">
        <v>171.54</v>
      </c>
      <c r="V1487" s="39" t="n">
        <f aca="false">J1487*Resumo!$B$6</f>
        <v>0.79999</v>
      </c>
      <c r="W1487" s="39" t="n">
        <f aca="false">J1487*Resumo!$B$7</f>
        <v>1.59998</v>
      </c>
      <c r="X1487" s="39" t="n">
        <f aca="false">Resumo!$B$9</f>
        <v>1</v>
      </c>
      <c r="Y1487" s="39" t="n">
        <f aca="false">Resumo!$B$10*CEILING(I1487/100,1)</f>
        <v>4.5</v>
      </c>
      <c r="Z1487" s="39" t="n">
        <f aca="false">Resumo!$B$12*CEILING(I1487,1)</f>
        <v>4.14</v>
      </c>
      <c r="AA1487" s="39" t="n">
        <f aca="false">Resumo!$B$13*CEILING(I1487,1)</f>
        <v>31.05</v>
      </c>
      <c r="AB1487" s="39" t="n">
        <f aca="false">SUM(U1487:AA1487)</f>
        <v>214.62997</v>
      </c>
      <c r="AC1487" s="39" t="n">
        <f aca="false">AB1487/(1-Resumo!$B$5)</f>
        <v>243.897693181818</v>
      </c>
      <c r="AD1487" s="39" t="n">
        <f aca="false">(AB1487-AA1487)/(1-Resumo!$B$5)</f>
        <v>208.613602272727</v>
      </c>
      <c r="AE1487" s="39" t="n">
        <f aca="false">AC1487-T1487</f>
        <v>88.0454684090909</v>
      </c>
      <c r="AF1487" s="40" t="n">
        <f aca="false">AC1487/T1487-1</f>
        <v>0.564929172730668</v>
      </c>
      <c r="AG1487" s="37" t="str">
        <f aca="false">IF(AC1487&lt;T1487,"SIM","NÃO")</f>
        <v>NÃO</v>
      </c>
      <c r="AH1487" s="37" t="n">
        <v>13</v>
      </c>
      <c r="AI1487" s="37" t="n">
        <v>11</v>
      </c>
      <c r="AJ1487" s="37" t="s">
        <v>323</v>
      </c>
    </row>
    <row r="1488" customFormat="false" ht="15" hidden="false" customHeight="false" outlineLevel="0" collapsed="false">
      <c r="A1488" s="37" t="n">
        <v>386724446</v>
      </c>
      <c r="B1488" s="38" t="n">
        <v>46265.8765625</v>
      </c>
      <c r="C1488" s="37" t="s">
        <v>320</v>
      </c>
      <c r="D1488" s="37" t="s">
        <v>1692</v>
      </c>
      <c r="E1488" s="37" t="n">
        <v>28613450</v>
      </c>
      <c r="F1488" s="37" t="s">
        <v>157</v>
      </c>
      <c r="G1488" s="37" t="s">
        <v>201</v>
      </c>
      <c r="H1488" s="37" t="s">
        <v>168</v>
      </c>
      <c r="I1488" s="37" t="n">
        <v>31.9</v>
      </c>
      <c r="J1488" s="39" t="n">
        <v>599.99</v>
      </c>
      <c r="K1488" s="37" t="s">
        <v>322</v>
      </c>
      <c r="L1488" s="39" t="n">
        <v>110.06</v>
      </c>
      <c r="M1488" s="39" t="n">
        <v>76.5</v>
      </c>
      <c r="N1488" s="39" t="n">
        <f aca="false">J1488*Resumo!$C$7</f>
        <v>1.19998</v>
      </c>
      <c r="O1488" s="39" t="n">
        <f aca="false">J1488*Resumo!$C$8</f>
        <v>1.19998</v>
      </c>
      <c r="P1488" s="39" t="n">
        <f aca="false">Resumo!$C$10*CEILING(I1488/100,1)</f>
        <v>1</v>
      </c>
      <c r="Q1488" s="39" t="n">
        <f aca="false">Resumo!$C$9</f>
        <v>11.9</v>
      </c>
      <c r="R1488" s="39" t="n">
        <f aca="false">SUM(M1488:Q1488)*Resumo!$C$11</f>
        <v>5.0489978</v>
      </c>
      <c r="S1488" s="39" t="n">
        <f aca="false">SUM(M1488:R1488)</f>
        <v>96.8489578</v>
      </c>
      <c r="T1488" s="39" t="n">
        <f aca="false">S1488/(1-Resumo!$C$5)</f>
        <v>110.055633863636</v>
      </c>
      <c r="U1488" s="39" t="n">
        <v>120.78</v>
      </c>
      <c r="V1488" s="39" t="n">
        <f aca="false">J1488*Resumo!$B$6</f>
        <v>0.59999</v>
      </c>
      <c r="W1488" s="39" t="n">
        <f aca="false">J1488*Resumo!$B$7</f>
        <v>1.19998</v>
      </c>
      <c r="X1488" s="39" t="n">
        <f aca="false">Resumo!$B$9</f>
        <v>1</v>
      </c>
      <c r="Y1488" s="39" t="n">
        <f aca="false">Resumo!$B$10*CEILING(I1488/100,1)</f>
        <v>4.5</v>
      </c>
      <c r="Z1488" s="39" t="n">
        <f aca="false">Resumo!$B$12*CEILING(I1488,1)</f>
        <v>1.92</v>
      </c>
      <c r="AA1488" s="39" t="n">
        <f aca="false">Resumo!$B$13*CEILING(I1488,1)</f>
        <v>14.4</v>
      </c>
      <c r="AB1488" s="39" t="n">
        <f aca="false">SUM(U1488:AA1488)</f>
        <v>144.39997</v>
      </c>
      <c r="AC1488" s="39" t="n">
        <f aca="false">AB1488/(1-Resumo!$B$5)</f>
        <v>164.090875</v>
      </c>
      <c r="AD1488" s="39" t="n">
        <f aca="false">(AB1488-AA1488)/(1-Resumo!$B$5)</f>
        <v>147.727238636364</v>
      </c>
      <c r="AE1488" s="39" t="n">
        <f aca="false">AC1488-T1488</f>
        <v>54.0352411363636</v>
      </c>
      <c r="AF1488" s="40" t="n">
        <f aca="false">AC1488/T1488-1</f>
        <v>0.490981145075368</v>
      </c>
      <c r="AG1488" s="37" t="str">
        <f aca="false">IF(AC1488&lt;T1488,"SIM","NÃO")</f>
        <v>NÃO</v>
      </c>
      <c r="AH1488" s="37" t="n">
        <v>13</v>
      </c>
      <c r="AI1488" s="37" t="n">
        <v>10</v>
      </c>
      <c r="AJ1488" s="37" t="s">
        <v>323</v>
      </c>
    </row>
    <row r="1489" customFormat="false" ht="15" hidden="false" customHeight="false" outlineLevel="0" collapsed="false">
      <c r="A1489" s="37" t="n">
        <v>386758176</v>
      </c>
      <c r="B1489" s="38" t="n">
        <v>46265.9091550926</v>
      </c>
      <c r="C1489" s="37" t="s">
        <v>517</v>
      </c>
      <c r="D1489" s="37" t="s">
        <v>1693</v>
      </c>
      <c r="E1489" s="37" t="n">
        <v>23075006</v>
      </c>
      <c r="F1489" s="37" t="s">
        <v>139</v>
      </c>
      <c r="G1489" s="37" t="s">
        <v>198</v>
      </c>
      <c r="H1489" s="37" t="s">
        <v>170</v>
      </c>
      <c r="I1489" s="37" t="n">
        <v>41</v>
      </c>
      <c r="J1489" s="39" t="n">
        <v>449.28</v>
      </c>
      <c r="K1489" s="37" t="s">
        <v>322</v>
      </c>
      <c r="L1489" s="39" t="n">
        <v>102.74</v>
      </c>
      <c r="M1489" s="39" t="n">
        <v>71</v>
      </c>
      <c r="N1489" s="39" t="n">
        <f aca="false">J1489*Resumo!$C$7</f>
        <v>0.89856</v>
      </c>
      <c r="O1489" s="39" t="n">
        <f aca="false">J1489*Resumo!$C$8</f>
        <v>0.89856</v>
      </c>
      <c r="P1489" s="39" t="n">
        <f aca="false">Resumo!$C$10*CEILING(I1489/100,1)</f>
        <v>1</v>
      </c>
      <c r="Q1489" s="39" t="n">
        <f aca="false">Resumo!$C$9</f>
        <v>11.9</v>
      </c>
      <c r="R1489" s="39" t="n">
        <f aca="false">SUM(M1489:Q1489)*Resumo!$C$11</f>
        <v>4.7133416</v>
      </c>
      <c r="S1489" s="39" t="n">
        <f aca="false">SUM(M1489:R1489)</f>
        <v>90.4104616</v>
      </c>
      <c r="T1489" s="39" t="n">
        <f aca="false">S1489/(1-Resumo!$C$5)</f>
        <v>102.739160909091</v>
      </c>
      <c r="U1489" s="39" t="n">
        <v>93.97</v>
      </c>
      <c r="V1489" s="39" t="n">
        <f aca="false">J1489*Resumo!$B$6</f>
        <v>0.44928</v>
      </c>
      <c r="W1489" s="39" t="n">
        <f aca="false">J1489*Resumo!$B$7</f>
        <v>0.89856</v>
      </c>
      <c r="X1489" s="39" t="n">
        <f aca="false">Resumo!$B$9</f>
        <v>1</v>
      </c>
      <c r="Y1489" s="39" t="n">
        <f aca="false">Resumo!$B$10*CEILING(I1489/100,1)</f>
        <v>4.5</v>
      </c>
      <c r="Z1489" s="39" t="n">
        <f aca="false">Resumo!$B$12*CEILING(I1489,1)</f>
        <v>2.46</v>
      </c>
      <c r="AA1489" s="39" t="n">
        <f aca="false">Resumo!$B$13*CEILING(I1489,1)</f>
        <v>18.45</v>
      </c>
      <c r="AB1489" s="39" t="n">
        <f aca="false">SUM(U1489:AA1489)</f>
        <v>121.72784</v>
      </c>
      <c r="AC1489" s="39" t="n">
        <f aca="false">AB1489/(1-Resumo!$B$5)</f>
        <v>138.327090909091</v>
      </c>
      <c r="AD1489" s="39" t="n">
        <f aca="false">(AB1489-AA1489)/(1-Resumo!$B$5)</f>
        <v>117.361181818182</v>
      </c>
      <c r="AE1489" s="39" t="n">
        <f aca="false">AC1489-T1489</f>
        <v>35.58793</v>
      </c>
      <c r="AF1489" s="40" t="n">
        <f aca="false">AC1489/T1489-1</f>
        <v>0.346391090652279</v>
      </c>
      <c r="AG1489" s="37" t="str">
        <f aca="false">IF(AC1489&lt;T1489,"SIM","NÃO")</f>
        <v>NÃO</v>
      </c>
      <c r="AH1489" s="37" t="n">
        <v>8</v>
      </c>
      <c r="AI1489" s="37" t="n">
        <v>5</v>
      </c>
      <c r="AJ1489" s="37" t="s">
        <v>323</v>
      </c>
    </row>
    <row r="1490" customFormat="false" ht="15" hidden="false" customHeight="false" outlineLevel="0" collapsed="false">
      <c r="A1490" s="37" t="n">
        <v>386747199</v>
      </c>
      <c r="B1490" s="38" t="n">
        <v>46265.9095601852</v>
      </c>
      <c r="C1490" s="37" t="s">
        <v>320</v>
      </c>
      <c r="D1490" s="37" t="s">
        <v>591</v>
      </c>
      <c r="E1490" s="37" t="n">
        <v>24736220</v>
      </c>
      <c r="F1490" s="37" t="s">
        <v>140</v>
      </c>
      <c r="G1490" s="37" t="s">
        <v>207</v>
      </c>
      <c r="H1490" s="37" t="s">
        <v>168</v>
      </c>
      <c r="I1490" s="37" t="n">
        <v>21</v>
      </c>
      <c r="J1490" s="39" t="n">
        <v>399.99</v>
      </c>
      <c r="K1490" s="37" t="s">
        <v>322</v>
      </c>
      <c r="L1490" s="39" t="n">
        <v>101.31</v>
      </c>
      <c r="M1490" s="39" t="n">
        <v>70</v>
      </c>
      <c r="N1490" s="39" t="n">
        <f aca="false">J1490*Resumo!$C$7</f>
        <v>0.79998</v>
      </c>
      <c r="O1490" s="39" t="n">
        <f aca="false">J1490*Resumo!$C$8</f>
        <v>0.79998</v>
      </c>
      <c r="P1490" s="39" t="n">
        <f aca="false">Resumo!$C$10*CEILING(I1490/100,1)</f>
        <v>1</v>
      </c>
      <c r="Q1490" s="39" t="n">
        <f aca="false">Resumo!$C$9</f>
        <v>11.9</v>
      </c>
      <c r="R1490" s="39" t="n">
        <f aca="false">SUM(M1490:Q1490)*Resumo!$C$11</f>
        <v>4.6474978</v>
      </c>
      <c r="S1490" s="39" t="n">
        <f aca="false">SUM(M1490:R1490)</f>
        <v>89.1474578</v>
      </c>
      <c r="T1490" s="39" t="n">
        <f aca="false">S1490/(1-Resumo!$C$5)</f>
        <v>101.303929318182</v>
      </c>
      <c r="U1490" s="39" t="n">
        <v>100.58</v>
      </c>
      <c r="V1490" s="39" t="n">
        <f aca="false">J1490*Resumo!$B$6</f>
        <v>0.39999</v>
      </c>
      <c r="W1490" s="39" t="n">
        <f aca="false">J1490*Resumo!$B$7</f>
        <v>0.79998</v>
      </c>
      <c r="X1490" s="39" t="n">
        <f aca="false">Resumo!$B$9</f>
        <v>1</v>
      </c>
      <c r="Y1490" s="39" t="n">
        <f aca="false">Resumo!$B$10*CEILING(I1490/100,1)</f>
        <v>4.5</v>
      </c>
      <c r="Z1490" s="39" t="n">
        <f aca="false">Resumo!$B$12*CEILING(I1490,1)</f>
        <v>1.26</v>
      </c>
      <c r="AA1490" s="39" t="n">
        <f aca="false">Resumo!$B$13*CEILING(I1490,1)</f>
        <v>9.45</v>
      </c>
      <c r="AB1490" s="39" t="n">
        <f aca="false">SUM(U1490:AA1490)</f>
        <v>117.98997</v>
      </c>
      <c r="AC1490" s="39" t="n">
        <f aca="false">AB1490/(1-Resumo!$B$5)</f>
        <v>134.079511363636</v>
      </c>
      <c r="AD1490" s="39" t="n">
        <f aca="false">(AB1490-AA1490)/(1-Resumo!$B$5)</f>
        <v>123.340875</v>
      </c>
      <c r="AE1490" s="39" t="n">
        <f aca="false">AC1490-T1490</f>
        <v>32.7755820454545</v>
      </c>
      <c r="AF1490" s="40" t="n">
        <f aca="false">AC1490/T1490-1</f>
        <v>0.323537125026127</v>
      </c>
      <c r="AG1490" s="37" t="str">
        <f aca="false">IF(AC1490&lt;T1490,"SIM","NÃO")</f>
        <v>NÃO</v>
      </c>
      <c r="AH1490" s="37" t="n">
        <v>10</v>
      </c>
      <c r="AI1490" s="37" t="n">
        <v>7</v>
      </c>
      <c r="AJ1490" s="37" t="s">
        <v>323</v>
      </c>
    </row>
    <row r="1491" customFormat="false" ht="15" hidden="false" customHeight="false" outlineLevel="0" collapsed="false">
      <c r="A1491" s="37" t="n">
        <v>386766785</v>
      </c>
      <c r="B1491" s="38" t="n">
        <v>46265.9441203704</v>
      </c>
      <c r="C1491" s="37" t="s">
        <v>341</v>
      </c>
      <c r="D1491" s="37" t="s">
        <v>1694</v>
      </c>
      <c r="E1491" s="37" t="n">
        <v>21863360</v>
      </c>
      <c r="F1491" s="37" t="s">
        <v>139</v>
      </c>
      <c r="G1491" s="37" t="s">
        <v>198</v>
      </c>
      <c r="H1491" s="37" t="s">
        <v>169</v>
      </c>
      <c r="I1491" s="37" t="n">
        <v>39</v>
      </c>
      <c r="J1491" s="39" t="n">
        <v>629.99</v>
      </c>
      <c r="K1491" s="37" t="s">
        <v>322</v>
      </c>
      <c r="L1491" s="39" t="n">
        <v>92.87</v>
      </c>
      <c r="M1491" s="39" t="n">
        <v>62.05</v>
      </c>
      <c r="N1491" s="39" t="n">
        <f aca="false">J1491*Resumo!$C$7</f>
        <v>1.25998</v>
      </c>
      <c r="O1491" s="39" t="n">
        <f aca="false">J1491*Resumo!$C$8</f>
        <v>1.25998</v>
      </c>
      <c r="P1491" s="39" t="n">
        <f aca="false">Resumo!$C$10*CEILING(I1491/100,1)</f>
        <v>1</v>
      </c>
      <c r="Q1491" s="39" t="n">
        <f aca="false">Resumo!$C$9</f>
        <v>11.9</v>
      </c>
      <c r="R1491" s="39" t="n">
        <f aca="false">SUM(M1491:Q1491)*Resumo!$C$11</f>
        <v>4.2608478</v>
      </c>
      <c r="S1491" s="39" t="n">
        <f aca="false">SUM(M1491:R1491)</f>
        <v>81.7308078</v>
      </c>
      <c r="T1491" s="39" t="n">
        <f aca="false">S1491/(1-Resumo!$C$5)</f>
        <v>92.8759179545454</v>
      </c>
      <c r="U1491" s="39" t="n">
        <v>93.97</v>
      </c>
      <c r="V1491" s="39" t="n">
        <f aca="false">J1491*Resumo!$B$6</f>
        <v>0.62999</v>
      </c>
      <c r="W1491" s="39" t="n">
        <f aca="false">J1491*Resumo!$B$7</f>
        <v>1.25998</v>
      </c>
      <c r="X1491" s="39" t="n">
        <f aca="false">Resumo!$B$9</f>
        <v>1</v>
      </c>
      <c r="Y1491" s="39" t="n">
        <f aca="false">Resumo!$B$10*CEILING(I1491/100,1)</f>
        <v>4.5</v>
      </c>
      <c r="Z1491" s="39" t="n">
        <f aca="false">Resumo!$B$12*CEILING(I1491,1)</f>
        <v>2.34</v>
      </c>
      <c r="AA1491" s="39" t="n">
        <f aca="false">Resumo!$B$13*CEILING(I1491,1)</f>
        <v>17.55</v>
      </c>
      <c r="AB1491" s="39" t="n">
        <f aca="false">SUM(U1491:AA1491)</f>
        <v>121.24997</v>
      </c>
      <c r="AC1491" s="39" t="n">
        <f aca="false">AB1491/(1-Resumo!$B$5)</f>
        <v>137.784056818182</v>
      </c>
      <c r="AD1491" s="39" t="n">
        <f aca="false">(AB1491-AA1491)/(1-Resumo!$B$5)</f>
        <v>117.840875</v>
      </c>
      <c r="AE1491" s="39" t="n">
        <f aca="false">AC1491-T1491</f>
        <v>44.9081388636364</v>
      </c>
      <c r="AF1491" s="40" t="n">
        <f aca="false">AC1491/T1491-1</f>
        <v>0.48352834462013</v>
      </c>
      <c r="AG1491" s="37" t="str">
        <f aca="false">IF(AC1491&lt;T1491,"SIM","NÃO")</f>
        <v>NÃO</v>
      </c>
      <c r="AH1491" s="37" t="n">
        <v>8</v>
      </c>
      <c r="AI1491" s="37" t="n">
        <v>5</v>
      </c>
      <c r="AJ1491" s="37" t="s">
        <v>323</v>
      </c>
    </row>
    <row r="1492" customFormat="false" ht="15" hidden="false" customHeight="false" outlineLevel="0" collapsed="false">
      <c r="A1492" s="37" t="n">
        <v>386798193</v>
      </c>
      <c r="B1492" s="38" t="n">
        <v>46265.985150463</v>
      </c>
      <c r="C1492" s="37" t="s">
        <v>320</v>
      </c>
      <c r="D1492" s="37" t="s">
        <v>1695</v>
      </c>
      <c r="E1492" s="37" t="n">
        <v>21361132</v>
      </c>
      <c r="F1492" s="37" t="s">
        <v>139</v>
      </c>
      <c r="G1492" s="37" t="s">
        <v>198</v>
      </c>
      <c r="H1492" s="37" t="s">
        <v>171</v>
      </c>
      <c r="I1492" s="37" t="n">
        <v>52.3</v>
      </c>
      <c r="J1492" s="39" t="n">
        <v>627.28</v>
      </c>
      <c r="K1492" s="37" t="s">
        <v>322</v>
      </c>
      <c r="L1492" s="39" t="n">
        <v>114.15</v>
      </c>
      <c r="M1492" s="39" t="n">
        <v>79.81</v>
      </c>
      <c r="N1492" s="39" t="n">
        <f aca="false">J1492*Resumo!$C$7</f>
        <v>1.25456</v>
      </c>
      <c r="O1492" s="39" t="n">
        <f aca="false">J1492*Resumo!$C$8</f>
        <v>1.25456</v>
      </c>
      <c r="P1492" s="39" t="n">
        <f aca="false">Resumo!$C$10*CEILING(I1492/100,1)</f>
        <v>1</v>
      </c>
      <c r="Q1492" s="39" t="n">
        <f aca="false">Resumo!$C$9</f>
        <v>11.9</v>
      </c>
      <c r="R1492" s="39" t="n">
        <f aca="false">SUM(M1492:Q1492)*Resumo!$C$11</f>
        <v>5.2370516</v>
      </c>
      <c r="S1492" s="39" t="n">
        <f aca="false">SUM(M1492:R1492)</f>
        <v>100.4561716</v>
      </c>
      <c r="T1492" s="39" t="n">
        <f aca="false">S1492/(1-Resumo!$C$5)</f>
        <v>114.154740454545</v>
      </c>
      <c r="U1492" s="39" t="n">
        <v>112.3</v>
      </c>
      <c r="V1492" s="39" t="n">
        <f aca="false">J1492*Resumo!$B$6</f>
        <v>0.62728</v>
      </c>
      <c r="W1492" s="39" t="n">
        <f aca="false">J1492*Resumo!$B$7</f>
        <v>1.25456</v>
      </c>
      <c r="X1492" s="39" t="n">
        <f aca="false">Resumo!$B$9</f>
        <v>1</v>
      </c>
      <c r="Y1492" s="39" t="n">
        <f aca="false">Resumo!$B$10*CEILING(I1492/100,1)</f>
        <v>4.5</v>
      </c>
      <c r="Z1492" s="39" t="n">
        <f aca="false">Resumo!$B$12*CEILING(I1492,1)</f>
        <v>3.18</v>
      </c>
      <c r="AA1492" s="39" t="n">
        <f aca="false">Resumo!$B$13*CEILING(I1492,1)</f>
        <v>23.85</v>
      </c>
      <c r="AB1492" s="39" t="n">
        <f aca="false">SUM(U1492:AA1492)</f>
        <v>146.71184</v>
      </c>
      <c r="AC1492" s="39" t="n">
        <f aca="false">AB1492/(1-Resumo!$B$5)</f>
        <v>166.718</v>
      </c>
      <c r="AD1492" s="39" t="n">
        <f aca="false">(AB1492-AA1492)/(1-Resumo!$B$5)</f>
        <v>139.615727272727</v>
      </c>
      <c r="AE1492" s="39" t="n">
        <f aca="false">AC1492-T1492</f>
        <v>52.5632595454545</v>
      </c>
      <c r="AF1492" s="40" t="n">
        <f aca="false">AC1492/T1492-1</f>
        <v>0.46045621352347</v>
      </c>
      <c r="AG1492" s="37" t="str">
        <f aca="false">IF(AC1492&lt;T1492,"SIM","NÃO")</f>
        <v>NÃO</v>
      </c>
      <c r="AH1492" s="37" t="n">
        <v>8</v>
      </c>
      <c r="AI1492" s="37" t="n">
        <v>5</v>
      </c>
      <c r="AJ1492" s="37" t="s">
        <v>323</v>
      </c>
    </row>
    <row r="1493" customFormat="false" ht="15" hidden="false" customHeight="false" outlineLevel="0" collapsed="false">
      <c r="A1493" s="37" t="n">
        <v>386860998</v>
      </c>
      <c r="B1493" s="38" t="n">
        <v>46266.1176967593</v>
      </c>
      <c r="C1493" s="37" t="s">
        <v>320</v>
      </c>
      <c r="D1493" s="37" t="s">
        <v>1696</v>
      </c>
      <c r="E1493" s="37" t="n">
        <v>28020301</v>
      </c>
      <c r="F1493" s="37" t="s">
        <v>144</v>
      </c>
      <c r="G1493" s="37" t="s">
        <v>201</v>
      </c>
      <c r="H1493" s="37" t="s">
        <v>170</v>
      </c>
      <c r="I1493" s="37" t="n">
        <v>48</v>
      </c>
      <c r="J1493" s="39" t="n">
        <v>899.99</v>
      </c>
      <c r="K1493" s="37" t="s">
        <v>322</v>
      </c>
      <c r="L1493" s="39" t="n">
        <v>132.48</v>
      </c>
      <c r="M1493" s="39" t="n">
        <v>94</v>
      </c>
      <c r="N1493" s="39" t="n">
        <f aca="false">J1493*Resumo!$C$7</f>
        <v>1.79998</v>
      </c>
      <c r="O1493" s="39" t="n">
        <f aca="false">J1493*Resumo!$C$8</f>
        <v>1.79998</v>
      </c>
      <c r="P1493" s="39" t="n">
        <f aca="false">Resumo!$C$10*CEILING(I1493/100,1)</f>
        <v>1</v>
      </c>
      <c r="Q1493" s="39" t="n">
        <f aca="false">Resumo!$C$9</f>
        <v>11.9</v>
      </c>
      <c r="R1493" s="39" t="n">
        <f aca="false">SUM(M1493:Q1493)*Resumo!$C$11</f>
        <v>6.0774978</v>
      </c>
      <c r="S1493" s="39" t="n">
        <f aca="false">SUM(M1493:R1493)</f>
        <v>116.5774578</v>
      </c>
      <c r="T1493" s="39" t="n">
        <f aca="false">S1493/(1-Resumo!$C$5)</f>
        <v>132.474383863636</v>
      </c>
      <c r="U1493" s="39" t="n">
        <v>152.54</v>
      </c>
      <c r="V1493" s="39" t="n">
        <f aca="false">J1493*Resumo!$B$6</f>
        <v>0.89999</v>
      </c>
      <c r="W1493" s="39" t="n">
        <f aca="false">J1493*Resumo!$B$7</f>
        <v>1.79998</v>
      </c>
      <c r="X1493" s="39" t="n">
        <f aca="false">Resumo!$B$9</f>
        <v>1</v>
      </c>
      <c r="Y1493" s="39" t="n">
        <f aca="false">Resumo!$B$10*CEILING(I1493/100,1)</f>
        <v>4.5</v>
      </c>
      <c r="Z1493" s="39" t="n">
        <f aca="false">Resumo!$B$12*CEILING(I1493,1)</f>
        <v>2.88</v>
      </c>
      <c r="AA1493" s="39" t="n">
        <f aca="false">Resumo!$B$13*CEILING(I1493,1)</f>
        <v>21.6</v>
      </c>
      <c r="AB1493" s="39" t="n">
        <f aca="false">SUM(U1493:AA1493)</f>
        <v>185.21997</v>
      </c>
      <c r="AC1493" s="39" t="n">
        <f aca="false">AB1493/(1-Resumo!$B$5)</f>
        <v>210.477238636364</v>
      </c>
      <c r="AD1493" s="39" t="n">
        <f aca="false">(AB1493-AA1493)/(1-Resumo!$B$5)</f>
        <v>185.931784090909</v>
      </c>
      <c r="AE1493" s="39" t="n">
        <f aca="false">AC1493-T1493</f>
        <v>78.0028547727273</v>
      </c>
      <c r="AF1493" s="40" t="n">
        <f aca="false">AC1493/T1493-1</f>
        <v>0.588814625875295</v>
      </c>
      <c r="AG1493" s="37" t="str">
        <f aca="false">IF(AC1493&lt;T1493,"SIM","NÃO")</f>
        <v>NÃO</v>
      </c>
      <c r="AH1493" s="37" t="n">
        <v>13</v>
      </c>
      <c r="AI1493" s="37" t="n">
        <v>11</v>
      </c>
      <c r="AJ1493" s="37" t="s">
        <v>323</v>
      </c>
    </row>
    <row r="1494" customFormat="false" ht="15" hidden="false" customHeight="false" outlineLevel="0" collapsed="false">
      <c r="A1494" s="37" t="n">
        <v>386955041</v>
      </c>
      <c r="B1494" s="38" t="n">
        <v>46266.3359259259</v>
      </c>
      <c r="C1494" s="37" t="s">
        <v>359</v>
      </c>
      <c r="D1494" s="37" t="s">
        <v>1697</v>
      </c>
      <c r="E1494" s="37" t="n">
        <v>22641514</v>
      </c>
      <c r="F1494" s="37" t="s">
        <v>139</v>
      </c>
      <c r="G1494" s="37" t="s">
        <v>198</v>
      </c>
      <c r="H1494" s="37" t="s">
        <v>168</v>
      </c>
      <c r="I1494" s="37" t="n">
        <v>27.6</v>
      </c>
      <c r="J1494" s="39" t="n">
        <v>649.99</v>
      </c>
      <c r="K1494" s="37" t="s">
        <v>322</v>
      </c>
      <c r="L1494" s="39" t="n">
        <v>83.44</v>
      </c>
      <c r="M1494" s="39" t="n">
        <v>54.1</v>
      </c>
      <c r="N1494" s="39" t="n">
        <f aca="false">J1494*Resumo!$C$7</f>
        <v>1.29998</v>
      </c>
      <c r="O1494" s="39" t="n">
        <f aca="false">J1494*Resumo!$C$8</f>
        <v>1.29998</v>
      </c>
      <c r="P1494" s="39" t="n">
        <f aca="false">Resumo!$C$10*CEILING(I1494/100,1)</f>
        <v>1</v>
      </c>
      <c r="Q1494" s="39" t="n">
        <f aca="false">Resumo!$C$9</f>
        <v>11.9</v>
      </c>
      <c r="R1494" s="39" t="n">
        <f aca="false">SUM(M1494:Q1494)*Resumo!$C$11</f>
        <v>3.8279978</v>
      </c>
      <c r="S1494" s="39" t="n">
        <f aca="false">SUM(M1494:R1494)</f>
        <v>73.4279578</v>
      </c>
      <c r="T1494" s="39" t="n">
        <f aca="false">S1494/(1-Resumo!$C$5)</f>
        <v>83.4408611363636</v>
      </c>
      <c r="U1494" s="39" t="n">
        <v>82.21</v>
      </c>
      <c r="V1494" s="39" t="n">
        <f aca="false">J1494*Resumo!$B$6</f>
        <v>0.64999</v>
      </c>
      <c r="W1494" s="39" t="n">
        <f aca="false">J1494*Resumo!$B$7</f>
        <v>1.29998</v>
      </c>
      <c r="X1494" s="39" t="n">
        <f aca="false">Resumo!$B$9</f>
        <v>1</v>
      </c>
      <c r="Y1494" s="39" t="n">
        <f aca="false">Resumo!$B$10*CEILING(I1494/100,1)</f>
        <v>4.5</v>
      </c>
      <c r="Z1494" s="39" t="n">
        <f aca="false">Resumo!$B$12*CEILING(I1494,1)</f>
        <v>1.68</v>
      </c>
      <c r="AA1494" s="39" t="n">
        <f aca="false">Resumo!$B$13*CEILING(I1494,1)</f>
        <v>12.6</v>
      </c>
      <c r="AB1494" s="39" t="n">
        <f aca="false">SUM(U1494:AA1494)</f>
        <v>103.93997</v>
      </c>
      <c r="AC1494" s="39" t="n">
        <f aca="false">AB1494/(1-Resumo!$B$5)</f>
        <v>118.113602272727</v>
      </c>
      <c r="AD1494" s="39" t="n">
        <f aca="false">(AB1494-AA1494)/(1-Resumo!$B$5)</f>
        <v>103.795420454545</v>
      </c>
      <c r="AE1494" s="39" t="n">
        <f aca="false">AC1494-T1494</f>
        <v>34.6727411363636</v>
      </c>
      <c r="AF1494" s="40" t="n">
        <f aca="false">AC1494/T1494-1</f>
        <v>0.415536712638902</v>
      </c>
      <c r="AG1494" s="37" t="str">
        <f aca="false">IF(AC1494&lt;T1494,"SIM","NÃO")</f>
        <v>NÃO</v>
      </c>
      <c r="AH1494" s="37" t="n">
        <v>8</v>
      </c>
      <c r="AI1494" s="37" t="n">
        <v>5</v>
      </c>
      <c r="AJ1494" s="37" t="s">
        <v>323</v>
      </c>
    </row>
    <row r="1495" customFormat="false" ht="15" hidden="false" customHeight="false" outlineLevel="0" collapsed="false">
      <c r="A1495" s="37" t="n">
        <v>386963195</v>
      </c>
      <c r="B1495" s="38" t="n">
        <v>46266.3579976852</v>
      </c>
      <c r="C1495" s="37" t="s">
        <v>341</v>
      </c>
      <c r="D1495" s="37" t="s">
        <v>1222</v>
      </c>
      <c r="E1495" s="37" t="n">
        <v>22753155</v>
      </c>
      <c r="F1495" s="37" t="s">
        <v>139</v>
      </c>
      <c r="G1495" s="37" t="s">
        <v>198</v>
      </c>
      <c r="H1495" s="37" t="s">
        <v>169</v>
      </c>
      <c r="I1495" s="37" t="n">
        <v>37.2</v>
      </c>
      <c r="J1495" s="39" t="n">
        <v>433.49</v>
      </c>
      <c r="K1495" s="37" t="s">
        <v>322</v>
      </c>
      <c r="L1495" s="39" t="n">
        <v>91.94</v>
      </c>
      <c r="M1495" s="39" t="n">
        <v>62.05</v>
      </c>
      <c r="N1495" s="39" t="n">
        <f aca="false">J1495*Resumo!$C$7</f>
        <v>0.86698</v>
      </c>
      <c r="O1495" s="39" t="n">
        <f aca="false">J1495*Resumo!$C$8</f>
        <v>0.86698</v>
      </c>
      <c r="P1495" s="39" t="n">
        <f aca="false">Resumo!$C$10*CEILING(I1495/100,1)</f>
        <v>1</v>
      </c>
      <c r="Q1495" s="39" t="n">
        <f aca="false">Resumo!$C$9</f>
        <v>11.9</v>
      </c>
      <c r="R1495" s="39" t="n">
        <f aca="false">SUM(M1495:Q1495)*Resumo!$C$11</f>
        <v>4.2176178</v>
      </c>
      <c r="S1495" s="39" t="n">
        <f aca="false">SUM(M1495:R1495)</f>
        <v>80.9015778</v>
      </c>
      <c r="T1495" s="39" t="n">
        <f aca="false">S1495/(1-Resumo!$C$5)</f>
        <v>91.9336111363636</v>
      </c>
      <c r="U1495" s="39" t="n">
        <v>93.97</v>
      </c>
      <c r="V1495" s="39" t="n">
        <f aca="false">J1495*Resumo!$B$6</f>
        <v>0.43349</v>
      </c>
      <c r="W1495" s="39" t="n">
        <f aca="false">J1495*Resumo!$B$7</f>
        <v>0.86698</v>
      </c>
      <c r="X1495" s="39" t="n">
        <f aca="false">Resumo!$B$9</f>
        <v>1</v>
      </c>
      <c r="Y1495" s="39" t="n">
        <f aca="false">Resumo!$B$10*CEILING(I1495/100,1)</f>
        <v>4.5</v>
      </c>
      <c r="Z1495" s="39" t="n">
        <f aca="false">Resumo!$B$12*CEILING(I1495,1)</f>
        <v>2.28</v>
      </c>
      <c r="AA1495" s="39" t="n">
        <f aca="false">Resumo!$B$13*CEILING(I1495,1)</f>
        <v>17.1</v>
      </c>
      <c r="AB1495" s="39" t="n">
        <f aca="false">SUM(U1495:AA1495)</f>
        <v>120.15047</v>
      </c>
      <c r="AC1495" s="39" t="n">
        <f aca="false">AB1495/(1-Resumo!$B$5)</f>
        <v>136.534625</v>
      </c>
      <c r="AD1495" s="39" t="n">
        <f aca="false">(AB1495-AA1495)/(1-Resumo!$B$5)</f>
        <v>117.102806818182</v>
      </c>
      <c r="AE1495" s="39" t="n">
        <f aca="false">AC1495-T1495</f>
        <v>44.6010138636364</v>
      </c>
      <c r="AF1495" s="40" t="n">
        <f aca="false">AC1495/T1495-1</f>
        <v>0.485143717431924</v>
      </c>
      <c r="AG1495" s="37" t="str">
        <f aca="false">IF(AC1495&lt;T1495,"SIM","NÃO")</f>
        <v>NÃO</v>
      </c>
      <c r="AH1495" s="37" t="n">
        <v>8</v>
      </c>
      <c r="AI1495" s="37" t="n">
        <v>5</v>
      </c>
      <c r="AJ1495" s="37" t="s">
        <v>323</v>
      </c>
    </row>
    <row r="1496" customFormat="false" ht="15" hidden="false" customHeight="false" outlineLevel="0" collapsed="false">
      <c r="A1496" s="37" t="n">
        <v>387057424</v>
      </c>
      <c r="B1496" s="38" t="n">
        <v>46266.3756712963</v>
      </c>
      <c r="C1496" s="37" t="s">
        <v>325</v>
      </c>
      <c r="D1496" s="37" t="s">
        <v>1698</v>
      </c>
      <c r="E1496" s="37" t="n">
        <v>25810130</v>
      </c>
      <c r="F1496" s="37" t="s">
        <v>214</v>
      </c>
      <c r="G1496" s="37" t="s">
        <v>201</v>
      </c>
      <c r="H1496" s="37" t="s">
        <v>172</v>
      </c>
      <c r="I1496" s="37" t="n">
        <v>69.15</v>
      </c>
      <c r="J1496" s="39" t="n">
        <v>742.64</v>
      </c>
      <c r="K1496" s="37" t="s">
        <v>322</v>
      </c>
      <c r="L1496" s="39" t="n">
        <v>155.59</v>
      </c>
      <c r="M1496" s="39" t="n">
        <v>113.9</v>
      </c>
      <c r="N1496" s="39" t="n">
        <f aca="false">J1496*Resumo!$C$7</f>
        <v>1.48528</v>
      </c>
      <c r="O1496" s="39" t="n">
        <f aca="false">J1496*Resumo!$C$8</f>
        <v>1.48528</v>
      </c>
      <c r="P1496" s="39" t="n">
        <f aca="false">Resumo!$C$10*CEILING(I1496/100,1)</f>
        <v>1</v>
      </c>
      <c r="Q1496" s="39" t="n">
        <f aca="false">Resumo!$C$9</f>
        <v>11.9</v>
      </c>
      <c r="R1496" s="39" t="n">
        <f aca="false">SUM(M1496:Q1496)*Resumo!$C$11</f>
        <v>7.1373808</v>
      </c>
      <c r="S1496" s="39" t="n">
        <f aca="false">SUM(M1496:R1496)</f>
        <v>136.9079408</v>
      </c>
      <c r="T1496" s="39" t="n">
        <f aca="false">S1496/(1-Resumo!$C$5)</f>
        <v>155.577205454545</v>
      </c>
      <c r="U1496" s="39" t="n">
        <v>166.05</v>
      </c>
      <c r="V1496" s="39" t="n">
        <f aca="false">J1496*Resumo!$B$6</f>
        <v>0.74264</v>
      </c>
      <c r="W1496" s="39" t="n">
        <f aca="false">J1496*Resumo!$B$7</f>
        <v>1.48528</v>
      </c>
      <c r="X1496" s="39" t="n">
        <f aca="false">Resumo!$B$9</f>
        <v>1</v>
      </c>
      <c r="Y1496" s="39" t="n">
        <f aca="false">Resumo!$B$10*CEILING(I1496/100,1)</f>
        <v>4.5</v>
      </c>
      <c r="Z1496" s="39" t="n">
        <f aca="false">Resumo!$B$12*CEILING(I1496,1)</f>
        <v>4.2</v>
      </c>
      <c r="AA1496" s="39" t="n">
        <f aca="false">Resumo!$B$13*CEILING(I1496,1)</f>
        <v>31.5</v>
      </c>
      <c r="AB1496" s="39" t="n">
        <f aca="false">SUM(U1496:AA1496)</f>
        <v>209.47792</v>
      </c>
      <c r="AC1496" s="39" t="n">
        <f aca="false">AB1496/(1-Resumo!$B$5)</f>
        <v>238.043090909091</v>
      </c>
      <c r="AD1496" s="39" t="n">
        <f aca="false">(AB1496-AA1496)/(1-Resumo!$B$5)</f>
        <v>202.247636363636</v>
      </c>
      <c r="AE1496" s="39" t="n">
        <f aca="false">AC1496-T1496</f>
        <v>82.4658854545455</v>
      </c>
      <c r="AF1496" s="40" t="n">
        <f aca="false">AC1496/T1496-1</f>
        <v>0.530064061850239</v>
      </c>
      <c r="AG1496" s="37" t="str">
        <f aca="false">IF(AC1496&lt;T1496,"SIM","NÃO")</f>
        <v>NÃO</v>
      </c>
      <c r="AH1496" s="37" t="n">
        <v>13</v>
      </c>
      <c r="AI1496" s="37" t="n">
        <v>8</v>
      </c>
      <c r="AJ1496" s="37" t="s">
        <v>327</v>
      </c>
    </row>
    <row r="1497" customFormat="false" ht="15" hidden="false" customHeight="false" outlineLevel="0" collapsed="false">
      <c r="A1497" s="37" t="n">
        <v>386989208</v>
      </c>
      <c r="B1497" s="38" t="n">
        <v>46266.3963773148</v>
      </c>
      <c r="C1497" s="37" t="s">
        <v>320</v>
      </c>
      <c r="D1497" s="37" t="s">
        <v>1699</v>
      </c>
      <c r="E1497" s="37" t="n">
        <v>23510535</v>
      </c>
      <c r="F1497" s="37" t="s">
        <v>139</v>
      </c>
      <c r="G1497" s="37" t="s">
        <v>198</v>
      </c>
      <c r="H1497" s="37" t="s">
        <v>172</v>
      </c>
      <c r="I1497" s="37" t="n">
        <v>66.8</v>
      </c>
      <c r="J1497" s="39" t="n">
        <v>690.99</v>
      </c>
      <c r="K1497" s="37" t="s">
        <v>322</v>
      </c>
      <c r="L1497" s="39" t="n">
        <v>124.51</v>
      </c>
      <c r="M1497" s="39" t="n">
        <v>88.2</v>
      </c>
      <c r="N1497" s="39" t="n">
        <f aca="false">J1497*Resumo!$C$7</f>
        <v>1.38198</v>
      </c>
      <c r="O1497" s="39" t="n">
        <f aca="false">J1497*Resumo!$C$8</f>
        <v>1.38198</v>
      </c>
      <c r="P1497" s="39" t="n">
        <f aca="false">Resumo!$C$10*CEILING(I1497/100,1)</f>
        <v>1</v>
      </c>
      <c r="Q1497" s="39" t="n">
        <f aca="false">Resumo!$C$9</f>
        <v>11.9</v>
      </c>
      <c r="R1497" s="39" t="n">
        <f aca="false">SUM(M1497:Q1497)*Resumo!$C$11</f>
        <v>5.7125178</v>
      </c>
      <c r="S1497" s="39" t="n">
        <f aca="false">SUM(M1497:R1497)</f>
        <v>109.5764778</v>
      </c>
      <c r="T1497" s="39" t="n">
        <f aca="false">S1497/(1-Resumo!$C$5)</f>
        <v>124.518724772727</v>
      </c>
      <c r="U1497" s="39" t="n">
        <v>131.02</v>
      </c>
      <c r="V1497" s="39" t="n">
        <f aca="false">J1497*Resumo!$B$6</f>
        <v>0.69099</v>
      </c>
      <c r="W1497" s="39" t="n">
        <f aca="false">J1497*Resumo!$B$7</f>
        <v>1.38198</v>
      </c>
      <c r="X1497" s="39" t="n">
        <f aca="false">Resumo!$B$9</f>
        <v>1</v>
      </c>
      <c r="Y1497" s="39" t="n">
        <f aca="false">Resumo!$B$10*CEILING(I1497/100,1)</f>
        <v>4.5</v>
      </c>
      <c r="Z1497" s="39" t="n">
        <f aca="false">Resumo!$B$12*CEILING(I1497,1)</f>
        <v>4.02</v>
      </c>
      <c r="AA1497" s="39" t="n">
        <f aca="false">Resumo!$B$13*CEILING(I1497,1)</f>
        <v>30.15</v>
      </c>
      <c r="AB1497" s="39" t="n">
        <f aca="false">SUM(U1497:AA1497)</f>
        <v>172.76297</v>
      </c>
      <c r="AC1497" s="39" t="n">
        <f aca="false">AB1497/(1-Resumo!$B$5)</f>
        <v>196.321556818182</v>
      </c>
      <c r="AD1497" s="39" t="n">
        <f aca="false">(AB1497-AA1497)/(1-Resumo!$B$5)</f>
        <v>162.060193181818</v>
      </c>
      <c r="AE1497" s="39" t="n">
        <f aca="false">AC1497-T1497</f>
        <v>71.8028320454546</v>
      </c>
      <c r="AF1497" s="40" t="n">
        <f aca="false">AC1497/T1497-1</f>
        <v>0.576642847704309</v>
      </c>
      <c r="AG1497" s="37" t="str">
        <f aca="false">IF(AC1497&lt;T1497,"SIM","NÃO")</f>
        <v>NÃO</v>
      </c>
      <c r="AH1497" s="37" t="n">
        <v>8</v>
      </c>
      <c r="AI1497" s="37" t="n">
        <v>5</v>
      </c>
      <c r="AJ1497" s="37" t="s">
        <v>323</v>
      </c>
    </row>
    <row r="1498" customFormat="false" ht="15" hidden="false" customHeight="false" outlineLevel="0" collapsed="false">
      <c r="A1498" s="37" t="n">
        <v>387005241</v>
      </c>
      <c r="B1498" s="38" t="n">
        <v>46266.4017476852</v>
      </c>
      <c r="C1498" s="37" t="s">
        <v>517</v>
      </c>
      <c r="D1498" s="37" t="s">
        <v>747</v>
      </c>
      <c r="E1498" s="37" t="n">
        <v>24210470</v>
      </c>
      <c r="F1498" s="37" t="s">
        <v>143</v>
      </c>
      <c r="G1498" s="37" t="s">
        <v>207</v>
      </c>
      <c r="H1498" s="37" t="s">
        <v>171</v>
      </c>
      <c r="I1498" s="37" t="n">
        <v>52.3</v>
      </c>
      <c r="J1498" s="39" t="n">
        <v>629.99</v>
      </c>
      <c r="K1498" s="37" t="s">
        <v>322</v>
      </c>
      <c r="L1498" s="39" t="n">
        <v>128.31</v>
      </c>
      <c r="M1498" s="39" t="n">
        <v>91.6</v>
      </c>
      <c r="N1498" s="39" t="n">
        <f aca="false">J1498*Resumo!$C$7</f>
        <v>1.25998</v>
      </c>
      <c r="O1498" s="39" t="n">
        <f aca="false">J1498*Resumo!$C$8</f>
        <v>1.25998</v>
      </c>
      <c r="P1498" s="39" t="n">
        <f aca="false">Resumo!$C$10*CEILING(I1498/100,1)</f>
        <v>1</v>
      </c>
      <c r="Q1498" s="39" t="n">
        <f aca="false">Resumo!$C$9</f>
        <v>11.9</v>
      </c>
      <c r="R1498" s="39" t="n">
        <f aca="false">SUM(M1498:Q1498)*Resumo!$C$11</f>
        <v>5.8860978</v>
      </c>
      <c r="S1498" s="39" t="n">
        <f aca="false">SUM(M1498:R1498)</f>
        <v>112.9060578</v>
      </c>
      <c r="T1498" s="39" t="n">
        <f aca="false">S1498/(1-Resumo!$C$5)</f>
        <v>128.302338409091</v>
      </c>
      <c r="U1498" s="39" t="n">
        <v>128.14</v>
      </c>
      <c r="V1498" s="39" t="n">
        <f aca="false">J1498*Resumo!$B$6</f>
        <v>0.62999</v>
      </c>
      <c r="W1498" s="39" t="n">
        <f aca="false">J1498*Resumo!$B$7</f>
        <v>1.25998</v>
      </c>
      <c r="X1498" s="39" t="n">
        <f aca="false">Resumo!$B$9</f>
        <v>1</v>
      </c>
      <c r="Y1498" s="39" t="n">
        <f aca="false">Resumo!$B$10*CEILING(I1498/100,1)</f>
        <v>4.5</v>
      </c>
      <c r="Z1498" s="39" t="n">
        <f aca="false">Resumo!$B$12*CEILING(I1498,1)</f>
        <v>3.18</v>
      </c>
      <c r="AA1498" s="39" t="n">
        <f aca="false">Resumo!$B$13*CEILING(I1498,1)</f>
        <v>23.85</v>
      </c>
      <c r="AB1498" s="39" t="n">
        <f aca="false">SUM(U1498:AA1498)</f>
        <v>162.55997</v>
      </c>
      <c r="AC1498" s="39" t="n">
        <f aca="false">AB1498/(1-Resumo!$B$5)</f>
        <v>184.727238636364</v>
      </c>
      <c r="AD1498" s="39" t="n">
        <f aca="false">(AB1498-AA1498)/(1-Resumo!$B$5)</f>
        <v>157.624965909091</v>
      </c>
      <c r="AE1498" s="39" t="n">
        <f aca="false">AC1498-T1498</f>
        <v>56.4249002272727</v>
      </c>
      <c r="AF1498" s="40" t="n">
        <f aca="false">AC1498/T1498-1</f>
        <v>0.439780762587213</v>
      </c>
      <c r="AG1498" s="37" t="str">
        <f aca="false">IF(AC1498&lt;T1498,"SIM","NÃO")</f>
        <v>NÃO</v>
      </c>
      <c r="AH1498" s="37" t="n">
        <v>10</v>
      </c>
      <c r="AI1498" s="37" t="n">
        <v>7</v>
      </c>
      <c r="AJ1498" s="37" t="s">
        <v>323</v>
      </c>
    </row>
    <row r="1499" customFormat="false" ht="15" hidden="false" customHeight="false" outlineLevel="0" collapsed="false">
      <c r="A1499" s="37" t="n">
        <v>386999334</v>
      </c>
      <c r="B1499" s="38" t="n">
        <v>46266.4128240741</v>
      </c>
      <c r="C1499" s="37" t="s">
        <v>320</v>
      </c>
      <c r="D1499" s="37" t="s">
        <v>1700</v>
      </c>
      <c r="E1499" s="37" t="n">
        <v>22795810</v>
      </c>
      <c r="F1499" s="37" t="s">
        <v>139</v>
      </c>
      <c r="G1499" s="37" t="s">
        <v>198</v>
      </c>
      <c r="H1499" s="37" t="s">
        <v>171</v>
      </c>
      <c r="I1499" s="37" t="n">
        <v>52.3</v>
      </c>
      <c r="J1499" s="39" t="n">
        <v>627.28</v>
      </c>
      <c r="K1499" s="37" t="s">
        <v>322</v>
      </c>
      <c r="L1499" s="39" t="n">
        <v>114.15</v>
      </c>
      <c r="M1499" s="39" t="n">
        <v>79.81</v>
      </c>
      <c r="N1499" s="39" t="n">
        <f aca="false">J1499*Resumo!$C$7</f>
        <v>1.25456</v>
      </c>
      <c r="O1499" s="39" t="n">
        <f aca="false">J1499*Resumo!$C$8</f>
        <v>1.25456</v>
      </c>
      <c r="P1499" s="39" t="n">
        <f aca="false">Resumo!$C$10*CEILING(I1499/100,1)</f>
        <v>1</v>
      </c>
      <c r="Q1499" s="39" t="n">
        <f aca="false">Resumo!$C$9</f>
        <v>11.9</v>
      </c>
      <c r="R1499" s="39" t="n">
        <f aca="false">SUM(M1499:Q1499)*Resumo!$C$11</f>
        <v>5.2370516</v>
      </c>
      <c r="S1499" s="39" t="n">
        <f aca="false">SUM(M1499:R1499)</f>
        <v>100.4561716</v>
      </c>
      <c r="T1499" s="39" t="n">
        <f aca="false">S1499/(1-Resumo!$C$5)</f>
        <v>114.154740454545</v>
      </c>
      <c r="U1499" s="39" t="n">
        <v>112.3</v>
      </c>
      <c r="V1499" s="39" t="n">
        <f aca="false">J1499*Resumo!$B$6</f>
        <v>0.62728</v>
      </c>
      <c r="W1499" s="39" t="n">
        <f aca="false">J1499*Resumo!$B$7</f>
        <v>1.25456</v>
      </c>
      <c r="X1499" s="39" t="n">
        <f aca="false">Resumo!$B$9</f>
        <v>1</v>
      </c>
      <c r="Y1499" s="39" t="n">
        <f aca="false">Resumo!$B$10*CEILING(I1499/100,1)</f>
        <v>4.5</v>
      </c>
      <c r="Z1499" s="39" t="n">
        <f aca="false">Resumo!$B$12*CEILING(I1499,1)</f>
        <v>3.18</v>
      </c>
      <c r="AA1499" s="39" t="n">
        <f aca="false">Resumo!$B$13*CEILING(I1499,1)</f>
        <v>23.85</v>
      </c>
      <c r="AB1499" s="39" t="n">
        <f aca="false">SUM(U1499:AA1499)</f>
        <v>146.71184</v>
      </c>
      <c r="AC1499" s="39" t="n">
        <f aca="false">AB1499/(1-Resumo!$B$5)</f>
        <v>166.718</v>
      </c>
      <c r="AD1499" s="39" t="n">
        <f aca="false">(AB1499-AA1499)/(1-Resumo!$B$5)</f>
        <v>139.615727272727</v>
      </c>
      <c r="AE1499" s="39" t="n">
        <f aca="false">AC1499-T1499</f>
        <v>52.5632595454545</v>
      </c>
      <c r="AF1499" s="40" t="n">
        <f aca="false">AC1499/T1499-1</f>
        <v>0.46045621352347</v>
      </c>
      <c r="AG1499" s="37" t="str">
        <f aca="false">IF(AC1499&lt;T1499,"SIM","NÃO")</f>
        <v>NÃO</v>
      </c>
      <c r="AH1499" s="37" t="n">
        <v>8</v>
      </c>
      <c r="AI1499" s="37" t="n">
        <v>5</v>
      </c>
      <c r="AJ1499" s="37" t="s">
        <v>323</v>
      </c>
    </row>
    <row r="1500" customFormat="false" ht="15" hidden="false" customHeight="false" outlineLevel="0" collapsed="false">
      <c r="A1500" s="37" t="n">
        <v>387019861</v>
      </c>
      <c r="B1500" s="38" t="n">
        <v>46266.4561226852</v>
      </c>
      <c r="C1500" s="37" t="s">
        <v>341</v>
      </c>
      <c r="D1500" s="37" t="s">
        <v>1701</v>
      </c>
      <c r="E1500" s="37" t="n">
        <v>24802660</v>
      </c>
      <c r="F1500" s="37" t="s">
        <v>154</v>
      </c>
      <c r="G1500" s="37" t="s">
        <v>201</v>
      </c>
      <c r="H1500" s="37" t="s">
        <v>170</v>
      </c>
      <c r="I1500" s="37" t="n">
        <v>48.3</v>
      </c>
      <c r="J1500" s="39" t="n">
        <v>559.99</v>
      </c>
      <c r="K1500" s="37" t="s">
        <v>322</v>
      </c>
      <c r="L1500" s="39" t="n">
        <v>130.84</v>
      </c>
      <c r="M1500" s="39" t="n">
        <v>94</v>
      </c>
      <c r="N1500" s="39" t="n">
        <f aca="false">J1500*Resumo!$C$7</f>
        <v>1.11998</v>
      </c>
      <c r="O1500" s="39" t="n">
        <f aca="false">J1500*Resumo!$C$8</f>
        <v>1.11998</v>
      </c>
      <c r="P1500" s="39" t="n">
        <f aca="false">Resumo!$C$10*CEILING(I1500/100,1)</f>
        <v>1</v>
      </c>
      <c r="Q1500" s="39" t="n">
        <f aca="false">Resumo!$C$9</f>
        <v>11.9</v>
      </c>
      <c r="R1500" s="39" t="n">
        <f aca="false">SUM(M1500:Q1500)*Resumo!$C$11</f>
        <v>6.0026978</v>
      </c>
      <c r="S1500" s="39" t="n">
        <f aca="false">SUM(M1500:R1500)</f>
        <v>115.1426578</v>
      </c>
      <c r="T1500" s="39" t="n">
        <f aca="false">S1500/(1-Resumo!$C$5)</f>
        <v>130.843929318182</v>
      </c>
      <c r="U1500" s="39" t="n">
        <v>114.95</v>
      </c>
      <c r="V1500" s="39" t="n">
        <f aca="false">J1500*Resumo!$B$6</f>
        <v>0.55999</v>
      </c>
      <c r="W1500" s="39" t="n">
        <f aca="false">J1500*Resumo!$B$7</f>
        <v>1.11998</v>
      </c>
      <c r="X1500" s="39" t="n">
        <f aca="false">Resumo!$B$9</f>
        <v>1</v>
      </c>
      <c r="Y1500" s="39" t="n">
        <f aca="false">Resumo!$B$10*CEILING(I1500/100,1)</f>
        <v>4.5</v>
      </c>
      <c r="Z1500" s="39" t="n">
        <f aca="false">Resumo!$B$12*CEILING(I1500,1)</f>
        <v>2.94</v>
      </c>
      <c r="AA1500" s="39" t="n">
        <f aca="false">Resumo!$B$13*CEILING(I1500,1)</f>
        <v>22.05</v>
      </c>
      <c r="AB1500" s="39" t="n">
        <f aca="false">SUM(U1500:AA1500)</f>
        <v>147.11997</v>
      </c>
      <c r="AC1500" s="39" t="n">
        <f aca="false">AB1500/(1-Resumo!$B$5)</f>
        <v>167.181784090909</v>
      </c>
      <c r="AD1500" s="39" t="n">
        <f aca="false">(AB1500-AA1500)/(1-Resumo!$B$5)</f>
        <v>142.124965909091</v>
      </c>
      <c r="AE1500" s="39" t="n">
        <f aca="false">AC1500-T1500</f>
        <v>36.3378547727273</v>
      </c>
      <c r="AF1500" s="40" t="n">
        <f aca="false">AC1500/T1500-1</f>
        <v>0.277719073113145</v>
      </c>
      <c r="AG1500" s="37" t="str">
        <f aca="false">IF(AC1500&lt;T1500,"SIM","NÃO")</f>
        <v>NÃO</v>
      </c>
      <c r="AH1500" s="37" t="n">
        <v>13</v>
      </c>
      <c r="AI1500" s="37" t="n">
        <v>7</v>
      </c>
      <c r="AJ1500" s="37" t="s">
        <v>323</v>
      </c>
    </row>
    <row r="1501" customFormat="false" ht="15" hidden="false" customHeight="false" outlineLevel="0" collapsed="false">
      <c r="A1501" s="37" t="n">
        <v>387042972</v>
      </c>
      <c r="B1501" s="38" t="n">
        <v>46266.4790856482</v>
      </c>
      <c r="C1501" s="37" t="s">
        <v>320</v>
      </c>
      <c r="D1501" s="37" t="s">
        <v>1702</v>
      </c>
      <c r="E1501" s="37" t="n">
        <v>23058002</v>
      </c>
      <c r="F1501" s="37" t="s">
        <v>139</v>
      </c>
      <c r="G1501" s="37" t="s">
        <v>198</v>
      </c>
      <c r="H1501" s="37" t="s">
        <v>172</v>
      </c>
      <c r="I1501" s="37" t="n">
        <v>66.8</v>
      </c>
      <c r="J1501" s="39" t="n">
        <v>699.99</v>
      </c>
      <c r="K1501" s="37" t="s">
        <v>322</v>
      </c>
      <c r="L1501" s="39" t="n">
        <v>124.56</v>
      </c>
      <c r="M1501" s="39" t="n">
        <v>88.2</v>
      </c>
      <c r="N1501" s="39" t="n">
        <f aca="false">J1501*Resumo!$C$7</f>
        <v>1.39998</v>
      </c>
      <c r="O1501" s="39" t="n">
        <f aca="false">J1501*Resumo!$C$8</f>
        <v>1.39998</v>
      </c>
      <c r="P1501" s="39" t="n">
        <f aca="false">Resumo!$C$10*CEILING(I1501/100,1)</f>
        <v>1</v>
      </c>
      <c r="Q1501" s="39" t="n">
        <f aca="false">Resumo!$C$9</f>
        <v>11.9</v>
      </c>
      <c r="R1501" s="39" t="n">
        <f aca="false">SUM(M1501:Q1501)*Resumo!$C$11</f>
        <v>5.7144978</v>
      </c>
      <c r="S1501" s="39" t="n">
        <f aca="false">SUM(M1501:R1501)</f>
        <v>109.6144578</v>
      </c>
      <c r="T1501" s="39" t="n">
        <f aca="false">S1501/(1-Resumo!$C$5)</f>
        <v>124.561883863636</v>
      </c>
      <c r="U1501" s="39" t="n">
        <v>131.02</v>
      </c>
      <c r="V1501" s="39" t="n">
        <f aca="false">J1501*Resumo!$B$6</f>
        <v>0.69999</v>
      </c>
      <c r="W1501" s="39" t="n">
        <f aca="false">J1501*Resumo!$B$7</f>
        <v>1.39998</v>
      </c>
      <c r="X1501" s="39" t="n">
        <f aca="false">Resumo!$B$9</f>
        <v>1</v>
      </c>
      <c r="Y1501" s="39" t="n">
        <f aca="false">Resumo!$B$10*CEILING(I1501/100,1)</f>
        <v>4.5</v>
      </c>
      <c r="Z1501" s="39" t="n">
        <f aca="false">Resumo!$B$12*CEILING(I1501,1)</f>
        <v>4.02</v>
      </c>
      <c r="AA1501" s="39" t="n">
        <f aca="false">Resumo!$B$13*CEILING(I1501,1)</f>
        <v>30.15</v>
      </c>
      <c r="AB1501" s="39" t="n">
        <f aca="false">SUM(U1501:AA1501)</f>
        <v>172.78997</v>
      </c>
      <c r="AC1501" s="39" t="n">
        <f aca="false">AB1501/(1-Resumo!$B$5)</f>
        <v>196.352238636364</v>
      </c>
      <c r="AD1501" s="39" t="n">
        <f aca="false">(AB1501-AA1501)/(1-Resumo!$B$5)</f>
        <v>162.090875</v>
      </c>
      <c r="AE1501" s="39" t="n">
        <f aca="false">AC1501-T1501</f>
        <v>71.7903547727273</v>
      </c>
      <c r="AF1501" s="40" t="n">
        <f aca="false">AC1501/T1501-1</f>
        <v>0.576342879105132</v>
      </c>
      <c r="AG1501" s="37" t="str">
        <f aca="false">IF(AC1501&lt;T1501,"SIM","NÃO")</f>
        <v>NÃO</v>
      </c>
      <c r="AH1501" s="37" t="n">
        <v>8</v>
      </c>
      <c r="AI1501" s="37" t="n">
        <v>5</v>
      </c>
      <c r="AJ1501" s="37" t="s">
        <v>323</v>
      </c>
    </row>
    <row r="1502" customFormat="false" ht="15" hidden="false" customHeight="false" outlineLevel="0" collapsed="false">
      <c r="A1502" s="37" t="n">
        <v>387071516</v>
      </c>
      <c r="B1502" s="38" t="n">
        <v>46266.5252546296</v>
      </c>
      <c r="C1502" s="37" t="s">
        <v>320</v>
      </c>
      <c r="D1502" s="37" t="s">
        <v>1475</v>
      </c>
      <c r="E1502" s="37" t="n">
        <v>21061500</v>
      </c>
      <c r="F1502" s="37" t="s">
        <v>139</v>
      </c>
      <c r="G1502" s="37" t="s">
        <v>198</v>
      </c>
      <c r="H1502" s="37" t="s">
        <v>168</v>
      </c>
      <c r="I1502" s="37" t="n">
        <v>33.3</v>
      </c>
      <c r="J1502" s="39" t="n">
        <v>429.99</v>
      </c>
      <c r="K1502" s="37" t="s">
        <v>322</v>
      </c>
      <c r="L1502" s="39" t="n">
        <v>82.39</v>
      </c>
      <c r="M1502" s="39" t="n">
        <v>54.1</v>
      </c>
      <c r="N1502" s="39" t="n">
        <f aca="false">J1502*Resumo!$C$7</f>
        <v>0.85998</v>
      </c>
      <c r="O1502" s="39" t="n">
        <f aca="false">J1502*Resumo!$C$8</f>
        <v>0.85998</v>
      </c>
      <c r="P1502" s="39" t="n">
        <f aca="false">Resumo!$C$10*CEILING(I1502/100,1)</f>
        <v>1</v>
      </c>
      <c r="Q1502" s="39" t="n">
        <f aca="false">Resumo!$C$9</f>
        <v>11.9</v>
      </c>
      <c r="R1502" s="39" t="n">
        <f aca="false">SUM(M1502:Q1502)*Resumo!$C$11</f>
        <v>3.7795978</v>
      </c>
      <c r="S1502" s="39" t="n">
        <f aca="false">SUM(M1502:R1502)</f>
        <v>72.4995578</v>
      </c>
      <c r="T1502" s="39" t="n">
        <f aca="false">S1502/(1-Resumo!$C$5)</f>
        <v>82.3858611363636</v>
      </c>
      <c r="U1502" s="39" t="n">
        <v>82.21</v>
      </c>
      <c r="V1502" s="39" t="n">
        <f aca="false">J1502*Resumo!$B$6</f>
        <v>0.42999</v>
      </c>
      <c r="W1502" s="39" t="n">
        <f aca="false">J1502*Resumo!$B$7</f>
        <v>0.85998</v>
      </c>
      <c r="X1502" s="39" t="n">
        <f aca="false">Resumo!$B$9</f>
        <v>1</v>
      </c>
      <c r="Y1502" s="39" t="n">
        <f aca="false">Resumo!$B$10*CEILING(I1502/100,1)</f>
        <v>4.5</v>
      </c>
      <c r="Z1502" s="39" t="n">
        <f aca="false">Resumo!$B$12*CEILING(I1502,1)</f>
        <v>2.04</v>
      </c>
      <c r="AA1502" s="39" t="n">
        <f aca="false">Resumo!$B$13*CEILING(I1502,1)</f>
        <v>15.3</v>
      </c>
      <c r="AB1502" s="39" t="n">
        <f aca="false">SUM(U1502:AA1502)</f>
        <v>106.33997</v>
      </c>
      <c r="AC1502" s="39" t="n">
        <f aca="false">AB1502/(1-Resumo!$B$5)</f>
        <v>120.840875</v>
      </c>
      <c r="AD1502" s="39" t="n">
        <f aca="false">(AB1502-AA1502)/(1-Resumo!$B$5)</f>
        <v>103.454511363636</v>
      </c>
      <c r="AE1502" s="39" t="n">
        <f aca="false">AC1502-T1502</f>
        <v>38.4550138636364</v>
      </c>
      <c r="AF1502" s="40" t="n">
        <f aca="false">AC1502/T1502-1</f>
        <v>0.466767153164622</v>
      </c>
      <c r="AG1502" s="37" t="str">
        <f aca="false">IF(AC1502&lt;T1502,"SIM","NÃO")</f>
        <v>NÃO</v>
      </c>
      <c r="AH1502" s="37" t="n">
        <v>8</v>
      </c>
      <c r="AI1502" s="37" t="n">
        <v>5</v>
      </c>
      <c r="AJ1502" s="37" t="s">
        <v>323</v>
      </c>
    </row>
    <row r="1503" customFormat="false" ht="15" hidden="false" customHeight="false" outlineLevel="0" collapsed="false">
      <c r="A1503" s="37" t="n">
        <v>387088656</v>
      </c>
      <c r="B1503" s="38" t="n">
        <v>46266.5491087963</v>
      </c>
      <c r="C1503" s="37" t="s">
        <v>320</v>
      </c>
      <c r="D1503" s="37" t="s">
        <v>1703</v>
      </c>
      <c r="E1503" s="37" t="n">
        <v>28085140</v>
      </c>
      <c r="F1503" s="37" t="s">
        <v>144</v>
      </c>
      <c r="G1503" s="37" t="s">
        <v>201</v>
      </c>
      <c r="H1503" s="37" t="s">
        <v>172</v>
      </c>
      <c r="I1503" s="37" t="n">
        <v>67.3</v>
      </c>
      <c r="J1503" s="39" t="n">
        <v>694.72</v>
      </c>
      <c r="K1503" s="37" t="s">
        <v>322</v>
      </c>
      <c r="L1503" s="39" t="n">
        <v>155.35</v>
      </c>
      <c r="M1503" s="39" t="n">
        <v>113.9</v>
      </c>
      <c r="N1503" s="39" t="n">
        <f aca="false">J1503*Resumo!$C$7</f>
        <v>1.38944</v>
      </c>
      <c r="O1503" s="39" t="n">
        <f aca="false">J1503*Resumo!$C$8</f>
        <v>1.38944</v>
      </c>
      <c r="P1503" s="39" t="n">
        <f aca="false">Resumo!$C$10*CEILING(I1503/100,1)</f>
        <v>1</v>
      </c>
      <c r="Q1503" s="39" t="n">
        <f aca="false">Resumo!$C$9</f>
        <v>11.9</v>
      </c>
      <c r="R1503" s="39" t="n">
        <f aca="false">SUM(M1503:Q1503)*Resumo!$C$11</f>
        <v>7.1268384</v>
      </c>
      <c r="S1503" s="39" t="n">
        <f aca="false">SUM(M1503:R1503)</f>
        <v>136.7057184</v>
      </c>
      <c r="T1503" s="39" t="n">
        <f aca="false">S1503/(1-Resumo!$C$5)</f>
        <v>155.347407272727</v>
      </c>
      <c r="U1503" s="39" t="n">
        <v>171.54</v>
      </c>
      <c r="V1503" s="39" t="n">
        <f aca="false">J1503*Resumo!$B$6</f>
        <v>0.69472</v>
      </c>
      <c r="W1503" s="39" t="n">
        <f aca="false">J1503*Resumo!$B$7</f>
        <v>1.38944</v>
      </c>
      <c r="X1503" s="39" t="n">
        <f aca="false">Resumo!$B$9</f>
        <v>1</v>
      </c>
      <c r="Y1503" s="39" t="n">
        <f aca="false">Resumo!$B$10*CEILING(I1503/100,1)</f>
        <v>4.5</v>
      </c>
      <c r="Z1503" s="39" t="n">
        <f aca="false">Resumo!$B$12*CEILING(I1503,1)</f>
        <v>4.08</v>
      </c>
      <c r="AA1503" s="39" t="n">
        <f aca="false">Resumo!$B$13*CEILING(I1503,1)</f>
        <v>30.6</v>
      </c>
      <c r="AB1503" s="39" t="n">
        <f aca="false">SUM(U1503:AA1503)</f>
        <v>213.80416</v>
      </c>
      <c r="AC1503" s="39" t="n">
        <f aca="false">AB1503/(1-Resumo!$B$5)</f>
        <v>242.959272727273</v>
      </c>
      <c r="AD1503" s="39" t="n">
        <f aca="false">(AB1503-AA1503)/(1-Resumo!$B$5)</f>
        <v>208.186545454545</v>
      </c>
      <c r="AE1503" s="39" t="n">
        <f aca="false">AC1503-T1503</f>
        <v>87.6118654545455</v>
      </c>
      <c r="AF1503" s="40" t="n">
        <f aca="false">AC1503/T1503-1</f>
        <v>0.563973786190937</v>
      </c>
      <c r="AG1503" s="37" t="str">
        <f aca="false">IF(AC1503&lt;T1503,"SIM","NÃO")</f>
        <v>NÃO</v>
      </c>
      <c r="AH1503" s="37" t="n">
        <v>13</v>
      </c>
      <c r="AI1503" s="37" t="n">
        <v>11</v>
      </c>
      <c r="AJ1503" s="37" t="s">
        <v>323</v>
      </c>
    </row>
    <row r="1504" customFormat="false" ht="15" hidden="false" customHeight="false" outlineLevel="0" collapsed="false">
      <c r="A1504" s="37" t="n">
        <v>387121910</v>
      </c>
      <c r="B1504" s="38" t="n">
        <v>46266.594375</v>
      </c>
      <c r="C1504" s="37" t="s">
        <v>325</v>
      </c>
      <c r="D1504" s="37" t="s">
        <v>1704</v>
      </c>
      <c r="E1504" s="37" t="n">
        <v>21250570</v>
      </c>
      <c r="F1504" s="37" t="s">
        <v>139</v>
      </c>
      <c r="G1504" s="37" t="s">
        <v>198</v>
      </c>
      <c r="H1504" s="37" t="s">
        <v>168</v>
      </c>
      <c r="I1504" s="37" t="n">
        <v>21.75</v>
      </c>
      <c r="J1504" s="39" t="n">
        <v>249</v>
      </c>
      <c r="K1504" s="37" t="s">
        <v>322</v>
      </c>
      <c r="L1504" s="39" t="n">
        <v>81.52</v>
      </c>
      <c r="M1504" s="39" t="n">
        <v>54.1</v>
      </c>
      <c r="N1504" s="39" t="n">
        <f aca="false">J1504*Resumo!$C$7</f>
        <v>0.498</v>
      </c>
      <c r="O1504" s="39" t="n">
        <f aca="false">J1504*Resumo!$C$8</f>
        <v>0.498</v>
      </c>
      <c r="P1504" s="39" t="n">
        <f aca="false">Resumo!$C$10*CEILING(I1504/100,1)</f>
        <v>1</v>
      </c>
      <c r="Q1504" s="39" t="n">
        <f aca="false">Resumo!$C$9</f>
        <v>11.9</v>
      </c>
      <c r="R1504" s="39" t="n">
        <f aca="false">SUM(M1504:Q1504)*Resumo!$C$11</f>
        <v>3.73978</v>
      </c>
      <c r="S1504" s="39" t="n">
        <f aca="false">SUM(M1504:R1504)</f>
        <v>71.73578</v>
      </c>
      <c r="T1504" s="39" t="n">
        <f aca="false">S1504/(1-Resumo!$C$5)</f>
        <v>81.5179318181818</v>
      </c>
      <c r="U1504" s="39" t="n">
        <v>82.21</v>
      </c>
      <c r="V1504" s="39" t="n">
        <f aca="false">J1504*Resumo!$B$6</f>
        <v>0.249</v>
      </c>
      <c r="W1504" s="39" t="n">
        <f aca="false">J1504*Resumo!$B$7</f>
        <v>0.498</v>
      </c>
      <c r="X1504" s="39" t="n">
        <f aca="false">Resumo!$B$9</f>
        <v>1</v>
      </c>
      <c r="Y1504" s="39" t="n">
        <f aca="false">Resumo!$B$10*CEILING(I1504/100,1)</f>
        <v>4.5</v>
      </c>
      <c r="Z1504" s="39" t="n">
        <f aca="false">Resumo!$B$12*CEILING(I1504,1)</f>
        <v>1.32</v>
      </c>
      <c r="AA1504" s="39" t="n">
        <f aca="false">Resumo!$B$13*CEILING(I1504,1)</f>
        <v>9.9</v>
      </c>
      <c r="AB1504" s="39" t="n">
        <f aca="false">SUM(U1504:AA1504)</f>
        <v>99.677</v>
      </c>
      <c r="AC1504" s="39" t="n">
        <f aca="false">AB1504/(1-Resumo!$B$5)</f>
        <v>113.269318181818</v>
      </c>
      <c r="AD1504" s="39" t="n">
        <f aca="false">(AB1504-AA1504)/(1-Resumo!$B$5)</f>
        <v>102.019318181818</v>
      </c>
      <c r="AE1504" s="39" t="n">
        <f aca="false">AC1504-T1504</f>
        <v>31.7513863636364</v>
      </c>
      <c r="AF1504" s="40" t="n">
        <f aca="false">AC1504/T1504-1</f>
        <v>0.389501863644614</v>
      </c>
      <c r="AG1504" s="37" t="str">
        <f aca="false">IF(AC1504&lt;T1504,"SIM","NÃO")</f>
        <v>NÃO</v>
      </c>
      <c r="AH1504" s="37" t="n">
        <v>8</v>
      </c>
      <c r="AI1504" s="37" t="n">
        <v>5</v>
      </c>
      <c r="AJ1504" s="37" t="s">
        <v>323</v>
      </c>
    </row>
    <row r="1505" customFormat="false" ht="15" hidden="false" customHeight="false" outlineLevel="0" collapsed="false">
      <c r="A1505" s="37" t="n">
        <v>387146321</v>
      </c>
      <c r="B1505" s="38" t="n">
        <v>46266.6271759259</v>
      </c>
      <c r="C1505" s="37" t="s">
        <v>325</v>
      </c>
      <c r="D1505" s="37" t="s">
        <v>1172</v>
      </c>
      <c r="E1505" s="37" t="n">
        <v>23040550</v>
      </c>
      <c r="F1505" s="37" t="s">
        <v>139</v>
      </c>
      <c r="G1505" s="37" t="s">
        <v>198</v>
      </c>
      <c r="H1505" s="37" t="s">
        <v>172</v>
      </c>
      <c r="I1505" s="37" t="n">
        <v>68.7</v>
      </c>
      <c r="J1505" s="39" t="n">
        <v>757.86</v>
      </c>
      <c r="K1505" s="37" t="s">
        <v>322</v>
      </c>
      <c r="L1505" s="39" t="n">
        <v>124.85</v>
      </c>
      <c r="M1505" s="39" t="n">
        <v>88.2</v>
      </c>
      <c r="N1505" s="39" t="n">
        <f aca="false">J1505*Resumo!$C$7</f>
        <v>1.51572</v>
      </c>
      <c r="O1505" s="39" t="n">
        <f aca="false">J1505*Resumo!$C$8</f>
        <v>1.51572</v>
      </c>
      <c r="P1505" s="39" t="n">
        <f aca="false">Resumo!$C$10*CEILING(I1505/100,1)</f>
        <v>1</v>
      </c>
      <c r="Q1505" s="39" t="n">
        <f aca="false">Resumo!$C$9</f>
        <v>11.9</v>
      </c>
      <c r="R1505" s="39" t="n">
        <f aca="false">SUM(M1505:Q1505)*Resumo!$C$11</f>
        <v>5.7272292</v>
      </c>
      <c r="S1505" s="39" t="n">
        <f aca="false">SUM(M1505:R1505)</f>
        <v>109.8586692</v>
      </c>
      <c r="T1505" s="39" t="n">
        <f aca="false">S1505/(1-Resumo!$C$5)</f>
        <v>124.839396818182</v>
      </c>
      <c r="U1505" s="39" t="n">
        <v>131.02</v>
      </c>
      <c r="V1505" s="39" t="n">
        <f aca="false">J1505*Resumo!$B$6</f>
        <v>0.75786</v>
      </c>
      <c r="W1505" s="39" t="n">
        <f aca="false">J1505*Resumo!$B$7</f>
        <v>1.51572</v>
      </c>
      <c r="X1505" s="39" t="n">
        <f aca="false">Resumo!$B$9</f>
        <v>1</v>
      </c>
      <c r="Y1505" s="39" t="n">
        <f aca="false">Resumo!$B$10*CEILING(I1505/100,1)</f>
        <v>4.5</v>
      </c>
      <c r="Z1505" s="39" t="n">
        <f aca="false">Resumo!$B$12*CEILING(I1505,1)</f>
        <v>4.14</v>
      </c>
      <c r="AA1505" s="39" t="n">
        <f aca="false">Resumo!$B$13*CEILING(I1505,1)</f>
        <v>31.05</v>
      </c>
      <c r="AB1505" s="39" t="n">
        <f aca="false">SUM(U1505:AA1505)</f>
        <v>173.98358</v>
      </c>
      <c r="AC1505" s="39" t="n">
        <f aca="false">AB1505/(1-Resumo!$B$5)</f>
        <v>197.708613636364</v>
      </c>
      <c r="AD1505" s="39" t="n">
        <f aca="false">(AB1505-AA1505)/(1-Resumo!$B$5)</f>
        <v>162.424522727273</v>
      </c>
      <c r="AE1505" s="39" t="n">
        <f aca="false">AC1505-T1505</f>
        <v>72.8692168181818</v>
      </c>
      <c r="AF1505" s="40" t="n">
        <f aca="false">AC1505/T1505-1</f>
        <v>0.583703691906729</v>
      </c>
      <c r="AG1505" s="37" t="str">
        <f aca="false">IF(AC1505&lt;T1505,"SIM","NÃO")</f>
        <v>NÃO</v>
      </c>
      <c r="AH1505" s="37" t="n">
        <v>8</v>
      </c>
      <c r="AI1505" s="37" t="n">
        <v>5</v>
      </c>
      <c r="AJ1505" s="37" t="s">
        <v>323</v>
      </c>
    </row>
    <row r="1506" customFormat="false" ht="15" hidden="false" customHeight="false" outlineLevel="0" collapsed="false">
      <c r="A1506" s="37" t="n">
        <v>387147599</v>
      </c>
      <c r="B1506" s="38" t="n">
        <v>46266.6299074074</v>
      </c>
      <c r="C1506" s="37" t="s">
        <v>320</v>
      </c>
      <c r="D1506" s="37" t="s">
        <v>1705</v>
      </c>
      <c r="E1506" s="37" t="n">
        <v>26480350</v>
      </c>
      <c r="F1506" s="37" t="s">
        <v>223</v>
      </c>
      <c r="G1506" s="37" t="s">
        <v>201</v>
      </c>
      <c r="H1506" s="37" t="s">
        <v>169</v>
      </c>
      <c r="I1506" s="37" t="n">
        <v>37.5</v>
      </c>
      <c r="J1506" s="39" t="n">
        <v>379.99</v>
      </c>
      <c r="K1506" s="37" t="s">
        <v>322</v>
      </c>
      <c r="L1506" s="39" t="n">
        <v>122.07</v>
      </c>
      <c r="M1506" s="39" t="n">
        <v>87.4</v>
      </c>
      <c r="N1506" s="39" t="n">
        <f aca="false">J1506*Resumo!$C$7</f>
        <v>0.75998</v>
      </c>
      <c r="O1506" s="39" t="n">
        <f aca="false">J1506*Resumo!$C$8</f>
        <v>0.75998</v>
      </c>
      <c r="P1506" s="39" t="n">
        <f aca="false">Resumo!$C$10*CEILING(I1506/100,1)</f>
        <v>1</v>
      </c>
      <c r="Q1506" s="39" t="n">
        <f aca="false">Resumo!$C$9</f>
        <v>11.9</v>
      </c>
      <c r="R1506" s="39" t="n">
        <f aca="false">SUM(M1506:Q1506)*Resumo!$C$11</f>
        <v>5.6000978</v>
      </c>
      <c r="S1506" s="39" t="n">
        <f aca="false">SUM(M1506:R1506)</f>
        <v>107.4200578</v>
      </c>
      <c r="T1506" s="39" t="n">
        <f aca="false">S1506/(1-Resumo!$C$5)</f>
        <v>122.0682475</v>
      </c>
      <c r="U1506" s="39" t="n">
        <v>93.97</v>
      </c>
      <c r="V1506" s="39" t="n">
        <f aca="false">J1506*Resumo!$B$6</f>
        <v>0.37999</v>
      </c>
      <c r="W1506" s="39" t="n">
        <f aca="false">J1506*Resumo!$B$7</f>
        <v>0.75998</v>
      </c>
      <c r="X1506" s="39" t="n">
        <f aca="false">Resumo!$B$9</f>
        <v>1</v>
      </c>
      <c r="Y1506" s="39" t="n">
        <f aca="false">Resumo!$B$10*CEILING(I1506/100,1)</f>
        <v>4.5</v>
      </c>
      <c r="Z1506" s="39" t="n">
        <f aca="false">Resumo!$B$12*CEILING(I1506,1)</f>
        <v>2.28</v>
      </c>
      <c r="AA1506" s="39" t="n">
        <f aca="false">Resumo!$B$13*CEILING(I1506,1)</f>
        <v>17.1</v>
      </c>
      <c r="AB1506" s="39" t="n">
        <f aca="false">SUM(U1506:AA1506)</f>
        <v>119.98997</v>
      </c>
      <c r="AC1506" s="39" t="n">
        <f aca="false">AB1506/(1-Resumo!$B$5)</f>
        <v>136.352238636364</v>
      </c>
      <c r="AD1506" s="39" t="n">
        <f aca="false">(AB1506-AA1506)/(1-Resumo!$B$5)</f>
        <v>116.920420454545</v>
      </c>
      <c r="AE1506" s="39" t="n">
        <f aca="false">AC1506-T1506</f>
        <v>14.2839911363636</v>
      </c>
      <c r="AF1506" s="40" t="n">
        <f aca="false">AC1506/T1506-1</f>
        <v>0.117016434895271</v>
      </c>
      <c r="AG1506" s="37" t="str">
        <f aca="false">IF(AC1506&lt;T1506,"SIM","NÃO")</f>
        <v>NÃO</v>
      </c>
      <c r="AH1506" s="37" t="n">
        <v>13</v>
      </c>
      <c r="AI1506" s="37" t="n">
        <v>5</v>
      </c>
      <c r="AJ1506" s="37" t="s">
        <v>327</v>
      </c>
    </row>
    <row r="1507" customFormat="false" ht="15" hidden="false" customHeight="false" outlineLevel="0" collapsed="false">
      <c r="A1507" s="37" t="n">
        <v>387165141</v>
      </c>
      <c r="B1507" s="38" t="n">
        <v>46266.6586805556</v>
      </c>
      <c r="C1507" s="37" t="s">
        <v>325</v>
      </c>
      <c r="D1507" s="37" t="s">
        <v>1706</v>
      </c>
      <c r="E1507" s="37" t="n">
        <v>28623000</v>
      </c>
      <c r="F1507" s="37" t="s">
        <v>157</v>
      </c>
      <c r="G1507" s="37" t="s">
        <v>201</v>
      </c>
      <c r="H1507" s="37" t="s">
        <v>170</v>
      </c>
      <c r="I1507" s="37" t="n">
        <v>48.6</v>
      </c>
      <c r="J1507" s="39" t="n">
        <v>572</v>
      </c>
      <c r="K1507" s="37" t="s">
        <v>322</v>
      </c>
      <c r="L1507" s="39" t="n">
        <v>130.89</v>
      </c>
      <c r="M1507" s="39" t="n">
        <v>94</v>
      </c>
      <c r="N1507" s="39" t="n">
        <f aca="false">J1507*Resumo!$C$7</f>
        <v>1.144</v>
      </c>
      <c r="O1507" s="39" t="n">
        <f aca="false">J1507*Resumo!$C$8</f>
        <v>1.144</v>
      </c>
      <c r="P1507" s="39" t="n">
        <f aca="false">Resumo!$C$10*CEILING(I1507/100,1)</f>
        <v>1</v>
      </c>
      <c r="Q1507" s="39" t="n">
        <f aca="false">Resumo!$C$9</f>
        <v>11.9</v>
      </c>
      <c r="R1507" s="39" t="n">
        <f aca="false">SUM(M1507:Q1507)*Resumo!$C$11</f>
        <v>6.00534</v>
      </c>
      <c r="S1507" s="39" t="n">
        <f aca="false">SUM(M1507:R1507)</f>
        <v>115.19334</v>
      </c>
      <c r="T1507" s="39" t="n">
        <f aca="false">S1507/(1-Resumo!$C$5)</f>
        <v>130.901522727273</v>
      </c>
      <c r="U1507" s="39" t="n">
        <v>135.03</v>
      </c>
      <c r="V1507" s="39" t="n">
        <f aca="false">J1507*Resumo!$B$6</f>
        <v>0.572</v>
      </c>
      <c r="W1507" s="39" t="n">
        <f aca="false">J1507*Resumo!$B$7</f>
        <v>1.144</v>
      </c>
      <c r="X1507" s="39" t="n">
        <f aca="false">Resumo!$B$9</f>
        <v>1</v>
      </c>
      <c r="Y1507" s="39" t="n">
        <f aca="false">Resumo!$B$10*CEILING(I1507/100,1)</f>
        <v>4.5</v>
      </c>
      <c r="Z1507" s="39" t="n">
        <f aca="false">Resumo!$B$12*CEILING(I1507,1)</f>
        <v>2.94</v>
      </c>
      <c r="AA1507" s="39" t="n">
        <f aca="false">Resumo!$B$13*CEILING(I1507,1)</f>
        <v>22.05</v>
      </c>
      <c r="AB1507" s="39" t="n">
        <f aca="false">SUM(U1507:AA1507)</f>
        <v>167.236</v>
      </c>
      <c r="AC1507" s="39" t="n">
        <f aca="false">AB1507/(1-Resumo!$B$5)</f>
        <v>190.040909090909</v>
      </c>
      <c r="AD1507" s="39" t="n">
        <f aca="false">(AB1507-AA1507)/(1-Resumo!$B$5)</f>
        <v>164.984090909091</v>
      </c>
      <c r="AE1507" s="39" t="n">
        <f aca="false">AC1507-T1507</f>
        <v>59.1393863636364</v>
      </c>
      <c r="AF1507" s="40" t="n">
        <f aca="false">AC1507/T1507-1</f>
        <v>0.451785320227715</v>
      </c>
      <c r="AG1507" s="37" t="str">
        <f aca="false">IF(AC1507&lt;T1507,"SIM","NÃO")</f>
        <v>NÃO</v>
      </c>
      <c r="AH1507" s="37" t="n">
        <v>13</v>
      </c>
      <c r="AI1507" s="37" t="n">
        <v>10</v>
      </c>
      <c r="AJ1507" s="37" t="s">
        <v>323</v>
      </c>
    </row>
    <row r="1508" customFormat="false" ht="15" hidden="false" customHeight="false" outlineLevel="0" collapsed="false">
      <c r="A1508" s="37" t="n">
        <v>387184774</v>
      </c>
      <c r="B1508" s="38" t="n">
        <v>46266.6878819445</v>
      </c>
      <c r="C1508" s="37" t="s">
        <v>320</v>
      </c>
      <c r="D1508" s="37" t="s">
        <v>1707</v>
      </c>
      <c r="E1508" s="37" t="n">
        <v>26297234</v>
      </c>
      <c r="F1508" s="37" t="s">
        <v>142</v>
      </c>
      <c r="G1508" s="37" t="s">
        <v>207</v>
      </c>
      <c r="H1508" s="37" t="s">
        <v>167</v>
      </c>
      <c r="I1508" s="37" t="n">
        <v>19.8</v>
      </c>
      <c r="J1508" s="39" t="n">
        <v>369.99</v>
      </c>
      <c r="K1508" s="37" t="s">
        <v>322</v>
      </c>
      <c r="L1508" s="39" t="n">
        <v>75.61</v>
      </c>
      <c r="M1508" s="39" t="n">
        <v>48.69</v>
      </c>
      <c r="N1508" s="39" t="n">
        <f aca="false">J1508*Resumo!$C$7</f>
        <v>0.73998</v>
      </c>
      <c r="O1508" s="39" t="n">
        <f aca="false">J1508*Resumo!$C$8</f>
        <v>0.73998</v>
      </c>
      <c r="P1508" s="39" t="n">
        <f aca="false">Resumo!$C$10*CEILING(I1508/100,1)</f>
        <v>1</v>
      </c>
      <c r="Q1508" s="39" t="n">
        <f aca="false">Resumo!$C$9</f>
        <v>11.9</v>
      </c>
      <c r="R1508" s="39" t="n">
        <f aca="false">SUM(M1508:Q1508)*Resumo!$C$11</f>
        <v>3.4688478</v>
      </c>
      <c r="S1508" s="39" t="n">
        <f aca="false">SUM(M1508:R1508)</f>
        <v>66.5388078</v>
      </c>
      <c r="T1508" s="39" t="n">
        <f aca="false">S1508/(1-Resumo!$C$5)</f>
        <v>75.6122815909091</v>
      </c>
      <c r="U1508" s="39" t="n">
        <v>46.98</v>
      </c>
      <c r="V1508" s="39" t="n">
        <f aca="false">J1508*Resumo!$B$6</f>
        <v>0.36999</v>
      </c>
      <c r="W1508" s="39" t="n">
        <f aca="false">J1508*Resumo!$B$7</f>
        <v>0.73998</v>
      </c>
      <c r="X1508" s="39" t="n">
        <f aca="false">Resumo!$B$9</f>
        <v>1</v>
      </c>
      <c r="Y1508" s="39" t="n">
        <f aca="false">Resumo!$B$10*CEILING(I1508/100,1)</f>
        <v>4.5</v>
      </c>
      <c r="Z1508" s="39" t="n">
        <f aca="false">Resumo!$B$12*CEILING(I1508,1)</f>
        <v>1.2</v>
      </c>
      <c r="AA1508" s="39" t="n">
        <f aca="false">Resumo!$B$13*CEILING(I1508,1)</f>
        <v>9</v>
      </c>
      <c r="AB1508" s="39" t="n">
        <f aca="false">SUM(U1508:AA1508)</f>
        <v>63.78997</v>
      </c>
      <c r="AC1508" s="39" t="n">
        <f aca="false">AB1508/(1-Resumo!$B$5)</f>
        <v>72.4886022727273</v>
      </c>
      <c r="AD1508" s="39" t="n">
        <f aca="false">(AB1508-AA1508)/(1-Resumo!$B$5)</f>
        <v>62.2613295454545</v>
      </c>
      <c r="AE1508" s="39" t="n">
        <f aca="false">AC1508-T1508</f>
        <v>-3.12367931818183</v>
      </c>
      <c r="AF1508" s="40" t="n">
        <f aca="false">AC1508/T1508-1</f>
        <v>-0.0413117981954586</v>
      </c>
      <c r="AG1508" s="37" t="str">
        <f aca="false">IF(AC1508&lt;T1508,"SIM","NÃO")</f>
        <v>SIM</v>
      </c>
      <c r="AH1508" s="37" t="n">
        <v>10</v>
      </c>
      <c r="AI1508" s="37" t="n">
        <v>5</v>
      </c>
      <c r="AJ1508" s="37" t="s">
        <v>323</v>
      </c>
    </row>
    <row r="1509" customFormat="false" ht="15" hidden="false" customHeight="false" outlineLevel="0" collapsed="false">
      <c r="A1509" s="37" t="n">
        <v>387261366</v>
      </c>
      <c r="B1509" s="38" t="n">
        <v>46266.6892824074</v>
      </c>
      <c r="C1509" s="37" t="s">
        <v>325</v>
      </c>
      <c r="D1509" s="37" t="s">
        <v>1708</v>
      </c>
      <c r="E1509" s="37" t="n">
        <v>25745010</v>
      </c>
      <c r="F1509" s="37" t="s">
        <v>150</v>
      </c>
      <c r="G1509" s="37" t="s">
        <v>201</v>
      </c>
      <c r="H1509" s="37" t="s">
        <v>176</v>
      </c>
      <c r="I1509" s="37" t="n">
        <v>124.2</v>
      </c>
      <c r="J1509" s="39" t="n">
        <v>1799.99</v>
      </c>
      <c r="K1509" s="37" t="s">
        <v>322</v>
      </c>
      <c r="L1509" s="39" t="n">
        <v>261.92</v>
      </c>
      <c r="M1509" s="39" t="n">
        <v>197.37</v>
      </c>
      <c r="N1509" s="39" t="n">
        <f aca="false">J1509*Resumo!$C$7</f>
        <v>3.59998</v>
      </c>
      <c r="O1509" s="39" t="n">
        <f aca="false">J1509*Resumo!$C$8</f>
        <v>3.59998</v>
      </c>
      <c r="P1509" s="39" t="n">
        <f aca="false">Resumo!$C$10*CEILING(I1509/100,1)</f>
        <v>2</v>
      </c>
      <c r="Q1509" s="39" t="n">
        <f aca="false">Resumo!$C$9</f>
        <v>11.9</v>
      </c>
      <c r="R1509" s="39" t="n">
        <f aca="false">SUM(M1509:Q1509)*Resumo!$C$11</f>
        <v>12.0158478</v>
      </c>
      <c r="S1509" s="39" t="n">
        <f aca="false">SUM(M1509:R1509)</f>
        <v>230.4858078</v>
      </c>
      <c r="T1509" s="39" t="n">
        <f aca="false">S1509/(1-Resumo!$C$5)</f>
        <v>261.915690681818</v>
      </c>
      <c r="U1509" s="39" t="n">
        <v>264.84</v>
      </c>
      <c r="V1509" s="39" t="n">
        <f aca="false">J1509*Resumo!$B$6</f>
        <v>1.79999</v>
      </c>
      <c r="W1509" s="39" t="n">
        <f aca="false">J1509*Resumo!$B$7</f>
        <v>3.59998</v>
      </c>
      <c r="X1509" s="39" t="n">
        <f aca="false">Resumo!$B$9</f>
        <v>1</v>
      </c>
      <c r="Y1509" s="39" t="n">
        <f aca="false">Resumo!$B$10*CEILING(I1509/100,1)</f>
        <v>9</v>
      </c>
      <c r="Z1509" s="39" t="n">
        <f aca="false">Resumo!$B$12*CEILING(I1509,1)</f>
        <v>7.5</v>
      </c>
      <c r="AA1509" s="39" t="n">
        <f aca="false">Resumo!$B$13*CEILING(I1509,1)</f>
        <v>56.25</v>
      </c>
      <c r="AB1509" s="39" t="n">
        <f aca="false">SUM(U1509:AA1509)</f>
        <v>343.98997</v>
      </c>
      <c r="AC1509" s="39" t="n">
        <f aca="false">AB1509/(1-Resumo!$B$5)</f>
        <v>390.897693181818</v>
      </c>
      <c r="AD1509" s="39" t="n">
        <f aca="false">(AB1509-AA1509)/(1-Resumo!$B$5)</f>
        <v>326.977238636364</v>
      </c>
      <c r="AE1509" s="39" t="n">
        <f aca="false">AC1509-T1509</f>
        <v>128.9820025</v>
      </c>
      <c r="AF1509" s="40" t="n">
        <f aca="false">AC1509/T1509-1</f>
        <v>0.492456187577897</v>
      </c>
      <c r="AG1509" s="37" t="str">
        <f aca="false">IF(AC1509&lt;T1509,"SIM","NÃO")</f>
        <v>NÃO</v>
      </c>
      <c r="AH1509" s="37" t="n">
        <v>13</v>
      </c>
      <c r="AI1509" s="37" t="n">
        <v>8</v>
      </c>
      <c r="AJ1509" s="37" t="s">
        <v>323</v>
      </c>
    </row>
    <row r="1510" customFormat="false" ht="15" hidden="false" customHeight="false" outlineLevel="0" collapsed="false">
      <c r="A1510" s="37" t="n">
        <v>387217124</v>
      </c>
      <c r="B1510" s="38" t="n">
        <v>46266.7469907407</v>
      </c>
      <c r="C1510" s="37" t="s">
        <v>352</v>
      </c>
      <c r="D1510" s="37" t="s">
        <v>1709</v>
      </c>
      <c r="E1510" s="37" t="n">
        <v>25932110</v>
      </c>
      <c r="F1510" s="37" t="s">
        <v>156</v>
      </c>
      <c r="G1510" s="37" t="s">
        <v>201</v>
      </c>
      <c r="H1510" s="37" t="s">
        <v>168</v>
      </c>
      <c r="I1510" s="37" t="n">
        <v>30.5</v>
      </c>
      <c r="J1510" s="39" t="n">
        <v>399.99</v>
      </c>
      <c r="K1510" s="37" t="s">
        <v>322</v>
      </c>
      <c r="L1510" s="39" t="n">
        <v>109.1</v>
      </c>
      <c r="M1510" s="39" t="n">
        <v>76.5</v>
      </c>
      <c r="N1510" s="39" t="n">
        <f aca="false">J1510*Resumo!$C$7</f>
        <v>0.79998</v>
      </c>
      <c r="O1510" s="39" t="n">
        <f aca="false">J1510*Resumo!$C$8</f>
        <v>0.79998</v>
      </c>
      <c r="P1510" s="39" t="n">
        <f aca="false">Resumo!$C$10*CEILING(I1510/100,1)</f>
        <v>1</v>
      </c>
      <c r="Q1510" s="39" t="n">
        <f aca="false">Resumo!$C$9</f>
        <v>11.9</v>
      </c>
      <c r="R1510" s="39" t="n">
        <f aca="false">SUM(M1510:Q1510)*Resumo!$C$11</f>
        <v>5.0049978</v>
      </c>
      <c r="S1510" s="39" t="n">
        <f aca="false">SUM(M1510:R1510)</f>
        <v>96.0049578</v>
      </c>
      <c r="T1510" s="39" t="n">
        <f aca="false">S1510/(1-Resumo!$C$5)</f>
        <v>109.096542954545</v>
      </c>
      <c r="U1510" s="39" t="n">
        <v>103.28</v>
      </c>
      <c r="V1510" s="39" t="n">
        <f aca="false">J1510*Resumo!$B$6</f>
        <v>0.39999</v>
      </c>
      <c r="W1510" s="39" t="n">
        <f aca="false">J1510*Resumo!$B$7</f>
        <v>0.79998</v>
      </c>
      <c r="X1510" s="39" t="n">
        <f aca="false">Resumo!$B$9</f>
        <v>1</v>
      </c>
      <c r="Y1510" s="39" t="n">
        <f aca="false">Resumo!$B$10*CEILING(I1510/100,1)</f>
        <v>4.5</v>
      </c>
      <c r="Z1510" s="39" t="n">
        <f aca="false">Resumo!$B$12*CEILING(I1510,1)</f>
        <v>1.86</v>
      </c>
      <c r="AA1510" s="39" t="n">
        <f aca="false">Resumo!$B$13*CEILING(I1510,1)</f>
        <v>13.95</v>
      </c>
      <c r="AB1510" s="39" t="n">
        <f aca="false">SUM(U1510:AA1510)</f>
        <v>125.78997</v>
      </c>
      <c r="AC1510" s="39" t="n">
        <f aca="false">AB1510/(1-Resumo!$B$5)</f>
        <v>142.943147727273</v>
      </c>
      <c r="AD1510" s="39" t="n">
        <f aca="false">(AB1510-AA1510)/(1-Resumo!$B$5)</f>
        <v>127.090875</v>
      </c>
      <c r="AE1510" s="39" t="n">
        <f aca="false">AC1510-T1510</f>
        <v>33.8466047727273</v>
      </c>
      <c r="AF1510" s="40" t="n">
        <f aca="false">AC1510/T1510-1</f>
        <v>0.31024452155949</v>
      </c>
      <c r="AG1510" s="37" t="str">
        <f aca="false">IF(AC1510&lt;T1510,"SIM","NÃO")</f>
        <v>NÃO</v>
      </c>
      <c r="AH1510" s="37" t="n">
        <v>13</v>
      </c>
      <c r="AI1510" s="37" t="n">
        <v>6</v>
      </c>
      <c r="AJ1510" s="37" t="s">
        <v>323</v>
      </c>
    </row>
    <row r="1511" customFormat="false" ht="15" hidden="false" customHeight="false" outlineLevel="0" collapsed="false">
      <c r="A1511" s="37" t="n">
        <v>387224307</v>
      </c>
      <c r="B1511" s="38" t="n">
        <v>46266.7566666667</v>
      </c>
      <c r="C1511" s="37" t="s">
        <v>320</v>
      </c>
      <c r="D1511" s="37" t="s">
        <v>1710</v>
      </c>
      <c r="E1511" s="37" t="n">
        <v>23010220</v>
      </c>
      <c r="F1511" s="37" t="s">
        <v>139</v>
      </c>
      <c r="G1511" s="37" t="s">
        <v>198</v>
      </c>
      <c r="H1511" s="37" t="s">
        <v>169</v>
      </c>
      <c r="I1511" s="37" t="n">
        <v>37.2</v>
      </c>
      <c r="J1511" s="39" t="n">
        <v>387.99</v>
      </c>
      <c r="K1511" s="37" t="s">
        <v>322</v>
      </c>
      <c r="L1511" s="39" t="n">
        <v>91.73</v>
      </c>
      <c r="M1511" s="39" t="n">
        <v>62.05</v>
      </c>
      <c r="N1511" s="39" t="n">
        <f aca="false">J1511*Resumo!$C$7</f>
        <v>0.77598</v>
      </c>
      <c r="O1511" s="39" t="n">
        <f aca="false">J1511*Resumo!$C$8</f>
        <v>0.77598</v>
      </c>
      <c r="P1511" s="39" t="n">
        <f aca="false">Resumo!$C$10*CEILING(I1511/100,1)</f>
        <v>1</v>
      </c>
      <c r="Q1511" s="39" t="n">
        <f aca="false">Resumo!$C$9</f>
        <v>11.9</v>
      </c>
      <c r="R1511" s="39" t="n">
        <f aca="false">SUM(M1511:Q1511)*Resumo!$C$11</f>
        <v>4.2076078</v>
      </c>
      <c r="S1511" s="39" t="n">
        <f aca="false">SUM(M1511:R1511)</f>
        <v>80.7095678</v>
      </c>
      <c r="T1511" s="39" t="n">
        <f aca="false">S1511/(1-Resumo!$C$5)</f>
        <v>91.7154179545455</v>
      </c>
      <c r="U1511" s="39" t="n">
        <v>93.97</v>
      </c>
      <c r="V1511" s="39" t="n">
        <f aca="false">J1511*Resumo!$B$6</f>
        <v>0.38799</v>
      </c>
      <c r="W1511" s="39" t="n">
        <f aca="false">J1511*Resumo!$B$7</f>
        <v>0.77598</v>
      </c>
      <c r="X1511" s="39" t="n">
        <f aca="false">Resumo!$B$9</f>
        <v>1</v>
      </c>
      <c r="Y1511" s="39" t="n">
        <f aca="false">Resumo!$B$10*CEILING(I1511/100,1)</f>
        <v>4.5</v>
      </c>
      <c r="Z1511" s="39" t="n">
        <f aca="false">Resumo!$B$12*CEILING(I1511,1)</f>
        <v>2.28</v>
      </c>
      <c r="AA1511" s="39" t="n">
        <f aca="false">Resumo!$B$13*CEILING(I1511,1)</f>
        <v>17.1</v>
      </c>
      <c r="AB1511" s="39" t="n">
        <f aca="false">SUM(U1511:AA1511)</f>
        <v>120.01397</v>
      </c>
      <c r="AC1511" s="39" t="n">
        <f aca="false">AB1511/(1-Resumo!$B$5)</f>
        <v>136.379511363636</v>
      </c>
      <c r="AD1511" s="39" t="n">
        <f aca="false">(AB1511-AA1511)/(1-Resumo!$B$5)</f>
        <v>116.947693181818</v>
      </c>
      <c r="AE1511" s="39" t="n">
        <f aca="false">AC1511-T1511</f>
        <v>44.6640934090909</v>
      </c>
      <c r="AF1511" s="40" t="n">
        <f aca="false">AC1511/T1511-1</f>
        <v>0.486985660701308</v>
      </c>
      <c r="AG1511" s="37" t="str">
        <f aca="false">IF(AC1511&lt;T1511,"SIM","NÃO")</f>
        <v>NÃO</v>
      </c>
      <c r="AH1511" s="37" t="n">
        <v>8</v>
      </c>
      <c r="AI1511" s="37" t="n">
        <v>5</v>
      </c>
      <c r="AJ1511" s="37" t="s">
        <v>323</v>
      </c>
    </row>
    <row r="1512" customFormat="false" ht="15" hidden="false" customHeight="false" outlineLevel="0" collapsed="false">
      <c r="A1512" s="37" t="n">
        <v>387230663</v>
      </c>
      <c r="B1512" s="38" t="n">
        <v>46266.7650810185</v>
      </c>
      <c r="C1512" s="37" t="s">
        <v>320</v>
      </c>
      <c r="D1512" s="37" t="s">
        <v>1711</v>
      </c>
      <c r="E1512" s="37" t="n">
        <v>28083170</v>
      </c>
      <c r="F1512" s="37" t="s">
        <v>144</v>
      </c>
      <c r="G1512" s="37" t="s">
        <v>201</v>
      </c>
      <c r="H1512" s="37" t="s">
        <v>168</v>
      </c>
      <c r="I1512" s="37" t="n">
        <v>31.9</v>
      </c>
      <c r="J1512" s="39" t="n">
        <v>599.99</v>
      </c>
      <c r="K1512" s="37" t="s">
        <v>322</v>
      </c>
      <c r="L1512" s="39" t="n">
        <v>110.06</v>
      </c>
      <c r="M1512" s="39" t="n">
        <v>76.5</v>
      </c>
      <c r="N1512" s="39" t="n">
        <f aca="false">J1512*Resumo!$C$7</f>
        <v>1.19998</v>
      </c>
      <c r="O1512" s="39" t="n">
        <f aca="false">J1512*Resumo!$C$8</f>
        <v>1.19998</v>
      </c>
      <c r="P1512" s="39" t="n">
        <f aca="false">Resumo!$C$10*CEILING(I1512/100,1)</f>
        <v>1</v>
      </c>
      <c r="Q1512" s="39" t="n">
        <f aca="false">Resumo!$C$9</f>
        <v>11.9</v>
      </c>
      <c r="R1512" s="39" t="n">
        <f aca="false">SUM(M1512:Q1512)*Resumo!$C$11</f>
        <v>5.0489978</v>
      </c>
      <c r="S1512" s="39" t="n">
        <f aca="false">SUM(M1512:R1512)</f>
        <v>96.8489578</v>
      </c>
      <c r="T1512" s="39" t="n">
        <f aca="false">S1512/(1-Resumo!$C$5)</f>
        <v>110.055633863636</v>
      </c>
      <c r="U1512" s="39" t="n">
        <v>138.29</v>
      </c>
      <c r="V1512" s="39" t="n">
        <f aca="false">J1512*Resumo!$B$6</f>
        <v>0.59999</v>
      </c>
      <c r="W1512" s="39" t="n">
        <f aca="false">J1512*Resumo!$B$7</f>
        <v>1.19998</v>
      </c>
      <c r="X1512" s="39" t="n">
        <f aca="false">Resumo!$B$9</f>
        <v>1</v>
      </c>
      <c r="Y1512" s="39" t="n">
        <f aca="false">Resumo!$B$10*CEILING(I1512/100,1)</f>
        <v>4.5</v>
      </c>
      <c r="Z1512" s="39" t="n">
        <f aca="false">Resumo!$B$12*CEILING(I1512,1)</f>
        <v>1.92</v>
      </c>
      <c r="AA1512" s="39" t="n">
        <f aca="false">Resumo!$B$13*CEILING(I1512,1)</f>
        <v>14.4</v>
      </c>
      <c r="AB1512" s="39" t="n">
        <f aca="false">SUM(U1512:AA1512)</f>
        <v>161.90997</v>
      </c>
      <c r="AC1512" s="39" t="n">
        <f aca="false">AB1512/(1-Resumo!$B$5)</f>
        <v>183.988602272727</v>
      </c>
      <c r="AD1512" s="39" t="n">
        <f aca="false">(AB1512-AA1512)/(1-Resumo!$B$5)</f>
        <v>167.624965909091</v>
      </c>
      <c r="AE1512" s="39" t="n">
        <f aca="false">AC1512-T1512</f>
        <v>73.9329684090909</v>
      </c>
      <c r="AF1512" s="40" t="n">
        <f aca="false">AC1512/T1512-1</f>
        <v>0.671778134508743</v>
      </c>
      <c r="AG1512" s="37" t="str">
        <f aca="false">IF(AC1512&lt;T1512,"SIM","NÃO")</f>
        <v>NÃO</v>
      </c>
      <c r="AH1512" s="37" t="n">
        <v>13</v>
      </c>
      <c r="AI1512" s="37" t="n">
        <v>11</v>
      </c>
      <c r="AJ1512" s="37" t="s">
        <v>323</v>
      </c>
    </row>
    <row r="1513" customFormat="false" ht="15" hidden="false" customHeight="false" outlineLevel="0" collapsed="false">
      <c r="A1513" s="37" t="n">
        <v>387260493</v>
      </c>
      <c r="B1513" s="38" t="n">
        <v>46266.7940856482</v>
      </c>
      <c r="C1513" s="37" t="s">
        <v>517</v>
      </c>
      <c r="D1513" s="37" t="s">
        <v>1712</v>
      </c>
      <c r="E1513" s="37" t="n">
        <v>22715160</v>
      </c>
      <c r="F1513" s="37" t="s">
        <v>139</v>
      </c>
      <c r="G1513" s="37" t="s">
        <v>198</v>
      </c>
      <c r="H1513" s="37" t="s">
        <v>170</v>
      </c>
      <c r="I1513" s="37" t="n">
        <v>46.8</v>
      </c>
      <c r="J1513" s="39" t="n">
        <v>470.11</v>
      </c>
      <c r="K1513" s="37" t="s">
        <v>322</v>
      </c>
      <c r="L1513" s="39" t="n">
        <v>102.84</v>
      </c>
      <c r="M1513" s="39" t="n">
        <v>71</v>
      </c>
      <c r="N1513" s="39" t="n">
        <f aca="false">J1513*Resumo!$C$7</f>
        <v>0.94022</v>
      </c>
      <c r="O1513" s="39" t="n">
        <f aca="false">J1513*Resumo!$C$8</f>
        <v>0.94022</v>
      </c>
      <c r="P1513" s="39" t="n">
        <f aca="false">Resumo!$C$10*CEILING(I1513/100,1)</f>
        <v>1</v>
      </c>
      <c r="Q1513" s="39" t="n">
        <f aca="false">Resumo!$C$9</f>
        <v>11.9</v>
      </c>
      <c r="R1513" s="39" t="n">
        <f aca="false">SUM(M1513:Q1513)*Resumo!$C$11</f>
        <v>4.7179242</v>
      </c>
      <c r="S1513" s="39" t="n">
        <f aca="false">SUM(M1513:R1513)</f>
        <v>90.4983642</v>
      </c>
      <c r="T1513" s="39" t="n">
        <f aca="false">S1513/(1-Resumo!$C$5)</f>
        <v>102.839050227273</v>
      </c>
      <c r="U1513" s="39" t="n">
        <v>93.97</v>
      </c>
      <c r="V1513" s="39" t="n">
        <f aca="false">J1513*Resumo!$B$6</f>
        <v>0.47011</v>
      </c>
      <c r="W1513" s="39" t="n">
        <f aca="false">J1513*Resumo!$B$7</f>
        <v>0.94022</v>
      </c>
      <c r="X1513" s="39" t="n">
        <f aca="false">Resumo!$B$9</f>
        <v>1</v>
      </c>
      <c r="Y1513" s="39" t="n">
        <f aca="false">Resumo!$B$10*CEILING(I1513/100,1)</f>
        <v>4.5</v>
      </c>
      <c r="Z1513" s="39" t="n">
        <f aca="false">Resumo!$B$12*CEILING(I1513,1)</f>
        <v>2.82</v>
      </c>
      <c r="AA1513" s="39" t="n">
        <f aca="false">Resumo!$B$13*CEILING(I1513,1)</f>
        <v>21.15</v>
      </c>
      <c r="AB1513" s="39" t="n">
        <f aca="false">SUM(U1513:AA1513)</f>
        <v>124.85033</v>
      </c>
      <c r="AC1513" s="39" t="n">
        <f aca="false">AB1513/(1-Resumo!$B$5)</f>
        <v>141.875375</v>
      </c>
      <c r="AD1513" s="39" t="n">
        <f aca="false">(AB1513-AA1513)/(1-Resumo!$B$5)</f>
        <v>117.841284090909</v>
      </c>
      <c r="AE1513" s="39" t="n">
        <f aca="false">AC1513-T1513</f>
        <v>39.0363247727273</v>
      </c>
      <c r="AF1513" s="40" t="n">
        <f aca="false">AC1513/T1513-1</f>
        <v>0.379586593676795</v>
      </c>
      <c r="AG1513" s="37" t="str">
        <f aca="false">IF(AC1513&lt;T1513,"SIM","NÃO")</f>
        <v>NÃO</v>
      </c>
      <c r="AH1513" s="37" t="n">
        <v>8</v>
      </c>
      <c r="AI1513" s="37" t="n">
        <v>5</v>
      </c>
      <c r="AJ1513" s="37" t="s">
        <v>323</v>
      </c>
    </row>
    <row r="1514" customFormat="false" ht="15" hidden="false" customHeight="false" outlineLevel="0" collapsed="false">
      <c r="A1514" s="37" t="n">
        <v>387259286</v>
      </c>
      <c r="B1514" s="38" t="n">
        <v>46266.8165972222</v>
      </c>
      <c r="C1514" s="37" t="s">
        <v>341</v>
      </c>
      <c r="D1514" s="37" t="s">
        <v>1713</v>
      </c>
      <c r="E1514" s="37" t="n">
        <v>20920370</v>
      </c>
      <c r="F1514" s="37" t="s">
        <v>139</v>
      </c>
      <c r="G1514" s="37" t="s">
        <v>198</v>
      </c>
      <c r="H1514" s="37" t="s">
        <v>168</v>
      </c>
      <c r="I1514" s="37" t="n">
        <v>24.8</v>
      </c>
      <c r="J1514" s="39" t="n">
        <v>382.49</v>
      </c>
      <c r="K1514" s="37" t="s">
        <v>322</v>
      </c>
      <c r="L1514" s="39" t="n">
        <v>82.15</v>
      </c>
      <c r="M1514" s="39" t="n">
        <v>54.1</v>
      </c>
      <c r="N1514" s="39" t="n">
        <f aca="false">J1514*Resumo!$C$7</f>
        <v>0.76498</v>
      </c>
      <c r="O1514" s="39" t="n">
        <f aca="false">J1514*Resumo!$C$8</f>
        <v>0.76498</v>
      </c>
      <c r="P1514" s="39" t="n">
        <f aca="false">Resumo!$C$10*CEILING(I1514/100,1)</f>
        <v>1</v>
      </c>
      <c r="Q1514" s="39" t="n">
        <f aca="false">Resumo!$C$9</f>
        <v>11.9</v>
      </c>
      <c r="R1514" s="39" t="n">
        <f aca="false">SUM(M1514:Q1514)*Resumo!$C$11</f>
        <v>3.7691478</v>
      </c>
      <c r="S1514" s="39" t="n">
        <f aca="false">SUM(M1514:R1514)</f>
        <v>72.2991078</v>
      </c>
      <c r="T1514" s="39" t="n">
        <f aca="false">S1514/(1-Resumo!$C$5)</f>
        <v>82.1580770454546</v>
      </c>
      <c r="U1514" s="39" t="n">
        <v>82.21</v>
      </c>
      <c r="V1514" s="39" t="n">
        <f aca="false">J1514*Resumo!$B$6</f>
        <v>0.38249</v>
      </c>
      <c r="W1514" s="39" t="n">
        <f aca="false">J1514*Resumo!$B$7</f>
        <v>0.76498</v>
      </c>
      <c r="X1514" s="39" t="n">
        <f aca="false">Resumo!$B$9</f>
        <v>1</v>
      </c>
      <c r="Y1514" s="39" t="n">
        <f aca="false">Resumo!$B$10*CEILING(I1514/100,1)</f>
        <v>4.5</v>
      </c>
      <c r="Z1514" s="39" t="n">
        <f aca="false">Resumo!$B$12*CEILING(I1514,1)</f>
        <v>1.5</v>
      </c>
      <c r="AA1514" s="39" t="n">
        <f aca="false">Resumo!$B$13*CEILING(I1514,1)</f>
        <v>11.25</v>
      </c>
      <c r="AB1514" s="39" t="n">
        <f aca="false">SUM(U1514:AA1514)</f>
        <v>101.60747</v>
      </c>
      <c r="AC1514" s="39" t="n">
        <f aca="false">AB1514/(1-Resumo!$B$5)</f>
        <v>115.463034090909</v>
      </c>
      <c r="AD1514" s="39" t="n">
        <f aca="false">(AB1514-AA1514)/(1-Resumo!$B$5)</f>
        <v>102.678943181818</v>
      </c>
      <c r="AE1514" s="39" t="n">
        <f aca="false">AC1514-T1514</f>
        <v>33.3049570454545</v>
      </c>
      <c r="AF1514" s="40" t="n">
        <f aca="false">AC1514/T1514-1</f>
        <v>0.405376540483394</v>
      </c>
      <c r="AG1514" s="37" t="str">
        <f aca="false">IF(AC1514&lt;T1514,"SIM","NÃO")</f>
        <v>NÃO</v>
      </c>
      <c r="AH1514" s="37" t="n">
        <v>8</v>
      </c>
      <c r="AI1514" s="37" t="n">
        <v>5</v>
      </c>
      <c r="AJ1514" s="37" t="s">
        <v>323</v>
      </c>
    </row>
    <row r="1515" customFormat="false" ht="15" hidden="false" customHeight="false" outlineLevel="0" collapsed="false">
      <c r="A1515" s="37" t="n">
        <v>387282705</v>
      </c>
      <c r="B1515" s="38" t="n">
        <v>46266.8499652778</v>
      </c>
      <c r="C1515" s="37" t="s">
        <v>320</v>
      </c>
      <c r="D1515" s="37" t="s">
        <v>1714</v>
      </c>
      <c r="E1515" s="37" t="n">
        <v>26040800</v>
      </c>
      <c r="F1515" s="37" t="s">
        <v>142</v>
      </c>
      <c r="G1515" s="37" t="s">
        <v>207</v>
      </c>
      <c r="H1515" s="37" t="s">
        <v>168</v>
      </c>
      <c r="I1515" s="37" t="n">
        <v>33.21</v>
      </c>
      <c r="J1515" s="39" t="n">
        <v>439.99</v>
      </c>
      <c r="K1515" s="37" t="s">
        <v>322</v>
      </c>
      <c r="L1515" s="39" t="n">
        <v>101.5</v>
      </c>
      <c r="M1515" s="39" t="n">
        <v>70</v>
      </c>
      <c r="N1515" s="39" t="n">
        <f aca="false">J1515*Resumo!$C$7</f>
        <v>0.87998</v>
      </c>
      <c r="O1515" s="39" t="n">
        <f aca="false">J1515*Resumo!$C$8</f>
        <v>0.87998</v>
      </c>
      <c r="P1515" s="39" t="n">
        <f aca="false">Resumo!$C$10*CEILING(I1515/100,1)</f>
        <v>1</v>
      </c>
      <c r="Q1515" s="39" t="n">
        <f aca="false">Resumo!$C$9</f>
        <v>11.9</v>
      </c>
      <c r="R1515" s="39" t="n">
        <f aca="false">SUM(M1515:Q1515)*Resumo!$C$11</f>
        <v>4.6562978</v>
      </c>
      <c r="S1515" s="39" t="n">
        <f aca="false">SUM(M1515:R1515)</f>
        <v>89.3162578</v>
      </c>
      <c r="T1515" s="39" t="n">
        <f aca="false">S1515/(1-Resumo!$C$5)</f>
        <v>101.4957475</v>
      </c>
      <c r="U1515" s="39" t="n">
        <v>82.21</v>
      </c>
      <c r="V1515" s="39" t="n">
        <f aca="false">J1515*Resumo!$B$6</f>
        <v>0.43999</v>
      </c>
      <c r="W1515" s="39" t="n">
        <f aca="false">J1515*Resumo!$B$7</f>
        <v>0.87998</v>
      </c>
      <c r="X1515" s="39" t="n">
        <f aca="false">Resumo!$B$9</f>
        <v>1</v>
      </c>
      <c r="Y1515" s="39" t="n">
        <f aca="false">Resumo!$B$10*CEILING(I1515/100,1)</f>
        <v>4.5</v>
      </c>
      <c r="Z1515" s="39" t="n">
        <f aca="false">Resumo!$B$12*CEILING(I1515,1)</f>
        <v>2.04</v>
      </c>
      <c r="AA1515" s="39" t="n">
        <f aca="false">Resumo!$B$13*CEILING(I1515,1)</f>
        <v>15.3</v>
      </c>
      <c r="AB1515" s="39" t="n">
        <f aca="false">SUM(U1515:AA1515)</f>
        <v>106.36997</v>
      </c>
      <c r="AC1515" s="39" t="n">
        <f aca="false">AB1515/(1-Resumo!$B$5)</f>
        <v>120.874965909091</v>
      </c>
      <c r="AD1515" s="39" t="n">
        <f aca="false">(AB1515-AA1515)/(1-Resumo!$B$5)</f>
        <v>103.488602272727</v>
      </c>
      <c r="AE1515" s="39" t="n">
        <f aca="false">AC1515-T1515</f>
        <v>19.3792184090909</v>
      </c>
      <c r="AF1515" s="40" t="n">
        <f aca="false">AC1515/T1515-1</f>
        <v>0.190936259758971</v>
      </c>
      <c r="AG1515" s="37" t="str">
        <f aca="false">IF(AC1515&lt;T1515,"SIM","NÃO")</f>
        <v>NÃO</v>
      </c>
      <c r="AH1515" s="37" t="n">
        <v>10</v>
      </c>
      <c r="AI1515" s="37" t="n">
        <v>5</v>
      </c>
      <c r="AJ1515" s="37" t="s">
        <v>323</v>
      </c>
    </row>
    <row r="1516" customFormat="false" ht="15" hidden="false" customHeight="false" outlineLevel="0" collapsed="false">
      <c r="A1516" s="37" t="n">
        <v>387294670</v>
      </c>
      <c r="B1516" s="38" t="n">
        <v>46266.8705902778</v>
      </c>
      <c r="C1516" s="37" t="s">
        <v>320</v>
      </c>
      <c r="D1516" s="37" t="s">
        <v>1715</v>
      </c>
      <c r="E1516" s="37" t="n">
        <v>21510500</v>
      </c>
      <c r="F1516" s="37" t="s">
        <v>139</v>
      </c>
      <c r="G1516" s="37" t="s">
        <v>198</v>
      </c>
      <c r="H1516" s="37" t="s">
        <v>172</v>
      </c>
      <c r="I1516" s="37" t="n">
        <v>66.8</v>
      </c>
      <c r="J1516" s="39" t="n">
        <v>699.99</v>
      </c>
      <c r="K1516" s="37" t="s">
        <v>322</v>
      </c>
      <c r="L1516" s="39" t="n">
        <v>124.56</v>
      </c>
      <c r="M1516" s="39" t="n">
        <v>88.2</v>
      </c>
      <c r="N1516" s="39" t="n">
        <f aca="false">J1516*Resumo!$C$7</f>
        <v>1.39998</v>
      </c>
      <c r="O1516" s="39" t="n">
        <f aca="false">J1516*Resumo!$C$8</f>
        <v>1.39998</v>
      </c>
      <c r="P1516" s="39" t="n">
        <f aca="false">Resumo!$C$10*CEILING(I1516/100,1)</f>
        <v>1</v>
      </c>
      <c r="Q1516" s="39" t="n">
        <f aca="false">Resumo!$C$9</f>
        <v>11.9</v>
      </c>
      <c r="R1516" s="39" t="n">
        <f aca="false">SUM(M1516:Q1516)*Resumo!$C$11</f>
        <v>5.7144978</v>
      </c>
      <c r="S1516" s="39" t="n">
        <f aca="false">SUM(M1516:R1516)</f>
        <v>109.6144578</v>
      </c>
      <c r="T1516" s="39" t="n">
        <f aca="false">S1516/(1-Resumo!$C$5)</f>
        <v>124.561883863636</v>
      </c>
      <c r="U1516" s="39" t="n">
        <v>131.02</v>
      </c>
      <c r="V1516" s="39" t="n">
        <f aca="false">J1516*Resumo!$B$6</f>
        <v>0.69999</v>
      </c>
      <c r="W1516" s="39" t="n">
        <f aca="false">J1516*Resumo!$B$7</f>
        <v>1.39998</v>
      </c>
      <c r="X1516" s="39" t="n">
        <f aca="false">Resumo!$B$9</f>
        <v>1</v>
      </c>
      <c r="Y1516" s="39" t="n">
        <f aca="false">Resumo!$B$10*CEILING(I1516/100,1)</f>
        <v>4.5</v>
      </c>
      <c r="Z1516" s="39" t="n">
        <f aca="false">Resumo!$B$12*CEILING(I1516,1)</f>
        <v>4.02</v>
      </c>
      <c r="AA1516" s="39" t="n">
        <f aca="false">Resumo!$B$13*CEILING(I1516,1)</f>
        <v>30.15</v>
      </c>
      <c r="AB1516" s="39" t="n">
        <f aca="false">SUM(U1516:AA1516)</f>
        <v>172.78997</v>
      </c>
      <c r="AC1516" s="39" t="n">
        <f aca="false">AB1516/(1-Resumo!$B$5)</f>
        <v>196.352238636364</v>
      </c>
      <c r="AD1516" s="39" t="n">
        <f aca="false">(AB1516-AA1516)/(1-Resumo!$B$5)</f>
        <v>162.090875</v>
      </c>
      <c r="AE1516" s="39" t="n">
        <f aca="false">AC1516-T1516</f>
        <v>71.7903547727273</v>
      </c>
      <c r="AF1516" s="40" t="n">
        <f aca="false">AC1516/T1516-1</f>
        <v>0.576342879105132</v>
      </c>
      <c r="AG1516" s="37" t="str">
        <f aca="false">IF(AC1516&lt;T1516,"SIM","NÃO")</f>
        <v>NÃO</v>
      </c>
      <c r="AH1516" s="37" t="n">
        <v>8</v>
      </c>
      <c r="AI1516" s="37" t="n">
        <v>5</v>
      </c>
      <c r="AJ1516" s="37" t="s">
        <v>323</v>
      </c>
    </row>
    <row r="1517" customFormat="false" ht="15" hidden="false" customHeight="false" outlineLevel="0" collapsed="false">
      <c r="A1517" s="37" t="n">
        <v>387290978</v>
      </c>
      <c r="B1517" s="38" t="n">
        <v>46266.8735532407</v>
      </c>
      <c r="C1517" s="37" t="s">
        <v>341</v>
      </c>
      <c r="D1517" s="37" t="s">
        <v>1716</v>
      </c>
      <c r="E1517" s="37" t="n">
        <v>21530040</v>
      </c>
      <c r="F1517" s="37" t="s">
        <v>139</v>
      </c>
      <c r="G1517" s="37" t="s">
        <v>198</v>
      </c>
      <c r="H1517" s="37" t="s">
        <v>169</v>
      </c>
      <c r="I1517" s="37" t="n">
        <v>37.2</v>
      </c>
      <c r="J1517" s="39" t="n">
        <v>509.99</v>
      </c>
      <c r="K1517" s="37" t="s">
        <v>322</v>
      </c>
      <c r="L1517" s="39" t="n">
        <v>92.3</v>
      </c>
      <c r="M1517" s="39" t="n">
        <v>62.05</v>
      </c>
      <c r="N1517" s="39" t="n">
        <f aca="false">J1517*Resumo!$C$7</f>
        <v>1.01998</v>
      </c>
      <c r="O1517" s="39" t="n">
        <f aca="false">J1517*Resumo!$C$8</f>
        <v>1.01998</v>
      </c>
      <c r="P1517" s="39" t="n">
        <f aca="false">Resumo!$C$10*CEILING(I1517/100,1)</f>
        <v>1</v>
      </c>
      <c r="Q1517" s="39" t="n">
        <f aca="false">Resumo!$C$9</f>
        <v>11.9</v>
      </c>
      <c r="R1517" s="39" t="n">
        <f aca="false">SUM(M1517:Q1517)*Resumo!$C$11</f>
        <v>4.2344478</v>
      </c>
      <c r="S1517" s="39" t="n">
        <f aca="false">SUM(M1517:R1517)</f>
        <v>81.2244078</v>
      </c>
      <c r="T1517" s="39" t="n">
        <f aca="false">S1517/(1-Resumo!$C$5)</f>
        <v>92.3004634090909</v>
      </c>
      <c r="U1517" s="39" t="n">
        <v>93.97</v>
      </c>
      <c r="V1517" s="39" t="n">
        <f aca="false">J1517*Resumo!$B$6</f>
        <v>0.50999</v>
      </c>
      <c r="W1517" s="39" t="n">
        <f aca="false">J1517*Resumo!$B$7</f>
        <v>1.01998</v>
      </c>
      <c r="X1517" s="39" t="n">
        <f aca="false">Resumo!$B$9</f>
        <v>1</v>
      </c>
      <c r="Y1517" s="39" t="n">
        <f aca="false">Resumo!$B$10*CEILING(I1517/100,1)</f>
        <v>4.5</v>
      </c>
      <c r="Z1517" s="39" t="n">
        <f aca="false">Resumo!$B$12*CEILING(I1517,1)</f>
        <v>2.28</v>
      </c>
      <c r="AA1517" s="39" t="n">
        <f aca="false">Resumo!$B$13*CEILING(I1517,1)</f>
        <v>17.1</v>
      </c>
      <c r="AB1517" s="39" t="n">
        <f aca="false">SUM(U1517:AA1517)</f>
        <v>120.37997</v>
      </c>
      <c r="AC1517" s="39" t="n">
        <f aca="false">AB1517/(1-Resumo!$B$5)</f>
        <v>136.795420454545</v>
      </c>
      <c r="AD1517" s="39" t="n">
        <f aca="false">(AB1517-AA1517)/(1-Resumo!$B$5)</f>
        <v>117.363602272727</v>
      </c>
      <c r="AE1517" s="39" t="n">
        <f aca="false">AC1517-T1517</f>
        <v>44.4949570454546</v>
      </c>
      <c r="AF1517" s="40" t="n">
        <f aca="false">AC1517/T1517-1</f>
        <v>0.482066453428793</v>
      </c>
      <c r="AG1517" s="37" t="str">
        <f aca="false">IF(AC1517&lt;T1517,"SIM","NÃO")</f>
        <v>NÃO</v>
      </c>
      <c r="AH1517" s="37" t="n">
        <v>8</v>
      </c>
      <c r="AI1517" s="37" t="n">
        <v>5</v>
      </c>
      <c r="AJ1517" s="37" t="s">
        <v>323</v>
      </c>
    </row>
    <row r="1518" customFormat="false" ht="15" hidden="false" customHeight="false" outlineLevel="0" collapsed="false">
      <c r="A1518" s="37" t="n">
        <v>387298161</v>
      </c>
      <c r="B1518" s="38" t="n">
        <v>46266.8758564815</v>
      </c>
      <c r="C1518" s="37" t="s">
        <v>325</v>
      </c>
      <c r="D1518" s="37" t="s">
        <v>1717</v>
      </c>
      <c r="E1518" s="37" t="n">
        <v>24350340</v>
      </c>
      <c r="F1518" s="37" t="s">
        <v>143</v>
      </c>
      <c r="G1518" s="37" t="s">
        <v>207</v>
      </c>
      <c r="H1518" s="37" t="s">
        <v>168</v>
      </c>
      <c r="I1518" s="37" t="n">
        <v>27.6</v>
      </c>
      <c r="J1518" s="39" t="n">
        <v>332.45</v>
      </c>
      <c r="K1518" s="37" t="s">
        <v>322</v>
      </c>
      <c r="L1518" s="39" t="n">
        <v>100.97</v>
      </c>
      <c r="M1518" s="39" t="n">
        <v>70</v>
      </c>
      <c r="N1518" s="39" t="n">
        <f aca="false">J1518*Resumo!$C$7</f>
        <v>0.6649</v>
      </c>
      <c r="O1518" s="39" t="n">
        <f aca="false">J1518*Resumo!$C$8</f>
        <v>0.6649</v>
      </c>
      <c r="P1518" s="39" t="n">
        <f aca="false">Resumo!$C$10*CEILING(I1518/100,1)</f>
        <v>1</v>
      </c>
      <c r="Q1518" s="39" t="n">
        <f aca="false">Resumo!$C$9</f>
        <v>11.9</v>
      </c>
      <c r="R1518" s="39" t="n">
        <f aca="false">SUM(M1518:Q1518)*Resumo!$C$11</f>
        <v>4.632639</v>
      </c>
      <c r="S1518" s="39" t="n">
        <f aca="false">SUM(M1518:R1518)</f>
        <v>88.862439</v>
      </c>
      <c r="T1518" s="39" t="n">
        <f aca="false">S1518/(1-Resumo!$C$5)</f>
        <v>100.980044318182</v>
      </c>
      <c r="U1518" s="39" t="n">
        <v>100.58</v>
      </c>
      <c r="V1518" s="39" t="n">
        <f aca="false">J1518*Resumo!$B$6</f>
        <v>0.33245</v>
      </c>
      <c r="W1518" s="39" t="n">
        <f aca="false">J1518*Resumo!$B$7</f>
        <v>0.6649</v>
      </c>
      <c r="X1518" s="39" t="n">
        <f aca="false">Resumo!$B$9</f>
        <v>1</v>
      </c>
      <c r="Y1518" s="39" t="n">
        <f aca="false">Resumo!$B$10*CEILING(I1518/100,1)</f>
        <v>4.5</v>
      </c>
      <c r="Z1518" s="39" t="n">
        <f aca="false">Resumo!$B$12*CEILING(I1518,1)</f>
        <v>1.68</v>
      </c>
      <c r="AA1518" s="39" t="n">
        <f aca="false">Resumo!$B$13*CEILING(I1518,1)</f>
        <v>12.6</v>
      </c>
      <c r="AB1518" s="39" t="n">
        <f aca="false">SUM(U1518:AA1518)</f>
        <v>121.35735</v>
      </c>
      <c r="AC1518" s="39" t="n">
        <f aca="false">AB1518/(1-Resumo!$B$5)</f>
        <v>137.906079545455</v>
      </c>
      <c r="AD1518" s="39" t="n">
        <f aca="false">(AB1518-AA1518)/(1-Resumo!$B$5)</f>
        <v>123.587897727273</v>
      </c>
      <c r="AE1518" s="39" t="n">
        <f aca="false">AC1518-T1518</f>
        <v>36.9260352272727</v>
      </c>
      <c r="AF1518" s="40" t="n">
        <f aca="false">AC1518/T1518-1</f>
        <v>0.365676559924267</v>
      </c>
      <c r="AG1518" s="37" t="str">
        <f aca="false">IF(AC1518&lt;T1518,"SIM","NÃO")</f>
        <v>NÃO</v>
      </c>
      <c r="AH1518" s="37" t="n">
        <v>10</v>
      </c>
      <c r="AI1518" s="37" t="n">
        <v>7</v>
      </c>
      <c r="AJ1518" s="37" t="s">
        <v>323</v>
      </c>
    </row>
    <row r="1519" customFormat="false" ht="15" hidden="false" customHeight="false" outlineLevel="0" collapsed="false">
      <c r="A1519" s="37" t="n">
        <v>387311830</v>
      </c>
      <c r="B1519" s="38" t="n">
        <v>46266.9023263889</v>
      </c>
      <c r="C1519" s="37" t="s">
        <v>355</v>
      </c>
      <c r="D1519" s="37" t="s">
        <v>1718</v>
      </c>
      <c r="E1519" s="37" t="n">
        <v>28030315</v>
      </c>
      <c r="F1519" s="37" t="s">
        <v>144</v>
      </c>
      <c r="G1519" s="37" t="s">
        <v>201</v>
      </c>
      <c r="H1519" s="37" t="s">
        <v>168</v>
      </c>
      <c r="I1519" s="37" t="n">
        <v>27</v>
      </c>
      <c r="J1519" s="39" t="n">
        <v>334.39</v>
      </c>
      <c r="K1519" s="37" t="s">
        <v>322</v>
      </c>
      <c r="L1519" s="39" t="n">
        <v>108.78</v>
      </c>
      <c r="M1519" s="39" t="n">
        <v>76.5</v>
      </c>
      <c r="N1519" s="39" t="n">
        <f aca="false">J1519*Resumo!$C$7</f>
        <v>0.66878</v>
      </c>
      <c r="O1519" s="39" t="n">
        <f aca="false">J1519*Resumo!$C$8</f>
        <v>0.66878</v>
      </c>
      <c r="P1519" s="39" t="n">
        <f aca="false">Resumo!$C$10*CEILING(I1519/100,1)</f>
        <v>1</v>
      </c>
      <c r="Q1519" s="39" t="n">
        <f aca="false">Resumo!$C$9</f>
        <v>11.9</v>
      </c>
      <c r="R1519" s="39" t="n">
        <f aca="false">SUM(M1519:Q1519)*Resumo!$C$11</f>
        <v>4.9905658</v>
      </c>
      <c r="S1519" s="39" t="n">
        <f aca="false">SUM(M1519:R1519)</f>
        <v>95.7281258</v>
      </c>
      <c r="T1519" s="39" t="n">
        <f aca="false">S1519/(1-Resumo!$C$5)</f>
        <v>108.781961136364</v>
      </c>
      <c r="U1519" s="39" t="n">
        <v>138.29</v>
      </c>
      <c r="V1519" s="39" t="n">
        <f aca="false">J1519*Resumo!$B$6</f>
        <v>0.33439</v>
      </c>
      <c r="W1519" s="39" t="n">
        <f aca="false">J1519*Resumo!$B$7</f>
        <v>0.66878</v>
      </c>
      <c r="X1519" s="39" t="n">
        <f aca="false">Resumo!$B$9</f>
        <v>1</v>
      </c>
      <c r="Y1519" s="39" t="n">
        <f aca="false">Resumo!$B$10*CEILING(I1519/100,1)</f>
        <v>4.5</v>
      </c>
      <c r="Z1519" s="39" t="n">
        <f aca="false">Resumo!$B$12*CEILING(I1519,1)</f>
        <v>1.62</v>
      </c>
      <c r="AA1519" s="39" t="n">
        <f aca="false">Resumo!$B$13*CEILING(I1519,1)</f>
        <v>12.15</v>
      </c>
      <c r="AB1519" s="39" t="n">
        <f aca="false">SUM(U1519:AA1519)</f>
        <v>158.56317</v>
      </c>
      <c r="AC1519" s="39" t="n">
        <f aca="false">AB1519/(1-Resumo!$B$5)</f>
        <v>180.185420454545</v>
      </c>
      <c r="AD1519" s="39" t="n">
        <f aca="false">(AB1519-AA1519)/(1-Resumo!$B$5)</f>
        <v>166.378602272727</v>
      </c>
      <c r="AE1519" s="39" t="n">
        <f aca="false">AC1519-T1519</f>
        <v>71.4034593181818</v>
      </c>
      <c r="AF1519" s="40" t="n">
        <f aca="false">AC1519/T1519-1</f>
        <v>0.656390623705285</v>
      </c>
      <c r="AG1519" s="37" t="str">
        <f aca="false">IF(AC1519&lt;T1519,"SIM","NÃO")</f>
        <v>NÃO</v>
      </c>
      <c r="AH1519" s="37" t="n">
        <v>13</v>
      </c>
      <c r="AI1519" s="37" t="n">
        <v>11</v>
      </c>
      <c r="AJ1519" s="37" t="s">
        <v>323</v>
      </c>
    </row>
    <row r="1520" customFormat="false" ht="15" hidden="false" customHeight="false" outlineLevel="0" collapsed="false">
      <c r="A1520" s="37" t="n">
        <v>387320689</v>
      </c>
      <c r="B1520" s="38" t="n">
        <v>46266.9159722222</v>
      </c>
      <c r="C1520" s="37" t="s">
        <v>325</v>
      </c>
      <c r="D1520" s="37" t="s">
        <v>1719</v>
      </c>
      <c r="E1520" s="37" t="n">
        <v>23914243</v>
      </c>
      <c r="F1520" s="37" t="s">
        <v>149</v>
      </c>
      <c r="G1520" s="37" t="s">
        <v>201</v>
      </c>
      <c r="H1520" s="37" t="s">
        <v>170</v>
      </c>
      <c r="I1520" s="37" t="n">
        <v>43.5</v>
      </c>
      <c r="J1520" s="39" t="n">
        <v>581.72</v>
      </c>
      <c r="K1520" s="37" t="s">
        <v>322</v>
      </c>
      <c r="L1520" s="39" t="n">
        <v>130.94</v>
      </c>
      <c r="M1520" s="39" t="n">
        <v>94</v>
      </c>
      <c r="N1520" s="39" t="n">
        <f aca="false">J1520*Resumo!$C$7</f>
        <v>1.16344</v>
      </c>
      <c r="O1520" s="39" t="n">
        <f aca="false">J1520*Resumo!$C$8</f>
        <v>1.16344</v>
      </c>
      <c r="P1520" s="39" t="n">
        <f aca="false">Resumo!$C$10*CEILING(I1520/100,1)</f>
        <v>1</v>
      </c>
      <c r="Q1520" s="39" t="n">
        <f aca="false">Resumo!$C$9</f>
        <v>11.9</v>
      </c>
      <c r="R1520" s="39" t="n">
        <f aca="false">SUM(M1520:Q1520)*Resumo!$C$11</f>
        <v>6.0074784</v>
      </c>
      <c r="S1520" s="39" t="n">
        <f aca="false">SUM(M1520:R1520)</f>
        <v>115.2343584</v>
      </c>
      <c r="T1520" s="39" t="n">
        <f aca="false">S1520/(1-Resumo!$C$5)</f>
        <v>130.948134545455</v>
      </c>
      <c r="U1520" s="39" t="n">
        <v>124.38</v>
      </c>
      <c r="V1520" s="39" t="n">
        <f aca="false">J1520*Resumo!$B$6</f>
        <v>0.58172</v>
      </c>
      <c r="W1520" s="39" t="n">
        <f aca="false">J1520*Resumo!$B$7</f>
        <v>1.16344</v>
      </c>
      <c r="X1520" s="39" t="n">
        <f aca="false">Resumo!$B$9</f>
        <v>1</v>
      </c>
      <c r="Y1520" s="39" t="n">
        <f aca="false">Resumo!$B$10*CEILING(I1520/100,1)</f>
        <v>4.5</v>
      </c>
      <c r="Z1520" s="39" t="n">
        <f aca="false">Resumo!$B$12*CEILING(I1520,1)</f>
        <v>2.64</v>
      </c>
      <c r="AA1520" s="39" t="n">
        <f aca="false">Resumo!$B$13*CEILING(I1520,1)</f>
        <v>19.8</v>
      </c>
      <c r="AB1520" s="39" t="n">
        <f aca="false">SUM(U1520:AA1520)</f>
        <v>154.06516</v>
      </c>
      <c r="AC1520" s="39" t="n">
        <f aca="false">AB1520/(1-Resumo!$B$5)</f>
        <v>175.074045454545</v>
      </c>
      <c r="AD1520" s="39" t="n">
        <f aca="false">(AB1520-AA1520)/(1-Resumo!$B$5)</f>
        <v>152.574045454545</v>
      </c>
      <c r="AE1520" s="39" t="n">
        <f aca="false">AC1520-T1520</f>
        <v>44.125910909091</v>
      </c>
      <c r="AF1520" s="40" t="n">
        <f aca="false">AC1520/T1520-1</f>
        <v>0.336972428528747</v>
      </c>
      <c r="AG1520" s="37" t="str">
        <f aca="false">IF(AC1520&lt;T1520,"SIM","NÃO")</f>
        <v>NÃO</v>
      </c>
      <c r="AH1520" s="37" t="n">
        <v>13</v>
      </c>
      <c r="AI1520" s="37" t="n">
        <v>10</v>
      </c>
      <c r="AJ1520" s="37" t="s">
        <v>323</v>
      </c>
    </row>
    <row r="1521" customFormat="false" ht="15" hidden="false" customHeight="false" outlineLevel="0" collapsed="false">
      <c r="A1521" s="37" t="n">
        <v>387323306</v>
      </c>
      <c r="B1521" s="38" t="n">
        <v>46266.9204282407</v>
      </c>
      <c r="C1521" s="37" t="s">
        <v>320</v>
      </c>
      <c r="D1521" s="37" t="s">
        <v>1720</v>
      </c>
      <c r="E1521" s="37" t="n">
        <v>26295595</v>
      </c>
      <c r="F1521" s="37" t="s">
        <v>142</v>
      </c>
      <c r="G1521" s="37" t="s">
        <v>207</v>
      </c>
      <c r="H1521" s="37" t="s">
        <v>170</v>
      </c>
      <c r="I1521" s="37" t="n">
        <v>46.8</v>
      </c>
      <c r="J1521" s="39" t="n">
        <v>484.02</v>
      </c>
      <c r="K1521" s="37" t="s">
        <v>322</v>
      </c>
      <c r="L1521" s="39" t="n">
        <v>116.4</v>
      </c>
      <c r="M1521" s="39" t="n">
        <v>82.25</v>
      </c>
      <c r="N1521" s="39" t="n">
        <f aca="false">J1521*Resumo!$C$7</f>
        <v>0.96804</v>
      </c>
      <c r="O1521" s="39" t="n">
        <f aca="false">J1521*Resumo!$C$8</f>
        <v>0.96804</v>
      </c>
      <c r="P1521" s="39" t="n">
        <f aca="false">Resumo!$C$10*CEILING(I1521/100,1)</f>
        <v>1</v>
      </c>
      <c r="Q1521" s="39" t="n">
        <f aca="false">Resumo!$C$9</f>
        <v>11.9</v>
      </c>
      <c r="R1521" s="39" t="n">
        <f aca="false">SUM(M1521:Q1521)*Resumo!$C$11</f>
        <v>5.3397344</v>
      </c>
      <c r="S1521" s="39" t="n">
        <f aca="false">SUM(M1521:R1521)</f>
        <v>102.4258144</v>
      </c>
      <c r="T1521" s="39" t="n">
        <f aca="false">S1521/(1-Resumo!$C$5)</f>
        <v>116.392970909091</v>
      </c>
      <c r="U1521" s="39" t="n">
        <v>93.97</v>
      </c>
      <c r="V1521" s="39" t="n">
        <f aca="false">J1521*Resumo!$B$6</f>
        <v>0.48402</v>
      </c>
      <c r="W1521" s="39" t="n">
        <f aca="false">J1521*Resumo!$B$7</f>
        <v>0.96804</v>
      </c>
      <c r="X1521" s="39" t="n">
        <f aca="false">Resumo!$B$9</f>
        <v>1</v>
      </c>
      <c r="Y1521" s="39" t="n">
        <f aca="false">Resumo!$B$10*CEILING(I1521/100,1)</f>
        <v>4.5</v>
      </c>
      <c r="Z1521" s="39" t="n">
        <f aca="false">Resumo!$B$12*CEILING(I1521,1)</f>
        <v>2.82</v>
      </c>
      <c r="AA1521" s="39" t="n">
        <f aca="false">Resumo!$B$13*CEILING(I1521,1)</f>
        <v>21.15</v>
      </c>
      <c r="AB1521" s="39" t="n">
        <f aca="false">SUM(U1521:AA1521)</f>
        <v>124.89206</v>
      </c>
      <c r="AC1521" s="39" t="n">
        <f aca="false">AB1521/(1-Resumo!$B$5)</f>
        <v>141.922795454545</v>
      </c>
      <c r="AD1521" s="39" t="n">
        <f aca="false">(AB1521-AA1521)/(1-Resumo!$B$5)</f>
        <v>117.888704545455</v>
      </c>
      <c r="AE1521" s="39" t="n">
        <f aca="false">AC1521-T1521</f>
        <v>25.5298245454545</v>
      </c>
      <c r="AF1521" s="40" t="n">
        <f aca="false">AC1521/T1521-1</f>
        <v>0.219341635032194</v>
      </c>
      <c r="AG1521" s="37" t="str">
        <f aca="false">IF(AC1521&lt;T1521,"SIM","NÃO")</f>
        <v>NÃO</v>
      </c>
      <c r="AH1521" s="37" t="n">
        <v>10</v>
      </c>
      <c r="AI1521" s="37" t="n">
        <v>5</v>
      </c>
      <c r="AJ1521" s="37" t="s">
        <v>323</v>
      </c>
    </row>
    <row r="1522" customFormat="false" ht="15" hidden="false" customHeight="false" outlineLevel="0" collapsed="false">
      <c r="A1522" s="37" t="n">
        <v>387361106</v>
      </c>
      <c r="B1522" s="38" t="n">
        <v>46266.9964236111</v>
      </c>
      <c r="C1522" s="37" t="s">
        <v>320</v>
      </c>
      <c r="D1522" s="37" t="s">
        <v>1721</v>
      </c>
      <c r="E1522" s="37" t="n">
        <v>21070050</v>
      </c>
      <c r="F1522" s="37" t="s">
        <v>139</v>
      </c>
      <c r="G1522" s="37" t="s">
        <v>198</v>
      </c>
      <c r="H1522" s="37" t="s">
        <v>168</v>
      </c>
      <c r="I1522" s="37" t="n">
        <v>33</v>
      </c>
      <c r="J1522" s="39" t="n">
        <v>344.13</v>
      </c>
      <c r="K1522" s="37" t="s">
        <v>322</v>
      </c>
      <c r="L1522" s="39" t="n">
        <v>81.98</v>
      </c>
      <c r="M1522" s="39" t="n">
        <v>54.1</v>
      </c>
      <c r="N1522" s="39" t="n">
        <f aca="false">J1522*Resumo!$C$7</f>
        <v>0.68826</v>
      </c>
      <c r="O1522" s="39" t="n">
        <f aca="false">J1522*Resumo!$C$8</f>
        <v>0.68826</v>
      </c>
      <c r="P1522" s="39" t="n">
        <f aca="false">Resumo!$C$10*CEILING(I1522/100,1)</f>
        <v>1</v>
      </c>
      <c r="Q1522" s="39" t="n">
        <f aca="false">Resumo!$C$9</f>
        <v>11.9</v>
      </c>
      <c r="R1522" s="39" t="n">
        <f aca="false">SUM(M1522:Q1522)*Resumo!$C$11</f>
        <v>3.7607086</v>
      </c>
      <c r="S1522" s="39" t="n">
        <f aca="false">SUM(M1522:R1522)</f>
        <v>72.1372286</v>
      </c>
      <c r="T1522" s="39" t="n">
        <f aca="false">S1522/(1-Resumo!$C$5)</f>
        <v>81.9741234090909</v>
      </c>
      <c r="U1522" s="39" t="n">
        <v>82.21</v>
      </c>
      <c r="V1522" s="39" t="n">
        <f aca="false">J1522*Resumo!$B$6</f>
        <v>0.34413</v>
      </c>
      <c r="W1522" s="39" t="n">
        <f aca="false">J1522*Resumo!$B$7</f>
        <v>0.68826</v>
      </c>
      <c r="X1522" s="39" t="n">
        <f aca="false">Resumo!$B$9</f>
        <v>1</v>
      </c>
      <c r="Y1522" s="39" t="n">
        <f aca="false">Resumo!$B$10*CEILING(I1522/100,1)</f>
        <v>4.5</v>
      </c>
      <c r="Z1522" s="39" t="n">
        <f aca="false">Resumo!$B$12*CEILING(I1522,1)</f>
        <v>1.98</v>
      </c>
      <c r="AA1522" s="39" t="n">
        <f aca="false">Resumo!$B$13*CEILING(I1522,1)</f>
        <v>14.85</v>
      </c>
      <c r="AB1522" s="39" t="n">
        <f aca="false">SUM(U1522:AA1522)</f>
        <v>105.57239</v>
      </c>
      <c r="AC1522" s="39" t="n">
        <f aca="false">AB1522/(1-Resumo!$B$5)</f>
        <v>119.968625</v>
      </c>
      <c r="AD1522" s="39" t="n">
        <f aca="false">(AB1522-AA1522)/(1-Resumo!$B$5)</f>
        <v>103.093625</v>
      </c>
      <c r="AE1522" s="39" t="n">
        <f aca="false">AC1522-T1522</f>
        <v>37.9945015909091</v>
      </c>
      <c r="AF1522" s="40" t="n">
        <f aca="false">AC1522/T1522-1</f>
        <v>0.463493844286665</v>
      </c>
      <c r="AG1522" s="37" t="str">
        <f aca="false">IF(AC1522&lt;T1522,"SIM","NÃO")</f>
        <v>NÃO</v>
      </c>
      <c r="AH1522" s="37" t="n">
        <v>8</v>
      </c>
      <c r="AI1522" s="37" t="n">
        <v>5</v>
      </c>
      <c r="AJ1522" s="37" t="s">
        <v>323</v>
      </c>
    </row>
    <row r="1523" customFormat="false" ht="15" hidden="false" customHeight="false" outlineLevel="0" collapsed="false">
      <c r="A1523" s="37" t="n">
        <v>387379366</v>
      </c>
      <c r="B1523" s="38" t="n">
        <v>46267.0482175926</v>
      </c>
      <c r="C1523" s="37" t="s">
        <v>320</v>
      </c>
      <c r="D1523" s="37" t="s">
        <v>1247</v>
      </c>
      <c r="E1523" s="37" t="n">
        <v>22725031</v>
      </c>
      <c r="F1523" s="37" t="s">
        <v>139</v>
      </c>
      <c r="G1523" s="37" t="s">
        <v>198</v>
      </c>
      <c r="H1523" s="37" t="s">
        <v>168</v>
      </c>
      <c r="I1523" s="37" t="n">
        <v>31</v>
      </c>
      <c r="J1523" s="39" t="n">
        <v>329.99</v>
      </c>
      <c r="K1523" s="37" t="s">
        <v>322</v>
      </c>
      <c r="L1523" s="39" t="n">
        <v>81.91</v>
      </c>
      <c r="M1523" s="39" t="n">
        <v>54.1</v>
      </c>
      <c r="N1523" s="39" t="n">
        <f aca="false">J1523*Resumo!$C$7</f>
        <v>0.65998</v>
      </c>
      <c r="O1523" s="39" t="n">
        <f aca="false">J1523*Resumo!$C$8</f>
        <v>0.65998</v>
      </c>
      <c r="P1523" s="39" t="n">
        <f aca="false">Resumo!$C$10*CEILING(I1523/100,1)</f>
        <v>1</v>
      </c>
      <c r="Q1523" s="39" t="n">
        <f aca="false">Resumo!$C$9</f>
        <v>11.9</v>
      </c>
      <c r="R1523" s="39" t="n">
        <f aca="false">SUM(M1523:Q1523)*Resumo!$C$11</f>
        <v>3.7575978</v>
      </c>
      <c r="S1523" s="39" t="n">
        <f aca="false">SUM(M1523:R1523)</f>
        <v>72.0775578</v>
      </c>
      <c r="T1523" s="39" t="n">
        <f aca="false">S1523/(1-Resumo!$C$5)</f>
        <v>81.9063156818182</v>
      </c>
      <c r="U1523" s="39" t="n">
        <v>82.21</v>
      </c>
      <c r="V1523" s="39" t="n">
        <f aca="false">J1523*Resumo!$B$6</f>
        <v>0.32999</v>
      </c>
      <c r="W1523" s="39" t="n">
        <f aca="false">J1523*Resumo!$B$7</f>
        <v>0.65998</v>
      </c>
      <c r="X1523" s="39" t="n">
        <f aca="false">Resumo!$B$9</f>
        <v>1</v>
      </c>
      <c r="Y1523" s="39" t="n">
        <f aca="false">Resumo!$B$10*CEILING(I1523/100,1)</f>
        <v>4.5</v>
      </c>
      <c r="Z1523" s="39" t="n">
        <f aca="false">Resumo!$B$12*CEILING(I1523,1)</f>
        <v>1.86</v>
      </c>
      <c r="AA1523" s="39" t="n">
        <f aca="false">Resumo!$B$13*CEILING(I1523,1)</f>
        <v>13.95</v>
      </c>
      <c r="AB1523" s="39" t="n">
        <f aca="false">SUM(U1523:AA1523)</f>
        <v>104.50997</v>
      </c>
      <c r="AC1523" s="39" t="n">
        <f aca="false">AB1523/(1-Resumo!$B$5)</f>
        <v>118.761329545455</v>
      </c>
      <c r="AD1523" s="39" t="n">
        <f aca="false">(AB1523-AA1523)/(1-Resumo!$B$5)</f>
        <v>102.909056818182</v>
      </c>
      <c r="AE1523" s="39" t="n">
        <f aca="false">AC1523-T1523</f>
        <v>36.8550138636364</v>
      </c>
      <c r="AF1523" s="40" t="n">
        <f aca="false">AC1523/T1523-1</f>
        <v>0.449965470389453</v>
      </c>
      <c r="AG1523" s="37" t="str">
        <f aca="false">IF(AC1523&lt;T1523,"SIM","NÃO")</f>
        <v>NÃO</v>
      </c>
      <c r="AH1523" s="37" t="n">
        <v>8</v>
      </c>
      <c r="AI1523" s="37" t="n">
        <v>5</v>
      </c>
      <c r="AJ1523" s="37" t="s">
        <v>323</v>
      </c>
    </row>
    <row r="1524" customFormat="false" ht="15" hidden="false" customHeight="false" outlineLevel="0" collapsed="false">
      <c r="A1524" s="37" t="n">
        <v>387428646</v>
      </c>
      <c r="B1524" s="38" t="n">
        <v>46267.2216782407</v>
      </c>
      <c r="C1524" s="37" t="s">
        <v>325</v>
      </c>
      <c r="D1524" s="37" t="s">
        <v>1722</v>
      </c>
      <c r="E1524" s="37" t="n">
        <v>21221440</v>
      </c>
      <c r="F1524" s="37" t="s">
        <v>139</v>
      </c>
      <c r="G1524" s="37" t="s">
        <v>198</v>
      </c>
      <c r="H1524" s="37" t="s">
        <v>172</v>
      </c>
      <c r="I1524" s="37" t="n">
        <v>66.8</v>
      </c>
      <c r="J1524" s="39" t="n">
        <v>651</v>
      </c>
      <c r="K1524" s="37" t="s">
        <v>322</v>
      </c>
      <c r="L1524" s="39" t="n">
        <v>124.32</v>
      </c>
      <c r="M1524" s="39" t="n">
        <v>88.2</v>
      </c>
      <c r="N1524" s="39" t="n">
        <f aca="false">J1524*Resumo!$C$7</f>
        <v>1.302</v>
      </c>
      <c r="O1524" s="39" t="n">
        <f aca="false">J1524*Resumo!$C$8</f>
        <v>1.302</v>
      </c>
      <c r="P1524" s="39" t="n">
        <f aca="false">Resumo!$C$10*CEILING(I1524/100,1)</f>
        <v>1</v>
      </c>
      <c r="Q1524" s="39" t="n">
        <f aca="false">Resumo!$C$9</f>
        <v>11.9</v>
      </c>
      <c r="R1524" s="39" t="n">
        <f aca="false">SUM(M1524:Q1524)*Resumo!$C$11</f>
        <v>5.70372</v>
      </c>
      <c r="S1524" s="39" t="n">
        <f aca="false">SUM(M1524:R1524)</f>
        <v>109.40772</v>
      </c>
      <c r="T1524" s="39" t="n">
        <f aca="false">S1524/(1-Resumo!$C$5)</f>
        <v>124.326954545455</v>
      </c>
      <c r="U1524" s="39" t="n">
        <v>131.02</v>
      </c>
      <c r="V1524" s="39" t="n">
        <f aca="false">J1524*Resumo!$B$6</f>
        <v>0.651</v>
      </c>
      <c r="W1524" s="39" t="n">
        <f aca="false">J1524*Resumo!$B$7</f>
        <v>1.302</v>
      </c>
      <c r="X1524" s="39" t="n">
        <f aca="false">Resumo!$B$9</f>
        <v>1</v>
      </c>
      <c r="Y1524" s="39" t="n">
        <f aca="false">Resumo!$B$10*CEILING(I1524/100,1)</f>
        <v>4.5</v>
      </c>
      <c r="Z1524" s="39" t="n">
        <f aca="false">Resumo!$B$12*CEILING(I1524,1)</f>
        <v>4.02</v>
      </c>
      <c r="AA1524" s="39" t="n">
        <f aca="false">Resumo!$B$13*CEILING(I1524,1)</f>
        <v>30.15</v>
      </c>
      <c r="AB1524" s="39" t="n">
        <f aca="false">SUM(U1524:AA1524)</f>
        <v>172.643</v>
      </c>
      <c r="AC1524" s="39" t="n">
        <f aca="false">AB1524/(1-Resumo!$B$5)</f>
        <v>196.185227272727</v>
      </c>
      <c r="AD1524" s="39" t="n">
        <f aca="false">(AB1524-AA1524)/(1-Resumo!$B$5)</f>
        <v>161.923863636364</v>
      </c>
      <c r="AE1524" s="39" t="n">
        <f aca="false">AC1524-T1524</f>
        <v>71.8582727272728</v>
      </c>
      <c r="AF1524" s="40" t="n">
        <f aca="false">AC1524/T1524-1</f>
        <v>0.577978226764985</v>
      </c>
      <c r="AG1524" s="37" t="str">
        <f aca="false">IF(AC1524&lt;T1524,"SIM","NÃO")</f>
        <v>NÃO</v>
      </c>
      <c r="AH1524" s="37" t="n">
        <v>8</v>
      </c>
      <c r="AI1524" s="37" t="n">
        <v>5</v>
      </c>
      <c r="AJ1524" s="37" t="s">
        <v>323</v>
      </c>
    </row>
    <row r="1525" customFormat="false" ht="15" hidden="false" customHeight="false" outlineLevel="0" collapsed="false">
      <c r="A1525" s="37" t="n">
        <v>387452124</v>
      </c>
      <c r="B1525" s="38" t="n">
        <v>46267.3017708333</v>
      </c>
      <c r="C1525" s="37" t="s">
        <v>320</v>
      </c>
      <c r="D1525" s="37" t="s">
        <v>1723</v>
      </c>
      <c r="E1525" s="37" t="n">
        <v>24717200</v>
      </c>
      <c r="F1525" s="37" t="s">
        <v>140</v>
      </c>
      <c r="G1525" s="37" t="s">
        <v>207</v>
      </c>
      <c r="H1525" s="37" t="s">
        <v>170</v>
      </c>
      <c r="I1525" s="37" t="n">
        <v>48.3</v>
      </c>
      <c r="J1525" s="39" t="n">
        <v>440.89</v>
      </c>
      <c r="K1525" s="37" t="s">
        <v>322</v>
      </c>
      <c r="L1525" s="39" t="n">
        <v>116.18</v>
      </c>
      <c r="M1525" s="39" t="n">
        <v>82.25</v>
      </c>
      <c r="N1525" s="39" t="n">
        <f aca="false">J1525*Resumo!$C$7</f>
        <v>0.88178</v>
      </c>
      <c r="O1525" s="39" t="n">
        <f aca="false">J1525*Resumo!$C$8</f>
        <v>0.88178</v>
      </c>
      <c r="P1525" s="39" t="n">
        <f aca="false">Resumo!$C$10*CEILING(I1525/100,1)</f>
        <v>1</v>
      </c>
      <c r="Q1525" s="39" t="n">
        <f aca="false">Resumo!$C$9</f>
        <v>11.9</v>
      </c>
      <c r="R1525" s="39" t="n">
        <f aca="false">SUM(M1525:Q1525)*Resumo!$C$11</f>
        <v>5.3302458</v>
      </c>
      <c r="S1525" s="39" t="n">
        <f aca="false">SUM(M1525:R1525)</f>
        <v>102.2438058</v>
      </c>
      <c r="T1525" s="39" t="n">
        <f aca="false">S1525/(1-Resumo!$C$5)</f>
        <v>116.186142954545</v>
      </c>
      <c r="U1525" s="39" t="n">
        <v>114.95</v>
      </c>
      <c r="V1525" s="39" t="n">
        <f aca="false">J1525*Resumo!$B$6</f>
        <v>0.44089</v>
      </c>
      <c r="W1525" s="39" t="n">
        <f aca="false">J1525*Resumo!$B$7</f>
        <v>0.88178</v>
      </c>
      <c r="X1525" s="39" t="n">
        <f aca="false">Resumo!$B$9</f>
        <v>1</v>
      </c>
      <c r="Y1525" s="39" t="n">
        <f aca="false">Resumo!$B$10*CEILING(I1525/100,1)</f>
        <v>4.5</v>
      </c>
      <c r="Z1525" s="39" t="n">
        <f aca="false">Resumo!$B$12*CEILING(I1525,1)</f>
        <v>2.94</v>
      </c>
      <c r="AA1525" s="39" t="n">
        <f aca="false">Resumo!$B$13*CEILING(I1525,1)</f>
        <v>22.05</v>
      </c>
      <c r="AB1525" s="39" t="n">
        <f aca="false">SUM(U1525:AA1525)</f>
        <v>146.76267</v>
      </c>
      <c r="AC1525" s="39" t="n">
        <f aca="false">AB1525/(1-Resumo!$B$5)</f>
        <v>166.775761363636</v>
      </c>
      <c r="AD1525" s="39" t="n">
        <f aca="false">(AB1525-AA1525)/(1-Resumo!$B$5)</f>
        <v>141.718943181818</v>
      </c>
      <c r="AE1525" s="39" t="n">
        <f aca="false">AC1525-T1525</f>
        <v>50.5896184090909</v>
      </c>
      <c r="AF1525" s="40" t="n">
        <f aca="false">AC1525/T1525-1</f>
        <v>0.435418692131666</v>
      </c>
      <c r="AG1525" s="37" t="str">
        <f aca="false">IF(AC1525&lt;T1525,"SIM","NÃO")</f>
        <v>NÃO</v>
      </c>
      <c r="AH1525" s="37" t="n">
        <v>10</v>
      </c>
      <c r="AI1525" s="37" t="n">
        <v>7</v>
      </c>
      <c r="AJ1525" s="37" t="s">
        <v>323</v>
      </c>
    </row>
    <row r="1526" customFormat="false" ht="15" hidden="false" customHeight="false" outlineLevel="0" collapsed="false">
      <c r="A1526" s="37" t="n">
        <v>387491798</v>
      </c>
      <c r="B1526" s="38" t="n">
        <v>46267.4050578704</v>
      </c>
      <c r="C1526" s="37" t="s">
        <v>325</v>
      </c>
      <c r="D1526" s="37" t="s">
        <v>1724</v>
      </c>
      <c r="E1526" s="37" t="n">
        <v>23020724</v>
      </c>
      <c r="F1526" s="37" t="s">
        <v>139</v>
      </c>
      <c r="G1526" s="37" t="s">
        <v>198</v>
      </c>
      <c r="H1526" s="37" t="s">
        <v>169</v>
      </c>
      <c r="I1526" s="37" t="n">
        <v>36.8</v>
      </c>
      <c r="J1526" s="39" t="n">
        <v>431.64</v>
      </c>
      <c r="K1526" s="37" t="s">
        <v>322</v>
      </c>
      <c r="L1526" s="39" t="n">
        <v>91.92</v>
      </c>
      <c r="M1526" s="39" t="n">
        <v>62.05</v>
      </c>
      <c r="N1526" s="39" t="n">
        <f aca="false">J1526*Resumo!$C$7</f>
        <v>0.86328</v>
      </c>
      <c r="O1526" s="39" t="n">
        <f aca="false">J1526*Resumo!$C$8</f>
        <v>0.86328</v>
      </c>
      <c r="P1526" s="39" t="n">
        <f aca="false">Resumo!$C$10*CEILING(I1526/100,1)</f>
        <v>1</v>
      </c>
      <c r="Q1526" s="39" t="n">
        <f aca="false">Resumo!$C$9</f>
        <v>11.9</v>
      </c>
      <c r="R1526" s="39" t="n">
        <f aca="false">SUM(M1526:Q1526)*Resumo!$C$11</f>
        <v>4.2172108</v>
      </c>
      <c r="S1526" s="39" t="n">
        <f aca="false">SUM(M1526:R1526)</f>
        <v>80.8937708</v>
      </c>
      <c r="T1526" s="39" t="n">
        <f aca="false">S1526/(1-Resumo!$C$5)</f>
        <v>91.9247395454545</v>
      </c>
      <c r="U1526" s="39" t="n">
        <v>93.97</v>
      </c>
      <c r="V1526" s="39" t="n">
        <f aca="false">J1526*Resumo!$B$6</f>
        <v>0.43164</v>
      </c>
      <c r="W1526" s="39" t="n">
        <f aca="false">J1526*Resumo!$B$7</f>
        <v>0.86328</v>
      </c>
      <c r="X1526" s="39" t="n">
        <f aca="false">Resumo!$B$9</f>
        <v>1</v>
      </c>
      <c r="Y1526" s="39" t="n">
        <f aca="false">Resumo!$B$10*CEILING(I1526/100,1)</f>
        <v>4.5</v>
      </c>
      <c r="Z1526" s="39" t="n">
        <f aca="false">Resumo!$B$12*CEILING(I1526,1)</f>
        <v>2.22</v>
      </c>
      <c r="AA1526" s="39" t="n">
        <f aca="false">Resumo!$B$13*CEILING(I1526,1)</f>
        <v>16.65</v>
      </c>
      <c r="AB1526" s="39" t="n">
        <f aca="false">SUM(U1526:AA1526)</f>
        <v>119.63492</v>
      </c>
      <c r="AC1526" s="39" t="n">
        <f aca="false">AB1526/(1-Resumo!$B$5)</f>
        <v>135.948772727273</v>
      </c>
      <c r="AD1526" s="39" t="n">
        <f aca="false">(AB1526-AA1526)/(1-Resumo!$B$5)</f>
        <v>117.028318181818</v>
      </c>
      <c r="AE1526" s="39" t="n">
        <f aca="false">AC1526-T1526</f>
        <v>44.0240331818182</v>
      </c>
      <c r="AF1526" s="40" t="n">
        <f aca="false">AC1526/T1526-1</f>
        <v>0.478913874540263</v>
      </c>
      <c r="AG1526" s="37" t="str">
        <f aca="false">IF(AC1526&lt;T1526,"SIM","NÃO")</f>
        <v>NÃO</v>
      </c>
      <c r="AH1526" s="37" t="n">
        <v>8</v>
      </c>
      <c r="AI1526" s="37" t="n">
        <v>5</v>
      </c>
      <c r="AJ1526" s="37" t="s">
        <v>323</v>
      </c>
    </row>
    <row r="1527" customFormat="false" ht="15" hidden="false" customHeight="false" outlineLevel="0" collapsed="false">
      <c r="A1527" s="37" t="n">
        <v>387511278</v>
      </c>
      <c r="B1527" s="38" t="n">
        <v>46267.4446990741</v>
      </c>
      <c r="C1527" s="37" t="s">
        <v>320</v>
      </c>
      <c r="D1527" s="37" t="s">
        <v>1725</v>
      </c>
      <c r="E1527" s="37" t="n">
        <v>23550230</v>
      </c>
      <c r="F1527" s="37" t="s">
        <v>139</v>
      </c>
      <c r="G1527" s="37" t="s">
        <v>198</v>
      </c>
      <c r="H1527" s="37" t="s">
        <v>169</v>
      </c>
      <c r="I1527" s="37" t="n">
        <v>37.6</v>
      </c>
      <c r="J1527" s="39" t="n">
        <v>391.9</v>
      </c>
      <c r="K1527" s="37" t="s">
        <v>322</v>
      </c>
      <c r="L1527" s="39" t="n">
        <v>91.73</v>
      </c>
      <c r="M1527" s="39" t="n">
        <v>62.05</v>
      </c>
      <c r="N1527" s="39" t="n">
        <f aca="false">J1527*Resumo!$C$7</f>
        <v>0.7838</v>
      </c>
      <c r="O1527" s="39" t="n">
        <f aca="false">J1527*Resumo!$C$8</f>
        <v>0.7838</v>
      </c>
      <c r="P1527" s="39" t="n">
        <f aca="false">Resumo!$C$10*CEILING(I1527/100,1)</f>
        <v>1</v>
      </c>
      <c r="Q1527" s="39" t="n">
        <f aca="false">Resumo!$C$9</f>
        <v>11.9</v>
      </c>
      <c r="R1527" s="39" t="n">
        <f aca="false">SUM(M1527:Q1527)*Resumo!$C$11</f>
        <v>4.208468</v>
      </c>
      <c r="S1527" s="39" t="n">
        <f aca="false">SUM(M1527:R1527)</f>
        <v>80.726068</v>
      </c>
      <c r="T1527" s="39" t="n">
        <f aca="false">S1527/(1-Resumo!$C$5)</f>
        <v>91.7341681818182</v>
      </c>
      <c r="U1527" s="39" t="n">
        <v>93.97</v>
      </c>
      <c r="V1527" s="39" t="n">
        <f aca="false">J1527*Resumo!$B$6</f>
        <v>0.3919</v>
      </c>
      <c r="W1527" s="39" t="n">
        <f aca="false">J1527*Resumo!$B$7</f>
        <v>0.7838</v>
      </c>
      <c r="X1527" s="39" t="n">
        <f aca="false">Resumo!$B$9</f>
        <v>1</v>
      </c>
      <c r="Y1527" s="39" t="n">
        <f aca="false">Resumo!$B$10*CEILING(I1527/100,1)</f>
        <v>4.5</v>
      </c>
      <c r="Z1527" s="39" t="n">
        <f aca="false">Resumo!$B$12*CEILING(I1527,1)</f>
        <v>2.28</v>
      </c>
      <c r="AA1527" s="39" t="n">
        <f aca="false">Resumo!$B$13*CEILING(I1527,1)</f>
        <v>17.1</v>
      </c>
      <c r="AB1527" s="39" t="n">
        <f aca="false">SUM(U1527:AA1527)</f>
        <v>120.0257</v>
      </c>
      <c r="AC1527" s="39" t="n">
        <f aca="false">AB1527/(1-Resumo!$B$5)</f>
        <v>136.392840909091</v>
      </c>
      <c r="AD1527" s="39" t="n">
        <f aca="false">(AB1527-AA1527)/(1-Resumo!$B$5)</f>
        <v>116.961022727273</v>
      </c>
      <c r="AE1527" s="39" t="n">
        <f aca="false">AC1527-T1527</f>
        <v>44.6586727272727</v>
      </c>
      <c r="AF1527" s="40" t="n">
        <f aca="false">AC1527/T1527-1</f>
        <v>0.486827030891682</v>
      </c>
      <c r="AG1527" s="37" t="str">
        <f aca="false">IF(AC1527&lt;T1527,"SIM","NÃO")</f>
        <v>NÃO</v>
      </c>
      <c r="AH1527" s="37" t="n">
        <v>8</v>
      </c>
      <c r="AI1527" s="37" t="n">
        <v>5</v>
      </c>
      <c r="AJ1527" s="37" t="s">
        <v>323</v>
      </c>
    </row>
    <row r="1528" customFormat="false" ht="15" hidden="false" customHeight="false" outlineLevel="0" collapsed="false">
      <c r="A1528" s="37" t="n">
        <v>387517402</v>
      </c>
      <c r="B1528" s="38" t="n">
        <v>46267.4562384259</v>
      </c>
      <c r="C1528" s="37" t="s">
        <v>320</v>
      </c>
      <c r="D1528" s="37" t="s">
        <v>1726</v>
      </c>
      <c r="E1528" s="37" t="n">
        <v>21853355</v>
      </c>
      <c r="F1528" s="37" t="s">
        <v>139</v>
      </c>
      <c r="G1528" s="37" t="s">
        <v>198</v>
      </c>
      <c r="H1528" s="37" t="s">
        <v>172</v>
      </c>
      <c r="I1528" s="37" t="n">
        <v>68.1</v>
      </c>
      <c r="J1528" s="39" t="n">
        <v>999.99</v>
      </c>
      <c r="K1528" s="37" t="s">
        <v>322</v>
      </c>
      <c r="L1528" s="39" t="n">
        <v>126</v>
      </c>
      <c r="M1528" s="39" t="n">
        <v>88.2</v>
      </c>
      <c r="N1528" s="39" t="n">
        <f aca="false">J1528*Resumo!$C$7</f>
        <v>1.99998</v>
      </c>
      <c r="O1528" s="39" t="n">
        <f aca="false">J1528*Resumo!$C$8</f>
        <v>1.99998</v>
      </c>
      <c r="P1528" s="39" t="n">
        <f aca="false">Resumo!$C$10*CEILING(I1528/100,1)</f>
        <v>1</v>
      </c>
      <c r="Q1528" s="39" t="n">
        <f aca="false">Resumo!$C$9</f>
        <v>11.9</v>
      </c>
      <c r="R1528" s="39" t="n">
        <f aca="false">SUM(M1528:Q1528)*Resumo!$C$11</f>
        <v>5.7804978</v>
      </c>
      <c r="S1528" s="39" t="n">
        <f aca="false">SUM(M1528:R1528)</f>
        <v>110.8804578</v>
      </c>
      <c r="T1528" s="39" t="n">
        <f aca="false">S1528/(1-Resumo!$C$5)</f>
        <v>126.000520227273</v>
      </c>
      <c r="U1528" s="39" t="n">
        <v>131.02</v>
      </c>
      <c r="V1528" s="39" t="n">
        <f aca="false">J1528*Resumo!$B$6</f>
        <v>0.99999</v>
      </c>
      <c r="W1528" s="39" t="n">
        <f aca="false">J1528*Resumo!$B$7</f>
        <v>1.99998</v>
      </c>
      <c r="X1528" s="39" t="n">
        <f aca="false">Resumo!$B$9</f>
        <v>1</v>
      </c>
      <c r="Y1528" s="39" t="n">
        <f aca="false">Resumo!$B$10*CEILING(I1528/100,1)</f>
        <v>4.5</v>
      </c>
      <c r="Z1528" s="39" t="n">
        <f aca="false">Resumo!$B$12*CEILING(I1528,1)</f>
        <v>4.14</v>
      </c>
      <c r="AA1528" s="39" t="n">
        <f aca="false">Resumo!$B$13*CEILING(I1528,1)</f>
        <v>31.05</v>
      </c>
      <c r="AB1528" s="39" t="n">
        <f aca="false">SUM(U1528:AA1528)</f>
        <v>174.70997</v>
      </c>
      <c r="AC1528" s="39" t="n">
        <f aca="false">AB1528/(1-Resumo!$B$5)</f>
        <v>198.534056818182</v>
      </c>
      <c r="AD1528" s="39" t="n">
        <f aca="false">(AB1528-AA1528)/(1-Resumo!$B$5)</f>
        <v>163.249965909091</v>
      </c>
      <c r="AE1528" s="39" t="n">
        <f aca="false">AC1528-T1528</f>
        <v>72.5335365909091</v>
      </c>
      <c r="AF1528" s="40" t="n">
        <f aca="false">AC1528/T1528-1</f>
        <v>0.575660612036182</v>
      </c>
      <c r="AG1528" s="37" t="str">
        <f aca="false">IF(AC1528&lt;T1528,"SIM","NÃO")</f>
        <v>NÃO</v>
      </c>
      <c r="AH1528" s="37" t="n">
        <v>8</v>
      </c>
      <c r="AI1528" s="37" t="n">
        <v>5</v>
      </c>
      <c r="AJ1528" s="37" t="s">
        <v>323</v>
      </c>
    </row>
    <row r="1529" customFormat="false" ht="15" hidden="false" customHeight="false" outlineLevel="0" collapsed="false">
      <c r="A1529" s="37" t="n">
        <v>387527812</v>
      </c>
      <c r="B1529" s="38" t="n">
        <v>46267.4772916667</v>
      </c>
      <c r="C1529" s="37" t="s">
        <v>320</v>
      </c>
      <c r="D1529" s="37" t="s">
        <v>1727</v>
      </c>
      <c r="E1529" s="37" t="n">
        <v>25675050</v>
      </c>
      <c r="F1529" s="37" t="s">
        <v>150</v>
      </c>
      <c r="G1529" s="37" t="s">
        <v>201</v>
      </c>
      <c r="H1529" s="37" t="s">
        <v>169</v>
      </c>
      <c r="I1529" s="37" t="n">
        <v>39</v>
      </c>
      <c r="J1529" s="39" t="n">
        <v>539.99</v>
      </c>
      <c r="K1529" s="37" t="s">
        <v>322</v>
      </c>
      <c r="L1529" s="39" t="n">
        <v>122.84</v>
      </c>
      <c r="M1529" s="39" t="n">
        <v>87.4</v>
      </c>
      <c r="N1529" s="39" t="n">
        <f aca="false">J1529*Resumo!$C$7</f>
        <v>1.07998</v>
      </c>
      <c r="O1529" s="39" t="n">
        <f aca="false">J1529*Resumo!$C$8</f>
        <v>1.07998</v>
      </c>
      <c r="P1529" s="39" t="n">
        <f aca="false">Resumo!$C$10*CEILING(I1529/100,1)</f>
        <v>1</v>
      </c>
      <c r="Q1529" s="39" t="n">
        <f aca="false">Resumo!$C$9</f>
        <v>11.9</v>
      </c>
      <c r="R1529" s="39" t="n">
        <f aca="false">SUM(M1529:Q1529)*Resumo!$C$11</f>
        <v>5.6352978</v>
      </c>
      <c r="S1529" s="39" t="n">
        <f aca="false">SUM(M1529:R1529)</f>
        <v>108.0952578</v>
      </c>
      <c r="T1529" s="39" t="n">
        <f aca="false">S1529/(1-Resumo!$C$5)</f>
        <v>122.835520227273</v>
      </c>
      <c r="U1529" s="39" t="n">
        <v>124.38</v>
      </c>
      <c r="V1529" s="39" t="n">
        <f aca="false">J1529*Resumo!$B$6</f>
        <v>0.53999</v>
      </c>
      <c r="W1529" s="39" t="n">
        <f aca="false">J1529*Resumo!$B$7</f>
        <v>1.07998</v>
      </c>
      <c r="X1529" s="39" t="n">
        <f aca="false">Resumo!$B$9</f>
        <v>1</v>
      </c>
      <c r="Y1529" s="39" t="n">
        <f aca="false">Resumo!$B$10*CEILING(I1529/100,1)</f>
        <v>4.5</v>
      </c>
      <c r="Z1529" s="39" t="n">
        <f aca="false">Resumo!$B$12*CEILING(I1529,1)</f>
        <v>2.34</v>
      </c>
      <c r="AA1529" s="39" t="n">
        <f aca="false">Resumo!$B$13*CEILING(I1529,1)</f>
        <v>17.55</v>
      </c>
      <c r="AB1529" s="39" t="n">
        <f aca="false">SUM(U1529:AA1529)</f>
        <v>151.38997</v>
      </c>
      <c r="AC1529" s="39" t="n">
        <f aca="false">AB1529/(1-Resumo!$B$5)</f>
        <v>172.034056818182</v>
      </c>
      <c r="AD1529" s="39" t="n">
        <f aca="false">(AB1529-AA1529)/(1-Resumo!$B$5)</f>
        <v>152.090875</v>
      </c>
      <c r="AE1529" s="39" t="n">
        <f aca="false">AC1529-T1529</f>
        <v>49.1985365909091</v>
      </c>
      <c r="AF1529" s="40" t="n">
        <f aca="false">AC1529/T1529-1</f>
        <v>0.400523696239337</v>
      </c>
      <c r="AG1529" s="37" t="str">
        <f aca="false">IF(AC1529&lt;T1529,"SIM","NÃO")</f>
        <v>NÃO</v>
      </c>
      <c r="AH1529" s="37" t="n">
        <v>13</v>
      </c>
      <c r="AI1529" s="37" t="n">
        <v>8</v>
      </c>
      <c r="AJ1529" s="37" t="s">
        <v>323</v>
      </c>
    </row>
    <row r="1530" customFormat="false" ht="15" hidden="false" customHeight="false" outlineLevel="0" collapsed="false">
      <c r="A1530" s="37" t="n">
        <v>387585761</v>
      </c>
      <c r="B1530" s="38" t="n">
        <v>46267.5891319444</v>
      </c>
      <c r="C1530" s="37" t="s">
        <v>325</v>
      </c>
      <c r="D1530" s="37" t="s">
        <v>1728</v>
      </c>
      <c r="E1530" s="37" t="n">
        <v>28941348</v>
      </c>
      <c r="F1530" s="37" t="s">
        <v>278</v>
      </c>
      <c r="G1530" s="37" t="s">
        <v>201</v>
      </c>
      <c r="H1530" s="37" t="s">
        <v>168</v>
      </c>
      <c r="I1530" s="37" t="n">
        <v>27.6</v>
      </c>
      <c r="J1530" s="39" t="n">
        <v>496.57</v>
      </c>
      <c r="K1530" s="37" t="s">
        <v>322</v>
      </c>
      <c r="L1530" s="39" t="n">
        <v>109.56</v>
      </c>
      <c r="M1530" s="39" t="n">
        <v>76.5</v>
      </c>
      <c r="N1530" s="39" t="n">
        <f aca="false">J1530*Resumo!$C$7</f>
        <v>0.99314</v>
      </c>
      <c r="O1530" s="39" t="n">
        <f aca="false">J1530*Resumo!$C$8</f>
        <v>0.99314</v>
      </c>
      <c r="P1530" s="39" t="n">
        <f aca="false">Resumo!$C$10*CEILING(I1530/100,1)</f>
        <v>1</v>
      </c>
      <c r="Q1530" s="39" t="n">
        <f aca="false">Resumo!$C$9</f>
        <v>11.9</v>
      </c>
      <c r="R1530" s="39" t="n">
        <f aca="false">SUM(M1530:Q1530)*Resumo!$C$11</f>
        <v>5.0262454</v>
      </c>
      <c r="S1530" s="39" t="n">
        <f aca="false">SUM(M1530:R1530)</f>
        <v>96.4125254</v>
      </c>
      <c r="T1530" s="39" t="n">
        <f aca="false">S1530/(1-Resumo!$C$5)</f>
        <v>109.559687954545</v>
      </c>
      <c r="U1530" s="39" t="n">
        <v>114.95</v>
      </c>
      <c r="V1530" s="39" t="n">
        <f aca="false">J1530*Resumo!$B$6</f>
        <v>0.49657</v>
      </c>
      <c r="W1530" s="39" t="n">
        <f aca="false">J1530*Resumo!$B$7</f>
        <v>0.99314</v>
      </c>
      <c r="X1530" s="39" t="n">
        <f aca="false">Resumo!$B$9</f>
        <v>1</v>
      </c>
      <c r="Y1530" s="39" t="n">
        <f aca="false">Resumo!$B$10*CEILING(I1530/100,1)</f>
        <v>4.5</v>
      </c>
      <c r="Z1530" s="39" t="n">
        <f aca="false">Resumo!$B$12*CEILING(I1530,1)</f>
        <v>1.68</v>
      </c>
      <c r="AA1530" s="39" t="n">
        <f aca="false">Resumo!$B$13*CEILING(I1530,1)</f>
        <v>12.6</v>
      </c>
      <c r="AB1530" s="39" t="n">
        <f aca="false">SUM(U1530:AA1530)</f>
        <v>136.21971</v>
      </c>
      <c r="AC1530" s="39" t="n">
        <f aca="false">AB1530/(1-Resumo!$B$5)</f>
        <v>154.795125</v>
      </c>
      <c r="AD1530" s="39" t="n">
        <f aca="false">(AB1530-AA1530)/(1-Resumo!$B$5)</f>
        <v>140.476943181818</v>
      </c>
      <c r="AE1530" s="39" t="n">
        <f aca="false">AC1530-T1530</f>
        <v>45.2354370454545</v>
      </c>
      <c r="AF1530" s="40" t="n">
        <f aca="false">AC1530/T1530-1</f>
        <v>0.412883952939169</v>
      </c>
      <c r="AG1530" s="37" t="str">
        <f aca="false">IF(AC1530&lt;T1530,"SIM","NÃO")</f>
        <v>NÃO</v>
      </c>
      <c r="AH1530" s="37" t="n">
        <v>13</v>
      </c>
      <c r="AI1530" s="37" t="n">
        <v>10</v>
      </c>
      <c r="AJ1530" s="37" t="s">
        <v>327</v>
      </c>
    </row>
    <row r="1531" customFormat="false" ht="15" hidden="false" customHeight="false" outlineLevel="0" collapsed="false">
      <c r="A1531" s="37" t="n">
        <v>387599894</v>
      </c>
      <c r="B1531" s="38" t="n">
        <v>46267.6048032407</v>
      </c>
      <c r="C1531" s="37" t="s">
        <v>517</v>
      </c>
      <c r="D1531" s="37" t="s">
        <v>402</v>
      </c>
      <c r="E1531" s="37" t="n">
        <v>22230000</v>
      </c>
      <c r="F1531" s="37" t="s">
        <v>139</v>
      </c>
      <c r="G1531" s="37" t="s">
        <v>198</v>
      </c>
      <c r="H1531" s="37" t="s">
        <v>170</v>
      </c>
      <c r="I1531" s="37" t="n">
        <v>49.6</v>
      </c>
      <c r="J1531" s="39" t="n">
        <v>649.78</v>
      </c>
      <c r="K1531" s="37" t="s">
        <v>322</v>
      </c>
      <c r="L1531" s="39" t="n">
        <v>103.7</v>
      </c>
      <c r="M1531" s="39" t="n">
        <v>71</v>
      </c>
      <c r="N1531" s="39" t="n">
        <f aca="false">J1531*Resumo!$C$7</f>
        <v>1.29956</v>
      </c>
      <c r="O1531" s="39" t="n">
        <f aca="false">J1531*Resumo!$C$8</f>
        <v>1.29956</v>
      </c>
      <c r="P1531" s="39" t="n">
        <f aca="false">Resumo!$C$10*CEILING(I1531/100,1)</f>
        <v>1</v>
      </c>
      <c r="Q1531" s="39" t="n">
        <f aca="false">Resumo!$C$9</f>
        <v>11.9</v>
      </c>
      <c r="R1531" s="39" t="n">
        <f aca="false">SUM(M1531:Q1531)*Resumo!$C$11</f>
        <v>4.7574516</v>
      </c>
      <c r="S1531" s="39" t="n">
        <f aca="false">SUM(M1531:R1531)</f>
        <v>91.2565716</v>
      </c>
      <c r="T1531" s="39" t="n">
        <f aca="false">S1531/(1-Resumo!$C$5)</f>
        <v>103.700649545455</v>
      </c>
      <c r="U1531" s="39" t="n">
        <v>93.97</v>
      </c>
      <c r="V1531" s="39" t="n">
        <f aca="false">J1531*Resumo!$B$6</f>
        <v>0.64978</v>
      </c>
      <c r="W1531" s="39" t="n">
        <f aca="false">J1531*Resumo!$B$7</f>
        <v>1.29956</v>
      </c>
      <c r="X1531" s="39" t="n">
        <f aca="false">Resumo!$B$9</f>
        <v>1</v>
      </c>
      <c r="Y1531" s="39" t="n">
        <f aca="false">Resumo!$B$10*CEILING(I1531/100,1)</f>
        <v>4.5</v>
      </c>
      <c r="Z1531" s="39" t="n">
        <f aca="false">Resumo!$B$12*CEILING(I1531,1)</f>
        <v>3</v>
      </c>
      <c r="AA1531" s="39" t="n">
        <f aca="false">Resumo!$B$13*CEILING(I1531,1)</f>
        <v>22.5</v>
      </c>
      <c r="AB1531" s="39" t="n">
        <f aca="false">SUM(U1531:AA1531)</f>
        <v>126.91934</v>
      </c>
      <c r="AC1531" s="39" t="n">
        <f aca="false">AB1531/(1-Resumo!$B$5)</f>
        <v>144.226522727273</v>
      </c>
      <c r="AD1531" s="39" t="n">
        <f aca="false">(AB1531-AA1531)/(1-Resumo!$B$5)</f>
        <v>118.658340909091</v>
      </c>
      <c r="AE1531" s="39" t="n">
        <f aca="false">AC1531-T1531</f>
        <v>40.5258731818182</v>
      </c>
      <c r="AF1531" s="40" t="n">
        <f aca="false">AC1531/T1531-1</f>
        <v>0.390796714962279</v>
      </c>
      <c r="AG1531" s="37" t="str">
        <f aca="false">IF(AC1531&lt;T1531,"SIM","NÃO")</f>
        <v>NÃO</v>
      </c>
      <c r="AH1531" s="37" t="n">
        <v>8</v>
      </c>
      <c r="AI1531" s="37" t="n">
        <v>5</v>
      </c>
      <c r="AJ1531" s="37" t="s">
        <v>323</v>
      </c>
    </row>
    <row r="1532" customFormat="false" ht="15" hidden="false" customHeight="false" outlineLevel="0" collapsed="false">
      <c r="A1532" s="37" t="n">
        <v>387601433</v>
      </c>
      <c r="B1532" s="38" t="n">
        <v>46267.6194907407</v>
      </c>
      <c r="C1532" s="37" t="s">
        <v>325</v>
      </c>
      <c r="D1532" s="37" t="s">
        <v>1729</v>
      </c>
      <c r="E1532" s="37" t="n">
        <v>20220150</v>
      </c>
      <c r="F1532" s="37" t="s">
        <v>139</v>
      </c>
      <c r="G1532" s="37" t="s">
        <v>198</v>
      </c>
      <c r="H1532" s="37" t="s">
        <v>172</v>
      </c>
      <c r="I1532" s="37" t="n">
        <v>66.8</v>
      </c>
      <c r="J1532" s="39" t="n">
        <v>578</v>
      </c>
      <c r="K1532" s="37" t="s">
        <v>322</v>
      </c>
      <c r="L1532" s="39" t="n">
        <v>123.99</v>
      </c>
      <c r="M1532" s="39" t="n">
        <v>88.2</v>
      </c>
      <c r="N1532" s="39" t="n">
        <f aca="false">J1532*Resumo!$C$7</f>
        <v>1.156</v>
      </c>
      <c r="O1532" s="39" t="n">
        <f aca="false">J1532*Resumo!$C$8</f>
        <v>1.156</v>
      </c>
      <c r="P1532" s="39" t="n">
        <f aca="false">Resumo!$C$10*CEILING(I1532/100,1)</f>
        <v>1</v>
      </c>
      <c r="Q1532" s="39" t="n">
        <f aca="false">Resumo!$C$9</f>
        <v>11.9</v>
      </c>
      <c r="R1532" s="39" t="n">
        <f aca="false">SUM(M1532:Q1532)*Resumo!$C$11</f>
        <v>5.68766</v>
      </c>
      <c r="S1532" s="39" t="n">
        <f aca="false">SUM(M1532:R1532)</f>
        <v>109.09966</v>
      </c>
      <c r="T1532" s="39" t="n">
        <f aca="false">S1532/(1-Resumo!$C$5)</f>
        <v>123.976886363636</v>
      </c>
      <c r="U1532" s="39" t="n">
        <v>131.02</v>
      </c>
      <c r="V1532" s="39" t="n">
        <f aca="false">J1532*Resumo!$B$6</f>
        <v>0.578</v>
      </c>
      <c r="W1532" s="39" t="n">
        <f aca="false">J1532*Resumo!$B$7</f>
        <v>1.156</v>
      </c>
      <c r="X1532" s="39" t="n">
        <f aca="false">Resumo!$B$9</f>
        <v>1</v>
      </c>
      <c r="Y1532" s="39" t="n">
        <f aca="false">Resumo!$B$10*CEILING(I1532/100,1)</f>
        <v>4.5</v>
      </c>
      <c r="Z1532" s="39" t="n">
        <f aca="false">Resumo!$B$12*CEILING(I1532,1)</f>
        <v>4.02</v>
      </c>
      <c r="AA1532" s="39" t="n">
        <f aca="false">Resumo!$B$13*CEILING(I1532,1)</f>
        <v>30.15</v>
      </c>
      <c r="AB1532" s="39" t="n">
        <f aca="false">SUM(U1532:AA1532)</f>
        <v>172.424</v>
      </c>
      <c r="AC1532" s="39" t="n">
        <f aca="false">AB1532/(1-Resumo!$B$5)</f>
        <v>195.936363636364</v>
      </c>
      <c r="AD1532" s="39" t="n">
        <f aca="false">(AB1532-AA1532)/(1-Resumo!$B$5)</f>
        <v>161.675</v>
      </c>
      <c r="AE1532" s="39" t="n">
        <f aca="false">AC1532-T1532</f>
        <v>71.9594772727273</v>
      </c>
      <c r="AF1532" s="40" t="n">
        <f aca="false">AC1532/T1532-1</f>
        <v>0.580426556783037</v>
      </c>
      <c r="AG1532" s="37" t="str">
        <f aca="false">IF(AC1532&lt;T1532,"SIM","NÃO")</f>
        <v>NÃO</v>
      </c>
      <c r="AH1532" s="37" t="n">
        <v>8</v>
      </c>
      <c r="AI1532" s="37" t="n">
        <v>5</v>
      </c>
      <c r="AJ1532" s="37" t="s">
        <v>323</v>
      </c>
    </row>
    <row r="1533" customFormat="false" ht="15" hidden="false" customHeight="false" outlineLevel="0" collapsed="false">
      <c r="A1533" s="37" t="n">
        <v>387612653</v>
      </c>
      <c r="B1533" s="38" t="n">
        <v>46267.6424421296</v>
      </c>
      <c r="C1533" s="37" t="s">
        <v>320</v>
      </c>
      <c r="D1533" s="37" t="s">
        <v>1730</v>
      </c>
      <c r="E1533" s="37" t="n">
        <v>28995104</v>
      </c>
      <c r="F1533" s="37" t="s">
        <v>281</v>
      </c>
      <c r="G1533" s="37" t="s">
        <v>201</v>
      </c>
      <c r="H1533" s="37" t="s">
        <v>169</v>
      </c>
      <c r="I1533" s="37" t="n">
        <v>38.2</v>
      </c>
      <c r="J1533" s="39" t="n">
        <v>668.2</v>
      </c>
      <c r="K1533" s="37" t="s">
        <v>322</v>
      </c>
      <c r="L1533" s="39" t="n">
        <v>123.45</v>
      </c>
      <c r="M1533" s="39" t="n">
        <v>87.4</v>
      </c>
      <c r="N1533" s="39" t="n">
        <f aca="false">J1533*Resumo!$C$7</f>
        <v>1.3364</v>
      </c>
      <c r="O1533" s="39" t="n">
        <f aca="false">J1533*Resumo!$C$8</f>
        <v>1.3364</v>
      </c>
      <c r="P1533" s="39" t="n">
        <f aca="false">Resumo!$C$10*CEILING(I1533/100,1)</f>
        <v>1</v>
      </c>
      <c r="Q1533" s="39" t="n">
        <f aca="false">Resumo!$C$9</f>
        <v>11.9</v>
      </c>
      <c r="R1533" s="39" t="n">
        <f aca="false">SUM(M1533:Q1533)*Resumo!$C$11</f>
        <v>5.663504</v>
      </c>
      <c r="S1533" s="39" t="n">
        <f aca="false">SUM(M1533:R1533)</f>
        <v>108.636304</v>
      </c>
      <c r="T1533" s="39" t="n">
        <f aca="false">S1533/(1-Resumo!$C$5)</f>
        <v>123.450345454545</v>
      </c>
      <c r="U1533" s="39" t="n">
        <v>124.38</v>
      </c>
      <c r="V1533" s="39" t="n">
        <f aca="false">J1533*Resumo!$B$6</f>
        <v>0.6682</v>
      </c>
      <c r="W1533" s="39" t="n">
        <f aca="false">J1533*Resumo!$B$7</f>
        <v>1.3364</v>
      </c>
      <c r="X1533" s="39" t="n">
        <f aca="false">Resumo!$B$9</f>
        <v>1</v>
      </c>
      <c r="Y1533" s="39" t="n">
        <f aca="false">Resumo!$B$10*CEILING(I1533/100,1)</f>
        <v>4.5</v>
      </c>
      <c r="Z1533" s="39" t="n">
        <f aca="false">Resumo!$B$12*CEILING(I1533,1)</f>
        <v>2.34</v>
      </c>
      <c r="AA1533" s="39" t="n">
        <f aca="false">Resumo!$B$13*CEILING(I1533,1)</f>
        <v>17.55</v>
      </c>
      <c r="AB1533" s="39" t="n">
        <f aca="false">SUM(U1533:AA1533)</f>
        <v>151.7746</v>
      </c>
      <c r="AC1533" s="39" t="n">
        <f aca="false">AB1533/(1-Resumo!$B$5)</f>
        <v>172.471136363636</v>
      </c>
      <c r="AD1533" s="39" t="n">
        <f aca="false">(AB1533-AA1533)/(1-Resumo!$B$5)</f>
        <v>152.527954545455</v>
      </c>
      <c r="AE1533" s="39" t="n">
        <f aca="false">AC1533-T1533</f>
        <v>49.0207909090909</v>
      </c>
      <c r="AF1533" s="40" t="n">
        <f aca="false">AC1533/T1533-1</f>
        <v>0.397089135138471</v>
      </c>
      <c r="AG1533" s="37" t="str">
        <f aca="false">IF(AC1533&lt;T1533,"SIM","NÃO")</f>
        <v>NÃO</v>
      </c>
      <c r="AH1533" s="37" t="n">
        <v>13</v>
      </c>
      <c r="AI1533" s="37" t="n">
        <v>10</v>
      </c>
      <c r="AJ1533" s="37" t="s">
        <v>327</v>
      </c>
    </row>
    <row r="1534" customFormat="false" ht="15" hidden="false" customHeight="false" outlineLevel="0" collapsed="false">
      <c r="A1534" s="37" t="n">
        <v>387627365</v>
      </c>
      <c r="B1534" s="38" t="n">
        <v>46267.6710069445</v>
      </c>
      <c r="C1534" s="37" t="s">
        <v>320</v>
      </c>
      <c r="D1534" s="37" t="s">
        <v>1731</v>
      </c>
      <c r="E1534" s="37" t="n">
        <v>28928420</v>
      </c>
      <c r="F1534" s="37" t="s">
        <v>152</v>
      </c>
      <c r="G1534" s="37" t="s">
        <v>201</v>
      </c>
      <c r="H1534" s="37" t="s">
        <v>169</v>
      </c>
      <c r="I1534" s="37" t="n">
        <v>37.2</v>
      </c>
      <c r="J1534" s="39" t="n">
        <v>366.5</v>
      </c>
      <c r="K1534" s="37" t="s">
        <v>322</v>
      </c>
      <c r="L1534" s="39" t="n">
        <v>122</v>
      </c>
      <c r="M1534" s="39" t="n">
        <v>87.4</v>
      </c>
      <c r="N1534" s="39" t="n">
        <f aca="false">J1534*Resumo!$C$7</f>
        <v>0.733</v>
      </c>
      <c r="O1534" s="39" t="n">
        <f aca="false">J1534*Resumo!$C$8</f>
        <v>0.733</v>
      </c>
      <c r="P1534" s="39" t="n">
        <f aca="false">Resumo!$C$10*CEILING(I1534/100,1)</f>
        <v>1</v>
      </c>
      <c r="Q1534" s="39" t="n">
        <f aca="false">Resumo!$C$9</f>
        <v>11.9</v>
      </c>
      <c r="R1534" s="39" t="n">
        <f aca="false">SUM(M1534:Q1534)*Resumo!$C$11</f>
        <v>5.59713</v>
      </c>
      <c r="S1534" s="39" t="n">
        <f aca="false">SUM(M1534:R1534)</f>
        <v>107.36313</v>
      </c>
      <c r="T1534" s="39" t="n">
        <f aca="false">S1534/(1-Resumo!$C$5)</f>
        <v>122.003556818182</v>
      </c>
      <c r="U1534" s="39" t="n">
        <v>124.38</v>
      </c>
      <c r="V1534" s="39" t="n">
        <f aca="false">J1534*Resumo!$B$6</f>
        <v>0.3665</v>
      </c>
      <c r="W1534" s="39" t="n">
        <f aca="false">J1534*Resumo!$B$7</f>
        <v>0.733</v>
      </c>
      <c r="X1534" s="39" t="n">
        <f aca="false">Resumo!$B$9</f>
        <v>1</v>
      </c>
      <c r="Y1534" s="39" t="n">
        <f aca="false">Resumo!$B$10*CEILING(I1534/100,1)</f>
        <v>4.5</v>
      </c>
      <c r="Z1534" s="39" t="n">
        <f aca="false">Resumo!$B$12*CEILING(I1534,1)</f>
        <v>2.28</v>
      </c>
      <c r="AA1534" s="39" t="n">
        <f aca="false">Resumo!$B$13*CEILING(I1534,1)</f>
        <v>17.1</v>
      </c>
      <c r="AB1534" s="39" t="n">
        <f aca="false">SUM(U1534:AA1534)</f>
        <v>150.3595</v>
      </c>
      <c r="AC1534" s="39" t="n">
        <f aca="false">AB1534/(1-Resumo!$B$5)</f>
        <v>170.863068181818</v>
      </c>
      <c r="AD1534" s="39" t="n">
        <f aca="false">(AB1534-AA1534)/(1-Resumo!$B$5)</f>
        <v>151.43125</v>
      </c>
      <c r="AE1534" s="39" t="n">
        <f aca="false">AC1534-T1534</f>
        <v>48.8595113636363</v>
      </c>
      <c r="AF1534" s="40" t="n">
        <f aca="false">AC1534/T1534-1</f>
        <v>0.400476122482643</v>
      </c>
      <c r="AG1534" s="37" t="str">
        <f aca="false">IF(AC1534&lt;T1534,"SIM","NÃO")</f>
        <v>NÃO</v>
      </c>
      <c r="AH1534" s="37" t="n">
        <v>13</v>
      </c>
      <c r="AI1534" s="37" t="n">
        <v>10</v>
      </c>
      <c r="AJ1534" s="37" t="s">
        <v>323</v>
      </c>
    </row>
    <row r="1535" customFormat="false" ht="15" hidden="false" customHeight="false" outlineLevel="0" collapsed="false">
      <c r="A1535" s="37" t="n">
        <v>387649354</v>
      </c>
      <c r="B1535" s="38" t="n">
        <v>46267.7211226852</v>
      </c>
      <c r="C1535" s="37" t="s">
        <v>341</v>
      </c>
      <c r="D1535" s="37" t="s">
        <v>1732</v>
      </c>
      <c r="E1535" s="37" t="n">
        <v>21760320</v>
      </c>
      <c r="F1535" s="37" t="s">
        <v>139</v>
      </c>
      <c r="G1535" s="37" t="s">
        <v>198</v>
      </c>
      <c r="H1535" s="37" t="s">
        <v>169</v>
      </c>
      <c r="I1535" s="37" t="n">
        <v>37.2</v>
      </c>
      <c r="J1535" s="39" t="n">
        <v>433.49</v>
      </c>
      <c r="K1535" s="37" t="s">
        <v>322</v>
      </c>
      <c r="L1535" s="39" t="n">
        <v>91.94</v>
      </c>
      <c r="M1535" s="39" t="n">
        <v>62.05</v>
      </c>
      <c r="N1535" s="39" t="n">
        <f aca="false">J1535*Resumo!$C$7</f>
        <v>0.86698</v>
      </c>
      <c r="O1535" s="39" t="n">
        <f aca="false">J1535*Resumo!$C$8</f>
        <v>0.86698</v>
      </c>
      <c r="P1535" s="39" t="n">
        <f aca="false">Resumo!$C$10*CEILING(I1535/100,1)</f>
        <v>1</v>
      </c>
      <c r="Q1535" s="39" t="n">
        <f aca="false">Resumo!$C$9</f>
        <v>11.9</v>
      </c>
      <c r="R1535" s="39" t="n">
        <f aca="false">SUM(M1535:Q1535)*Resumo!$C$11</f>
        <v>4.2176178</v>
      </c>
      <c r="S1535" s="39" t="n">
        <f aca="false">SUM(M1535:R1535)</f>
        <v>80.9015778</v>
      </c>
      <c r="T1535" s="39" t="n">
        <f aca="false">S1535/(1-Resumo!$C$5)</f>
        <v>91.9336111363636</v>
      </c>
      <c r="U1535" s="39" t="n">
        <v>93.97</v>
      </c>
      <c r="V1535" s="39" t="n">
        <f aca="false">J1535*Resumo!$B$6</f>
        <v>0.43349</v>
      </c>
      <c r="W1535" s="39" t="n">
        <f aca="false">J1535*Resumo!$B$7</f>
        <v>0.86698</v>
      </c>
      <c r="X1535" s="39" t="n">
        <f aca="false">Resumo!$B$9</f>
        <v>1</v>
      </c>
      <c r="Y1535" s="39" t="n">
        <f aca="false">Resumo!$B$10*CEILING(I1535/100,1)</f>
        <v>4.5</v>
      </c>
      <c r="Z1535" s="39" t="n">
        <f aca="false">Resumo!$B$12*CEILING(I1535,1)</f>
        <v>2.28</v>
      </c>
      <c r="AA1535" s="39" t="n">
        <f aca="false">Resumo!$B$13*CEILING(I1535,1)</f>
        <v>17.1</v>
      </c>
      <c r="AB1535" s="39" t="n">
        <f aca="false">SUM(U1535:AA1535)</f>
        <v>120.15047</v>
      </c>
      <c r="AC1535" s="39" t="n">
        <f aca="false">AB1535/(1-Resumo!$B$5)</f>
        <v>136.534625</v>
      </c>
      <c r="AD1535" s="39" t="n">
        <f aca="false">(AB1535-AA1535)/(1-Resumo!$B$5)</f>
        <v>117.102806818182</v>
      </c>
      <c r="AE1535" s="39" t="n">
        <f aca="false">AC1535-T1535</f>
        <v>44.6010138636364</v>
      </c>
      <c r="AF1535" s="40" t="n">
        <f aca="false">AC1535/T1535-1</f>
        <v>0.485143717431924</v>
      </c>
      <c r="AG1535" s="37" t="str">
        <f aca="false">IF(AC1535&lt;T1535,"SIM","NÃO")</f>
        <v>NÃO</v>
      </c>
      <c r="AH1535" s="37" t="n">
        <v>8</v>
      </c>
      <c r="AI1535" s="37" t="n">
        <v>5</v>
      </c>
      <c r="AJ1535" s="37" t="s">
        <v>323</v>
      </c>
    </row>
    <row r="1536" customFormat="false" ht="15" hidden="false" customHeight="false" outlineLevel="0" collapsed="false">
      <c r="A1536" s="37" t="n">
        <v>387664888</v>
      </c>
      <c r="B1536" s="38" t="n">
        <v>46267.750462963</v>
      </c>
      <c r="C1536" s="37" t="s">
        <v>320</v>
      </c>
      <c r="D1536" s="37" t="s">
        <v>1733</v>
      </c>
      <c r="E1536" s="37" t="n">
        <v>24722045</v>
      </c>
      <c r="F1536" s="37" t="s">
        <v>140</v>
      </c>
      <c r="G1536" s="37" t="s">
        <v>207</v>
      </c>
      <c r="H1536" s="37" t="s">
        <v>168</v>
      </c>
      <c r="I1536" s="37" t="n">
        <v>29.2</v>
      </c>
      <c r="J1536" s="39" t="n">
        <v>449.99</v>
      </c>
      <c r="K1536" s="37" t="s">
        <v>322</v>
      </c>
      <c r="L1536" s="39" t="n">
        <v>101.55</v>
      </c>
      <c r="M1536" s="39" t="n">
        <v>70</v>
      </c>
      <c r="N1536" s="39" t="n">
        <f aca="false">J1536*Resumo!$C$7</f>
        <v>0.89998</v>
      </c>
      <c r="O1536" s="39" t="n">
        <f aca="false">J1536*Resumo!$C$8</f>
        <v>0.89998</v>
      </c>
      <c r="P1536" s="39" t="n">
        <f aca="false">Resumo!$C$10*CEILING(I1536/100,1)</f>
        <v>1</v>
      </c>
      <c r="Q1536" s="39" t="n">
        <f aca="false">Resumo!$C$9</f>
        <v>11.9</v>
      </c>
      <c r="R1536" s="39" t="n">
        <f aca="false">SUM(M1536:Q1536)*Resumo!$C$11</f>
        <v>4.6584978</v>
      </c>
      <c r="S1536" s="39" t="n">
        <f aca="false">SUM(M1536:R1536)</f>
        <v>89.3584578</v>
      </c>
      <c r="T1536" s="39" t="n">
        <f aca="false">S1536/(1-Resumo!$C$5)</f>
        <v>101.543702045455</v>
      </c>
      <c r="U1536" s="39" t="n">
        <v>100.58</v>
      </c>
      <c r="V1536" s="39" t="n">
        <f aca="false">J1536*Resumo!$B$6</f>
        <v>0.44999</v>
      </c>
      <c r="W1536" s="39" t="n">
        <f aca="false">J1536*Resumo!$B$7</f>
        <v>0.89998</v>
      </c>
      <c r="X1536" s="39" t="n">
        <f aca="false">Resumo!$B$9</f>
        <v>1</v>
      </c>
      <c r="Y1536" s="39" t="n">
        <f aca="false">Resumo!$B$10*CEILING(I1536/100,1)</f>
        <v>4.5</v>
      </c>
      <c r="Z1536" s="39" t="n">
        <f aca="false">Resumo!$B$12*CEILING(I1536,1)</f>
        <v>1.8</v>
      </c>
      <c r="AA1536" s="39" t="n">
        <f aca="false">Resumo!$B$13*CEILING(I1536,1)</f>
        <v>13.5</v>
      </c>
      <c r="AB1536" s="39" t="n">
        <f aca="false">SUM(U1536:AA1536)</f>
        <v>122.72997</v>
      </c>
      <c r="AC1536" s="39" t="n">
        <f aca="false">AB1536/(1-Resumo!$B$5)</f>
        <v>139.465875</v>
      </c>
      <c r="AD1536" s="39" t="n">
        <f aca="false">(AB1536-AA1536)/(1-Resumo!$B$5)</f>
        <v>124.124965909091</v>
      </c>
      <c r="AE1536" s="39" t="n">
        <f aca="false">AC1536-T1536</f>
        <v>37.9221729545454</v>
      </c>
      <c r="AF1536" s="40" t="n">
        <f aca="false">AC1536/T1536-1</f>
        <v>0.37345667127214</v>
      </c>
      <c r="AG1536" s="37" t="str">
        <f aca="false">IF(AC1536&lt;T1536,"SIM","NÃO")</f>
        <v>NÃO</v>
      </c>
      <c r="AH1536" s="37" t="n">
        <v>10</v>
      </c>
      <c r="AI1536" s="37" t="n">
        <v>7</v>
      </c>
      <c r="AJ1536" s="37" t="s">
        <v>323</v>
      </c>
    </row>
    <row r="1537" customFormat="false" ht="15" hidden="false" customHeight="false" outlineLevel="0" collapsed="false">
      <c r="A1537" s="37" t="n">
        <v>387693273</v>
      </c>
      <c r="B1537" s="38" t="n">
        <v>46267.7950462963</v>
      </c>
      <c r="C1537" s="37" t="s">
        <v>320</v>
      </c>
      <c r="D1537" s="37" t="s">
        <v>1734</v>
      </c>
      <c r="E1537" s="37" t="n">
        <v>28899401</v>
      </c>
      <c r="F1537" s="37" t="s">
        <v>158</v>
      </c>
      <c r="G1537" s="37" t="s">
        <v>201</v>
      </c>
      <c r="H1537" s="37" t="s">
        <v>172</v>
      </c>
      <c r="I1537" s="37" t="n">
        <v>69</v>
      </c>
      <c r="J1537" s="39" t="n">
        <v>709.89</v>
      </c>
      <c r="K1537" s="37" t="s">
        <v>322</v>
      </c>
      <c r="L1537" s="39" t="n">
        <v>155.42</v>
      </c>
      <c r="M1537" s="39" t="n">
        <v>113.9</v>
      </c>
      <c r="N1537" s="39" t="n">
        <f aca="false">J1537*Resumo!$C$7</f>
        <v>1.41978</v>
      </c>
      <c r="O1537" s="39" t="n">
        <f aca="false">J1537*Resumo!$C$8</f>
        <v>1.41978</v>
      </c>
      <c r="P1537" s="39" t="n">
        <f aca="false">Resumo!$C$10*CEILING(I1537/100,1)</f>
        <v>1</v>
      </c>
      <c r="Q1537" s="39" t="n">
        <f aca="false">Resumo!$C$9</f>
        <v>11.9</v>
      </c>
      <c r="R1537" s="39" t="n">
        <f aca="false">SUM(M1537:Q1537)*Resumo!$C$11</f>
        <v>7.1301758</v>
      </c>
      <c r="S1537" s="39" t="n">
        <f aca="false">SUM(M1537:R1537)</f>
        <v>136.7697358</v>
      </c>
      <c r="T1537" s="39" t="n">
        <f aca="false">S1537/(1-Resumo!$C$5)</f>
        <v>155.420154318182</v>
      </c>
      <c r="U1537" s="39" t="n">
        <v>166.05</v>
      </c>
      <c r="V1537" s="39" t="n">
        <f aca="false">J1537*Resumo!$B$6</f>
        <v>0.70989</v>
      </c>
      <c r="W1537" s="39" t="n">
        <f aca="false">J1537*Resumo!$B$7</f>
        <v>1.41978</v>
      </c>
      <c r="X1537" s="39" t="n">
        <f aca="false">Resumo!$B$9</f>
        <v>1</v>
      </c>
      <c r="Y1537" s="39" t="n">
        <f aca="false">Resumo!$B$10*CEILING(I1537/100,1)</f>
        <v>4.5</v>
      </c>
      <c r="Z1537" s="39" t="n">
        <f aca="false">Resumo!$B$12*CEILING(I1537,1)</f>
        <v>4.14</v>
      </c>
      <c r="AA1537" s="39" t="n">
        <f aca="false">Resumo!$B$13*CEILING(I1537,1)</f>
        <v>31.05</v>
      </c>
      <c r="AB1537" s="39" t="n">
        <f aca="false">SUM(U1537:AA1537)</f>
        <v>208.86967</v>
      </c>
      <c r="AC1537" s="39" t="n">
        <f aca="false">AB1537/(1-Resumo!$B$5)</f>
        <v>237.351897727273</v>
      </c>
      <c r="AD1537" s="39" t="n">
        <f aca="false">(AB1537-AA1537)/(1-Resumo!$B$5)</f>
        <v>202.067806818182</v>
      </c>
      <c r="AE1537" s="39" t="n">
        <f aca="false">AC1537-T1537</f>
        <v>81.9317434090909</v>
      </c>
      <c r="AF1537" s="40" t="n">
        <f aca="false">AC1537/T1537-1</f>
        <v>0.527162926639213</v>
      </c>
      <c r="AG1537" s="37" t="str">
        <f aca="false">IF(AC1537&lt;T1537,"SIM","NÃO")</f>
        <v>NÃO</v>
      </c>
      <c r="AH1537" s="37" t="n">
        <v>13</v>
      </c>
      <c r="AI1537" s="37" t="n">
        <v>10</v>
      </c>
      <c r="AJ1537" s="37" t="s">
        <v>323</v>
      </c>
    </row>
    <row r="1538" customFormat="false" ht="15" hidden="false" customHeight="false" outlineLevel="0" collapsed="false">
      <c r="A1538" s="37" t="n">
        <v>387733956</v>
      </c>
      <c r="B1538" s="38" t="n">
        <v>46267.8742592593</v>
      </c>
      <c r="C1538" s="37" t="s">
        <v>320</v>
      </c>
      <c r="D1538" s="37" t="s">
        <v>1735</v>
      </c>
      <c r="E1538" s="37" t="n">
        <v>25570681</v>
      </c>
      <c r="F1538" s="37" t="s">
        <v>147</v>
      </c>
      <c r="G1538" s="37" t="s">
        <v>207</v>
      </c>
      <c r="H1538" s="37" t="s">
        <v>170</v>
      </c>
      <c r="I1538" s="37" t="n">
        <v>46.8</v>
      </c>
      <c r="J1538" s="39" t="n">
        <v>559.99</v>
      </c>
      <c r="K1538" s="37" t="s">
        <v>322</v>
      </c>
      <c r="L1538" s="39" t="n">
        <v>116.76</v>
      </c>
      <c r="M1538" s="39" t="n">
        <v>82.25</v>
      </c>
      <c r="N1538" s="39" t="n">
        <f aca="false">J1538*Resumo!$C$7</f>
        <v>1.11998</v>
      </c>
      <c r="O1538" s="39" t="n">
        <f aca="false">J1538*Resumo!$C$8</f>
        <v>1.11998</v>
      </c>
      <c r="P1538" s="39" t="n">
        <f aca="false">Resumo!$C$10*CEILING(I1538/100,1)</f>
        <v>1</v>
      </c>
      <c r="Q1538" s="39" t="n">
        <f aca="false">Resumo!$C$9</f>
        <v>11.9</v>
      </c>
      <c r="R1538" s="39" t="n">
        <f aca="false">SUM(M1538:Q1538)*Resumo!$C$11</f>
        <v>5.3564478</v>
      </c>
      <c r="S1538" s="39" t="n">
        <f aca="false">SUM(M1538:R1538)</f>
        <v>102.7464078</v>
      </c>
      <c r="T1538" s="39" t="n">
        <f aca="false">S1538/(1-Resumo!$C$5)</f>
        <v>116.757281590909</v>
      </c>
      <c r="U1538" s="39" t="n">
        <v>93.97</v>
      </c>
      <c r="V1538" s="39" t="n">
        <f aca="false">J1538*Resumo!$B$6</f>
        <v>0.55999</v>
      </c>
      <c r="W1538" s="39" t="n">
        <f aca="false">J1538*Resumo!$B$7</f>
        <v>1.11998</v>
      </c>
      <c r="X1538" s="39" t="n">
        <f aca="false">Resumo!$B$9</f>
        <v>1</v>
      </c>
      <c r="Y1538" s="39" t="n">
        <f aca="false">Resumo!$B$10*CEILING(I1538/100,1)</f>
        <v>4.5</v>
      </c>
      <c r="Z1538" s="39" t="n">
        <f aca="false">Resumo!$B$12*CEILING(I1538,1)</f>
        <v>2.82</v>
      </c>
      <c r="AA1538" s="39" t="n">
        <f aca="false">Resumo!$B$13*CEILING(I1538,1)</f>
        <v>21.15</v>
      </c>
      <c r="AB1538" s="39" t="n">
        <f aca="false">SUM(U1538:AA1538)</f>
        <v>125.11997</v>
      </c>
      <c r="AC1538" s="39" t="n">
        <f aca="false">AB1538/(1-Resumo!$B$5)</f>
        <v>142.181784090909</v>
      </c>
      <c r="AD1538" s="39" t="n">
        <f aca="false">(AB1538-AA1538)/(1-Resumo!$B$5)</f>
        <v>118.147693181818</v>
      </c>
      <c r="AE1538" s="39" t="n">
        <f aca="false">AC1538-T1538</f>
        <v>25.4245025</v>
      </c>
      <c r="AF1538" s="40" t="n">
        <f aca="false">AC1538/T1538-1</f>
        <v>0.217755176838406</v>
      </c>
      <c r="AG1538" s="37" t="str">
        <f aca="false">IF(AC1538&lt;T1538,"SIM","NÃO")</f>
        <v>NÃO</v>
      </c>
      <c r="AH1538" s="37" t="n">
        <v>10</v>
      </c>
      <c r="AI1538" s="37" t="n">
        <v>5</v>
      </c>
      <c r="AJ1538" s="37" t="s">
        <v>323</v>
      </c>
    </row>
    <row r="1539" customFormat="false" ht="15" hidden="false" customHeight="false" outlineLevel="0" collapsed="false">
      <c r="A1539" s="37" t="n">
        <v>387745205</v>
      </c>
      <c r="B1539" s="38" t="n">
        <v>46267.875775463</v>
      </c>
      <c r="C1539" s="37" t="s">
        <v>517</v>
      </c>
      <c r="D1539" s="37" t="s">
        <v>1736</v>
      </c>
      <c r="E1539" s="37" t="n">
        <v>22245100</v>
      </c>
      <c r="F1539" s="37" t="s">
        <v>139</v>
      </c>
      <c r="G1539" s="37" t="s">
        <v>198</v>
      </c>
      <c r="H1539" s="37" t="s">
        <v>167</v>
      </c>
      <c r="I1539" s="37" t="n">
        <v>15.9</v>
      </c>
      <c r="J1539" s="39" t="n">
        <v>239.99</v>
      </c>
      <c r="K1539" s="37" t="s">
        <v>322</v>
      </c>
      <c r="L1539" s="39" t="n">
        <v>64.36</v>
      </c>
      <c r="M1539" s="39" t="n">
        <v>39.83</v>
      </c>
      <c r="N1539" s="39" t="n">
        <f aca="false">J1539*Resumo!$C$7</f>
        <v>0.47998</v>
      </c>
      <c r="O1539" s="39" t="n">
        <f aca="false">J1539*Resumo!$C$8</f>
        <v>0.47998</v>
      </c>
      <c r="P1539" s="39" t="n">
        <f aca="false">Resumo!$C$10*CEILING(I1539/100,1)</f>
        <v>1</v>
      </c>
      <c r="Q1539" s="39" t="n">
        <f aca="false">Resumo!$C$9</f>
        <v>11.9</v>
      </c>
      <c r="R1539" s="39" t="n">
        <f aca="false">SUM(M1539:Q1539)*Resumo!$C$11</f>
        <v>2.9529478</v>
      </c>
      <c r="S1539" s="39" t="n">
        <f aca="false">SUM(M1539:R1539)</f>
        <v>56.6429078</v>
      </c>
      <c r="T1539" s="39" t="n">
        <f aca="false">S1539/(1-Resumo!$C$5)</f>
        <v>64.3669406818182</v>
      </c>
      <c r="U1539" s="39" t="n">
        <v>46.98</v>
      </c>
      <c r="V1539" s="39" t="n">
        <f aca="false">J1539*Resumo!$B$6</f>
        <v>0.23999</v>
      </c>
      <c r="W1539" s="39" t="n">
        <f aca="false">J1539*Resumo!$B$7</f>
        <v>0.47998</v>
      </c>
      <c r="X1539" s="39" t="n">
        <f aca="false">Resumo!$B$9</f>
        <v>1</v>
      </c>
      <c r="Y1539" s="39" t="n">
        <f aca="false">Resumo!$B$10*CEILING(I1539/100,1)</f>
        <v>4.5</v>
      </c>
      <c r="Z1539" s="39" t="n">
        <f aca="false">Resumo!$B$12*CEILING(I1539,1)</f>
        <v>0.96</v>
      </c>
      <c r="AA1539" s="39" t="n">
        <f aca="false">Resumo!$B$13*CEILING(I1539,1)</f>
        <v>7.2</v>
      </c>
      <c r="AB1539" s="39" t="n">
        <f aca="false">SUM(U1539:AA1539)</f>
        <v>61.35997</v>
      </c>
      <c r="AC1539" s="39" t="n">
        <f aca="false">AB1539/(1-Resumo!$B$5)</f>
        <v>69.7272386363636</v>
      </c>
      <c r="AD1539" s="39" t="n">
        <f aca="false">(AB1539-AA1539)/(1-Resumo!$B$5)</f>
        <v>61.5454204545455</v>
      </c>
      <c r="AE1539" s="39" t="n">
        <f aca="false">AC1539-T1539</f>
        <v>5.36029795454546</v>
      </c>
      <c r="AF1539" s="40" t="n">
        <f aca="false">AC1539/T1539-1</f>
        <v>0.0832771900880414</v>
      </c>
      <c r="AG1539" s="37" t="str">
        <f aca="false">IF(AC1539&lt;T1539,"SIM","NÃO")</f>
        <v>NÃO</v>
      </c>
      <c r="AH1539" s="37" t="n">
        <v>8</v>
      </c>
      <c r="AI1539" s="37" t="n">
        <v>5</v>
      </c>
      <c r="AJ1539" s="37" t="s">
        <v>323</v>
      </c>
    </row>
    <row r="1540" customFormat="false" ht="15" hidden="false" customHeight="false" outlineLevel="0" collapsed="false">
      <c r="A1540" s="37" t="n">
        <v>387758322</v>
      </c>
      <c r="B1540" s="38" t="n">
        <v>46267.9180787037</v>
      </c>
      <c r="C1540" s="37" t="s">
        <v>320</v>
      </c>
      <c r="D1540" s="37" t="s">
        <v>1737</v>
      </c>
      <c r="E1540" s="37" t="n">
        <v>26294312</v>
      </c>
      <c r="F1540" s="37" t="s">
        <v>142</v>
      </c>
      <c r="G1540" s="37" t="s">
        <v>207</v>
      </c>
      <c r="H1540" s="37" t="s">
        <v>168</v>
      </c>
      <c r="I1540" s="37" t="n">
        <v>33.3</v>
      </c>
      <c r="J1540" s="39" t="n">
        <v>389.99</v>
      </c>
      <c r="K1540" s="37" t="s">
        <v>322</v>
      </c>
      <c r="L1540" s="39" t="n">
        <v>101.26</v>
      </c>
      <c r="M1540" s="39" t="n">
        <v>70</v>
      </c>
      <c r="N1540" s="39" t="n">
        <f aca="false">J1540*Resumo!$C$7</f>
        <v>0.77998</v>
      </c>
      <c r="O1540" s="39" t="n">
        <f aca="false">J1540*Resumo!$C$8</f>
        <v>0.77998</v>
      </c>
      <c r="P1540" s="39" t="n">
        <f aca="false">Resumo!$C$10*CEILING(I1540/100,1)</f>
        <v>1</v>
      </c>
      <c r="Q1540" s="39" t="n">
        <f aca="false">Resumo!$C$9</f>
        <v>11.9</v>
      </c>
      <c r="R1540" s="39" t="n">
        <f aca="false">SUM(M1540:Q1540)*Resumo!$C$11</f>
        <v>4.6452978</v>
      </c>
      <c r="S1540" s="39" t="n">
        <f aca="false">SUM(M1540:R1540)</f>
        <v>89.1052578</v>
      </c>
      <c r="T1540" s="39" t="n">
        <f aca="false">S1540/(1-Resumo!$C$5)</f>
        <v>101.255974772727</v>
      </c>
      <c r="U1540" s="39" t="n">
        <v>82.21</v>
      </c>
      <c r="V1540" s="39" t="n">
        <f aca="false">J1540*Resumo!$B$6</f>
        <v>0.38999</v>
      </c>
      <c r="W1540" s="39" t="n">
        <f aca="false">J1540*Resumo!$B$7</f>
        <v>0.77998</v>
      </c>
      <c r="X1540" s="39" t="n">
        <f aca="false">Resumo!$B$9</f>
        <v>1</v>
      </c>
      <c r="Y1540" s="39" t="n">
        <f aca="false">Resumo!$B$10*CEILING(I1540/100,1)</f>
        <v>4.5</v>
      </c>
      <c r="Z1540" s="39" t="n">
        <f aca="false">Resumo!$B$12*CEILING(I1540,1)</f>
        <v>2.04</v>
      </c>
      <c r="AA1540" s="39" t="n">
        <f aca="false">Resumo!$B$13*CEILING(I1540,1)</f>
        <v>15.3</v>
      </c>
      <c r="AB1540" s="39" t="n">
        <f aca="false">SUM(U1540:AA1540)</f>
        <v>106.21997</v>
      </c>
      <c r="AC1540" s="39" t="n">
        <f aca="false">AB1540/(1-Resumo!$B$5)</f>
        <v>120.704511363636</v>
      </c>
      <c r="AD1540" s="39" t="n">
        <f aca="false">(AB1540-AA1540)/(1-Resumo!$B$5)</f>
        <v>103.318147727273</v>
      </c>
      <c r="AE1540" s="39" t="n">
        <f aca="false">AC1540-T1540</f>
        <v>19.4485365909091</v>
      </c>
      <c r="AF1540" s="40" t="n">
        <f aca="false">AC1540/T1540-1</f>
        <v>0.19207297776316</v>
      </c>
      <c r="AG1540" s="37" t="str">
        <f aca="false">IF(AC1540&lt;T1540,"SIM","NÃO")</f>
        <v>NÃO</v>
      </c>
      <c r="AH1540" s="37" t="n">
        <v>10</v>
      </c>
      <c r="AI1540" s="37" t="n">
        <v>5</v>
      </c>
      <c r="AJ1540" s="37" t="s">
        <v>323</v>
      </c>
    </row>
    <row r="1541" customFormat="false" ht="15" hidden="false" customHeight="false" outlineLevel="0" collapsed="false">
      <c r="A1541" s="37" t="n">
        <v>387763575</v>
      </c>
      <c r="B1541" s="38" t="n">
        <v>46267.9268518519</v>
      </c>
      <c r="C1541" s="37" t="s">
        <v>320</v>
      </c>
      <c r="D1541" s="37" t="s">
        <v>1738</v>
      </c>
      <c r="E1541" s="37" t="n">
        <v>21615310</v>
      </c>
      <c r="F1541" s="37" t="s">
        <v>139</v>
      </c>
      <c r="G1541" s="37" t="s">
        <v>198</v>
      </c>
      <c r="H1541" s="37" t="s">
        <v>168</v>
      </c>
      <c r="I1541" s="37" t="n">
        <v>21.1</v>
      </c>
      <c r="J1541" s="39" t="n">
        <v>599.99</v>
      </c>
      <c r="K1541" s="37" t="s">
        <v>322</v>
      </c>
      <c r="L1541" s="39" t="n">
        <v>83.2</v>
      </c>
      <c r="M1541" s="39" t="n">
        <v>54.1</v>
      </c>
      <c r="N1541" s="39" t="n">
        <f aca="false">J1541*Resumo!$C$7</f>
        <v>1.19998</v>
      </c>
      <c r="O1541" s="39" t="n">
        <f aca="false">J1541*Resumo!$C$8</f>
        <v>1.19998</v>
      </c>
      <c r="P1541" s="39" t="n">
        <f aca="false">Resumo!$C$10*CEILING(I1541/100,1)</f>
        <v>1</v>
      </c>
      <c r="Q1541" s="39" t="n">
        <f aca="false">Resumo!$C$9</f>
        <v>11.9</v>
      </c>
      <c r="R1541" s="39" t="n">
        <f aca="false">SUM(M1541:Q1541)*Resumo!$C$11</f>
        <v>3.8169978</v>
      </c>
      <c r="S1541" s="39" t="n">
        <f aca="false">SUM(M1541:R1541)</f>
        <v>73.2169578</v>
      </c>
      <c r="T1541" s="39" t="n">
        <f aca="false">S1541/(1-Resumo!$C$5)</f>
        <v>83.2010884090909</v>
      </c>
      <c r="U1541" s="39" t="n">
        <v>82.21</v>
      </c>
      <c r="V1541" s="39" t="n">
        <f aca="false">J1541*Resumo!$B$6</f>
        <v>0.59999</v>
      </c>
      <c r="W1541" s="39" t="n">
        <f aca="false">J1541*Resumo!$B$7</f>
        <v>1.19998</v>
      </c>
      <c r="X1541" s="39" t="n">
        <f aca="false">Resumo!$B$9</f>
        <v>1</v>
      </c>
      <c r="Y1541" s="39" t="n">
        <f aca="false">Resumo!$B$10*CEILING(I1541/100,1)</f>
        <v>4.5</v>
      </c>
      <c r="Z1541" s="39" t="n">
        <f aca="false">Resumo!$B$12*CEILING(I1541,1)</f>
        <v>1.32</v>
      </c>
      <c r="AA1541" s="39" t="n">
        <f aca="false">Resumo!$B$13*CEILING(I1541,1)</f>
        <v>9.9</v>
      </c>
      <c r="AB1541" s="39" t="n">
        <f aca="false">SUM(U1541:AA1541)</f>
        <v>100.72997</v>
      </c>
      <c r="AC1541" s="39" t="n">
        <f aca="false">AB1541/(1-Resumo!$B$5)</f>
        <v>114.465875</v>
      </c>
      <c r="AD1541" s="39" t="n">
        <f aca="false">(AB1541-AA1541)/(1-Resumo!$B$5)</f>
        <v>103.215875</v>
      </c>
      <c r="AE1541" s="39" t="n">
        <f aca="false">AC1541-T1541</f>
        <v>31.2647865909091</v>
      </c>
      <c r="AF1541" s="40" t="n">
        <f aca="false">AC1541/T1541-1</f>
        <v>0.37577376917455</v>
      </c>
      <c r="AG1541" s="37" t="str">
        <f aca="false">IF(AC1541&lt;T1541,"SIM","NÃO")</f>
        <v>NÃO</v>
      </c>
      <c r="AH1541" s="37" t="n">
        <v>8</v>
      </c>
      <c r="AI1541" s="37" t="n">
        <v>5</v>
      </c>
      <c r="AJ1541" s="37" t="s">
        <v>323</v>
      </c>
    </row>
    <row r="1542" customFormat="false" ht="15" hidden="false" customHeight="false" outlineLevel="0" collapsed="false">
      <c r="A1542" s="37" t="n">
        <v>387774790</v>
      </c>
      <c r="B1542" s="38" t="n">
        <v>46267.9458796296</v>
      </c>
      <c r="C1542" s="37" t="s">
        <v>320</v>
      </c>
      <c r="D1542" s="37" t="s">
        <v>1739</v>
      </c>
      <c r="E1542" s="37" t="n">
        <v>28633630</v>
      </c>
      <c r="F1542" s="37" t="s">
        <v>157</v>
      </c>
      <c r="G1542" s="37" t="s">
        <v>201</v>
      </c>
      <c r="H1542" s="37" t="s">
        <v>168</v>
      </c>
      <c r="I1542" s="37" t="n">
        <v>31.9</v>
      </c>
      <c r="J1542" s="39" t="n">
        <v>599.99</v>
      </c>
      <c r="K1542" s="37" t="s">
        <v>322</v>
      </c>
      <c r="L1542" s="39" t="n">
        <v>110.06</v>
      </c>
      <c r="M1542" s="39" t="n">
        <v>76.5</v>
      </c>
      <c r="N1542" s="39" t="n">
        <f aca="false">J1542*Resumo!$C$7</f>
        <v>1.19998</v>
      </c>
      <c r="O1542" s="39" t="n">
        <f aca="false">J1542*Resumo!$C$8</f>
        <v>1.19998</v>
      </c>
      <c r="P1542" s="39" t="n">
        <f aca="false">Resumo!$C$10*CEILING(I1542/100,1)</f>
        <v>1</v>
      </c>
      <c r="Q1542" s="39" t="n">
        <f aca="false">Resumo!$C$9</f>
        <v>11.9</v>
      </c>
      <c r="R1542" s="39" t="n">
        <f aca="false">SUM(M1542:Q1542)*Resumo!$C$11</f>
        <v>5.0489978</v>
      </c>
      <c r="S1542" s="39" t="n">
        <f aca="false">SUM(M1542:R1542)</f>
        <v>96.8489578</v>
      </c>
      <c r="T1542" s="39" t="n">
        <f aca="false">S1542/(1-Resumo!$C$5)</f>
        <v>110.055633863636</v>
      </c>
      <c r="U1542" s="39" t="n">
        <v>120.78</v>
      </c>
      <c r="V1542" s="39" t="n">
        <f aca="false">J1542*Resumo!$B$6</f>
        <v>0.59999</v>
      </c>
      <c r="W1542" s="39" t="n">
        <f aca="false">J1542*Resumo!$B$7</f>
        <v>1.19998</v>
      </c>
      <c r="X1542" s="39" t="n">
        <f aca="false">Resumo!$B$9</f>
        <v>1</v>
      </c>
      <c r="Y1542" s="39" t="n">
        <f aca="false">Resumo!$B$10*CEILING(I1542/100,1)</f>
        <v>4.5</v>
      </c>
      <c r="Z1542" s="39" t="n">
        <f aca="false">Resumo!$B$12*CEILING(I1542,1)</f>
        <v>1.92</v>
      </c>
      <c r="AA1542" s="39" t="n">
        <f aca="false">Resumo!$B$13*CEILING(I1542,1)</f>
        <v>14.4</v>
      </c>
      <c r="AB1542" s="39" t="n">
        <f aca="false">SUM(U1542:AA1542)</f>
        <v>144.39997</v>
      </c>
      <c r="AC1542" s="39" t="n">
        <f aca="false">AB1542/(1-Resumo!$B$5)</f>
        <v>164.090875</v>
      </c>
      <c r="AD1542" s="39" t="n">
        <f aca="false">(AB1542-AA1542)/(1-Resumo!$B$5)</f>
        <v>147.727238636364</v>
      </c>
      <c r="AE1542" s="39" t="n">
        <f aca="false">AC1542-T1542</f>
        <v>54.0352411363636</v>
      </c>
      <c r="AF1542" s="40" t="n">
        <f aca="false">AC1542/T1542-1</f>
        <v>0.490981145075368</v>
      </c>
      <c r="AG1542" s="37" t="str">
        <f aca="false">IF(AC1542&lt;T1542,"SIM","NÃO")</f>
        <v>NÃO</v>
      </c>
      <c r="AH1542" s="37" t="n">
        <v>13</v>
      </c>
      <c r="AI1542" s="37" t="n">
        <v>10</v>
      </c>
      <c r="AJ1542" s="37" t="s">
        <v>323</v>
      </c>
    </row>
    <row r="1543" customFormat="false" ht="15" hidden="false" customHeight="false" outlineLevel="0" collapsed="false">
      <c r="A1543" s="37" t="n">
        <v>387778300</v>
      </c>
      <c r="B1543" s="38" t="n">
        <v>46267.9532060185</v>
      </c>
      <c r="C1543" s="37" t="s">
        <v>320</v>
      </c>
      <c r="D1543" s="37" t="s">
        <v>1740</v>
      </c>
      <c r="E1543" s="37" t="n">
        <v>28499040</v>
      </c>
      <c r="F1543" s="37" t="s">
        <v>259</v>
      </c>
      <c r="G1543" s="37" t="s">
        <v>201</v>
      </c>
      <c r="H1543" s="37" t="s">
        <v>168</v>
      </c>
      <c r="I1543" s="37" t="n">
        <v>27.4</v>
      </c>
      <c r="J1543" s="39" t="n">
        <v>369.99</v>
      </c>
      <c r="K1543" s="37" t="s">
        <v>322</v>
      </c>
      <c r="L1543" s="39" t="n">
        <v>108.95</v>
      </c>
      <c r="M1543" s="39" t="n">
        <v>76.5</v>
      </c>
      <c r="N1543" s="39" t="n">
        <f aca="false">J1543*Resumo!$C$7</f>
        <v>0.73998</v>
      </c>
      <c r="O1543" s="39" t="n">
        <f aca="false">J1543*Resumo!$C$8</f>
        <v>0.73998</v>
      </c>
      <c r="P1543" s="39" t="n">
        <f aca="false">Resumo!$C$10*CEILING(I1543/100,1)</f>
        <v>1</v>
      </c>
      <c r="Q1543" s="39" t="n">
        <f aca="false">Resumo!$C$9</f>
        <v>11.9</v>
      </c>
      <c r="R1543" s="39" t="n">
        <f aca="false">SUM(M1543:Q1543)*Resumo!$C$11</f>
        <v>4.9983978</v>
      </c>
      <c r="S1543" s="39" t="n">
        <f aca="false">SUM(M1543:R1543)</f>
        <v>95.8783578</v>
      </c>
      <c r="T1543" s="39" t="n">
        <f aca="false">S1543/(1-Resumo!$C$5)</f>
        <v>108.952679318182</v>
      </c>
      <c r="U1543" s="39" t="n">
        <v>138.29</v>
      </c>
      <c r="V1543" s="39" t="n">
        <f aca="false">J1543*Resumo!$B$6</f>
        <v>0.36999</v>
      </c>
      <c r="W1543" s="39" t="n">
        <f aca="false">J1543*Resumo!$B$7</f>
        <v>0.73998</v>
      </c>
      <c r="X1543" s="39" t="n">
        <f aca="false">Resumo!$B$9</f>
        <v>1</v>
      </c>
      <c r="Y1543" s="39" t="n">
        <f aca="false">Resumo!$B$10*CEILING(I1543/100,1)</f>
        <v>4.5</v>
      </c>
      <c r="Z1543" s="39" t="n">
        <f aca="false">Resumo!$B$12*CEILING(I1543,1)</f>
        <v>1.68</v>
      </c>
      <c r="AA1543" s="39" t="n">
        <f aca="false">Resumo!$B$13*CEILING(I1543,1)</f>
        <v>12.6</v>
      </c>
      <c r="AB1543" s="39" t="n">
        <f aca="false">SUM(U1543:AA1543)</f>
        <v>159.17997</v>
      </c>
      <c r="AC1543" s="39" t="n">
        <f aca="false">AB1543/(1-Resumo!$B$5)</f>
        <v>180.886329545455</v>
      </c>
      <c r="AD1543" s="39" t="n">
        <f aca="false">(AB1543-AA1543)/(1-Resumo!$B$5)</f>
        <v>166.568147727273</v>
      </c>
      <c r="AE1543" s="39" t="n">
        <f aca="false">AC1543-T1543</f>
        <v>71.9336502272727</v>
      </c>
      <c r="AF1543" s="40" t="n">
        <f aca="false">AC1543/T1543-1</f>
        <v>0.66022837324817</v>
      </c>
      <c r="AG1543" s="37" t="str">
        <f aca="false">IF(AC1543&lt;T1543,"SIM","NÃO")</f>
        <v>NÃO</v>
      </c>
      <c r="AH1543" s="37" t="n">
        <v>13</v>
      </c>
      <c r="AI1543" s="37" t="n">
        <v>11</v>
      </c>
      <c r="AJ1543" s="37" t="s">
        <v>327</v>
      </c>
    </row>
    <row r="1544" customFormat="false" ht="15" hidden="false" customHeight="false" outlineLevel="0" collapsed="false">
      <c r="A1544" s="37" t="n">
        <v>387778874</v>
      </c>
      <c r="B1544" s="38" t="n">
        <v>46267.9546180556</v>
      </c>
      <c r="C1544" s="37" t="s">
        <v>320</v>
      </c>
      <c r="D1544" s="37" t="s">
        <v>711</v>
      </c>
      <c r="E1544" s="37" t="n">
        <v>24452005</v>
      </c>
      <c r="F1544" s="37" t="s">
        <v>140</v>
      </c>
      <c r="G1544" s="37" t="s">
        <v>207</v>
      </c>
      <c r="H1544" s="37" t="s">
        <v>169</v>
      </c>
      <c r="I1544" s="37" t="n">
        <v>35.4</v>
      </c>
      <c r="J1544" s="39" t="n">
        <v>539.99</v>
      </c>
      <c r="K1544" s="37" t="s">
        <v>322</v>
      </c>
      <c r="L1544" s="39" t="n">
        <v>113.55</v>
      </c>
      <c r="M1544" s="39" t="n">
        <v>79.65</v>
      </c>
      <c r="N1544" s="39" t="n">
        <f aca="false">J1544*Resumo!$C$7</f>
        <v>1.07998</v>
      </c>
      <c r="O1544" s="39" t="n">
        <f aca="false">J1544*Resumo!$C$8</f>
        <v>1.07998</v>
      </c>
      <c r="P1544" s="39" t="n">
        <f aca="false">Resumo!$C$10*CEILING(I1544/100,1)</f>
        <v>1</v>
      </c>
      <c r="Q1544" s="39" t="n">
        <f aca="false">Resumo!$C$9</f>
        <v>11.9</v>
      </c>
      <c r="R1544" s="39" t="n">
        <f aca="false">SUM(M1544:Q1544)*Resumo!$C$11</f>
        <v>5.2090478</v>
      </c>
      <c r="S1544" s="39" t="n">
        <f aca="false">SUM(M1544:R1544)</f>
        <v>99.9190078</v>
      </c>
      <c r="T1544" s="39" t="n">
        <f aca="false">S1544/(1-Resumo!$C$5)</f>
        <v>113.544327045455</v>
      </c>
      <c r="U1544" s="39" t="n">
        <v>114.95</v>
      </c>
      <c r="V1544" s="39" t="n">
        <f aca="false">J1544*Resumo!$B$6</f>
        <v>0.53999</v>
      </c>
      <c r="W1544" s="39" t="n">
        <f aca="false">J1544*Resumo!$B$7</f>
        <v>1.07998</v>
      </c>
      <c r="X1544" s="39" t="n">
        <f aca="false">Resumo!$B$9</f>
        <v>1</v>
      </c>
      <c r="Y1544" s="39" t="n">
        <f aca="false">Resumo!$B$10*CEILING(I1544/100,1)</f>
        <v>4.5</v>
      </c>
      <c r="Z1544" s="39" t="n">
        <f aca="false">Resumo!$B$12*CEILING(I1544,1)</f>
        <v>2.16</v>
      </c>
      <c r="AA1544" s="39" t="n">
        <f aca="false">Resumo!$B$13*CEILING(I1544,1)</f>
        <v>16.2</v>
      </c>
      <c r="AB1544" s="39" t="n">
        <f aca="false">SUM(U1544:AA1544)</f>
        <v>140.42997</v>
      </c>
      <c r="AC1544" s="39" t="n">
        <f aca="false">AB1544/(1-Resumo!$B$5)</f>
        <v>159.579511363636</v>
      </c>
      <c r="AD1544" s="39" t="n">
        <f aca="false">(AB1544-AA1544)/(1-Resumo!$B$5)</f>
        <v>141.170420454545</v>
      </c>
      <c r="AE1544" s="39" t="n">
        <f aca="false">AC1544-T1544</f>
        <v>46.0351843181818</v>
      </c>
      <c r="AF1544" s="40" t="n">
        <f aca="false">AC1544/T1544-1</f>
        <v>0.405437995151909</v>
      </c>
      <c r="AG1544" s="37" t="str">
        <f aca="false">IF(AC1544&lt;T1544,"SIM","NÃO")</f>
        <v>NÃO</v>
      </c>
      <c r="AH1544" s="37" t="n">
        <v>10</v>
      </c>
      <c r="AI1544" s="37" t="n">
        <v>7</v>
      </c>
      <c r="AJ1544" s="37" t="s">
        <v>323</v>
      </c>
    </row>
    <row r="1545" customFormat="false" ht="15" hidden="false" customHeight="false" outlineLevel="0" collapsed="false">
      <c r="A1545" s="37" t="n">
        <v>387790571</v>
      </c>
      <c r="B1545" s="38" t="n">
        <v>46267.9812268519</v>
      </c>
      <c r="C1545" s="37" t="s">
        <v>320</v>
      </c>
      <c r="D1545" s="37" t="s">
        <v>1741</v>
      </c>
      <c r="E1545" s="37" t="n">
        <v>22790693</v>
      </c>
      <c r="F1545" s="37" t="s">
        <v>139</v>
      </c>
      <c r="G1545" s="37" t="s">
        <v>198</v>
      </c>
      <c r="H1545" s="37" t="s">
        <v>169</v>
      </c>
      <c r="I1545" s="37" t="n">
        <v>37.6</v>
      </c>
      <c r="J1545" s="39" t="n">
        <v>391.9</v>
      </c>
      <c r="K1545" s="37" t="s">
        <v>322</v>
      </c>
      <c r="L1545" s="39" t="n">
        <v>91.73</v>
      </c>
      <c r="M1545" s="39" t="n">
        <v>62.05</v>
      </c>
      <c r="N1545" s="39" t="n">
        <f aca="false">J1545*Resumo!$C$7</f>
        <v>0.7838</v>
      </c>
      <c r="O1545" s="39" t="n">
        <f aca="false">J1545*Resumo!$C$8</f>
        <v>0.7838</v>
      </c>
      <c r="P1545" s="39" t="n">
        <f aca="false">Resumo!$C$10*CEILING(I1545/100,1)</f>
        <v>1</v>
      </c>
      <c r="Q1545" s="39" t="n">
        <f aca="false">Resumo!$C$9</f>
        <v>11.9</v>
      </c>
      <c r="R1545" s="39" t="n">
        <f aca="false">SUM(M1545:Q1545)*Resumo!$C$11</f>
        <v>4.208468</v>
      </c>
      <c r="S1545" s="39" t="n">
        <f aca="false">SUM(M1545:R1545)</f>
        <v>80.726068</v>
      </c>
      <c r="T1545" s="39" t="n">
        <f aca="false">S1545/(1-Resumo!$C$5)</f>
        <v>91.7341681818182</v>
      </c>
      <c r="U1545" s="39" t="n">
        <v>93.97</v>
      </c>
      <c r="V1545" s="39" t="n">
        <f aca="false">J1545*Resumo!$B$6</f>
        <v>0.3919</v>
      </c>
      <c r="W1545" s="39" t="n">
        <f aca="false">J1545*Resumo!$B$7</f>
        <v>0.7838</v>
      </c>
      <c r="X1545" s="39" t="n">
        <f aca="false">Resumo!$B$9</f>
        <v>1</v>
      </c>
      <c r="Y1545" s="39" t="n">
        <f aca="false">Resumo!$B$10*CEILING(I1545/100,1)</f>
        <v>4.5</v>
      </c>
      <c r="Z1545" s="39" t="n">
        <f aca="false">Resumo!$B$12*CEILING(I1545,1)</f>
        <v>2.28</v>
      </c>
      <c r="AA1545" s="39" t="n">
        <f aca="false">Resumo!$B$13*CEILING(I1545,1)</f>
        <v>17.1</v>
      </c>
      <c r="AB1545" s="39" t="n">
        <f aca="false">SUM(U1545:AA1545)</f>
        <v>120.0257</v>
      </c>
      <c r="AC1545" s="39" t="n">
        <f aca="false">AB1545/(1-Resumo!$B$5)</f>
        <v>136.392840909091</v>
      </c>
      <c r="AD1545" s="39" t="n">
        <f aca="false">(AB1545-AA1545)/(1-Resumo!$B$5)</f>
        <v>116.961022727273</v>
      </c>
      <c r="AE1545" s="39" t="n">
        <f aca="false">AC1545-T1545</f>
        <v>44.6586727272727</v>
      </c>
      <c r="AF1545" s="40" t="n">
        <f aca="false">AC1545/T1545-1</f>
        <v>0.486827030891682</v>
      </c>
      <c r="AG1545" s="37" t="str">
        <f aca="false">IF(AC1545&lt;T1545,"SIM","NÃO")</f>
        <v>NÃO</v>
      </c>
      <c r="AH1545" s="37" t="n">
        <v>8</v>
      </c>
      <c r="AI1545" s="37" t="n">
        <v>5</v>
      </c>
      <c r="AJ1545" s="37" t="s">
        <v>323</v>
      </c>
    </row>
    <row r="1546" customFormat="false" ht="15" hidden="false" customHeight="false" outlineLevel="0" collapsed="false">
      <c r="A1546" s="37" t="n">
        <v>387813860</v>
      </c>
      <c r="B1546" s="38" t="n">
        <v>46268.0402662037</v>
      </c>
      <c r="C1546" s="37" t="s">
        <v>320</v>
      </c>
      <c r="D1546" s="37" t="s">
        <v>1742</v>
      </c>
      <c r="E1546" s="37" t="n">
        <v>25935330</v>
      </c>
      <c r="F1546" s="37" t="s">
        <v>156</v>
      </c>
      <c r="G1546" s="37" t="s">
        <v>201</v>
      </c>
      <c r="H1546" s="37" t="s">
        <v>168</v>
      </c>
      <c r="I1546" s="37" t="n">
        <v>20.9</v>
      </c>
      <c r="J1546" s="39" t="n">
        <v>440.99</v>
      </c>
      <c r="K1546" s="37" t="s">
        <v>322</v>
      </c>
      <c r="L1546" s="39" t="n">
        <v>109.28</v>
      </c>
      <c r="M1546" s="39" t="n">
        <v>76.5</v>
      </c>
      <c r="N1546" s="39" t="n">
        <f aca="false">J1546*Resumo!$C$7</f>
        <v>0.88198</v>
      </c>
      <c r="O1546" s="39" t="n">
        <f aca="false">J1546*Resumo!$C$8</f>
        <v>0.88198</v>
      </c>
      <c r="P1546" s="39" t="n">
        <f aca="false">Resumo!$C$10*CEILING(I1546/100,1)</f>
        <v>1</v>
      </c>
      <c r="Q1546" s="39" t="n">
        <f aca="false">Resumo!$C$9</f>
        <v>11.9</v>
      </c>
      <c r="R1546" s="39" t="n">
        <f aca="false">SUM(M1546:Q1546)*Resumo!$C$11</f>
        <v>5.0140178</v>
      </c>
      <c r="S1546" s="39" t="n">
        <f aca="false">SUM(M1546:R1546)</f>
        <v>96.1779778</v>
      </c>
      <c r="T1546" s="39" t="n">
        <f aca="false">S1546/(1-Resumo!$C$5)</f>
        <v>109.293156590909</v>
      </c>
      <c r="U1546" s="39" t="n">
        <v>103.28</v>
      </c>
      <c r="V1546" s="39" t="n">
        <f aca="false">J1546*Resumo!$B$6</f>
        <v>0.44099</v>
      </c>
      <c r="W1546" s="39" t="n">
        <f aca="false">J1546*Resumo!$B$7</f>
        <v>0.88198</v>
      </c>
      <c r="X1546" s="39" t="n">
        <f aca="false">Resumo!$B$9</f>
        <v>1</v>
      </c>
      <c r="Y1546" s="39" t="n">
        <f aca="false">Resumo!$B$10*CEILING(I1546/100,1)</f>
        <v>4.5</v>
      </c>
      <c r="Z1546" s="39" t="n">
        <f aca="false">Resumo!$B$12*CEILING(I1546,1)</f>
        <v>1.26</v>
      </c>
      <c r="AA1546" s="39" t="n">
        <f aca="false">Resumo!$B$13*CEILING(I1546,1)</f>
        <v>9.45</v>
      </c>
      <c r="AB1546" s="39" t="n">
        <f aca="false">SUM(U1546:AA1546)</f>
        <v>120.81297</v>
      </c>
      <c r="AC1546" s="39" t="n">
        <f aca="false">AB1546/(1-Resumo!$B$5)</f>
        <v>137.287465909091</v>
      </c>
      <c r="AD1546" s="39" t="n">
        <f aca="false">(AB1546-AA1546)/(1-Resumo!$B$5)</f>
        <v>126.548829545455</v>
      </c>
      <c r="AE1546" s="39" t="n">
        <f aca="false">AC1546-T1546</f>
        <v>27.9943093181818</v>
      </c>
      <c r="AF1546" s="40" t="n">
        <f aca="false">AC1546/T1546-1</f>
        <v>0.256139635741021</v>
      </c>
      <c r="AG1546" s="37" t="str">
        <f aca="false">IF(AC1546&lt;T1546,"SIM","NÃO")</f>
        <v>NÃO</v>
      </c>
      <c r="AH1546" s="37" t="n">
        <v>13</v>
      </c>
      <c r="AI1546" s="37" t="n">
        <v>6</v>
      </c>
      <c r="AJ1546" s="37" t="s">
        <v>323</v>
      </c>
    </row>
    <row r="1547" customFormat="false" ht="15" hidden="false" customHeight="false" outlineLevel="0" collapsed="false">
      <c r="A1547" s="37" t="n">
        <v>387823524</v>
      </c>
      <c r="B1547" s="38" t="n">
        <v>46268.0608912037</v>
      </c>
      <c r="C1547" s="37" t="s">
        <v>320</v>
      </c>
      <c r="D1547" s="37" t="s">
        <v>822</v>
      </c>
      <c r="E1547" s="37" t="n">
        <v>22620171</v>
      </c>
      <c r="F1547" s="37" t="s">
        <v>139</v>
      </c>
      <c r="G1547" s="37" t="s">
        <v>198</v>
      </c>
      <c r="H1547" s="37" t="s">
        <v>167</v>
      </c>
      <c r="I1547" s="37" t="n">
        <v>13.18</v>
      </c>
      <c r="J1547" s="39" t="n">
        <v>259.99</v>
      </c>
      <c r="K1547" s="37" t="s">
        <v>322</v>
      </c>
      <c r="L1547" s="39" t="n">
        <v>64.47</v>
      </c>
      <c r="M1547" s="39" t="n">
        <v>39.83</v>
      </c>
      <c r="N1547" s="39" t="n">
        <f aca="false">J1547*Resumo!$C$7</f>
        <v>0.51998</v>
      </c>
      <c r="O1547" s="39" t="n">
        <f aca="false">J1547*Resumo!$C$8</f>
        <v>0.51998</v>
      </c>
      <c r="P1547" s="39" t="n">
        <f aca="false">Resumo!$C$10*CEILING(I1547/100,1)</f>
        <v>1</v>
      </c>
      <c r="Q1547" s="39" t="n">
        <f aca="false">Resumo!$C$9</f>
        <v>11.9</v>
      </c>
      <c r="R1547" s="39" t="n">
        <f aca="false">SUM(M1547:Q1547)*Resumo!$C$11</f>
        <v>2.9573478</v>
      </c>
      <c r="S1547" s="39" t="n">
        <f aca="false">SUM(M1547:R1547)</f>
        <v>56.7273078</v>
      </c>
      <c r="T1547" s="39" t="n">
        <f aca="false">S1547/(1-Resumo!$C$5)</f>
        <v>64.4628497727273</v>
      </c>
      <c r="U1547" s="39" t="n">
        <v>46.98</v>
      </c>
      <c r="V1547" s="39" t="n">
        <f aca="false">J1547*Resumo!$B$6</f>
        <v>0.25999</v>
      </c>
      <c r="W1547" s="39" t="n">
        <f aca="false">J1547*Resumo!$B$7</f>
        <v>0.51998</v>
      </c>
      <c r="X1547" s="39" t="n">
        <f aca="false">Resumo!$B$9</f>
        <v>1</v>
      </c>
      <c r="Y1547" s="39" t="n">
        <f aca="false">Resumo!$B$10*CEILING(I1547/100,1)</f>
        <v>4.5</v>
      </c>
      <c r="Z1547" s="39" t="n">
        <f aca="false">Resumo!$B$12*CEILING(I1547,1)</f>
        <v>0.84</v>
      </c>
      <c r="AA1547" s="39" t="n">
        <f aca="false">Resumo!$B$13*CEILING(I1547,1)</f>
        <v>6.3</v>
      </c>
      <c r="AB1547" s="39" t="n">
        <f aca="false">SUM(U1547:AA1547)</f>
        <v>60.39997</v>
      </c>
      <c r="AC1547" s="39" t="n">
        <f aca="false">AB1547/(1-Resumo!$B$5)</f>
        <v>68.6363295454545</v>
      </c>
      <c r="AD1547" s="39" t="n">
        <f aca="false">(AB1547-AA1547)/(1-Resumo!$B$5)</f>
        <v>61.4772386363636</v>
      </c>
      <c r="AE1547" s="39" t="n">
        <f aca="false">AC1547-T1547</f>
        <v>4.17347977272728</v>
      </c>
      <c r="AF1547" s="40" t="n">
        <f aca="false">AC1547/T1547-1</f>
        <v>0.0647424025999697</v>
      </c>
      <c r="AG1547" s="37" t="str">
        <f aca="false">IF(AC1547&lt;T1547,"SIM","NÃO")</f>
        <v>NÃO</v>
      </c>
      <c r="AH1547" s="37" t="n">
        <v>8</v>
      </c>
      <c r="AI1547" s="37" t="n">
        <v>5</v>
      </c>
      <c r="AJ1547" s="37" t="s">
        <v>323</v>
      </c>
    </row>
    <row r="1548" customFormat="false" ht="15" hidden="false" customHeight="false" outlineLevel="0" collapsed="false">
      <c r="A1548" s="37" t="n">
        <v>387831409</v>
      </c>
      <c r="B1548" s="38" t="n">
        <v>46268.0809953704</v>
      </c>
      <c r="C1548" s="37" t="s">
        <v>320</v>
      </c>
      <c r="D1548" s="37" t="s">
        <v>1743</v>
      </c>
      <c r="E1548" s="37" t="n">
        <v>25815560</v>
      </c>
      <c r="F1548" s="37" t="s">
        <v>214</v>
      </c>
      <c r="G1548" s="37" t="s">
        <v>201</v>
      </c>
      <c r="H1548" s="37" t="s">
        <v>171</v>
      </c>
      <c r="I1548" s="37" t="n">
        <v>52.3</v>
      </c>
      <c r="J1548" s="39" t="n">
        <v>699.99</v>
      </c>
      <c r="K1548" s="37" t="s">
        <v>322</v>
      </c>
      <c r="L1548" s="39" t="n">
        <v>143.02</v>
      </c>
      <c r="M1548" s="39" t="n">
        <v>103.6</v>
      </c>
      <c r="N1548" s="39" t="n">
        <f aca="false">J1548*Resumo!$C$7</f>
        <v>1.39998</v>
      </c>
      <c r="O1548" s="39" t="n">
        <f aca="false">J1548*Resumo!$C$8</f>
        <v>1.39998</v>
      </c>
      <c r="P1548" s="39" t="n">
        <f aca="false">Resumo!$C$10*CEILING(I1548/100,1)</f>
        <v>1</v>
      </c>
      <c r="Q1548" s="39" t="n">
        <f aca="false">Resumo!$C$9</f>
        <v>11.9</v>
      </c>
      <c r="R1548" s="39" t="n">
        <f aca="false">SUM(M1548:Q1548)*Resumo!$C$11</f>
        <v>6.5614978</v>
      </c>
      <c r="S1548" s="39" t="n">
        <f aca="false">SUM(M1548:R1548)</f>
        <v>125.8614578</v>
      </c>
      <c r="T1548" s="39" t="n">
        <f aca="false">S1548/(1-Resumo!$C$5)</f>
        <v>143.024383863636</v>
      </c>
      <c r="U1548" s="39" t="n">
        <v>142.32</v>
      </c>
      <c r="V1548" s="39" t="n">
        <f aca="false">J1548*Resumo!$B$6</f>
        <v>0.69999</v>
      </c>
      <c r="W1548" s="39" t="n">
        <f aca="false">J1548*Resumo!$B$7</f>
        <v>1.39998</v>
      </c>
      <c r="X1548" s="39" t="n">
        <f aca="false">Resumo!$B$9</f>
        <v>1</v>
      </c>
      <c r="Y1548" s="39" t="n">
        <f aca="false">Resumo!$B$10*CEILING(I1548/100,1)</f>
        <v>4.5</v>
      </c>
      <c r="Z1548" s="39" t="n">
        <f aca="false">Resumo!$B$12*CEILING(I1548,1)</f>
        <v>3.18</v>
      </c>
      <c r="AA1548" s="39" t="n">
        <f aca="false">Resumo!$B$13*CEILING(I1548,1)</f>
        <v>23.85</v>
      </c>
      <c r="AB1548" s="39" t="n">
        <f aca="false">SUM(U1548:AA1548)</f>
        <v>176.94997</v>
      </c>
      <c r="AC1548" s="39" t="n">
        <f aca="false">AB1548/(1-Resumo!$B$5)</f>
        <v>201.079511363636</v>
      </c>
      <c r="AD1548" s="39" t="n">
        <f aca="false">(AB1548-AA1548)/(1-Resumo!$B$5)</f>
        <v>173.977238636364</v>
      </c>
      <c r="AE1548" s="39" t="n">
        <f aca="false">AC1548-T1548</f>
        <v>58.0551275</v>
      </c>
      <c r="AF1548" s="40" t="n">
        <f aca="false">AC1548/T1548-1</f>
        <v>0.405910698104118</v>
      </c>
      <c r="AG1548" s="37" t="str">
        <f aca="false">IF(AC1548&lt;T1548,"SIM","NÃO")</f>
        <v>NÃO</v>
      </c>
      <c r="AH1548" s="37" t="n">
        <v>13</v>
      </c>
      <c r="AI1548" s="37" t="n">
        <v>8</v>
      </c>
      <c r="AJ1548" s="37" t="s">
        <v>327</v>
      </c>
    </row>
    <row r="1549" customFormat="false" ht="15" hidden="false" customHeight="false" outlineLevel="0" collapsed="false">
      <c r="A1549" s="37" t="n">
        <v>387663437</v>
      </c>
      <c r="B1549" s="38" t="n">
        <v>46268.233287037</v>
      </c>
      <c r="C1549" s="37" t="s">
        <v>341</v>
      </c>
      <c r="D1549" s="37" t="s">
        <v>1744</v>
      </c>
      <c r="E1549" s="37" t="n">
        <v>21932220</v>
      </c>
      <c r="F1549" s="37" t="s">
        <v>139</v>
      </c>
      <c r="G1549" s="37" t="s">
        <v>198</v>
      </c>
      <c r="H1549" s="37" t="s">
        <v>171</v>
      </c>
      <c r="I1549" s="37" t="n">
        <v>58.6</v>
      </c>
      <c r="J1549" s="39" t="n">
        <v>756.49</v>
      </c>
      <c r="K1549" s="37" t="s">
        <v>322</v>
      </c>
      <c r="L1549" s="39" t="n">
        <v>114.77</v>
      </c>
      <c r="M1549" s="39" t="n">
        <v>79.81</v>
      </c>
      <c r="N1549" s="39" t="n">
        <f aca="false">J1549*Resumo!$C$7</f>
        <v>1.51298</v>
      </c>
      <c r="O1549" s="39" t="n">
        <f aca="false">J1549*Resumo!$C$8</f>
        <v>1.51298</v>
      </c>
      <c r="P1549" s="39" t="n">
        <f aca="false">Resumo!$C$10*CEILING(I1549/100,1)</f>
        <v>1</v>
      </c>
      <c r="Q1549" s="39" t="n">
        <f aca="false">Resumo!$C$9</f>
        <v>11.9</v>
      </c>
      <c r="R1549" s="39" t="n">
        <f aca="false">SUM(M1549:Q1549)*Resumo!$C$11</f>
        <v>5.2654778</v>
      </c>
      <c r="S1549" s="39" t="n">
        <f aca="false">SUM(M1549:R1549)</f>
        <v>101.0014378</v>
      </c>
      <c r="T1549" s="39" t="n">
        <f aca="false">S1549/(1-Resumo!$C$5)</f>
        <v>114.774361136364</v>
      </c>
      <c r="U1549" s="39" t="n">
        <v>112.3</v>
      </c>
      <c r="V1549" s="39" t="n">
        <f aca="false">J1549*Resumo!$B$6</f>
        <v>0.75649</v>
      </c>
      <c r="W1549" s="39" t="n">
        <f aca="false">J1549*Resumo!$B$7</f>
        <v>1.51298</v>
      </c>
      <c r="X1549" s="39" t="n">
        <f aca="false">Resumo!$B$9</f>
        <v>1</v>
      </c>
      <c r="Y1549" s="39" t="n">
        <f aca="false">Resumo!$B$10*CEILING(I1549/100,1)</f>
        <v>4.5</v>
      </c>
      <c r="Z1549" s="39" t="n">
        <f aca="false">Resumo!$B$12*CEILING(I1549,1)</f>
        <v>3.54</v>
      </c>
      <c r="AA1549" s="39" t="n">
        <f aca="false">Resumo!$B$13*CEILING(I1549,1)</f>
        <v>26.55</v>
      </c>
      <c r="AB1549" s="39" t="n">
        <f aca="false">SUM(U1549:AA1549)</f>
        <v>150.15947</v>
      </c>
      <c r="AC1549" s="39" t="n">
        <f aca="false">AB1549/(1-Resumo!$B$5)</f>
        <v>170.635761363636</v>
      </c>
      <c r="AD1549" s="39" t="n">
        <f aca="false">(AB1549-AA1549)/(1-Resumo!$B$5)</f>
        <v>140.465306818182</v>
      </c>
      <c r="AE1549" s="39" t="n">
        <f aca="false">AC1549-T1549</f>
        <v>55.8614002272727</v>
      </c>
      <c r="AF1549" s="40" t="n">
        <f aca="false">AC1549/T1549-1</f>
        <v>0.48670626152215</v>
      </c>
      <c r="AG1549" s="37" t="str">
        <f aca="false">IF(AC1549&lt;T1549,"SIM","NÃO")</f>
        <v>NÃO</v>
      </c>
      <c r="AH1549" s="37" t="n">
        <v>8</v>
      </c>
      <c r="AI1549" s="37" t="n">
        <v>5</v>
      </c>
      <c r="AJ1549" s="37" t="s">
        <v>323</v>
      </c>
    </row>
    <row r="1550" customFormat="false" ht="15" hidden="false" customHeight="false" outlineLevel="0" collapsed="false">
      <c r="A1550" s="37" t="n">
        <v>387934467</v>
      </c>
      <c r="B1550" s="38" t="n">
        <v>46268.3917013889</v>
      </c>
      <c r="C1550" s="37" t="s">
        <v>320</v>
      </c>
      <c r="D1550" s="37" t="s">
        <v>1745</v>
      </c>
      <c r="E1550" s="37" t="n">
        <v>21865320</v>
      </c>
      <c r="F1550" s="37" t="s">
        <v>139</v>
      </c>
      <c r="G1550" s="37" t="s">
        <v>198</v>
      </c>
      <c r="H1550" s="37" t="s">
        <v>169</v>
      </c>
      <c r="I1550" s="37" t="n">
        <v>37.6</v>
      </c>
      <c r="J1550" s="39" t="n">
        <v>391.9</v>
      </c>
      <c r="K1550" s="37" t="s">
        <v>322</v>
      </c>
      <c r="L1550" s="39" t="n">
        <v>91.73</v>
      </c>
      <c r="M1550" s="39" t="n">
        <v>62.05</v>
      </c>
      <c r="N1550" s="39" t="n">
        <f aca="false">J1550*Resumo!$C$7</f>
        <v>0.7838</v>
      </c>
      <c r="O1550" s="39" t="n">
        <f aca="false">J1550*Resumo!$C$8</f>
        <v>0.7838</v>
      </c>
      <c r="P1550" s="39" t="n">
        <f aca="false">Resumo!$C$10*CEILING(I1550/100,1)</f>
        <v>1</v>
      </c>
      <c r="Q1550" s="39" t="n">
        <f aca="false">Resumo!$C$9</f>
        <v>11.9</v>
      </c>
      <c r="R1550" s="39" t="n">
        <f aca="false">SUM(M1550:Q1550)*Resumo!$C$11</f>
        <v>4.208468</v>
      </c>
      <c r="S1550" s="39" t="n">
        <f aca="false">SUM(M1550:R1550)</f>
        <v>80.726068</v>
      </c>
      <c r="T1550" s="39" t="n">
        <f aca="false">S1550/(1-Resumo!$C$5)</f>
        <v>91.7341681818182</v>
      </c>
      <c r="U1550" s="39" t="n">
        <v>93.97</v>
      </c>
      <c r="V1550" s="39" t="n">
        <f aca="false">J1550*Resumo!$B$6</f>
        <v>0.3919</v>
      </c>
      <c r="W1550" s="39" t="n">
        <f aca="false">J1550*Resumo!$B$7</f>
        <v>0.7838</v>
      </c>
      <c r="X1550" s="39" t="n">
        <f aca="false">Resumo!$B$9</f>
        <v>1</v>
      </c>
      <c r="Y1550" s="39" t="n">
        <f aca="false">Resumo!$B$10*CEILING(I1550/100,1)</f>
        <v>4.5</v>
      </c>
      <c r="Z1550" s="39" t="n">
        <f aca="false">Resumo!$B$12*CEILING(I1550,1)</f>
        <v>2.28</v>
      </c>
      <c r="AA1550" s="39" t="n">
        <f aca="false">Resumo!$B$13*CEILING(I1550,1)</f>
        <v>17.1</v>
      </c>
      <c r="AB1550" s="39" t="n">
        <f aca="false">SUM(U1550:AA1550)</f>
        <v>120.0257</v>
      </c>
      <c r="AC1550" s="39" t="n">
        <f aca="false">AB1550/(1-Resumo!$B$5)</f>
        <v>136.392840909091</v>
      </c>
      <c r="AD1550" s="39" t="n">
        <f aca="false">(AB1550-AA1550)/(1-Resumo!$B$5)</f>
        <v>116.961022727273</v>
      </c>
      <c r="AE1550" s="39" t="n">
        <f aca="false">AC1550-T1550</f>
        <v>44.6586727272727</v>
      </c>
      <c r="AF1550" s="40" t="n">
        <f aca="false">AC1550/T1550-1</f>
        <v>0.486827030891682</v>
      </c>
      <c r="AG1550" s="37" t="str">
        <f aca="false">IF(AC1550&lt;T1550,"SIM","NÃO")</f>
        <v>NÃO</v>
      </c>
      <c r="AH1550" s="37" t="n">
        <v>8</v>
      </c>
      <c r="AI1550" s="37" t="n">
        <v>5</v>
      </c>
      <c r="AJ1550" s="37" t="s">
        <v>323</v>
      </c>
    </row>
    <row r="1551" customFormat="false" ht="15" hidden="false" customHeight="false" outlineLevel="0" collapsed="false">
      <c r="A1551" s="37" t="n">
        <v>388023431</v>
      </c>
      <c r="B1551" s="38" t="n">
        <v>46268.5582407407</v>
      </c>
      <c r="C1551" s="37" t="s">
        <v>352</v>
      </c>
      <c r="D1551" s="37" t="s">
        <v>1746</v>
      </c>
      <c r="E1551" s="37" t="n">
        <v>27525502</v>
      </c>
      <c r="F1551" s="37" t="s">
        <v>236</v>
      </c>
      <c r="G1551" s="37" t="s">
        <v>201</v>
      </c>
      <c r="H1551" s="37" t="s">
        <v>170</v>
      </c>
      <c r="I1551" s="37" t="n">
        <v>44.5</v>
      </c>
      <c r="J1551" s="39" t="n">
        <v>679.99</v>
      </c>
      <c r="K1551" s="37" t="s">
        <v>322</v>
      </c>
      <c r="L1551" s="39" t="n">
        <v>131.42</v>
      </c>
      <c r="M1551" s="39" t="n">
        <v>94</v>
      </c>
      <c r="N1551" s="39" t="n">
        <f aca="false">J1551*Resumo!$C$7</f>
        <v>1.35998</v>
      </c>
      <c r="O1551" s="39" t="n">
        <f aca="false">J1551*Resumo!$C$8</f>
        <v>1.35998</v>
      </c>
      <c r="P1551" s="39" t="n">
        <f aca="false">Resumo!$C$10*CEILING(I1551/100,1)</f>
        <v>1</v>
      </c>
      <c r="Q1551" s="39" t="n">
        <f aca="false">Resumo!$C$9</f>
        <v>11.9</v>
      </c>
      <c r="R1551" s="39" t="n">
        <f aca="false">SUM(M1551:Q1551)*Resumo!$C$11</f>
        <v>6.0290978</v>
      </c>
      <c r="S1551" s="39" t="n">
        <f aca="false">SUM(M1551:R1551)</f>
        <v>115.6490578</v>
      </c>
      <c r="T1551" s="39" t="n">
        <f aca="false">S1551/(1-Resumo!$C$5)</f>
        <v>131.419383863636</v>
      </c>
      <c r="U1551" s="39" t="n">
        <v>124.38</v>
      </c>
      <c r="V1551" s="39" t="n">
        <f aca="false">J1551*Resumo!$B$6</f>
        <v>0.67999</v>
      </c>
      <c r="W1551" s="39" t="n">
        <f aca="false">J1551*Resumo!$B$7</f>
        <v>1.35998</v>
      </c>
      <c r="X1551" s="39" t="n">
        <f aca="false">Resumo!$B$9</f>
        <v>1</v>
      </c>
      <c r="Y1551" s="39" t="n">
        <f aca="false">Resumo!$B$10*CEILING(I1551/100,1)</f>
        <v>4.5</v>
      </c>
      <c r="Z1551" s="39" t="n">
        <f aca="false">Resumo!$B$12*CEILING(I1551,1)</f>
        <v>2.7</v>
      </c>
      <c r="AA1551" s="39" t="n">
        <f aca="false">Resumo!$B$13*CEILING(I1551,1)</f>
        <v>20.25</v>
      </c>
      <c r="AB1551" s="39" t="n">
        <f aca="false">SUM(U1551:AA1551)</f>
        <v>154.86997</v>
      </c>
      <c r="AC1551" s="39" t="n">
        <f aca="false">AB1551/(1-Resumo!$B$5)</f>
        <v>175.988602272727</v>
      </c>
      <c r="AD1551" s="39" t="n">
        <f aca="false">(AB1551-AA1551)/(1-Resumo!$B$5)</f>
        <v>152.977238636364</v>
      </c>
      <c r="AE1551" s="39" t="n">
        <f aca="false">AC1551-T1551</f>
        <v>44.5692184090909</v>
      </c>
      <c r="AF1551" s="40" t="n">
        <f aca="false">AC1551/T1551-1</f>
        <v>0.339137325855499</v>
      </c>
      <c r="AG1551" s="37" t="str">
        <f aca="false">IF(AC1551&lt;T1551,"SIM","NÃO")</f>
        <v>NÃO</v>
      </c>
      <c r="AH1551" s="37" t="n">
        <v>13</v>
      </c>
      <c r="AI1551" s="37" t="n">
        <v>10</v>
      </c>
      <c r="AJ1551" s="37" t="s">
        <v>327</v>
      </c>
    </row>
    <row r="1552" customFormat="false" ht="15" hidden="false" customHeight="false" outlineLevel="0" collapsed="false">
      <c r="A1552" s="37" t="n">
        <v>388031354</v>
      </c>
      <c r="B1552" s="38" t="n">
        <v>46268.5749537037</v>
      </c>
      <c r="C1552" s="37" t="s">
        <v>325</v>
      </c>
      <c r="D1552" s="37" t="s">
        <v>1747</v>
      </c>
      <c r="E1552" s="37" t="n">
        <v>23060720</v>
      </c>
      <c r="F1552" s="37" t="s">
        <v>139</v>
      </c>
      <c r="G1552" s="37" t="s">
        <v>198</v>
      </c>
      <c r="H1552" s="37" t="s">
        <v>172</v>
      </c>
      <c r="I1552" s="37" t="n">
        <v>66.8</v>
      </c>
      <c r="J1552" s="39" t="n">
        <v>578</v>
      </c>
      <c r="K1552" s="37" t="s">
        <v>322</v>
      </c>
      <c r="L1552" s="39" t="n">
        <v>123.99</v>
      </c>
      <c r="M1552" s="39" t="n">
        <v>88.2</v>
      </c>
      <c r="N1552" s="39" t="n">
        <f aca="false">J1552*Resumo!$C$7</f>
        <v>1.156</v>
      </c>
      <c r="O1552" s="39" t="n">
        <f aca="false">J1552*Resumo!$C$8</f>
        <v>1.156</v>
      </c>
      <c r="P1552" s="39" t="n">
        <f aca="false">Resumo!$C$10*CEILING(I1552/100,1)</f>
        <v>1</v>
      </c>
      <c r="Q1552" s="39" t="n">
        <f aca="false">Resumo!$C$9</f>
        <v>11.9</v>
      </c>
      <c r="R1552" s="39" t="n">
        <f aca="false">SUM(M1552:Q1552)*Resumo!$C$11</f>
        <v>5.68766</v>
      </c>
      <c r="S1552" s="39" t="n">
        <f aca="false">SUM(M1552:R1552)</f>
        <v>109.09966</v>
      </c>
      <c r="T1552" s="39" t="n">
        <f aca="false">S1552/(1-Resumo!$C$5)</f>
        <v>123.976886363636</v>
      </c>
      <c r="U1552" s="39" t="n">
        <v>131.02</v>
      </c>
      <c r="V1552" s="39" t="n">
        <f aca="false">J1552*Resumo!$B$6</f>
        <v>0.578</v>
      </c>
      <c r="W1552" s="39" t="n">
        <f aca="false">J1552*Resumo!$B$7</f>
        <v>1.156</v>
      </c>
      <c r="X1552" s="39" t="n">
        <f aca="false">Resumo!$B$9</f>
        <v>1</v>
      </c>
      <c r="Y1552" s="39" t="n">
        <f aca="false">Resumo!$B$10*CEILING(I1552/100,1)</f>
        <v>4.5</v>
      </c>
      <c r="Z1552" s="39" t="n">
        <f aca="false">Resumo!$B$12*CEILING(I1552,1)</f>
        <v>4.02</v>
      </c>
      <c r="AA1552" s="39" t="n">
        <f aca="false">Resumo!$B$13*CEILING(I1552,1)</f>
        <v>30.15</v>
      </c>
      <c r="AB1552" s="39" t="n">
        <f aca="false">SUM(U1552:AA1552)</f>
        <v>172.424</v>
      </c>
      <c r="AC1552" s="39" t="n">
        <f aca="false">AB1552/(1-Resumo!$B$5)</f>
        <v>195.936363636364</v>
      </c>
      <c r="AD1552" s="39" t="n">
        <f aca="false">(AB1552-AA1552)/(1-Resumo!$B$5)</f>
        <v>161.675</v>
      </c>
      <c r="AE1552" s="39" t="n">
        <f aca="false">AC1552-T1552</f>
        <v>71.9594772727273</v>
      </c>
      <c r="AF1552" s="40" t="n">
        <f aca="false">AC1552/T1552-1</f>
        <v>0.580426556783037</v>
      </c>
      <c r="AG1552" s="37" t="str">
        <f aca="false">IF(AC1552&lt;T1552,"SIM","NÃO")</f>
        <v>NÃO</v>
      </c>
      <c r="AH1552" s="37" t="n">
        <v>8</v>
      </c>
      <c r="AI1552" s="37" t="n">
        <v>5</v>
      </c>
      <c r="AJ1552" s="37" t="s">
        <v>323</v>
      </c>
    </row>
    <row r="1553" customFormat="false" ht="15" hidden="false" customHeight="false" outlineLevel="0" collapsed="false">
      <c r="A1553" s="37" t="n">
        <v>388036849</v>
      </c>
      <c r="B1553" s="38" t="n">
        <v>46268.58375</v>
      </c>
      <c r="C1553" s="37" t="s">
        <v>325</v>
      </c>
      <c r="D1553" s="37" t="s">
        <v>1748</v>
      </c>
      <c r="E1553" s="37" t="n">
        <v>27971805</v>
      </c>
      <c r="F1553" s="37" t="s">
        <v>146</v>
      </c>
      <c r="G1553" s="37" t="s">
        <v>201</v>
      </c>
      <c r="H1553" s="37" t="s">
        <v>172</v>
      </c>
      <c r="I1553" s="37" t="n">
        <v>68.1</v>
      </c>
      <c r="J1553" s="39" t="n">
        <v>898</v>
      </c>
      <c r="K1553" s="37" t="s">
        <v>322</v>
      </c>
      <c r="L1553" s="39" t="n">
        <v>156.33</v>
      </c>
      <c r="M1553" s="39" t="n">
        <v>113.9</v>
      </c>
      <c r="N1553" s="39" t="n">
        <f aca="false">J1553*Resumo!$C$7</f>
        <v>1.796</v>
      </c>
      <c r="O1553" s="39" t="n">
        <f aca="false">J1553*Resumo!$C$8</f>
        <v>1.796</v>
      </c>
      <c r="P1553" s="39" t="n">
        <f aca="false">Resumo!$C$10*CEILING(I1553/100,1)</f>
        <v>1</v>
      </c>
      <c r="Q1553" s="39" t="n">
        <f aca="false">Resumo!$C$9</f>
        <v>11.9</v>
      </c>
      <c r="R1553" s="39" t="n">
        <f aca="false">SUM(M1553:Q1553)*Resumo!$C$11</f>
        <v>7.17156</v>
      </c>
      <c r="S1553" s="39" t="n">
        <f aca="false">SUM(M1553:R1553)</f>
        <v>137.56356</v>
      </c>
      <c r="T1553" s="39" t="n">
        <f aca="false">S1553/(1-Resumo!$C$5)</f>
        <v>156.322227272727</v>
      </c>
      <c r="U1553" s="39" t="n">
        <v>171.54</v>
      </c>
      <c r="V1553" s="39" t="n">
        <f aca="false">J1553*Resumo!$B$6</f>
        <v>0.898</v>
      </c>
      <c r="W1553" s="39" t="n">
        <f aca="false">J1553*Resumo!$B$7</f>
        <v>1.796</v>
      </c>
      <c r="X1553" s="39" t="n">
        <f aca="false">Resumo!$B$9</f>
        <v>1</v>
      </c>
      <c r="Y1553" s="39" t="n">
        <f aca="false">Resumo!$B$10*CEILING(I1553/100,1)</f>
        <v>4.5</v>
      </c>
      <c r="Z1553" s="39" t="n">
        <f aca="false">Resumo!$B$12*CEILING(I1553,1)</f>
        <v>4.14</v>
      </c>
      <c r="AA1553" s="39" t="n">
        <f aca="false">Resumo!$B$13*CEILING(I1553,1)</f>
        <v>31.05</v>
      </c>
      <c r="AB1553" s="39" t="n">
        <f aca="false">SUM(U1553:AA1553)</f>
        <v>214.924</v>
      </c>
      <c r="AC1553" s="39" t="n">
        <f aca="false">AB1553/(1-Resumo!$B$5)</f>
        <v>244.231818181818</v>
      </c>
      <c r="AD1553" s="39" t="n">
        <f aca="false">(AB1553-AA1553)/(1-Resumo!$B$5)</f>
        <v>208.947727272727</v>
      </c>
      <c r="AE1553" s="39" t="n">
        <f aca="false">AC1553-T1553</f>
        <v>87.9095909090909</v>
      </c>
      <c r="AF1553" s="40" t="n">
        <f aca="false">AC1553/T1553-1</f>
        <v>0.562361427692043</v>
      </c>
      <c r="AG1553" s="37" t="str">
        <f aca="false">IF(AC1553&lt;T1553,"SIM","NÃO")</f>
        <v>NÃO</v>
      </c>
      <c r="AH1553" s="37" t="n">
        <v>13</v>
      </c>
      <c r="AI1553" s="37" t="n">
        <v>11</v>
      </c>
      <c r="AJ1553" s="37" t="s">
        <v>323</v>
      </c>
    </row>
    <row r="1554" customFormat="false" ht="15" hidden="false" customHeight="false" outlineLevel="0" collapsed="false">
      <c r="A1554" s="37" t="n">
        <v>388069158</v>
      </c>
      <c r="B1554" s="38" t="n">
        <v>46268.6326041667</v>
      </c>
      <c r="C1554" s="37" t="s">
        <v>320</v>
      </c>
      <c r="D1554" s="37" t="s">
        <v>1749</v>
      </c>
      <c r="E1554" s="37" t="n">
        <v>24813126</v>
      </c>
      <c r="F1554" s="37" t="s">
        <v>154</v>
      </c>
      <c r="G1554" s="37" t="s">
        <v>201</v>
      </c>
      <c r="H1554" s="37" t="s">
        <v>170</v>
      </c>
      <c r="I1554" s="37" t="n">
        <v>49.6</v>
      </c>
      <c r="J1554" s="39" t="n">
        <v>769.99</v>
      </c>
      <c r="K1554" s="37" t="s">
        <v>322</v>
      </c>
      <c r="L1554" s="39" t="n">
        <v>131.85</v>
      </c>
      <c r="M1554" s="39" t="n">
        <v>94</v>
      </c>
      <c r="N1554" s="39" t="n">
        <f aca="false">J1554*Resumo!$C$7</f>
        <v>1.53998</v>
      </c>
      <c r="O1554" s="39" t="n">
        <f aca="false">J1554*Resumo!$C$8</f>
        <v>1.53998</v>
      </c>
      <c r="P1554" s="39" t="n">
        <f aca="false">Resumo!$C$10*CEILING(I1554/100,1)</f>
        <v>1</v>
      </c>
      <c r="Q1554" s="39" t="n">
        <f aca="false">Resumo!$C$9</f>
        <v>11.9</v>
      </c>
      <c r="R1554" s="39" t="n">
        <f aca="false">SUM(M1554:Q1554)*Resumo!$C$11</f>
        <v>6.0488978</v>
      </c>
      <c r="S1554" s="39" t="n">
        <f aca="false">SUM(M1554:R1554)</f>
        <v>116.0288578</v>
      </c>
      <c r="T1554" s="39" t="n">
        <f aca="false">S1554/(1-Resumo!$C$5)</f>
        <v>131.850974772727</v>
      </c>
      <c r="U1554" s="39" t="n">
        <v>114.95</v>
      </c>
      <c r="V1554" s="39" t="n">
        <f aca="false">J1554*Resumo!$B$6</f>
        <v>0.76999</v>
      </c>
      <c r="W1554" s="39" t="n">
        <f aca="false">J1554*Resumo!$B$7</f>
        <v>1.53998</v>
      </c>
      <c r="X1554" s="39" t="n">
        <f aca="false">Resumo!$B$9</f>
        <v>1</v>
      </c>
      <c r="Y1554" s="39" t="n">
        <f aca="false">Resumo!$B$10*CEILING(I1554/100,1)</f>
        <v>4.5</v>
      </c>
      <c r="Z1554" s="39" t="n">
        <f aca="false">Resumo!$B$12*CEILING(I1554,1)</f>
        <v>3</v>
      </c>
      <c r="AA1554" s="39" t="n">
        <f aca="false">Resumo!$B$13*CEILING(I1554,1)</f>
        <v>22.5</v>
      </c>
      <c r="AB1554" s="39" t="n">
        <f aca="false">SUM(U1554:AA1554)</f>
        <v>148.25997</v>
      </c>
      <c r="AC1554" s="39" t="n">
        <f aca="false">AB1554/(1-Resumo!$B$5)</f>
        <v>168.477238636364</v>
      </c>
      <c r="AD1554" s="39" t="n">
        <f aca="false">(AB1554-AA1554)/(1-Resumo!$B$5)</f>
        <v>142.909056818182</v>
      </c>
      <c r="AE1554" s="39" t="n">
        <f aca="false">AC1554-T1554</f>
        <v>36.6262638636364</v>
      </c>
      <c r="AF1554" s="40" t="n">
        <f aca="false">AC1554/T1554-1</f>
        <v>0.277785309716287</v>
      </c>
      <c r="AG1554" s="37" t="str">
        <f aca="false">IF(AC1554&lt;T1554,"SIM","NÃO")</f>
        <v>NÃO</v>
      </c>
      <c r="AH1554" s="37" t="n">
        <v>13</v>
      </c>
      <c r="AI1554" s="37" t="n">
        <v>7</v>
      </c>
      <c r="AJ1554" s="37" t="s">
        <v>323</v>
      </c>
    </row>
    <row r="1555" customFormat="false" ht="15" hidden="false" customHeight="false" outlineLevel="0" collapsed="false">
      <c r="A1555" s="37" t="n">
        <v>388074063</v>
      </c>
      <c r="B1555" s="38" t="n">
        <v>46268.6407638889</v>
      </c>
      <c r="C1555" s="37" t="s">
        <v>325</v>
      </c>
      <c r="D1555" s="37" t="s">
        <v>1750</v>
      </c>
      <c r="E1555" s="37" t="n">
        <v>22790147</v>
      </c>
      <c r="F1555" s="37" t="s">
        <v>139</v>
      </c>
      <c r="G1555" s="37" t="s">
        <v>198</v>
      </c>
      <c r="H1555" s="37" t="s">
        <v>168</v>
      </c>
      <c r="I1555" s="37" t="n">
        <v>31.9</v>
      </c>
      <c r="J1555" s="39" t="n">
        <v>589.95</v>
      </c>
      <c r="K1555" s="37" t="s">
        <v>322</v>
      </c>
      <c r="L1555" s="39" t="n">
        <v>83.15</v>
      </c>
      <c r="M1555" s="39" t="n">
        <v>54.1</v>
      </c>
      <c r="N1555" s="39" t="n">
        <f aca="false">J1555*Resumo!$C$7</f>
        <v>1.1799</v>
      </c>
      <c r="O1555" s="39" t="n">
        <f aca="false">J1555*Resumo!$C$8</f>
        <v>1.1799</v>
      </c>
      <c r="P1555" s="39" t="n">
        <f aca="false">Resumo!$C$10*CEILING(I1555/100,1)</f>
        <v>1</v>
      </c>
      <c r="Q1555" s="39" t="n">
        <f aca="false">Resumo!$C$9</f>
        <v>11.9</v>
      </c>
      <c r="R1555" s="39" t="n">
        <f aca="false">SUM(M1555:Q1555)*Resumo!$C$11</f>
        <v>3.814789</v>
      </c>
      <c r="S1555" s="39" t="n">
        <f aca="false">SUM(M1555:R1555)</f>
        <v>73.174589</v>
      </c>
      <c r="T1555" s="39" t="n">
        <f aca="false">S1555/(1-Resumo!$C$5)</f>
        <v>83.1529420454546</v>
      </c>
      <c r="U1555" s="39" t="n">
        <v>82.21</v>
      </c>
      <c r="V1555" s="39" t="n">
        <f aca="false">J1555*Resumo!$B$6</f>
        <v>0.58995</v>
      </c>
      <c r="W1555" s="39" t="n">
        <f aca="false">J1555*Resumo!$B$7</f>
        <v>1.1799</v>
      </c>
      <c r="X1555" s="39" t="n">
        <f aca="false">Resumo!$B$9</f>
        <v>1</v>
      </c>
      <c r="Y1555" s="39" t="n">
        <f aca="false">Resumo!$B$10*CEILING(I1555/100,1)</f>
        <v>4.5</v>
      </c>
      <c r="Z1555" s="39" t="n">
        <f aca="false">Resumo!$B$12*CEILING(I1555,1)</f>
        <v>1.92</v>
      </c>
      <c r="AA1555" s="39" t="n">
        <f aca="false">Resumo!$B$13*CEILING(I1555,1)</f>
        <v>14.4</v>
      </c>
      <c r="AB1555" s="39" t="n">
        <f aca="false">SUM(U1555:AA1555)</f>
        <v>105.79985</v>
      </c>
      <c r="AC1555" s="39" t="n">
        <f aca="false">AB1555/(1-Resumo!$B$5)</f>
        <v>120.227102272727</v>
      </c>
      <c r="AD1555" s="39" t="n">
        <f aca="false">(AB1555-AA1555)/(1-Resumo!$B$5)</f>
        <v>103.863465909091</v>
      </c>
      <c r="AE1555" s="39" t="n">
        <f aca="false">AC1555-T1555</f>
        <v>37.0741602272727</v>
      </c>
      <c r="AF1555" s="40" t="n">
        <f aca="false">AC1555/T1555-1</f>
        <v>0.445855063155872</v>
      </c>
      <c r="AG1555" s="37" t="str">
        <f aca="false">IF(AC1555&lt;T1555,"SIM","NÃO")</f>
        <v>NÃO</v>
      </c>
      <c r="AH1555" s="37" t="n">
        <v>8</v>
      </c>
      <c r="AI1555" s="37" t="n">
        <v>5</v>
      </c>
      <c r="AJ1555" s="37" t="s">
        <v>323</v>
      </c>
    </row>
    <row r="1556" customFormat="false" ht="15" hidden="false" customHeight="false" outlineLevel="0" collapsed="false">
      <c r="A1556" s="37" t="n">
        <v>388085053</v>
      </c>
      <c r="B1556" s="38" t="n">
        <v>46268.6432407407</v>
      </c>
      <c r="C1556" s="37" t="s">
        <v>517</v>
      </c>
      <c r="D1556" s="37" t="s">
        <v>1751</v>
      </c>
      <c r="E1556" s="37" t="n">
        <v>26535350</v>
      </c>
      <c r="F1556" s="37" t="s">
        <v>224</v>
      </c>
      <c r="G1556" s="37" t="s">
        <v>207</v>
      </c>
      <c r="H1556" s="37" t="s">
        <v>174</v>
      </c>
      <c r="I1556" s="37" t="n">
        <v>84</v>
      </c>
      <c r="J1556" s="39" t="n">
        <v>1042.13</v>
      </c>
      <c r="K1556" s="37" t="s">
        <v>322</v>
      </c>
      <c r="L1556" s="39" t="n">
        <v>173.81</v>
      </c>
      <c r="M1556" s="39" t="n">
        <v>127.92</v>
      </c>
      <c r="N1556" s="39" t="n">
        <f aca="false">J1556*Resumo!$C$7</f>
        <v>2.08426</v>
      </c>
      <c r="O1556" s="39" t="n">
        <f aca="false">J1556*Resumo!$C$8</f>
        <v>2.08426</v>
      </c>
      <c r="P1556" s="39" t="n">
        <f aca="false">Resumo!$C$10*CEILING(I1556/100,1)</f>
        <v>1</v>
      </c>
      <c r="Q1556" s="39" t="n">
        <f aca="false">Resumo!$C$9</f>
        <v>11.9</v>
      </c>
      <c r="R1556" s="39" t="n">
        <f aca="false">SUM(M1556:Q1556)*Resumo!$C$11</f>
        <v>7.9743686</v>
      </c>
      <c r="S1556" s="39" t="n">
        <f aca="false">SUM(M1556:R1556)</f>
        <v>152.9628886</v>
      </c>
      <c r="T1556" s="39" t="n">
        <f aca="false">S1556/(1-Resumo!$C$5)</f>
        <v>173.821464318182</v>
      </c>
      <c r="U1556" s="39" t="n">
        <v>167.99</v>
      </c>
      <c r="V1556" s="39" t="n">
        <f aca="false">J1556*Resumo!$B$6</f>
        <v>1.04213</v>
      </c>
      <c r="W1556" s="39" t="n">
        <f aca="false">J1556*Resumo!$B$7</f>
        <v>2.08426</v>
      </c>
      <c r="X1556" s="39" t="n">
        <f aca="false">Resumo!$B$9</f>
        <v>1</v>
      </c>
      <c r="Y1556" s="39" t="n">
        <f aca="false">Resumo!$B$10*CEILING(I1556/100,1)</f>
        <v>4.5</v>
      </c>
      <c r="Z1556" s="39" t="n">
        <f aca="false">Resumo!$B$12*CEILING(I1556,1)</f>
        <v>5.04</v>
      </c>
      <c r="AA1556" s="39" t="n">
        <f aca="false">Resumo!$B$13*CEILING(I1556,1)</f>
        <v>37.8</v>
      </c>
      <c r="AB1556" s="39" t="n">
        <f aca="false">SUM(U1556:AA1556)</f>
        <v>219.45639</v>
      </c>
      <c r="AC1556" s="39" t="n">
        <f aca="false">AB1556/(1-Resumo!$B$5)</f>
        <v>249.382261363636</v>
      </c>
      <c r="AD1556" s="39" t="n">
        <f aca="false">(AB1556-AA1556)/(1-Resumo!$B$5)</f>
        <v>206.427715909091</v>
      </c>
      <c r="AE1556" s="39" t="n">
        <f aca="false">AC1556-T1556</f>
        <v>75.5607970454546</v>
      </c>
      <c r="AF1556" s="40" t="n">
        <f aca="false">AC1556/T1556-1</f>
        <v>0.43470348924883</v>
      </c>
      <c r="AG1556" s="37" t="str">
        <f aca="false">IF(AC1556&lt;T1556,"SIM","NÃO")</f>
        <v>NÃO</v>
      </c>
      <c r="AH1556" s="37" t="n">
        <v>10</v>
      </c>
      <c r="AI1556" s="37" t="n">
        <v>5</v>
      </c>
      <c r="AJ1556" s="37" t="s">
        <v>327</v>
      </c>
    </row>
    <row r="1557" customFormat="false" ht="15" hidden="false" customHeight="false" outlineLevel="0" collapsed="false">
      <c r="A1557" s="37" t="n">
        <v>388120156</v>
      </c>
      <c r="B1557" s="38" t="n">
        <v>46268.725150463</v>
      </c>
      <c r="C1557" s="37" t="s">
        <v>320</v>
      </c>
      <c r="D1557" s="37" t="s">
        <v>1752</v>
      </c>
      <c r="E1557" s="37" t="n">
        <v>26021560</v>
      </c>
      <c r="F1557" s="37" t="s">
        <v>142</v>
      </c>
      <c r="G1557" s="37" t="s">
        <v>207</v>
      </c>
      <c r="H1557" s="37" t="s">
        <v>176</v>
      </c>
      <c r="I1557" s="37" t="n">
        <v>124.2</v>
      </c>
      <c r="J1557" s="39" t="n">
        <v>1799.99</v>
      </c>
      <c r="K1557" s="37" t="s">
        <v>322</v>
      </c>
      <c r="L1557" s="39" t="n">
        <v>245.23</v>
      </c>
      <c r="M1557" s="39" t="n">
        <v>183.45</v>
      </c>
      <c r="N1557" s="39" t="n">
        <f aca="false">J1557*Resumo!$C$7</f>
        <v>3.59998</v>
      </c>
      <c r="O1557" s="39" t="n">
        <f aca="false">J1557*Resumo!$C$8</f>
        <v>3.59998</v>
      </c>
      <c r="P1557" s="39" t="n">
        <f aca="false">Resumo!$C$10*CEILING(I1557/100,1)</f>
        <v>2</v>
      </c>
      <c r="Q1557" s="39" t="n">
        <f aca="false">Resumo!$C$9</f>
        <v>11.9</v>
      </c>
      <c r="R1557" s="39" t="n">
        <f aca="false">SUM(M1557:Q1557)*Resumo!$C$11</f>
        <v>11.2502478</v>
      </c>
      <c r="S1557" s="39" t="n">
        <f aca="false">SUM(M1557:R1557)</f>
        <v>215.8002078</v>
      </c>
      <c r="T1557" s="39" t="n">
        <f aca="false">S1557/(1-Resumo!$C$5)</f>
        <v>245.227508863636</v>
      </c>
      <c r="U1557" s="39" t="n">
        <v>239.25</v>
      </c>
      <c r="V1557" s="39" t="n">
        <f aca="false">J1557*Resumo!$B$6</f>
        <v>1.79999</v>
      </c>
      <c r="W1557" s="39" t="n">
        <f aca="false">J1557*Resumo!$B$7</f>
        <v>3.59998</v>
      </c>
      <c r="X1557" s="39" t="n">
        <f aca="false">Resumo!$B$9</f>
        <v>1</v>
      </c>
      <c r="Y1557" s="39" t="n">
        <f aca="false">Resumo!$B$10*CEILING(I1557/100,1)</f>
        <v>9</v>
      </c>
      <c r="Z1557" s="39" t="n">
        <f aca="false">Resumo!$B$12*CEILING(I1557,1)</f>
        <v>7.5</v>
      </c>
      <c r="AA1557" s="39" t="n">
        <f aca="false">Resumo!$B$13*CEILING(I1557,1)</f>
        <v>56.25</v>
      </c>
      <c r="AB1557" s="39" t="n">
        <f aca="false">SUM(U1557:AA1557)</f>
        <v>318.39997</v>
      </c>
      <c r="AC1557" s="39" t="n">
        <f aca="false">AB1557/(1-Resumo!$B$5)</f>
        <v>361.818147727273</v>
      </c>
      <c r="AD1557" s="39" t="n">
        <f aca="false">(AB1557-AA1557)/(1-Resumo!$B$5)</f>
        <v>297.897693181818</v>
      </c>
      <c r="AE1557" s="39" t="n">
        <f aca="false">AC1557-T1557</f>
        <v>116.590638863636</v>
      </c>
      <c r="AF1557" s="40" t="n">
        <f aca="false">AC1557/T1557-1</f>
        <v>0.475438662668424</v>
      </c>
      <c r="AG1557" s="37" t="str">
        <f aca="false">IF(AC1557&lt;T1557,"SIM","NÃO")</f>
        <v>NÃO</v>
      </c>
      <c r="AH1557" s="37" t="n">
        <v>10</v>
      </c>
      <c r="AI1557" s="37" t="n">
        <v>5</v>
      </c>
      <c r="AJ1557" s="37" t="s">
        <v>323</v>
      </c>
    </row>
    <row r="1558" customFormat="false" ht="15" hidden="false" customHeight="false" outlineLevel="0" collapsed="false">
      <c r="A1558" s="37" t="n">
        <v>388120390</v>
      </c>
      <c r="B1558" s="38" t="n">
        <v>46268.7280671296</v>
      </c>
      <c r="C1558" s="37" t="s">
        <v>352</v>
      </c>
      <c r="D1558" s="37" t="s">
        <v>1753</v>
      </c>
      <c r="E1558" s="37" t="n">
        <v>28895679</v>
      </c>
      <c r="F1558" s="37" t="s">
        <v>158</v>
      </c>
      <c r="G1558" s="37" t="s">
        <v>201</v>
      </c>
      <c r="H1558" s="37" t="s">
        <v>168</v>
      </c>
      <c r="I1558" s="37" t="n">
        <v>29.2</v>
      </c>
      <c r="J1558" s="39" t="n">
        <v>458.18</v>
      </c>
      <c r="K1558" s="37" t="s">
        <v>322</v>
      </c>
      <c r="L1558" s="39" t="n">
        <v>109.39</v>
      </c>
      <c r="M1558" s="39" t="n">
        <v>76.5</v>
      </c>
      <c r="N1558" s="39" t="n">
        <f aca="false">J1558*Resumo!$C$7</f>
        <v>0.91636</v>
      </c>
      <c r="O1558" s="39" t="n">
        <f aca="false">J1558*Resumo!$C$8</f>
        <v>0.91636</v>
      </c>
      <c r="P1558" s="39" t="n">
        <f aca="false">Resumo!$C$10*CEILING(I1558/100,1)</f>
        <v>1</v>
      </c>
      <c r="Q1558" s="39" t="n">
        <f aca="false">Resumo!$C$9</f>
        <v>11.9</v>
      </c>
      <c r="R1558" s="39" t="n">
        <f aca="false">SUM(M1558:Q1558)*Resumo!$C$11</f>
        <v>5.0177996</v>
      </c>
      <c r="S1558" s="39" t="n">
        <f aca="false">SUM(M1558:R1558)</f>
        <v>96.2505196</v>
      </c>
      <c r="T1558" s="39" t="n">
        <f aca="false">S1558/(1-Resumo!$C$5)</f>
        <v>109.375590454545</v>
      </c>
      <c r="U1558" s="39" t="n">
        <v>114.95</v>
      </c>
      <c r="V1558" s="39" t="n">
        <f aca="false">J1558*Resumo!$B$6</f>
        <v>0.45818</v>
      </c>
      <c r="W1558" s="39" t="n">
        <f aca="false">J1558*Resumo!$B$7</f>
        <v>0.91636</v>
      </c>
      <c r="X1558" s="39" t="n">
        <f aca="false">Resumo!$B$9</f>
        <v>1</v>
      </c>
      <c r="Y1558" s="39" t="n">
        <f aca="false">Resumo!$B$10*CEILING(I1558/100,1)</f>
        <v>4.5</v>
      </c>
      <c r="Z1558" s="39" t="n">
        <f aca="false">Resumo!$B$12*CEILING(I1558,1)</f>
        <v>1.8</v>
      </c>
      <c r="AA1558" s="39" t="n">
        <f aca="false">Resumo!$B$13*CEILING(I1558,1)</f>
        <v>13.5</v>
      </c>
      <c r="AB1558" s="39" t="n">
        <f aca="false">SUM(U1558:AA1558)</f>
        <v>137.12454</v>
      </c>
      <c r="AC1558" s="39" t="n">
        <f aca="false">AB1558/(1-Resumo!$B$5)</f>
        <v>155.823340909091</v>
      </c>
      <c r="AD1558" s="39" t="n">
        <f aca="false">(AB1558-AA1558)/(1-Resumo!$B$5)</f>
        <v>140.482431818182</v>
      </c>
      <c r="AE1558" s="39" t="n">
        <f aca="false">AC1558-T1558</f>
        <v>46.4477504545455</v>
      </c>
      <c r="AF1558" s="40" t="n">
        <f aca="false">AC1558/T1558-1</f>
        <v>0.424662854495385</v>
      </c>
      <c r="AG1558" s="37" t="str">
        <f aca="false">IF(AC1558&lt;T1558,"SIM","NÃO")</f>
        <v>NÃO</v>
      </c>
      <c r="AH1558" s="37" t="n">
        <v>13</v>
      </c>
      <c r="AI1558" s="37" t="n">
        <v>10</v>
      </c>
      <c r="AJ1558" s="37" t="s">
        <v>323</v>
      </c>
    </row>
    <row r="1559" customFormat="false" ht="15" hidden="false" customHeight="false" outlineLevel="0" collapsed="false">
      <c r="A1559" s="37" t="n">
        <v>388135543</v>
      </c>
      <c r="B1559" s="38" t="n">
        <v>46268.7564583333</v>
      </c>
      <c r="C1559" s="37" t="s">
        <v>320</v>
      </c>
      <c r="D1559" s="37" t="s">
        <v>1754</v>
      </c>
      <c r="E1559" s="37" t="n">
        <v>22790682</v>
      </c>
      <c r="F1559" s="37" t="s">
        <v>139</v>
      </c>
      <c r="G1559" s="37" t="s">
        <v>198</v>
      </c>
      <c r="H1559" s="37" t="s">
        <v>168</v>
      </c>
      <c r="I1559" s="37" t="n">
        <v>29.2</v>
      </c>
      <c r="J1559" s="39" t="n">
        <v>449.99</v>
      </c>
      <c r="K1559" s="37" t="s">
        <v>322</v>
      </c>
      <c r="L1559" s="39" t="n">
        <v>82.48</v>
      </c>
      <c r="M1559" s="39" t="n">
        <v>54.1</v>
      </c>
      <c r="N1559" s="39" t="n">
        <f aca="false">J1559*Resumo!$C$7</f>
        <v>0.89998</v>
      </c>
      <c r="O1559" s="39" t="n">
        <f aca="false">J1559*Resumo!$C$8</f>
        <v>0.89998</v>
      </c>
      <c r="P1559" s="39" t="n">
        <f aca="false">Resumo!$C$10*CEILING(I1559/100,1)</f>
        <v>1</v>
      </c>
      <c r="Q1559" s="39" t="n">
        <f aca="false">Resumo!$C$9</f>
        <v>11.9</v>
      </c>
      <c r="R1559" s="39" t="n">
        <f aca="false">SUM(M1559:Q1559)*Resumo!$C$11</f>
        <v>3.7839978</v>
      </c>
      <c r="S1559" s="39" t="n">
        <f aca="false">SUM(M1559:R1559)</f>
        <v>72.5839578</v>
      </c>
      <c r="T1559" s="39" t="n">
        <f aca="false">S1559/(1-Resumo!$C$5)</f>
        <v>82.4817702272727</v>
      </c>
      <c r="U1559" s="39" t="n">
        <v>82.21</v>
      </c>
      <c r="V1559" s="39" t="n">
        <f aca="false">J1559*Resumo!$B$6</f>
        <v>0.44999</v>
      </c>
      <c r="W1559" s="39" t="n">
        <f aca="false">J1559*Resumo!$B$7</f>
        <v>0.89998</v>
      </c>
      <c r="X1559" s="39" t="n">
        <f aca="false">Resumo!$B$9</f>
        <v>1</v>
      </c>
      <c r="Y1559" s="39" t="n">
        <f aca="false">Resumo!$B$10*CEILING(I1559/100,1)</f>
        <v>4.5</v>
      </c>
      <c r="Z1559" s="39" t="n">
        <f aca="false">Resumo!$B$12*CEILING(I1559,1)</f>
        <v>1.8</v>
      </c>
      <c r="AA1559" s="39" t="n">
        <f aca="false">Resumo!$B$13*CEILING(I1559,1)</f>
        <v>13.5</v>
      </c>
      <c r="AB1559" s="39" t="n">
        <f aca="false">SUM(U1559:AA1559)</f>
        <v>104.35997</v>
      </c>
      <c r="AC1559" s="39" t="n">
        <f aca="false">AB1559/(1-Resumo!$B$5)</f>
        <v>118.590875</v>
      </c>
      <c r="AD1559" s="39" t="n">
        <f aca="false">(AB1559-AA1559)/(1-Resumo!$B$5)</f>
        <v>103.249965909091</v>
      </c>
      <c r="AE1559" s="39" t="n">
        <f aca="false">AC1559-T1559</f>
        <v>36.1091047727273</v>
      </c>
      <c r="AF1559" s="40" t="n">
        <f aca="false">AC1559/T1559-1</f>
        <v>0.437782853995873</v>
      </c>
      <c r="AG1559" s="37" t="str">
        <f aca="false">IF(AC1559&lt;T1559,"SIM","NÃO")</f>
        <v>NÃO</v>
      </c>
      <c r="AH1559" s="37" t="n">
        <v>8</v>
      </c>
      <c r="AI1559" s="37" t="n">
        <v>5</v>
      </c>
      <c r="AJ1559" s="37" t="s">
        <v>323</v>
      </c>
    </row>
    <row r="1560" customFormat="false" ht="15" hidden="false" customHeight="false" outlineLevel="0" collapsed="false">
      <c r="A1560" s="37" t="n">
        <v>388137074</v>
      </c>
      <c r="B1560" s="38" t="n">
        <v>46268.7600578704</v>
      </c>
      <c r="C1560" s="37" t="s">
        <v>320</v>
      </c>
      <c r="D1560" s="37" t="s">
        <v>1755</v>
      </c>
      <c r="E1560" s="37" t="n">
        <v>26423400</v>
      </c>
      <c r="F1560" s="37" t="s">
        <v>223</v>
      </c>
      <c r="G1560" s="37" t="s">
        <v>201</v>
      </c>
      <c r="H1560" s="37" t="s">
        <v>170</v>
      </c>
      <c r="I1560" s="37" t="n">
        <v>48.3</v>
      </c>
      <c r="J1560" s="39" t="n">
        <v>440.89</v>
      </c>
      <c r="K1560" s="37" t="s">
        <v>322</v>
      </c>
      <c r="L1560" s="39" t="n">
        <v>130.27</v>
      </c>
      <c r="M1560" s="39" t="n">
        <v>94</v>
      </c>
      <c r="N1560" s="39" t="n">
        <f aca="false">J1560*Resumo!$C$7</f>
        <v>0.88178</v>
      </c>
      <c r="O1560" s="39" t="n">
        <f aca="false">J1560*Resumo!$C$8</f>
        <v>0.88178</v>
      </c>
      <c r="P1560" s="39" t="n">
        <f aca="false">Resumo!$C$10*CEILING(I1560/100,1)</f>
        <v>1</v>
      </c>
      <c r="Q1560" s="39" t="n">
        <f aca="false">Resumo!$C$9</f>
        <v>11.9</v>
      </c>
      <c r="R1560" s="39" t="n">
        <f aca="false">SUM(M1560:Q1560)*Resumo!$C$11</f>
        <v>5.9764958</v>
      </c>
      <c r="S1560" s="39" t="n">
        <f aca="false">SUM(M1560:R1560)</f>
        <v>114.6400558</v>
      </c>
      <c r="T1560" s="39" t="n">
        <f aca="false">S1560/(1-Resumo!$C$5)</f>
        <v>130.272790681818</v>
      </c>
      <c r="U1560" s="39" t="n">
        <v>93.97</v>
      </c>
      <c r="V1560" s="39" t="n">
        <f aca="false">J1560*Resumo!$B$6</f>
        <v>0.44089</v>
      </c>
      <c r="W1560" s="39" t="n">
        <f aca="false">J1560*Resumo!$B$7</f>
        <v>0.88178</v>
      </c>
      <c r="X1560" s="39" t="n">
        <f aca="false">Resumo!$B$9</f>
        <v>1</v>
      </c>
      <c r="Y1560" s="39" t="n">
        <f aca="false">Resumo!$B$10*CEILING(I1560/100,1)</f>
        <v>4.5</v>
      </c>
      <c r="Z1560" s="39" t="n">
        <f aca="false">Resumo!$B$12*CEILING(I1560,1)</f>
        <v>2.94</v>
      </c>
      <c r="AA1560" s="39" t="n">
        <f aca="false">Resumo!$B$13*CEILING(I1560,1)</f>
        <v>22.05</v>
      </c>
      <c r="AB1560" s="39" t="n">
        <f aca="false">SUM(U1560:AA1560)</f>
        <v>125.78267</v>
      </c>
      <c r="AC1560" s="39" t="n">
        <f aca="false">AB1560/(1-Resumo!$B$5)</f>
        <v>142.934852272727</v>
      </c>
      <c r="AD1560" s="39" t="n">
        <f aca="false">(AB1560-AA1560)/(1-Resumo!$B$5)</f>
        <v>117.878034090909</v>
      </c>
      <c r="AE1560" s="39" t="n">
        <f aca="false">AC1560-T1560</f>
        <v>12.6620615909091</v>
      </c>
      <c r="AF1560" s="40" t="n">
        <f aca="false">AC1560/T1560-1</f>
        <v>0.0971965175892735</v>
      </c>
      <c r="AG1560" s="37" t="str">
        <f aca="false">IF(AC1560&lt;T1560,"SIM","NÃO")</f>
        <v>NÃO</v>
      </c>
      <c r="AH1560" s="37" t="n">
        <v>13</v>
      </c>
      <c r="AI1560" s="37" t="n">
        <v>5</v>
      </c>
      <c r="AJ1560" s="37" t="s">
        <v>327</v>
      </c>
    </row>
    <row r="1561" customFormat="false" ht="15" hidden="false" customHeight="false" outlineLevel="0" collapsed="false">
      <c r="A1561" s="37" t="n">
        <v>388139974</v>
      </c>
      <c r="B1561" s="38" t="n">
        <v>46268.7658912037</v>
      </c>
      <c r="C1561" s="37" t="s">
        <v>320</v>
      </c>
      <c r="D1561" s="37" t="s">
        <v>1756</v>
      </c>
      <c r="E1561" s="37" t="n">
        <v>20541125</v>
      </c>
      <c r="F1561" s="37" t="s">
        <v>139</v>
      </c>
      <c r="G1561" s="37" t="s">
        <v>198</v>
      </c>
      <c r="H1561" s="37" t="s">
        <v>168</v>
      </c>
      <c r="I1561" s="37" t="n">
        <v>33</v>
      </c>
      <c r="J1561" s="39" t="n">
        <v>438.93</v>
      </c>
      <c r="K1561" s="37" t="s">
        <v>322</v>
      </c>
      <c r="L1561" s="39" t="n">
        <v>82.43</v>
      </c>
      <c r="M1561" s="39" t="n">
        <v>54.1</v>
      </c>
      <c r="N1561" s="39" t="n">
        <f aca="false">J1561*Resumo!$C$7</f>
        <v>0.87786</v>
      </c>
      <c r="O1561" s="39" t="n">
        <f aca="false">J1561*Resumo!$C$8</f>
        <v>0.87786</v>
      </c>
      <c r="P1561" s="39" t="n">
        <f aca="false">Resumo!$C$10*CEILING(I1561/100,1)</f>
        <v>1</v>
      </c>
      <c r="Q1561" s="39" t="n">
        <f aca="false">Resumo!$C$9</f>
        <v>11.9</v>
      </c>
      <c r="R1561" s="39" t="n">
        <f aca="false">SUM(M1561:Q1561)*Resumo!$C$11</f>
        <v>3.7815646</v>
      </c>
      <c r="S1561" s="39" t="n">
        <f aca="false">SUM(M1561:R1561)</f>
        <v>72.5372846</v>
      </c>
      <c r="T1561" s="39" t="n">
        <f aca="false">S1561/(1-Resumo!$C$5)</f>
        <v>82.4287325</v>
      </c>
      <c r="U1561" s="39" t="n">
        <v>82.21</v>
      </c>
      <c r="V1561" s="39" t="n">
        <f aca="false">J1561*Resumo!$B$6</f>
        <v>0.43893</v>
      </c>
      <c r="W1561" s="39" t="n">
        <f aca="false">J1561*Resumo!$B$7</f>
        <v>0.87786</v>
      </c>
      <c r="X1561" s="39" t="n">
        <f aca="false">Resumo!$B$9</f>
        <v>1</v>
      </c>
      <c r="Y1561" s="39" t="n">
        <f aca="false">Resumo!$B$10*CEILING(I1561/100,1)</f>
        <v>4.5</v>
      </c>
      <c r="Z1561" s="39" t="n">
        <f aca="false">Resumo!$B$12*CEILING(I1561,1)</f>
        <v>1.98</v>
      </c>
      <c r="AA1561" s="39" t="n">
        <f aca="false">Resumo!$B$13*CEILING(I1561,1)</f>
        <v>14.85</v>
      </c>
      <c r="AB1561" s="39" t="n">
        <f aca="false">SUM(U1561:AA1561)</f>
        <v>105.85679</v>
      </c>
      <c r="AC1561" s="39" t="n">
        <f aca="false">AB1561/(1-Resumo!$B$5)</f>
        <v>120.291806818182</v>
      </c>
      <c r="AD1561" s="39" t="n">
        <f aca="false">(AB1561-AA1561)/(1-Resumo!$B$5)</f>
        <v>103.416806818182</v>
      </c>
      <c r="AE1561" s="39" t="n">
        <f aca="false">AC1561-T1561</f>
        <v>37.8630743181818</v>
      </c>
      <c r="AF1561" s="40" t="n">
        <f aca="false">AC1561/T1561-1</f>
        <v>0.459343158263192</v>
      </c>
      <c r="AG1561" s="37" t="str">
        <f aca="false">IF(AC1561&lt;T1561,"SIM","NÃO")</f>
        <v>NÃO</v>
      </c>
      <c r="AH1561" s="37" t="n">
        <v>8</v>
      </c>
      <c r="AI1561" s="37" t="n">
        <v>5</v>
      </c>
      <c r="AJ1561" s="37" t="s">
        <v>323</v>
      </c>
    </row>
    <row r="1562" customFormat="false" ht="15" hidden="false" customHeight="false" outlineLevel="0" collapsed="false">
      <c r="A1562" s="37" t="n">
        <v>388142424</v>
      </c>
      <c r="B1562" s="38" t="n">
        <v>46268.7711689815</v>
      </c>
      <c r="C1562" s="37" t="s">
        <v>359</v>
      </c>
      <c r="D1562" s="37" t="s">
        <v>1757</v>
      </c>
      <c r="E1562" s="37" t="n">
        <v>24344150</v>
      </c>
      <c r="F1562" s="37" t="s">
        <v>143</v>
      </c>
      <c r="G1562" s="37" t="s">
        <v>207</v>
      </c>
      <c r="H1562" s="37" t="s">
        <v>168</v>
      </c>
      <c r="I1562" s="37" t="n">
        <v>24.4</v>
      </c>
      <c r="J1562" s="39" t="n">
        <v>349.99</v>
      </c>
      <c r="K1562" s="37" t="s">
        <v>322</v>
      </c>
      <c r="L1562" s="39" t="n">
        <v>101.07</v>
      </c>
      <c r="M1562" s="39" t="n">
        <v>70</v>
      </c>
      <c r="N1562" s="39" t="n">
        <f aca="false">J1562*Resumo!$C$7</f>
        <v>0.69998</v>
      </c>
      <c r="O1562" s="39" t="n">
        <f aca="false">J1562*Resumo!$C$8</f>
        <v>0.69998</v>
      </c>
      <c r="P1562" s="39" t="n">
        <f aca="false">Resumo!$C$10*CEILING(I1562/100,1)</f>
        <v>1</v>
      </c>
      <c r="Q1562" s="39" t="n">
        <f aca="false">Resumo!$C$9</f>
        <v>11.9</v>
      </c>
      <c r="R1562" s="39" t="n">
        <f aca="false">SUM(M1562:Q1562)*Resumo!$C$11</f>
        <v>4.6364978</v>
      </c>
      <c r="S1562" s="39" t="n">
        <f aca="false">SUM(M1562:R1562)</f>
        <v>88.9364578</v>
      </c>
      <c r="T1562" s="39" t="n">
        <f aca="false">S1562/(1-Resumo!$C$5)</f>
        <v>101.064156590909</v>
      </c>
      <c r="U1562" s="39" t="n">
        <v>100.58</v>
      </c>
      <c r="V1562" s="39" t="n">
        <f aca="false">J1562*Resumo!$B$6</f>
        <v>0.34999</v>
      </c>
      <c r="W1562" s="39" t="n">
        <f aca="false">J1562*Resumo!$B$7</f>
        <v>0.69998</v>
      </c>
      <c r="X1562" s="39" t="n">
        <f aca="false">Resumo!$B$9</f>
        <v>1</v>
      </c>
      <c r="Y1562" s="39" t="n">
        <f aca="false">Resumo!$B$10*CEILING(I1562/100,1)</f>
        <v>4.5</v>
      </c>
      <c r="Z1562" s="39" t="n">
        <f aca="false">Resumo!$B$12*CEILING(I1562,1)</f>
        <v>1.5</v>
      </c>
      <c r="AA1562" s="39" t="n">
        <f aca="false">Resumo!$B$13*CEILING(I1562,1)</f>
        <v>11.25</v>
      </c>
      <c r="AB1562" s="39" t="n">
        <f aca="false">SUM(U1562:AA1562)</f>
        <v>119.87997</v>
      </c>
      <c r="AC1562" s="39" t="n">
        <f aca="false">AB1562/(1-Resumo!$B$5)</f>
        <v>136.227238636364</v>
      </c>
      <c r="AD1562" s="39" t="n">
        <f aca="false">(AB1562-AA1562)/(1-Resumo!$B$5)</f>
        <v>123.443147727273</v>
      </c>
      <c r="AE1562" s="39" t="n">
        <f aca="false">AC1562-T1562</f>
        <v>35.1630820454545</v>
      </c>
      <c r="AF1562" s="40" t="n">
        <f aca="false">AC1562/T1562-1</f>
        <v>0.347928318323467</v>
      </c>
      <c r="AG1562" s="37" t="str">
        <f aca="false">IF(AC1562&lt;T1562,"SIM","NÃO")</f>
        <v>NÃO</v>
      </c>
      <c r="AH1562" s="37" t="n">
        <v>10</v>
      </c>
      <c r="AI1562" s="37" t="n">
        <v>7</v>
      </c>
      <c r="AJ1562" s="37" t="s">
        <v>323</v>
      </c>
    </row>
    <row r="1563" customFormat="false" ht="15" hidden="false" customHeight="false" outlineLevel="0" collapsed="false">
      <c r="A1563" s="37" t="n">
        <v>388199139</v>
      </c>
      <c r="B1563" s="38" t="n">
        <v>46268.8809027778</v>
      </c>
      <c r="C1563" s="37" t="s">
        <v>325</v>
      </c>
      <c r="D1563" s="37" t="s">
        <v>1758</v>
      </c>
      <c r="E1563" s="37" t="n">
        <v>22780081</v>
      </c>
      <c r="F1563" s="37" t="s">
        <v>139</v>
      </c>
      <c r="G1563" s="37" t="s">
        <v>198</v>
      </c>
      <c r="H1563" s="37" t="s">
        <v>167</v>
      </c>
      <c r="I1563" s="37" t="n">
        <v>13.18</v>
      </c>
      <c r="J1563" s="39" t="n">
        <v>245.9</v>
      </c>
      <c r="K1563" s="37" t="s">
        <v>322</v>
      </c>
      <c r="L1563" s="39" t="n">
        <v>64.39</v>
      </c>
      <c r="M1563" s="39" t="n">
        <v>39.83</v>
      </c>
      <c r="N1563" s="39" t="n">
        <f aca="false">J1563*Resumo!$C$7</f>
        <v>0.4918</v>
      </c>
      <c r="O1563" s="39" t="n">
        <f aca="false">J1563*Resumo!$C$8</f>
        <v>0.4918</v>
      </c>
      <c r="P1563" s="39" t="n">
        <f aca="false">Resumo!$C$10*CEILING(I1563/100,1)</f>
        <v>1</v>
      </c>
      <c r="Q1563" s="39" t="n">
        <f aca="false">Resumo!$C$9</f>
        <v>11.9</v>
      </c>
      <c r="R1563" s="39" t="n">
        <f aca="false">SUM(M1563:Q1563)*Resumo!$C$11</f>
        <v>2.954248</v>
      </c>
      <c r="S1563" s="39" t="n">
        <f aca="false">SUM(M1563:R1563)</f>
        <v>56.667848</v>
      </c>
      <c r="T1563" s="39" t="n">
        <f aca="false">S1563/(1-Resumo!$C$5)</f>
        <v>64.3952818181818</v>
      </c>
      <c r="U1563" s="39" t="n">
        <v>46.98</v>
      </c>
      <c r="V1563" s="39" t="n">
        <f aca="false">J1563*Resumo!$B$6</f>
        <v>0.2459</v>
      </c>
      <c r="W1563" s="39" t="n">
        <f aca="false">J1563*Resumo!$B$7</f>
        <v>0.4918</v>
      </c>
      <c r="X1563" s="39" t="n">
        <f aca="false">Resumo!$B$9</f>
        <v>1</v>
      </c>
      <c r="Y1563" s="39" t="n">
        <f aca="false">Resumo!$B$10*CEILING(I1563/100,1)</f>
        <v>4.5</v>
      </c>
      <c r="Z1563" s="39" t="n">
        <f aca="false">Resumo!$B$12*CEILING(I1563,1)</f>
        <v>0.84</v>
      </c>
      <c r="AA1563" s="39" t="n">
        <f aca="false">Resumo!$B$13*CEILING(I1563,1)</f>
        <v>6.3</v>
      </c>
      <c r="AB1563" s="39" t="n">
        <f aca="false">SUM(U1563:AA1563)</f>
        <v>60.3577</v>
      </c>
      <c r="AC1563" s="39" t="n">
        <f aca="false">AB1563/(1-Resumo!$B$5)</f>
        <v>68.5882954545455</v>
      </c>
      <c r="AD1563" s="39" t="n">
        <f aca="false">(AB1563-AA1563)/(1-Resumo!$B$5)</f>
        <v>61.4292045454545</v>
      </c>
      <c r="AE1563" s="39" t="n">
        <f aca="false">AC1563-T1563</f>
        <v>4.19301363636363</v>
      </c>
      <c r="AF1563" s="40" t="n">
        <f aca="false">AC1563/T1563-1</f>
        <v>0.0651136778654449</v>
      </c>
      <c r="AG1563" s="37" t="str">
        <f aca="false">IF(AC1563&lt;T1563,"SIM","NÃO")</f>
        <v>NÃO</v>
      </c>
      <c r="AH1563" s="37" t="n">
        <v>8</v>
      </c>
      <c r="AI1563" s="37" t="n">
        <v>5</v>
      </c>
      <c r="AJ1563" s="37" t="s">
        <v>323</v>
      </c>
    </row>
    <row r="1564" customFormat="false" ht="15" hidden="false" customHeight="false" outlineLevel="0" collapsed="false">
      <c r="A1564" s="37" t="n">
        <v>388199440</v>
      </c>
      <c r="B1564" s="38" t="n">
        <v>46268.8821875</v>
      </c>
      <c r="C1564" s="37" t="s">
        <v>359</v>
      </c>
      <c r="D1564" s="37" t="s">
        <v>1759</v>
      </c>
      <c r="E1564" s="37" t="n">
        <v>22220060</v>
      </c>
      <c r="F1564" s="37" t="s">
        <v>139</v>
      </c>
      <c r="G1564" s="37" t="s">
        <v>198</v>
      </c>
      <c r="H1564" s="37" t="s">
        <v>168</v>
      </c>
      <c r="I1564" s="37" t="n">
        <v>33</v>
      </c>
      <c r="J1564" s="39" t="n">
        <v>439.99</v>
      </c>
      <c r="K1564" s="37" t="s">
        <v>1760</v>
      </c>
      <c r="L1564" s="39" t="n">
        <v>82.17</v>
      </c>
      <c r="M1564" s="39" t="n">
        <v>54.1</v>
      </c>
      <c r="N1564" s="39" t="n">
        <f aca="false">J1564*Resumo!$C$7</f>
        <v>0.87998</v>
      </c>
      <c r="O1564" s="39" t="n">
        <f aca="false">J1564*Resumo!$C$8</f>
        <v>0.87998</v>
      </c>
      <c r="P1564" s="39" t="n">
        <f aca="false">Resumo!$C$10*CEILING(I1564/100,1)</f>
        <v>1</v>
      </c>
      <c r="Q1564" s="39" t="n">
        <f aca="false">Resumo!$C$9</f>
        <v>11.9</v>
      </c>
      <c r="R1564" s="39" t="n">
        <f aca="false">SUM(M1564:Q1564)*Resumo!$C$11</f>
        <v>3.7817978</v>
      </c>
      <c r="S1564" s="39" t="n">
        <f aca="false">SUM(M1564:R1564)</f>
        <v>72.5417578</v>
      </c>
      <c r="T1564" s="39" t="n">
        <f aca="false">S1564/(1-Resumo!$C$5)</f>
        <v>82.4338156818182</v>
      </c>
      <c r="U1564" s="39" t="n">
        <v>82.21</v>
      </c>
      <c r="V1564" s="39" t="n">
        <f aca="false">J1564*Resumo!$B$6</f>
        <v>0.43999</v>
      </c>
      <c r="W1564" s="39" t="n">
        <f aca="false">J1564*Resumo!$B$7</f>
        <v>0.87998</v>
      </c>
      <c r="X1564" s="39" t="n">
        <f aca="false">Resumo!$B$9</f>
        <v>1</v>
      </c>
      <c r="Y1564" s="39" t="n">
        <f aca="false">Resumo!$B$10*CEILING(I1564/100,1)</f>
        <v>4.5</v>
      </c>
      <c r="Z1564" s="39" t="n">
        <f aca="false">Resumo!$B$12*CEILING(I1564,1)</f>
        <v>1.98</v>
      </c>
      <c r="AA1564" s="39" t="n">
        <f aca="false">Resumo!$B$13*CEILING(I1564,1)</f>
        <v>14.85</v>
      </c>
      <c r="AB1564" s="39" t="n">
        <f aca="false">SUM(U1564:AA1564)</f>
        <v>105.85997</v>
      </c>
      <c r="AC1564" s="39" t="n">
        <f aca="false">AB1564/(1-Resumo!$B$5)</f>
        <v>120.295420454545</v>
      </c>
      <c r="AD1564" s="39" t="n">
        <f aca="false">(AB1564-AA1564)/(1-Resumo!$B$5)</f>
        <v>103.420420454545</v>
      </c>
      <c r="AE1564" s="39" t="n">
        <f aca="false">AC1564-T1564</f>
        <v>37.8616047727272</v>
      </c>
      <c r="AF1564" s="40" t="n">
        <f aca="false">AC1564/T1564-1</f>
        <v>0.459297006447781</v>
      </c>
      <c r="AG1564" s="37" t="str">
        <f aca="false">IF(AC1564&lt;T1564,"SIM","NÃO")</f>
        <v>NÃO</v>
      </c>
      <c r="AH1564" s="37" t="n">
        <v>8</v>
      </c>
      <c r="AI1564" s="37" t="n">
        <v>5</v>
      </c>
      <c r="AJ1564" s="37" t="s">
        <v>323</v>
      </c>
    </row>
    <row r="1565" customFormat="false" ht="15" hidden="false" customHeight="false" outlineLevel="0" collapsed="false">
      <c r="A1565" s="37" t="n">
        <v>388203943</v>
      </c>
      <c r="B1565" s="38" t="n">
        <v>46268.8938194444</v>
      </c>
      <c r="C1565" s="37" t="s">
        <v>352</v>
      </c>
      <c r="D1565" s="37" t="s">
        <v>1761</v>
      </c>
      <c r="E1565" s="37" t="n">
        <v>23073356</v>
      </c>
      <c r="F1565" s="37" t="s">
        <v>139</v>
      </c>
      <c r="G1565" s="37" t="s">
        <v>198</v>
      </c>
      <c r="H1565" s="37" t="s">
        <v>169</v>
      </c>
      <c r="I1565" s="37" t="n">
        <v>36.8</v>
      </c>
      <c r="J1565" s="39" t="n">
        <v>379.99</v>
      </c>
      <c r="K1565" s="37" t="s">
        <v>322</v>
      </c>
      <c r="L1565" s="39" t="n">
        <v>91.68</v>
      </c>
      <c r="M1565" s="39" t="n">
        <v>62.05</v>
      </c>
      <c r="N1565" s="39" t="n">
        <f aca="false">J1565*Resumo!$C$7</f>
        <v>0.75998</v>
      </c>
      <c r="O1565" s="39" t="n">
        <f aca="false">J1565*Resumo!$C$8</f>
        <v>0.75998</v>
      </c>
      <c r="P1565" s="39" t="n">
        <f aca="false">Resumo!$C$10*CEILING(I1565/100,1)</f>
        <v>1</v>
      </c>
      <c r="Q1565" s="39" t="n">
        <f aca="false">Resumo!$C$9</f>
        <v>11.9</v>
      </c>
      <c r="R1565" s="39" t="n">
        <f aca="false">SUM(M1565:Q1565)*Resumo!$C$11</f>
        <v>4.2058478</v>
      </c>
      <c r="S1565" s="39" t="n">
        <f aca="false">SUM(M1565:R1565)</f>
        <v>80.6758078</v>
      </c>
      <c r="T1565" s="39" t="n">
        <f aca="false">S1565/(1-Resumo!$C$5)</f>
        <v>91.6770543181818</v>
      </c>
      <c r="U1565" s="39" t="n">
        <v>93.97</v>
      </c>
      <c r="V1565" s="39" t="n">
        <f aca="false">J1565*Resumo!$B$6</f>
        <v>0.37999</v>
      </c>
      <c r="W1565" s="39" t="n">
        <f aca="false">J1565*Resumo!$B$7</f>
        <v>0.75998</v>
      </c>
      <c r="X1565" s="39" t="n">
        <f aca="false">Resumo!$B$9</f>
        <v>1</v>
      </c>
      <c r="Y1565" s="39" t="n">
        <f aca="false">Resumo!$B$10*CEILING(I1565/100,1)</f>
        <v>4.5</v>
      </c>
      <c r="Z1565" s="39" t="n">
        <f aca="false">Resumo!$B$12*CEILING(I1565,1)</f>
        <v>2.22</v>
      </c>
      <c r="AA1565" s="39" t="n">
        <f aca="false">Resumo!$B$13*CEILING(I1565,1)</f>
        <v>16.65</v>
      </c>
      <c r="AB1565" s="39" t="n">
        <f aca="false">SUM(U1565:AA1565)</f>
        <v>119.47997</v>
      </c>
      <c r="AC1565" s="39" t="n">
        <f aca="false">AB1565/(1-Resumo!$B$5)</f>
        <v>135.772693181818</v>
      </c>
      <c r="AD1565" s="39" t="n">
        <f aca="false">(AB1565-AA1565)/(1-Resumo!$B$5)</f>
        <v>116.852238636364</v>
      </c>
      <c r="AE1565" s="39" t="n">
        <f aca="false">AC1565-T1565</f>
        <v>44.0956388636364</v>
      </c>
      <c r="AF1565" s="40" t="n">
        <f aca="false">AC1565/T1565-1</f>
        <v>0.480988827483423</v>
      </c>
      <c r="AG1565" s="37" t="str">
        <f aca="false">IF(AC1565&lt;T1565,"SIM","NÃO")</f>
        <v>NÃO</v>
      </c>
      <c r="AH1565" s="37" t="n">
        <v>8</v>
      </c>
      <c r="AI1565" s="37" t="n">
        <v>5</v>
      </c>
      <c r="AJ1565" s="37" t="s">
        <v>323</v>
      </c>
    </row>
    <row r="1566" customFormat="false" ht="15" hidden="false" customHeight="false" outlineLevel="0" collapsed="false">
      <c r="A1566" s="37" t="n">
        <v>388209266</v>
      </c>
      <c r="B1566" s="38" t="n">
        <v>46268.9049305556</v>
      </c>
      <c r="C1566" s="37" t="s">
        <v>355</v>
      </c>
      <c r="D1566" s="37" t="s">
        <v>1762</v>
      </c>
      <c r="E1566" s="37" t="n">
        <v>22790180</v>
      </c>
      <c r="F1566" s="37" t="s">
        <v>139</v>
      </c>
      <c r="G1566" s="37" t="s">
        <v>198</v>
      </c>
      <c r="H1566" s="37" t="s">
        <v>167</v>
      </c>
      <c r="I1566" s="37" t="n">
        <v>15.15</v>
      </c>
      <c r="J1566" s="39" t="n">
        <v>249.99</v>
      </c>
      <c r="K1566" s="37" t="s">
        <v>322</v>
      </c>
      <c r="L1566" s="39" t="n">
        <v>64.42</v>
      </c>
      <c r="M1566" s="39" t="n">
        <v>39.83</v>
      </c>
      <c r="N1566" s="39" t="n">
        <f aca="false">J1566*Resumo!$C$7</f>
        <v>0.49998</v>
      </c>
      <c r="O1566" s="39" t="n">
        <f aca="false">J1566*Resumo!$C$8</f>
        <v>0.49998</v>
      </c>
      <c r="P1566" s="39" t="n">
        <f aca="false">Resumo!$C$10*CEILING(I1566/100,1)</f>
        <v>1</v>
      </c>
      <c r="Q1566" s="39" t="n">
        <f aca="false">Resumo!$C$9</f>
        <v>11.9</v>
      </c>
      <c r="R1566" s="39" t="n">
        <f aca="false">SUM(M1566:Q1566)*Resumo!$C$11</f>
        <v>2.9551478</v>
      </c>
      <c r="S1566" s="39" t="n">
        <f aca="false">SUM(M1566:R1566)</f>
        <v>56.6851078</v>
      </c>
      <c r="T1566" s="39" t="n">
        <f aca="false">S1566/(1-Resumo!$C$5)</f>
        <v>64.4148952272727</v>
      </c>
      <c r="U1566" s="39" t="n">
        <v>46.98</v>
      </c>
      <c r="V1566" s="39" t="n">
        <f aca="false">J1566*Resumo!$B$6</f>
        <v>0.24999</v>
      </c>
      <c r="W1566" s="39" t="n">
        <f aca="false">J1566*Resumo!$B$7</f>
        <v>0.49998</v>
      </c>
      <c r="X1566" s="39" t="n">
        <f aca="false">Resumo!$B$9</f>
        <v>1</v>
      </c>
      <c r="Y1566" s="39" t="n">
        <f aca="false">Resumo!$B$10*CEILING(I1566/100,1)</f>
        <v>4.5</v>
      </c>
      <c r="Z1566" s="39" t="n">
        <f aca="false">Resumo!$B$12*CEILING(I1566,1)</f>
        <v>0.96</v>
      </c>
      <c r="AA1566" s="39" t="n">
        <f aca="false">Resumo!$B$13*CEILING(I1566,1)</f>
        <v>7.2</v>
      </c>
      <c r="AB1566" s="39" t="n">
        <f aca="false">SUM(U1566:AA1566)</f>
        <v>61.38997</v>
      </c>
      <c r="AC1566" s="39" t="n">
        <f aca="false">AB1566/(1-Resumo!$B$5)</f>
        <v>69.7613295454545</v>
      </c>
      <c r="AD1566" s="39" t="n">
        <f aca="false">(AB1566-AA1566)/(1-Resumo!$B$5)</f>
        <v>61.5795113636364</v>
      </c>
      <c r="AE1566" s="39" t="n">
        <f aca="false">AC1566-T1566</f>
        <v>5.34643431818182</v>
      </c>
      <c r="AF1566" s="40" t="n">
        <f aca="false">AC1566/T1566-1</f>
        <v>0.0829999691735615</v>
      </c>
      <c r="AG1566" s="37" t="str">
        <f aca="false">IF(AC1566&lt;T1566,"SIM","NÃO")</f>
        <v>NÃO</v>
      </c>
      <c r="AH1566" s="37" t="n">
        <v>8</v>
      </c>
      <c r="AI1566" s="37" t="n">
        <v>5</v>
      </c>
      <c r="AJ1566" s="37" t="s">
        <v>323</v>
      </c>
    </row>
    <row r="1567" customFormat="false" ht="15" hidden="false" customHeight="false" outlineLevel="0" collapsed="false">
      <c r="A1567" s="37" t="n">
        <v>388232763</v>
      </c>
      <c r="B1567" s="38" t="n">
        <v>46268.943599537</v>
      </c>
      <c r="C1567" s="37" t="s">
        <v>320</v>
      </c>
      <c r="D1567" s="37" t="s">
        <v>1763</v>
      </c>
      <c r="E1567" s="37" t="n">
        <v>24340080</v>
      </c>
      <c r="F1567" s="37" t="s">
        <v>143</v>
      </c>
      <c r="G1567" s="37" t="s">
        <v>207</v>
      </c>
      <c r="H1567" s="37" t="s">
        <v>169</v>
      </c>
      <c r="I1567" s="37" t="n">
        <v>37.6</v>
      </c>
      <c r="J1567" s="39" t="n">
        <v>391.9</v>
      </c>
      <c r="K1567" s="37" t="s">
        <v>322</v>
      </c>
      <c r="L1567" s="39" t="n">
        <v>112.83</v>
      </c>
      <c r="M1567" s="39" t="n">
        <v>79.65</v>
      </c>
      <c r="N1567" s="39" t="n">
        <f aca="false">J1567*Resumo!$C$7</f>
        <v>0.7838</v>
      </c>
      <c r="O1567" s="39" t="n">
        <f aca="false">J1567*Resumo!$C$8</f>
        <v>0.7838</v>
      </c>
      <c r="P1567" s="39" t="n">
        <f aca="false">Resumo!$C$10*CEILING(I1567/100,1)</f>
        <v>1</v>
      </c>
      <c r="Q1567" s="39" t="n">
        <f aca="false">Resumo!$C$9</f>
        <v>11.9</v>
      </c>
      <c r="R1567" s="39" t="n">
        <f aca="false">SUM(M1567:Q1567)*Resumo!$C$11</f>
        <v>5.176468</v>
      </c>
      <c r="S1567" s="39" t="n">
        <f aca="false">SUM(M1567:R1567)</f>
        <v>99.294068</v>
      </c>
      <c r="T1567" s="39" t="n">
        <f aca="false">S1567/(1-Resumo!$C$5)</f>
        <v>112.834168181818</v>
      </c>
      <c r="U1567" s="39" t="n">
        <v>114.95</v>
      </c>
      <c r="V1567" s="39" t="n">
        <f aca="false">J1567*Resumo!$B$6</f>
        <v>0.3919</v>
      </c>
      <c r="W1567" s="39" t="n">
        <f aca="false">J1567*Resumo!$B$7</f>
        <v>0.7838</v>
      </c>
      <c r="X1567" s="39" t="n">
        <f aca="false">Resumo!$B$9</f>
        <v>1</v>
      </c>
      <c r="Y1567" s="39" t="n">
        <f aca="false">Resumo!$B$10*CEILING(I1567/100,1)</f>
        <v>4.5</v>
      </c>
      <c r="Z1567" s="39" t="n">
        <f aca="false">Resumo!$B$12*CEILING(I1567,1)</f>
        <v>2.28</v>
      </c>
      <c r="AA1567" s="39" t="n">
        <f aca="false">Resumo!$B$13*CEILING(I1567,1)</f>
        <v>17.1</v>
      </c>
      <c r="AB1567" s="39" t="n">
        <f aca="false">SUM(U1567:AA1567)</f>
        <v>141.0057</v>
      </c>
      <c r="AC1567" s="39" t="n">
        <f aca="false">AB1567/(1-Resumo!$B$5)</f>
        <v>160.23375</v>
      </c>
      <c r="AD1567" s="39" t="n">
        <f aca="false">(AB1567-AA1567)/(1-Resumo!$B$5)</f>
        <v>140.801931818182</v>
      </c>
      <c r="AE1567" s="39" t="n">
        <f aca="false">AC1567-T1567</f>
        <v>47.3995818181818</v>
      </c>
      <c r="AF1567" s="40" t="n">
        <f aca="false">AC1567/T1567-1</f>
        <v>0.42008181193664</v>
      </c>
      <c r="AG1567" s="37" t="str">
        <f aca="false">IF(AC1567&lt;T1567,"SIM","NÃO")</f>
        <v>NÃO</v>
      </c>
      <c r="AH1567" s="37" t="n">
        <v>10</v>
      </c>
      <c r="AI1567" s="37" t="n">
        <v>7</v>
      </c>
      <c r="AJ1567" s="37" t="s">
        <v>323</v>
      </c>
    </row>
    <row r="1568" customFormat="false" ht="15" hidden="false" customHeight="false" outlineLevel="0" collapsed="false">
      <c r="A1568" s="37" t="n">
        <v>388245707</v>
      </c>
      <c r="B1568" s="38" t="n">
        <v>46268.9658449074</v>
      </c>
      <c r="C1568" s="37" t="s">
        <v>325</v>
      </c>
      <c r="D1568" s="37" t="s">
        <v>1764</v>
      </c>
      <c r="E1568" s="37" t="n">
        <v>23013420</v>
      </c>
      <c r="F1568" s="37" t="s">
        <v>139</v>
      </c>
      <c r="G1568" s="37" t="s">
        <v>198</v>
      </c>
      <c r="H1568" s="37" t="s">
        <v>172</v>
      </c>
      <c r="I1568" s="37" t="n">
        <v>69.15</v>
      </c>
      <c r="J1568" s="39" t="n">
        <v>697.84</v>
      </c>
      <c r="K1568" s="37" t="s">
        <v>322</v>
      </c>
      <c r="L1568" s="39" t="n">
        <v>124.56</v>
      </c>
      <c r="M1568" s="39" t="n">
        <v>88.2</v>
      </c>
      <c r="N1568" s="39" t="n">
        <f aca="false">J1568*Resumo!$C$7</f>
        <v>1.39568</v>
      </c>
      <c r="O1568" s="39" t="n">
        <f aca="false">J1568*Resumo!$C$8</f>
        <v>1.39568</v>
      </c>
      <c r="P1568" s="39" t="n">
        <f aca="false">Resumo!$C$10*CEILING(I1568/100,1)</f>
        <v>1</v>
      </c>
      <c r="Q1568" s="39" t="n">
        <f aca="false">Resumo!$C$9</f>
        <v>11.9</v>
      </c>
      <c r="R1568" s="39" t="n">
        <f aca="false">SUM(M1568:Q1568)*Resumo!$C$11</f>
        <v>5.7140248</v>
      </c>
      <c r="S1568" s="39" t="n">
        <f aca="false">SUM(M1568:R1568)</f>
        <v>109.6053848</v>
      </c>
      <c r="T1568" s="39" t="n">
        <f aca="false">S1568/(1-Resumo!$C$5)</f>
        <v>124.551573636364</v>
      </c>
      <c r="U1568" s="39" t="n">
        <v>131.02</v>
      </c>
      <c r="V1568" s="39" t="n">
        <f aca="false">J1568*Resumo!$B$6</f>
        <v>0.69784</v>
      </c>
      <c r="W1568" s="39" t="n">
        <f aca="false">J1568*Resumo!$B$7</f>
        <v>1.39568</v>
      </c>
      <c r="X1568" s="39" t="n">
        <f aca="false">Resumo!$B$9</f>
        <v>1</v>
      </c>
      <c r="Y1568" s="39" t="n">
        <f aca="false">Resumo!$B$10*CEILING(I1568/100,1)</f>
        <v>4.5</v>
      </c>
      <c r="Z1568" s="39" t="n">
        <f aca="false">Resumo!$B$12*CEILING(I1568,1)</f>
        <v>4.2</v>
      </c>
      <c r="AA1568" s="39" t="n">
        <f aca="false">Resumo!$B$13*CEILING(I1568,1)</f>
        <v>31.5</v>
      </c>
      <c r="AB1568" s="39" t="n">
        <f aca="false">SUM(U1568:AA1568)</f>
        <v>174.31352</v>
      </c>
      <c r="AC1568" s="39" t="n">
        <f aca="false">AB1568/(1-Resumo!$B$5)</f>
        <v>198.083545454545</v>
      </c>
      <c r="AD1568" s="39" t="n">
        <f aca="false">(AB1568-AA1568)/(1-Resumo!$B$5)</f>
        <v>162.288090909091</v>
      </c>
      <c r="AE1568" s="39" t="n">
        <f aca="false">AC1568-T1568</f>
        <v>73.5319718181818</v>
      </c>
      <c r="AF1568" s="40" t="n">
        <f aca="false">AC1568/T1568-1</f>
        <v>0.590373687552621</v>
      </c>
      <c r="AG1568" s="37" t="str">
        <f aca="false">IF(AC1568&lt;T1568,"SIM","NÃO")</f>
        <v>NÃO</v>
      </c>
      <c r="AH1568" s="37" t="n">
        <v>8</v>
      </c>
      <c r="AI1568" s="37" t="n">
        <v>5</v>
      </c>
      <c r="AJ1568" s="37" t="s">
        <v>323</v>
      </c>
    </row>
    <row r="1569" customFormat="false" ht="15" hidden="false" customHeight="false" outlineLevel="0" collapsed="false">
      <c r="A1569" s="37" t="n">
        <v>388262241</v>
      </c>
      <c r="B1569" s="38" t="n">
        <v>46269.0034953704</v>
      </c>
      <c r="C1569" s="37" t="s">
        <v>320</v>
      </c>
      <c r="D1569" s="37" t="s">
        <v>812</v>
      </c>
      <c r="E1569" s="37" t="n">
        <v>26900000</v>
      </c>
      <c r="F1569" s="37" t="s">
        <v>228</v>
      </c>
      <c r="G1569" s="37" t="s">
        <v>201</v>
      </c>
      <c r="H1569" s="37" t="s">
        <v>167</v>
      </c>
      <c r="I1569" s="37" t="n">
        <v>19.5</v>
      </c>
      <c r="J1569" s="39" t="n">
        <v>379.99</v>
      </c>
      <c r="K1569" s="37" t="s">
        <v>322</v>
      </c>
      <c r="L1569" s="39" t="n">
        <v>80.48</v>
      </c>
      <c r="M1569" s="39" t="n">
        <v>52.71</v>
      </c>
      <c r="N1569" s="39" t="n">
        <f aca="false">J1569*Resumo!$C$7</f>
        <v>0.75998</v>
      </c>
      <c r="O1569" s="39" t="n">
        <f aca="false">J1569*Resumo!$C$8</f>
        <v>0.75998</v>
      </c>
      <c r="P1569" s="39" t="n">
        <f aca="false">Resumo!$C$10*CEILING(I1569/100,1)</f>
        <v>1</v>
      </c>
      <c r="Q1569" s="39" t="n">
        <f aca="false">Resumo!$C$9</f>
        <v>11.9</v>
      </c>
      <c r="R1569" s="39" t="n">
        <f aca="false">SUM(M1569:Q1569)*Resumo!$C$11</f>
        <v>3.6921478</v>
      </c>
      <c r="S1569" s="39" t="n">
        <f aca="false">SUM(M1569:R1569)</f>
        <v>70.8221078</v>
      </c>
      <c r="T1569" s="39" t="n">
        <f aca="false">S1569/(1-Resumo!$C$5)</f>
        <v>80.4796679545455</v>
      </c>
      <c r="U1569" s="39" t="n">
        <v>77.35</v>
      </c>
      <c r="V1569" s="39" t="n">
        <f aca="false">J1569*Resumo!$B$6</f>
        <v>0.37999</v>
      </c>
      <c r="W1569" s="39" t="n">
        <f aca="false">J1569*Resumo!$B$7</f>
        <v>0.75998</v>
      </c>
      <c r="X1569" s="39" t="n">
        <f aca="false">Resumo!$B$9</f>
        <v>1</v>
      </c>
      <c r="Y1569" s="39" t="n">
        <f aca="false">Resumo!$B$10*CEILING(I1569/100,1)</f>
        <v>4.5</v>
      </c>
      <c r="Z1569" s="39" t="n">
        <f aca="false">Resumo!$B$12*CEILING(I1569,1)</f>
        <v>1.2</v>
      </c>
      <c r="AA1569" s="39" t="n">
        <f aca="false">Resumo!$B$13*CEILING(I1569,1)</f>
        <v>9</v>
      </c>
      <c r="AB1569" s="39" t="n">
        <f aca="false">SUM(U1569:AA1569)</f>
        <v>94.18997</v>
      </c>
      <c r="AC1569" s="39" t="n">
        <f aca="false">AB1569/(1-Resumo!$B$5)</f>
        <v>107.034056818182</v>
      </c>
      <c r="AD1569" s="39" t="n">
        <f aca="false">(AB1569-AA1569)/(1-Resumo!$B$5)</f>
        <v>96.8067840909091</v>
      </c>
      <c r="AE1569" s="39" t="n">
        <f aca="false">AC1569-T1569</f>
        <v>26.5543888636364</v>
      </c>
      <c r="AF1569" s="40" t="n">
        <f aca="false">AC1569/T1569-1</f>
        <v>0.329951521154811</v>
      </c>
      <c r="AG1569" s="37" t="str">
        <f aca="false">IF(AC1569&lt;T1569,"SIM","NÃO")</f>
        <v>NÃO</v>
      </c>
      <c r="AH1569" s="37" t="n">
        <v>13</v>
      </c>
      <c r="AI1569" s="37" t="n">
        <v>10</v>
      </c>
      <c r="AJ1569" s="37" t="s">
        <v>327</v>
      </c>
    </row>
    <row r="1570" customFormat="false" ht="15" hidden="false" customHeight="false" outlineLevel="0" collapsed="false">
      <c r="A1570" s="37" t="n">
        <v>388345134</v>
      </c>
      <c r="B1570" s="38" t="n">
        <v>46269.2631481482</v>
      </c>
      <c r="C1570" s="37" t="s">
        <v>320</v>
      </c>
      <c r="D1570" s="37" t="s">
        <v>493</v>
      </c>
      <c r="E1570" s="37" t="n">
        <v>21310050</v>
      </c>
      <c r="F1570" s="37" t="s">
        <v>139</v>
      </c>
      <c r="G1570" s="37" t="s">
        <v>198</v>
      </c>
      <c r="H1570" s="37" t="s">
        <v>170</v>
      </c>
      <c r="I1570" s="37" t="n">
        <v>46.8</v>
      </c>
      <c r="J1570" s="39" t="n">
        <v>484.02</v>
      </c>
      <c r="K1570" s="37" t="s">
        <v>322</v>
      </c>
      <c r="L1570" s="39" t="n">
        <v>102.91</v>
      </c>
      <c r="M1570" s="39" t="n">
        <v>71</v>
      </c>
      <c r="N1570" s="39" t="n">
        <f aca="false">J1570*Resumo!$C$7</f>
        <v>0.96804</v>
      </c>
      <c r="O1570" s="39" t="n">
        <f aca="false">J1570*Resumo!$C$8</f>
        <v>0.96804</v>
      </c>
      <c r="P1570" s="39" t="n">
        <f aca="false">Resumo!$C$10*CEILING(I1570/100,1)</f>
        <v>1</v>
      </c>
      <c r="Q1570" s="39" t="n">
        <f aca="false">Resumo!$C$9</f>
        <v>11.9</v>
      </c>
      <c r="R1570" s="39" t="n">
        <f aca="false">SUM(M1570:Q1570)*Resumo!$C$11</f>
        <v>4.7209844</v>
      </c>
      <c r="S1570" s="39" t="n">
        <f aca="false">SUM(M1570:R1570)</f>
        <v>90.5570644</v>
      </c>
      <c r="T1570" s="39" t="n">
        <f aca="false">S1570/(1-Resumo!$C$5)</f>
        <v>102.905755</v>
      </c>
      <c r="U1570" s="39" t="n">
        <v>93.97</v>
      </c>
      <c r="V1570" s="39" t="n">
        <f aca="false">J1570*Resumo!$B$6</f>
        <v>0.48402</v>
      </c>
      <c r="W1570" s="39" t="n">
        <f aca="false">J1570*Resumo!$B$7</f>
        <v>0.96804</v>
      </c>
      <c r="X1570" s="39" t="n">
        <f aca="false">Resumo!$B$9</f>
        <v>1</v>
      </c>
      <c r="Y1570" s="39" t="n">
        <f aca="false">Resumo!$B$10*CEILING(I1570/100,1)</f>
        <v>4.5</v>
      </c>
      <c r="Z1570" s="39" t="n">
        <f aca="false">Resumo!$B$12*CEILING(I1570,1)</f>
        <v>2.82</v>
      </c>
      <c r="AA1570" s="39" t="n">
        <f aca="false">Resumo!$B$13*CEILING(I1570,1)</f>
        <v>21.15</v>
      </c>
      <c r="AB1570" s="39" t="n">
        <f aca="false">SUM(U1570:AA1570)</f>
        <v>124.89206</v>
      </c>
      <c r="AC1570" s="39" t="n">
        <f aca="false">AB1570/(1-Resumo!$B$5)</f>
        <v>141.922795454545</v>
      </c>
      <c r="AD1570" s="39" t="n">
        <f aca="false">(AB1570-AA1570)/(1-Resumo!$B$5)</f>
        <v>117.888704545455</v>
      </c>
      <c r="AE1570" s="39" t="n">
        <f aca="false">AC1570-T1570</f>
        <v>39.0170404545455</v>
      </c>
      <c r="AF1570" s="40" t="n">
        <f aca="false">AC1570/T1570-1</f>
        <v>0.379153143131261</v>
      </c>
      <c r="AG1570" s="37" t="str">
        <f aca="false">IF(AC1570&lt;T1570,"SIM","NÃO")</f>
        <v>NÃO</v>
      </c>
      <c r="AH1570" s="37" t="n">
        <v>8</v>
      </c>
      <c r="AI1570" s="37" t="n">
        <v>5</v>
      </c>
      <c r="AJ1570" s="37" t="s">
        <v>323</v>
      </c>
    </row>
    <row r="1571" customFormat="false" ht="15" hidden="false" customHeight="false" outlineLevel="0" collapsed="false">
      <c r="A1571" s="37" t="n">
        <v>388393548</v>
      </c>
      <c r="B1571" s="38" t="n">
        <v>46269.3849537037</v>
      </c>
      <c r="C1571" s="37" t="s">
        <v>320</v>
      </c>
      <c r="D1571" s="37" t="s">
        <v>1765</v>
      </c>
      <c r="E1571" s="37" t="n">
        <v>28021245</v>
      </c>
      <c r="F1571" s="37" t="s">
        <v>144</v>
      </c>
      <c r="G1571" s="37" t="s">
        <v>201</v>
      </c>
      <c r="H1571" s="37" t="s">
        <v>171</v>
      </c>
      <c r="I1571" s="37" t="n">
        <v>60</v>
      </c>
      <c r="J1571" s="39" t="n">
        <v>777.32</v>
      </c>
      <c r="K1571" s="37" t="s">
        <v>322</v>
      </c>
      <c r="L1571" s="39" t="n">
        <v>143.39</v>
      </c>
      <c r="M1571" s="39" t="n">
        <v>103.6</v>
      </c>
      <c r="N1571" s="39" t="n">
        <f aca="false">J1571*Resumo!$C$7</f>
        <v>1.55464</v>
      </c>
      <c r="O1571" s="39" t="n">
        <f aca="false">J1571*Resumo!$C$8</f>
        <v>1.55464</v>
      </c>
      <c r="P1571" s="39" t="n">
        <f aca="false">Resumo!$C$10*CEILING(I1571/100,1)</f>
        <v>1</v>
      </c>
      <c r="Q1571" s="39" t="n">
        <f aca="false">Resumo!$C$9</f>
        <v>11.9</v>
      </c>
      <c r="R1571" s="39" t="n">
        <f aca="false">SUM(M1571:Q1571)*Resumo!$C$11</f>
        <v>6.5785104</v>
      </c>
      <c r="S1571" s="39" t="n">
        <f aca="false">SUM(M1571:R1571)</f>
        <v>126.1877904</v>
      </c>
      <c r="T1571" s="39" t="n">
        <f aca="false">S1571/(1-Resumo!$C$5)</f>
        <v>143.395216363636</v>
      </c>
      <c r="U1571" s="39" t="n">
        <v>162.04</v>
      </c>
      <c r="V1571" s="39" t="n">
        <f aca="false">J1571*Resumo!$B$6</f>
        <v>0.77732</v>
      </c>
      <c r="W1571" s="39" t="n">
        <f aca="false">J1571*Resumo!$B$7</f>
        <v>1.55464</v>
      </c>
      <c r="X1571" s="39" t="n">
        <f aca="false">Resumo!$B$9</f>
        <v>1</v>
      </c>
      <c r="Y1571" s="39" t="n">
        <f aca="false">Resumo!$B$10*CEILING(I1571/100,1)</f>
        <v>4.5</v>
      </c>
      <c r="Z1571" s="39" t="n">
        <f aca="false">Resumo!$B$12*CEILING(I1571,1)</f>
        <v>3.6</v>
      </c>
      <c r="AA1571" s="39" t="n">
        <f aca="false">Resumo!$B$13*CEILING(I1571,1)</f>
        <v>27</v>
      </c>
      <c r="AB1571" s="39" t="n">
        <f aca="false">SUM(U1571:AA1571)</f>
        <v>200.47196</v>
      </c>
      <c r="AC1571" s="39" t="n">
        <f aca="false">AB1571/(1-Resumo!$B$5)</f>
        <v>227.809045454545</v>
      </c>
      <c r="AD1571" s="39" t="n">
        <f aca="false">(AB1571-AA1571)/(1-Resumo!$B$5)</f>
        <v>197.127227272727</v>
      </c>
      <c r="AE1571" s="39" t="n">
        <f aca="false">AC1571-T1571</f>
        <v>84.4138290909091</v>
      </c>
      <c r="AF1571" s="40" t="n">
        <f aca="false">AC1571/T1571-1</f>
        <v>0.588679533610409</v>
      </c>
      <c r="AG1571" s="37" t="str">
        <f aca="false">IF(AC1571&lt;T1571,"SIM","NÃO")</f>
        <v>NÃO</v>
      </c>
      <c r="AH1571" s="37" t="n">
        <v>13</v>
      </c>
      <c r="AI1571" s="37" t="n">
        <v>11</v>
      </c>
      <c r="AJ1571" s="37" t="s">
        <v>323</v>
      </c>
    </row>
    <row r="1572" customFormat="false" ht="15" hidden="false" customHeight="false" outlineLevel="0" collapsed="false">
      <c r="A1572" s="37" t="n">
        <v>388432272</v>
      </c>
      <c r="B1572" s="38" t="n">
        <v>46269.4585648148</v>
      </c>
      <c r="C1572" s="37" t="s">
        <v>320</v>
      </c>
      <c r="D1572" s="37" t="s">
        <v>1766</v>
      </c>
      <c r="E1572" s="37" t="n">
        <v>25660004</v>
      </c>
      <c r="F1572" s="37" t="s">
        <v>150</v>
      </c>
      <c r="G1572" s="37" t="s">
        <v>201</v>
      </c>
      <c r="H1572" s="37" t="s">
        <v>171</v>
      </c>
      <c r="I1572" s="37" t="n">
        <v>60</v>
      </c>
      <c r="J1572" s="39" t="n">
        <v>777.32</v>
      </c>
      <c r="K1572" s="37" t="s">
        <v>322</v>
      </c>
      <c r="L1572" s="39" t="n">
        <v>143.39</v>
      </c>
      <c r="M1572" s="39" t="n">
        <v>103.6</v>
      </c>
      <c r="N1572" s="39" t="n">
        <f aca="false">J1572*Resumo!$C$7</f>
        <v>1.55464</v>
      </c>
      <c r="O1572" s="39" t="n">
        <f aca="false">J1572*Resumo!$C$8</f>
        <v>1.55464</v>
      </c>
      <c r="P1572" s="39" t="n">
        <f aca="false">Resumo!$C$10*CEILING(I1572/100,1)</f>
        <v>1</v>
      </c>
      <c r="Q1572" s="39" t="n">
        <f aca="false">Resumo!$C$9</f>
        <v>11.9</v>
      </c>
      <c r="R1572" s="39" t="n">
        <f aca="false">SUM(M1572:Q1572)*Resumo!$C$11</f>
        <v>6.5785104</v>
      </c>
      <c r="S1572" s="39" t="n">
        <f aca="false">SUM(M1572:R1572)</f>
        <v>126.1877904</v>
      </c>
      <c r="T1572" s="39" t="n">
        <f aca="false">S1572/(1-Resumo!$C$5)</f>
        <v>143.395216363636</v>
      </c>
      <c r="U1572" s="39" t="n">
        <v>142.32</v>
      </c>
      <c r="V1572" s="39" t="n">
        <f aca="false">J1572*Resumo!$B$6</f>
        <v>0.77732</v>
      </c>
      <c r="W1572" s="39" t="n">
        <f aca="false">J1572*Resumo!$B$7</f>
        <v>1.55464</v>
      </c>
      <c r="X1572" s="39" t="n">
        <f aca="false">Resumo!$B$9</f>
        <v>1</v>
      </c>
      <c r="Y1572" s="39" t="n">
        <f aca="false">Resumo!$B$10*CEILING(I1572/100,1)</f>
        <v>4.5</v>
      </c>
      <c r="Z1572" s="39" t="n">
        <f aca="false">Resumo!$B$12*CEILING(I1572,1)</f>
        <v>3.6</v>
      </c>
      <c r="AA1572" s="39" t="n">
        <f aca="false">Resumo!$B$13*CEILING(I1572,1)</f>
        <v>27</v>
      </c>
      <c r="AB1572" s="39" t="n">
        <f aca="false">SUM(U1572:AA1572)</f>
        <v>180.75196</v>
      </c>
      <c r="AC1572" s="39" t="n">
        <f aca="false">AB1572/(1-Resumo!$B$5)</f>
        <v>205.399954545455</v>
      </c>
      <c r="AD1572" s="39" t="n">
        <f aca="false">(AB1572-AA1572)/(1-Resumo!$B$5)</f>
        <v>174.718136363636</v>
      </c>
      <c r="AE1572" s="39" t="n">
        <f aca="false">AC1572-T1572</f>
        <v>62.0047381818182</v>
      </c>
      <c r="AF1572" s="40" t="n">
        <f aca="false">AC1572/T1572-1</f>
        <v>0.432404509398557</v>
      </c>
      <c r="AG1572" s="37" t="str">
        <f aca="false">IF(AC1572&lt;T1572,"SIM","NÃO")</f>
        <v>NÃO</v>
      </c>
      <c r="AH1572" s="37" t="n">
        <v>13</v>
      </c>
      <c r="AI1572" s="37" t="n">
        <v>8</v>
      </c>
      <c r="AJ1572" s="37" t="s">
        <v>323</v>
      </c>
    </row>
    <row r="1573" customFormat="false" ht="15" hidden="false" customHeight="false" outlineLevel="0" collapsed="false">
      <c r="A1573" s="37" t="n">
        <v>388447378</v>
      </c>
      <c r="B1573" s="38" t="n">
        <v>46269.4869097222</v>
      </c>
      <c r="C1573" s="37" t="s">
        <v>359</v>
      </c>
      <c r="D1573" s="37" t="s">
        <v>1767</v>
      </c>
      <c r="E1573" s="37" t="n">
        <v>27321320</v>
      </c>
      <c r="F1573" s="37" t="s">
        <v>233</v>
      </c>
      <c r="G1573" s="37" t="s">
        <v>201</v>
      </c>
      <c r="H1573" s="37" t="s">
        <v>168</v>
      </c>
      <c r="I1573" s="37" t="n">
        <v>24.4</v>
      </c>
      <c r="J1573" s="39" t="n">
        <v>297.49</v>
      </c>
      <c r="K1573" s="37" t="s">
        <v>322</v>
      </c>
      <c r="L1573" s="39" t="n">
        <v>108.59</v>
      </c>
      <c r="M1573" s="39" t="n">
        <v>76.5</v>
      </c>
      <c r="N1573" s="39" t="n">
        <f aca="false">J1573*Resumo!$C$7</f>
        <v>0.59498</v>
      </c>
      <c r="O1573" s="39" t="n">
        <f aca="false">J1573*Resumo!$C$8</f>
        <v>0.59498</v>
      </c>
      <c r="P1573" s="39" t="n">
        <f aca="false">Resumo!$C$10*CEILING(I1573/100,1)</f>
        <v>1</v>
      </c>
      <c r="Q1573" s="39" t="n">
        <f aca="false">Resumo!$C$9</f>
        <v>11.9</v>
      </c>
      <c r="R1573" s="39" t="n">
        <f aca="false">SUM(M1573:Q1573)*Resumo!$C$11</f>
        <v>4.9824478</v>
      </c>
      <c r="S1573" s="39" t="n">
        <f aca="false">SUM(M1573:R1573)</f>
        <v>95.5724078</v>
      </c>
      <c r="T1573" s="39" t="n">
        <f aca="false">S1573/(1-Resumo!$C$5)</f>
        <v>108.605008863636</v>
      </c>
      <c r="U1573" s="39" t="n">
        <v>108.83</v>
      </c>
      <c r="V1573" s="39" t="n">
        <f aca="false">J1573*Resumo!$B$6</f>
        <v>0.29749</v>
      </c>
      <c r="W1573" s="39" t="n">
        <f aca="false">J1573*Resumo!$B$7</f>
        <v>0.59498</v>
      </c>
      <c r="X1573" s="39" t="n">
        <f aca="false">Resumo!$B$9</f>
        <v>1</v>
      </c>
      <c r="Y1573" s="39" t="n">
        <f aca="false">Resumo!$B$10*CEILING(I1573/100,1)</f>
        <v>4.5</v>
      </c>
      <c r="Z1573" s="39" t="n">
        <f aca="false">Resumo!$B$12*CEILING(I1573,1)</f>
        <v>1.5</v>
      </c>
      <c r="AA1573" s="39" t="n">
        <f aca="false">Resumo!$B$13*CEILING(I1573,1)</f>
        <v>11.25</v>
      </c>
      <c r="AB1573" s="39" t="n">
        <f aca="false">SUM(U1573:AA1573)</f>
        <v>127.97247</v>
      </c>
      <c r="AC1573" s="39" t="n">
        <f aca="false">AB1573/(1-Resumo!$B$5)</f>
        <v>145.423261363636</v>
      </c>
      <c r="AD1573" s="39" t="n">
        <f aca="false">(AB1573-AA1573)/(1-Resumo!$B$5)</f>
        <v>132.639170454545</v>
      </c>
      <c r="AE1573" s="39" t="n">
        <f aca="false">AC1573-T1573</f>
        <v>36.8182525</v>
      </c>
      <c r="AF1573" s="40" t="n">
        <f aca="false">AC1573/T1573-1</f>
        <v>0.339010630220828</v>
      </c>
      <c r="AG1573" s="37" t="str">
        <f aca="false">IF(AC1573&lt;T1573,"SIM","NÃO")</f>
        <v>NÃO</v>
      </c>
      <c r="AH1573" s="37" t="n">
        <v>13</v>
      </c>
      <c r="AI1573" s="37" t="n">
        <v>10</v>
      </c>
      <c r="AJ1573" s="37" t="s">
        <v>327</v>
      </c>
    </row>
    <row r="1574" customFormat="false" ht="15" hidden="false" customHeight="false" outlineLevel="0" collapsed="false">
      <c r="A1574" s="37" t="n">
        <v>388458831</v>
      </c>
      <c r="B1574" s="38" t="n">
        <v>46269.4895717593</v>
      </c>
      <c r="C1574" s="37" t="s">
        <v>517</v>
      </c>
      <c r="D1574" s="37" t="s">
        <v>1768</v>
      </c>
      <c r="E1574" s="37" t="n">
        <v>23020110</v>
      </c>
      <c r="F1574" s="37" t="s">
        <v>139</v>
      </c>
      <c r="G1574" s="37" t="s">
        <v>198</v>
      </c>
      <c r="H1574" s="37" t="s">
        <v>170</v>
      </c>
      <c r="I1574" s="37" t="n">
        <v>41</v>
      </c>
      <c r="J1574" s="39" t="n">
        <v>499.2</v>
      </c>
      <c r="K1574" s="37" t="s">
        <v>322</v>
      </c>
      <c r="L1574" s="39" t="n">
        <v>102.98</v>
      </c>
      <c r="M1574" s="39" t="n">
        <v>71</v>
      </c>
      <c r="N1574" s="39" t="n">
        <f aca="false">J1574*Resumo!$C$7</f>
        <v>0.9984</v>
      </c>
      <c r="O1574" s="39" t="n">
        <f aca="false">J1574*Resumo!$C$8</f>
        <v>0.9984</v>
      </c>
      <c r="P1574" s="39" t="n">
        <f aca="false">Resumo!$C$10*CEILING(I1574/100,1)</f>
        <v>1</v>
      </c>
      <c r="Q1574" s="39" t="n">
        <f aca="false">Resumo!$C$9</f>
        <v>11.9</v>
      </c>
      <c r="R1574" s="39" t="n">
        <f aca="false">SUM(M1574:Q1574)*Resumo!$C$11</f>
        <v>4.724324</v>
      </c>
      <c r="S1574" s="39" t="n">
        <f aca="false">SUM(M1574:R1574)</f>
        <v>90.621124</v>
      </c>
      <c r="T1574" s="39" t="n">
        <f aca="false">S1574/(1-Resumo!$C$5)</f>
        <v>102.97855</v>
      </c>
      <c r="U1574" s="39" t="n">
        <v>93.97</v>
      </c>
      <c r="V1574" s="39" t="n">
        <f aca="false">J1574*Resumo!$B$6</f>
        <v>0.4992</v>
      </c>
      <c r="W1574" s="39" t="n">
        <f aca="false">J1574*Resumo!$B$7</f>
        <v>0.9984</v>
      </c>
      <c r="X1574" s="39" t="n">
        <f aca="false">Resumo!$B$9</f>
        <v>1</v>
      </c>
      <c r="Y1574" s="39" t="n">
        <f aca="false">Resumo!$B$10*CEILING(I1574/100,1)</f>
        <v>4.5</v>
      </c>
      <c r="Z1574" s="39" t="n">
        <f aca="false">Resumo!$B$12*CEILING(I1574,1)</f>
        <v>2.46</v>
      </c>
      <c r="AA1574" s="39" t="n">
        <f aca="false">Resumo!$B$13*CEILING(I1574,1)</f>
        <v>18.45</v>
      </c>
      <c r="AB1574" s="39" t="n">
        <f aca="false">SUM(U1574:AA1574)</f>
        <v>121.8776</v>
      </c>
      <c r="AC1574" s="39" t="n">
        <f aca="false">AB1574/(1-Resumo!$B$5)</f>
        <v>138.497272727273</v>
      </c>
      <c r="AD1574" s="39" t="n">
        <f aca="false">(AB1574-AA1574)/(1-Resumo!$B$5)</f>
        <v>117.531363636364</v>
      </c>
      <c r="AE1574" s="39" t="n">
        <f aca="false">AC1574-T1574</f>
        <v>35.5187227272727</v>
      </c>
      <c r="AF1574" s="40" t="n">
        <f aca="false">AC1574/T1574-1</f>
        <v>0.344913797361419</v>
      </c>
      <c r="AG1574" s="37" t="str">
        <f aca="false">IF(AC1574&lt;T1574,"SIM","NÃO")</f>
        <v>NÃO</v>
      </c>
      <c r="AH1574" s="37" t="n">
        <v>8</v>
      </c>
      <c r="AI1574" s="37" t="n">
        <v>5</v>
      </c>
      <c r="AJ1574" s="37" t="s">
        <v>323</v>
      </c>
    </row>
    <row r="1575" customFormat="false" ht="15" hidden="false" customHeight="false" outlineLevel="0" collapsed="false">
      <c r="A1575" s="37" t="n">
        <v>388454581</v>
      </c>
      <c r="B1575" s="38" t="n">
        <v>46269.5004513889</v>
      </c>
      <c r="C1575" s="37" t="s">
        <v>320</v>
      </c>
      <c r="D1575" s="37" t="s">
        <v>1769</v>
      </c>
      <c r="E1575" s="37" t="n">
        <v>25936110</v>
      </c>
      <c r="F1575" s="37" t="s">
        <v>156</v>
      </c>
      <c r="G1575" s="37" t="s">
        <v>201</v>
      </c>
      <c r="H1575" s="37" t="s">
        <v>172</v>
      </c>
      <c r="I1575" s="37" t="n">
        <v>63</v>
      </c>
      <c r="J1575" s="39" t="n">
        <v>702.57</v>
      </c>
      <c r="K1575" s="37" t="s">
        <v>322</v>
      </c>
      <c r="L1575" s="39" t="n">
        <v>155.4</v>
      </c>
      <c r="M1575" s="39" t="n">
        <v>113.9</v>
      </c>
      <c r="N1575" s="39" t="n">
        <f aca="false">J1575*Resumo!$C$7</f>
        <v>1.40514</v>
      </c>
      <c r="O1575" s="39" t="n">
        <f aca="false">J1575*Resumo!$C$8</f>
        <v>1.40514</v>
      </c>
      <c r="P1575" s="39" t="n">
        <f aca="false">Resumo!$C$10*CEILING(I1575/100,1)</f>
        <v>1</v>
      </c>
      <c r="Q1575" s="39" t="n">
        <f aca="false">Resumo!$C$9</f>
        <v>11.9</v>
      </c>
      <c r="R1575" s="39" t="n">
        <f aca="false">SUM(M1575:Q1575)*Resumo!$C$11</f>
        <v>7.1285654</v>
      </c>
      <c r="S1575" s="39" t="n">
        <f aca="false">SUM(M1575:R1575)</f>
        <v>136.7388454</v>
      </c>
      <c r="T1575" s="39" t="n">
        <f aca="false">S1575/(1-Resumo!$C$5)</f>
        <v>155.385051590909</v>
      </c>
      <c r="U1575" s="39" t="n">
        <v>136.53</v>
      </c>
      <c r="V1575" s="39" t="n">
        <f aca="false">J1575*Resumo!$B$6</f>
        <v>0.70257</v>
      </c>
      <c r="W1575" s="39" t="n">
        <f aca="false">J1575*Resumo!$B$7</f>
        <v>1.40514</v>
      </c>
      <c r="X1575" s="39" t="n">
        <f aca="false">Resumo!$B$9</f>
        <v>1</v>
      </c>
      <c r="Y1575" s="39" t="n">
        <f aca="false">Resumo!$B$10*CEILING(I1575/100,1)</f>
        <v>4.5</v>
      </c>
      <c r="Z1575" s="39" t="n">
        <f aca="false">Resumo!$B$12*CEILING(I1575,1)</f>
        <v>3.78</v>
      </c>
      <c r="AA1575" s="39" t="n">
        <f aca="false">Resumo!$B$13*CEILING(I1575,1)</f>
        <v>28.35</v>
      </c>
      <c r="AB1575" s="39" t="n">
        <f aca="false">SUM(U1575:AA1575)</f>
        <v>176.26771</v>
      </c>
      <c r="AC1575" s="39" t="n">
        <f aca="false">AB1575/(1-Resumo!$B$5)</f>
        <v>200.304215909091</v>
      </c>
      <c r="AD1575" s="39" t="n">
        <f aca="false">(AB1575-AA1575)/(1-Resumo!$B$5)</f>
        <v>168.088306818182</v>
      </c>
      <c r="AE1575" s="39" t="n">
        <f aca="false">AC1575-T1575</f>
        <v>44.9191643181818</v>
      </c>
      <c r="AF1575" s="40" t="n">
        <f aca="false">AC1575/T1575-1</f>
        <v>0.289082919227282</v>
      </c>
      <c r="AG1575" s="37" t="str">
        <f aca="false">IF(AC1575&lt;T1575,"SIM","NÃO")</f>
        <v>NÃO</v>
      </c>
      <c r="AH1575" s="37" t="n">
        <v>13</v>
      </c>
      <c r="AI1575" s="37" t="n">
        <v>6</v>
      </c>
      <c r="AJ1575" s="37" t="s">
        <v>323</v>
      </c>
    </row>
    <row r="1576" customFormat="false" ht="15" hidden="false" customHeight="false" outlineLevel="0" collapsed="false">
      <c r="A1576" s="37" t="n">
        <v>388499242</v>
      </c>
      <c r="B1576" s="38" t="n">
        <v>46269.5840277778</v>
      </c>
      <c r="C1576" s="37" t="s">
        <v>320</v>
      </c>
      <c r="D1576" s="37" t="s">
        <v>1770</v>
      </c>
      <c r="E1576" s="37" t="n">
        <v>21831445</v>
      </c>
      <c r="F1576" s="37" t="s">
        <v>139</v>
      </c>
      <c r="G1576" s="37" t="s">
        <v>198</v>
      </c>
      <c r="H1576" s="37" t="s">
        <v>171</v>
      </c>
      <c r="I1576" s="37" t="n">
        <v>60</v>
      </c>
      <c r="J1576" s="39" t="n">
        <v>777.32</v>
      </c>
      <c r="K1576" s="37" t="s">
        <v>322</v>
      </c>
      <c r="L1576" s="39" t="n">
        <v>114.86</v>
      </c>
      <c r="M1576" s="39" t="n">
        <v>79.81</v>
      </c>
      <c r="N1576" s="39" t="n">
        <f aca="false">J1576*Resumo!$C$7</f>
        <v>1.55464</v>
      </c>
      <c r="O1576" s="39" t="n">
        <f aca="false">J1576*Resumo!$C$8</f>
        <v>1.55464</v>
      </c>
      <c r="P1576" s="39" t="n">
        <f aca="false">Resumo!$C$10*CEILING(I1576/100,1)</f>
        <v>1</v>
      </c>
      <c r="Q1576" s="39" t="n">
        <f aca="false">Resumo!$C$9</f>
        <v>11.9</v>
      </c>
      <c r="R1576" s="39" t="n">
        <f aca="false">SUM(M1576:Q1576)*Resumo!$C$11</f>
        <v>5.2700604</v>
      </c>
      <c r="S1576" s="39" t="n">
        <f aca="false">SUM(M1576:R1576)</f>
        <v>101.0893404</v>
      </c>
      <c r="T1576" s="39" t="n">
        <f aca="false">S1576/(1-Resumo!$C$5)</f>
        <v>114.874250454545</v>
      </c>
      <c r="U1576" s="39" t="n">
        <v>112.3</v>
      </c>
      <c r="V1576" s="39" t="n">
        <f aca="false">J1576*Resumo!$B$6</f>
        <v>0.77732</v>
      </c>
      <c r="W1576" s="39" t="n">
        <f aca="false">J1576*Resumo!$B$7</f>
        <v>1.55464</v>
      </c>
      <c r="X1576" s="39" t="n">
        <f aca="false">Resumo!$B$9</f>
        <v>1</v>
      </c>
      <c r="Y1576" s="39" t="n">
        <f aca="false">Resumo!$B$10*CEILING(I1576/100,1)</f>
        <v>4.5</v>
      </c>
      <c r="Z1576" s="39" t="n">
        <f aca="false">Resumo!$B$12*CEILING(I1576,1)</f>
        <v>3.6</v>
      </c>
      <c r="AA1576" s="39" t="n">
        <f aca="false">Resumo!$B$13*CEILING(I1576,1)</f>
        <v>27</v>
      </c>
      <c r="AB1576" s="39" t="n">
        <f aca="false">SUM(U1576:AA1576)</f>
        <v>150.73196</v>
      </c>
      <c r="AC1576" s="39" t="n">
        <f aca="false">AB1576/(1-Resumo!$B$5)</f>
        <v>171.286318181818</v>
      </c>
      <c r="AD1576" s="39" t="n">
        <f aca="false">(AB1576-AA1576)/(1-Resumo!$B$5)</f>
        <v>140.6045</v>
      </c>
      <c r="AE1576" s="39" t="n">
        <f aca="false">AC1576-T1576</f>
        <v>56.4120677272727</v>
      </c>
      <c r="AF1576" s="40" t="n">
        <f aca="false">AC1576/T1576-1</f>
        <v>0.491076699121483</v>
      </c>
      <c r="AG1576" s="37" t="str">
        <f aca="false">IF(AC1576&lt;T1576,"SIM","NÃO")</f>
        <v>NÃO</v>
      </c>
      <c r="AH1576" s="37" t="n">
        <v>8</v>
      </c>
      <c r="AI1576" s="37" t="n">
        <v>5</v>
      </c>
      <c r="AJ1576" s="37" t="s">
        <v>323</v>
      </c>
    </row>
    <row r="1577" customFormat="false" ht="15" hidden="false" customHeight="false" outlineLevel="0" collapsed="false">
      <c r="A1577" s="37" t="n">
        <v>388550119</v>
      </c>
      <c r="B1577" s="38" t="n">
        <v>46269.6619097222</v>
      </c>
      <c r="C1577" s="37" t="s">
        <v>320</v>
      </c>
      <c r="D1577" s="37" t="s">
        <v>1771</v>
      </c>
      <c r="E1577" s="37" t="n">
        <v>24435140</v>
      </c>
      <c r="F1577" s="37" t="s">
        <v>140</v>
      </c>
      <c r="G1577" s="37" t="s">
        <v>207</v>
      </c>
      <c r="H1577" s="37" t="s">
        <v>170</v>
      </c>
      <c r="I1577" s="37" t="n">
        <v>48.3</v>
      </c>
      <c r="J1577" s="39" t="n">
        <v>559.99</v>
      </c>
      <c r="K1577" s="37" t="s">
        <v>322</v>
      </c>
      <c r="L1577" s="39" t="n">
        <v>116.76</v>
      </c>
      <c r="M1577" s="39" t="n">
        <v>82.25</v>
      </c>
      <c r="N1577" s="39" t="n">
        <f aca="false">J1577*Resumo!$C$7</f>
        <v>1.11998</v>
      </c>
      <c r="O1577" s="39" t="n">
        <f aca="false">J1577*Resumo!$C$8</f>
        <v>1.11998</v>
      </c>
      <c r="P1577" s="39" t="n">
        <f aca="false">Resumo!$C$10*CEILING(I1577/100,1)</f>
        <v>1</v>
      </c>
      <c r="Q1577" s="39" t="n">
        <f aca="false">Resumo!$C$9</f>
        <v>11.9</v>
      </c>
      <c r="R1577" s="39" t="n">
        <f aca="false">SUM(M1577:Q1577)*Resumo!$C$11</f>
        <v>5.3564478</v>
      </c>
      <c r="S1577" s="39" t="n">
        <f aca="false">SUM(M1577:R1577)</f>
        <v>102.7464078</v>
      </c>
      <c r="T1577" s="39" t="n">
        <f aca="false">S1577/(1-Resumo!$C$5)</f>
        <v>116.757281590909</v>
      </c>
      <c r="U1577" s="39" t="n">
        <v>114.95</v>
      </c>
      <c r="V1577" s="39" t="n">
        <f aca="false">J1577*Resumo!$B$6</f>
        <v>0.55999</v>
      </c>
      <c r="W1577" s="39" t="n">
        <f aca="false">J1577*Resumo!$B$7</f>
        <v>1.11998</v>
      </c>
      <c r="X1577" s="39" t="n">
        <f aca="false">Resumo!$B$9</f>
        <v>1</v>
      </c>
      <c r="Y1577" s="39" t="n">
        <f aca="false">Resumo!$B$10*CEILING(I1577/100,1)</f>
        <v>4.5</v>
      </c>
      <c r="Z1577" s="39" t="n">
        <f aca="false">Resumo!$B$12*CEILING(I1577,1)</f>
        <v>2.94</v>
      </c>
      <c r="AA1577" s="39" t="n">
        <f aca="false">Resumo!$B$13*CEILING(I1577,1)</f>
        <v>22.05</v>
      </c>
      <c r="AB1577" s="39" t="n">
        <f aca="false">SUM(U1577:AA1577)</f>
        <v>147.11997</v>
      </c>
      <c r="AC1577" s="39" t="n">
        <f aca="false">AB1577/(1-Resumo!$B$5)</f>
        <v>167.181784090909</v>
      </c>
      <c r="AD1577" s="39" t="n">
        <f aca="false">(AB1577-AA1577)/(1-Resumo!$B$5)</f>
        <v>142.124965909091</v>
      </c>
      <c r="AE1577" s="39" t="n">
        <f aca="false">AC1577-T1577</f>
        <v>50.4245025</v>
      </c>
      <c r="AF1577" s="40" t="n">
        <f aca="false">AC1577/T1577-1</f>
        <v>0.431874584719058</v>
      </c>
      <c r="AG1577" s="37" t="str">
        <f aca="false">IF(AC1577&lt;T1577,"SIM","NÃO")</f>
        <v>NÃO</v>
      </c>
      <c r="AH1577" s="37" t="n">
        <v>10</v>
      </c>
      <c r="AI1577" s="37" t="n">
        <v>7</v>
      </c>
      <c r="AJ1577" s="37" t="s">
        <v>323</v>
      </c>
    </row>
    <row r="1578" customFormat="false" ht="15" hidden="false" customHeight="false" outlineLevel="0" collapsed="false">
      <c r="A1578" s="37" t="n">
        <v>388611537</v>
      </c>
      <c r="B1578" s="38" t="n">
        <v>46269.7653125</v>
      </c>
      <c r="C1578" s="37" t="s">
        <v>320</v>
      </c>
      <c r="D1578" s="37" t="s">
        <v>1772</v>
      </c>
      <c r="E1578" s="37" t="n">
        <v>21010570</v>
      </c>
      <c r="F1578" s="37" t="s">
        <v>139</v>
      </c>
      <c r="G1578" s="37" t="s">
        <v>198</v>
      </c>
      <c r="H1578" s="37" t="s">
        <v>168</v>
      </c>
      <c r="I1578" s="37" t="n">
        <v>22.4</v>
      </c>
      <c r="J1578" s="39" t="n">
        <v>489.69</v>
      </c>
      <c r="K1578" s="37" t="s">
        <v>322</v>
      </c>
      <c r="L1578" s="39" t="n">
        <v>82.67</v>
      </c>
      <c r="M1578" s="39" t="n">
        <v>54.1</v>
      </c>
      <c r="N1578" s="39" t="n">
        <f aca="false">J1578*Resumo!$C$7</f>
        <v>0.97938</v>
      </c>
      <c r="O1578" s="39" t="n">
        <f aca="false">J1578*Resumo!$C$8</f>
        <v>0.97938</v>
      </c>
      <c r="P1578" s="39" t="n">
        <f aca="false">Resumo!$C$10*CEILING(I1578/100,1)</f>
        <v>1</v>
      </c>
      <c r="Q1578" s="39" t="n">
        <f aca="false">Resumo!$C$9</f>
        <v>11.9</v>
      </c>
      <c r="R1578" s="39" t="n">
        <f aca="false">SUM(M1578:Q1578)*Resumo!$C$11</f>
        <v>3.7927318</v>
      </c>
      <c r="S1578" s="39" t="n">
        <f aca="false">SUM(M1578:R1578)</f>
        <v>72.7514918</v>
      </c>
      <c r="T1578" s="39" t="n">
        <f aca="false">S1578/(1-Resumo!$C$5)</f>
        <v>82.6721497727273</v>
      </c>
      <c r="U1578" s="39" t="n">
        <v>82.21</v>
      </c>
      <c r="V1578" s="39" t="n">
        <f aca="false">J1578*Resumo!$B$6</f>
        <v>0.48969</v>
      </c>
      <c r="W1578" s="39" t="n">
        <f aca="false">J1578*Resumo!$B$7</f>
        <v>0.97938</v>
      </c>
      <c r="X1578" s="39" t="n">
        <f aca="false">Resumo!$B$9</f>
        <v>1</v>
      </c>
      <c r="Y1578" s="39" t="n">
        <f aca="false">Resumo!$B$10*CEILING(I1578/100,1)</f>
        <v>4.5</v>
      </c>
      <c r="Z1578" s="39" t="n">
        <f aca="false">Resumo!$B$12*CEILING(I1578,1)</f>
        <v>1.38</v>
      </c>
      <c r="AA1578" s="39" t="n">
        <f aca="false">Resumo!$B$13*CEILING(I1578,1)</f>
        <v>10.35</v>
      </c>
      <c r="AB1578" s="39" t="n">
        <f aca="false">SUM(U1578:AA1578)</f>
        <v>100.90907</v>
      </c>
      <c r="AC1578" s="39" t="n">
        <f aca="false">AB1578/(1-Resumo!$B$5)</f>
        <v>114.669397727273</v>
      </c>
      <c r="AD1578" s="39" t="n">
        <f aca="false">(AB1578-AA1578)/(1-Resumo!$B$5)</f>
        <v>102.908034090909</v>
      </c>
      <c r="AE1578" s="39" t="n">
        <f aca="false">AC1578-T1578</f>
        <v>31.9972479545454</v>
      </c>
      <c r="AF1578" s="40" t="n">
        <f aca="false">AC1578/T1578-1</f>
        <v>0.387037811917418</v>
      </c>
      <c r="AG1578" s="37" t="str">
        <f aca="false">IF(AC1578&lt;T1578,"SIM","NÃO")</f>
        <v>NÃO</v>
      </c>
      <c r="AH1578" s="37" t="n">
        <v>8</v>
      </c>
      <c r="AI1578" s="37" t="n">
        <v>5</v>
      </c>
      <c r="AJ1578" s="37" t="s">
        <v>323</v>
      </c>
    </row>
    <row r="1579" customFormat="false" ht="15" hidden="false" customHeight="false" outlineLevel="0" collapsed="false">
      <c r="A1579" s="37" t="n">
        <v>388635712</v>
      </c>
      <c r="B1579" s="38" t="n">
        <v>46269.8088078704</v>
      </c>
      <c r="C1579" s="37" t="s">
        <v>352</v>
      </c>
      <c r="D1579" s="37" t="s">
        <v>1773</v>
      </c>
      <c r="E1579" s="37" t="n">
        <v>20765240</v>
      </c>
      <c r="F1579" s="37" t="s">
        <v>139</v>
      </c>
      <c r="G1579" s="37" t="s">
        <v>198</v>
      </c>
      <c r="H1579" s="37" t="s">
        <v>174</v>
      </c>
      <c r="I1579" s="37" t="n">
        <v>93.8</v>
      </c>
      <c r="J1579" s="39" t="n">
        <v>979.99</v>
      </c>
      <c r="K1579" s="37" t="s">
        <v>322</v>
      </c>
      <c r="L1579" s="39" t="n">
        <v>163.78</v>
      </c>
      <c r="M1579" s="39" t="n">
        <v>119.8</v>
      </c>
      <c r="N1579" s="39" t="n">
        <f aca="false">J1579*Resumo!$C$7</f>
        <v>1.95998</v>
      </c>
      <c r="O1579" s="39" t="n">
        <f aca="false">J1579*Resumo!$C$8</f>
        <v>1.95998</v>
      </c>
      <c r="P1579" s="39" t="n">
        <f aca="false">Resumo!$C$10*CEILING(I1579/100,1)</f>
        <v>1</v>
      </c>
      <c r="Q1579" s="39" t="n">
        <f aca="false">Resumo!$C$9</f>
        <v>11.9</v>
      </c>
      <c r="R1579" s="39" t="n">
        <f aca="false">SUM(M1579:Q1579)*Resumo!$C$11</f>
        <v>7.5140978</v>
      </c>
      <c r="S1579" s="39" t="n">
        <f aca="false">SUM(M1579:R1579)</f>
        <v>144.1340578</v>
      </c>
      <c r="T1579" s="39" t="n">
        <f aca="false">S1579/(1-Resumo!$C$5)</f>
        <v>163.788702045455</v>
      </c>
      <c r="U1579" s="39" t="n">
        <v>167.99</v>
      </c>
      <c r="V1579" s="39" t="n">
        <f aca="false">J1579*Resumo!$B$6</f>
        <v>0.97999</v>
      </c>
      <c r="W1579" s="39" t="n">
        <f aca="false">J1579*Resumo!$B$7</f>
        <v>1.95998</v>
      </c>
      <c r="X1579" s="39" t="n">
        <f aca="false">Resumo!$B$9</f>
        <v>1</v>
      </c>
      <c r="Y1579" s="39" t="n">
        <f aca="false">Resumo!$B$10*CEILING(I1579/100,1)</f>
        <v>4.5</v>
      </c>
      <c r="Z1579" s="39" t="n">
        <f aca="false">Resumo!$B$12*CEILING(I1579,1)</f>
        <v>5.64</v>
      </c>
      <c r="AA1579" s="39" t="n">
        <f aca="false">Resumo!$B$13*CEILING(I1579,1)</f>
        <v>42.3</v>
      </c>
      <c r="AB1579" s="39" t="n">
        <f aca="false">SUM(U1579:AA1579)</f>
        <v>224.36997</v>
      </c>
      <c r="AC1579" s="39" t="n">
        <f aca="false">AB1579/(1-Resumo!$B$5)</f>
        <v>254.965875</v>
      </c>
      <c r="AD1579" s="39" t="n">
        <f aca="false">(AB1579-AA1579)/(1-Resumo!$B$5)</f>
        <v>206.897693181818</v>
      </c>
      <c r="AE1579" s="39" t="n">
        <f aca="false">AC1579-T1579</f>
        <v>91.1771729545455</v>
      </c>
      <c r="AF1579" s="40" t="n">
        <f aca="false">AC1579/T1579-1</f>
        <v>0.556675593712453</v>
      </c>
      <c r="AG1579" s="37" t="str">
        <f aca="false">IF(AC1579&lt;T1579,"SIM","NÃO")</f>
        <v>NÃO</v>
      </c>
      <c r="AH1579" s="37" t="n">
        <v>8</v>
      </c>
      <c r="AI1579" s="37" t="n">
        <v>5</v>
      </c>
      <c r="AJ1579" s="37" t="s">
        <v>323</v>
      </c>
    </row>
    <row r="1580" customFormat="false" ht="15" hidden="false" customHeight="false" outlineLevel="0" collapsed="false">
      <c r="A1580" s="37" t="n">
        <v>388700433</v>
      </c>
      <c r="B1580" s="38" t="n">
        <v>46269.8916087963</v>
      </c>
      <c r="C1580" s="37" t="s">
        <v>325</v>
      </c>
      <c r="D1580" s="37" t="s">
        <v>1611</v>
      </c>
      <c r="E1580" s="37" t="n">
        <v>21321560</v>
      </c>
      <c r="F1580" s="37" t="s">
        <v>139</v>
      </c>
      <c r="G1580" s="37" t="s">
        <v>198</v>
      </c>
      <c r="H1580" s="37" t="s">
        <v>168</v>
      </c>
      <c r="I1580" s="37" t="n">
        <v>21.75</v>
      </c>
      <c r="J1580" s="39" t="n">
        <v>249</v>
      </c>
      <c r="K1580" s="37" t="s">
        <v>322</v>
      </c>
      <c r="L1580" s="39" t="n">
        <v>81.52</v>
      </c>
      <c r="M1580" s="39" t="n">
        <v>54.1</v>
      </c>
      <c r="N1580" s="39" t="n">
        <f aca="false">J1580*Resumo!$C$7</f>
        <v>0.498</v>
      </c>
      <c r="O1580" s="39" t="n">
        <f aca="false">J1580*Resumo!$C$8</f>
        <v>0.498</v>
      </c>
      <c r="P1580" s="39" t="n">
        <f aca="false">Resumo!$C$10*CEILING(I1580/100,1)</f>
        <v>1</v>
      </c>
      <c r="Q1580" s="39" t="n">
        <f aca="false">Resumo!$C$9</f>
        <v>11.9</v>
      </c>
      <c r="R1580" s="39" t="n">
        <f aca="false">SUM(M1580:Q1580)*Resumo!$C$11</f>
        <v>3.73978</v>
      </c>
      <c r="S1580" s="39" t="n">
        <f aca="false">SUM(M1580:R1580)</f>
        <v>71.73578</v>
      </c>
      <c r="T1580" s="39" t="n">
        <f aca="false">S1580/(1-Resumo!$C$5)</f>
        <v>81.5179318181818</v>
      </c>
      <c r="U1580" s="39" t="n">
        <v>82.21</v>
      </c>
      <c r="V1580" s="39" t="n">
        <f aca="false">J1580*Resumo!$B$6</f>
        <v>0.249</v>
      </c>
      <c r="W1580" s="39" t="n">
        <f aca="false">J1580*Resumo!$B$7</f>
        <v>0.498</v>
      </c>
      <c r="X1580" s="39" t="n">
        <f aca="false">Resumo!$B$9</f>
        <v>1</v>
      </c>
      <c r="Y1580" s="39" t="n">
        <f aca="false">Resumo!$B$10*CEILING(I1580/100,1)</f>
        <v>4.5</v>
      </c>
      <c r="Z1580" s="39" t="n">
        <f aca="false">Resumo!$B$12*CEILING(I1580,1)</f>
        <v>1.32</v>
      </c>
      <c r="AA1580" s="39" t="n">
        <f aca="false">Resumo!$B$13*CEILING(I1580,1)</f>
        <v>9.9</v>
      </c>
      <c r="AB1580" s="39" t="n">
        <f aca="false">SUM(U1580:AA1580)</f>
        <v>99.677</v>
      </c>
      <c r="AC1580" s="39" t="n">
        <f aca="false">AB1580/(1-Resumo!$B$5)</f>
        <v>113.269318181818</v>
      </c>
      <c r="AD1580" s="39" t="n">
        <f aca="false">(AB1580-AA1580)/(1-Resumo!$B$5)</f>
        <v>102.019318181818</v>
      </c>
      <c r="AE1580" s="39" t="n">
        <f aca="false">AC1580-T1580</f>
        <v>31.7513863636364</v>
      </c>
      <c r="AF1580" s="40" t="n">
        <f aca="false">AC1580/T1580-1</f>
        <v>0.389501863644614</v>
      </c>
      <c r="AG1580" s="37" t="str">
        <f aca="false">IF(AC1580&lt;T1580,"SIM","NÃO")</f>
        <v>NÃO</v>
      </c>
      <c r="AH1580" s="37" t="n">
        <v>8</v>
      </c>
      <c r="AI1580" s="37" t="n">
        <v>5</v>
      </c>
      <c r="AJ1580" s="37" t="s">
        <v>323</v>
      </c>
    </row>
    <row r="1581" customFormat="false" ht="15" hidden="false" customHeight="false" outlineLevel="0" collapsed="false">
      <c r="A1581" s="37" t="n">
        <v>388731370</v>
      </c>
      <c r="B1581" s="38" t="n">
        <v>46269.9372337963</v>
      </c>
      <c r="C1581" s="37" t="s">
        <v>320</v>
      </c>
      <c r="D1581" s="37" t="s">
        <v>1774</v>
      </c>
      <c r="E1581" s="37" t="n">
        <v>28928368</v>
      </c>
      <c r="F1581" s="37" t="s">
        <v>152</v>
      </c>
      <c r="G1581" s="37" t="s">
        <v>201</v>
      </c>
      <c r="H1581" s="37" t="s">
        <v>170</v>
      </c>
      <c r="I1581" s="37" t="n">
        <v>48.3</v>
      </c>
      <c r="J1581" s="39" t="n">
        <v>459.69</v>
      </c>
      <c r="K1581" s="37" t="s">
        <v>322</v>
      </c>
      <c r="L1581" s="39" t="n">
        <v>130.36</v>
      </c>
      <c r="M1581" s="39" t="n">
        <v>94</v>
      </c>
      <c r="N1581" s="39" t="n">
        <f aca="false">J1581*Resumo!$C$7</f>
        <v>0.91938</v>
      </c>
      <c r="O1581" s="39" t="n">
        <f aca="false">J1581*Resumo!$C$8</f>
        <v>0.91938</v>
      </c>
      <c r="P1581" s="39" t="n">
        <f aca="false">Resumo!$C$10*CEILING(I1581/100,1)</f>
        <v>1</v>
      </c>
      <c r="Q1581" s="39" t="n">
        <f aca="false">Resumo!$C$9</f>
        <v>11.9</v>
      </c>
      <c r="R1581" s="39" t="n">
        <f aca="false">SUM(M1581:Q1581)*Resumo!$C$11</f>
        <v>5.9806318</v>
      </c>
      <c r="S1581" s="39" t="n">
        <f aca="false">SUM(M1581:R1581)</f>
        <v>114.7193918</v>
      </c>
      <c r="T1581" s="39" t="n">
        <f aca="false">S1581/(1-Resumo!$C$5)</f>
        <v>130.362945227273</v>
      </c>
      <c r="U1581" s="39" t="n">
        <v>129.29</v>
      </c>
      <c r="V1581" s="39" t="n">
        <f aca="false">J1581*Resumo!$B$6</f>
        <v>0.45969</v>
      </c>
      <c r="W1581" s="39" t="n">
        <f aca="false">J1581*Resumo!$B$7</f>
        <v>0.91938</v>
      </c>
      <c r="X1581" s="39" t="n">
        <f aca="false">Resumo!$B$9</f>
        <v>1</v>
      </c>
      <c r="Y1581" s="39" t="n">
        <f aca="false">Resumo!$B$10*CEILING(I1581/100,1)</f>
        <v>4.5</v>
      </c>
      <c r="Z1581" s="39" t="n">
        <f aca="false">Resumo!$B$12*CEILING(I1581,1)</f>
        <v>2.94</v>
      </c>
      <c r="AA1581" s="39" t="n">
        <f aca="false">Resumo!$B$13*CEILING(I1581,1)</f>
        <v>22.05</v>
      </c>
      <c r="AB1581" s="39" t="n">
        <f aca="false">SUM(U1581:AA1581)</f>
        <v>161.15907</v>
      </c>
      <c r="AC1581" s="39" t="n">
        <f aca="false">AB1581/(1-Resumo!$B$5)</f>
        <v>183.135306818182</v>
      </c>
      <c r="AD1581" s="39" t="n">
        <f aca="false">(AB1581-AA1581)/(1-Resumo!$B$5)</f>
        <v>158.078488636364</v>
      </c>
      <c r="AE1581" s="39" t="n">
        <f aca="false">AC1581-T1581</f>
        <v>52.7723615909091</v>
      </c>
      <c r="AF1581" s="40" t="n">
        <f aca="false">AC1581/T1581-1</f>
        <v>0.404811056538394</v>
      </c>
      <c r="AG1581" s="37" t="str">
        <f aca="false">IF(AC1581&lt;T1581,"SIM","NÃO")</f>
        <v>NÃO</v>
      </c>
      <c r="AH1581" s="37" t="n">
        <v>13</v>
      </c>
      <c r="AI1581" s="37" t="n">
        <v>10</v>
      </c>
      <c r="AJ1581" s="37" t="s">
        <v>323</v>
      </c>
    </row>
    <row r="1582" customFormat="false" ht="15" hidden="false" customHeight="false" outlineLevel="0" collapsed="false">
      <c r="A1582" s="37" t="n">
        <v>388806961</v>
      </c>
      <c r="B1582" s="38" t="n">
        <v>46269.9689699074</v>
      </c>
      <c r="C1582" s="37" t="s">
        <v>325</v>
      </c>
      <c r="D1582" s="37" t="s">
        <v>1775</v>
      </c>
      <c r="E1582" s="37" t="n">
        <v>21775420</v>
      </c>
      <c r="F1582" s="37" t="s">
        <v>139</v>
      </c>
      <c r="G1582" s="37" t="s">
        <v>198</v>
      </c>
      <c r="H1582" s="37" t="s">
        <v>169</v>
      </c>
      <c r="I1582" s="37" t="n">
        <v>36.8</v>
      </c>
      <c r="J1582" s="39" t="n">
        <v>431.64</v>
      </c>
      <c r="K1582" s="37" t="s">
        <v>322</v>
      </c>
      <c r="L1582" s="39" t="n">
        <v>91.92</v>
      </c>
      <c r="M1582" s="39" t="n">
        <v>62.05</v>
      </c>
      <c r="N1582" s="39" t="n">
        <f aca="false">J1582*Resumo!$C$7</f>
        <v>0.86328</v>
      </c>
      <c r="O1582" s="39" t="n">
        <f aca="false">J1582*Resumo!$C$8</f>
        <v>0.86328</v>
      </c>
      <c r="P1582" s="39" t="n">
        <f aca="false">Resumo!$C$10*CEILING(I1582/100,1)</f>
        <v>1</v>
      </c>
      <c r="Q1582" s="39" t="n">
        <f aca="false">Resumo!$C$9</f>
        <v>11.9</v>
      </c>
      <c r="R1582" s="39" t="n">
        <f aca="false">SUM(M1582:Q1582)*Resumo!$C$11</f>
        <v>4.2172108</v>
      </c>
      <c r="S1582" s="39" t="n">
        <f aca="false">SUM(M1582:R1582)</f>
        <v>80.8937708</v>
      </c>
      <c r="T1582" s="39" t="n">
        <f aca="false">S1582/(1-Resumo!$C$5)</f>
        <v>91.9247395454545</v>
      </c>
      <c r="U1582" s="39" t="n">
        <v>93.97</v>
      </c>
      <c r="V1582" s="39" t="n">
        <f aca="false">J1582*Resumo!$B$6</f>
        <v>0.43164</v>
      </c>
      <c r="W1582" s="39" t="n">
        <f aca="false">J1582*Resumo!$B$7</f>
        <v>0.86328</v>
      </c>
      <c r="X1582" s="39" t="n">
        <f aca="false">Resumo!$B$9</f>
        <v>1</v>
      </c>
      <c r="Y1582" s="39" t="n">
        <f aca="false">Resumo!$B$10*CEILING(I1582/100,1)</f>
        <v>4.5</v>
      </c>
      <c r="Z1582" s="39" t="n">
        <f aca="false">Resumo!$B$12*CEILING(I1582,1)</f>
        <v>2.22</v>
      </c>
      <c r="AA1582" s="39" t="n">
        <f aca="false">Resumo!$B$13*CEILING(I1582,1)</f>
        <v>16.65</v>
      </c>
      <c r="AB1582" s="39" t="n">
        <f aca="false">SUM(U1582:AA1582)</f>
        <v>119.63492</v>
      </c>
      <c r="AC1582" s="39" t="n">
        <f aca="false">AB1582/(1-Resumo!$B$5)</f>
        <v>135.948772727273</v>
      </c>
      <c r="AD1582" s="39" t="n">
        <f aca="false">(AB1582-AA1582)/(1-Resumo!$B$5)</f>
        <v>117.028318181818</v>
      </c>
      <c r="AE1582" s="39" t="n">
        <f aca="false">AC1582-T1582</f>
        <v>44.0240331818182</v>
      </c>
      <c r="AF1582" s="40" t="n">
        <f aca="false">AC1582/T1582-1</f>
        <v>0.478913874540263</v>
      </c>
      <c r="AG1582" s="37" t="str">
        <f aca="false">IF(AC1582&lt;T1582,"SIM","NÃO")</f>
        <v>NÃO</v>
      </c>
      <c r="AH1582" s="37" t="n">
        <v>8</v>
      </c>
      <c r="AI1582" s="37" t="n">
        <v>5</v>
      </c>
      <c r="AJ1582" s="37" t="s">
        <v>323</v>
      </c>
    </row>
    <row r="1583" customFormat="false" ht="15" hidden="false" customHeight="false" outlineLevel="0" collapsed="false">
      <c r="A1583" s="37" t="n">
        <v>388774493</v>
      </c>
      <c r="B1583" s="38" t="n">
        <v>46270.0036574074</v>
      </c>
      <c r="C1583" s="37" t="s">
        <v>355</v>
      </c>
      <c r="D1583" s="37" t="s">
        <v>1776</v>
      </c>
      <c r="E1583" s="37" t="n">
        <v>21044550</v>
      </c>
      <c r="F1583" s="37" t="s">
        <v>139</v>
      </c>
      <c r="G1583" s="37" t="s">
        <v>198</v>
      </c>
      <c r="H1583" s="37" t="s">
        <v>172</v>
      </c>
      <c r="I1583" s="37" t="n">
        <v>65.1</v>
      </c>
      <c r="J1583" s="39" t="n">
        <v>718.95</v>
      </c>
      <c r="K1583" s="37" t="s">
        <v>322</v>
      </c>
      <c r="L1583" s="39" t="n">
        <v>124.66</v>
      </c>
      <c r="M1583" s="39" t="n">
        <v>88.2</v>
      </c>
      <c r="N1583" s="39" t="n">
        <f aca="false">J1583*Resumo!$C$7</f>
        <v>1.4379</v>
      </c>
      <c r="O1583" s="39" t="n">
        <f aca="false">J1583*Resumo!$C$8</f>
        <v>1.4379</v>
      </c>
      <c r="P1583" s="39" t="n">
        <f aca="false">Resumo!$C$10*CEILING(I1583/100,1)</f>
        <v>1</v>
      </c>
      <c r="Q1583" s="39" t="n">
        <f aca="false">Resumo!$C$9</f>
        <v>11.9</v>
      </c>
      <c r="R1583" s="39" t="n">
        <f aca="false">SUM(M1583:Q1583)*Resumo!$C$11</f>
        <v>5.718669</v>
      </c>
      <c r="S1583" s="39" t="n">
        <f aca="false">SUM(M1583:R1583)</f>
        <v>109.694469</v>
      </c>
      <c r="T1583" s="39" t="n">
        <f aca="false">S1583/(1-Resumo!$C$5)</f>
        <v>124.652805681818</v>
      </c>
      <c r="U1583" s="39" t="n">
        <v>131.02</v>
      </c>
      <c r="V1583" s="39" t="n">
        <f aca="false">J1583*Resumo!$B$6</f>
        <v>0.71895</v>
      </c>
      <c r="W1583" s="39" t="n">
        <f aca="false">J1583*Resumo!$B$7</f>
        <v>1.4379</v>
      </c>
      <c r="X1583" s="39" t="n">
        <f aca="false">Resumo!$B$9</f>
        <v>1</v>
      </c>
      <c r="Y1583" s="39" t="n">
        <f aca="false">Resumo!$B$10*CEILING(I1583/100,1)</f>
        <v>4.5</v>
      </c>
      <c r="Z1583" s="39" t="n">
        <f aca="false">Resumo!$B$12*CEILING(I1583,1)</f>
        <v>3.96</v>
      </c>
      <c r="AA1583" s="39" t="n">
        <f aca="false">Resumo!$B$13*CEILING(I1583,1)</f>
        <v>29.7</v>
      </c>
      <c r="AB1583" s="39" t="n">
        <f aca="false">SUM(U1583:AA1583)</f>
        <v>172.33685</v>
      </c>
      <c r="AC1583" s="39" t="n">
        <f aca="false">AB1583/(1-Resumo!$B$5)</f>
        <v>195.837329545455</v>
      </c>
      <c r="AD1583" s="39" t="n">
        <f aca="false">(AB1583-AA1583)/(1-Resumo!$B$5)</f>
        <v>162.087329545455</v>
      </c>
      <c r="AE1583" s="39" t="n">
        <f aca="false">AC1583-T1583</f>
        <v>71.1845238636363</v>
      </c>
      <c r="AF1583" s="40" t="n">
        <f aca="false">AC1583/T1583-1</f>
        <v>0.571062347728763</v>
      </c>
      <c r="AG1583" s="37" t="str">
        <f aca="false">IF(AC1583&lt;T1583,"SIM","NÃO")</f>
        <v>NÃO</v>
      </c>
      <c r="AH1583" s="37" t="n">
        <v>8</v>
      </c>
      <c r="AI1583" s="37" t="n">
        <v>5</v>
      </c>
      <c r="AJ1583" s="37" t="s">
        <v>323</v>
      </c>
    </row>
    <row r="1584" customFormat="false" ht="15" hidden="false" customHeight="false" outlineLevel="0" collapsed="false">
      <c r="A1584" s="37" t="n">
        <v>388894100</v>
      </c>
      <c r="B1584" s="38" t="n">
        <v>46270.3630439815</v>
      </c>
      <c r="C1584" s="37" t="s">
        <v>320</v>
      </c>
      <c r="D1584" s="37" t="s">
        <v>1777</v>
      </c>
      <c r="E1584" s="37" t="n">
        <v>28920225</v>
      </c>
      <c r="F1584" s="37" t="s">
        <v>152</v>
      </c>
      <c r="G1584" s="37" t="s">
        <v>201</v>
      </c>
      <c r="H1584" s="37" t="s">
        <v>171</v>
      </c>
      <c r="I1584" s="37" t="n">
        <v>59.9</v>
      </c>
      <c r="J1584" s="39" t="n">
        <v>944.56</v>
      </c>
      <c r="K1584" s="37" t="s">
        <v>322</v>
      </c>
      <c r="L1584" s="39" t="n">
        <v>144.2</v>
      </c>
      <c r="M1584" s="39" t="n">
        <v>103.6</v>
      </c>
      <c r="N1584" s="39" t="n">
        <f aca="false">J1584*Resumo!$C$7</f>
        <v>1.88912</v>
      </c>
      <c r="O1584" s="39" t="n">
        <f aca="false">J1584*Resumo!$C$8</f>
        <v>1.88912</v>
      </c>
      <c r="P1584" s="39" t="n">
        <f aca="false">Resumo!$C$10*CEILING(I1584/100,1)</f>
        <v>1</v>
      </c>
      <c r="Q1584" s="39" t="n">
        <f aca="false">Resumo!$C$9</f>
        <v>11.9</v>
      </c>
      <c r="R1584" s="39" t="n">
        <f aca="false">SUM(M1584:Q1584)*Resumo!$C$11</f>
        <v>6.6153032</v>
      </c>
      <c r="S1584" s="39" t="n">
        <f aca="false">SUM(M1584:R1584)</f>
        <v>126.8935432</v>
      </c>
      <c r="T1584" s="39" t="n">
        <f aca="false">S1584/(1-Resumo!$C$5)</f>
        <v>144.197208181818</v>
      </c>
      <c r="U1584" s="39" t="n">
        <v>142.32</v>
      </c>
      <c r="V1584" s="39" t="n">
        <f aca="false">J1584*Resumo!$B$6</f>
        <v>0.94456</v>
      </c>
      <c r="W1584" s="39" t="n">
        <f aca="false">J1584*Resumo!$B$7</f>
        <v>1.88912</v>
      </c>
      <c r="X1584" s="39" t="n">
        <f aca="false">Resumo!$B$9</f>
        <v>1</v>
      </c>
      <c r="Y1584" s="39" t="n">
        <f aca="false">Resumo!$B$10*CEILING(I1584/100,1)</f>
        <v>4.5</v>
      </c>
      <c r="Z1584" s="39" t="n">
        <f aca="false">Resumo!$B$12*CEILING(I1584,1)</f>
        <v>3.6</v>
      </c>
      <c r="AA1584" s="39" t="n">
        <f aca="false">Resumo!$B$13*CEILING(I1584,1)</f>
        <v>27</v>
      </c>
      <c r="AB1584" s="39" t="n">
        <f aca="false">SUM(U1584:AA1584)</f>
        <v>181.25368</v>
      </c>
      <c r="AC1584" s="39" t="n">
        <f aca="false">AB1584/(1-Resumo!$B$5)</f>
        <v>205.970090909091</v>
      </c>
      <c r="AD1584" s="39" t="n">
        <f aca="false">(AB1584-AA1584)/(1-Resumo!$B$5)</f>
        <v>175.288272727273</v>
      </c>
      <c r="AE1584" s="39" t="n">
        <f aca="false">AC1584-T1584</f>
        <v>61.7728827272727</v>
      </c>
      <c r="AF1584" s="40" t="n">
        <f aca="false">AC1584/T1584-1</f>
        <v>0.428391669340667</v>
      </c>
      <c r="AG1584" s="37" t="str">
        <f aca="false">IF(AC1584&lt;T1584,"SIM","NÃO")</f>
        <v>NÃO</v>
      </c>
      <c r="AH1584" s="37" t="n">
        <v>13</v>
      </c>
      <c r="AI1584" s="37" t="n">
        <v>10</v>
      </c>
      <c r="AJ1584" s="37" t="s">
        <v>323</v>
      </c>
    </row>
    <row r="1585" customFormat="false" ht="15" hidden="false" customHeight="false" outlineLevel="0" collapsed="false">
      <c r="A1585" s="37" t="n">
        <v>388934354</v>
      </c>
      <c r="B1585" s="38" t="n">
        <v>46270.4415393519</v>
      </c>
      <c r="C1585" s="37" t="s">
        <v>320</v>
      </c>
      <c r="D1585" s="37" t="s">
        <v>465</v>
      </c>
      <c r="E1585" s="37" t="n">
        <v>28660000</v>
      </c>
      <c r="F1585" s="37" t="s">
        <v>268</v>
      </c>
      <c r="G1585" s="37" t="s">
        <v>201</v>
      </c>
      <c r="H1585" s="37" t="s">
        <v>168</v>
      </c>
      <c r="I1585" s="37" t="n">
        <v>22.4</v>
      </c>
      <c r="J1585" s="39" t="n">
        <v>489.69</v>
      </c>
      <c r="K1585" s="37" t="s">
        <v>322</v>
      </c>
      <c r="L1585" s="39" t="n">
        <v>109.52</v>
      </c>
      <c r="M1585" s="39" t="n">
        <v>76.5</v>
      </c>
      <c r="N1585" s="39" t="n">
        <f aca="false">J1585*Resumo!$C$7</f>
        <v>0.97938</v>
      </c>
      <c r="O1585" s="39" t="n">
        <f aca="false">J1585*Resumo!$C$8</f>
        <v>0.97938</v>
      </c>
      <c r="P1585" s="39" t="n">
        <f aca="false">Resumo!$C$10*CEILING(I1585/100,1)</f>
        <v>1</v>
      </c>
      <c r="Q1585" s="39" t="n">
        <f aca="false">Resumo!$C$9</f>
        <v>11.9</v>
      </c>
      <c r="R1585" s="39" t="n">
        <f aca="false">SUM(M1585:Q1585)*Resumo!$C$11</f>
        <v>5.0247318</v>
      </c>
      <c r="S1585" s="39" t="n">
        <f aca="false">SUM(M1585:R1585)</f>
        <v>96.3834918</v>
      </c>
      <c r="T1585" s="39" t="n">
        <f aca="false">S1585/(1-Resumo!$C$5)</f>
        <v>109.526695227273</v>
      </c>
      <c r="U1585" s="39" t="n">
        <v>120.78</v>
      </c>
      <c r="V1585" s="39" t="n">
        <f aca="false">J1585*Resumo!$B$6</f>
        <v>0.48969</v>
      </c>
      <c r="W1585" s="39" t="n">
        <f aca="false">J1585*Resumo!$B$7</f>
        <v>0.97938</v>
      </c>
      <c r="X1585" s="39" t="n">
        <f aca="false">Resumo!$B$9</f>
        <v>1</v>
      </c>
      <c r="Y1585" s="39" t="n">
        <f aca="false">Resumo!$B$10*CEILING(I1585/100,1)</f>
        <v>4.5</v>
      </c>
      <c r="Z1585" s="39" t="n">
        <f aca="false">Resumo!$B$12*CEILING(I1585,1)</f>
        <v>1.38</v>
      </c>
      <c r="AA1585" s="39" t="n">
        <f aca="false">Resumo!$B$13*CEILING(I1585,1)</f>
        <v>10.35</v>
      </c>
      <c r="AB1585" s="39" t="n">
        <f aca="false">SUM(U1585:AA1585)</f>
        <v>139.47907</v>
      </c>
      <c r="AC1585" s="39" t="n">
        <f aca="false">AB1585/(1-Resumo!$B$5)</f>
        <v>158.498943181818</v>
      </c>
      <c r="AD1585" s="39" t="n">
        <f aca="false">(AB1585-AA1585)/(1-Resumo!$B$5)</f>
        <v>146.737579545455</v>
      </c>
      <c r="AE1585" s="39" t="n">
        <f aca="false">AC1585-T1585</f>
        <v>48.9722479545455</v>
      </c>
      <c r="AF1585" s="40" t="n">
        <f aca="false">AC1585/T1585-1</f>
        <v>0.447126135349249</v>
      </c>
      <c r="AG1585" s="37" t="str">
        <f aca="false">IF(AC1585&lt;T1585,"SIM","NÃO")</f>
        <v>NÃO</v>
      </c>
      <c r="AH1585" s="37" t="n">
        <v>13</v>
      </c>
      <c r="AI1585" s="37" t="n">
        <v>10</v>
      </c>
      <c r="AJ1585" s="37" t="s">
        <v>327</v>
      </c>
    </row>
    <row r="1586" customFormat="false" ht="15" hidden="false" customHeight="false" outlineLevel="0" collapsed="false">
      <c r="A1586" s="37" t="n">
        <v>388984081</v>
      </c>
      <c r="B1586" s="38" t="n">
        <v>46270.5257060185</v>
      </c>
      <c r="C1586" s="37" t="s">
        <v>320</v>
      </c>
      <c r="D1586" s="37" t="s">
        <v>1778</v>
      </c>
      <c r="E1586" s="37" t="n">
        <v>23935105</v>
      </c>
      <c r="F1586" s="37" t="s">
        <v>149</v>
      </c>
      <c r="G1586" s="37" t="s">
        <v>201</v>
      </c>
      <c r="H1586" s="37" t="s">
        <v>171</v>
      </c>
      <c r="I1586" s="37" t="n">
        <v>51</v>
      </c>
      <c r="J1586" s="39" t="n">
        <v>793.98</v>
      </c>
      <c r="K1586" s="37" t="s">
        <v>322</v>
      </c>
      <c r="L1586" s="39" t="n">
        <v>143.48</v>
      </c>
      <c r="M1586" s="39" t="n">
        <v>103.6</v>
      </c>
      <c r="N1586" s="39" t="n">
        <f aca="false">J1586*Resumo!$C$7</f>
        <v>1.58796</v>
      </c>
      <c r="O1586" s="39" t="n">
        <f aca="false">J1586*Resumo!$C$8</f>
        <v>1.58796</v>
      </c>
      <c r="P1586" s="39" t="n">
        <f aca="false">Resumo!$C$10*CEILING(I1586/100,1)</f>
        <v>1</v>
      </c>
      <c r="Q1586" s="39" t="n">
        <f aca="false">Resumo!$C$9</f>
        <v>11.9</v>
      </c>
      <c r="R1586" s="39" t="n">
        <f aca="false">SUM(M1586:Q1586)*Resumo!$C$11</f>
        <v>6.5821756</v>
      </c>
      <c r="S1586" s="39" t="n">
        <f aca="false">SUM(M1586:R1586)</f>
        <v>126.2580956</v>
      </c>
      <c r="T1586" s="39" t="n">
        <f aca="false">S1586/(1-Resumo!$C$5)</f>
        <v>143.475108636364</v>
      </c>
      <c r="U1586" s="39" t="n">
        <v>142.32</v>
      </c>
      <c r="V1586" s="39" t="n">
        <f aca="false">J1586*Resumo!$B$6</f>
        <v>0.79398</v>
      </c>
      <c r="W1586" s="39" t="n">
        <f aca="false">J1586*Resumo!$B$7</f>
        <v>1.58796</v>
      </c>
      <c r="X1586" s="39" t="n">
        <f aca="false">Resumo!$B$9</f>
        <v>1</v>
      </c>
      <c r="Y1586" s="39" t="n">
        <f aca="false">Resumo!$B$10*CEILING(I1586/100,1)</f>
        <v>4.5</v>
      </c>
      <c r="Z1586" s="39" t="n">
        <f aca="false">Resumo!$B$12*CEILING(I1586,1)</f>
        <v>3.06</v>
      </c>
      <c r="AA1586" s="39" t="n">
        <f aca="false">Resumo!$B$13*CEILING(I1586,1)</f>
        <v>22.95</v>
      </c>
      <c r="AB1586" s="39" t="n">
        <f aca="false">SUM(U1586:AA1586)</f>
        <v>176.21194</v>
      </c>
      <c r="AC1586" s="39" t="n">
        <f aca="false">AB1586/(1-Resumo!$B$5)</f>
        <v>200.240840909091</v>
      </c>
      <c r="AD1586" s="39" t="n">
        <f aca="false">(AB1586-AA1586)/(1-Resumo!$B$5)</f>
        <v>174.161295454545</v>
      </c>
      <c r="AE1586" s="39" t="n">
        <f aca="false">AC1586-T1586</f>
        <v>56.7657322727273</v>
      </c>
      <c r="AF1586" s="40" t="n">
        <f aca="false">AC1586/T1586-1</f>
        <v>0.395648644648177</v>
      </c>
      <c r="AG1586" s="37" t="str">
        <f aca="false">IF(AC1586&lt;T1586,"SIM","NÃO")</f>
        <v>NÃO</v>
      </c>
      <c r="AH1586" s="37" t="n">
        <v>13</v>
      </c>
      <c r="AI1586" s="37" t="n">
        <v>10</v>
      </c>
      <c r="AJ1586" s="37" t="s">
        <v>323</v>
      </c>
    </row>
    <row r="1587" customFormat="false" ht="15" hidden="false" customHeight="false" outlineLevel="0" collapsed="false">
      <c r="A1587" s="37" t="n">
        <v>389017097</v>
      </c>
      <c r="B1587" s="38" t="n">
        <v>46270.6068518519</v>
      </c>
      <c r="C1587" s="37" t="s">
        <v>341</v>
      </c>
      <c r="D1587" s="37" t="s">
        <v>1779</v>
      </c>
      <c r="E1587" s="37" t="n">
        <v>23047530</v>
      </c>
      <c r="F1587" s="37" t="s">
        <v>139</v>
      </c>
      <c r="G1587" s="37" t="s">
        <v>198</v>
      </c>
      <c r="H1587" s="37" t="s">
        <v>172</v>
      </c>
      <c r="I1587" s="37" t="n">
        <v>69</v>
      </c>
      <c r="J1587" s="39" t="n">
        <v>959.99</v>
      </c>
      <c r="K1587" s="37" t="s">
        <v>322</v>
      </c>
      <c r="L1587" s="39" t="n">
        <v>125.81</v>
      </c>
      <c r="M1587" s="39" t="n">
        <v>88.2</v>
      </c>
      <c r="N1587" s="39" t="n">
        <f aca="false">J1587*Resumo!$C$7</f>
        <v>1.91998</v>
      </c>
      <c r="O1587" s="39" t="n">
        <f aca="false">J1587*Resumo!$C$8</f>
        <v>1.91998</v>
      </c>
      <c r="P1587" s="39" t="n">
        <f aca="false">Resumo!$C$10*CEILING(I1587/100,1)</f>
        <v>1</v>
      </c>
      <c r="Q1587" s="39" t="n">
        <f aca="false">Resumo!$C$9</f>
        <v>11.9</v>
      </c>
      <c r="R1587" s="39" t="n">
        <f aca="false">SUM(M1587:Q1587)*Resumo!$C$11</f>
        <v>5.7716978</v>
      </c>
      <c r="S1587" s="39" t="n">
        <f aca="false">SUM(M1587:R1587)</f>
        <v>110.7116578</v>
      </c>
      <c r="T1587" s="39" t="n">
        <f aca="false">S1587/(1-Resumo!$C$5)</f>
        <v>125.808702045455</v>
      </c>
      <c r="U1587" s="39" t="n">
        <v>131.02</v>
      </c>
      <c r="V1587" s="39" t="n">
        <f aca="false">J1587*Resumo!$B$6</f>
        <v>0.95999</v>
      </c>
      <c r="W1587" s="39" t="n">
        <f aca="false">J1587*Resumo!$B$7</f>
        <v>1.91998</v>
      </c>
      <c r="X1587" s="39" t="n">
        <f aca="false">Resumo!$B$9</f>
        <v>1</v>
      </c>
      <c r="Y1587" s="39" t="n">
        <f aca="false">Resumo!$B$10*CEILING(I1587/100,1)</f>
        <v>4.5</v>
      </c>
      <c r="Z1587" s="39" t="n">
        <f aca="false">Resumo!$B$12*CEILING(I1587,1)</f>
        <v>4.14</v>
      </c>
      <c r="AA1587" s="39" t="n">
        <f aca="false">Resumo!$B$13*CEILING(I1587,1)</f>
        <v>31.05</v>
      </c>
      <c r="AB1587" s="39" t="n">
        <f aca="false">SUM(U1587:AA1587)</f>
        <v>174.58997</v>
      </c>
      <c r="AC1587" s="39" t="n">
        <f aca="false">AB1587/(1-Resumo!$B$5)</f>
        <v>198.397693181818</v>
      </c>
      <c r="AD1587" s="39" t="n">
        <f aca="false">(AB1587-AA1587)/(1-Resumo!$B$5)</f>
        <v>163.113602272727</v>
      </c>
      <c r="AE1587" s="39" t="n">
        <f aca="false">AC1587-T1587</f>
        <v>72.5889911363637</v>
      </c>
      <c r="AF1587" s="40" t="n">
        <f aca="false">AC1587/T1587-1</f>
        <v>0.576979095691945</v>
      </c>
      <c r="AG1587" s="37" t="str">
        <f aca="false">IF(AC1587&lt;T1587,"SIM","NÃO")</f>
        <v>NÃO</v>
      </c>
      <c r="AH1587" s="37" t="n">
        <v>8</v>
      </c>
      <c r="AI1587" s="37" t="n">
        <v>5</v>
      </c>
      <c r="AJ1587" s="37" t="s">
        <v>323</v>
      </c>
    </row>
    <row r="1588" customFormat="false" ht="15" hidden="false" customHeight="false" outlineLevel="0" collapsed="false">
      <c r="A1588" s="37" t="n">
        <v>389042818</v>
      </c>
      <c r="B1588" s="38" t="n">
        <v>46270.6228819444</v>
      </c>
      <c r="C1588" s="37" t="s">
        <v>320</v>
      </c>
      <c r="D1588" s="37" t="s">
        <v>1780</v>
      </c>
      <c r="E1588" s="37" t="n">
        <v>22221140</v>
      </c>
      <c r="F1588" s="37" t="s">
        <v>139</v>
      </c>
      <c r="G1588" s="37" t="s">
        <v>198</v>
      </c>
      <c r="H1588" s="37" t="s">
        <v>168</v>
      </c>
      <c r="I1588" s="37" t="n">
        <v>27</v>
      </c>
      <c r="J1588" s="39" t="n">
        <v>339.99</v>
      </c>
      <c r="K1588" s="37" t="s">
        <v>322</v>
      </c>
      <c r="L1588" s="39" t="n">
        <v>81.95</v>
      </c>
      <c r="M1588" s="39" t="n">
        <v>54.1</v>
      </c>
      <c r="N1588" s="39" t="n">
        <f aca="false">J1588*Resumo!$C$7</f>
        <v>0.67998</v>
      </c>
      <c r="O1588" s="39" t="n">
        <f aca="false">J1588*Resumo!$C$8</f>
        <v>0.67998</v>
      </c>
      <c r="P1588" s="39" t="n">
        <f aca="false">Resumo!$C$10*CEILING(I1588/100,1)</f>
        <v>1</v>
      </c>
      <c r="Q1588" s="39" t="n">
        <f aca="false">Resumo!$C$9</f>
        <v>11.9</v>
      </c>
      <c r="R1588" s="39" t="n">
        <f aca="false">SUM(M1588:Q1588)*Resumo!$C$11</f>
        <v>3.7597978</v>
      </c>
      <c r="S1588" s="39" t="n">
        <f aca="false">SUM(M1588:R1588)</f>
        <v>72.1197578</v>
      </c>
      <c r="T1588" s="39" t="n">
        <f aca="false">S1588/(1-Resumo!$C$5)</f>
        <v>81.9542702272727</v>
      </c>
      <c r="U1588" s="39" t="n">
        <v>82.21</v>
      </c>
      <c r="V1588" s="39" t="n">
        <f aca="false">J1588*Resumo!$B$6</f>
        <v>0.33999</v>
      </c>
      <c r="W1588" s="39" t="n">
        <f aca="false">J1588*Resumo!$B$7</f>
        <v>0.67998</v>
      </c>
      <c r="X1588" s="39" t="n">
        <f aca="false">Resumo!$B$9</f>
        <v>1</v>
      </c>
      <c r="Y1588" s="39" t="n">
        <f aca="false">Resumo!$B$10*CEILING(I1588/100,1)</f>
        <v>4.5</v>
      </c>
      <c r="Z1588" s="39" t="n">
        <f aca="false">Resumo!$B$12*CEILING(I1588,1)</f>
        <v>1.62</v>
      </c>
      <c r="AA1588" s="39" t="n">
        <f aca="false">Resumo!$B$13*CEILING(I1588,1)</f>
        <v>12.15</v>
      </c>
      <c r="AB1588" s="39" t="n">
        <f aca="false">SUM(U1588:AA1588)</f>
        <v>102.49997</v>
      </c>
      <c r="AC1588" s="39" t="n">
        <f aca="false">AB1588/(1-Resumo!$B$5)</f>
        <v>116.477238636364</v>
      </c>
      <c r="AD1588" s="39" t="n">
        <f aca="false">(AB1588-AA1588)/(1-Resumo!$B$5)</f>
        <v>102.670420454545</v>
      </c>
      <c r="AE1588" s="39" t="n">
        <f aca="false">AC1588-T1588</f>
        <v>34.5229684090909</v>
      </c>
      <c r="AF1588" s="40" t="n">
        <f aca="false">AC1588/T1588-1</f>
        <v>0.421246730809182</v>
      </c>
      <c r="AG1588" s="37" t="str">
        <f aca="false">IF(AC1588&lt;T1588,"SIM","NÃO")</f>
        <v>NÃO</v>
      </c>
      <c r="AH1588" s="37" t="n">
        <v>8</v>
      </c>
      <c r="AI1588" s="37" t="n">
        <v>5</v>
      </c>
      <c r="AJ1588" s="37" t="s">
        <v>323</v>
      </c>
    </row>
    <row r="1589" customFormat="false" ht="15" hidden="false" customHeight="false" outlineLevel="0" collapsed="false">
      <c r="A1589" s="37" t="n">
        <v>389079113</v>
      </c>
      <c r="B1589" s="38" t="n">
        <v>46270.6863310185</v>
      </c>
      <c r="C1589" s="37" t="s">
        <v>325</v>
      </c>
      <c r="D1589" s="37" t="s">
        <v>1781</v>
      </c>
      <c r="E1589" s="37" t="n">
        <v>27603051</v>
      </c>
      <c r="F1589" s="37" t="s">
        <v>239</v>
      </c>
      <c r="G1589" s="37" t="s">
        <v>201</v>
      </c>
      <c r="H1589" s="37" t="s">
        <v>176</v>
      </c>
      <c r="I1589" s="37" t="n">
        <v>124.2</v>
      </c>
      <c r="J1589" s="39" t="n">
        <v>1699.99</v>
      </c>
      <c r="K1589" s="37" t="s">
        <v>322</v>
      </c>
      <c r="L1589" s="39" t="n">
        <v>261.43</v>
      </c>
      <c r="M1589" s="39" t="n">
        <v>197.37</v>
      </c>
      <c r="N1589" s="39" t="n">
        <f aca="false">J1589*Resumo!$C$7</f>
        <v>3.39998</v>
      </c>
      <c r="O1589" s="39" t="n">
        <f aca="false">J1589*Resumo!$C$8</f>
        <v>3.39998</v>
      </c>
      <c r="P1589" s="39" t="n">
        <f aca="false">Resumo!$C$10*CEILING(I1589/100,1)</f>
        <v>2</v>
      </c>
      <c r="Q1589" s="39" t="n">
        <f aca="false">Resumo!$C$9</f>
        <v>11.9</v>
      </c>
      <c r="R1589" s="39" t="n">
        <f aca="false">SUM(M1589:Q1589)*Resumo!$C$11</f>
        <v>11.9938478</v>
      </c>
      <c r="S1589" s="39" t="n">
        <f aca="false">SUM(M1589:R1589)</f>
        <v>230.0638078</v>
      </c>
      <c r="T1589" s="39" t="n">
        <f aca="false">S1589/(1-Resumo!$C$5)</f>
        <v>261.436145227273</v>
      </c>
      <c r="U1589" s="39" t="n">
        <v>264.84</v>
      </c>
      <c r="V1589" s="39" t="n">
        <f aca="false">J1589*Resumo!$B$6</f>
        <v>1.69999</v>
      </c>
      <c r="W1589" s="39" t="n">
        <f aca="false">J1589*Resumo!$B$7</f>
        <v>3.39998</v>
      </c>
      <c r="X1589" s="39" t="n">
        <f aca="false">Resumo!$B$9</f>
        <v>1</v>
      </c>
      <c r="Y1589" s="39" t="n">
        <f aca="false">Resumo!$B$10*CEILING(I1589/100,1)</f>
        <v>9</v>
      </c>
      <c r="Z1589" s="39" t="n">
        <f aca="false">Resumo!$B$12*CEILING(I1589,1)</f>
        <v>7.5</v>
      </c>
      <c r="AA1589" s="39" t="n">
        <f aca="false">Resumo!$B$13*CEILING(I1589,1)</f>
        <v>56.25</v>
      </c>
      <c r="AB1589" s="39" t="n">
        <f aca="false">SUM(U1589:AA1589)</f>
        <v>343.68997</v>
      </c>
      <c r="AC1589" s="39" t="n">
        <f aca="false">AB1589/(1-Resumo!$B$5)</f>
        <v>390.556784090909</v>
      </c>
      <c r="AD1589" s="39" t="n">
        <f aca="false">(AB1589-AA1589)/(1-Resumo!$B$5)</f>
        <v>326.636329545455</v>
      </c>
      <c r="AE1589" s="39" t="n">
        <f aca="false">AC1589-T1589</f>
        <v>129.120638863636</v>
      </c>
      <c r="AF1589" s="40" t="n">
        <f aca="false">AC1589/T1589-1</f>
        <v>0.4938897746958</v>
      </c>
      <c r="AG1589" s="37" t="str">
        <f aca="false">IF(AC1589&lt;T1589,"SIM","NÃO")</f>
        <v>NÃO</v>
      </c>
      <c r="AH1589" s="37" t="n">
        <v>13</v>
      </c>
      <c r="AI1589" s="37" t="n">
        <v>10</v>
      </c>
      <c r="AJ1589" s="37" t="s">
        <v>327</v>
      </c>
    </row>
    <row r="1590" customFormat="false" ht="15" hidden="false" customHeight="false" outlineLevel="0" collapsed="false">
      <c r="A1590" s="37" t="n">
        <v>389080429</v>
      </c>
      <c r="B1590" s="38" t="n">
        <v>46270.6887962963</v>
      </c>
      <c r="C1590" s="37" t="s">
        <v>320</v>
      </c>
      <c r="D1590" s="37" t="s">
        <v>548</v>
      </c>
      <c r="E1590" s="37" t="n">
        <v>23036060</v>
      </c>
      <c r="F1590" s="37" t="s">
        <v>139</v>
      </c>
      <c r="G1590" s="37" t="s">
        <v>198</v>
      </c>
      <c r="H1590" s="37" t="s">
        <v>169</v>
      </c>
      <c r="I1590" s="37" t="n">
        <v>37.6</v>
      </c>
      <c r="J1590" s="39" t="n">
        <v>449.99</v>
      </c>
      <c r="K1590" s="37" t="s">
        <v>322</v>
      </c>
      <c r="L1590" s="39" t="n">
        <v>92.01</v>
      </c>
      <c r="M1590" s="39" t="n">
        <v>62.05</v>
      </c>
      <c r="N1590" s="39" t="n">
        <f aca="false">J1590*Resumo!$C$7</f>
        <v>0.89998</v>
      </c>
      <c r="O1590" s="39" t="n">
        <f aca="false">J1590*Resumo!$C$8</f>
        <v>0.89998</v>
      </c>
      <c r="P1590" s="39" t="n">
        <f aca="false">Resumo!$C$10*CEILING(I1590/100,1)</f>
        <v>1</v>
      </c>
      <c r="Q1590" s="39" t="n">
        <f aca="false">Resumo!$C$9</f>
        <v>11.9</v>
      </c>
      <c r="R1590" s="39" t="n">
        <f aca="false">SUM(M1590:Q1590)*Resumo!$C$11</f>
        <v>4.2212478</v>
      </c>
      <c r="S1590" s="39" t="n">
        <f aca="false">SUM(M1590:R1590)</f>
        <v>80.9712078</v>
      </c>
      <c r="T1590" s="39" t="n">
        <f aca="false">S1590/(1-Resumo!$C$5)</f>
        <v>92.0127361363636</v>
      </c>
      <c r="U1590" s="39" t="n">
        <v>93.97</v>
      </c>
      <c r="V1590" s="39" t="n">
        <f aca="false">J1590*Resumo!$B$6</f>
        <v>0.44999</v>
      </c>
      <c r="W1590" s="39" t="n">
        <f aca="false">J1590*Resumo!$B$7</f>
        <v>0.89998</v>
      </c>
      <c r="X1590" s="39" t="n">
        <f aca="false">Resumo!$B$9</f>
        <v>1</v>
      </c>
      <c r="Y1590" s="39" t="n">
        <f aca="false">Resumo!$B$10*CEILING(I1590/100,1)</f>
        <v>4.5</v>
      </c>
      <c r="Z1590" s="39" t="n">
        <f aca="false">Resumo!$B$12*CEILING(I1590,1)</f>
        <v>2.28</v>
      </c>
      <c r="AA1590" s="39" t="n">
        <f aca="false">Resumo!$B$13*CEILING(I1590,1)</f>
        <v>17.1</v>
      </c>
      <c r="AB1590" s="39" t="n">
        <f aca="false">SUM(U1590:AA1590)</f>
        <v>120.19997</v>
      </c>
      <c r="AC1590" s="39" t="n">
        <f aca="false">AB1590/(1-Resumo!$B$5)</f>
        <v>136.590875</v>
      </c>
      <c r="AD1590" s="39" t="n">
        <f aca="false">(AB1590-AA1590)/(1-Resumo!$B$5)</f>
        <v>117.159056818182</v>
      </c>
      <c r="AE1590" s="39" t="n">
        <f aca="false">AC1590-T1590</f>
        <v>44.5781388636364</v>
      </c>
      <c r="AF1590" s="40" t="n">
        <f aca="false">AC1590/T1590-1</f>
        <v>0.484477918334818</v>
      </c>
      <c r="AG1590" s="37" t="str">
        <f aca="false">IF(AC1590&lt;T1590,"SIM","NÃO")</f>
        <v>NÃO</v>
      </c>
      <c r="AH1590" s="37" t="n">
        <v>8</v>
      </c>
      <c r="AI1590" s="37" t="n">
        <v>5</v>
      </c>
      <c r="AJ1590" s="37" t="s">
        <v>323</v>
      </c>
    </row>
    <row r="1591" customFormat="false" ht="15" hidden="false" customHeight="false" outlineLevel="0" collapsed="false">
      <c r="A1591" s="37" t="n">
        <v>389082305</v>
      </c>
      <c r="B1591" s="38" t="n">
        <v>46270.6918981482</v>
      </c>
      <c r="C1591" s="37" t="s">
        <v>320</v>
      </c>
      <c r="D1591" s="37" t="s">
        <v>1782</v>
      </c>
      <c r="E1591" s="37" t="n">
        <v>22783360</v>
      </c>
      <c r="F1591" s="37" t="s">
        <v>139</v>
      </c>
      <c r="G1591" s="37" t="s">
        <v>198</v>
      </c>
      <c r="H1591" s="37" t="s">
        <v>169</v>
      </c>
      <c r="I1591" s="37" t="n">
        <v>38.6</v>
      </c>
      <c r="J1591" s="39" t="n">
        <v>579.99</v>
      </c>
      <c r="K1591" s="37" t="s">
        <v>322</v>
      </c>
      <c r="L1591" s="39" t="n">
        <v>92.64</v>
      </c>
      <c r="M1591" s="39" t="n">
        <v>62.05</v>
      </c>
      <c r="N1591" s="39" t="n">
        <f aca="false">J1591*Resumo!$C$7</f>
        <v>1.15998</v>
      </c>
      <c r="O1591" s="39" t="n">
        <f aca="false">J1591*Resumo!$C$8</f>
        <v>1.15998</v>
      </c>
      <c r="P1591" s="39" t="n">
        <f aca="false">Resumo!$C$10*CEILING(I1591/100,1)</f>
        <v>1</v>
      </c>
      <c r="Q1591" s="39" t="n">
        <f aca="false">Resumo!$C$9</f>
        <v>11.9</v>
      </c>
      <c r="R1591" s="39" t="n">
        <f aca="false">SUM(M1591:Q1591)*Resumo!$C$11</f>
        <v>4.2498478</v>
      </c>
      <c r="S1591" s="39" t="n">
        <f aca="false">SUM(M1591:R1591)</f>
        <v>81.5198078</v>
      </c>
      <c r="T1591" s="39" t="n">
        <f aca="false">S1591/(1-Resumo!$C$5)</f>
        <v>92.6361452272727</v>
      </c>
      <c r="U1591" s="39" t="n">
        <v>93.97</v>
      </c>
      <c r="V1591" s="39" t="n">
        <f aca="false">J1591*Resumo!$B$6</f>
        <v>0.57999</v>
      </c>
      <c r="W1591" s="39" t="n">
        <f aca="false">J1591*Resumo!$B$7</f>
        <v>1.15998</v>
      </c>
      <c r="X1591" s="39" t="n">
        <f aca="false">Resumo!$B$9</f>
        <v>1</v>
      </c>
      <c r="Y1591" s="39" t="n">
        <f aca="false">Resumo!$B$10*CEILING(I1591/100,1)</f>
        <v>4.5</v>
      </c>
      <c r="Z1591" s="39" t="n">
        <f aca="false">Resumo!$B$12*CEILING(I1591,1)</f>
        <v>2.34</v>
      </c>
      <c r="AA1591" s="39" t="n">
        <f aca="false">Resumo!$B$13*CEILING(I1591,1)</f>
        <v>17.55</v>
      </c>
      <c r="AB1591" s="39" t="n">
        <f aca="false">SUM(U1591:AA1591)</f>
        <v>121.09997</v>
      </c>
      <c r="AC1591" s="39" t="n">
        <f aca="false">AB1591/(1-Resumo!$B$5)</f>
        <v>137.613602272727</v>
      </c>
      <c r="AD1591" s="39" t="n">
        <f aca="false">(AB1591-AA1591)/(1-Resumo!$B$5)</f>
        <v>117.670420454545</v>
      </c>
      <c r="AE1591" s="39" t="n">
        <f aca="false">AC1591-T1591</f>
        <v>44.9774570454545</v>
      </c>
      <c r="AF1591" s="40" t="n">
        <f aca="false">AC1591/T1591-1</f>
        <v>0.48552815896114</v>
      </c>
      <c r="AG1591" s="37" t="str">
        <f aca="false">IF(AC1591&lt;T1591,"SIM","NÃO")</f>
        <v>NÃO</v>
      </c>
      <c r="AH1591" s="37" t="n">
        <v>8</v>
      </c>
      <c r="AI1591" s="37" t="n">
        <v>5</v>
      </c>
      <c r="AJ1591" s="37" t="s">
        <v>323</v>
      </c>
    </row>
    <row r="1592" customFormat="false" ht="15" hidden="false" customHeight="false" outlineLevel="0" collapsed="false">
      <c r="A1592" s="37" t="n">
        <v>389094920</v>
      </c>
      <c r="B1592" s="38" t="n">
        <v>46270.6933912037</v>
      </c>
      <c r="C1592" s="37" t="s">
        <v>517</v>
      </c>
      <c r="D1592" s="37" t="s">
        <v>1783</v>
      </c>
      <c r="E1592" s="37" t="n">
        <v>22250040</v>
      </c>
      <c r="F1592" s="37" t="s">
        <v>139</v>
      </c>
      <c r="G1592" s="37" t="s">
        <v>198</v>
      </c>
      <c r="H1592" s="37" t="s">
        <v>170</v>
      </c>
      <c r="I1592" s="37" t="n">
        <v>49.6</v>
      </c>
      <c r="J1592" s="39" t="n">
        <v>555.29</v>
      </c>
      <c r="K1592" s="37" t="s">
        <v>322</v>
      </c>
      <c r="L1592" s="39" t="n">
        <v>103.25</v>
      </c>
      <c r="M1592" s="39" t="n">
        <v>71</v>
      </c>
      <c r="N1592" s="39" t="n">
        <f aca="false">J1592*Resumo!$C$7</f>
        <v>1.11058</v>
      </c>
      <c r="O1592" s="39" t="n">
        <f aca="false">J1592*Resumo!$C$8</f>
        <v>1.11058</v>
      </c>
      <c r="P1592" s="39" t="n">
        <f aca="false">Resumo!$C$10*CEILING(I1592/100,1)</f>
        <v>1</v>
      </c>
      <c r="Q1592" s="39" t="n">
        <f aca="false">Resumo!$C$9</f>
        <v>11.9</v>
      </c>
      <c r="R1592" s="39" t="n">
        <f aca="false">SUM(M1592:Q1592)*Resumo!$C$11</f>
        <v>4.7366638</v>
      </c>
      <c r="S1592" s="39" t="n">
        <f aca="false">SUM(M1592:R1592)</f>
        <v>90.8578238</v>
      </c>
      <c r="T1592" s="39" t="n">
        <f aca="false">S1592/(1-Resumo!$C$5)</f>
        <v>103.247527045455</v>
      </c>
      <c r="U1592" s="39" t="n">
        <v>93.97</v>
      </c>
      <c r="V1592" s="39" t="n">
        <f aca="false">J1592*Resumo!$B$6</f>
        <v>0.55529</v>
      </c>
      <c r="W1592" s="39" t="n">
        <f aca="false">J1592*Resumo!$B$7</f>
        <v>1.11058</v>
      </c>
      <c r="X1592" s="39" t="n">
        <f aca="false">Resumo!$B$9</f>
        <v>1</v>
      </c>
      <c r="Y1592" s="39" t="n">
        <f aca="false">Resumo!$B$10*CEILING(I1592/100,1)</f>
        <v>4.5</v>
      </c>
      <c r="Z1592" s="39" t="n">
        <f aca="false">Resumo!$B$12*CEILING(I1592,1)</f>
        <v>3</v>
      </c>
      <c r="AA1592" s="39" t="n">
        <f aca="false">Resumo!$B$13*CEILING(I1592,1)</f>
        <v>22.5</v>
      </c>
      <c r="AB1592" s="39" t="n">
        <f aca="false">SUM(U1592:AA1592)</f>
        <v>126.63587</v>
      </c>
      <c r="AC1592" s="39" t="n">
        <f aca="false">AB1592/(1-Resumo!$B$5)</f>
        <v>143.904397727273</v>
      </c>
      <c r="AD1592" s="39" t="n">
        <f aca="false">(AB1592-AA1592)/(1-Resumo!$B$5)</f>
        <v>118.336215909091</v>
      </c>
      <c r="AE1592" s="39" t="n">
        <f aca="false">AC1592-T1592</f>
        <v>40.6568706818182</v>
      </c>
      <c r="AF1592" s="40" t="n">
        <f aca="false">AC1592/T1592-1</f>
        <v>0.393780576109286</v>
      </c>
      <c r="AG1592" s="37" t="str">
        <f aca="false">IF(AC1592&lt;T1592,"SIM","NÃO")</f>
        <v>NÃO</v>
      </c>
      <c r="AH1592" s="37" t="n">
        <v>8</v>
      </c>
      <c r="AI1592" s="37" t="n">
        <v>5</v>
      </c>
      <c r="AJ1592" s="37" t="s">
        <v>323</v>
      </c>
    </row>
    <row r="1593" customFormat="false" ht="15" hidden="false" customHeight="false" outlineLevel="0" collapsed="false">
      <c r="A1593" s="37" t="n">
        <v>389098955</v>
      </c>
      <c r="B1593" s="38" t="n">
        <v>46270.7212847222</v>
      </c>
      <c r="C1593" s="37" t="s">
        <v>320</v>
      </c>
      <c r="D1593" s="37" t="s">
        <v>1784</v>
      </c>
      <c r="E1593" s="37" t="n">
        <v>28922470</v>
      </c>
      <c r="F1593" s="37" t="s">
        <v>152</v>
      </c>
      <c r="G1593" s="37" t="s">
        <v>201</v>
      </c>
      <c r="H1593" s="37" t="s">
        <v>169</v>
      </c>
      <c r="I1593" s="37" t="n">
        <v>40</v>
      </c>
      <c r="J1593" s="39" t="n">
        <v>579.99</v>
      </c>
      <c r="K1593" s="37" t="s">
        <v>322</v>
      </c>
      <c r="L1593" s="39" t="n">
        <v>123.02</v>
      </c>
      <c r="M1593" s="39" t="n">
        <v>87.4</v>
      </c>
      <c r="N1593" s="39" t="n">
        <f aca="false">J1593*Resumo!$C$7</f>
        <v>1.15998</v>
      </c>
      <c r="O1593" s="39" t="n">
        <f aca="false">J1593*Resumo!$C$8</f>
        <v>1.15998</v>
      </c>
      <c r="P1593" s="39" t="n">
        <f aca="false">Resumo!$C$10*CEILING(I1593/100,1)</f>
        <v>1</v>
      </c>
      <c r="Q1593" s="39" t="n">
        <f aca="false">Resumo!$C$9</f>
        <v>11.9</v>
      </c>
      <c r="R1593" s="39" t="n">
        <f aca="false">SUM(M1593:Q1593)*Resumo!$C$11</f>
        <v>5.6440978</v>
      </c>
      <c r="S1593" s="39" t="n">
        <f aca="false">SUM(M1593:R1593)</f>
        <v>108.2640578</v>
      </c>
      <c r="T1593" s="39" t="n">
        <f aca="false">S1593/(1-Resumo!$C$5)</f>
        <v>123.027338409091</v>
      </c>
      <c r="U1593" s="39" t="n">
        <v>124.38</v>
      </c>
      <c r="V1593" s="39" t="n">
        <f aca="false">J1593*Resumo!$B$6</f>
        <v>0.57999</v>
      </c>
      <c r="W1593" s="39" t="n">
        <f aca="false">J1593*Resumo!$B$7</f>
        <v>1.15998</v>
      </c>
      <c r="X1593" s="39" t="n">
        <f aca="false">Resumo!$B$9</f>
        <v>1</v>
      </c>
      <c r="Y1593" s="39" t="n">
        <f aca="false">Resumo!$B$10*CEILING(I1593/100,1)</f>
        <v>4.5</v>
      </c>
      <c r="Z1593" s="39" t="n">
        <f aca="false">Resumo!$B$12*CEILING(I1593,1)</f>
        <v>2.4</v>
      </c>
      <c r="AA1593" s="39" t="n">
        <f aca="false">Resumo!$B$13*CEILING(I1593,1)</f>
        <v>18</v>
      </c>
      <c r="AB1593" s="39" t="n">
        <f aca="false">SUM(U1593:AA1593)</f>
        <v>152.01997</v>
      </c>
      <c r="AC1593" s="39" t="n">
        <f aca="false">AB1593/(1-Resumo!$B$5)</f>
        <v>172.749965909091</v>
      </c>
      <c r="AD1593" s="39" t="n">
        <f aca="false">(AB1593-AA1593)/(1-Resumo!$B$5)</f>
        <v>152.295420454545</v>
      </c>
      <c r="AE1593" s="39" t="n">
        <f aca="false">AC1593-T1593</f>
        <v>49.7226275</v>
      </c>
      <c r="AF1593" s="40" t="n">
        <f aca="false">AC1593/T1593-1</f>
        <v>0.404159174237048</v>
      </c>
      <c r="AG1593" s="37" t="str">
        <f aca="false">IF(AC1593&lt;T1593,"SIM","NÃO")</f>
        <v>NÃO</v>
      </c>
      <c r="AH1593" s="37" t="n">
        <v>13</v>
      </c>
      <c r="AI1593" s="37" t="n">
        <v>10</v>
      </c>
      <c r="AJ1593" s="37" t="s">
        <v>323</v>
      </c>
    </row>
    <row r="1594" customFormat="false" ht="15" hidden="false" customHeight="false" outlineLevel="0" collapsed="false">
      <c r="A1594" s="37" t="n">
        <v>389103216</v>
      </c>
      <c r="B1594" s="38" t="n">
        <v>46270.7288657407</v>
      </c>
      <c r="C1594" s="37" t="s">
        <v>320</v>
      </c>
      <c r="D1594" s="37" t="s">
        <v>1785</v>
      </c>
      <c r="E1594" s="37" t="n">
        <v>23587415</v>
      </c>
      <c r="F1594" s="37" t="s">
        <v>139</v>
      </c>
      <c r="G1594" s="37" t="s">
        <v>198</v>
      </c>
      <c r="H1594" s="37" t="s">
        <v>172</v>
      </c>
      <c r="I1594" s="37" t="n">
        <v>66.8</v>
      </c>
      <c r="J1594" s="39" t="n">
        <v>666.29</v>
      </c>
      <c r="K1594" s="37" t="s">
        <v>322</v>
      </c>
      <c r="L1594" s="39" t="n">
        <v>124.4</v>
      </c>
      <c r="M1594" s="39" t="n">
        <v>88.2</v>
      </c>
      <c r="N1594" s="39" t="n">
        <f aca="false">J1594*Resumo!$C$7</f>
        <v>1.33258</v>
      </c>
      <c r="O1594" s="39" t="n">
        <f aca="false">J1594*Resumo!$C$8</f>
        <v>1.33258</v>
      </c>
      <c r="P1594" s="39" t="n">
        <f aca="false">Resumo!$C$10*CEILING(I1594/100,1)</f>
        <v>1</v>
      </c>
      <c r="Q1594" s="39" t="n">
        <f aca="false">Resumo!$C$9</f>
        <v>11.9</v>
      </c>
      <c r="R1594" s="39" t="n">
        <f aca="false">SUM(M1594:Q1594)*Resumo!$C$11</f>
        <v>5.7070838</v>
      </c>
      <c r="S1594" s="39" t="n">
        <f aca="false">SUM(M1594:R1594)</f>
        <v>109.4722438</v>
      </c>
      <c r="T1594" s="39" t="n">
        <f aca="false">S1594/(1-Resumo!$C$5)</f>
        <v>124.400277045455</v>
      </c>
      <c r="U1594" s="39" t="n">
        <v>131.02</v>
      </c>
      <c r="V1594" s="39" t="n">
        <f aca="false">J1594*Resumo!$B$6</f>
        <v>0.66629</v>
      </c>
      <c r="W1594" s="39" t="n">
        <f aca="false">J1594*Resumo!$B$7</f>
        <v>1.33258</v>
      </c>
      <c r="X1594" s="39" t="n">
        <f aca="false">Resumo!$B$9</f>
        <v>1</v>
      </c>
      <c r="Y1594" s="39" t="n">
        <f aca="false">Resumo!$B$10*CEILING(I1594/100,1)</f>
        <v>4.5</v>
      </c>
      <c r="Z1594" s="39" t="n">
        <f aca="false">Resumo!$B$12*CEILING(I1594,1)</f>
        <v>4.02</v>
      </c>
      <c r="AA1594" s="39" t="n">
        <f aca="false">Resumo!$B$13*CEILING(I1594,1)</f>
        <v>30.15</v>
      </c>
      <c r="AB1594" s="39" t="n">
        <f aca="false">SUM(U1594:AA1594)</f>
        <v>172.68887</v>
      </c>
      <c r="AC1594" s="39" t="n">
        <f aca="false">AB1594/(1-Resumo!$B$5)</f>
        <v>196.237352272727</v>
      </c>
      <c r="AD1594" s="39" t="n">
        <f aca="false">(AB1594-AA1594)/(1-Resumo!$B$5)</f>
        <v>161.975988636364</v>
      </c>
      <c r="AE1594" s="39" t="n">
        <f aca="false">AC1594-T1594</f>
        <v>71.8370752272727</v>
      </c>
      <c r="AF1594" s="40" t="n">
        <f aca="false">AC1594/T1594-1</f>
        <v>0.57746716432974</v>
      </c>
      <c r="AG1594" s="37" t="str">
        <f aca="false">IF(AC1594&lt;T1594,"SIM","NÃO")</f>
        <v>NÃO</v>
      </c>
      <c r="AH1594" s="37" t="n">
        <v>8</v>
      </c>
      <c r="AI1594" s="37" t="n">
        <v>5</v>
      </c>
      <c r="AJ1594" s="37" t="s">
        <v>323</v>
      </c>
    </row>
    <row r="1595" customFormat="false" ht="15" hidden="false" customHeight="false" outlineLevel="0" collapsed="false">
      <c r="A1595" s="37" t="n">
        <v>389116100</v>
      </c>
      <c r="B1595" s="38" t="n">
        <v>46270.7510648148</v>
      </c>
      <c r="C1595" s="37" t="s">
        <v>320</v>
      </c>
      <c r="D1595" s="37" t="s">
        <v>1786</v>
      </c>
      <c r="E1595" s="37" t="n">
        <v>24710210</v>
      </c>
      <c r="F1595" s="37" t="s">
        <v>140</v>
      </c>
      <c r="G1595" s="37" t="s">
        <v>207</v>
      </c>
      <c r="H1595" s="37" t="s">
        <v>168</v>
      </c>
      <c r="I1595" s="37" t="n">
        <v>27.4</v>
      </c>
      <c r="J1595" s="39" t="n">
        <v>369.99</v>
      </c>
      <c r="K1595" s="37" t="s">
        <v>322</v>
      </c>
      <c r="L1595" s="39" t="n">
        <v>101.16</v>
      </c>
      <c r="M1595" s="39" t="n">
        <v>70</v>
      </c>
      <c r="N1595" s="39" t="n">
        <f aca="false">J1595*Resumo!$C$7</f>
        <v>0.73998</v>
      </c>
      <c r="O1595" s="39" t="n">
        <f aca="false">J1595*Resumo!$C$8</f>
        <v>0.73998</v>
      </c>
      <c r="P1595" s="39" t="n">
        <f aca="false">Resumo!$C$10*CEILING(I1595/100,1)</f>
        <v>1</v>
      </c>
      <c r="Q1595" s="39" t="n">
        <f aca="false">Resumo!$C$9</f>
        <v>11.9</v>
      </c>
      <c r="R1595" s="39" t="n">
        <f aca="false">SUM(M1595:Q1595)*Resumo!$C$11</f>
        <v>4.6408978</v>
      </c>
      <c r="S1595" s="39" t="n">
        <f aca="false">SUM(M1595:R1595)</f>
        <v>89.0208578</v>
      </c>
      <c r="T1595" s="39" t="n">
        <f aca="false">S1595/(1-Resumo!$C$5)</f>
        <v>101.160065681818</v>
      </c>
      <c r="U1595" s="39" t="n">
        <v>100.58</v>
      </c>
      <c r="V1595" s="39" t="n">
        <f aca="false">J1595*Resumo!$B$6</f>
        <v>0.36999</v>
      </c>
      <c r="W1595" s="39" t="n">
        <f aca="false">J1595*Resumo!$B$7</f>
        <v>0.73998</v>
      </c>
      <c r="X1595" s="39" t="n">
        <f aca="false">Resumo!$B$9</f>
        <v>1</v>
      </c>
      <c r="Y1595" s="39" t="n">
        <f aca="false">Resumo!$B$10*CEILING(I1595/100,1)</f>
        <v>4.5</v>
      </c>
      <c r="Z1595" s="39" t="n">
        <f aca="false">Resumo!$B$12*CEILING(I1595,1)</f>
        <v>1.68</v>
      </c>
      <c r="AA1595" s="39" t="n">
        <f aca="false">Resumo!$B$13*CEILING(I1595,1)</f>
        <v>12.6</v>
      </c>
      <c r="AB1595" s="39" t="n">
        <f aca="false">SUM(U1595:AA1595)</f>
        <v>121.46997</v>
      </c>
      <c r="AC1595" s="39" t="n">
        <f aca="false">AB1595/(1-Resumo!$B$5)</f>
        <v>138.034056818182</v>
      </c>
      <c r="AD1595" s="39" t="n">
        <f aca="false">(AB1595-AA1595)/(1-Resumo!$B$5)</f>
        <v>123.715875</v>
      </c>
      <c r="AE1595" s="39" t="n">
        <f aca="false">AC1595-T1595</f>
        <v>36.8739911363636</v>
      </c>
      <c r="AF1595" s="40" t="n">
        <f aca="false">AC1595/T1595-1</f>
        <v>0.364511340397351</v>
      </c>
      <c r="AG1595" s="37" t="str">
        <f aca="false">IF(AC1595&lt;T1595,"SIM","NÃO")</f>
        <v>NÃO</v>
      </c>
      <c r="AH1595" s="37" t="n">
        <v>10</v>
      </c>
      <c r="AI1595" s="37" t="n">
        <v>7</v>
      </c>
      <c r="AJ1595" s="37" t="s">
        <v>323</v>
      </c>
    </row>
    <row r="1596" customFormat="false" ht="15" hidden="false" customHeight="false" outlineLevel="0" collapsed="false">
      <c r="A1596" s="37" t="n">
        <v>389119630</v>
      </c>
      <c r="B1596" s="38" t="n">
        <v>46270.7566666667</v>
      </c>
      <c r="C1596" s="37" t="s">
        <v>320</v>
      </c>
      <c r="D1596" s="37" t="s">
        <v>706</v>
      </c>
      <c r="E1596" s="37" t="n">
        <v>22753005</v>
      </c>
      <c r="F1596" s="37" t="s">
        <v>139</v>
      </c>
      <c r="G1596" s="37" t="s">
        <v>198</v>
      </c>
      <c r="H1596" s="37" t="s">
        <v>168</v>
      </c>
      <c r="I1596" s="37" t="n">
        <v>34.1</v>
      </c>
      <c r="J1596" s="39" t="n">
        <v>399.99</v>
      </c>
      <c r="K1596" s="37" t="s">
        <v>322</v>
      </c>
      <c r="L1596" s="39" t="n">
        <v>82.24</v>
      </c>
      <c r="M1596" s="39" t="n">
        <v>54.1</v>
      </c>
      <c r="N1596" s="39" t="n">
        <f aca="false">J1596*Resumo!$C$7</f>
        <v>0.79998</v>
      </c>
      <c r="O1596" s="39" t="n">
        <f aca="false">J1596*Resumo!$C$8</f>
        <v>0.79998</v>
      </c>
      <c r="P1596" s="39" t="n">
        <f aca="false">Resumo!$C$10*CEILING(I1596/100,1)</f>
        <v>1</v>
      </c>
      <c r="Q1596" s="39" t="n">
        <f aca="false">Resumo!$C$9</f>
        <v>11.9</v>
      </c>
      <c r="R1596" s="39" t="n">
        <f aca="false">SUM(M1596:Q1596)*Resumo!$C$11</f>
        <v>3.7729978</v>
      </c>
      <c r="S1596" s="39" t="n">
        <f aca="false">SUM(M1596:R1596)</f>
        <v>72.3729578</v>
      </c>
      <c r="T1596" s="39" t="n">
        <f aca="false">S1596/(1-Resumo!$C$5)</f>
        <v>82.2419975</v>
      </c>
      <c r="U1596" s="39" t="n">
        <v>82.21</v>
      </c>
      <c r="V1596" s="39" t="n">
        <f aca="false">J1596*Resumo!$B$6</f>
        <v>0.39999</v>
      </c>
      <c r="W1596" s="39" t="n">
        <f aca="false">J1596*Resumo!$B$7</f>
        <v>0.79998</v>
      </c>
      <c r="X1596" s="39" t="n">
        <f aca="false">Resumo!$B$9</f>
        <v>1</v>
      </c>
      <c r="Y1596" s="39" t="n">
        <f aca="false">Resumo!$B$10*CEILING(I1596/100,1)</f>
        <v>4.5</v>
      </c>
      <c r="Z1596" s="39" t="n">
        <f aca="false">Resumo!$B$12*CEILING(I1596,1)</f>
        <v>2.1</v>
      </c>
      <c r="AA1596" s="39" t="n">
        <f aca="false">Resumo!$B$13*CEILING(I1596,1)</f>
        <v>15.75</v>
      </c>
      <c r="AB1596" s="39" t="n">
        <f aca="false">SUM(U1596:AA1596)</f>
        <v>106.75997</v>
      </c>
      <c r="AC1596" s="39" t="n">
        <f aca="false">AB1596/(1-Resumo!$B$5)</f>
        <v>121.318147727273</v>
      </c>
      <c r="AD1596" s="39" t="n">
        <f aca="false">(AB1596-AA1596)/(1-Resumo!$B$5)</f>
        <v>103.420420454545</v>
      </c>
      <c r="AE1596" s="39" t="n">
        <f aca="false">AC1596-T1596</f>
        <v>39.0761502272727</v>
      </c>
      <c r="AF1596" s="40" t="n">
        <f aca="false">AC1596/T1596-1</f>
        <v>0.475136200665271</v>
      </c>
      <c r="AG1596" s="37" t="str">
        <f aca="false">IF(AC1596&lt;T1596,"SIM","NÃO")</f>
        <v>NÃO</v>
      </c>
      <c r="AH1596" s="37" t="n">
        <v>8</v>
      </c>
      <c r="AI1596" s="37" t="n">
        <v>5</v>
      </c>
      <c r="AJ1596" s="37" t="s">
        <v>323</v>
      </c>
    </row>
    <row r="1597" customFormat="false" ht="15" hidden="false" customHeight="false" outlineLevel="0" collapsed="false">
      <c r="A1597" s="37" t="n">
        <v>389188455</v>
      </c>
      <c r="B1597" s="38" t="n">
        <v>46270.8719907407</v>
      </c>
      <c r="C1597" s="37" t="s">
        <v>320</v>
      </c>
      <c r="D1597" s="37" t="s">
        <v>1787</v>
      </c>
      <c r="E1597" s="37" t="n">
        <v>23935172</v>
      </c>
      <c r="F1597" s="37" t="s">
        <v>149</v>
      </c>
      <c r="G1597" s="37" t="s">
        <v>201</v>
      </c>
      <c r="H1597" s="37" t="s">
        <v>170</v>
      </c>
      <c r="I1597" s="37" t="n">
        <v>48.3</v>
      </c>
      <c r="J1597" s="39" t="n">
        <v>499.99</v>
      </c>
      <c r="K1597" s="37" t="s">
        <v>322</v>
      </c>
      <c r="L1597" s="39" t="n">
        <v>130.56</v>
      </c>
      <c r="M1597" s="39" t="n">
        <v>94</v>
      </c>
      <c r="N1597" s="39" t="n">
        <f aca="false">J1597*Resumo!$C$7</f>
        <v>0.99998</v>
      </c>
      <c r="O1597" s="39" t="n">
        <f aca="false">J1597*Resumo!$C$8</f>
        <v>0.99998</v>
      </c>
      <c r="P1597" s="39" t="n">
        <f aca="false">Resumo!$C$10*CEILING(I1597/100,1)</f>
        <v>1</v>
      </c>
      <c r="Q1597" s="39" t="n">
        <f aca="false">Resumo!$C$9</f>
        <v>11.9</v>
      </c>
      <c r="R1597" s="39" t="n">
        <f aca="false">SUM(M1597:Q1597)*Resumo!$C$11</f>
        <v>5.9894978</v>
      </c>
      <c r="S1597" s="39" t="n">
        <f aca="false">SUM(M1597:R1597)</f>
        <v>114.8894578</v>
      </c>
      <c r="T1597" s="39" t="n">
        <f aca="false">S1597/(1-Resumo!$C$5)</f>
        <v>130.556202045455</v>
      </c>
      <c r="U1597" s="39" t="n">
        <v>124.38</v>
      </c>
      <c r="V1597" s="39" t="n">
        <f aca="false">J1597*Resumo!$B$6</f>
        <v>0.49999</v>
      </c>
      <c r="W1597" s="39" t="n">
        <f aca="false">J1597*Resumo!$B$7</f>
        <v>0.99998</v>
      </c>
      <c r="X1597" s="39" t="n">
        <f aca="false">Resumo!$B$9</f>
        <v>1</v>
      </c>
      <c r="Y1597" s="39" t="n">
        <f aca="false">Resumo!$B$10*CEILING(I1597/100,1)</f>
        <v>4.5</v>
      </c>
      <c r="Z1597" s="39" t="n">
        <f aca="false">Resumo!$B$12*CEILING(I1597,1)</f>
        <v>2.94</v>
      </c>
      <c r="AA1597" s="39" t="n">
        <f aca="false">Resumo!$B$13*CEILING(I1597,1)</f>
        <v>22.05</v>
      </c>
      <c r="AB1597" s="39" t="n">
        <f aca="false">SUM(U1597:AA1597)</f>
        <v>156.36997</v>
      </c>
      <c r="AC1597" s="39" t="n">
        <f aca="false">AB1597/(1-Resumo!$B$5)</f>
        <v>177.693147727273</v>
      </c>
      <c r="AD1597" s="39" t="n">
        <f aca="false">(AB1597-AA1597)/(1-Resumo!$B$5)</f>
        <v>152.636329545455</v>
      </c>
      <c r="AE1597" s="39" t="n">
        <f aca="false">AC1597-T1597</f>
        <v>47.1369456818182</v>
      </c>
      <c r="AF1597" s="40" t="n">
        <f aca="false">AC1597/T1597-1</f>
        <v>0.361047157801105</v>
      </c>
      <c r="AG1597" s="37" t="str">
        <f aca="false">IF(AC1597&lt;T1597,"SIM","NÃO")</f>
        <v>NÃO</v>
      </c>
      <c r="AH1597" s="37" t="n">
        <v>13</v>
      </c>
      <c r="AI1597" s="37" t="n">
        <v>10</v>
      </c>
      <c r="AJ1597" s="37" t="s">
        <v>323</v>
      </c>
    </row>
    <row r="1598" customFormat="false" ht="15" hidden="false" customHeight="false" outlineLevel="0" collapsed="false">
      <c r="A1598" s="37" t="n">
        <v>389249663</v>
      </c>
      <c r="B1598" s="38" t="n">
        <v>46270.9671180556</v>
      </c>
      <c r="C1598" s="37" t="s">
        <v>352</v>
      </c>
      <c r="D1598" s="37" t="s">
        <v>1788</v>
      </c>
      <c r="E1598" s="37" t="n">
        <v>23067430</v>
      </c>
      <c r="F1598" s="37" t="s">
        <v>139</v>
      </c>
      <c r="G1598" s="37" t="s">
        <v>198</v>
      </c>
      <c r="H1598" s="37" t="s">
        <v>174</v>
      </c>
      <c r="I1598" s="37" t="n">
        <v>83.9</v>
      </c>
      <c r="J1598" s="39" t="n">
        <v>937.49</v>
      </c>
      <c r="K1598" s="37" t="s">
        <v>322</v>
      </c>
      <c r="L1598" s="39" t="n">
        <v>163.57</v>
      </c>
      <c r="M1598" s="39" t="n">
        <v>119.8</v>
      </c>
      <c r="N1598" s="39" t="n">
        <f aca="false">J1598*Resumo!$C$7</f>
        <v>1.87498</v>
      </c>
      <c r="O1598" s="39" t="n">
        <f aca="false">J1598*Resumo!$C$8</f>
        <v>1.87498</v>
      </c>
      <c r="P1598" s="39" t="n">
        <f aca="false">Resumo!$C$10*CEILING(I1598/100,1)</f>
        <v>1</v>
      </c>
      <c r="Q1598" s="39" t="n">
        <f aca="false">Resumo!$C$9</f>
        <v>11.9</v>
      </c>
      <c r="R1598" s="39" t="n">
        <f aca="false">SUM(M1598:Q1598)*Resumo!$C$11</f>
        <v>7.5047478</v>
      </c>
      <c r="S1598" s="39" t="n">
        <f aca="false">SUM(M1598:R1598)</f>
        <v>143.9547078</v>
      </c>
      <c r="T1598" s="39" t="n">
        <f aca="false">S1598/(1-Resumo!$C$5)</f>
        <v>163.584895227273</v>
      </c>
      <c r="U1598" s="39" t="n">
        <v>167.99</v>
      </c>
      <c r="V1598" s="39" t="n">
        <f aca="false">J1598*Resumo!$B$6</f>
        <v>0.93749</v>
      </c>
      <c r="W1598" s="39" t="n">
        <f aca="false">J1598*Resumo!$B$7</f>
        <v>1.87498</v>
      </c>
      <c r="X1598" s="39" t="n">
        <f aca="false">Resumo!$B$9</f>
        <v>1</v>
      </c>
      <c r="Y1598" s="39" t="n">
        <f aca="false">Resumo!$B$10*CEILING(I1598/100,1)</f>
        <v>4.5</v>
      </c>
      <c r="Z1598" s="39" t="n">
        <f aca="false">Resumo!$B$12*CEILING(I1598,1)</f>
        <v>5.04</v>
      </c>
      <c r="AA1598" s="39" t="n">
        <f aca="false">Resumo!$B$13*CEILING(I1598,1)</f>
        <v>37.8</v>
      </c>
      <c r="AB1598" s="39" t="n">
        <f aca="false">SUM(U1598:AA1598)</f>
        <v>219.14247</v>
      </c>
      <c r="AC1598" s="39" t="n">
        <f aca="false">AB1598/(1-Resumo!$B$5)</f>
        <v>249.025534090909</v>
      </c>
      <c r="AD1598" s="39" t="n">
        <f aca="false">(AB1598-AA1598)/(1-Resumo!$B$5)</f>
        <v>206.070988636364</v>
      </c>
      <c r="AE1598" s="39" t="n">
        <f aca="false">AC1598-T1598</f>
        <v>85.4406388636364</v>
      </c>
      <c r="AF1598" s="40" t="n">
        <f aca="false">AC1598/T1598-1</f>
        <v>0.522301516560753</v>
      </c>
      <c r="AG1598" s="37" t="str">
        <f aca="false">IF(AC1598&lt;T1598,"SIM","NÃO")</f>
        <v>NÃO</v>
      </c>
      <c r="AH1598" s="37" t="n">
        <v>8</v>
      </c>
      <c r="AI1598" s="37" t="n">
        <v>5</v>
      </c>
      <c r="AJ1598" s="37" t="s">
        <v>323</v>
      </c>
    </row>
    <row r="1599" customFormat="false" ht="15" hidden="false" customHeight="false" outlineLevel="0" collapsed="false">
      <c r="A1599" s="37" t="n">
        <v>389419454</v>
      </c>
      <c r="B1599" s="38" t="n">
        <v>46271.2654861111</v>
      </c>
      <c r="C1599" s="37" t="s">
        <v>325</v>
      </c>
      <c r="D1599" s="37" t="s">
        <v>1789</v>
      </c>
      <c r="E1599" s="37" t="n">
        <v>26270100</v>
      </c>
      <c r="F1599" s="37" t="s">
        <v>142</v>
      </c>
      <c r="G1599" s="37" t="s">
        <v>207</v>
      </c>
      <c r="H1599" s="37" t="s">
        <v>171</v>
      </c>
      <c r="I1599" s="37" t="n">
        <v>53.3</v>
      </c>
      <c r="J1599" s="39" t="n">
        <v>759.99</v>
      </c>
      <c r="K1599" s="37" t="s">
        <v>322</v>
      </c>
      <c r="L1599" s="39" t="n">
        <v>128.92</v>
      </c>
      <c r="M1599" s="39" t="n">
        <v>91.6</v>
      </c>
      <c r="N1599" s="39" t="n">
        <f aca="false">J1599*Resumo!$C$7</f>
        <v>1.51998</v>
      </c>
      <c r="O1599" s="39" t="n">
        <f aca="false">J1599*Resumo!$C$8</f>
        <v>1.51998</v>
      </c>
      <c r="P1599" s="39" t="n">
        <f aca="false">Resumo!$C$10*CEILING(I1599/100,1)</f>
        <v>1</v>
      </c>
      <c r="Q1599" s="39" t="n">
        <f aca="false">Resumo!$C$9</f>
        <v>11.9</v>
      </c>
      <c r="R1599" s="39" t="n">
        <f aca="false">SUM(M1599:Q1599)*Resumo!$C$11</f>
        <v>5.9146978</v>
      </c>
      <c r="S1599" s="39" t="n">
        <f aca="false">SUM(M1599:R1599)</f>
        <v>113.4546578</v>
      </c>
      <c r="T1599" s="39" t="n">
        <f aca="false">S1599/(1-Resumo!$C$5)</f>
        <v>128.9257475</v>
      </c>
      <c r="U1599" s="39" t="n">
        <v>112.3</v>
      </c>
      <c r="V1599" s="39" t="n">
        <f aca="false">J1599*Resumo!$B$6</f>
        <v>0.75999</v>
      </c>
      <c r="W1599" s="39" t="n">
        <f aca="false">J1599*Resumo!$B$7</f>
        <v>1.51998</v>
      </c>
      <c r="X1599" s="39" t="n">
        <f aca="false">Resumo!$B$9</f>
        <v>1</v>
      </c>
      <c r="Y1599" s="39" t="n">
        <f aca="false">Resumo!$B$10*CEILING(I1599/100,1)</f>
        <v>4.5</v>
      </c>
      <c r="Z1599" s="39" t="n">
        <f aca="false">Resumo!$B$12*CEILING(I1599,1)</f>
        <v>3.24</v>
      </c>
      <c r="AA1599" s="39" t="n">
        <f aca="false">Resumo!$B$13*CEILING(I1599,1)</f>
        <v>24.3</v>
      </c>
      <c r="AB1599" s="39" t="n">
        <f aca="false">SUM(U1599:AA1599)</f>
        <v>147.61997</v>
      </c>
      <c r="AC1599" s="39" t="n">
        <f aca="false">AB1599/(1-Resumo!$B$5)</f>
        <v>167.749965909091</v>
      </c>
      <c r="AD1599" s="39" t="n">
        <f aca="false">(AB1599-AA1599)/(1-Resumo!$B$5)</f>
        <v>140.136329545455</v>
      </c>
      <c r="AE1599" s="39" t="n">
        <f aca="false">AC1599-T1599</f>
        <v>38.8242184090909</v>
      </c>
      <c r="AF1599" s="40" t="n">
        <f aca="false">AC1599/T1599-1</f>
        <v>0.301136267672917</v>
      </c>
      <c r="AG1599" s="37" t="str">
        <f aca="false">IF(AC1599&lt;T1599,"SIM","NÃO")</f>
        <v>NÃO</v>
      </c>
      <c r="AH1599" s="37" t="n">
        <v>10</v>
      </c>
      <c r="AI1599" s="37" t="n">
        <v>5</v>
      </c>
      <c r="AJ1599" s="37" t="s">
        <v>323</v>
      </c>
    </row>
    <row r="1600" customFormat="false" ht="15" hidden="false" customHeight="false" outlineLevel="0" collapsed="false">
      <c r="A1600" s="37" t="n">
        <v>389385071</v>
      </c>
      <c r="B1600" s="38" t="n">
        <v>46271.3189814815</v>
      </c>
      <c r="C1600" s="37" t="s">
        <v>320</v>
      </c>
      <c r="D1600" s="37" t="s">
        <v>1790</v>
      </c>
      <c r="E1600" s="37" t="n">
        <v>26377300</v>
      </c>
      <c r="F1600" s="37" t="s">
        <v>222</v>
      </c>
      <c r="G1600" s="37" t="s">
        <v>207</v>
      </c>
      <c r="H1600" s="37" t="s">
        <v>168</v>
      </c>
      <c r="I1600" s="37" t="n">
        <v>23.1</v>
      </c>
      <c r="J1600" s="39" t="n">
        <v>379.99</v>
      </c>
      <c r="K1600" s="37" t="s">
        <v>322</v>
      </c>
      <c r="L1600" s="39" t="n">
        <v>101.2</v>
      </c>
      <c r="M1600" s="39" t="n">
        <v>70</v>
      </c>
      <c r="N1600" s="39" t="n">
        <f aca="false">J1600*Resumo!$C$7</f>
        <v>0.75998</v>
      </c>
      <c r="O1600" s="39" t="n">
        <f aca="false">J1600*Resumo!$C$8</f>
        <v>0.75998</v>
      </c>
      <c r="P1600" s="39" t="n">
        <f aca="false">Resumo!$C$10*CEILING(I1600/100,1)</f>
        <v>1</v>
      </c>
      <c r="Q1600" s="39" t="n">
        <f aca="false">Resumo!$C$9</f>
        <v>11.9</v>
      </c>
      <c r="R1600" s="39" t="n">
        <f aca="false">SUM(M1600:Q1600)*Resumo!$C$11</f>
        <v>4.6430978</v>
      </c>
      <c r="S1600" s="39" t="n">
        <f aca="false">SUM(M1600:R1600)</f>
        <v>89.0630578</v>
      </c>
      <c r="T1600" s="39" t="n">
        <f aca="false">S1600/(1-Resumo!$C$5)</f>
        <v>101.208020227273</v>
      </c>
      <c r="U1600" s="39" t="n">
        <v>82.21</v>
      </c>
      <c r="V1600" s="39" t="n">
        <f aca="false">J1600*Resumo!$B$6</f>
        <v>0.37999</v>
      </c>
      <c r="W1600" s="39" t="n">
        <f aca="false">J1600*Resumo!$B$7</f>
        <v>0.75998</v>
      </c>
      <c r="X1600" s="39" t="n">
        <f aca="false">Resumo!$B$9</f>
        <v>1</v>
      </c>
      <c r="Y1600" s="39" t="n">
        <f aca="false">Resumo!$B$10*CEILING(I1600/100,1)</f>
        <v>4.5</v>
      </c>
      <c r="Z1600" s="39" t="n">
        <f aca="false">Resumo!$B$12*CEILING(I1600,1)</f>
        <v>1.44</v>
      </c>
      <c r="AA1600" s="39" t="n">
        <f aca="false">Resumo!$B$13*CEILING(I1600,1)</f>
        <v>10.8</v>
      </c>
      <c r="AB1600" s="39" t="n">
        <f aca="false">SUM(U1600:AA1600)</f>
        <v>101.08997</v>
      </c>
      <c r="AC1600" s="39" t="n">
        <f aca="false">AB1600/(1-Resumo!$B$5)</f>
        <v>114.874965909091</v>
      </c>
      <c r="AD1600" s="39" t="n">
        <f aca="false">(AB1600-AA1600)/(1-Resumo!$B$5)</f>
        <v>102.602238636364</v>
      </c>
      <c r="AE1600" s="39" t="n">
        <f aca="false">AC1600-T1600</f>
        <v>13.6669456818182</v>
      </c>
      <c r="AF1600" s="40" t="n">
        <f aca="false">AC1600/T1600-1</f>
        <v>0.135038168429021</v>
      </c>
      <c r="AG1600" s="37" t="str">
        <f aca="false">IF(AC1600&lt;T1600,"SIM","NÃO")</f>
        <v>NÃO</v>
      </c>
      <c r="AH1600" s="37" t="n">
        <v>10</v>
      </c>
      <c r="AI1600" s="37" t="n">
        <v>5</v>
      </c>
      <c r="AJ1600" s="37" t="s">
        <v>327</v>
      </c>
    </row>
    <row r="1601" customFormat="false" ht="15" hidden="false" customHeight="false" outlineLevel="0" collapsed="false">
      <c r="A1601" s="37" t="n">
        <v>389391105</v>
      </c>
      <c r="B1601" s="38" t="n">
        <v>46271.3335416667</v>
      </c>
      <c r="C1601" s="37" t="s">
        <v>320</v>
      </c>
      <c r="D1601" s="37" t="s">
        <v>1791</v>
      </c>
      <c r="E1601" s="37" t="n">
        <v>28893513</v>
      </c>
      <c r="F1601" s="37" t="s">
        <v>158</v>
      </c>
      <c r="G1601" s="37" t="s">
        <v>201</v>
      </c>
      <c r="H1601" s="37" t="s">
        <v>169</v>
      </c>
      <c r="I1601" s="37" t="n">
        <v>36.8</v>
      </c>
      <c r="J1601" s="39" t="n">
        <v>479.99</v>
      </c>
      <c r="K1601" s="37" t="s">
        <v>322</v>
      </c>
      <c r="L1601" s="39" t="n">
        <v>122.55</v>
      </c>
      <c r="M1601" s="39" t="n">
        <v>87.4</v>
      </c>
      <c r="N1601" s="39" t="n">
        <f aca="false">J1601*Resumo!$C$7</f>
        <v>0.95998</v>
      </c>
      <c r="O1601" s="39" t="n">
        <f aca="false">J1601*Resumo!$C$8</f>
        <v>0.95998</v>
      </c>
      <c r="P1601" s="39" t="n">
        <f aca="false">Resumo!$C$10*CEILING(I1601/100,1)</f>
        <v>1</v>
      </c>
      <c r="Q1601" s="39" t="n">
        <f aca="false">Resumo!$C$9</f>
        <v>11.9</v>
      </c>
      <c r="R1601" s="39" t="n">
        <f aca="false">SUM(M1601:Q1601)*Resumo!$C$11</f>
        <v>5.6220978</v>
      </c>
      <c r="S1601" s="39" t="n">
        <f aca="false">SUM(M1601:R1601)</f>
        <v>107.8420578</v>
      </c>
      <c r="T1601" s="39" t="n">
        <f aca="false">S1601/(1-Resumo!$C$5)</f>
        <v>122.547792954545</v>
      </c>
      <c r="U1601" s="39" t="n">
        <v>124.38</v>
      </c>
      <c r="V1601" s="39" t="n">
        <f aca="false">J1601*Resumo!$B$6</f>
        <v>0.47999</v>
      </c>
      <c r="W1601" s="39" t="n">
        <f aca="false">J1601*Resumo!$B$7</f>
        <v>0.95998</v>
      </c>
      <c r="X1601" s="39" t="n">
        <f aca="false">Resumo!$B$9</f>
        <v>1</v>
      </c>
      <c r="Y1601" s="39" t="n">
        <f aca="false">Resumo!$B$10*CEILING(I1601/100,1)</f>
        <v>4.5</v>
      </c>
      <c r="Z1601" s="39" t="n">
        <f aca="false">Resumo!$B$12*CEILING(I1601,1)</f>
        <v>2.22</v>
      </c>
      <c r="AA1601" s="39" t="n">
        <f aca="false">Resumo!$B$13*CEILING(I1601,1)</f>
        <v>16.65</v>
      </c>
      <c r="AB1601" s="39" t="n">
        <f aca="false">SUM(U1601:AA1601)</f>
        <v>150.18997</v>
      </c>
      <c r="AC1601" s="39" t="n">
        <f aca="false">AB1601/(1-Resumo!$B$5)</f>
        <v>170.670420454545</v>
      </c>
      <c r="AD1601" s="39" t="n">
        <f aca="false">(AB1601-AA1601)/(1-Resumo!$B$5)</f>
        <v>151.749965909091</v>
      </c>
      <c r="AE1601" s="39" t="n">
        <f aca="false">AC1601-T1601</f>
        <v>48.1226275</v>
      </c>
      <c r="AF1601" s="40" t="n">
        <f aca="false">AC1601/T1601-1</f>
        <v>0.392684570972643</v>
      </c>
      <c r="AG1601" s="37" t="str">
        <f aca="false">IF(AC1601&lt;T1601,"SIM","NÃO")</f>
        <v>NÃO</v>
      </c>
      <c r="AH1601" s="37" t="n">
        <v>13</v>
      </c>
      <c r="AI1601" s="37" t="n">
        <v>10</v>
      </c>
      <c r="AJ1601" s="37" t="s">
        <v>323</v>
      </c>
    </row>
    <row r="1602" customFormat="false" ht="15" hidden="false" customHeight="false" outlineLevel="0" collapsed="false">
      <c r="A1602" s="37" t="n">
        <v>389444784</v>
      </c>
      <c r="B1602" s="38" t="n">
        <v>46271.4304976852</v>
      </c>
      <c r="C1602" s="37" t="s">
        <v>320</v>
      </c>
      <c r="D1602" s="37" t="s">
        <v>1792</v>
      </c>
      <c r="E1602" s="37" t="n">
        <v>25804130</v>
      </c>
      <c r="F1602" s="37" t="s">
        <v>214</v>
      </c>
      <c r="G1602" s="37" t="s">
        <v>201</v>
      </c>
      <c r="H1602" s="37" t="s">
        <v>169</v>
      </c>
      <c r="I1602" s="37" t="n">
        <v>40</v>
      </c>
      <c r="J1602" s="39" t="n">
        <v>579.99</v>
      </c>
      <c r="K1602" s="37" t="s">
        <v>322</v>
      </c>
      <c r="L1602" s="39" t="n">
        <v>123.02</v>
      </c>
      <c r="M1602" s="39" t="n">
        <v>87.4</v>
      </c>
      <c r="N1602" s="39" t="n">
        <f aca="false">J1602*Resumo!$C$7</f>
        <v>1.15998</v>
      </c>
      <c r="O1602" s="39" t="n">
        <f aca="false">J1602*Resumo!$C$8</f>
        <v>1.15998</v>
      </c>
      <c r="P1602" s="39" t="n">
        <f aca="false">Resumo!$C$10*CEILING(I1602/100,1)</f>
        <v>1</v>
      </c>
      <c r="Q1602" s="39" t="n">
        <f aca="false">Resumo!$C$9</f>
        <v>11.9</v>
      </c>
      <c r="R1602" s="39" t="n">
        <f aca="false">SUM(M1602:Q1602)*Resumo!$C$11</f>
        <v>5.6440978</v>
      </c>
      <c r="S1602" s="39" t="n">
        <f aca="false">SUM(M1602:R1602)</f>
        <v>108.2640578</v>
      </c>
      <c r="T1602" s="39" t="n">
        <f aca="false">S1602/(1-Resumo!$C$5)</f>
        <v>123.027338409091</v>
      </c>
      <c r="U1602" s="39" t="n">
        <v>124.38</v>
      </c>
      <c r="V1602" s="39" t="n">
        <f aca="false">J1602*Resumo!$B$6</f>
        <v>0.57999</v>
      </c>
      <c r="W1602" s="39" t="n">
        <f aca="false">J1602*Resumo!$B$7</f>
        <v>1.15998</v>
      </c>
      <c r="X1602" s="39" t="n">
        <f aca="false">Resumo!$B$9</f>
        <v>1</v>
      </c>
      <c r="Y1602" s="39" t="n">
        <f aca="false">Resumo!$B$10*CEILING(I1602/100,1)</f>
        <v>4.5</v>
      </c>
      <c r="Z1602" s="39" t="n">
        <f aca="false">Resumo!$B$12*CEILING(I1602,1)</f>
        <v>2.4</v>
      </c>
      <c r="AA1602" s="39" t="n">
        <f aca="false">Resumo!$B$13*CEILING(I1602,1)</f>
        <v>18</v>
      </c>
      <c r="AB1602" s="39" t="n">
        <f aca="false">SUM(U1602:AA1602)</f>
        <v>152.01997</v>
      </c>
      <c r="AC1602" s="39" t="n">
        <f aca="false">AB1602/(1-Resumo!$B$5)</f>
        <v>172.749965909091</v>
      </c>
      <c r="AD1602" s="39" t="n">
        <f aca="false">(AB1602-AA1602)/(1-Resumo!$B$5)</f>
        <v>152.295420454545</v>
      </c>
      <c r="AE1602" s="39" t="n">
        <f aca="false">AC1602-T1602</f>
        <v>49.7226275</v>
      </c>
      <c r="AF1602" s="40" t="n">
        <f aca="false">AC1602/T1602-1</f>
        <v>0.404159174237048</v>
      </c>
      <c r="AG1602" s="37" t="str">
        <f aca="false">IF(AC1602&lt;T1602,"SIM","NÃO")</f>
        <v>NÃO</v>
      </c>
      <c r="AH1602" s="37" t="n">
        <v>13</v>
      </c>
      <c r="AI1602" s="37" t="n">
        <v>8</v>
      </c>
      <c r="AJ1602" s="37" t="s">
        <v>327</v>
      </c>
    </row>
    <row r="1603" customFormat="false" ht="15" hidden="false" customHeight="false" outlineLevel="0" collapsed="false">
      <c r="A1603" s="37" t="n">
        <v>389456885</v>
      </c>
      <c r="B1603" s="38" t="n">
        <v>46271.4484953704</v>
      </c>
      <c r="C1603" s="37" t="s">
        <v>320</v>
      </c>
      <c r="D1603" s="37" t="s">
        <v>1793</v>
      </c>
      <c r="E1603" s="37" t="n">
        <v>23933600</v>
      </c>
      <c r="F1603" s="37" t="s">
        <v>149</v>
      </c>
      <c r="G1603" s="37" t="s">
        <v>201</v>
      </c>
      <c r="H1603" s="37" t="s">
        <v>172</v>
      </c>
      <c r="I1603" s="37" t="n">
        <v>61.4</v>
      </c>
      <c r="J1603" s="39" t="n">
        <v>999.99</v>
      </c>
      <c r="K1603" s="37" t="s">
        <v>322</v>
      </c>
      <c r="L1603" s="39" t="n">
        <v>156.81</v>
      </c>
      <c r="M1603" s="39" t="n">
        <v>113.9</v>
      </c>
      <c r="N1603" s="39" t="n">
        <f aca="false">J1603*Resumo!$C$7</f>
        <v>1.99998</v>
      </c>
      <c r="O1603" s="39" t="n">
        <f aca="false">J1603*Resumo!$C$8</f>
        <v>1.99998</v>
      </c>
      <c r="P1603" s="39" t="n">
        <f aca="false">Resumo!$C$10*CEILING(I1603/100,1)</f>
        <v>1</v>
      </c>
      <c r="Q1603" s="39" t="n">
        <f aca="false">Resumo!$C$9</f>
        <v>11.9</v>
      </c>
      <c r="R1603" s="39" t="n">
        <f aca="false">SUM(M1603:Q1603)*Resumo!$C$11</f>
        <v>7.1939978</v>
      </c>
      <c r="S1603" s="39" t="n">
        <f aca="false">SUM(M1603:R1603)</f>
        <v>137.9939578</v>
      </c>
      <c r="T1603" s="39" t="n">
        <f aca="false">S1603/(1-Resumo!$C$5)</f>
        <v>156.811315681818</v>
      </c>
      <c r="U1603" s="39" t="n">
        <v>166.05</v>
      </c>
      <c r="V1603" s="39" t="n">
        <f aca="false">J1603*Resumo!$B$6</f>
        <v>0.99999</v>
      </c>
      <c r="W1603" s="39" t="n">
        <f aca="false">J1603*Resumo!$B$7</f>
        <v>1.99998</v>
      </c>
      <c r="X1603" s="39" t="n">
        <f aca="false">Resumo!$B$9</f>
        <v>1</v>
      </c>
      <c r="Y1603" s="39" t="n">
        <f aca="false">Resumo!$B$10*CEILING(I1603/100,1)</f>
        <v>4.5</v>
      </c>
      <c r="Z1603" s="39" t="n">
        <f aca="false">Resumo!$B$12*CEILING(I1603,1)</f>
        <v>3.72</v>
      </c>
      <c r="AA1603" s="39" t="n">
        <f aca="false">Resumo!$B$13*CEILING(I1603,1)</f>
        <v>27.9</v>
      </c>
      <c r="AB1603" s="39" t="n">
        <f aca="false">SUM(U1603:AA1603)</f>
        <v>206.16997</v>
      </c>
      <c r="AC1603" s="39" t="n">
        <f aca="false">AB1603/(1-Resumo!$B$5)</f>
        <v>234.284056818182</v>
      </c>
      <c r="AD1603" s="39" t="n">
        <f aca="false">(AB1603-AA1603)/(1-Resumo!$B$5)</f>
        <v>202.579511363636</v>
      </c>
      <c r="AE1603" s="39" t="n">
        <f aca="false">AC1603-T1603</f>
        <v>77.4727411363637</v>
      </c>
      <c r="AF1603" s="40" t="n">
        <f aca="false">AC1603/T1603-1</f>
        <v>0.494050705457772</v>
      </c>
      <c r="AG1603" s="37" t="str">
        <f aca="false">IF(AC1603&lt;T1603,"SIM","NÃO")</f>
        <v>NÃO</v>
      </c>
      <c r="AH1603" s="37" t="n">
        <v>13</v>
      </c>
      <c r="AI1603" s="37" t="n">
        <v>10</v>
      </c>
      <c r="AJ1603" s="37" t="s">
        <v>323</v>
      </c>
    </row>
    <row r="1604" customFormat="false" ht="15" hidden="false" customHeight="false" outlineLevel="0" collapsed="false">
      <c r="A1604" s="37" t="n">
        <v>389471906</v>
      </c>
      <c r="B1604" s="38" t="n">
        <v>46271.4698726852</v>
      </c>
      <c r="C1604" s="37" t="s">
        <v>320</v>
      </c>
      <c r="D1604" s="37" t="s">
        <v>1794</v>
      </c>
      <c r="E1604" s="37" t="n">
        <v>21361140</v>
      </c>
      <c r="F1604" s="37" t="s">
        <v>139</v>
      </c>
      <c r="G1604" s="37" t="s">
        <v>198</v>
      </c>
      <c r="H1604" s="37" t="s">
        <v>172</v>
      </c>
      <c r="I1604" s="37" t="n">
        <v>66.8</v>
      </c>
      <c r="J1604" s="39" t="n">
        <v>666.23</v>
      </c>
      <c r="K1604" s="37" t="s">
        <v>322</v>
      </c>
      <c r="L1604" s="39" t="n">
        <v>124.4</v>
      </c>
      <c r="M1604" s="39" t="n">
        <v>88.2</v>
      </c>
      <c r="N1604" s="39" t="n">
        <f aca="false">J1604*Resumo!$C$7</f>
        <v>1.33246</v>
      </c>
      <c r="O1604" s="39" t="n">
        <f aca="false">J1604*Resumo!$C$8</f>
        <v>1.33246</v>
      </c>
      <c r="P1604" s="39" t="n">
        <f aca="false">Resumo!$C$10*CEILING(I1604/100,1)</f>
        <v>1</v>
      </c>
      <c r="Q1604" s="39" t="n">
        <f aca="false">Resumo!$C$9</f>
        <v>11.9</v>
      </c>
      <c r="R1604" s="39" t="n">
        <f aca="false">SUM(M1604:Q1604)*Resumo!$C$11</f>
        <v>5.7070706</v>
      </c>
      <c r="S1604" s="39" t="n">
        <f aca="false">SUM(M1604:R1604)</f>
        <v>109.4719906</v>
      </c>
      <c r="T1604" s="39" t="n">
        <f aca="false">S1604/(1-Resumo!$C$5)</f>
        <v>124.399989318182</v>
      </c>
      <c r="U1604" s="39" t="n">
        <v>131.02</v>
      </c>
      <c r="V1604" s="39" t="n">
        <f aca="false">J1604*Resumo!$B$6</f>
        <v>0.66623</v>
      </c>
      <c r="W1604" s="39" t="n">
        <f aca="false">J1604*Resumo!$B$7</f>
        <v>1.33246</v>
      </c>
      <c r="X1604" s="39" t="n">
        <f aca="false">Resumo!$B$9</f>
        <v>1</v>
      </c>
      <c r="Y1604" s="39" t="n">
        <f aca="false">Resumo!$B$10*CEILING(I1604/100,1)</f>
        <v>4.5</v>
      </c>
      <c r="Z1604" s="39" t="n">
        <f aca="false">Resumo!$B$12*CEILING(I1604,1)</f>
        <v>4.02</v>
      </c>
      <c r="AA1604" s="39" t="n">
        <f aca="false">Resumo!$B$13*CEILING(I1604,1)</f>
        <v>30.15</v>
      </c>
      <c r="AB1604" s="39" t="n">
        <f aca="false">SUM(U1604:AA1604)</f>
        <v>172.68869</v>
      </c>
      <c r="AC1604" s="39" t="n">
        <f aca="false">AB1604/(1-Resumo!$B$5)</f>
        <v>196.237147727273</v>
      </c>
      <c r="AD1604" s="39" t="n">
        <f aca="false">(AB1604-AA1604)/(1-Resumo!$B$5)</f>
        <v>161.975784090909</v>
      </c>
      <c r="AE1604" s="39" t="n">
        <f aca="false">AC1604-T1604</f>
        <v>71.8371584090909</v>
      </c>
      <c r="AF1604" s="40" t="n">
        <f aca="false">AC1604/T1604-1</f>
        <v>0.577469168629515</v>
      </c>
      <c r="AG1604" s="37" t="str">
        <f aca="false">IF(AC1604&lt;T1604,"SIM","NÃO")</f>
        <v>NÃO</v>
      </c>
      <c r="AH1604" s="37" t="n">
        <v>8</v>
      </c>
      <c r="AI1604" s="37" t="n">
        <v>5</v>
      </c>
      <c r="AJ1604" s="37" t="s">
        <v>323</v>
      </c>
    </row>
    <row r="1605" customFormat="false" ht="15" hidden="false" customHeight="false" outlineLevel="0" collapsed="false">
      <c r="A1605" s="37" t="n">
        <v>389573191</v>
      </c>
      <c r="B1605" s="38" t="n">
        <v>46271.4882523148</v>
      </c>
      <c r="C1605" s="37" t="s">
        <v>325</v>
      </c>
      <c r="D1605" s="37" t="s">
        <v>1795</v>
      </c>
      <c r="E1605" s="37" t="n">
        <v>23058281</v>
      </c>
      <c r="F1605" s="37" t="s">
        <v>139</v>
      </c>
      <c r="G1605" s="37" t="s">
        <v>198</v>
      </c>
      <c r="H1605" s="37" t="s">
        <v>169</v>
      </c>
      <c r="I1605" s="37" t="n">
        <v>36.8</v>
      </c>
      <c r="J1605" s="39" t="n">
        <v>434.53</v>
      </c>
      <c r="K1605" s="37" t="s">
        <v>322</v>
      </c>
      <c r="L1605" s="39" t="n">
        <v>91.94</v>
      </c>
      <c r="M1605" s="39" t="n">
        <v>62.05</v>
      </c>
      <c r="N1605" s="39" t="n">
        <f aca="false">J1605*Resumo!$C$7</f>
        <v>0.86906</v>
      </c>
      <c r="O1605" s="39" t="n">
        <f aca="false">J1605*Resumo!$C$8</f>
        <v>0.86906</v>
      </c>
      <c r="P1605" s="39" t="n">
        <f aca="false">Resumo!$C$10*CEILING(I1605/100,1)</f>
        <v>1</v>
      </c>
      <c r="Q1605" s="39" t="n">
        <f aca="false">Resumo!$C$9</f>
        <v>11.9</v>
      </c>
      <c r="R1605" s="39" t="n">
        <f aca="false">SUM(M1605:Q1605)*Resumo!$C$11</f>
        <v>4.2178466</v>
      </c>
      <c r="S1605" s="39" t="n">
        <f aca="false">SUM(M1605:R1605)</f>
        <v>80.9059666</v>
      </c>
      <c r="T1605" s="39" t="n">
        <f aca="false">S1605/(1-Resumo!$C$5)</f>
        <v>91.9385984090909</v>
      </c>
      <c r="U1605" s="39" t="n">
        <v>93.97</v>
      </c>
      <c r="V1605" s="39" t="n">
        <f aca="false">J1605*Resumo!$B$6</f>
        <v>0.43453</v>
      </c>
      <c r="W1605" s="39" t="n">
        <f aca="false">J1605*Resumo!$B$7</f>
        <v>0.86906</v>
      </c>
      <c r="X1605" s="39" t="n">
        <f aca="false">Resumo!$B$9</f>
        <v>1</v>
      </c>
      <c r="Y1605" s="39" t="n">
        <f aca="false">Resumo!$B$10*CEILING(I1605/100,1)</f>
        <v>4.5</v>
      </c>
      <c r="Z1605" s="39" t="n">
        <f aca="false">Resumo!$B$12*CEILING(I1605,1)</f>
        <v>2.22</v>
      </c>
      <c r="AA1605" s="39" t="n">
        <f aca="false">Resumo!$B$13*CEILING(I1605,1)</f>
        <v>16.65</v>
      </c>
      <c r="AB1605" s="39" t="n">
        <f aca="false">SUM(U1605:AA1605)</f>
        <v>119.64359</v>
      </c>
      <c r="AC1605" s="39" t="n">
        <f aca="false">AB1605/(1-Resumo!$B$5)</f>
        <v>135.958625</v>
      </c>
      <c r="AD1605" s="39" t="n">
        <f aca="false">(AB1605-AA1605)/(1-Resumo!$B$5)</f>
        <v>117.038170454545</v>
      </c>
      <c r="AE1605" s="39" t="n">
        <f aca="false">AC1605-T1605</f>
        <v>44.0200265909091</v>
      </c>
      <c r="AF1605" s="40" t="n">
        <f aca="false">AC1605/T1605-1</f>
        <v>0.47879810387186</v>
      </c>
      <c r="AG1605" s="37" t="str">
        <f aca="false">IF(AC1605&lt;T1605,"SIM","NÃO")</f>
        <v>NÃO</v>
      </c>
      <c r="AH1605" s="37" t="n">
        <v>8</v>
      </c>
      <c r="AI1605" s="37" t="n">
        <v>5</v>
      </c>
      <c r="AJ1605" s="37" t="s">
        <v>323</v>
      </c>
    </row>
    <row r="1606" customFormat="false" ht="15" hidden="false" customHeight="false" outlineLevel="0" collapsed="false">
      <c r="A1606" s="37" t="n">
        <v>389515004</v>
      </c>
      <c r="B1606" s="38" t="n">
        <v>46271.5297569444</v>
      </c>
      <c r="C1606" s="37" t="s">
        <v>320</v>
      </c>
      <c r="D1606" s="37" t="s">
        <v>610</v>
      </c>
      <c r="E1606" s="37" t="n">
        <v>23520560</v>
      </c>
      <c r="F1606" s="37" t="s">
        <v>139</v>
      </c>
      <c r="G1606" s="37" t="s">
        <v>198</v>
      </c>
      <c r="H1606" s="37" t="s">
        <v>172</v>
      </c>
      <c r="I1606" s="37" t="n">
        <v>63.9</v>
      </c>
      <c r="J1606" s="39" t="n">
        <v>716.35</v>
      </c>
      <c r="K1606" s="37" t="s">
        <v>322</v>
      </c>
      <c r="L1606" s="39" t="n">
        <v>124.64</v>
      </c>
      <c r="M1606" s="39" t="n">
        <v>88.2</v>
      </c>
      <c r="N1606" s="39" t="n">
        <f aca="false">J1606*Resumo!$C$7</f>
        <v>1.4327</v>
      </c>
      <c r="O1606" s="39" t="n">
        <f aca="false">J1606*Resumo!$C$8</f>
        <v>1.4327</v>
      </c>
      <c r="P1606" s="39" t="n">
        <f aca="false">Resumo!$C$10*CEILING(I1606/100,1)</f>
        <v>1</v>
      </c>
      <c r="Q1606" s="39" t="n">
        <f aca="false">Resumo!$C$9</f>
        <v>11.9</v>
      </c>
      <c r="R1606" s="39" t="n">
        <f aca="false">SUM(M1606:Q1606)*Resumo!$C$11</f>
        <v>5.718097</v>
      </c>
      <c r="S1606" s="39" t="n">
        <f aca="false">SUM(M1606:R1606)</f>
        <v>109.683497</v>
      </c>
      <c r="T1606" s="39" t="n">
        <f aca="false">S1606/(1-Resumo!$C$5)</f>
        <v>124.6403375</v>
      </c>
      <c r="U1606" s="39" t="n">
        <v>131.02</v>
      </c>
      <c r="V1606" s="39" t="n">
        <f aca="false">J1606*Resumo!$B$6</f>
        <v>0.71635</v>
      </c>
      <c r="W1606" s="39" t="n">
        <f aca="false">J1606*Resumo!$B$7</f>
        <v>1.4327</v>
      </c>
      <c r="X1606" s="39" t="n">
        <f aca="false">Resumo!$B$9</f>
        <v>1</v>
      </c>
      <c r="Y1606" s="39" t="n">
        <f aca="false">Resumo!$B$10*CEILING(I1606/100,1)</f>
        <v>4.5</v>
      </c>
      <c r="Z1606" s="39" t="n">
        <f aca="false">Resumo!$B$12*CEILING(I1606,1)</f>
        <v>3.84</v>
      </c>
      <c r="AA1606" s="39" t="n">
        <f aca="false">Resumo!$B$13*CEILING(I1606,1)</f>
        <v>28.8</v>
      </c>
      <c r="AB1606" s="39" t="n">
        <f aca="false">SUM(U1606:AA1606)</f>
        <v>171.30905</v>
      </c>
      <c r="AC1606" s="39" t="n">
        <f aca="false">AB1606/(1-Resumo!$B$5)</f>
        <v>194.669375</v>
      </c>
      <c r="AD1606" s="39" t="n">
        <f aca="false">(AB1606-AA1606)/(1-Resumo!$B$5)</f>
        <v>161.942102272727</v>
      </c>
      <c r="AE1606" s="39" t="n">
        <f aca="false">AC1606-T1606</f>
        <v>70.0290375</v>
      </c>
      <c r="AF1606" s="40" t="n">
        <f aca="false">AC1606/T1606-1</f>
        <v>0.561848907862593</v>
      </c>
      <c r="AG1606" s="37" t="str">
        <f aca="false">IF(AC1606&lt;T1606,"SIM","NÃO")</f>
        <v>NÃO</v>
      </c>
      <c r="AH1606" s="37" t="n">
        <v>8</v>
      </c>
      <c r="AI1606" s="37" t="n">
        <v>5</v>
      </c>
      <c r="AJ1606" s="37" t="s">
        <v>323</v>
      </c>
    </row>
    <row r="1607" customFormat="false" ht="15" hidden="false" customHeight="false" outlineLevel="0" collapsed="false">
      <c r="A1607" s="37" t="n">
        <v>389551826</v>
      </c>
      <c r="B1607" s="38" t="n">
        <v>46271.5615162037</v>
      </c>
      <c r="C1607" s="37" t="s">
        <v>517</v>
      </c>
      <c r="D1607" s="37" t="s">
        <v>1796</v>
      </c>
      <c r="E1607" s="37" t="n">
        <v>23085570</v>
      </c>
      <c r="F1607" s="37" t="s">
        <v>139</v>
      </c>
      <c r="G1607" s="37" t="s">
        <v>198</v>
      </c>
      <c r="H1607" s="37" t="s">
        <v>170</v>
      </c>
      <c r="I1607" s="37" t="n">
        <v>49.6</v>
      </c>
      <c r="J1607" s="39" t="n">
        <v>683.99</v>
      </c>
      <c r="K1607" s="37" t="s">
        <v>322</v>
      </c>
      <c r="L1607" s="39" t="n">
        <v>103.88</v>
      </c>
      <c r="M1607" s="39" t="n">
        <v>71</v>
      </c>
      <c r="N1607" s="39" t="n">
        <f aca="false">J1607*Resumo!$C$7</f>
        <v>1.36798</v>
      </c>
      <c r="O1607" s="39" t="n">
        <f aca="false">J1607*Resumo!$C$8</f>
        <v>1.36798</v>
      </c>
      <c r="P1607" s="39" t="n">
        <f aca="false">Resumo!$C$10*CEILING(I1607/100,1)</f>
        <v>1</v>
      </c>
      <c r="Q1607" s="39" t="n">
        <f aca="false">Resumo!$C$9</f>
        <v>11.9</v>
      </c>
      <c r="R1607" s="39" t="n">
        <f aca="false">SUM(M1607:Q1607)*Resumo!$C$11</f>
        <v>4.7649778</v>
      </c>
      <c r="S1607" s="39" t="n">
        <f aca="false">SUM(M1607:R1607)</f>
        <v>91.4009378</v>
      </c>
      <c r="T1607" s="39" t="n">
        <f aca="false">S1607/(1-Resumo!$C$5)</f>
        <v>103.864702045455</v>
      </c>
      <c r="U1607" s="39" t="n">
        <v>93.97</v>
      </c>
      <c r="V1607" s="39" t="n">
        <f aca="false">J1607*Resumo!$B$6</f>
        <v>0.68399</v>
      </c>
      <c r="W1607" s="39" t="n">
        <f aca="false">J1607*Resumo!$B$7</f>
        <v>1.36798</v>
      </c>
      <c r="X1607" s="39" t="n">
        <f aca="false">Resumo!$B$9</f>
        <v>1</v>
      </c>
      <c r="Y1607" s="39" t="n">
        <f aca="false">Resumo!$B$10*CEILING(I1607/100,1)</f>
        <v>4.5</v>
      </c>
      <c r="Z1607" s="39" t="n">
        <f aca="false">Resumo!$B$12*CEILING(I1607,1)</f>
        <v>3</v>
      </c>
      <c r="AA1607" s="39" t="n">
        <f aca="false">Resumo!$B$13*CEILING(I1607,1)</f>
        <v>22.5</v>
      </c>
      <c r="AB1607" s="39" t="n">
        <f aca="false">SUM(U1607:AA1607)</f>
        <v>127.02197</v>
      </c>
      <c r="AC1607" s="39" t="n">
        <f aca="false">AB1607/(1-Resumo!$B$5)</f>
        <v>144.343147727273</v>
      </c>
      <c r="AD1607" s="39" t="n">
        <f aca="false">(AB1607-AA1607)/(1-Resumo!$B$5)</f>
        <v>118.774965909091</v>
      </c>
      <c r="AE1607" s="39" t="n">
        <f aca="false">AC1607-T1607</f>
        <v>40.4784456818182</v>
      </c>
      <c r="AF1607" s="40" t="n">
        <f aca="false">AC1607/T1607-1</f>
        <v>0.38972283061192</v>
      </c>
      <c r="AG1607" s="37" t="str">
        <f aca="false">IF(AC1607&lt;T1607,"SIM","NÃO")</f>
        <v>NÃO</v>
      </c>
      <c r="AH1607" s="37" t="n">
        <v>8</v>
      </c>
      <c r="AI1607" s="37" t="n">
        <v>5</v>
      </c>
      <c r="AJ1607" s="37" t="s">
        <v>323</v>
      </c>
    </row>
    <row r="1608" customFormat="false" ht="15" hidden="false" customHeight="false" outlineLevel="0" collapsed="false">
      <c r="A1608" s="37" t="n">
        <v>389551263</v>
      </c>
      <c r="B1608" s="38" t="n">
        <v>46271.581400463</v>
      </c>
      <c r="C1608" s="37" t="s">
        <v>320</v>
      </c>
      <c r="D1608" s="37" t="s">
        <v>1797</v>
      </c>
      <c r="E1608" s="37" t="n">
        <v>24916000</v>
      </c>
      <c r="F1608" s="37" t="s">
        <v>151</v>
      </c>
      <c r="G1608" s="37" t="s">
        <v>201</v>
      </c>
      <c r="H1608" s="37" t="s">
        <v>169</v>
      </c>
      <c r="I1608" s="37" t="n">
        <v>36.9</v>
      </c>
      <c r="J1608" s="39" t="n">
        <v>399.99</v>
      </c>
      <c r="K1608" s="37" t="s">
        <v>322</v>
      </c>
      <c r="L1608" s="39" t="n">
        <v>122.16</v>
      </c>
      <c r="M1608" s="39" t="n">
        <v>87.4</v>
      </c>
      <c r="N1608" s="39" t="n">
        <f aca="false">J1608*Resumo!$C$7</f>
        <v>0.79998</v>
      </c>
      <c r="O1608" s="39" t="n">
        <f aca="false">J1608*Resumo!$C$8</f>
        <v>0.79998</v>
      </c>
      <c r="P1608" s="39" t="n">
        <f aca="false">Resumo!$C$10*CEILING(I1608/100,1)</f>
        <v>1</v>
      </c>
      <c r="Q1608" s="39" t="n">
        <f aca="false">Resumo!$C$9</f>
        <v>11.9</v>
      </c>
      <c r="R1608" s="39" t="n">
        <f aca="false">SUM(M1608:Q1608)*Resumo!$C$11</f>
        <v>5.6044978</v>
      </c>
      <c r="S1608" s="39" t="n">
        <f aca="false">SUM(M1608:R1608)</f>
        <v>107.5044578</v>
      </c>
      <c r="T1608" s="39" t="n">
        <f aca="false">S1608/(1-Resumo!$C$5)</f>
        <v>122.164156590909</v>
      </c>
      <c r="U1608" s="39" t="n">
        <v>114.95</v>
      </c>
      <c r="V1608" s="39" t="n">
        <f aca="false">J1608*Resumo!$B$6</f>
        <v>0.39999</v>
      </c>
      <c r="W1608" s="39" t="n">
        <f aca="false">J1608*Resumo!$B$7</f>
        <v>0.79998</v>
      </c>
      <c r="X1608" s="39" t="n">
        <f aca="false">Resumo!$B$9</f>
        <v>1</v>
      </c>
      <c r="Y1608" s="39" t="n">
        <f aca="false">Resumo!$B$10*CEILING(I1608/100,1)</f>
        <v>4.5</v>
      </c>
      <c r="Z1608" s="39" t="n">
        <f aca="false">Resumo!$B$12*CEILING(I1608,1)</f>
        <v>2.22</v>
      </c>
      <c r="AA1608" s="39" t="n">
        <f aca="false">Resumo!$B$13*CEILING(I1608,1)</f>
        <v>16.65</v>
      </c>
      <c r="AB1608" s="39" t="n">
        <f aca="false">SUM(U1608:AA1608)</f>
        <v>140.51997</v>
      </c>
      <c r="AC1608" s="39" t="n">
        <f aca="false">AB1608/(1-Resumo!$B$5)</f>
        <v>159.681784090909</v>
      </c>
      <c r="AD1608" s="39" t="n">
        <f aca="false">(AB1608-AA1608)/(1-Resumo!$B$5)</f>
        <v>140.761329545455</v>
      </c>
      <c r="AE1608" s="39" t="n">
        <f aca="false">AC1608-T1608</f>
        <v>37.5176275</v>
      </c>
      <c r="AF1608" s="40" t="n">
        <f aca="false">AC1608/T1608-1</f>
        <v>0.307108308582158</v>
      </c>
      <c r="AG1608" s="37" t="str">
        <f aca="false">IF(AC1608&lt;T1608,"SIM","NÃO")</f>
        <v>NÃO</v>
      </c>
      <c r="AH1608" s="37" t="n">
        <v>13</v>
      </c>
      <c r="AI1608" s="37" t="n">
        <v>7</v>
      </c>
      <c r="AJ1608" s="37" t="s">
        <v>323</v>
      </c>
    </row>
    <row r="1609" customFormat="false" ht="15" hidden="false" customHeight="false" outlineLevel="0" collapsed="false">
      <c r="A1609" s="37" t="n">
        <v>389601584</v>
      </c>
      <c r="B1609" s="38" t="n">
        <v>46271.6548958333</v>
      </c>
      <c r="C1609" s="37" t="s">
        <v>352</v>
      </c>
      <c r="D1609" s="37" t="s">
        <v>1798</v>
      </c>
      <c r="E1609" s="37" t="n">
        <v>21012351</v>
      </c>
      <c r="F1609" s="37" t="s">
        <v>139</v>
      </c>
      <c r="G1609" s="37" t="s">
        <v>198</v>
      </c>
      <c r="H1609" s="37" t="s">
        <v>169</v>
      </c>
      <c r="I1609" s="37" t="n">
        <v>37.6</v>
      </c>
      <c r="J1609" s="39" t="n">
        <v>469.99</v>
      </c>
      <c r="K1609" s="37" t="s">
        <v>322</v>
      </c>
      <c r="L1609" s="39" t="n">
        <v>92.11</v>
      </c>
      <c r="M1609" s="39" t="n">
        <v>62.05</v>
      </c>
      <c r="N1609" s="39" t="n">
        <f aca="false">J1609*Resumo!$C$7</f>
        <v>0.93998</v>
      </c>
      <c r="O1609" s="39" t="n">
        <f aca="false">J1609*Resumo!$C$8</f>
        <v>0.93998</v>
      </c>
      <c r="P1609" s="39" t="n">
        <f aca="false">Resumo!$C$10*CEILING(I1609/100,1)</f>
        <v>1</v>
      </c>
      <c r="Q1609" s="39" t="n">
        <f aca="false">Resumo!$C$9</f>
        <v>11.9</v>
      </c>
      <c r="R1609" s="39" t="n">
        <f aca="false">SUM(M1609:Q1609)*Resumo!$C$11</f>
        <v>4.2256478</v>
      </c>
      <c r="S1609" s="39" t="n">
        <f aca="false">SUM(M1609:R1609)</f>
        <v>81.0556078</v>
      </c>
      <c r="T1609" s="39" t="n">
        <f aca="false">S1609/(1-Resumo!$C$5)</f>
        <v>92.1086452272727</v>
      </c>
      <c r="U1609" s="39" t="n">
        <v>93.97</v>
      </c>
      <c r="V1609" s="39" t="n">
        <f aca="false">J1609*Resumo!$B$6</f>
        <v>0.46999</v>
      </c>
      <c r="W1609" s="39" t="n">
        <f aca="false">J1609*Resumo!$B$7</f>
        <v>0.93998</v>
      </c>
      <c r="X1609" s="39" t="n">
        <f aca="false">Resumo!$B$9</f>
        <v>1</v>
      </c>
      <c r="Y1609" s="39" t="n">
        <f aca="false">Resumo!$B$10*CEILING(I1609/100,1)</f>
        <v>4.5</v>
      </c>
      <c r="Z1609" s="39" t="n">
        <f aca="false">Resumo!$B$12*CEILING(I1609,1)</f>
        <v>2.28</v>
      </c>
      <c r="AA1609" s="39" t="n">
        <f aca="false">Resumo!$B$13*CEILING(I1609,1)</f>
        <v>17.1</v>
      </c>
      <c r="AB1609" s="39" t="n">
        <f aca="false">SUM(U1609:AA1609)</f>
        <v>120.25997</v>
      </c>
      <c r="AC1609" s="39" t="n">
        <f aca="false">AB1609/(1-Resumo!$B$5)</f>
        <v>136.659056818182</v>
      </c>
      <c r="AD1609" s="39" t="n">
        <f aca="false">(AB1609-AA1609)/(1-Resumo!$B$5)</f>
        <v>117.227238636364</v>
      </c>
      <c r="AE1609" s="39" t="n">
        <f aca="false">AC1609-T1609</f>
        <v>44.5504115909091</v>
      </c>
      <c r="AF1609" s="40" t="n">
        <f aca="false">AC1609/T1609-1</f>
        <v>0.483672422724094</v>
      </c>
      <c r="AG1609" s="37" t="str">
        <f aca="false">IF(AC1609&lt;T1609,"SIM","NÃO")</f>
        <v>NÃO</v>
      </c>
      <c r="AH1609" s="37" t="n">
        <v>8</v>
      </c>
      <c r="AI1609" s="37" t="n">
        <v>5</v>
      </c>
      <c r="AJ1609" s="37" t="s">
        <v>323</v>
      </c>
    </row>
    <row r="1610" customFormat="false" ht="15" hidden="false" customHeight="false" outlineLevel="0" collapsed="false">
      <c r="A1610" s="37" t="n">
        <v>389611799</v>
      </c>
      <c r="B1610" s="38" t="n">
        <v>46271.6679398148</v>
      </c>
      <c r="C1610" s="37" t="s">
        <v>320</v>
      </c>
      <c r="D1610" s="37" t="s">
        <v>1799</v>
      </c>
      <c r="E1610" s="37" t="n">
        <v>28928510</v>
      </c>
      <c r="F1610" s="37" t="s">
        <v>152</v>
      </c>
      <c r="G1610" s="37" t="s">
        <v>201</v>
      </c>
      <c r="H1610" s="37" t="s">
        <v>169</v>
      </c>
      <c r="I1610" s="37" t="n">
        <v>37.6</v>
      </c>
      <c r="J1610" s="39" t="n">
        <v>378.18</v>
      </c>
      <c r="K1610" s="37" t="s">
        <v>322</v>
      </c>
      <c r="L1610" s="39" t="n">
        <v>122.07</v>
      </c>
      <c r="M1610" s="39" t="n">
        <v>87.4</v>
      </c>
      <c r="N1610" s="39" t="n">
        <f aca="false">J1610*Resumo!$C$7</f>
        <v>0.75636</v>
      </c>
      <c r="O1610" s="39" t="n">
        <f aca="false">J1610*Resumo!$C$8</f>
        <v>0.75636</v>
      </c>
      <c r="P1610" s="39" t="n">
        <f aca="false">Resumo!$C$10*CEILING(I1610/100,1)</f>
        <v>1</v>
      </c>
      <c r="Q1610" s="39" t="n">
        <f aca="false">Resumo!$C$9</f>
        <v>11.9</v>
      </c>
      <c r="R1610" s="39" t="n">
        <f aca="false">SUM(M1610:Q1610)*Resumo!$C$11</f>
        <v>5.5996996</v>
      </c>
      <c r="S1610" s="39" t="n">
        <f aca="false">SUM(M1610:R1610)</f>
        <v>107.4124196</v>
      </c>
      <c r="T1610" s="39" t="n">
        <f aca="false">S1610/(1-Resumo!$C$5)</f>
        <v>122.059567727273</v>
      </c>
      <c r="U1610" s="39" t="n">
        <v>124.38</v>
      </c>
      <c r="V1610" s="39" t="n">
        <f aca="false">J1610*Resumo!$B$6</f>
        <v>0.37818</v>
      </c>
      <c r="W1610" s="39" t="n">
        <f aca="false">J1610*Resumo!$B$7</f>
        <v>0.75636</v>
      </c>
      <c r="X1610" s="39" t="n">
        <f aca="false">Resumo!$B$9</f>
        <v>1</v>
      </c>
      <c r="Y1610" s="39" t="n">
        <f aca="false">Resumo!$B$10*CEILING(I1610/100,1)</f>
        <v>4.5</v>
      </c>
      <c r="Z1610" s="39" t="n">
        <f aca="false">Resumo!$B$12*CEILING(I1610,1)</f>
        <v>2.28</v>
      </c>
      <c r="AA1610" s="39" t="n">
        <f aca="false">Resumo!$B$13*CEILING(I1610,1)</f>
        <v>17.1</v>
      </c>
      <c r="AB1610" s="39" t="n">
        <f aca="false">SUM(U1610:AA1610)</f>
        <v>150.39454</v>
      </c>
      <c r="AC1610" s="39" t="n">
        <f aca="false">AB1610/(1-Resumo!$B$5)</f>
        <v>170.902886363636</v>
      </c>
      <c r="AD1610" s="39" t="n">
        <f aca="false">(AB1610-AA1610)/(1-Resumo!$B$5)</f>
        <v>151.471068181818</v>
      </c>
      <c r="AE1610" s="39" t="n">
        <f aca="false">AC1610-T1610</f>
        <v>48.8433186363636</v>
      </c>
      <c r="AF1610" s="40" t="n">
        <f aca="false">AC1610/T1610-1</f>
        <v>0.400159688796359</v>
      </c>
      <c r="AG1610" s="37" t="str">
        <f aca="false">IF(AC1610&lt;T1610,"SIM","NÃO")</f>
        <v>NÃO</v>
      </c>
      <c r="AH1610" s="37" t="n">
        <v>13</v>
      </c>
      <c r="AI1610" s="37" t="n">
        <v>10</v>
      </c>
      <c r="AJ1610" s="37" t="s">
        <v>323</v>
      </c>
    </row>
    <row r="1611" customFormat="false" ht="15" hidden="false" customHeight="false" outlineLevel="0" collapsed="false">
      <c r="A1611" s="37" t="n">
        <v>389609102</v>
      </c>
      <c r="B1611" s="38" t="n">
        <v>46271.6702777778</v>
      </c>
      <c r="C1611" s="37" t="s">
        <v>355</v>
      </c>
      <c r="D1611" s="37" t="s">
        <v>1800</v>
      </c>
      <c r="E1611" s="37" t="n">
        <v>22471270</v>
      </c>
      <c r="F1611" s="37" t="s">
        <v>139</v>
      </c>
      <c r="G1611" s="37" t="s">
        <v>198</v>
      </c>
      <c r="H1611" s="37" t="s">
        <v>167</v>
      </c>
      <c r="I1611" s="37" t="n">
        <v>15</v>
      </c>
      <c r="J1611" s="39" t="n">
        <v>255.19</v>
      </c>
      <c r="K1611" s="37" t="s">
        <v>322</v>
      </c>
      <c r="L1611" s="39" t="n">
        <v>64.44</v>
      </c>
      <c r="M1611" s="39" t="n">
        <v>39.83</v>
      </c>
      <c r="N1611" s="39" t="n">
        <f aca="false">J1611*Resumo!$C$7</f>
        <v>0.51038</v>
      </c>
      <c r="O1611" s="39" t="n">
        <f aca="false">J1611*Resumo!$C$8</f>
        <v>0.51038</v>
      </c>
      <c r="P1611" s="39" t="n">
        <f aca="false">Resumo!$C$10*CEILING(I1611/100,1)</f>
        <v>1</v>
      </c>
      <c r="Q1611" s="39" t="n">
        <f aca="false">Resumo!$C$9</f>
        <v>11.9</v>
      </c>
      <c r="R1611" s="39" t="n">
        <f aca="false">SUM(M1611:Q1611)*Resumo!$C$11</f>
        <v>2.9562918</v>
      </c>
      <c r="S1611" s="39" t="n">
        <f aca="false">SUM(M1611:R1611)</f>
        <v>56.7070518</v>
      </c>
      <c r="T1611" s="39" t="n">
        <f aca="false">S1611/(1-Resumo!$C$5)</f>
        <v>64.4398315909091</v>
      </c>
      <c r="U1611" s="39" t="n">
        <v>46.98</v>
      </c>
      <c r="V1611" s="39" t="n">
        <f aca="false">J1611*Resumo!$B$6</f>
        <v>0.25519</v>
      </c>
      <c r="W1611" s="39" t="n">
        <f aca="false">J1611*Resumo!$B$7</f>
        <v>0.51038</v>
      </c>
      <c r="X1611" s="39" t="n">
        <f aca="false">Resumo!$B$9</f>
        <v>1</v>
      </c>
      <c r="Y1611" s="39" t="n">
        <f aca="false">Resumo!$B$10*CEILING(I1611/100,1)</f>
        <v>4.5</v>
      </c>
      <c r="Z1611" s="39" t="n">
        <f aca="false">Resumo!$B$12*CEILING(I1611,1)</f>
        <v>0.9</v>
      </c>
      <c r="AA1611" s="39" t="n">
        <f aca="false">Resumo!$B$13*CEILING(I1611,1)</f>
        <v>6.75</v>
      </c>
      <c r="AB1611" s="39" t="n">
        <f aca="false">SUM(U1611:AA1611)</f>
        <v>60.89557</v>
      </c>
      <c r="AC1611" s="39" t="n">
        <f aca="false">AB1611/(1-Resumo!$B$5)</f>
        <v>69.1995113636364</v>
      </c>
      <c r="AD1611" s="39" t="n">
        <f aca="false">(AB1611-AA1611)/(1-Resumo!$B$5)</f>
        <v>61.5290568181818</v>
      </c>
      <c r="AE1611" s="39" t="n">
        <f aca="false">AC1611-T1611</f>
        <v>4.75967977272727</v>
      </c>
      <c r="AF1611" s="40" t="n">
        <f aca="false">AC1611/T1611-1</f>
        <v>0.0738623868998245</v>
      </c>
      <c r="AG1611" s="37" t="str">
        <f aca="false">IF(AC1611&lt;T1611,"SIM","NÃO")</f>
        <v>NÃO</v>
      </c>
      <c r="AH1611" s="37" t="n">
        <v>8</v>
      </c>
      <c r="AI1611" s="37" t="n">
        <v>5</v>
      </c>
      <c r="AJ1611" s="37" t="s">
        <v>323</v>
      </c>
    </row>
    <row r="1612" customFormat="false" ht="15" hidden="false" customHeight="false" outlineLevel="0" collapsed="false">
      <c r="A1612" s="37" t="n">
        <v>389619063</v>
      </c>
      <c r="B1612" s="38" t="n">
        <v>46271.6786342593</v>
      </c>
      <c r="C1612" s="37" t="s">
        <v>320</v>
      </c>
      <c r="D1612" s="37" t="s">
        <v>1801</v>
      </c>
      <c r="E1612" s="37" t="n">
        <v>22631030</v>
      </c>
      <c r="F1612" s="37" t="s">
        <v>139</v>
      </c>
      <c r="G1612" s="37" t="s">
        <v>198</v>
      </c>
      <c r="H1612" s="37" t="s">
        <v>170</v>
      </c>
      <c r="I1612" s="37" t="n">
        <v>46.8</v>
      </c>
      <c r="J1612" s="39" t="n">
        <v>599.99</v>
      </c>
      <c r="K1612" s="37" t="s">
        <v>322</v>
      </c>
      <c r="L1612" s="39" t="n">
        <v>103.47</v>
      </c>
      <c r="M1612" s="39" t="n">
        <v>71</v>
      </c>
      <c r="N1612" s="39" t="n">
        <f aca="false">J1612*Resumo!$C$7</f>
        <v>1.19998</v>
      </c>
      <c r="O1612" s="39" t="n">
        <f aca="false">J1612*Resumo!$C$8</f>
        <v>1.19998</v>
      </c>
      <c r="P1612" s="39" t="n">
        <f aca="false">Resumo!$C$10*CEILING(I1612/100,1)</f>
        <v>1</v>
      </c>
      <c r="Q1612" s="39" t="n">
        <f aca="false">Resumo!$C$9</f>
        <v>11.9</v>
      </c>
      <c r="R1612" s="39" t="n">
        <f aca="false">SUM(M1612:Q1612)*Resumo!$C$11</f>
        <v>4.7464978</v>
      </c>
      <c r="S1612" s="39" t="n">
        <f aca="false">SUM(M1612:R1612)</f>
        <v>91.0464578</v>
      </c>
      <c r="T1612" s="39" t="n">
        <f aca="false">S1612/(1-Resumo!$C$5)</f>
        <v>103.461883863636</v>
      </c>
      <c r="U1612" s="39" t="n">
        <v>93.97</v>
      </c>
      <c r="V1612" s="39" t="n">
        <f aca="false">J1612*Resumo!$B$6</f>
        <v>0.59999</v>
      </c>
      <c r="W1612" s="39" t="n">
        <f aca="false">J1612*Resumo!$B$7</f>
        <v>1.19998</v>
      </c>
      <c r="X1612" s="39" t="n">
        <f aca="false">Resumo!$B$9</f>
        <v>1</v>
      </c>
      <c r="Y1612" s="39" t="n">
        <f aca="false">Resumo!$B$10*CEILING(I1612/100,1)</f>
        <v>4.5</v>
      </c>
      <c r="Z1612" s="39" t="n">
        <f aca="false">Resumo!$B$12*CEILING(I1612,1)</f>
        <v>2.82</v>
      </c>
      <c r="AA1612" s="39" t="n">
        <f aca="false">Resumo!$B$13*CEILING(I1612,1)</f>
        <v>21.15</v>
      </c>
      <c r="AB1612" s="39" t="n">
        <f aca="false">SUM(U1612:AA1612)</f>
        <v>125.23997</v>
      </c>
      <c r="AC1612" s="39" t="n">
        <f aca="false">AB1612/(1-Resumo!$B$5)</f>
        <v>142.318147727273</v>
      </c>
      <c r="AD1612" s="39" t="n">
        <f aca="false">(AB1612-AA1612)/(1-Resumo!$B$5)</f>
        <v>118.284056818182</v>
      </c>
      <c r="AE1612" s="39" t="n">
        <f aca="false">AC1612-T1612</f>
        <v>38.8562638636364</v>
      </c>
      <c r="AF1612" s="40" t="n">
        <f aca="false">AC1612/T1612-1</f>
        <v>0.375561147860494</v>
      </c>
      <c r="AG1612" s="37" t="str">
        <f aca="false">IF(AC1612&lt;T1612,"SIM","NÃO")</f>
        <v>NÃO</v>
      </c>
      <c r="AH1612" s="37" t="n">
        <v>8</v>
      </c>
      <c r="AI1612" s="37" t="n">
        <v>5</v>
      </c>
      <c r="AJ1612" s="37" t="s">
        <v>323</v>
      </c>
    </row>
    <row r="1613" customFormat="false" ht="15" hidden="false" customHeight="false" outlineLevel="0" collapsed="false">
      <c r="A1613" s="37" t="n">
        <v>389669354</v>
      </c>
      <c r="B1613" s="38" t="n">
        <v>46271.751724537</v>
      </c>
      <c r="C1613" s="37" t="s">
        <v>325</v>
      </c>
      <c r="D1613" s="37" t="s">
        <v>1802</v>
      </c>
      <c r="E1613" s="37" t="n">
        <v>21340440</v>
      </c>
      <c r="F1613" s="37" t="s">
        <v>139</v>
      </c>
      <c r="G1613" s="37" t="s">
        <v>198</v>
      </c>
      <c r="H1613" s="37" t="s">
        <v>169</v>
      </c>
      <c r="I1613" s="37" t="n">
        <v>37.6</v>
      </c>
      <c r="J1613" s="39" t="n">
        <v>443.87</v>
      </c>
      <c r="K1613" s="37" t="s">
        <v>322</v>
      </c>
      <c r="L1613" s="39" t="n">
        <v>91.99</v>
      </c>
      <c r="M1613" s="39" t="n">
        <v>62.05</v>
      </c>
      <c r="N1613" s="39" t="n">
        <f aca="false">J1613*Resumo!$C$7</f>
        <v>0.88774</v>
      </c>
      <c r="O1613" s="39" t="n">
        <f aca="false">J1613*Resumo!$C$8</f>
        <v>0.88774</v>
      </c>
      <c r="P1613" s="39" t="n">
        <f aca="false">Resumo!$C$10*CEILING(I1613/100,1)</f>
        <v>1</v>
      </c>
      <c r="Q1613" s="39" t="n">
        <f aca="false">Resumo!$C$9</f>
        <v>11.9</v>
      </c>
      <c r="R1613" s="39" t="n">
        <f aca="false">SUM(M1613:Q1613)*Resumo!$C$11</f>
        <v>4.2199014</v>
      </c>
      <c r="S1613" s="39" t="n">
        <f aca="false">SUM(M1613:R1613)</f>
        <v>80.9453814</v>
      </c>
      <c r="T1613" s="39" t="n">
        <f aca="false">S1613/(1-Resumo!$C$5)</f>
        <v>91.9833879545455</v>
      </c>
      <c r="U1613" s="39" t="n">
        <v>93.97</v>
      </c>
      <c r="V1613" s="39" t="n">
        <f aca="false">J1613*Resumo!$B$6</f>
        <v>0.44387</v>
      </c>
      <c r="W1613" s="39" t="n">
        <f aca="false">J1613*Resumo!$B$7</f>
        <v>0.88774</v>
      </c>
      <c r="X1613" s="39" t="n">
        <f aca="false">Resumo!$B$9</f>
        <v>1</v>
      </c>
      <c r="Y1613" s="39" t="n">
        <f aca="false">Resumo!$B$10*CEILING(I1613/100,1)</f>
        <v>4.5</v>
      </c>
      <c r="Z1613" s="39" t="n">
        <f aca="false">Resumo!$B$12*CEILING(I1613,1)</f>
        <v>2.28</v>
      </c>
      <c r="AA1613" s="39" t="n">
        <f aca="false">Resumo!$B$13*CEILING(I1613,1)</f>
        <v>17.1</v>
      </c>
      <c r="AB1613" s="39" t="n">
        <f aca="false">SUM(U1613:AA1613)</f>
        <v>120.18161</v>
      </c>
      <c r="AC1613" s="39" t="n">
        <f aca="false">AB1613/(1-Resumo!$B$5)</f>
        <v>136.570011363636</v>
      </c>
      <c r="AD1613" s="39" t="n">
        <f aca="false">(AB1613-AA1613)/(1-Resumo!$B$5)</f>
        <v>117.138193181818</v>
      </c>
      <c r="AE1613" s="39" t="n">
        <f aca="false">AC1613-T1613</f>
        <v>44.5866234090909</v>
      </c>
      <c r="AF1613" s="40" t="n">
        <f aca="false">AC1613/T1613-1</f>
        <v>0.484724735635133</v>
      </c>
      <c r="AG1613" s="37" t="str">
        <f aca="false">IF(AC1613&lt;T1613,"SIM","NÃO")</f>
        <v>NÃO</v>
      </c>
      <c r="AH1613" s="37" t="n">
        <v>8</v>
      </c>
      <c r="AI1613" s="37" t="n">
        <v>5</v>
      </c>
      <c r="AJ1613" s="37" t="s">
        <v>323</v>
      </c>
    </row>
    <row r="1614" customFormat="false" ht="15" hidden="false" customHeight="false" outlineLevel="0" collapsed="false">
      <c r="A1614" s="37" t="n">
        <v>389675699</v>
      </c>
      <c r="B1614" s="38" t="n">
        <v>46271.7612152778</v>
      </c>
      <c r="C1614" s="37" t="s">
        <v>359</v>
      </c>
      <c r="D1614" s="37" t="s">
        <v>1803</v>
      </c>
      <c r="E1614" s="37" t="n">
        <v>20560050</v>
      </c>
      <c r="F1614" s="37" t="s">
        <v>139</v>
      </c>
      <c r="G1614" s="37" t="s">
        <v>198</v>
      </c>
      <c r="H1614" s="37" t="s">
        <v>169</v>
      </c>
      <c r="I1614" s="37" t="n">
        <v>40</v>
      </c>
      <c r="J1614" s="39" t="n">
        <v>539.99</v>
      </c>
      <c r="K1614" s="37" t="s">
        <v>322</v>
      </c>
      <c r="L1614" s="39" t="n">
        <v>92.44</v>
      </c>
      <c r="M1614" s="39" t="n">
        <v>62.05</v>
      </c>
      <c r="N1614" s="39" t="n">
        <f aca="false">J1614*Resumo!$C$7</f>
        <v>1.07998</v>
      </c>
      <c r="O1614" s="39" t="n">
        <f aca="false">J1614*Resumo!$C$8</f>
        <v>1.07998</v>
      </c>
      <c r="P1614" s="39" t="n">
        <f aca="false">Resumo!$C$10*CEILING(I1614/100,1)</f>
        <v>1</v>
      </c>
      <c r="Q1614" s="39" t="n">
        <f aca="false">Resumo!$C$9</f>
        <v>11.9</v>
      </c>
      <c r="R1614" s="39" t="n">
        <f aca="false">SUM(M1614:Q1614)*Resumo!$C$11</f>
        <v>4.2410478</v>
      </c>
      <c r="S1614" s="39" t="n">
        <f aca="false">SUM(M1614:R1614)</f>
        <v>81.3510078</v>
      </c>
      <c r="T1614" s="39" t="n">
        <f aca="false">S1614/(1-Resumo!$C$5)</f>
        <v>92.4443270454546</v>
      </c>
      <c r="U1614" s="39" t="n">
        <v>93.97</v>
      </c>
      <c r="V1614" s="39" t="n">
        <f aca="false">J1614*Resumo!$B$6</f>
        <v>0.53999</v>
      </c>
      <c r="W1614" s="39" t="n">
        <f aca="false">J1614*Resumo!$B$7</f>
        <v>1.07998</v>
      </c>
      <c r="X1614" s="39" t="n">
        <f aca="false">Resumo!$B$9</f>
        <v>1</v>
      </c>
      <c r="Y1614" s="39" t="n">
        <f aca="false">Resumo!$B$10*CEILING(I1614/100,1)</f>
        <v>4.5</v>
      </c>
      <c r="Z1614" s="39" t="n">
        <f aca="false">Resumo!$B$12*CEILING(I1614,1)</f>
        <v>2.4</v>
      </c>
      <c r="AA1614" s="39" t="n">
        <f aca="false">Resumo!$B$13*CEILING(I1614,1)</f>
        <v>18</v>
      </c>
      <c r="AB1614" s="39" t="n">
        <f aca="false">SUM(U1614:AA1614)</f>
        <v>121.48997</v>
      </c>
      <c r="AC1614" s="39" t="n">
        <f aca="false">AB1614/(1-Resumo!$B$5)</f>
        <v>138.056784090909</v>
      </c>
      <c r="AD1614" s="39" t="n">
        <f aca="false">(AB1614-AA1614)/(1-Resumo!$B$5)</f>
        <v>117.602238636364</v>
      </c>
      <c r="AE1614" s="39" t="n">
        <f aca="false">AC1614-T1614</f>
        <v>45.6124570454545</v>
      </c>
      <c r="AF1614" s="40" t="n">
        <f aca="false">AC1614/T1614-1</f>
        <v>0.49340460905759</v>
      </c>
      <c r="AG1614" s="37" t="str">
        <f aca="false">IF(AC1614&lt;T1614,"SIM","NÃO")</f>
        <v>NÃO</v>
      </c>
      <c r="AH1614" s="37" t="n">
        <v>8</v>
      </c>
      <c r="AI1614" s="37" t="n">
        <v>5</v>
      </c>
      <c r="AJ1614" s="37" t="s">
        <v>323</v>
      </c>
    </row>
    <row r="1615" customFormat="false" ht="15" hidden="false" customHeight="false" outlineLevel="0" collapsed="false">
      <c r="A1615" s="37" t="n">
        <v>389696145</v>
      </c>
      <c r="B1615" s="38" t="n">
        <v>46271.7924537037</v>
      </c>
      <c r="C1615" s="37" t="s">
        <v>320</v>
      </c>
      <c r="D1615" s="37" t="s">
        <v>1804</v>
      </c>
      <c r="E1615" s="37" t="n">
        <v>28740000</v>
      </c>
      <c r="F1615" s="37" t="s">
        <v>271</v>
      </c>
      <c r="G1615" s="37" t="s">
        <v>201</v>
      </c>
      <c r="H1615" s="37" t="s">
        <v>170</v>
      </c>
      <c r="I1615" s="37" t="n">
        <v>48.3</v>
      </c>
      <c r="J1615" s="39" t="n">
        <v>459.69</v>
      </c>
      <c r="K1615" s="37" t="s">
        <v>322</v>
      </c>
      <c r="L1615" s="39" t="n">
        <v>130.36</v>
      </c>
      <c r="M1615" s="39" t="n">
        <v>94</v>
      </c>
      <c r="N1615" s="39" t="n">
        <f aca="false">J1615*Resumo!$C$7</f>
        <v>0.91938</v>
      </c>
      <c r="O1615" s="39" t="n">
        <f aca="false">J1615*Resumo!$C$8</f>
        <v>0.91938</v>
      </c>
      <c r="P1615" s="39" t="n">
        <f aca="false">Resumo!$C$10*CEILING(I1615/100,1)</f>
        <v>1</v>
      </c>
      <c r="Q1615" s="39" t="n">
        <f aca="false">Resumo!$C$9</f>
        <v>11.9</v>
      </c>
      <c r="R1615" s="39" t="n">
        <f aca="false">SUM(M1615:Q1615)*Resumo!$C$11</f>
        <v>5.9806318</v>
      </c>
      <c r="S1615" s="39" t="n">
        <f aca="false">SUM(M1615:R1615)</f>
        <v>114.7193918</v>
      </c>
      <c r="T1615" s="39" t="n">
        <f aca="false">S1615/(1-Resumo!$C$5)</f>
        <v>130.362945227273</v>
      </c>
      <c r="U1615" s="39" t="n">
        <v>152.54</v>
      </c>
      <c r="V1615" s="39" t="n">
        <f aca="false">J1615*Resumo!$B$6</f>
        <v>0.45969</v>
      </c>
      <c r="W1615" s="39" t="n">
        <f aca="false">J1615*Resumo!$B$7</f>
        <v>0.91938</v>
      </c>
      <c r="X1615" s="39" t="n">
        <f aca="false">Resumo!$B$9</f>
        <v>1</v>
      </c>
      <c r="Y1615" s="39" t="n">
        <f aca="false">Resumo!$B$10*CEILING(I1615/100,1)</f>
        <v>4.5</v>
      </c>
      <c r="Z1615" s="39" t="n">
        <f aca="false">Resumo!$B$12*CEILING(I1615,1)</f>
        <v>2.94</v>
      </c>
      <c r="AA1615" s="39" t="n">
        <f aca="false">Resumo!$B$13*CEILING(I1615,1)</f>
        <v>22.05</v>
      </c>
      <c r="AB1615" s="39" t="n">
        <f aca="false">SUM(U1615:AA1615)</f>
        <v>184.40907</v>
      </c>
      <c r="AC1615" s="39" t="n">
        <f aca="false">AB1615/(1-Resumo!$B$5)</f>
        <v>209.555761363636</v>
      </c>
      <c r="AD1615" s="39" t="n">
        <f aca="false">(AB1615-AA1615)/(1-Resumo!$B$5)</f>
        <v>184.498943181818</v>
      </c>
      <c r="AE1615" s="39" t="n">
        <f aca="false">AC1615-T1615</f>
        <v>79.1928161363637</v>
      </c>
      <c r="AF1615" s="40" t="n">
        <f aca="false">AC1615/T1615-1</f>
        <v>0.607479495022916</v>
      </c>
      <c r="AG1615" s="37" t="str">
        <f aca="false">IF(AC1615&lt;T1615,"SIM","NÃO")</f>
        <v>NÃO</v>
      </c>
      <c r="AH1615" s="37" t="n">
        <v>13</v>
      </c>
      <c r="AI1615" s="37" t="n">
        <v>11</v>
      </c>
      <c r="AJ1615" s="37" t="s">
        <v>327</v>
      </c>
    </row>
    <row r="1616" customFormat="false" ht="15" hidden="false" customHeight="false" outlineLevel="0" collapsed="false">
      <c r="A1616" s="37" t="n">
        <v>389703861</v>
      </c>
      <c r="B1616" s="38" t="n">
        <v>46271.804525463</v>
      </c>
      <c r="C1616" s="37" t="s">
        <v>320</v>
      </c>
      <c r="D1616" s="37" t="s">
        <v>1805</v>
      </c>
      <c r="E1616" s="37" t="n">
        <v>21820097</v>
      </c>
      <c r="F1616" s="37" t="s">
        <v>139</v>
      </c>
      <c r="G1616" s="37" t="s">
        <v>198</v>
      </c>
      <c r="H1616" s="37" t="s">
        <v>168</v>
      </c>
      <c r="I1616" s="37" t="n">
        <v>21.5</v>
      </c>
      <c r="J1616" s="39" t="n">
        <v>299.99</v>
      </c>
      <c r="K1616" s="37" t="s">
        <v>322</v>
      </c>
      <c r="L1616" s="39" t="n">
        <v>81.76</v>
      </c>
      <c r="M1616" s="39" t="n">
        <v>54.1</v>
      </c>
      <c r="N1616" s="39" t="n">
        <f aca="false">J1616*Resumo!$C$7</f>
        <v>0.59998</v>
      </c>
      <c r="O1616" s="39" t="n">
        <f aca="false">J1616*Resumo!$C$8</f>
        <v>0.59998</v>
      </c>
      <c r="P1616" s="39" t="n">
        <f aca="false">Resumo!$C$10*CEILING(I1616/100,1)</f>
        <v>1</v>
      </c>
      <c r="Q1616" s="39" t="n">
        <f aca="false">Resumo!$C$9</f>
        <v>11.9</v>
      </c>
      <c r="R1616" s="39" t="n">
        <f aca="false">SUM(M1616:Q1616)*Resumo!$C$11</f>
        <v>3.7509978</v>
      </c>
      <c r="S1616" s="39" t="n">
        <f aca="false">SUM(M1616:R1616)</f>
        <v>71.9509578</v>
      </c>
      <c r="T1616" s="39" t="n">
        <f aca="false">S1616/(1-Resumo!$C$5)</f>
        <v>81.7624520454545</v>
      </c>
      <c r="U1616" s="39" t="n">
        <v>82.21</v>
      </c>
      <c r="V1616" s="39" t="n">
        <f aca="false">J1616*Resumo!$B$6</f>
        <v>0.29999</v>
      </c>
      <c r="W1616" s="39" t="n">
        <f aca="false">J1616*Resumo!$B$7</f>
        <v>0.59998</v>
      </c>
      <c r="X1616" s="39" t="n">
        <f aca="false">Resumo!$B$9</f>
        <v>1</v>
      </c>
      <c r="Y1616" s="39" t="n">
        <f aca="false">Resumo!$B$10*CEILING(I1616/100,1)</f>
        <v>4.5</v>
      </c>
      <c r="Z1616" s="39" t="n">
        <f aca="false">Resumo!$B$12*CEILING(I1616,1)</f>
        <v>1.32</v>
      </c>
      <c r="AA1616" s="39" t="n">
        <f aca="false">Resumo!$B$13*CEILING(I1616,1)</f>
        <v>9.9</v>
      </c>
      <c r="AB1616" s="39" t="n">
        <f aca="false">SUM(U1616:AA1616)</f>
        <v>99.82997</v>
      </c>
      <c r="AC1616" s="39" t="n">
        <f aca="false">AB1616/(1-Resumo!$B$5)</f>
        <v>113.443147727273</v>
      </c>
      <c r="AD1616" s="39" t="n">
        <f aca="false">(AB1616-AA1616)/(1-Resumo!$B$5)</f>
        <v>102.193147727273</v>
      </c>
      <c r="AE1616" s="39" t="n">
        <f aca="false">AC1616-T1616</f>
        <v>31.6806956818182</v>
      </c>
      <c r="AF1616" s="40" t="n">
        <f aca="false">AC1616/T1616-1</f>
        <v>0.387472426392078</v>
      </c>
      <c r="AG1616" s="37" t="str">
        <f aca="false">IF(AC1616&lt;T1616,"SIM","NÃO")</f>
        <v>NÃO</v>
      </c>
      <c r="AH1616" s="37" t="n">
        <v>8</v>
      </c>
      <c r="AI1616" s="37" t="n">
        <v>5</v>
      </c>
      <c r="AJ1616" s="37" t="s">
        <v>323</v>
      </c>
    </row>
    <row r="1617" customFormat="false" ht="15" hidden="false" customHeight="false" outlineLevel="0" collapsed="false">
      <c r="A1617" s="37" t="n">
        <v>389747560</v>
      </c>
      <c r="B1617" s="38" t="n">
        <v>46271.8769444445</v>
      </c>
      <c r="C1617" s="37" t="s">
        <v>320</v>
      </c>
      <c r="D1617" s="37" t="s">
        <v>1806</v>
      </c>
      <c r="E1617" s="37" t="n">
        <v>22735020</v>
      </c>
      <c r="F1617" s="37" t="s">
        <v>139</v>
      </c>
      <c r="G1617" s="37" t="s">
        <v>198</v>
      </c>
      <c r="H1617" s="37" t="s">
        <v>168</v>
      </c>
      <c r="I1617" s="37" t="n">
        <v>31</v>
      </c>
      <c r="J1617" s="39" t="n">
        <v>329.99</v>
      </c>
      <c r="K1617" s="37" t="s">
        <v>322</v>
      </c>
      <c r="L1617" s="39" t="n">
        <v>81.91</v>
      </c>
      <c r="M1617" s="39" t="n">
        <v>54.1</v>
      </c>
      <c r="N1617" s="39" t="n">
        <f aca="false">J1617*Resumo!$C$7</f>
        <v>0.65998</v>
      </c>
      <c r="O1617" s="39" t="n">
        <f aca="false">J1617*Resumo!$C$8</f>
        <v>0.65998</v>
      </c>
      <c r="P1617" s="39" t="n">
        <f aca="false">Resumo!$C$10*CEILING(I1617/100,1)</f>
        <v>1</v>
      </c>
      <c r="Q1617" s="39" t="n">
        <f aca="false">Resumo!$C$9</f>
        <v>11.9</v>
      </c>
      <c r="R1617" s="39" t="n">
        <f aca="false">SUM(M1617:Q1617)*Resumo!$C$11</f>
        <v>3.7575978</v>
      </c>
      <c r="S1617" s="39" t="n">
        <f aca="false">SUM(M1617:R1617)</f>
        <v>72.0775578</v>
      </c>
      <c r="T1617" s="39" t="n">
        <f aca="false">S1617/(1-Resumo!$C$5)</f>
        <v>81.9063156818182</v>
      </c>
      <c r="U1617" s="39" t="n">
        <v>82.21</v>
      </c>
      <c r="V1617" s="39" t="n">
        <f aca="false">J1617*Resumo!$B$6</f>
        <v>0.32999</v>
      </c>
      <c r="W1617" s="39" t="n">
        <f aca="false">J1617*Resumo!$B$7</f>
        <v>0.65998</v>
      </c>
      <c r="X1617" s="39" t="n">
        <f aca="false">Resumo!$B$9</f>
        <v>1</v>
      </c>
      <c r="Y1617" s="39" t="n">
        <f aca="false">Resumo!$B$10*CEILING(I1617/100,1)</f>
        <v>4.5</v>
      </c>
      <c r="Z1617" s="39" t="n">
        <f aca="false">Resumo!$B$12*CEILING(I1617,1)</f>
        <v>1.86</v>
      </c>
      <c r="AA1617" s="39" t="n">
        <f aca="false">Resumo!$B$13*CEILING(I1617,1)</f>
        <v>13.95</v>
      </c>
      <c r="AB1617" s="39" t="n">
        <f aca="false">SUM(U1617:AA1617)</f>
        <v>104.50997</v>
      </c>
      <c r="AC1617" s="39" t="n">
        <f aca="false">AB1617/(1-Resumo!$B$5)</f>
        <v>118.761329545455</v>
      </c>
      <c r="AD1617" s="39" t="n">
        <f aca="false">(AB1617-AA1617)/(1-Resumo!$B$5)</f>
        <v>102.909056818182</v>
      </c>
      <c r="AE1617" s="39" t="n">
        <f aca="false">AC1617-T1617</f>
        <v>36.8550138636364</v>
      </c>
      <c r="AF1617" s="40" t="n">
        <f aca="false">AC1617/T1617-1</f>
        <v>0.449965470389453</v>
      </c>
      <c r="AG1617" s="37" t="str">
        <f aca="false">IF(AC1617&lt;T1617,"SIM","NÃO")</f>
        <v>NÃO</v>
      </c>
      <c r="AH1617" s="37" t="n">
        <v>8</v>
      </c>
      <c r="AI1617" s="37" t="n">
        <v>5</v>
      </c>
      <c r="AJ1617" s="37" t="s">
        <v>323</v>
      </c>
    </row>
    <row r="1618" customFormat="false" ht="15" hidden="false" customHeight="false" outlineLevel="0" collapsed="false">
      <c r="A1618" s="37" t="n">
        <v>389750272</v>
      </c>
      <c r="B1618" s="38" t="n">
        <v>46271.8812152778</v>
      </c>
      <c r="C1618" s="37" t="s">
        <v>325</v>
      </c>
      <c r="D1618" s="37" t="s">
        <v>1807</v>
      </c>
      <c r="E1618" s="37" t="n">
        <v>28110000</v>
      </c>
      <c r="F1618" s="37" t="s">
        <v>144</v>
      </c>
      <c r="G1618" s="37" t="s">
        <v>201</v>
      </c>
      <c r="H1618" s="37" t="s">
        <v>168</v>
      </c>
      <c r="I1618" s="37" t="n">
        <v>20.9</v>
      </c>
      <c r="J1618" s="39" t="n">
        <v>470.09</v>
      </c>
      <c r="K1618" s="37" t="s">
        <v>322</v>
      </c>
      <c r="L1618" s="39" t="n">
        <v>109.43</v>
      </c>
      <c r="M1618" s="39" t="n">
        <v>76.5</v>
      </c>
      <c r="N1618" s="39" t="n">
        <f aca="false">J1618*Resumo!$C$7</f>
        <v>0.94018</v>
      </c>
      <c r="O1618" s="39" t="n">
        <f aca="false">J1618*Resumo!$C$8</f>
        <v>0.94018</v>
      </c>
      <c r="P1618" s="39" t="n">
        <f aca="false">Resumo!$C$10*CEILING(I1618/100,1)</f>
        <v>1</v>
      </c>
      <c r="Q1618" s="39" t="n">
        <f aca="false">Resumo!$C$9</f>
        <v>11.9</v>
      </c>
      <c r="R1618" s="39" t="n">
        <f aca="false">SUM(M1618:Q1618)*Resumo!$C$11</f>
        <v>5.0204198</v>
      </c>
      <c r="S1618" s="39" t="n">
        <f aca="false">SUM(M1618:R1618)</f>
        <v>96.3007798</v>
      </c>
      <c r="T1618" s="39" t="n">
        <f aca="false">S1618/(1-Resumo!$C$5)</f>
        <v>109.432704318182</v>
      </c>
      <c r="U1618" s="39" t="n">
        <v>138.29</v>
      </c>
      <c r="V1618" s="39" t="n">
        <f aca="false">J1618*Resumo!$B$6</f>
        <v>0.47009</v>
      </c>
      <c r="W1618" s="39" t="n">
        <f aca="false">J1618*Resumo!$B$7</f>
        <v>0.94018</v>
      </c>
      <c r="X1618" s="39" t="n">
        <f aca="false">Resumo!$B$9</f>
        <v>1</v>
      </c>
      <c r="Y1618" s="39" t="n">
        <f aca="false">Resumo!$B$10*CEILING(I1618/100,1)</f>
        <v>4.5</v>
      </c>
      <c r="Z1618" s="39" t="n">
        <f aca="false">Resumo!$B$12*CEILING(I1618,1)</f>
        <v>1.26</v>
      </c>
      <c r="AA1618" s="39" t="n">
        <f aca="false">Resumo!$B$13*CEILING(I1618,1)</f>
        <v>9.45</v>
      </c>
      <c r="AB1618" s="39" t="n">
        <f aca="false">SUM(U1618:AA1618)</f>
        <v>155.91027</v>
      </c>
      <c r="AC1618" s="39" t="n">
        <f aca="false">AB1618/(1-Resumo!$B$5)</f>
        <v>177.170761363636</v>
      </c>
      <c r="AD1618" s="39" t="n">
        <f aca="false">(AB1618-AA1618)/(1-Resumo!$B$5)</f>
        <v>166.432125</v>
      </c>
      <c r="AE1618" s="39" t="n">
        <f aca="false">AC1618-T1618</f>
        <v>67.7380570454545</v>
      </c>
      <c r="AF1618" s="40" t="n">
        <f aca="false">AC1618/T1618-1</f>
        <v>0.618992809028115</v>
      </c>
      <c r="AG1618" s="37" t="str">
        <f aca="false">IF(AC1618&lt;T1618,"SIM","NÃO")</f>
        <v>NÃO</v>
      </c>
      <c r="AH1618" s="37" t="n">
        <v>13</v>
      </c>
      <c r="AI1618" s="37" t="n">
        <v>11</v>
      </c>
      <c r="AJ1618" s="37" t="s">
        <v>323</v>
      </c>
    </row>
    <row r="1619" customFormat="false" ht="15" hidden="false" customHeight="false" outlineLevel="0" collapsed="false">
      <c r="A1619" s="37" t="n">
        <v>389752365</v>
      </c>
      <c r="B1619" s="38" t="n">
        <v>46271.8851041667</v>
      </c>
      <c r="C1619" s="37" t="s">
        <v>320</v>
      </c>
      <c r="D1619" s="37" t="s">
        <v>1808</v>
      </c>
      <c r="E1619" s="37" t="n">
        <v>22723002</v>
      </c>
      <c r="F1619" s="37" t="s">
        <v>139</v>
      </c>
      <c r="G1619" s="37" t="s">
        <v>198</v>
      </c>
      <c r="H1619" s="37" t="s">
        <v>168</v>
      </c>
      <c r="I1619" s="37" t="n">
        <v>28.8</v>
      </c>
      <c r="J1619" s="39" t="n">
        <v>783.38</v>
      </c>
      <c r="K1619" s="37" t="s">
        <v>322</v>
      </c>
      <c r="L1619" s="39" t="n">
        <v>84.09</v>
      </c>
      <c r="M1619" s="39" t="n">
        <v>54.1</v>
      </c>
      <c r="N1619" s="39" t="n">
        <f aca="false">J1619*Resumo!$C$7</f>
        <v>1.56676</v>
      </c>
      <c r="O1619" s="39" t="n">
        <f aca="false">J1619*Resumo!$C$8</f>
        <v>1.56676</v>
      </c>
      <c r="P1619" s="39" t="n">
        <f aca="false">Resumo!$C$10*CEILING(I1619/100,1)</f>
        <v>1</v>
      </c>
      <c r="Q1619" s="39" t="n">
        <f aca="false">Resumo!$C$9</f>
        <v>11.9</v>
      </c>
      <c r="R1619" s="39" t="n">
        <f aca="false">SUM(M1619:Q1619)*Resumo!$C$11</f>
        <v>3.8573436</v>
      </c>
      <c r="S1619" s="39" t="n">
        <f aca="false">SUM(M1619:R1619)</f>
        <v>73.9908636</v>
      </c>
      <c r="T1619" s="39" t="n">
        <f aca="false">S1619/(1-Resumo!$C$5)</f>
        <v>84.0805268181818</v>
      </c>
      <c r="U1619" s="39" t="n">
        <v>82.21</v>
      </c>
      <c r="V1619" s="39" t="n">
        <f aca="false">J1619*Resumo!$B$6</f>
        <v>0.78338</v>
      </c>
      <c r="W1619" s="39" t="n">
        <f aca="false">J1619*Resumo!$B$7</f>
        <v>1.56676</v>
      </c>
      <c r="X1619" s="39" t="n">
        <f aca="false">Resumo!$B$9</f>
        <v>1</v>
      </c>
      <c r="Y1619" s="39" t="n">
        <f aca="false">Resumo!$B$10*CEILING(I1619/100,1)</f>
        <v>4.5</v>
      </c>
      <c r="Z1619" s="39" t="n">
        <f aca="false">Resumo!$B$12*CEILING(I1619,1)</f>
        <v>1.74</v>
      </c>
      <c r="AA1619" s="39" t="n">
        <f aca="false">Resumo!$B$13*CEILING(I1619,1)</f>
        <v>13.05</v>
      </c>
      <c r="AB1619" s="39" t="n">
        <f aca="false">SUM(U1619:AA1619)</f>
        <v>104.85014</v>
      </c>
      <c r="AC1619" s="39" t="n">
        <f aca="false">AB1619/(1-Resumo!$B$5)</f>
        <v>119.147886363636</v>
      </c>
      <c r="AD1619" s="39" t="n">
        <f aca="false">(AB1619-AA1619)/(1-Resumo!$B$5)</f>
        <v>104.318340909091</v>
      </c>
      <c r="AE1619" s="39" t="n">
        <f aca="false">AC1619-T1619</f>
        <v>35.0673595454545</v>
      </c>
      <c r="AF1619" s="40" t="n">
        <f aca="false">AC1619/T1619-1</f>
        <v>0.417068741984517</v>
      </c>
      <c r="AG1619" s="37" t="str">
        <f aca="false">IF(AC1619&lt;T1619,"SIM","NÃO")</f>
        <v>NÃO</v>
      </c>
      <c r="AH1619" s="37" t="n">
        <v>8</v>
      </c>
      <c r="AI1619" s="37" t="n">
        <v>5</v>
      </c>
      <c r="AJ1619" s="37" t="s">
        <v>323</v>
      </c>
    </row>
    <row r="1620" customFormat="false" ht="15" hidden="false" customHeight="false" outlineLevel="0" collapsed="false">
      <c r="A1620" s="37" t="n">
        <v>389782420</v>
      </c>
      <c r="B1620" s="38" t="n">
        <v>46271.9381018519</v>
      </c>
      <c r="C1620" s="37" t="s">
        <v>320</v>
      </c>
      <c r="D1620" s="37" t="s">
        <v>1809</v>
      </c>
      <c r="E1620" s="37" t="n">
        <v>24350242</v>
      </c>
      <c r="F1620" s="37" t="s">
        <v>143</v>
      </c>
      <c r="G1620" s="37" t="s">
        <v>207</v>
      </c>
      <c r="H1620" s="37" t="s">
        <v>170</v>
      </c>
      <c r="I1620" s="37" t="n">
        <v>41</v>
      </c>
      <c r="J1620" s="39" t="n">
        <v>559.94</v>
      </c>
      <c r="K1620" s="37" t="s">
        <v>322</v>
      </c>
      <c r="L1620" s="39" t="n">
        <v>116.76</v>
      </c>
      <c r="M1620" s="39" t="n">
        <v>82.25</v>
      </c>
      <c r="N1620" s="39" t="n">
        <f aca="false">J1620*Resumo!$C$7</f>
        <v>1.11988</v>
      </c>
      <c r="O1620" s="39" t="n">
        <f aca="false">J1620*Resumo!$C$8</f>
        <v>1.11988</v>
      </c>
      <c r="P1620" s="39" t="n">
        <f aca="false">Resumo!$C$10*CEILING(I1620/100,1)</f>
        <v>1</v>
      </c>
      <c r="Q1620" s="39" t="n">
        <f aca="false">Resumo!$C$9</f>
        <v>11.9</v>
      </c>
      <c r="R1620" s="39" t="n">
        <f aca="false">SUM(M1620:Q1620)*Resumo!$C$11</f>
        <v>5.3564368</v>
      </c>
      <c r="S1620" s="39" t="n">
        <f aca="false">SUM(M1620:R1620)</f>
        <v>102.7461968</v>
      </c>
      <c r="T1620" s="39" t="n">
        <f aca="false">S1620/(1-Resumo!$C$5)</f>
        <v>116.757041818182</v>
      </c>
      <c r="U1620" s="39" t="n">
        <v>114.95</v>
      </c>
      <c r="V1620" s="39" t="n">
        <f aca="false">J1620*Resumo!$B$6</f>
        <v>0.55994</v>
      </c>
      <c r="W1620" s="39" t="n">
        <f aca="false">J1620*Resumo!$B$7</f>
        <v>1.11988</v>
      </c>
      <c r="X1620" s="39" t="n">
        <f aca="false">Resumo!$B$9</f>
        <v>1</v>
      </c>
      <c r="Y1620" s="39" t="n">
        <f aca="false">Resumo!$B$10*CEILING(I1620/100,1)</f>
        <v>4.5</v>
      </c>
      <c r="Z1620" s="39" t="n">
        <f aca="false">Resumo!$B$12*CEILING(I1620,1)</f>
        <v>2.46</v>
      </c>
      <c r="AA1620" s="39" t="n">
        <f aca="false">Resumo!$B$13*CEILING(I1620,1)</f>
        <v>18.45</v>
      </c>
      <c r="AB1620" s="39" t="n">
        <f aca="false">SUM(U1620:AA1620)</f>
        <v>143.03982</v>
      </c>
      <c r="AC1620" s="39" t="n">
        <f aca="false">AB1620/(1-Resumo!$B$5)</f>
        <v>162.54525</v>
      </c>
      <c r="AD1620" s="39" t="n">
        <f aca="false">(AB1620-AA1620)/(1-Resumo!$B$5)</f>
        <v>141.579340909091</v>
      </c>
      <c r="AE1620" s="39" t="n">
        <f aca="false">AC1620-T1620</f>
        <v>45.7882081818182</v>
      </c>
      <c r="AF1620" s="40" t="n">
        <f aca="false">AC1620/T1620-1</f>
        <v>0.39216656630545</v>
      </c>
      <c r="AG1620" s="37" t="str">
        <f aca="false">IF(AC1620&lt;T1620,"SIM","NÃO")</f>
        <v>NÃO</v>
      </c>
      <c r="AH1620" s="37" t="n">
        <v>10</v>
      </c>
      <c r="AI1620" s="37" t="n">
        <v>7</v>
      </c>
      <c r="AJ1620" s="37" t="s">
        <v>323</v>
      </c>
    </row>
    <row r="1621" customFormat="false" ht="15" hidden="false" customHeight="false" outlineLevel="0" collapsed="false">
      <c r="A1621" s="37" t="n">
        <v>389782716</v>
      </c>
      <c r="B1621" s="38" t="n">
        <v>46271.9387962963</v>
      </c>
      <c r="C1621" s="37" t="s">
        <v>320</v>
      </c>
      <c r="D1621" s="37" t="s">
        <v>1810</v>
      </c>
      <c r="E1621" s="37" t="n">
        <v>24744720</v>
      </c>
      <c r="F1621" s="37" t="s">
        <v>140</v>
      </c>
      <c r="G1621" s="37" t="s">
        <v>207</v>
      </c>
      <c r="H1621" s="37" t="s">
        <v>172</v>
      </c>
      <c r="I1621" s="37" t="n">
        <v>66.8</v>
      </c>
      <c r="J1621" s="39" t="n">
        <v>666.29</v>
      </c>
      <c r="K1621" s="37" t="s">
        <v>322</v>
      </c>
      <c r="L1621" s="39" t="n">
        <v>139.62</v>
      </c>
      <c r="M1621" s="39" t="n">
        <v>100.9</v>
      </c>
      <c r="N1621" s="39" t="n">
        <f aca="false">J1621*Resumo!$C$7</f>
        <v>1.33258</v>
      </c>
      <c r="O1621" s="39" t="n">
        <f aca="false">J1621*Resumo!$C$8</f>
        <v>1.33258</v>
      </c>
      <c r="P1621" s="39" t="n">
        <f aca="false">Resumo!$C$10*CEILING(I1621/100,1)</f>
        <v>1</v>
      </c>
      <c r="Q1621" s="39" t="n">
        <f aca="false">Resumo!$C$9</f>
        <v>11.9</v>
      </c>
      <c r="R1621" s="39" t="n">
        <f aca="false">SUM(M1621:Q1621)*Resumo!$C$11</f>
        <v>6.4055838</v>
      </c>
      <c r="S1621" s="39" t="n">
        <f aca="false">SUM(M1621:R1621)</f>
        <v>122.8707438</v>
      </c>
      <c r="T1621" s="39" t="n">
        <f aca="false">S1621/(1-Resumo!$C$5)</f>
        <v>139.625845227273</v>
      </c>
      <c r="U1621" s="39" t="n">
        <v>149.5</v>
      </c>
      <c r="V1621" s="39" t="n">
        <f aca="false">J1621*Resumo!$B$6</f>
        <v>0.66629</v>
      </c>
      <c r="W1621" s="39" t="n">
        <f aca="false">J1621*Resumo!$B$7</f>
        <v>1.33258</v>
      </c>
      <c r="X1621" s="39" t="n">
        <f aca="false">Resumo!$B$9</f>
        <v>1</v>
      </c>
      <c r="Y1621" s="39" t="n">
        <f aca="false">Resumo!$B$10*CEILING(I1621/100,1)</f>
        <v>4.5</v>
      </c>
      <c r="Z1621" s="39" t="n">
        <f aca="false">Resumo!$B$12*CEILING(I1621,1)</f>
        <v>4.02</v>
      </c>
      <c r="AA1621" s="39" t="n">
        <f aca="false">Resumo!$B$13*CEILING(I1621,1)</f>
        <v>30.15</v>
      </c>
      <c r="AB1621" s="39" t="n">
        <f aca="false">SUM(U1621:AA1621)</f>
        <v>191.16887</v>
      </c>
      <c r="AC1621" s="39" t="n">
        <f aca="false">AB1621/(1-Resumo!$B$5)</f>
        <v>217.237352272727</v>
      </c>
      <c r="AD1621" s="39" t="n">
        <f aca="false">(AB1621-AA1621)/(1-Resumo!$B$5)</f>
        <v>182.975988636364</v>
      </c>
      <c r="AE1621" s="39" t="n">
        <f aca="false">AC1621-T1621</f>
        <v>77.6115070454545</v>
      </c>
      <c r="AF1621" s="40" t="n">
        <f aca="false">AC1621/T1621-1</f>
        <v>0.555853444748171</v>
      </c>
      <c r="AG1621" s="37" t="str">
        <f aca="false">IF(AC1621&lt;T1621,"SIM","NÃO")</f>
        <v>NÃO</v>
      </c>
      <c r="AH1621" s="37" t="n">
        <v>10</v>
      </c>
      <c r="AI1621" s="37" t="n">
        <v>7</v>
      </c>
      <c r="AJ1621" s="37" t="s">
        <v>323</v>
      </c>
    </row>
    <row r="1622" customFormat="false" ht="15" hidden="false" customHeight="false" outlineLevel="0" collapsed="false">
      <c r="A1622" s="37" t="n">
        <v>389816000</v>
      </c>
      <c r="B1622" s="38" t="n">
        <v>46272.004537037</v>
      </c>
      <c r="C1622" s="37" t="s">
        <v>320</v>
      </c>
      <c r="D1622" s="37" t="s">
        <v>1811</v>
      </c>
      <c r="E1622" s="37" t="n">
        <v>26195140</v>
      </c>
      <c r="F1622" s="37" t="s">
        <v>145</v>
      </c>
      <c r="G1622" s="37" t="s">
        <v>207</v>
      </c>
      <c r="H1622" s="37" t="s">
        <v>169</v>
      </c>
      <c r="I1622" s="37" t="n">
        <v>35.4</v>
      </c>
      <c r="J1622" s="39" t="n">
        <v>499.99</v>
      </c>
      <c r="K1622" s="37" t="s">
        <v>322</v>
      </c>
      <c r="L1622" s="39" t="n">
        <v>113.35</v>
      </c>
      <c r="M1622" s="39" t="n">
        <v>79.65</v>
      </c>
      <c r="N1622" s="39" t="n">
        <f aca="false">J1622*Resumo!$C$7</f>
        <v>0.99998</v>
      </c>
      <c r="O1622" s="39" t="n">
        <f aca="false">J1622*Resumo!$C$8</f>
        <v>0.99998</v>
      </c>
      <c r="P1622" s="39" t="n">
        <f aca="false">Resumo!$C$10*CEILING(I1622/100,1)</f>
        <v>1</v>
      </c>
      <c r="Q1622" s="39" t="n">
        <f aca="false">Resumo!$C$9</f>
        <v>11.9</v>
      </c>
      <c r="R1622" s="39" t="n">
        <f aca="false">SUM(M1622:Q1622)*Resumo!$C$11</f>
        <v>5.2002478</v>
      </c>
      <c r="S1622" s="39" t="n">
        <f aca="false">SUM(M1622:R1622)</f>
        <v>99.7502078</v>
      </c>
      <c r="T1622" s="39" t="n">
        <f aca="false">S1622/(1-Resumo!$C$5)</f>
        <v>113.352508863636</v>
      </c>
      <c r="U1622" s="39" t="n">
        <v>93.97</v>
      </c>
      <c r="V1622" s="39" t="n">
        <f aca="false">J1622*Resumo!$B$6</f>
        <v>0.49999</v>
      </c>
      <c r="W1622" s="39" t="n">
        <f aca="false">J1622*Resumo!$B$7</f>
        <v>0.99998</v>
      </c>
      <c r="X1622" s="39" t="n">
        <f aca="false">Resumo!$B$9</f>
        <v>1</v>
      </c>
      <c r="Y1622" s="39" t="n">
        <f aca="false">Resumo!$B$10*CEILING(I1622/100,1)</f>
        <v>4.5</v>
      </c>
      <c r="Z1622" s="39" t="n">
        <f aca="false">Resumo!$B$12*CEILING(I1622,1)</f>
        <v>2.16</v>
      </c>
      <c r="AA1622" s="39" t="n">
        <f aca="false">Resumo!$B$13*CEILING(I1622,1)</f>
        <v>16.2</v>
      </c>
      <c r="AB1622" s="39" t="n">
        <f aca="false">SUM(U1622:AA1622)</f>
        <v>119.32997</v>
      </c>
      <c r="AC1622" s="39" t="n">
        <f aca="false">AB1622/(1-Resumo!$B$5)</f>
        <v>135.602238636364</v>
      </c>
      <c r="AD1622" s="39" t="n">
        <f aca="false">(AB1622-AA1622)/(1-Resumo!$B$5)</f>
        <v>117.193147727273</v>
      </c>
      <c r="AE1622" s="39" t="n">
        <f aca="false">AC1622-T1622</f>
        <v>22.2497297727273</v>
      </c>
      <c r="AF1622" s="40" t="n">
        <f aca="false">AC1622/T1622-1</f>
        <v>0.196287933948545</v>
      </c>
      <c r="AG1622" s="37" t="str">
        <f aca="false">IF(AC1622&lt;T1622,"SIM","NÃO")</f>
        <v>NÃO</v>
      </c>
      <c r="AH1622" s="37" t="n">
        <v>10</v>
      </c>
      <c r="AI1622" s="37" t="n">
        <v>5</v>
      </c>
      <c r="AJ1622" s="37" t="s">
        <v>323</v>
      </c>
    </row>
    <row r="1623" customFormat="false" ht="15" hidden="false" customHeight="false" outlineLevel="0" collapsed="false">
      <c r="A1623" s="37" t="n">
        <v>389935390</v>
      </c>
      <c r="B1623" s="38" t="n">
        <v>46272.3095949074</v>
      </c>
      <c r="C1623" s="37" t="s">
        <v>320</v>
      </c>
      <c r="D1623" s="37" t="s">
        <v>1812</v>
      </c>
      <c r="E1623" s="37" t="n">
        <v>24430210</v>
      </c>
      <c r="F1623" s="37" t="s">
        <v>140</v>
      </c>
      <c r="G1623" s="37" t="s">
        <v>207</v>
      </c>
      <c r="H1623" s="37" t="s">
        <v>172</v>
      </c>
      <c r="I1623" s="37" t="n">
        <v>68.7</v>
      </c>
      <c r="J1623" s="39" t="n">
        <v>749.99</v>
      </c>
      <c r="K1623" s="37" t="s">
        <v>322</v>
      </c>
      <c r="L1623" s="39" t="n">
        <v>140.02</v>
      </c>
      <c r="M1623" s="39" t="n">
        <v>100.9</v>
      </c>
      <c r="N1623" s="39" t="n">
        <f aca="false">J1623*Resumo!$C$7</f>
        <v>1.49998</v>
      </c>
      <c r="O1623" s="39" t="n">
        <f aca="false">J1623*Resumo!$C$8</f>
        <v>1.49998</v>
      </c>
      <c r="P1623" s="39" t="n">
        <f aca="false">Resumo!$C$10*CEILING(I1623/100,1)</f>
        <v>1</v>
      </c>
      <c r="Q1623" s="39" t="n">
        <f aca="false">Resumo!$C$9</f>
        <v>11.9</v>
      </c>
      <c r="R1623" s="39" t="n">
        <f aca="false">SUM(M1623:Q1623)*Resumo!$C$11</f>
        <v>6.4239978</v>
      </c>
      <c r="S1623" s="39" t="n">
        <f aca="false">SUM(M1623:R1623)</f>
        <v>123.2239578</v>
      </c>
      <c r="T1623" s="39" t="n">
        <f aca="false">S1623/(1-Resumo!$C$5)</f>
        <v>140.027224772727</v>
      </c>
      <c r="U1623" s="39" t="n">
        <v>149.5</v>
      </c>
      <c r="V1623" s="39" t="n">
        <f aca="false">J1623*Resumo!$B$6</f>
        <v>0.74999</v>
      </c>
      <c r="W1623" s="39" t="n">
        <f aca="false">J1623*Resumo!$B$7</f>
        <v>1.49998</v>
      </c>
      <c r="X1623" s="39" t="n">
        <f aca="false">Resumo!$B$9</f>
        <v>1</v>
      </c>
      <c r="Y1623" s="39" t="n">
        <f aca="false">Resumo!$B$10*CEILING(I1623/100,1)</f>
        <v>4.5</v>
      </c>
      <c r="Z1623" s="39" t="n">
        <f aca="false">Resumo!$B$12*CEILING(I1623,1)</f>
        <v>4.14</v>
      </c>
      <c r="AA1623" s="39" t="n">
        <f aca="false">Resumo!$B$13*CEILING(I1623,1)</f>
        <v>31.05</v>
      </c>
      <c r="AB1623" s="39" t="n">
        <f aca="false">SUM(U1623:AA1623)</f>
        <v>192.43997</v>
      </c>
      <c r="AC1623" s="39" t="n">
        <f aca="false">AB1623/(1-Resumo!$B$5)</f>
        <v>218.681784090909</v>
      </c>
      <c r="AD1623" s="39" t="n">
        <f aca="false">(AB1623-AA1623)/(1-Resumo!$B$5)</f>
        <v>183.397693181818</v>
      </c>
      <c r="AE1623" s="39" t="n">
        <f aca="false">AC1623-T1623</f>
        <v>78.6545593181818</v>
      </c>
      <c r="AF1623" s="40" t="n">
        <f aca="false">AC1623/T1623-1</f>
        <v>0.561709049406949</v>
      </c>
      <c r="AG1623" s="37" t="str">
        <f aca="false">IF(AC1623&lt;T1623,"SIM","NÃO")</f>
        <v>NÃO</v>
      </c>
      <c r="AH1623" s="37" t="n">
        <v>10</v>
      </c>
      <c r="AI1623" s="37" t="n">
        <v>7</v>
      </c>
      <c r="AJ1623" s="37" t="s">
        <v>323</v>
      </c>
    </row>
    <row r="1624" customFormat="false" ht="15" hidden="false" customHeight="false" outlineLevel="0" collapsed="false">
      <c r="A1624" s="37" t="n">
        <v>389971771</v>
      </c>
      <c r="B1624" s="38" t="n">
        <v>46272.3848032407</v>
      </c>
      <c r="C1624" s="37" t="s">
        <v>320</v>
      </c>
      <c r="D1624" s="37" t="s">
        <v>1501</v>
      </c>
      <c r="E1624" s="37" t="n">
        <v>26553360</v>
      </c>
      <c r="F1624" s="37" t="s">
        <v>155</v>
      </c>
      <c r="G1624" s="37" t="s">
        <v>207</v>
      </c>
      <c r="H1624" s="37" t="s">
        <v>169</v>
      </c>
      <c r="I1624" s="37" t="n">
        <v>40</v>
      </c>
      <c r="J1624" s="39" t="n">
        <v>599.99</v>
      </c>
      <c r="K1624" s="37" t="s">
        <v>322</v>
      </c>
      <c r="L1624" s="39" t="n">
        <v>113.83</v>
      </c>
      <c r="M1624" s="39" t="n">
        <v>79.65</v>
      </c>
      <c r="N1624" s="39" t="n">
        <f aca="false">J1624*Resumo!$C$7</f>
        <v>1.19998</v>
      </c>
      <c r="O1624" s="39" t="n">
        <f aca="false">J1624*Resumo!$C$8</f>
        <v>1.19998</v>
      </c>
      <c r="P1624" s="39" t="n">
        <f aca="false">Resumo!$C$10*CEILING(I1624/100,1)</f>
        <v>1</v>
      </c>
      <c r="Q1624" s="39" t="n">
        <f aca="false">Resumo!$C$9</f>
        <v>11.9</v>
      </c>
      <c r="R1624" s="39" t="n">
        <f aca="false">SUM(M1624:Q1624)*Resumo!$C$11</f>
        <v>5.2222478</v>
      </c>
      <c r="S1624" s="39" t="n">
        <f aca="false">SUM(M1624:R1624)</f>
        <v>100.1722078</v>
      </c>
      <c r="T1624" s="39" t="n">
        <f aca="false">S1624/(1-Resumo!$C$5)</f>
        <v>113.832054318182</v>
      </c>
      <c r="U1624" s="39" t="n">
        <v>93.97</v>
      </c>
      <c r="V1624" s="39" t="n">
        <f aca="false">J1624*Resumo!$B$6</f>
        <v>0.59999</v>
      </c>
      <c r="W1624" s="39" t="n">
        <f aca="false">J1624*Resumo!$B$7</f>
        <v>1.19998</v>
      </c>
      <c r="X1624" s="39" t="n">
        <f aca="false">Resumo!$B$9</f>
        <v>1</v>
      </c>
      <c r="Y1624" s="39" t="n">
        <f aca="false">Resumo!$B$10*CEILING(I1624/100,1)</f>
        <v>4.5</v>
      </c>
      <c r="Z1624" s="39" t="n">
        <f aca="false">Resumo!$B$12*CEILING(I1624,1)</f>
        <v>2.4</v>
      </c>
      <c r="AA1624" s="39" t="n">
        <f aca="false">Resumo!$B$13*CEILING(I1624,1)</f>
        <v>18</v>
      </c>
      <c r="AB1624" s="39" t="n">
        <f aca="false">SUM(U1624:AA1624)</f>
        <v>121.66997</v>
      </c>
      <c r="AC1624" s="39" t="n">
        <f aca="false">AB1624/(1-Resumo!$B$5)</f>
        <v>138.261329545455</v>
      </c>
      <c r="AD1624" s="39" t="n">
        <f aca="false">(AB1624-AA1624)/(1-Resumo!$B$5)</f>
        <v>117.806784090909</v>
      </c>
      <c r="AE1624" s="39" t="n">
        <f aca="false">AC1624-T1624</f>
        <v>24.4292752272727</v>
      </c>
      <c r="AF1624" s="40" t="n">
        <f aca="false">AC1624/T1624-1</f>
        <v>0.214608050198131</v>
      </c>
      <c r="AG1624" s="37" t="str">
        <f aca="false">IF(AC1624&lt;T1624,"SIM","NÃO")</f>
        <v>NÃO</v>
      </c>
      <c r="AH1624" s="37" t="n">
        <v>10</v>
      </c>
      <c r="AI1624" s="37" t="n">
        <v>5</v>
      </c>
      <c r="AJ1624" s="37" t="s">
        <v>323</v>
      </c>
    </row>
    <row r="1625" customFormat="false" ht="15" hidden="false" customHeight="false" outlineLevel="0" collapsed="false">
      <c r="A1625" s="37" t="n">
        <v>389987423</v>
      </c>
      <c r="B1625" s="38" t="n">
        <v>46272.4100694444</v>
      </c>
      <c r="C1625" s="37" t="s">
        <v>320</v>
      </c>
      <c r="D1625" s="37" t="s">
        <v>1813</v>
      </c>
      <c r="E1625" s="37" t="n">
        <v>27925396</v>
      </c>
      <c r="F1625" s="37" t="s">
        <v>146</v>
      </c>
      <c r="G1625" s="37" t="s">
        <v>201</v>
      </c>
      <c r="H1625" s="37" t="s">
        <v>168</v>
      </c>
      <c r="I1625" s="37" t="n">
        <v>24.8</v>
      </c>
      <c r="J1625" s="39" t="n">
        <v>299.99</v>
      </c>
      <c r="K1625" s="37" t="s">
        <v>322</v>
      </c>
      <c r="L1625" s="39" t="n">
        <v>108.61</v>
      </c>
      <c r="M1625" s="39" t="n">
        <v>76.5</v>
      </c>
      <c r="N1625" s="39" t="n">
        <f aca="false">J1625*Resumo!$C$7</f>
        <v>0.59998</v>
      </c>
      <c r="O1625" s="39" t="n">
        <f aca="false">J1625*Resumo!$C$8</f>
        <v>0.59998</v>
      </c>
      <c r="P1625" s="39" t="n">
        <f aca="false">Resumo!$C$10*CEILING(I1625/100,1)</f>
        <v>1</v>
      </c>
      <c r="Q1625" s="39" t="n">
        <f aca="false">Resumo!$C$9</f>
        <v>11.9</v>
      </c>
      <c r="R1625" s="39" t="n">
        <f aca="false">SUM(M1625:Q1625)*Resumo!$C$11</f>
        <v>4.9829978</v>
      </c>
      <c r="S1625" s="39" t="n">
        <f aca="false">SUM(M1625:R1625)</f>
        <v>95.5829578</v>
      </c>
      <c r="T1625" s="39" t="n">
        <f aca="false">S1625/(1-Resumo!$C$5)</f>
        <v>108.6169975</v>
      </c>
      <c r="U1625" s="39" t="n">
        <v>138.29</v>
      </c>
      <c r="V1625" s="39" t="n">
        <f aca="false">J1625*Resumo!$B$6</f>
        <v>0.29999</v>
      </c>
      <c r="W1625" s="39" t="n">
        <f aca="false">J1625*Resumo!$B$7</f>
        <v>0.59998</v>
      </c>
      <c r="X1625" s="39" t="n">
        <f aca="false">Resumo!$B$9</f>
        <v>1</v>
      </c>
      <c r="Y1625" s="39" t="n">
        <f aca="false">Resumo!$B$10*CEILING(I1625/100,1)</f>
        <v>4.5</v>
      </c>
      <c r="Z1625" s="39" t="n">
        <f aca="false">Resumo!$B$12*CEILING(I1625,1)</f>
        <v>1.5</v>
      </c>
      <c r="AA1625" s="39" t="n">
        <f aca="false">Resumo!$B$13*CEILING(I1625,1)</f>
        <v>11.25</v>
      </c>
      <c r="AB1625" s="39" t="n">
        <f aca="false">SUM(U1625:AA1625)</f>
        <v>157.43997</v>
      </c>
      <c r="AC1625" s="39" t="n">
        <f aca="false">AB1625/(1-Resumo!$B$5)</f>
        <v>178.909056818182</v>
      </c>
      <c r="AD1625" s="39" t="n">
        <f aca="false">(AB1625-AA1625)/(1-Resumo!$B$5)</f>
        <v>166.124965909091</v>
      </c>
      <c r="AE1625" s="39" t="n">
        <f aca="false">AC1625-T1625</f>
        <v>70.2920593181818</v>
      </c>
      <c r="AF1625" s="40" t="n">
        <f aca="false">AC1625/T1625-1</f>
        <v>0.647155242145059</v>
      </c>
      <c r="AG1625" s="37" t="str">
        <f aca="false">IF(AC1625&lt;T1625,"SIM","NÃO")</f>
        <v>NÃO</v>
      </c>
      <c r="AH1625" s="37" t="n">
        <v>13</v>
      </c>
      <c r="AI1625" s="37" t="n">
        <v>11</v>
      </c>
      <c r="AJ1625" s="37" t="s">
        <v>323</v>
      </c>
    </row>
    <row r="1626" customFormat="false" ht="15" hidden="false" customHeight="false" outlineLevel="0" collapsed="false">
      <c r="A1626" s="37" t="n">
        <v>390001961</v>
      </c>
      <c r="B1626" s="38" t="n">
        <v>46272.432037037</v>
      </c>
      <c r="C1626" s="37" t="s">
        <v>320</v>
      </c>
      <c r="D1626" s="37" t="s">
        <v>1814</v>
      </c>
      <c r="E1626" s="37" t="n">
        <v>25221124</v>
      </c>
      <c r="F1626" s="37" t="s">
        <v>141</v>
      </c>
      <c r="G1626" s="37" t="s">
        <v>207</v>
      </c>
      <c r="H1626" s="37" t="s">
        <v>170</v>
      </c>
      <c r="I1626" s="37" t="n">
        <v>48.3</v>
      </c>
      <c r="J1626" s="39" t="n">
        <v>459.69</v>
      </c>
      <c r="K1626" s="37" t="s">
        <v>322</v>
      </c>
      <c r="L1626" s="39" t="n">
        <v>116.27</v>
      </c>
      <c r="M1626" s="39" t="n">
        <v>82.25</v>
      </c>
      <c r="N1626" s="39" t="n">
        <f aca="false">J1626*Resumo!$C$7</f>
        <v>0.91938</v>
      </c>
      <c r="O1626" s="39" t="n">
        <f aca="false">J1626*Resumo!$C$8</f>
        <v>0.91938</v>
      </c>
      <c r="P1626" s="39" t="n">
        <f aca="false">Resumo!$C$10*CEILING(I1626/100,1)</f>
        <v>1</v>
      </c>
      <c r="Q1626" s="39" t="n">
        <f aca="false">Resumo!$C$9</f>
        <v>11.9</v>
      </c>
      <c r="R1626" s="39" t="n">
        <f aca="false">SUM(M1626:Q1626)*Resumo!$C$11</f>
        <v>5.3343818</v>
      </c>
      <c r="S1626" s="39" t="n">
        <f aca="false">SUM(M1626:R1626)</f>
        <v>102.3231418</v>
      </c>
      <c r="T1626" s="39" t="n">
        <f aca="false">S1626/(1-Resumo!$C$5)</f>
        <v>116.2762975</v>
      </c>
      <c r="U1626" s="39" t="n">
        <v>93.97</v>
      </c>
      <c r="V1626" s="39" t="n">
        <f aca="false">J1626*Resumo!$B$6</f>
        <v>0.45969</v>
      </c>
      <c r="W1626" s="39" t="n">
        <f aca="false">J1626*Resumo!$B$7</f>
        <v>0.91938</v>
      </c>
      <c r="X1626" s="39" t="n">
        <f aca="false">Resumo!$B$9</f>
        <v>1</v>
      </c>
      <c r="Y1626" s="39" t="n">
        <f aca="false">Resumo!$B$10*CEILING(I1626/100,1)</f>
        <v>4.5</v>
      </c>
      <c r="Z1626" s="39" t="n">
        <f aca="false">Resumo!$B$12*CEILING(I1626,1)</f>
        <v>2.94</v>
      </c>
      <c r="AA1626" s="39" t="n">
        <f aca="false">Resumo!$B$13*CEILING(I1626,1)</f>
        <v>22.05</v>
      </c>
      <c r="AB1626" s="39" t="n">
        <f aca="false">SUM(U1626:AA1626)</f>
        <v>125.83907</v>
      </c>
      <c r="AC1626" s="39" t="n">
        <f aca="false">AB1626/(1-Resumo!$B$5)</f>
        <v>142.998943181818</v>
      </c>
      <c r="AD1626" s="39" t="n">
        <f aca="false">(AB1626-AA1626)/(1-Resumo!$B$5)</f>
        <v>117.942125</v>
      </c>
      <c r="AE1626" s="39" t="n">
        <f aca="false">AC1626-T1626</f>
        <v>26.7226456818182</v>
      </c>
      <c r="AF1626" s="40" t="n">
        <f aca="false">AC1626/T1626-1</f>
        <v>0.2298202321227</v>
      </c>
      <c r="AG1626" s="37" t="str">
        <f aca="false">IF(AC1626&lt;T1626,"SIM","NÃO")</f>
        <v>NÃO</v>
      </c>
      <c r="AH1626" s="37" t="n">
        <v>10</v>
      </c>
      <c r="AI1626" s="37" t="n">
        <v>5</v>
      </c>
      <c r="AJ1626" s="37" t="s">
        <v>323</v>
      </c>
    </row>
    <row r="1627" customFormat="false" ht="15" hidden="false" customHeight="false" outlineLevel="0" collapsed="false">
      <c r="A1627" s="37" t="n">
        <v>390087497</v>
      </c>
      <c r="B1627" s="38" t="n">
        <v>46272.5534027778</v>
      </c>
      <c r="C1627" s="37" t="s">
        <v>320</v>
      </c>
      <c r="D1627" s="37" t="s">
        <v>1815</v>
      </c>
      <c r="E1627" s="37" t="n">
        <v>28692632</v>
      </c>
      <c r="F1627" s="37" t="s">
        <v>269</v>
      </c>
      <c r="G1627" s="37" t="s">
        <v>201</v>
      </c>
      <c r="H1627" s="37" t="s">
        <v>168</v>
      </c>
      <c r="I1627" s="37" t="n">
        <v>20.9</v>
      </c>
      <c r="J1627" s="39" t="n">
        <v>440.99</v>
      </c>
      <c r="K1627" s="37" t="s">
        <v>322</v>
      </c>
      <c r="L1627" s="39" t="n">
        <v>109.28</v>
      </c>
      <c r="M1627" s="39" t="n">
        <v>76.5</v>
      </c>
      <c r="N1627" s="39" t="n">
        <f aca="false">J1627*Resumo!$C$7</f>
        <v>0.88198</v>
      </c>
      <c r="O1627" s="39" t="n">
        <f aca="false">J1627*Resumo!$C$8</f>
        <v>0.88198</v>
      </c>
      <c r="P1627" s="39" t="n">
        <f aca="false">Resumo!$C$10*CEILING(I1627/100,1)</f>
        <v>1</v>
      </c>
      <c r="Q1627" s="39" t="n">
        <f aca="false">Resumo!$C$9</f>
        <v>11.9</v>
      </c>
      <c r="R1627" s="39" t="n">
        <f aca="false">SUM(M1627:Q1627)*Resumo!$C$11</f>
        <v>5.0140178</v>
      </c>
      <c r="S1627" s="39" t="n">
        <f aca="false">SUM(M1627:R1627)</f>
        <v>96.1779778</v>
      </c>
      <c r="T1627" s="39" t="n">
        <f aca="false">S1627/(1-Resumo!$C$5)</f>
        <v>109.293156590909</v>
      </c>
      <c r="U1627" s="39" t="n">
        <v>120.78</v>
      </c>
      <c r="V1627" s="39" t="n">
        <f aca="false">J1627*Resumo!$B$6</f>
        <v>0.44099</v>
      </c>
      <c r="W1627" s="39" t="n">
        <f aca="false">J1627*Resumo!$B$7</f>
        <v>0.88198</v>
      </c>
      <c r="X1627" s="39" t="n">
        <f aca="false">Resumo!$B$9</f>
        <v>1</v>
      </c>
      <c r="Y1627" s="39" t="n">
        <f aca="false">Resumo!$B$10*CEILING(I1627/100,1)</f>
        <v>4.5</v>
      </c>
      <c r="Z1627" s="39" t="n">
        <f aca="false">Resumo!$B$12*CEILING(I1627,1)</f>
        <v>1.26</v>
      </c>
      <c r="AA1627" s="39" t="n">
        <f aca="false">Resumo!$B$13*CEILING(I1627,1)</f>
        <v>9.45</v>
      </c>
      <c r="AB1627" s="39" t="n">
        <f aca="false">SUM(U1627:AA1627)</f>
        <v>138.31297</v>
      </c>
      <c r="AC1627" s="39" t="n">
        <f aca="false">AB1627/(1-Resumo!$B$5)</f>
        <v>157.173829545455</v>
      </c>
      <c r="AD1627" s="39" t="n">
        <f aca="false">(AB1627-AA1627)/(1-Resumo!$B$5)</f>
        <v>146.435193181818</v>
      </c>
      <c r="AE1627" s="39" t="n">
        <f aca="false">AC1627-T1627</f>
        <v>47.8806729545454</v>
      </c>
      <c r="AF1627" s="40" t="n">
        <f aca="false">AC1627/T1627-1</f>
        <v>0.438093970821665</v>
      </c>
      <c r="AG1627" s="37" t="str">
        <f aca="false">IF(AC1627&lt;T1627,"SIM","NÃO")</f>
        <v>NÃO</v>
      </c>
      <c r="AH1627" s="37" t="n">
        <v>13</v>
      </c>
      <c r="AI1627" s="37" t="n">
        <v>10</v>
      </c>
      <c r="AJ1627" s="37" t="s">
        <v>327</v>
      </c>
    </row>
    <row r="1628" customFormat="false" ht="15" hidden="false" customHeight="false" outlineLevel="0" collapsed="false">
      <c r="A1628" s="37" t="n">
        <v>390130609</v>
      </c>
      <c r="B1628" s="38" t="n">
        <v>46272.6176851852</v>
      </c>
      <c r="C1628" s="37" t="s">
        <v>320</v>
      </c>
      <c r="D1628" s="37" t="s">
        <v>385</v>
      </c>
      <c r="E1628" s="37" t="n">
        <v>20251440</v>
      </c>
      <c r="F1628" s="37" t="s">
        <v>139</v>
      </c>
      <c r="G1628" s="37" t="s">
        <v>198</v>
      </c>
      <c r="H1628" s="37" t="s">
        <v>170</v>
      </c>
      <c r="I1628" s="37" t="n">
        <v>41.6</v>
      </c>
      <c r="J1628" s="39" t="n">
        <v>679.98</v>
      </c>
      <c r="K1628" s="37" t="s">
        <v>322</v>
      </c>
      <c r="L1628" s="39" t="n">
        <v>103.84</v>
      </c>
      <c r="M1628" s="39" t="n">
        <v>71</v>
      </c>
      <c r="N1628" s="39" t="n">
        <f aca="false">J1628*Resumo!$C$7</f>
        <v>1.35996</v>
      </c>
      <c r="O1628" s="39" t="n">
        <f aca="false">J1628*Resumo!$C$8</f>
        <v>1.35996</v>
      </c>
      <c r="P1628" s="39" t="n">
        <f aca="false">Resumo!$C$10*CEILING(I1628/100,1)</f>
        <v>1</v>
      </c>
      <c r="Q1628" s="39" t="n">
        <f aca="false">Resumo!$C$9</f>
        <v>11.9</v>
      </c>
      <c r="R1628" s="39" t="n">
        <f aca="false">SUM(M1628:Q1628)*Resumo!$C$11</f>
        <v>4.7640956</v>
      </c>
      <c r="S1628" s="39" t="n">
        <f aca="false">SUM(M1628:R1628)</f>
        <v>91.3840156</v>
      </c>
      <c r="T1628" s="39" t="n">
        <f aca="false">S1628/(1-Resumo!$C$5)</f>
        <v>103.845472272727</v>
      </c>
      <c r="U1628" s="39" t="n">
        <v>93.97</v>
      </c>
      <c r="V1628" s="39" t="n">
        <f aca="false">J1628*Resumo!$B$6</f>
        <v>0.67998</v>
      </c>
      <c r="W1628" s="39" t="n">
        <f aca="false">J1628*Resumo!$B$7</f>
        <v>1.35996</v>
      </c>
      <c r="X1628" s="39" t="n">
        <f aca="false">Resumo!$B$9</f>
        <v>1</v>
      </c>
      <c r="Y1628" s="39" t="n">
        <f aca="false">Resumo!$B$10*CEILING(I1628/100,1)</f>
        <v>4.5</v>
      </c>
      <c r="Z1628" s="39" t="n">
        <f aca="false">Resumo!$B$12*CEILING(I1628,1)</f>
        <v>2.52</v>
      </c>
      <c r="AA1628" s="39" t="n">
        <f aca="false">Resumo!$B$13*CEILING(I1628,1)</f>
        <v>18.9</v>
      </c>
      <c r="AB1628" s="39" t="n">
        <f aca="false">SUM(U1628:AA1628)</f>
        <v>122.92994</v>
      </c>
      <c r="AC1628" s="39" t="n">
        <f aca="false">AB1628/(1-Resumo!$B$5)</f>
        <v>139.693113636364</v>
      </c>
      <c r="AD1628" s="39" t="n">
        <f aca="false">(AB1628-AA1628)/(1-Resumo!$B$5)</f>
        <v>118.215840909091</v>
      </c>
      <c r="AE1628" s="39" t="n">
        <f aca="false">AC1628-T1628</f>
        <v>35.8476413636364</v>
      </c>
      <c r="AF1628" s="40" t="n">
        <f aca="false">AC1628/T1628-1</f>
        <v>0.345201775090304</v>
      </c>
      <c r="AG1628" s="37" t="str">
        <f aca="false">IF(AC1628&lt;T1628,"SIM","NÃO")</f>
        <v>NÃO</v>
      </c>
      <c r="AH1628" s="37" t="n">
        <v>8</v>
      </c>
      <c r="AI1628" s="37" t="n">
        <v>5</v>
      </c>
      <c r="AJ1628" s="37" t="s">
        <v>323</v>
      </c>
    </row>
    <row r="1629" customFormat="false" ht="15" hidden="false" customHeight="false" outlineLevel="0" collapsed="false">
      <c r="A1629" s="37" t="n">
        <v>390166163</v>
      </c>
      <c r="B1629" s="38" t="n">
        <v>46272.6717013889</v>
      </c>
      <c r="C1629" s="37" t="s">
        <v>320</v>
      </c>
      <c r="D1629" s="37" t="s">
        <v>1816</v>
      </c>
      <c r="E1629" s="37" t="n">
        <v>21042431</v>
      </c>
      <c r="F1629" s="37" t="s">
        <v>139</v>
      </c>
      <c r="G1629" s="37" t="s">
        <v>198</v>
      </c>
      <c r="H1629" s="37" t="s">
        <v>169</v>
      </c>
      <c r="I1629" s="37" t="n">
        <v>37.6</v>
      </c>
      <c r="J1629" s="39" t="n">
        <v>378.18</v>
      </c>
      <c r="K1629" s="37" t="s">
        <v>322</v>
      </c>
      <c r="L1629" s="39" t="n">
        <v>91.68</v>
      </c>
      <c r="M1629" s="39" t="n">
        <v>62.05</v>
      </c>
      <c r="N1629" s="39" t="n">
        <f aca="false">J1629*Resumo!$C$7</f>
        <v>0.75636</v>
      </c>
      <c r="O1629" s="39" t="n">
        <f aca="false">J1629*Resumo!$C$8</f>
        <v>0.75636</v>
      </c>
      <c r="P1629" s="39" t="n">
        <f aca="false">Resumo!$C$10*CEILING(I1629/100,1)</f>
        <v>1</v>
      </c>
      <c r="Q1629" s="39" t="n">
        <f aca="false">Resumo!$C$9</f>
        <v>11.9</v>
      </c>
      <c r="R1629" s="39" t="n">
        <f aca="false">SUM(M1629:Q1629)*Resumo!$C$11</f>
        <v>4.2054496</v>
      </c>
      <c r="S1629" s="39" t="n">
        <f aca="false">SUM(M1629:R1629)</f>
        <v>80.6681696</v>
      </c>
      <c r="T1629" s="39" t="n">
        <f aca="false">S1629/(1-Resumo!$C$5)</f>
        <v>91.6683745454545</v>
      </c>
      <c r="U1629" s="39" t="n">
        <v>93.97</v>
      </c>
      <c r="V1629" s="39" t="n">
        <f aca="false">J1629*Resumo!$B$6</f>
        <v>0.37818</v>
      </c>
      <c r="W1629" s="39" t="n">
        <f aca="false">J1629*Resumo!$B$7</f>
        <v>0.75636</v>
      </c>
      <c r="X1629" s="39" t="n">
        <f aca="false">Resumo!$B$9</f>
        <v>1</v>
      </c>
      <c r="Y1629" s="39" t="n">
        <f aca="false">Resumo!$B$10*CEILING(I1629/100,1)</f>
        <v>4.5</v>
      </c>
      <c r="Z1629" s="39" t="n">
        <f aca="false">Resumo!$B$12*CEILING(I1629,1)</f>
        <v>2.28</v>
      </c>
      <c r="AA1629" s="39" t="n">
        <f aca="false">Resumo!$B$13*CEILING(I1629,1)</f>
        <v>17.1</v>
      </c>
      <c r="AB1629" s="39" t="n">
        <f aca="false">SUM(U1629:AA1629)</f>
        <v>119.98454</v>
      </c>
      <c r="AC1629" s="39" t="n">
        <f aca="false">AB1629/(1-Resumo!$B$5)</f>
        <v>136.346068181818</v>
      </c>
      <c r="AD1629" s="39" t="n">
        <f aca="false">(AB1629-AA1629)/(1-Resumo!$B$5)</f>
        <v>116.91425</v>
      </c>
      <c r="AE1629" s="39" t="n">
        <f aca="false">AC1629-T1629</f>
        <v>44.6776936363637</v>
      </c>
      <c r="AF1629" s="40" t="n">
        <f aca="false">AC1629/T1629-1</f>
        <v>0.487383940840031</v>
      </c>
      <c r="AG1629" s="37" t="str">
        <f aca="false">IF(AC1629&lt;T1629,"SIM","NÃO")</f>
        <v>NÃO</v>
      </c>
      <c r="AH1629" s="37" t="n">
        <v>8</v>
      </c>
      <c r="AI1629" s="37" t="n">
        <v>5</v>
      </c>
      <c r="AJ1629" s="37" t="s">
        <v>323</v>
      </c>
    </row>
    <row r="1630" customFormat="false" ht="15" hidden="false" customHeight="false" outlineLevel="0" collapsed="false">
      <c r="A1630" s="37" t="n">
        <v>390186429</v>
      </c>
      <c r="B1630" s="38" t="n">
        <v>46272.7024768519</v>
      </c>
      <c r="C1630" s="37" t="s">
        <v>320</v>
      </c>
      <c r="D1630" s="37" t="s">
        <v>1817</v>
      </c>
      <c r="E1630" s="37" t="n">
        <v>23565450</v>
      </c>
      <c r="F1630" s="37" t="s">
        <v>139</v>
      </c>
      <c r="G1630" s="37" t="s">
        <v>198</v>
      </c>
      <c r="H1630" s="37" t="s">
        <v>169</v>
      </c>
      <c r="I1630" s="37" t="n">
        <v>36.8</v>
      </c>
      <c r="J1630" s="39" t="n">
        <v>464.95</v>
      </c>
      <c r="K1630" s="37" t="s">
        <v>322</v>
      </c>
      <c r="L1630" s="39" t="n">
        <v>92.08</v>
      </c>
      <c r="M1630" s="39" t="n">
        <v>62.05</v>
      </c>
      <c r="N1630" s="39" t="n">
        <f aca="false">J1630*Resumo!$C$7</f>
        <v>0.9299</v>
      </c>
      <c r="O1630" s="39" t="n">
        <f aca="false">J1630*Resumo!$C$8</f>
        <v>0.9299</v>
      </c>
      <c r="P1630" s="39" t="n">
        <f aca="false">Resumo!$C$10*CEILING(I1630/100,1)</f>
        <v>1</v>
      </c>
      <c r="Q1630" s="39" t="n">
        <f aca="false">Resumo!$C$9</f>
        <v>11.9</v>
      </c>
      <c r="R1630" s="39" t="n">
        <f aca="false">SUM(M1630:Q1630)*Resumo!$C$11</f>
        <v>4.224539</v>
      </c>
      <c r="S1630" s="39" t="n">
        <f aca="false">SUM(M1630:R1630)</f>
        <v>81.034339</v>
      </c>
      <c r="T1630" s="39" t="n">
        <f aca="false">S1630/(1-Resumo!$C$5)</f>
        <v>92.0844761363636</v>
      </c>
      <c r="U1630" s="39" t="n">
        <v>93.97</v>
      </c>
      <c r="V1630" s="39" t="n">
        <f aca="false">J1630*Resumo!$B$6</f>
        <v>0.46495</v>
      </c>
      <c r="W1630" s="39" t="n">
        <f aca="false">J1630*Resumo!$B$7</f>
        <v>0.9299</v>
      </c>
      <c r="X1630" s="39" t="n">
        <f aca="false">Resumo!$B$9</f>
        <v>1</v>
      </c>
      <c r="Y1630" s="39" t="n">
        <f aca="false">Resumo!$B$10*CEILING(I1630/100,1)</f>
        <v>4.5</v>
      </c>
      <c r="Z1630" s="39" t="n">
        <f aca="false">Resumo!$B$12*CEILING(I1630,1)</f>
        <v>2.22</v>
      </c>
      <c r="AA1630" s="39" t="n">
        <f aca="false">Resumo!$B$13*CEILING(I1630,1)</f>
        <v>16.65</v>
      </c>
      <c r="AB1630" s="39" t="n">
        <f aca="false">SUM(U1630:AA1630)</f>
        <v>119.73485</v>
      </c>
      <c r="AC1630" s="39" t="n">
        <f aca="false">AB1630/(1-Resumo!$B$5)</f>
        <v>136.062329545455</v>
      </c>
      <c r="AD1630" s="39" t="n">
        <f aca="false">(AB1630-AA1630)/(1-Resumo!$B$5)</f>
        <v>117.141875</v>
      </c>
      <c r="AE1630" s="39" t="n">
        <f aca="false">AC1630-T1630</f>
        <v>43.9778534090909</v>
      </c>
      <c r="AF1630" s="40" t="n">
        <f aca="false">AC1630/T1630-1</f>
        <v>0.477581621292672</v>
      </c>
      <c r="AG1630" s="37" t="str">
        <f aca="false">IF(AC1630&lt;T1630,"SIM","NÃO")</f>
        <v>NÃO</v>
      </c>
      <c r="AH1630" s="37" t="n">
        <v>8</v>
      </c>
      <c r="AI1630" s="37" t="n">
        <v>5</v>
      </c>
      <c r="AJ1630" s="37" t="s">
        <v>323</v>
      </c>
    </row>
    <row r="1631" customFormat="false" ht="15" hidden="false" customHeight="false" outlineLevel="0" collapsed="false">
      <c r="A1631" s="37" t="n">
        <v>390206014</v>
      </c>
      <c r="B1631" s="38" t="n">
        <v>46272.7301273148</v>
      </c>
      <c r="C1631" s="37" t="s">
        <v>325</v>
      </c>
      <c r="D1631" s="37" t="s">
        <v>1644</v>
      </c>
      <c r="E1631" s="37" t="n">
        <v>25651075</v>
      </c>
      <c r="F1631" s="37" t="s">
        <v>150</v>
      </c>
      <c r="G1631" s="37" t="s">
        <v>201</v>
      </c>
      <c r="H1631" s="37" t="s">
        <v>172</v>
      </c>
      <c r="I1631" s="37" t="n">
        <v>66.8</v>
      </c>
      <c r="J1631" s="39" t="n">
        <v>651</v>
      </c>
      <c r="K1631" s="37" t="s">
        <v>322</v>
      </c>
      <c r="L1631" s="39" t="n">
        <v>155.14</v>
      </c>
      <c r="M1631" s="39" t="n">
        <v>113.9</v>
      </c>
      <c r="N1631" s="39" t="n">
        <f aca="false">J1631*Resumo!$C$7</f>
        <v>1.302</v>
      </c>
      <c r="O1631" s="39" t="n">
        <f aca="false">J1631*Resumo!$C$8</f>
        <v>1.302</v>
      </c>
      <c r="P1631" s="39" t="n">
        <f aca="false">Resumo!$C$10*CEILING(I1631/100,1)</f>
        <v>1</v>
      </c>
      <c r="Q1631" s="39" t="n">
        <f aca="false">Resumo!$C$9</f>
        <v>11.9</v>
      </c>
      <c r="R1631" s="39" t="n">
        <f aca="false">SUM(M1631:Q1631)*Resumo!$C$11</f>
        <v>7.11722</v>
      </c>
      <c r="S1631" s="39" t="n">
        <f aca="false">SUM(M1631:R1631)</f>
        <v>136.52122</v>
      </c>
      <c r="T1631" s="39" t="n">
        <f aca="false">S1631/(1-Resumo!$C$5)</f>
        <v>155.13775</v>
      </c>
      <c r="U1631" s="39" t="n">
        <v>166.05</v>
      </c>
      <c r="V1631" s="39" t="n">
        <f aca="false">J1631*Resumo!$B$6</f>
        <v>0.651</v>
      </c>
      <c r="W1631" s="39" t="n">
        <f aca="false">J1631*Resumo!$B$7</f>
        <v>1.302</v>
      </c>
      <c r="X1631" s="39" t="n">
        <f aca="false">Resumo!$B$9</f>
        <v>1</v>
      </c>
      <c r="Y1631" s="39" t="n">
        <f aca="false">Resumo!$B$10*CEILING(I1631/100,1)</f>
        <v>4.5</v>
      </c>
      <c r="Z1631" s="39" t="n">
        <f aca="false">Resumo!$B$12*CEILING(I1631,1)</f>
        <v>4.02</v>
      </c>
      <c r="AA1631" s="39" t="n">
        <f aca="false">Resumo!$B$13*CEILING(I1631,1)</f>
        <v>30.15</v>
      </c>
      <c r="AB1631" s="39" t="n">
        <f aca="false">SUM(U1631:AA1631)</f>
        <v>207.673</v>
      </c>
      <c r="AC1631" s="39" t="n">
        <f aca="false">AB1631/(1-Resumo!$B$5)</f>
        <v>235.992045454546</v>
      </c>
      <c r="AD1631" s="39" t="n">
        <f aca="false">(AB1631-AA1631)/(1-Resumo!$B$5)</f>
        <v>201.730681818182</v>
      </c>
      <c r="AE1631" s="39" t="n">
        <f aca="false">AC1631-T1631</f>
        <v>80.8542954545455</v>
      </c>
      <c r="AF1631" s="40" t="n">
        <f aca="false">AC1631/T1631-1</f>
        <v>0.521177440400841</v>
      </c>
      <c r="AG1631" s="37" t="str">
        <f aca="false">IF(AC1631&lt;T1631,"SIM","NÃO")</f>
        <v>NÃO</v>
      </c>
      <c r="AH1631" s="37" t="n">
        <v>13</v>
      </c>
      <c r="AI1631" s="37" t="n">
        <v>8</v>
      </c>
      <c r="AJ1631" s="37" t="s">
        <v>323</v>
      </c>
    </row>
    <row r="1632" customFormat="false" ht="15" hidden="false" customHeight="false" outlineLevel="0" collapsed="false">
      <c r="A1632" s="37" t="n">
        <v>390252699</v>
      </c>
      <c r="B1632" s="38" t="n">
        <v>46272.7945023148</v>
      </c>
      <c r="C1632" s="37" t="s">
        <v>325</v>
      </c>
      <c r="D1632" s="37" t="s">
        <v>1818</v>
      </c>
      <c r="E1632" s="37" t="n">
        <v>22790495</v>
      </c>
      <c r="F1632" s="37" t="s">
        <v>139</v>
      </c>
      <c r="G1632" s="37" t="s">
        <v>198</v>
      </c>
      <c r="H1632" s="37" t="s">
        <v>172</v>
      </c>
      <c r="I1632" s="37" t="n">
        <v>66.8</v>
      </c>
      <c r="J1632" s="39" t="n">
        <v>699.99</v>
      </c>
      <c r="K1632" s="37" t="s">
        <v>322</v>
      </c>
      <c r="L1632" s="39" t="n">
        <v>124.56</v>
      </c>
      <c r="M1632" s="39" t="n">
        <v>88.2</v>
      </c>
      <c r="N1632" s="39" t="n">
        <f aca="false">J1632*Resumo!$C$7</f>
        <v>1.39998</v>
      </c>
      <c r="O1632" s="39" t="n">
        <f aca="false">J1632*Resumo!$C$8</f>
        <v>1.39998</v>
      </c>
      <c r="P1632" s="39" t="n">
        <f aca="false">Resumo!$C$10*CEILING(I1632/100,1)</f>
        <v>1</v>
      </c>
      <c r="Q1632" s="39" t="n">
        <f aca="false">Resumo!$C$9</f>
        <v>11.9</v>
      </c>
      <c r="R1632" s="39" t="n">
        <f aca="false">SUM(M1632:Q1632)*Resumo!$C$11</f>
        <v>5.7144978</v>
      </c>
      <c r="S1632" s="39" t="n">
        <f aca="false">SUM(M1632:R1632)</f>
        <v>109.6144578</v>
      </c>
      <c r="T1632" s="39" t="n">
        <f aca="false">S1632/(1-Resumo!$C$5)</f>
        <v>124.561883863636</v>
      </c>
      <c r="U1632" s="39" t="n">
        <v>131.02</v>
      </c>
      <c r="V1632" s="39" t="n">
        <f aca="false">J1632*Resumo!$B$6</f>
        <v>0.69999</v>
      </c>
      <c r="W1632" s="39" t="n">
        <f aca="false">J1632*Resumo!$B$7</f>
        <v>1.39998</v>
      </c>
      <c r="X1632" s="39" t="n">
        <f aca="false">Resumo!$B$9</f>
        <v>1</v>
      </c>
      <c r="Y1632" s="39" t="n">
        <f aca="false">Resumo!$B$10*CEILING(I1632/100,1)</f>
        <v>4.5</v>
      </c>
      <c r="Z1632" s="39" t="n">
        <f aca="false">Resumo!$B$12*CEILING(I1632,1)</f>
        <v>4.02</v>
      </c>
      <c r="AA1632" s="39" t="n">
        <f aca="false">Resumo!$B$13*CEILING(I1632,1)</f>
        <v>30.15</v>
      </c>
      <c r="AB1632" s="39" t="n">
        <f aca="false">SUM(U1632:AA1632)</f>
        <v>172.78997</v>
      </c>
      <c r="AC1632" s="39" t="n">
        <f aca="false">AB1632/(1-Resumo!$B$5)</f>
        <v>196.352238636364</v>
      </c>
      <c r="AD1632" s="39" t="n">
        <f aca="false">(AB1632-AA1632)/(1-Resumo!$B$5)</f>
        <v>162.090875</v>
      </c>
      <c r="AE1632" s="39" t="n">
        <f aca="false">AC1632-T1632</f>
        <v>71.7903547727273</v>
      </c>
      <c r="AF1632" s="40" t="n">
        <f aca="false">AC1632/T1632-1</f>
        <v>0.576342879105132</v>
      </c>
      <c r="AG1632" s="37" t="str">
        <f aca="false">IF(AC1632&lt;T1632,"SIM","NÃO")</f>
        <v>NÃO</v>
      </c>
      <c r="AH1632" s="37" t="n">
        <v>8</v>
      </c>
      <c r="AI1632" s="37" t="n">
        <v>5</v>
      </c>
      <c r="AJ1632" s="37" t="s">
        <v>323</v>
      </c>
    </row>
    <row r="1633" customFormat="false" ht="15" hidden="false" customHeight="false" outlineLevel="0" collapsed="false">
      <c r="A1633" s="37" t="n">
        <v>390284917</v>
      </c>
      <c r="B1633" s="38" t="n">
        <v>46272.8297453704</v>
      </c>
      <c r="C1633" s="37" t="s">
        <v>325</v>
      </c>
      <c r="D1633" s="37" t="s">
        <v>1819</v>
      </c>
      <c r="E1633" s="37" t="n">
        <v>21832310</v>
      </c>
      <c r="F1633" s="37" t="s">
        <v>139</v>
      </c>
      <c r="G1633" s="37" t="s">
        <v>198</v>
      </c>
      <c r="H1633" s="37" t="s">
        <v>168</v>
      </c>
      <c r="I1633" s="37" t="n">
        <v>20.9</v>
      </c>
      <c r="J1633" s="39" t="n">
        <v>470.09</v>
      </c>
      <c r="K1633" s="37" t="s">
        <v>322</v>
      </c>
      <c r="L1633" s="39" t="n">
        <v>82.58</v>
      </c>
      <c r="M1633" s="39" t="n">
        <v>54.1</v>
      </c>
      <c r="N1633" s="39" t="n">
        <f aca="false">J1633*Resumo!$C$7</f>
        <v>0.94018</v>
      </c>
      <c r="O1633" s="39" t="n">
        <f aca="false">J1633*Resumo!$C$8</f>
        <v>0.94018</v>
      </c>
      <c r="P1633" s="39" t="n">
        <f aca="false">Resumo!$C$10*CEILING(I1633/100,1)</f>
        <v>1</v>
      </c>
      <c r="Q1633" s="39" t="n">
        <f aca="false">Resumo!$C$9</f>
        <v>11.9</v>
      </c>
      <c r="R1633" s="39" t="n">
        <f aca="false">SUM(M1633:Q1633)*Resumo!$C$11</f>
        <v>3.7884198</v>
      </c>
      <c r="S1633" s="39" t="n">
        <f aca="false">SUM(M1633:R1633)</f>
        <v>72.6687798</v>
      </c>
      <c r="T1633" s="39" t="n">
        <f aca="false">S1633/(1-Resumo!$C$5)</f>
        <v>82.5781588636364</v>
      </c>
      <c r="U1633" s="39" t="n">
        <v>82.21</v>
      </c>
      <c r="V1633" s="39" t="n">
        <f aca="false">J1633*Resumo!$B$6</f>
        <v>0.47009</v>
      </c>
      <c r="W1633" s="39" t="n">
        <f aca="false">J1633*Resumo!$B$7</f>
        <v>0.94018</v>
      </c>
      <c r="X1633" s="39" t="n">
        <f aca="false">Resumo!$B$9</f>
        <v>1</v>
      </c>
      <c r="Y1633" s="39" t="n">
        <f aca="false">Resumo!$B$10*CEILING(I1633/100,1)</f>
        <v>4.5</v>
      </c>
      <c r="Z1633" s="39" t="n">
        <f aca="false">Resumo!$B$12*CEILING(I1633,1)</f>
        <v>1.26</v>
      </c>
      <c r="AA1633" s="39" t="n">
        <f aca="false">Resumo!$B$13*CEILING(I1633,1)</f>
        <v>9.45</v>
      </c>
      <c r="AB1633" s="39" t="n">
        <f aca="false">SUM(U1633:AA1633)</f>
        <v>99.83027</v>
      </c>
      <c r="AC1633" s="39" t="n">
        <f aca="false">AB1633/(1-Resumo!$B$5)</f>
        <v>113.443488636364</v>
      </c>
      <c r="AD1633" s="39" t="n">
        <f aca="false">(AB1633-AA1633)/(1-Resumo!$B$5)</f>
        <v>102.704852272727</v>
      </c>
      <c r="AE1633" s="39" t="n">
        <f aca="false">AC1633-T1633</f>
        <v>30.8653297727273</v>
      </c>
      <c r="AF1633" s="40" t="n">
        <f aca="false">AC1633/T1633-1</f>
        <v>0.373771106034176</v>
      </c>
      <c r="AG1633" s="37" t="str">
        <f aca="false">IF(AC1633&lt;T1633,"SIM","NÃO")</f>
        <v>NÃO</v>
      </c>
      <c r="AH1633" s="37" t="n">
        <v>8</v>
      </c>
      <c r="AI1633" s="37" t="n">
        <v>5</v>
      </c>
      <c r="AJ1633" s="37" t="s">
        <v>323</v>
      </c>
    </row>
    <row r="1634" customFormat="false" ht="15" hidden="false" customHeight="false" outlineLevel="0" collapsed="false">
      <c r="A1634" s="37" t="n">
        <v>390606214</v>
      </c>
      <c r="B1634" s="38" t="n">
        <v>46273.4055324074</v>
      </c>
      <c r="C1634" s="37" t="s">
        <v>352</v>
      </c>
      <c r="D1634" s="37" t="s">
        <v>1820</v>
      </c>
      <c r="E1634" s="37" t="n">
        <v>23955385</v>
      </c>
      <c r="F1634" s="37" t="s">
        <v>149</v>
      </c>
      <c r="G1634" s="37" t="s">
        <v>201</v>
      </c>
      <c r="H1634" s="37" t="s">
        <v>169</v>
      </c>
      <c r="I1634" s="37" t="n">
        <v>40</v>
      </c>
      <c r="J1634" s="39" t="n">
        <v>495.99</v>
      </c>
      <c r="K1634" s="37" t="s">
        <v>322</v>
      </c>
      <c r="L1634" s="39" t="n">
        <v>122.63</v>
      </c>
      <c r="M1634" s="39" t="n">
        <v>87.4</v>
      </c>
      <c r="N1634" s="39" t="n">
        <f aca="false">J1634*Resumo!$C$7</f>
        <v>0.99198</v>
      </c>
      <c r="O1634" s="39" t="n">
        <f aca="false">J1634*Resumo!$C$8</f>
        <v>0.99198</v>
      </c>
      <c r="P1634" s="39" t="n">
        <f aca="false">Resumo!$C$10*CEILING(I1634/100,1)</f>
        <v>1</v>
      </c>
      <c r="Q1634" s="39" t="n">
        <f aca="false">Resumo!$C$9</f>
        <v>11.9</v>
      </c>
      <c r="R1634" s="39" t="n">
        <f aca="false">SUM(M1634:Q1634)*Resumo!$C$11</f>
        <v>5.6256178</v>
      </c>
      <c r="S1634" s="39" t="n">
        <f aca="false">SUM(M1634:R1634)</f>
        <v>107.9095778</v>
      </c>
      <c r="T1634" s="39" t="n">
        <f aca="false">S1634/(1-Resumo!$C$5)</f>
        <v>122.624520227273</v>
      </c>
      <c r="U1634" s="39" t="n">
        <v>124.38</v>
      </c>
      <c r="V1634" s="39" t="n">
        <f aca="false">J1634*Resumo!$B$6</f>
        <v>0.49599</v>
      </c>
      <c r="W1634" s="39" t="n">
        <f aca="false">J1634*Resumo!$B$7</f>
        <v>0.99198</v>
      </c>
      <c r="X1634" s="39" t="n">
        <f aca="false">Resumo!$B$9</f>
        <v>1</v>
      </c>
      <c r="Y1634" s="39" t="n">
        <f aca="false">Resumo!$B$10*CEILING(I1634/100,1)</f>
        <v>4.5</v>
      </c>
      <c r="Z1634" s="39" t="n">
        <f aca="false">Resumo!$B$12*CEILING(I1634,1)</f>
        <v>2.4</v>
      </c>
      <c r="AA1634" s="39" t="n">
        <f aca="false">Resumo!$B$13*CEILING(I1634,1)</f>
        <v>18</v>
      </c>
      <c r="AB1634" s="39" t="n">
        <f aca="false">SUM(U1634:AA1634)</f>
        <v>151.76797</v>
      </c>
      <c r="AC1634" s="39" t="n">
        <f aca="false">AB1634/(1-Resumo!$B$5)</f>
        <v>172.463602272727</v>
      </c>
      <c r="AD1634" s="39" t="n">
        <f aca="false">(AB1634-AA1634)/(1-Resumo!$B$5)</f>
        <v>152.009056818182</v>
      </c>
      <c r="AE1634" s="39" t="n">
        <f aca="false">AC1634-T1634</f>
        <v>49.8390820454545</v>
      </c>
      <c r="AF1634" s="40" t="n">
        <f aca="false">AC1634/T1634-1</f>
        <v>0.406436510031457</v>
      </c>
      <c r="AG1634" s="37" t="str">
        <f aca="false">IF(AC1634&lt;T1634,"SIM","NÃO")</f>
        <v>NÃO</v>
      </c>
      <c r="AH1634" s="37" t="n">
        <v>13</v>
      </c>
      <c r="AI1634" s="37" t="n">
        <v>10</v>
      </c>
      <c r="AJ1634" s="37" t="s">
        <v>323</v>
      </c>
    </row>
    <row r="1635" customFormat="false" ht="15" hidden="false" customHeight="false" outlineLevel="0" collapsed="false">
      <c r="A1635" s="37" t="n">
        <v>390689385</v>
      </c>
      <c r="B1635" s="38" t="n">
        <v>46273.4819560185</v>
      </c>
      <c r="C1635" s="37" t="s">
        <v>320</v>
      </c>
      <c r="D1635" s="37" t="s">
        <v>1821</v>
      </c>
      <c r="E1635" s="37" t="n">
        <v>22710125</v>
      </c>
      <c r="F1635" s="37" t="s">
        <v>139</v>
      </c>
      <c r="G1635" s="37" t="s">
        <v>198</v>
      </c>
      <c r="H1635" s="37" t="s">
        <v>168</v>
      </c>
      <c r="I1635" s="37" t="n">
        <v>24.4</v>
      </c>
      <c r="J1635" s="39" t="n">
        <v>301.43</v>
      </c>
      <c r="K1635" s="37" t="s">
        <v>322</v>
      </c>
      <c r="L1635" s="39" t="n">
        <v>81.76</v>
      </c>
      <c r="M1635" s="39" t="n">
        <v>54.1</v>
      </c>
      <c r="N1635" s="39" t="n">
        <f aca="false">J1635*Resumo!$C$7</f>
        <v>0.60286</v>
      </c>
      <c r="O1635" s="39" t="n">
        <f aca="false">J1635*Resumo!$C$8</f>
        <v>0.60286</v>
      </c>
      <c r="P1635" s="39" t="n">
        <f aca="false">Resumo!$C$10*CEILING(I1635/100,1)</f>
        <v>1</v>
      </c>
      <c r="Q1635" s="39" t="n">
        <f aca="false">Resumo!$C$9</f>
        <v>11.9</v>
      </c>
      <c r="R1635" s="39" t="n">
        <f aca="false">SUM(M1635:Q1635)*Resumo!$C$11</f>
        <v>3.7513146</v>
      </c>
      <c r="S1635" s="39" t="n">
        <f aca="false">SUM(M1635:R1635)</f>
        <v>71.9570346</v>
      </c>
      <c r="T1635" s="39" t="n">
        <f aca="false">S1635/(1-Resumo!$C$5)</f>
        <v>81.7693575</v>
      </c>
      <c r="U1635" s="39" t="n">
        <v>82.21</v>
      </c>
      <c r="V1635" s="39" t="n">
        <f aca="false">J1635*Resumo!$B$6</f>
        <v>0.30143</v>
      </c>
      <c r="W1635" s="39" t="n">
        <f aca="false">J1635*Resumo!$B$7</f>
        <v>0.60286</v>
      </c>
      <c r="X1635" s="39" t="n">
        <f aca="false">Resumo!$B$9</f>
        <v>1</v>
      </c>
      <c r="Y1635" s="39" t="n">
        <f aca="false">Resumo!$B$10*CEILING(I1635/100,1)</f>
        <v>4.5</v>
      </c>
      <c r="Z1635" s="39" t="n">
        <f aca="false">Resumo!$B$12*CEILING(I1635,1)</f>
        <v>1.5</v>
      </c>
      <c r="AA1635" s="39" t="n">
        <f aca="false">Resumo!$B$13*CEILING(I1635,1)</f>
        <v>11.25</v>
      </c>
      <c r="AB1635" s="39" t="n">
        <f aca="false">SUM(U1635:AA1635)</f>
        <v>101.36429</v>
      </c>
      <c r="AC1635" s="39" t="n">
        <f aca="false">AB1635/(1-Resumo!$B$5)</f>
        <v>115.186693181818</v>
      </c>
      <c r="AD1635" s="39" t="n">
        <f aca="false">(AB1635-AA1635)/(1-Resumo!$B$5)</f>
        <v>102.402602272727</v>
      </c>
      <c r="AE1635" s="39" t="n">
        <f aca="false">AC1635-T1635</f>
        <v>33.4173356818182</v>
      </c>
      <c r="AF1635" s="40" t="n">
        <f aca="false">AC1635/T1635-1</f>
        <v>0.408677977955473</v>
      </c>
      <c r="AG1635" s="37" t="str">
        <f aca="false">IF(AC1635&lt;T1635,"SIM","NÃO")</f>
        <v>NÃO</v>
      </c>
      <c r="AH1635" s="37" t="n">
        <v>8</v>
      </c>
      <c r="AI1635" s="37" t="n">
        <v>5</v>
      </c>
      <c r="AJ1635" s="37" t="s">
        <v>323</v>
      </c>
    </row>
    <row r="1636" customFormat="false" ht="15" hidden="false" customHeight="false" outlineLevel="0" collapsed="false">
      <c r="A1636" s="37" t="n">
        <v>390702280</v>
      </c>
      <c r="B1636" s="38" t="n">
        <v>46273.5085532407</v>
      </c>
      <c r="C1636" s="37" t="s">
        <v>325</v>
      </c>
      <c r="D1636" s="37" t="s">
        <v>1224</v>
      </c>
      <c r="E1636" s="37" t="n">
        <v>20211020</v>
      </c>
      <c r="F1636" s="37" t="s">
        <v>139</v>
      </c>
      <c r="G1636" s="37" t="s">
        <v>198</v>
      </c>
      <c r="H1636" s="37" t="s">
        <v>172</v>
      </c>
      <c r="I1636" s="37" t="n">
        <v>68.1</v>
      </c>
      <c r="J1636" s="39" t="n">
        <v>898</v>
      </c>
      <c r="K1636" s="37" t="s">
        <v>322</v>
      </c>
      <c r="L1636" s="39" t="n">
        <v>125.52</v>
      </c>
      <c r="M1636" s="39" t="n">
        <v>88.2</v>
      </c>
      <c r="N1636" s="39" t="n">
        <f aca="false">J1636*Resumo!$C$7</f>
        <v>1.796</v>
      </c>
      <c r="O1636" s="39" t="n">
        <f aca="false">J1636*Resumo!$C$8</f>
        <v>1.796</v>
      </c>
      <c r="P1636" s="39" t="n">
        <f aca="false">Resumo!$C$10*CEILING(I1636/100,1)</f>
        <v>1</v>
      </c>
      <c r="Q1636" s="39" t="n">
        <f aca="false">Resumo!$C$9</f>
        <v>11.9</v>
      </c>
      <c r="R1636" s="39" t="n">
        <f aca="false">SUM(M1636:Q1636)*Resumo!$C$11</f>
        <v>5.75806</v>
      </c>
      <c r="S1636" s="39" t="n">
        <f aca="false">SUM(M1636:R1636)</f>
        <v>110.45006</v>
      </c>
      <c r="T1636" s="39" t="n">
        <f aca="false">S1636/(1-Resumo!$C$5)</f>
        <v>125.511431818182</v>
      </c>
      <c r="U1636" s="39" t="n">
        <v>131.02</v>
      </c>
      <c r="V1636" s="39" t="n">
        <f aca="false">J1636*Resumo!$B$6</f>
        <v>0.898</v>
      </c>
      <c r="W1636" s="39" t="n">
        <f aca="false">J1636*Resumo!$B$7</f>
        <v>1.796</v>
      </c>
      <c r="X1636" s="39" t="n">
        <f aca="false">Resumo!$B$9</f>
        <v>1</v>
      </c>
      <c r="Y1636" s="39" t="n">
        <f aca="false">Resumo!$B$10*CEILING(I1636/100,1)</f>
        <v>4.5</v>
      </c>
      <c r="Z1636" s="39" t="n">
        <f aca="false">Resumo!$B$12*CEILING(I1636,1)</f>
        <v>4.14</v>
      </c>
      <c r="AA1636" s="39" t="n">
        <f aca="false">Resumo!$B$13*CEILING(I1636,1)</f>
        <v>31.05</v>
      </c>
      <c r="AB1636" s="39" t="n">
        <f aca="false">SUM(U1636:AA1636)</f>
        <v>174.404</v>
      </c>
      <c r="AC1636" s="39" t="n">
        <f aca="false">AB1636/(1-Resumo!$B$5)</f>
        <v>198.186363636364</v>
      </c>
      <c r="AD1636" s="39" t="n">
        <f aca="false">(AB1636-AA1636)/(1-Resumo!$B$5)</f>
        <v>162.902272727273</v>
      </c>
      <c r="AE1636" s="39" t="n">
        <f aca="false">AC1636-T1636</f>
        <v>72.6749318181818</v>
      </c>
      <c r="AF1636" s="40" t="n">
        <f aca="false">AC1636/T1636-1</f>
        <v>0.579030378073131</v>
      </c>
      <c r="AG1636" s="37" t="str">
        <f aca="false">IF(AC1636&lt;T1636,"SIM","NÃO")</f>
        <v>NÃO</v>
      </c>
      <c r="AH1636" s="37" t="n">
        <v>8</v>
      </c>
      <c r="AI1636" s="37" t="n">
        <v>5</v>
      </c>
      <c r="AJ1636" s="37" t="s">
        <v>323</v>
      </c>
    </row>
    <row r="1637" customFormat="false" ht="15" hidden="false" customHeight="false" outlineLevel="0" collapsed="false">
      <c r="A1637" s="37" t="n">
        <v>390765534</v>
      </c>
      <c r="B1637" s="38" t="n">
        <v>46273.5942592593</v>
      </c>
      <c r="C1637" s="37" t="s">
        <v>325</v>
      </c>
      <c r="D1637" s="37" t="s">
        <v>1822</v>
      </c>
      <c r="E1637" s="37" t="n">
        <v>22251050</v>
      </c>
      <c r="F1637" s="37" t="s">
        <v>139</v>
      </c>
      <c r="G1637" s="37" t="s">
        <v>198</v>
      </c>
      <c r="H1637" s="37" t="s">
        <v>168</v>
      </c>
      <c r="I1637" s="37" t="n">
        <v>27.4</v>
      </c>
      <c r="J1637" s="39" t="n">
        <v>307.67</v>
      </c>
      <c r="K1637" s="37" t="s">
        <v>322</v>
      </c>
      <c r="L1637" s="39" t="n">
        <v>81.81</v>
      </c>
      <c r="M1637" s="39" t="n">
        <v>54.1</v>
      </c>
      <c r="N1637" s="39" t="n">
        <f aca="false">J1637*Resumo!$C$7</f>
        <v>0.61534</v>
      </c>
      <c r="O1637" s="39" t="n">
        <f aca="false">J1637*Resumo!$C$8</f>
        <v>0.61534</v>
      </c>
      <c r="P1637" s="39" t="n">
        <f aca="false">Resumo!$C$10*CEILING(I1637/100,1)</f>
        <v>1</v>
      </c>
      <c r="Q1637" s="39" t="n">
        <f aca="false">Resumo!$C$9</f>
        <v>11.9</v>
      </c>
      <c r="R1637" s="39" t="n">
        <f aca="false">SUM(M1637:Q1637)*Resumo!$C$11</f>
        <v>3.7526874</v>
      </c>
      <c r="S1637" s="39" t="n">
        <f aca="false">SUM(M1637:R1637)</f>
        <v>71.9833674</v>
      </c>
      <c r="T1637" s="39" t="n">
        <f aca="false">S1637/(1-Resumo!$C$5)</f>
        <v>81.7992811363637</v>
      </c>
      <c r="U1637" s="39" t="n">
        <v>82.21</v>
      </c>
      <c r="V1637" s="39" t="n">
        <f aca="false">J1637*Resumo!$B$6</f>
        <v>0.30767</v>
      </c>
      <c r="W1637" s="39" t="n">
        <f aca="false">J1637*Resumo!$B$7</f>
        <v>0.61534</v>
      </c>
      <c r="X1637" s="39" t="n">
        <f aca="false">Resumo!$B$9</f>
        <v>1</v>
      </c>
      <c r="Y1637" s="39" t="n">
        <f aca="false">Resumo!$B$10*CEILING(I1637/100,1)</f>
        <v>4.5</v>
      </c>
      <c r="Z1637" s="39" t="n">
        <f aca="false">Resumo!$B$12*CEILING(I1637,1)</f>
        <v>1.68</v>
      </c>
      <c r="AA1637" s="39" t="n">
        <f aca="false">Resumo!$B$13*CEILING(I1637,1)</f>
        <v>12.6</v>
      </c>
      <c r="AB1637" s="39" t="n">
        <f aca="false">SUM(U1637:AA1637)</f>
        <v>102.91301</v>
      </c>
      <c r="AC1637" s="39" t="n">
        <f aca="false">AB1637/(1-Resumo!$B$5)</f>
        <v>116.946602272727</v>
      </c>
      <c r="AD1637" s="39" t="n">
        <f aca="false">(AB1637-AA1637)/(1-Resumo!$B$5)</f>
        <v>102.628420454545</v>
      </c>
      <c r="AE1637" s="39" t="n">
        <f aca="false">AC1637-T1637</f>
        <v>35.1473211363636</v>
      </c>
      <c r="AF1637" s="40" t="n">
        <f aca="false">AC1637/T1637-1</f>
        <v>0.429677628557288</v>
      </c>
      <c r="AG1637" s="37" t="str">
        <f aca="false">IF(AC1637&lt;T1637,"SIM","NÃO")</f>
        <v>NÃO</v>
      </c>
      <c r="AH1637" s="37" t="n">
        <v>8</v>
      </c>
      <c r="AI1637" s="37" t="n">
        <v>5</v>
      </c>
      <c r="AJ1637" s="37" t="s">
        <v>323</v>
      </c>
    </row>
    <row r="1638" customFormat="false" ht="15" hidden="false" customHeight="false" outlineLevel="0" collapsed="false">
      <c r="A1638" s="37" t="n">
        <v>390836750</v>
      </c>
      <c r="B1638" s="38" t="n">
        <v>46273.6726967593</v>
      </c>
      <c r="C1638" s="37" t="s">
        <v>325</v>
      </c>
      <c r="D1638" s="37" t="s">
        <v>1823</v>
      </c>
      <c r="E1638" s="37" t="n">
        <v>23035090</v>
      </c>
      <c r="F1638" s="37" t="s">
        <v>139</v>
      </c>
      <c r="G1638" s="37" t="s">
        <v>198</v>
      </c>
      <c r="H1638" s="37" t="s">
        <v>168</v>
      </c>
      <c r="I1638" s="37" t="n">
        <v>31.9</v>
      </c>
      <c r="J1638" s="39" t="n">
        <v>560.99</v>
      </c>
      <c r="K1638" s="37" t="s">
        <v>322</v>
      </c>
      <c r="L1638" s="39" t="n">
        <v>83.01</v>
      </c>
      <c r="M1638" s="39" t="n">
        <v>54.1</v>
      </c>
      <c r="N1638" s="39" t="n">
        <f aca="false">J1638*Resumo!$C$7</f>
        <v>1.12198</v>
      </c>
      <c r="O1638" s="39" t="n">
        <f aca="false">J1638*Resumo!$C$8</f>
        <v>1.12198</v>
      </c>
      <c r="P1638" s="39" t="n">
        <f aca="false">Resumo!$C$10*CEILING(I1638/100,1)</f>
        <v>1</v>
      </c>
      <c r="Q1638" s="39" t="n">
        <f aca="false">Resumo!$C$9</f>
        <v>11.9</v>
      </c>
      <c r="R1638" s="39" t="n">
        <f aca="false">SUM(M1638:Q1638)*Resumo!$C$11</f>
        <v>3.8084178</v>
      </c>
      <c r="S1638" s="39" t="n">
        <f aca="false">SUM(M1638:R1638)</f>
        <v>73.0523778</v>
      </c>
      <c r="T1638" s="39" t="n">
        <f aca="false">S1638/(1-Resumo!$C$5)</f>
        <v>83.0140656818182</v>
      </c>
      <c r="U1638" s="39" t="n">
        <v>82.21</v>
      </c>
      <c r="V1638" s="39" t="n">
        <f aca="false">J1638*Resumo!$B$6</f>
        <v>0.56099</v>
      </c>
      <c r="W1638" s="39" t="n">
        <f aca="false">J1638*Resumo!$B$7</f>
        <v>1.12198</v>
      </c>
      <c r="X1638" s="39" t="n">
        <f aca="false">Resumo!$B$9</f>
        <v>1</v>
      </c>
      <c r="Y1638" s="39" t="n">
        <f aca="false">Resumo!$B$10*CEILING(I1638/100,1)</f>
        <v>4.5</v>
      </c>
      <c r="Z1638" s="39" t="n">
        <f aca="false">Resumo!$B$12*CEILING(I1638,1)</f>
        <v>1.92</v>
      </c>
      <c r="AA1638" s="39" t="n">
        <f aca="false">Resumo!$B$13*CEILING(I1638,1)</f>
        <v>14.4</v>
      </c>
      <c r="AB1638" s="39" t="n">
        <f aca="false">SUM(U1638:AA1638)</f>
        <v>105.71297</v>
      </c>
      <c r="AC1638" s="39" t="n">
        <f aca="false">AB1638/(1-Resumo!$B$5)</f>
        <v>120.128375</v>
      </c>
      <c r="AD1638" s="39" t="n">
        <f aca="false">(AB1638-AA1638)/(1-Resumo!$B$5)</f>
        <v>103.764738636364</v>
      </c>
      <c r="AE1638" s="39" t="n">
        <f aca="false">AC1638-T1638</f>
        <v>37.1143093181818</v>
      </c>
      <c r="AF1638" s="40" t="n">
        <f aca="false">AC1638/T1638-1</f>
        <v>0.447084587573821</v>
      </c>
      <c r="AG1638" s="37" t="str">
        <f aca="false">IF(AC1638&lt;T1638,"SIM","NÃO")</f>
        <v>NÃO</v>
      </c>
      <c r="AH1638" s="37" t="n">
        <v>8</v>
      </c>
      <c r="AI1638" s="37" t="n">
        <v>5</v>
      </c>
      <c r="AJ1638" s="37" t="s">
        <v>323</v>
      </c>
    </row>
    <row r="1639" customFormat="false" ht="15" hidden="false" customHeight="false" outlineLevel="0" collapsed="false">
      <c r="A1639" s="37" t="n">
        <v>390878415</v>
      </c>
      <c r="B1639" s="38" t="n">
        <v>46273.7184259259</v>
      </c>
      <c r="C1639" s="37" t="s">
        <v>320</v>
      </c>
      <c r="D1639" s="37" t="s">
        <v>1824</v>
      </c>
      <c r="E1639" s="37" t="n">
        <v>24140590</v>
      </c>
      <c r="F1639" s="37" t="s">
        <v>143</v>
      </c>
      <c r="G1639" s="37" t="s">
        <v>207</v>
      </c>
      <c r="H1639" s="37" t="s">
        <v>172</v>
      </c>
      <c r="I1639" s="37" t="n">
        <v>63.9</v>
      </c>
      <c r="J1639" s="39" t="n">
        <v>716.35</v>
      </c>
      <c r="K1639" s="37" t="s">
        <v>322</v>
      </c>
      <c r="L1639" s="39" t="n">
        <v>139.86</v>
      </c>
      <c r="M1639" s="39" t="n">
        <v>100.9</v>
      </c>
      <c r="N1639" s="39" t="n">
        <f aca="false">J1639*Resumo!$C$7</f>
        <v>1.4327</v>
      </c>
      <c r="O1639" s="39" t="n">
        <f aca="false">J1639*Resumo!$C$8</f>
        <v>1.4327</v>
      </c>
      <c r="P1639" s="39" t="n">
        <f aca="false">Resumo!$C$10*CEILING(I1639/100,1)</f>
        <v>1</v>
      </c>
      <c r="Q1639" s="39" t="n">
        <f aca="false">Resumo!$C$9</f>
        <v>11.9</v>
      </c>
      <c r="R1639" s="39" t="n">
        <f aca="false">SUM(M1639:Q1639)*Resumo!$C$11</f>
        <v>6.416597</v>
      </c>
      <c r="S1639" s="39" t="n">
        <f aca="false">SUM(M1639:R1639)</f>
        <v>123.081997</v>
      </c>
      <c r="T1639" s="39" t="n">
        <f aca="false">S1639/(1-Resumo!$C$5)</f>
        <v>139.865905681818</v>
      </c>
      <c r="U1639" s="39" t="n">
        <v>149.5</v>
      </c>
      <c r="V1639" s="39" t="n">
        <f aca="false">J1639*Resumo!$B$6</f>
        <v>0.71635</v>
      </c>
      <c r="W1639" s="39" t="n">
        <f aca="false">J1639*Resumo!$B$7</f>
        <v>1.4327</v>
      </c>
      <c r="X1639" s="39" t="n">
        <f aca="false">Resumo!$B$9</f>
        <v>1</v>
      </c>
      <c r="Y1639" s="39" t="n">
        <f aca="false">Resumo!$B$10*CEILING(I1639/100,1)</f>
        <v>4.5</v>
      </c>
      <c r="Z1639" s="39" t="n">
        <f aca="false">Resumo!$B$12*CEILING(I1639,1)</f>
        <v>3.84</v>
      </c>
      <c r="AA1639" s="39" t="n">
        <f aca="false">Resumo!$B$13*CEILING(I1639,1)</f>
        <v>28.8</v>
      </c>
      <c r="AB1639" s="39" t="n">
        <f aca="false">SUM(U1639:AA1639)</f>
        <v>189.78905</v>
      </c>
      <c r="AC1639" s="39" t="n">
        <f aca="false">AB1639/(1-Resumo!$B$5)</f>
        <v>215.669375</v>
      </c>
      <c r="AD1639" s="39" t="n">
        <f aca="false">(AB1639-AA1639)/(1-Resumo!$B$5)</f>
        <v>182.942102272727</v>
      </c>
      <c r="AE1639" s="39" t="n">
        <f aca="false">AC1639-T1639</f>
        <v>75.8034693181818</v>
      </c>
      <c r="AF1639" s="40" t="n">
        <f aca="false">AC1639/T1639-1</f>
        <v>0.541972462471502</v>
      </c>
      <c r="AG1639" s="37" t="str">
        <f aca="false">IF(AC1639&lt;T1639,"SIM","NÃO")</f>
        <v>NÃO</v>
      </c>
      <c r="AH1639" s="37" t="n">
        <v>10</v>
      </c>
      <c r="AI1639" s="37" t="n">
        <v>7</v>
      </c>
      <c r="AJ1639" s="37" t="s">
        <v>323</v>
      </c>
    </row>
    <row r="1640" customFormat="false" ht="15" hidden="false" customHeight="false" outlineLevel="0" collapsed="false">
      <c r="A1640" s="37" t="n">
        <v>390968030</v>
      </c>
      <c r="B1640" s="38" t="n">
        <v>46273.8181828704</v>
      </c>
      <c r="C1640" s="37" t="s">
        <v>320</v>
      </c>
      <c r="D1640" s="37" t="s">
        <v>1825</v>
      </c>
      <c r="E1640" s="37" t="n">
        <v>23075640</v>
      </c>
      <c r="F1640" s="37" t="s">
        <v>139</v>
      </c>
      <c r="G1640" s="37" t="s">
        <v>198</v>
      </c>
      <c r="H1640" s="37" t="s">
        <v>170</v>
      </c>
      <c r="I1640" s="37" t="n">
        <v>43.5</v>
      </c>
      <c r="J1640" s="39" t="n">
        <v>749.99</v>
      </c>
      <c r="K1640" s="37" t="s">
        <v>322</v>
      </c>
      <c r="L1640" s="39" t="n">
        <v>104.18</v>
      </c>
      <c r="M1640" s="39" t="n">
        <v>71</v>
      </c>
      <c r="N1640" s="39" t="n">
        <f aca="false">J1640*Resumo!$C$7</f>
        <v>1.49998</v>
      </c>
      <c r="O1640" s="39" t="n">
        <f aca="false">J1640*Resumo!$C$8</f>
        <v>1.49998</v>
      </c>
      <c r="P1640" s="39" t="n">
        <f aca="false">Resumo!$C$10*CEILING(I1640/100,1)</f>
        <v>1</v>
      </c>
      <c r="Q1640" s="39" t="n">
        <f aca="false">Resumo!$C$9</f>
        <v>11.9</v>
      </c>
      <c r="R1640" s="39" t="n">
        <f aca="false">SUM(M1640:Q1640)*Resumo!$C$11</f>
        <v>4.7794978</v>
      </c>
      <c r="S1640" s="39" t="n">
        <f aca="false">SUM(M1640:R1640)</f>
        <v>91.6794578</v>
      </c>
      <c r="T1640" s="39" t="n">
        <f aca="false">S1640/(1-Resumo!$C$5)</f>
        <v>104.181202045455</v>
      </c>
      <c r="U1640" s="39" t="n">
        <v>93.97</v>
      </c>
      <c r="V1640" s="39" t="n">
        <f aca="false">J1640*Resumo!$B$6</f>
        <v>0.74999</v>
      </c>
      <c r="W1640" s="39" t="n">
        <f aca="false">J1640*Resumo!$B$7</f>
        <v>1.49998</v>
      </c>
      <c r="X1640" s="39" t="n">
        <f aca="false">Resumo!$B$9</f>
        <v>1</v>
      </c>
      <c r="Y1640" s="39" t="n">
        <f aca="false">Resumo!$B$10*CEILING(I1640/100,1)</f>
        <v>4.5</v>
      </c>
      <c r="Z1640" s="39" t="n">
        <f aca="false">Resumo!$B$12*CEILING(I1640,1)</f>
        <v>2.64</v>
      </c>
      <c r="AA1640" s="39" t="n">
        <f aca="false">Resumo!$B$13*CEILING(I1640,1)</f>
        <v>19.8</v>
      </c>
      <c r="AB1640" s="39" t="n">
        <f aca="false">SUM(U1640:AA1640)</f>
        <v>124.15997</v>
      </c>
      <c r="AC1640" s="39" t="n">
        <f aca="false">AB1640/(1-Resumo!$B$5)</f>
        <v>141.090875</v>
      </c>
      <c r="AD1640" s="39" t="n">
        <f aca="false">(AB1640-AA1640)/(1-Resumo!$B$5)</f>
        <v>118.590875</v>
      </c>
      <c r="AE1640" s="39" t="n">
        <f aca="false">AC1640-T1640</f>
        <v>36.9096729545455</v>
      </c>
      <c r="AF1640" s="40" t="n">
        <f aca="false">AC1640/T1640-1</f>
        <v>0.354283423783512</v>
      </c>
      <c r="AG1640" s="37" t="str">
        <f aca="false">IF(AC1640&lt;T1640,"SIM","NÃO")</f>
        <v>NÃO</v>
      </c>
      <c r="AH1640" s="37" t="n">
        <v>8</v>
      </c>
      <c r="AI1640" s="37" t="n">
        <v>5</v>
      </c>
      <c r="AJ1640" s="37" t="s">
        <v>323</v>
      </c>
    </row>
    <row r="1641" customFormat="false" ht="15" hidden="false" customHeight="false" outlineLevel="0" collapsed="false">
      <c r="A1641" s="37" t="n">
        <v>390978986</v>
      </c>
      <c r="B1641" s="38" t="n">
        <v>46273.836875</v>
      </c>
      <c r="C1641" s="37" t="s">
        <v>352</v>
      </c>
      <c r="D1641" s="37" t="s">
        <v>1826</v>
      </c>
      <c r="E1641" s="37" t="n">
        <v>28960289</v>
      </c>
      <c r="F1641" s="37" t="s">
        <v>280</v>
      </c>
      <c r="G1641" s="37" t="s">
        <v>201</v>
      </c>
      <c r="H1641" s="37" t="s">
        <v>168</v>
      </c>
      <c r="I1641" s="37" t="n">
        <v>22.4</v>
      </c>
      <c r="J1641" s="39" t="n">
        <v>592.48</v>
      </c>
      <c r="K1641" s="37" t="s">
        <v>322</v>
      </c>
      <c r="L1641" s="39" t="n">
        <v>110.01</v>
      </c>
      <c r="M1641" s="39" t="n">
        <v>76.5</v>
      </c>
      <c r="N1641" s="39" t="n">
        <f aca="false">J1641*Resumo!$C$7</f>
        <v>1.18496</v>
      </c>
      <c r="O1641" s="39" t="n">
        <f aca="false">J1641*Resumo!$C$8</f>
        <v>1.18496</v>
      </c>
      <c r="P1641" s="39" t="n">
        <f aca="false">Resumo!$C$10*CEILING(I1641/100,1)</f>
        <v>1</v>
      </c>
      <c r="Q1641" s="39" t="n">
        <f aca="false">Resumo!$C$9</f>
        <v>11.9</v>
      </c>
      <c r="R1641" s="39" t="n">
        <f aca="false">SUM(M1641:Q1641)*Resumo!$C$11</f>
        <v>5.0473456</v>
      </c>
      <c r="S1641" s="39" t="n">
        <f aca="false">SUM(M1641:R1641)</f>
        <v>96.8172656</v>
      </c>
      <c r="T1641" s="39" t="n">
        <f aca="false">S1641/(1-Resumo!$C$5)</f>
        <v>110.01962</v>
      </c>
      <c r="U1641" s="39" t="n">
        <v>114.95</v>
      </c>
      <c r="V1641" s="39" t="n">
        <f aca="false">J1641*Resumo!$B$6</f>
        <v>0.59248</v>
      </c>
      <c r="W1641" s="39" t="n">
        <f aca="false">J1641*Resumo!$B$7</f>
        <v>1.18496</v>
      </c>
      <c r="X1641" s="39" t="n">
        <f aca="false">Resumo!$B$9</f>
        <v>1</v>
      </c>
      <c r="Y1641" s="39" t="n">
        <f aca="false">Resumo!$B$10*CEILING(I1641/100,1)</f>
        <v>4.5</v>
      </c>
      <c r="Z1641" s="39" t="n">
        <f aca="false">Resumo!$B$12*CEILING(I1641,1)</f>
        <v>1.38</v>
      </c>
      <c r="AA1641" s="39" t="n">
        <f aca="false">Resumo!$B$13*CEILING(I1641,1)</f>
        <v>10.35</v>
      </c>
      <c r="AB1641" s="39" t="n">
        <f aca="false">SUM(U1641:AA1641)</f>
        <v>133.95744</v>
      </c>
      <c r="AC1641" s="39" t="n">
        <f aca="false">AB1641/(1-Resumo!$B$5)</f>
        <v>152.224363636364</v>
      </c>
      <c r="AD1641" s="39" t="n">
        <f aca="false">(AB1641-AA1641)/(1-Resumo!$B$5)</f>
        <v>140.463</v>
      </c>
      <c r="AE1641" s="39" t="n">
        <f aca="false">AC1641-T1641</f>
        <v>42.2047436363636</v>
      </c>
      <c r="AF1641" s="40" t="n">
        <f aca="false">AC1641/T1641-1</f>
        <v>0.383611065338742</v>
      </c>
      <c r="AG1641" s="37" t="str">
        <f aca="false">IF(AC1641&lt;T1641,"SIM","NÃO")</f>
        <v>NÃO</v>
      </c>
      <c r="AH1641" s="37" t="n">
        <v>13</v>
      </c>
      <c r="AI1641" s="37" t="n">
        <v>10</v>
      </c>
      <c r="AJ1641" s="37" t="s">
        <v>327</v>
      </c>
    </row>
    <row r="1642" customFormat="false" ht="15" hidden="false" customHeight="false" outlineLevel="0" collapsed="false">
      <c r="A1642" s="37" t="n">
        <v>391014865</v>
      </c>
      <c r="B1642" s="38" t="n">
        <v>46273.8774884259</v>
      </c>
      <c r="C1642" s="37" t="s">
        <v>320</v>
      </c>
      <c r="D1642" s="37" t="s">
        <v>1827</v>
      </c>
      <c r="E1642" s="37" t="n">
        <v>28620310</v>
      </c>
      <c r="F1642" s="37" t="s">
        <v>157</v>
      </c>
      <c r="G1642" s="37" t="s">
        <v>201</v>
      </c>
      <c r="H1642" s="37" t="s">
        <v>170</v>
      </c>
      <c r="I1642" s="37" t="n">
        <v>45.3</v>
      </c>
      <c r="J1642" s="39" t="n">
        <v>630.04</v>
      </c>
      <c r="K1642" s="37" t="s">
        <v>322</v>
      </c>
      <c r="L1642" s="39" t="n">
        <v>131.18</v>
      </c>
      <c r="M1642" s="39" t="n">
        <v>94</v>
      </c>
      <c r="N1642" s="39" t="n">
        <f aca="false">J1642*Resumo!$C$7</f>
        <v>1.26008</v>
      </c>
      <c r="O1642" s="39" t="n">
        <f aca="false">J1642*Resumo!$C$8</f>
        <v>1.26008</v>
      </c>
      <c r="P1642" s="39" t="n">
        <f aca="false">Resumo!$C$10*CEILING(I1642/100,1)</f>
        <v>1</v>
      </c>
      <c r="Q1642" s="39" t="n">
        <f aca="false">Resumo!$C$9</f>
        <v>11.9</v>
      </c>
      <c r="R1642" s="39" t="n">
        <f aca="false">SUM(M1642:Q1642)*Resumo!$C$11</f>
        <v>6.0181088</v>
      </c>
      <c r="S1642" s="39" t="n">
        <f aca="false">SUM(M1642:R1642)</f>
        <v>115.4382688</v>
      </c>
      <c r="T1642" s="39" t="n">
        <f aca="false">S1642/(1-Resumo!$C$5)</f>
        <v>131.179850909091</v>
      </c>
      <c r="U1642" s="39" t="n">
        <v>135.03</v>
      </c>
      <c r="V1642" s="39" t="n">
        <f aca="false">J1642*Resumo!$B$6</f>
        <v>0.63004</v>
      </c>
      <c r="W1642" s="39" t="n">
        <f aca="false">J1642*Resumo!$B$7</f>
        <v>1.26008</v>
      </c>
      <c r="X1642" s="39" t="n">
        <f aca="false">Resumo!$B$9</f>
        <v>1</v>
      </c>
      <c r="Y1642" s="39" t="n">
        <f aca="false">Resumo!$B$10*CEILING(I1642/100,1)</f>
        <v>4.5</v>
      </c>
      <c r="Z1642" s="39" t="n">
        <f aca="false">Resumo!$B$12*CEILING(I1642,1)</f>
        <v>2.76</v>
      </c>
      <c r="AA1642" s="39" t="n">
        <f aca="false">Resumo!$B$13*CEILING(I1642,1)</f>
        <v>20.7</v>
      </c>
      <c r="AB1642" s="39" t="n">
        <f aca="false">SUM(U1642:AA1642)</f>
        <v>165.88012</v>
      </c>
      <c r="AC1642" s="39" t="n">
        <f aca="false">AB1642/(1-Resumo!$B$5)</f>
        <v>188.500136363636</v>
      </c>
      <c r="AD1642" s="39" t="n">
        <f aca="false">(AB1642-AA1642)/(1-Resumo!$B$5)</f>
        <v>164.977409090909</v>
      </c>
      <c r="AE1642" s="39" t="n">
        <f aca="false">AC1642-T1642</f>
        <v>57.3202854545454</v>
      </c>
      <c r="AF1642" s="40" t="n">
        <f aca="false">AC1642/T1642-1</f>
        <v>0.436959525851794</v>
      </c>
      <c r="AG1642" s="37" t="str">
        <f aca="false">IF(AC1642&lt;T1642,"SIM","NÃO")</f>
        <v>NÃO</v>
      </c>
      <c r="AH1642" s="37" t="n">
        <v>13</v>
      </c>
      <c r="AI1642" s="37" t="n">
        <v>10</v>
      </c>
      <c r="AJ1642" s="37" t="s">
        <v>323</v>
      </c>
    </row>
    <row r="1643" customFormat="false" ht="15" hidden="false" customHeight="false" outlineLevel="0" collapsed="false">
      <c r="A1643" s="37" t="n">
        <v>391042779</v>
      </c>
      <c r="B1643" s="38" t="n">
        <v>46273.9085648148</v>
      </c>
      <c r="C1643" s="37" t="s">
        <v>320</v>
      </c>
      <c r="D1643" s="37" t="s">
        <v>663</v>
      </c>
      <c r="E1643" s="37" t="n">
        <v>28300000</v>
      </c>
      <c r="F1643" s="37" t="s">
        <v>248</v>
      </c>
      <c r="G1643" s="37" t="s">
        <v>201</v>
      </c>
      <c r="H1643" s="37" t="s">
        <v>168</v>
      </c>
      <c r="I1643" s="37" t="n">
        <v>27.4</v>
      </c>
      <c r="J1643" s="39" t="n">
        <v>349.99</v>
      </c>
      <c r="K1643" s="37" t="s">
        <v>322</v>
      </c>
      <c r="L1643" s="39" t="n">
        <v>108.85</v>
      </c>
      <c r="M1643" s="39" t="n">
        <v>76.5</v>
      </c>
      <c r="N1643" s="39" t="n">
        <f aca="false">J1643*Resumo!$C$7</f>
        <v>0.69998</v>
      </c>
      <c r="O1643" s="39" t="n">
        <f aca="false">J1643*Resumo!$C$8</f>
        <v>0.69998</v>
      </c>
      <c r="P1643" s="39" t="n">
        <f aca="false">Resumo!$C$10*CEILING(I1643/100,1)</f>
        <v>1</v>
      </c>
      <c r="Q1643" s="39" t="n">
        <f aca="false">Resumo!$C$9</f>
        <v>11.9</v>
      </c>
      <c r="R1643" s="39" t="n">
        <f aca="false">SUM(M1643:Q1643)*Resumo!$C$11</f>
        <v>4.9939978</v>
      </c>
      <c r="S1643" s="39" t="n">
        <f aca="false">SUM(M1643:R1643)</f>
        <v>95.7939578</v>
      </c>
      <c r="T1643" s="39" t="n">
        <f aca="false">S1643/(1-Resumo!$C$5)</f>
        <v>108.856770227273</v>
      </c>
      <c r="U1643" s="39" t="n">
        <v>138.29</v>
      </c>
      <c r="V1643" s="39" t="n">
        <f aca="false">J1643*Resumo!$B$6</f>
        <v>0.34999</v>
      </c>
      <c r="W1643" s="39" t="n">
        <f aca="false">J1643*Resumo!$B$7</f>
        <v>0.69998</v>
      </c>
      <c r="X1643" s="39" t="n">
        <f aca="false">Resumo!$B$9</f>
        <v>1</v>
      </c>
      <c r="Y1643" s="39" t="n">
        <f aca="false">Resumo!$B$10*CEILING(I1643/100,1)</f>
        <v>4.5</v>
      </c>
      <c r="Z1643" s="39" t="n">
        <f aca="false">Resumo!$B$12*CEILING(I1643,1)</f>
        <v>1.68</v>
      </c>
      <c r="AA1643" s="39" t="n">
        <f aca="false">Resumo!$B$13*CEILING(I1643,1)</f>
        <v>12.6</v>
      </c>
      <c r="AB1643" s="39" t="n">
        <f aca="false">SUM(U1643:AA1643)</f>
        <v>159.11997</v>
      </c>
      <c r="AC1643" s="39" t="n">
        <f aca="false">AB1643/(1-Resumo!$B$5)</f>
        <v>180.818147727273</v>
      </c>
      <c r="AD1643" s="39" t="n">
        <f aca="false">(AB1643-AA1643)/(1-Resumo!$B$5)</f>
        <v>166.499965909091</v>
      </c>
      <c r="AE1643" s="39" t="n">
        <f aca="false">AC1643-T1643</f>
        <v>71.9613775</v>
      </c>
      <c r="AF1643" s="40" t="n">
        <f aca="false">AC1643/T1643-1</f>
        <v>0.661064785862726</v>
      </c>
      <c r="AG1643" s="37" t="str">
        <f aca="false">IF(AC1643&lt;T1643,"SIM","NÃO")</f>
        <v>NÃO</v>
      </c>
      <c r="AH1643" s="37" t="n">
        <v>13</v>
      </c>
      <c r="AI1643" s="37" t="n">
        <v>11</v>
      </c>
      <c r="AJ1643" s="37" t="s">
        <v>327</v>
      </c>
    </row>
    <row r="1644" customFormat="false" ht="15" hidden="false" customHeight="false" outlineLevel="0" collapsed="false">
      <c r="A1644" s="37" t="n">
        <v>391087531</v>
      </c>
      <c r="B1644" s="38" t="n">
        <v>46273.9715856482</v>
      </c>
      <c r="C1644" s="37" t="s">
        <v>359</v>
      </c>
      <c r="D1644" s="37" t="s">
        <v>1828</v>
      </c>
      <c r="E1644" s="37" t="n">
        <v>21231020</v>
      </c>
      <c r="F1644" s="37" t="s">
        <v>139</v>
      </c>
      <c r="G1644" s="37" t="s">
        <v>198</v>
      </c>
      <c r="H1644" s="37" t="s">
        <v>174</v>
      </c>
      <c r="I1644" s="37" t="n">
        <v>94.9</v>
      </c>
      <c r="J1644" s="39" t="n">
        <v>1399.98</v>
      </c>
      <c r="K1644" s="37" t="s">
        <v>322</v>
      </c>
      <c r="L1644" s="39" t="n">
        <v>165.81</v>
      </c>
      <c r="M1644" s="39" t="n">
        <v>119.8</v>
      </c>
      <c r="N1644" s="39" t="n">
        <f aca="false">J1644*Resumo!$C$7</f>
        <v>2.79996</v>
      </c>
      <c r="O1644" s="39" t="n">
        <f aca="false">J1644*Resumo!$C$8</f>
        <v>2.79996</v>
      </c>
      <c r="P1644" s="39" t="n">
        <f aca="false">Resumo!$C$10*CEILING(I1644/100,1)</f>
        <v>1</v>
      </c>
      <c r="Q1644" s="39" t="n">
        <f aca="false">Resumo!$C$9</f>
        <v>11.9</v>
      </c>
      <c r="R1644" s="39" t="n">
        <f aca="false">SUM(M1644:Q1644)*Resumo!$C$11</f>
        <v>7.6064956</v>
      </c>
      <c r="S1644" s="39" t="n">
        <f aca="false">SUM(M1644:R1644)</f>
        <v>145.9064156</v>
      </c>
      <c r="T1644" s="39" t="n">
        <f aca="false">S1644/(1-Resumo!$C$5)</f>
        <v>165.802745</v>
      </c>
      <c r="U1644" s="39" t="n">
        <v>167.99</v>
      </c>
      <c r="V1644" s="39" t="n">
        <f aca="false">J1644*Resumo!$B$6</f>
        <v>1.39998</v>
      </c>
      <c r="W1644" s="39" t="n">
        <f aca="false">J1644*Resumo!$B$7</f>
        <v>2.79996</v>
      </c>
      <c r="X1644" s="39" t="n">
        <f aca="false">Resumo!$B$9</f>
        <v>1</v>
      </c>
      <c r="Y1644" s="39" t="n">
        <f aca="false">Resumo!$B$10*CEILING(I1644/100,1)</f>
        <v>4.5</v>
      </c>
      <c r="Z1644" s="39" t="n">
        <f aca="false">Resumo!$B$12*CEILING(I1644,1)</f>
        <v>5.7</v>
      </c>
      <c r="AA1644" s="39" t="n">
        <f aca="false">Resumo!$B$13*CEILING(I1644,1)</f>
        <v>42.75</v>
      </c>
      <c r="AB1644" s="39" t="n">
        <f aca="false">SUM(U1644:AA1644)</f>
        <v>226.13994</v>
      </c>
      <c r="AC1644" s="39" t="n">
        <f aca="false">AB1644/(1-Resumo!$B$5)</f>
        <v>256.977204545455</v>
      </c>
      <c r="AD1644" s="39" t="n">
        <f aca="false">(AB1644-AA1644)/(1-Resumo!$B$5)</f>
        <v>208.397659090909</v>
      </c>
      <c r="AE1644" s="39" t="n">
        <f aca="false">AC1644-T1644</f>
        <v>91.1744595454546</v>
      </c>
      <c r="AF1644" s="40" t="n">
        <f aca="false">AC1644/T1644-1</f>
        <v>0.549897165728195</v>
      </c>
      <c r="AG1644" s="37" t="str">
        <f aca="false">IF(AC1644&lt;T1644,"SIM","NÃO")</f>
        <v>NÃO</v>
      </c>
      <c r="AH1644" s="37" t="n">
        <v>8</v>
      </c>
      <c r="AI1644" s="37" t="n">
        <v>5</v>
      </c>
      <c r="AJ1644" s="37" t="s">
        <v>323</v>
      </c>
    </row>
    <row r="1645" customFormat="false" ht="15" hidden="false" customHeight="false" outlineLevel="0" collapsed="false">
      <c r="A1645" s="37" t="n">
        <v>391121755</v>
      </c>
      <c r="B1645" s="38" t="n">
        <v>46274.0048842593</v>
      </c>
      <c r="C1645" s="37" t="s">
        <v>320</v>
      </c>
      <c r="D1645" s="37" t="s">
        <v>1829</v>
      </c>
      <c r="E1645" s="37" t="n">
        <v>24921452</v>
      </c>
      <c r="F1645" s="37" t="s">
        <v>151</v>
      </c>
      <c r="G1645" s="37" t="s">
        <v>201</v>
      </c>
      <c r="H1645" s="37" t="s">
        <v>168</v>
      </c>
      <c r="I1645" s="37" t="n">
        <v>29.2</v>
      </c>
      <c r="J1645" s="39" t="n">
        <v>360.99</v>
      </c>
      <c r="K1645" s="37" t="s">
        <v>322</v>
      </c>
      <c r="L1645" s="39" t="n">
        <v>108.91</v>
      </c>
      <c r="M1645" s="39" t="n">
        <v>76.5</v>
      </c>
      <c r="N1645" s="39" t="n">
        <f aca="false">J1645*Resumo!$C$7</f>
        <v>0.72198</v>
      </c>
      <c r="O1645" s="39" t="n">
        <f aca="false">J1645*Resumo!$C$8</f>
        <v>0.72198</v>
      </c>
      <c r="P1645" s="39" t="n">
        <f aca="false">Resumo!$C$10*CEILING(I1645/100,1)</f>
        <v>1</v>
      </c>
      <c r="Q1645" s="39" t="n">
        <f aca="false">Resumo!$C$9</f>
        <v>11.9</v>
      </c>
      <c r="R1645" s="39" t="n">
        <f aca="false">SUM(M1645:Q1645)*Resumo!$C$11</f>
        <v>4.9964178</v>
      </c>
      <c r="S1645" s="39" t="n">
        <f aca="false">SUM(M1645:R1645)</f>
        <v>95.8403778</v>
      </c>
      <c r="T1645" s="39" t="n">
        <f aca="false">S1645/(1-Resumo!$C$5)</f>
        <v>108.909520227273</v>
      </c>
      <c r="U1645" s="39" t="n">
        <v>100.58</v>
      </c>
      <c r="V1645" s="39" t="n">
        <f aca="false">J1645*Resumo!$B$6</f>
        <v>0.36099</v>
      </c>
      <c r="W1645" s="39" t="n">
        <f aca="false">J1645*Resumo!$B$7</f>
        <v>0.72198</v>
      </c>
      <c r="X1645" s="39" t="n">
        <f aca="false">Resumo!$B$9</f>
        <v>1</v>
      </c>
      <c r="Y1645" s="39" t="n">
        <f aca="false">Resumo!$B$10*CEILING(I1645/100,1)</f>
        <v>4.5</v>
      </c>
      <c r="Z1645" s="39" t="n">
        <f aca="false">Resumo!$B$12*CEILING(I1645,1)</f>
        <v>1.8</v>
      </c>
      <c r="AA1645" s="39" t="n">
        <f aca="false">Resumo!$B$13*CEILING(I1645,1)</f>
        <v>13.5</v>
      </c>
      <c r="AB1645" s="39" t="n">
        <f aca="false">SUM(U1645:AA1645)</f>
        <v>122.46297</v>
      </c>
      <c r="AC1645" s="39" t="n">
        <f aca="false">AB1645/(1-Resumo!$B$5)</f>
        <v>139.162465909091</v>
      </c>
      <c r="AD1645" s="39" t="n">
        <f aca="false">(AB1645-AA1645)/(1-Resumo!$B$5)</f>
        <v>123.821556818182</v>
      </c>
      <c r="AE1645" s="39" t="n">
        <f aca="false">AC1645-T1645</f>
        <v>30.2529456818182</v>
      </c>
      <c r="AF1645" s="40" t="n">
        <f aca="false">AC1645/T1645-1</f>
        <v>0.27778054313972</v>
      </c>
      <c r="AG1645" s="37" t="str">
        <f aca="false">IF(AC1645&lt;T1645,"SIM","NÃO")</f>
        <v>NÃO</v>
      </c>
      <c r="AH1645" s="37" t="n">
        <v>13</v>
      </c>
      <c r="AI1645" s="37" t="n">
        <v>7</v>
      </c>
      <c r="AJ1645" s="37" t="s">
        <v>323</v>
      </c>
    </row>
    <row r="1646" customFormat="false" ht="15" hidden="false" customHeight="false" outlineLevel="0" collapsed="false">
      <c r="A1646" s="37" t="n">
        <v>391243018</v>
      </c>
      <c r="B1646" s="38" t="n">
        <v>46274.2280324074</v>
      </c>
      <c r="C1646" s="37" t="s">
        <v>320</v>
      </c>
      <c r="D1646" s="37" t="s">
        <v>1830</v>
      </c>
      <c r="E1646" s="37" t="n">
        <v>25665400</v>
      </c>
      <c r="F1646" s="37" t="s">
        <v>150</v>
      </c>
      <c r="G1646" s="37" t="s">
        <v>201</v>
      </c>
      <c r="H1646" s="37" t="s">
        <v>168</v>
      </c>
      <c r="I1646" s="37" t="n">
        <v>34.4</v>
      </c>
      <c r="J1646" s="39" t="n">
        <v>499.98</v>
      </c>
      <c r="K1646" s="37" t="s">
        <v>322</v>
      </c>
      <c r="L1646" s="39" t="n">
        <v>109.58</v>
      </c>
      <c r="M1646" s="39" t="n">
        <v>76.5</v>
      </c>
      <c r="N1646" s="39" t="n">
        <f aca="false">J1646*Resumo!$C$7</f>
        <v>0.99996</v>
      </c>
      <c r="O1646" s="39" t="n">
        <f aca="false">J1646*Resumo!$C$8</f>
        <v>0.99996</v>
      </c>
      <c r="P1646" s="39" t="n">
        <f aca="false">Resumo!$C$10*CEILING(I1646/100,1)</f>
        <v>1</v>
      </c>
      <c r="Q1646" s="39" t="n">
        <f aca="false">Resumo!$C$9</f>
        <v>11.9</v>
      </c>
      <c r="R1646" s="39" t="n">
        <f aca="false">SUM(M1646:Q1646)*Resumo!$C$11</f>
        <v>5.0269956</v>
      </c>
      <c r="S1646" s="39" t="n">
        <f aca="false">SUM(M1646:R1646)</f>
        <v>96.4269156</v>
      </c>
      <c r="T1646" s="39" t="n">
        <f aca="false">S1646/(1-Resumo!$C$5)</f>
        <v>109.576040454545</v>
      </c>
      <c r="U1646" s="39" t="n">
        <v>108.83</v>
      </c>
      <c r="V1646" s="39" t="n">
        <f aca="false">J1646*Resumo!$B$6</f>
        <v>0.49998</v>
      </c>
      <c r="W1646" s="39" t="n">
        <f aca="false">J1646*Resumo!$B$7</f>
        <v>0.99996</v>
      </c>
      <c r="X1646" s="39" t="n">
        <f aca="false">Resumo!$B$9</f>
        <v>1</v>
      </c>
      <c r="Y1646" s="39" t="n">
        <f aca="false">Resumo!$B$10*CEILING(I1646/100,1)</f>
        <v>4.5</v>
      </c>
      <c r="Z1646" s="39" t="n">
        <f aca="false">Resumo!$B$12*CEILING(I1646,1)</f>
        <v>2.1</v>
      </c>
      <c r="AA1646" s="39" t="n">
        <f aca="false">Resumo!$B$13*CEILING(I1646,1)</f>
        <v>15.75</v>
      </c>
      <c r="AB1646" s="39" t="n">
        <f aca="false">SUM(U1646:AA1646)</f>
        <v>133.67994</v>
      </c>
      <c r="AC1646" s="39" t="n">
        <f aca="false">AB1646/(1-Resumo!$B$5)</f>
        <v>151.909022727273</v>
      </c>
      <c r="AD1646" s="39" t="n">
        <f aca="false">(AB1646-AA1646)/(1-Resumo!$B$5)</f>
        <v>134.011295454545</v>
      </c>
      <c r="AE1646" s="39" t="n">
        <f aca="false">AC1646-T1646</f>
        <v>42.3329822727273</v>
      </c>
      <c r="AF1646" s="40" t="n">
        <f aca="false">AC1646/T1646-1</f>
        <v>0.386334294405244</v>
      </c>
      <c r="AG1646" s="37" t="str">
        <f aca="false">IF(AC1646&lt;T1646,"SIM","NÃO")</f>
        <v>NÃO</v>
      </c>
      <c r="AH1646" s="37" t="n">
        <v>13</v>
      </c>
      <c r="AI1646" s="37" t="n">
        <v>8</v>
      </c>
      <c r="AJ1646" s="37" t="s">
        <v>323</v>
      </c>
    </row>
    <row r="1647" customFormat="false" ht="15" hidden="false" customHeight="false" outlineLevel="0" collapsed="false">
      <c r="A1647" s="37" t="n">
        <v>391259265</v>
      </c>
      <c r="B1647" s="38" t="n">
        <v>46274.2803240741</v>
      </c>
      <c r="C1647" s="37" t="s">
        <v>320</v>
      </c>
      <c r="D1647" s="37" t="s">
        <v>1831</v>
      </c>
      <c r="E1647" s="37" t="n">
        <v>23560510</v>
      </c>
      <c r="F1647" s="37" t="s">
        <v>139</v>
      </c>
      <c r="G1647" s="37" t="s">
        <v>198</v>
      </c>
      <c r="H1647" s="37" t="s">
        <v>168</v>
      </c>
      <c r="I1647" s="37" t="n">
        <v>24.4</v>
      </c>
      <c r="J1647" s="39" t="n">
        <v>297.99</v>
      </c>
      <c r="K1647" s="37" t="s">
        <v>322</v>
      </c>
      <c r="L1647" s="39" t="n">
        <v>81.76</v>
      </c>
      <c r="M1647" s="39" t="n">
        <v>54.1</v>
      </c>
      <c r="N1647" s="39" t="n">
        <f aca="false">J1647*Resumo!$C$7</f>
        <v>0.59598</v>
      </c>
      <c r="O1647" s="39" t="n">
        <f aca="false">J1647*Resumo!$C$8</f>
        <v>0.59598</v>
      </c>
      <c r="P1647" s="39" t="n">
        <f aca="false">Resumo!$C$10*CEILING(I1647/100,1)</f>
        <v>1</v>
      </c>
      <c r="Q1647" s="39" t="n">
        <f aca="false">Resumo!$C$9</f>
        <v>11.9</v>
      </c>
      <c r="R1647" s="39" t="n">
        <f aca="false">SUM(M1647:Q1647)*Resumo!$C$11</f>
        <v>3.7505578</v>
      </c>
      <c r="S1647" s="39" t="n">
        <f aca="false">SUM(M1647:R1647)</f>
        <v>71.9425178</v>
      </c>
      <c r="T1647" s="39" t="n">
        <f aca="false">S1647/(1-Resumo!$C$5)</f>
        <v>81.7528611363636</v>
      </c>
      <c r="U1647" s="39" t="n">
        <v>82.21</v>
      </c>
      <c r="V1647" s="39" t="n">
        <f aca="false">J1647*Resumo!$B$6</f>
        <v>0.29799</v>
      </c>
      <c r="W1647" s="39" t="n">
        <f aca="false">J1647*Resumo!$B$7</f>
        <v>0.59598</v>
      </c>
      <c r="X1647" s="39" t="n">
        <f aca="false">Resumo!$B$9</f>
        <v>1</v>
      </c>
      <c r="Y1647" s="39" t="n">
        <f aca="false">Resumo!$B$10*CEILING(I1647/100,1)</f>
        <v>4.5</v>
      </c>
      <c r="Z1647" s="39" t="n">
        <f aca="false">Resumo!$B$12*CEILING(I1647,1)</f>
        <v>1.5</v>
      </c>
      <c r="AA1647" s="39" t="n">
        <f aca="false">Resumo!$B$13*CEILING(I1647,1)</f>
        <v>11.25</v>
      </c>
      <c r="AB1647" s="39" t="n">
        <f aca="false">SUM(U1647:AA1647)</f>
        <v>101.35397</v>
      </c>
      <c r="AC1647" s="39" t="n">
        <f aca="false">AB1647/(1-Resumo!$B$5)</f>
        <v>115.174965909091</v>
      </c>
      <c r="AD1647" s="39" t="n">
        <f aca="false">(AB1647-AA1647)/(1-Resumo!$B$5)</f>
        <v>102.390875</v>
      </c>
      <c r="AE1647" s="39" t="n">
        <f aca="false">AC1647-T1647</f>
        <v>33.4221047727273</v>
      </c>
      <c r="AF1647" s="40" t="n">
        <f aca="false">AC1647/T1647-1</f>
        <v>0.408818777815975</v>
      </c>
      <c r="AG1647" s="37" t="str">
        <f aca="false">IF(AC1647&lt;T1647,"SIM","NÃO")</f>
        <v>NÃO</v>
      </c>
      <c r="AH1647" s="37" t="n">
        <v>8</v>
      </c>
      <c r="AI1647" s="37" t="n">
        <v>5</v>
      </c>
      <c r="AJ1647" s="37" t="s">
        <v>323</v>
      </c>
    </row>
    <row r="1648" customFormat="false" ht="15" hidden="false" customHeight="false" outlineLevel="0" collapsed="false">
      <c r="A1648" s="37" t="n">
        <v>391292671</v>
      </c>
      <c r="B1648" s="38" t="n">
        <v>46274.3362847222</v>
      </c>
      <c r="C1648" s="37" t="s">
        <v>320</v>
      </c>
      <c r="D1648" s="37" t="s">
        <v>1832</v>
      </c>
      <c r="E1648" s="37" t="n">
        <v>24240415</v>
      </c>
      <c r="F1648" s="37" t="s">
        <v>143</v>
      </c>
      <c r="G1648" s="37" t="s">
        <v>207</v>
      </c>
      <c r="H1648" s="37" t="s">
        <v>168</v>
      </c>
      <c r="I1648" s="37" t="n">
        <v>30.94</v>
      </c>
      <c r="J1648" s="39" t="n">
        <v>419.99</v>
      </c>
      <c r="K1648" s="37" t="s">
        <v>322</v>
      </c>
      <c r="L1648" s="39" t="n">
        <v>101.4</v>
      </c>
      <c r="M1648" s="39" t="n">
        <v>70</v>
      </c>
      <c r="N1648" s="39" t="n">
        <f aca="false">J1648*Resumo!$C$7</f>
        <v>0.83998</v>
      </c>
      <c r="O1648" s="39" t="n">
        <f aca="false">J1648*Resumo!$C$8</f>
        <v>0.83998</v>
      </c>
      <c r="P1648" s="39" t="n">
        <f aca="false">Resumo!$C$10*CEILING(I1648/100,1)</f>
        <v>1</v>
      </c>
      <c r="Q1648" s="39" t="n">
        <f aca="false">Resumo!$C$9</f>
        <v>11.9</v>
      </c>
      <c r="R1648" s="39" t="n">
        <f aca="false">SUM(M1648:Q1648)*Resumo!$C$11</f>
        <v>4.6518978</v>
      </c>
      <c r="S1648" s="39" t="n">
        <f aca="false">SUM(M1648:R1648)</f>
        <v>89.2318578</v>
      </c>
      <c r="T1648" s="39" t="n">
        <f aca="false">S1648/(1-Resumo!$C$5)</f>
        <v>101.399838409091</v>
      </c>
      <c r="U1648" s="39" t="n">
        <v>100.58</v>
      </c>
      <c r="V1648" s="39" t="n">
        <f aca="false">J1648*Resumo!$B$6</f>
        <v>0.41999</v>
      </c>
      <c r="W1648" s="39" t="n">
        <f aca="false">J1648*Resumo!$B$7</f>
        <v>0.83998</v>
      </c>
      <c r="X1648" s="39" t="n">
        <f aca="false">Resumo!$B$9</f>
        <v>1</v>
      </c>
      <c r="Y1648" s="39" t="n">
        <f aca="false">Resumo!$B$10*CEILING(I1648/100,1)</f>
        <v>4.5</v>
      </c>
      <c r="Z1648" s="39" t="n">
        <f aca="false">Resumo!$B$12*CEILING(I1648,1)</f>
        <v>1.86</v>
      </c>
      <c r="AA1648" s="39" t="n">
        <f aca="false">Resumo!$B$13*CEILING(I1648,1)</f>
        <v>13.95</v>
      </c>
      <c r="AB1648" s="39" t="n">
        <f aca="false">SUM(U1648:AA1648)</f>
        <v>123.14997</v>
      </c>
      <c r="AC1648" s="39" t="n">
        <f aca="false">AB1648/(1-Resumo!$B$5)</f>
        <v>139.943147727273</v>
      </c>
      <c r="AD1648" s="39" t="n">
        <f aca="false">(AB1648-AA1648)/(1-Resumo!$B$5)</f>
        <v>124.090875</v>
      </c>
      <c r="AE1648" s="39" t="n">
        <f aca="false">AC1648-T1648</f>
        <v>38.5433093181818</v>
      </c>
      <c r="AF1648" s="40" t="n">
        <f aca="false">AC1648/T1648-1</f>
        <v>0.380112137483705</v>
      </c>
      <c r="AG1648" s="37" t="str">
        <f aca="false">IF(AC1648&lt;T1648,"SIM","NÃO")</f>
        <v>NÃO</v>
      </c>
      <c r="AH1648" s="37" t="n">
        <v>10</v>
      </c>
      <c r="AI1648" s="37" t="n">
        <v>7</v>
      </c>
      <c r="AJ1648" s="37" t="s">
        <v>323</v>
      </c>
    </row>
    <row r="1649" customFormat="false" ht="15" hidden="false" customHeight="false" outlineLevel="0" collapsed="false">
      <c r="A1649" s="37" t="n">
        <v>391336626</v>
      </c>
      <c r="B1649" s="38" t="n">
        <v>46274.3878935185</v>
      </c>
      <c r="C1649" s="37" t="s">
        <v>352</v>
      </c>
      <c r="D1649" s="37" t="s">
        <v>1833</v>
      </c>
      <c r="E1649" s="37" t="n">
        <v>25645260</v>
      </c>
      <c r="F1649" s="37" t="s">
        <v>150</v>
      </c>
      <c r="G1649" s="37" t="s">
        <v>201</v>
      </c>
      <c r="H1649" s="37" t="s">
        <v>168</v>
      </c>
      <c r="I1649" s="37" t="n">
        <v>29.2</v>
      </c>
      <c r="J1649" s="39" t="n">
        <v>458.18</v>
      </c>
      <c r="K1649" s="37" t="s">
        <v>322</v>
      </c>
      <c r="L1649" s="39" t="n">
        <v>109.39</v>
      </c>
      <c r="M1649" s="39" t="n">
        <v>76.5</v>
      </c>
      <c r="N1649" s="39" t="n">
        <f aca="false">J1649*Resumo!$C$7</f>
        <v>0.91636</v>
      </c>
      <c r="O1649" s="39" t="n">
        <f aca="false">J1649*Resumo!$C$8</f>
        <v>0.91636</v>
      </c>
      <c r="P1649" s="39" t="n">
        <f aca="false">Resumo!$C$10*CEILING(I1649/100,1)</f>
        <v>1</v>
      </c>
      <c r="Q1649" s="39" t="n">
        <f aca="false">Resumo!$C$9</f>
        <v>11.9</v>
      </c>
      <c r="R1649" s="39" t="n">
        <f aca="false">SUM(M1649:Q1649)*Resumo!$C$11</f>
        <v>5.0177996</v>
      </c>
      <c r="S1649" s="39" t="n">
        <f aca="false">SUM(M1649:R1649)</f>
        <v>96.2505196</v>
      </c>
      <c r="T1649" s="39" t="n">
        <f aca="false">S1649/(1-Resumo!$C$5)</f>
        <v>109.375590454545</v>
      </c>
      <c r="U1649" s="39" t="n">
        <v>108.83</v>
      </c>
      <c r="V1649" s="39" t="n">
        <f aca="false">J1649*Resumo!$B$6</f>
        <v>0.45818</v>
      </c>
      <c r="W1649" s="39" t="n">
        <f aca="false">J1649*Resumo!$B$7</f>
        <v>0.91636</v>
      </c>
      <c r="X1649" s="39" t="n">
        <f aca="false">Resumo!$B$9</f>
        <v>1</v>
      </c>
      <c r="Y1649" s="39" t="n">
        <f aca="false">Resumo!$B$10*CEILING(I1649/100,1)</f>
        <v>4.5</v>
      </c>
      <c r="Z1649" s="39" t="n">
        <f aca="false">Resumo!$B$12*CEILING(I1649,1)</f>
        <v>1.8</v>
      </c>
      <c r="AA1649" s="39" t="n">
        <f aca="false">Resumo!$B$13*CEILING(I1649,1)</f>
        <v>13.5</v>
      </c>
      <c r="AB1649" s="39" t="n">
        <f aca="false">SUM(U1649:AA1649)</f>
        <v>131.00454</v>
      </c>
      <c r="AC1649" s="39" t="n">
        <f aca="false">AB1649/(1-Resumo!$B$5)</f>
        <v>148.868795454545</v>
      </c>
      <c r="AD1649" s="39" t="n">
        <f aca="false">(AB1649-AA1649)/(1-Resumo!$B$5)</f>
        <v>133.527886363636</v>
      </c>
      <c r="AE1649" s="39" t="n">
        <f aca="false">AC1649-T1649</f>
        <v>39.493205</v>
      </c>
      <c r="AF1649" s="40" t="n">
        <f aca="false">AC1649/T1649-1</f>
        <v>0.361078782165868</v>
      </c>
      <c r="AG1649" s="37" t="str">
        <f aca="false">IF(AC1649&lt;T1649,"SIM","NÃO")</f>
        <v>NÃO</v>
      </c>
      <c r="AH1649" s="37" t="n">
        <v>13</v>
      </c>
      <c r="AI1649" s="37" t="n">
        <v>8</v>
      </c>
      <c r="AJ1649" s="37" t="s">
        <v>323</v>
      </c>
    </row>
    <row r="1650" customFormat="false" ht="15" hidden="false" customHeight="false" outlineLevel="0" collapsed="false">
      <c r="A1650" s="37" t="n">
        <v>391344349</v>
      </c>
      <c r="B1650" s="38" t="n">
        <v>46274.3956018519</v>
      </c>
      <c r="C1650" s="37" t="s">
        <v>320</v>
      </c>
      <c r="D1650" s="37" t="s">
        <v>1834</v>
      </c>
      <c r="E1650" s="37" t="n">
        <v>24742160</v>
      </c>
      <c r="F1650" s="37" t="s">
        <v>140</v>
      </c>
      <c r="G1650" s="37" t="s">
        <v>207</v>
      </c>
      <c r="H1650" s="37" t="s">
        <v>171</v>
      </c>
      <c r="I1650" s="37" t="n">
        <v>52.3</v>
      </c>
      <c r="J1650" s="39" t="n">
        <v>602.99</v>
      </c>
      <c r="K1650" s="37" t="s">
        <v>322</v>
      </c>
      <c r="L1650" s="39" t="n">
        <v>128.18</v>
      </c>
      <c r="M1650" s="39" t="n">
        <v>91.6</v>
      </c>
      <c r="N1650" s="39" t="n">
        <f aca="false">J1650*Resumo!$C$7</f>
        <v>1.20598</v>
      </c>
      <c r="O1650" s="39" t="n">
        <f aca="false">J1650*Resumo!$C$8</f>
        <v>1.20598</v>
      </c>
      <c r="P1650" s="39" t="n">
        <f aca="false">Resumo!$C$10*CEILING(I1650/100,1)</f>
        <v>1</v>
      </c>
      <c r="Q1650" s="39" t="n">
        <f aca="false">Resumo!$C$9</f>
        <v>11.9</v>
      </c>
      <c r="R1650" s="39" t="n">
        <f aca="false">SUM(M1650:Q1650)*Resumo!$C$11</f>
        <v>5.8801578</v>
      </c>
      <c r="S1650" s="39" t="n">
        <f aca="false">SUM(M1650:R1650)</f>
        <v>112.7921178</v>
      </c>
      <c r="T1650" s="39" t="n">
        <f aca="false">S1650/(1-Resumo!$C$5)</f>
        <v>128.172861136364</v>
      </c>
      <c r="U1650" s="39" t="n">
        <v>128.14</v>
      </c>
      <c r="V1650" s="39" t="n">
        <f aca="false">J1650*Resumo!$B$6</f>
        <v>0.60299</v>
      </c>
      <c r="W1650" s="39" t="n">
        <f aca="false">J1650*Resumo!$B$7</f>
        <v>1.20598</v>
      </c>
      <c r="X1650" s="39" t="n">
        <f aca="false">Resumo!$B$9</f>
        <v>1</v>
      </c>
      <c r="Y1650" s="39" t="n">
        <f aca="false">Resumo!$B$10*CEILING(I1650/100,1)</f>
        <v>4.5</v>
      </c>
      <c r="Z1650" s="39" t="n">
        <f aca="false">Resumo!$B$12*CEILING(I1650,1)</f>
        <v>3.18</v>
      </c>
      <c r="AA1650" s="39" t="n">
        <f aca="false">Resumo!$B$13*CEILING(I1650,1)</f>
        <v>23.85</v>
      </c>
      <c r="AB1650" s="39" t="n">
        <f aca="false">SUM(U1650:AA1650)</f>
        <v>162.47897</v>
      </c>
      <c r="AC1650" s="39" t="n">
        <f aca="false">AB1650/(1-Resumo!$B$5)</f>
        <v>184.635193181818</v>
      </c>
      <c r="AD1650" s="39" t="n">
        <f aca="false">(AB1650-AA1650)/(1-Resumo!$B$5)</f>
        <v>157.532920454545</v>
      </c>
      <c r="AE1650" s="39" t="n">
        <f aca="false">AC1650-T1650</f>
        <v>56.4623320454545</v>
      </c>
      <c r="AF1650" s="40" t="n">
        <f aca="false">AC1650/T1650-1</f>
        <v>0.440517060669996</v>
      </c>
      <c r="AG1650" s="37" t="str">
        <f aca="false">IF(AC1650&lt;T1650,"SIM","NÃO")</f>
        <v>NÃO</v>
      </c>
      <c r="AH1650" s="37" t="n">
        <v>10</v>
      </c>
      <c r="AI1650" s="37" t="n">
        <v>7</v>
      </c>
      <c r="AJ1650" s="37" t="s">
        <v>323</v>
      </c>
    </row>
    <row r="1651" customFormat="false" ht="15" hidden="false" customHeight="false" outlineLevel="0" collapsed="false">
      <c r="A1651" s="37" t="n">
        <v>391377197</v>
      </c>
      <c r="B1651" s="38" t="n">
        <v>46274.4358912037</v>
      </c>
      <c r="C1651" s="37" t="s">
        <v>320</v>
      </c>
      <c r="D1651" s="37" t="s">
        <v>1835</v>
      </c>
      <c r="E1651" s="37" t="n">
        <v>28085450</v>
      </c>
      <c r="F1651" s="37" t="s">
        <v>144</v>
      </c>
      <c r="G1651" s="37" t="s">
        <v>201</v>
      </c>
      <c r="H1651" s="37" t="s">
        <v>168</v>
      </c>
      <c r="I1651" s="37" t="n">
        <v>31.9</v>
      </c>
      <c r="J1651" s="39" t="n">
        <v>629.99</v>
      </c>
      <c r="K1651" s="37" t="s">
        <v>322</v>
      </c>
      <c r="L1651" s="39" t="n">
        <v>110.2</v>
      </c>
      <c r="M1651" s="39" t="n">
        <v>76.5</v>
      </c>
      <c r="N1651" s="39" t="n">
        <f aca="false">J1651*Resumo!$C$7</f>
        <v>1.25998</v>
      </c>
      <c r="O1651" s="39" t="n">
        <f aca="false">J1651*Resumo!$C$8</f>
        <v>1.25998</v>
      </c>
      <c r="P1651" s="39" t="n">
        <f aca="false">Resumo!$C$10*CEILING(I1651/100,1)</f>
        <v>1</v>
      </c>
      <c r="Q1651" s="39" t="n">
        <f aca="false">Resumo!$C$9</f>
        <v>11.9</v>
      </c>
      <c r="R1651" s="39" t="n">
        <f aca="false">SUM(M1651:Q1651)*Resumo!$C$11</f>
        <v>5.0555978</v>
      </c>
      <c r="S1651" s="39" t="n">
        <f aca="false">SUM(M1651:R1651)</f>
        <v>96.9755578</v>
      </c>
      <c r="T1651" s="39" t="n">
        <f aca="false">S1651/(1-Resumo!$C$5)</f>
        <v>110.1994975</v>
      </c>
      <c r="U1651" s="39" t="n">
        <v>138.29</v>
      </c>
      <c r="V1651" s="39" t="n">
        <f aca="false">J1651*Resumo!$B$6</f>
        <v>0.62999</v>
      </c>
      <c r="W1651" s="39" t="n">
        <f aca="false">J1651*Resumo!$B$7</f>
        <v>1.25998</v>
      </c>
      <c r="X1651" s="39" t="n">
        <f aca="false">Resumo!$B$9</f>
        <v>1</v>
      </c>
      <c r="Y1651" s="39" t="n">
        <f aca="false">Resumo!$B$10*CEILING(I1651/100,1)</f>
        <v>4.5</v>
      </c>
      <c r="Z1651" s="39" t="n">
        <f aca="false">Resumo!$B$12*CEILING(I1651,1)</f>
        <v>1.92</v>
      </c>
      <c r="AA1651" s="39" t="n">
        <f aca="false">Resumo!$B$13*CEILING(I1651,1)</f>
        <v>14.4</v>
      </c>
      <c r="AB1651" s="39" t="n">
        <f aca="false">SUM(U1651:AA1651)</f>
        <v>161.99997</v>
      </c>
      <c r="AC1651" s="39" t="n">
        <f aca="false">AB1651/(1-Resumo!$B$5)</f>
        <v>184.090875</v>
      </c>
      <c r="AD1651" s="39" t="n">
        <f aca="false">(AB1651-AA1651)/(1-Resumo!$B$5)</f>
        <v>167.727238636364</v>
      </c>
      <c r="AE1651" s="39" t="n">
        <f aca="false">AC1651-T1651</f>
        <v>73.8913775</v>
      </c>
      <c r="AF1651" s="40" t="n">
        <f aca="false">AC1651/T1651-1</f>
        <v>0.670523724484315</v>
      </c>
      <c r="AG1651" s="37" t="str">
        <f aca="false">IF(AC1651&lt;T1651,"SIM","NÃO")</f>
        <v>NÃO</v>
      </c>
      <c r="AH1651" s="37" t="n">
        <v>13</v>
      </c>
      <c r="AI1651" s="37" t="n">
        <v>11</v>
      </c>
      <c r="AJ1651" s="37" t="s">
        <v>323</v>
      </c>
    </row>
    <row r="1652" customFormat="false" ht="15" hidden="false" customHeight="false" outlineLevel="0" collapsed="false">
      <c r="A1652" s="37" t="n">
        <v>391384936</v>
      </c>
      <c r="B1652" s="38" t="n">
        <v>46274.4430324074</v>
      </c>
      <c r="C1652" s="37" t="s">
        <v>320</v>
      </c>
      <c r="D1652" s="37" t="s">
        <v>1836</v>
      </c>
      <c r="E1652" s="37" t="n">
        <v>27277030</v>
      </c>
      <c r="F1652" s="37" t="s">
        <v>148</v>
      </c>
      <c r="G1652" s="37" t="s">
        <v>201</v>
      </c>
      <c r="H1652" s="37" t="s">
        <v>169</v>
      </c>
      <c r="I1652" s="37" t="n">
        <v>37.2</v>
      </c>
      <c r="J1652" s="39" t="n">
        <v>360.99</v>
      </c>
      <c r="K1652" s="37" t="s">
        <v>322</v>
      </c>
      <c r="L1652" s="39" t="n">
        <v>121.98</v>
      </c>
      <c r="M1652" s="39" t="n">
        <v>87.4</v>
      </c>
      <c r="N1652" s="39" t="n">
        <f aca="false">J1652*Resumo!$C$7</f>
        <v>0.72198</v>
      </c>
      <c r="O1652" s="39" t="n">
        <f aca="false">J1652*Resumo!$C$8</f>
        <v>0.72198</v>
      </c>
      <c r="P1652" s="39" t="n">
        <f aca="false">Resumo!$C$10*CEILING(I1652/100,1)</f>
        <v>1</v>
      </c>
      <c r="Q1652" s="39" t="n">
        <f aca="false">Resumo!$C$9</f>
        <v>11.9</v>
      </c>
      <c r="R1652" s="39" t="n">
        <f aca="false">SUM(M1652:Q1652)*Resumo!$C$11</f>
        <v>5.5959178</v>
      </c>
      <c r="S1652" s="39" t="n">
        <f aca="false">SUM(M1652:R1652)</f>
        <v>107.3398778</v>
      </c>
      <c r="T1652" s="39" t="n">
        <f aca="false">S1652/(1-Resumo!$C$5)</f>
        <v>121.977133863636</v>
      </c>
      <c r="U1652" s="39" t="n">
        <v>124.38</v>
      </c>
      <c r="V1652" s="39" t="n">
        <f aca="false">J1652*Resumo!$B$6</f>
        <v>0.36099</v>
      </c>
      <c r="W1652" s="39" t="n">
        <f aca="false">J1652*Resumo!$B$7</f>
        <v>0.72198</v>
      </c>
      <c r="X1652" s="39" t="n">
        <f aca="false">Resumo!$B$9</f>
        <v>1</v>
      </c>
      <c r="Y1652" s="39" t="n">
        <f aca="false">Resumo!$B$10*CEILING(I1652/100,1)</f>
        <v>4.5</v>
      </c>
      <c r="Z1652" s="39" t="n">
        <f aca="false">Resumo!$B$12*CEILING(I1652,1)</f>
        <v>2.28</v>
      </c>
      <c r="AA1652" s="39" t="n">
        <f aca="false">Resumo!$B$13*CEILING(I1652,1)</f>
        <v>17.1</v>
      </c>
      <c r="AB1652" s="39" t="n">
        <f aca="false">SUM(U1652:AA1652)</f>
        <v>150.34297</v>
      </c>
      <c r="AC1652" s="39" t="n">
        <f aca="false">AB1652/(1-Resumo!$B$5)</f>
        <v>170.844284090909</v>
      </c>
      <c r="AD1652" s="39" t="n">
        <f aca="false">(AB1652-AA1652)/(1-Resumo!$B$5)</f>
        <v>151.412465909091</v>
      </c>
      <c r="AE1652" s="39" t="n">
        <f aca="false">AC1652-T1652</f>
        <v>48.8671502272727</v>
      </c>
      <c r="AF1652" s="40" t="n">
        <f aca="false">AC1652/T1652-1</f>
        <v>0.400625499873636</v>
      </c>
      <c r="AG1652" s="37" t="str">
        <f aca="false">IF(AC1652&lt;T1652,"SIM","NÃO")</f>
        <v>NÃO</v>
      </c>
      <c r="AH1652" s="37" t="n">
        <v>13</v>
      </c>
      <c r="AI1652" s="37" t="n">
        <v>10</v>
      </c>
      <c r="AJ1652" s="37" t="s">
        <v>323</v>
      </c>
    </row>
    <row r="1653" customFormat="false" ht="15" hidden="false" customHeight="false" outlineLevel="0" collapsed="false">
      <c r="A1653" s="37" t="n">
        <v>391391659</v>
      </c>
      <c r="B1653" s="38" t="n">
        <v>46274.4486689815</v>
      </c>
      <c r="C1653" s="37" t="s">
        <v>320</v>
      </c>
      <c r="D1653" s="37" t="s">
        <v>676</v>
      </c>
      <c r="E1653" s="37" t="n">
        <v>23092080</v>
      </c>
      <c r="F1653" s="37" t="s">
        <v>139</v>
      </c>
      <c r="G1653" s="37" t="s">
        <v>198</v>
      </c>
      <c r="H1653" s="37" t="s">
        <v>168</v>
      </c>
      <c r="I1653" s="37" t="n">
        <v>34.8</v>
      </c>
      <c r="J1653" s="39" t="n">
        <v>469.99</v>
      </c>
      <c r="K1653" s="37" t="s">
        <v>322</v>
      </c>
      <c r="L1653" s="39" t="n">
        <v>82.58</v>
      </c>
      <c r="M1653" s="39" t="n">
        <v>54.1</v>
      </c>
      <c r="N1653" s="39" t="n">
        <f aca="false">J1653*Resumo!$C$7</f>
        <v>0.93998</v>
      </c>
      <c r="O1653" s="39" t="n">
        <f aca="false">J1653*Resumo!$C$8</f>
        <v>0.93998</v>
      </c>
      <c r="P1653" s="39" t="n">
        <f aca="false">Resumo!$C$10*CEILING(I1653/100,1)</f>
        <v>1</v>
      </c>
      <c r="Q1653" s="39" t="n">
        <f aca="false">Resumo!$C$9</f>
        <v>11.9</v>
      </c>
      <c r="R1653" s="39" t="n">
        <f aca="false">SUM(M1653:Q1653)*Resumo!$C$11</f>
        <v>3.7883978</v>
      </c>
      <c r="S1653" s="39" t="n">
        <f aca="false">SUM(M1653:R1653)</f>
        <v>72.6683578</v>
      </c>
      <c r="T1653" s="39" t="n">
        <f aca="false">S1653/(1-Resumo!$C$5)</f>
        <v>82.5776793181818</v>
      </c>
      <c r="U1653" s="39" t="n">
        <v>82.21</v>
      </c>
      <c r="V1653" s="39" t="n">
        <f aca="false">J1653*Resumo!$B$6</f>
        <v>0.46999</v>
      </c>
      <c r="W1653" s="39" t="n">
        <f aca="false">J1653*Resumo!$B$7</f>
        <v>0.93998</v>
      </c>
      <c r="X1653" s="39" t="n">
        <f aca="false">Resumo!$B$9</f>
        <v>1</v>
      </c>
      <c r="Y1653" s="39" t="n">
        <f aca="false">Resumo!$B$10*CEILING(I1653/100,1)</f>
        <v>4.5</v>
      </c>
      <c r="Z1653" s="39" t="n">
        <f aca="false">Resumo!$B$12*CEILING(I1653,1)</f>
        <v>2.1</v>
      </c>
      <c r="AA1653" s="39" t="n">
        <f aca="false">Resumo!$B$13*CEILING(I1653,1)</f>
        <v>15.75</v>
      </c>
      <c r="AB1653" s="39" t="n">
        <f aca="false">SUM(U1653:AA1653)</f>
        <v>106.96997</v>
      </c>
      <c r="AC1653" s="39" t="n">
        <f aca="false">AB1653/(1-Resumo!$B$5)</f>
        <v>121.556784090909</v>
      </c>
      <c r="AD1653" s="39" t="n">
        <f aca="false">(AB1653-AA1653)/(1-Resumo!$B$5)</f>
        <v>103.659056818182</v>
      </c>
      <c r="AE1653" s="39" t="n">
        <f aca="false">AC1653-T1653</f>
        <v>38.9791047727273</v>
      </c>
      <c r="AF1653" s="40" t="n">
        <f aca="false">AC1653/T1653-1</f>
        <v>0.472029549565519</v>
      </c>
      <c r="AG1653" s="37" t="str">
        <f aca="false">IF(AC1653&lt;T1653,"SIM","NÃO")</f>
        <v>NÃO</v>
      </c>
      <c r="AH1653" s="37" t="n">
        <v>8</v>
      </c>
      <c r="AI1653" s="37" t="n">
        <v>5</v>
      </c>
      <c r="AJ1653" s="37" t="s">
        <v>323</v>
      </c>
    </row>
    <row r="1654" customFormat="false" ht="15" hidden="false" customHeight="false" outlineLevel="0" collapsed="false">
      <c r="A1654" s="37" t="n">
        <v>391437552</v>
      </c>
      <c r="B1654" s="38" t="n">
        <v>46274.4997685185</v>
      </c>
      <c r="C1654" s="37" t="s">
        <v>320</v>
      </c>
      <c r="D1654" s="37" t="s">
        <v>1837</v>
      </c>
      <c r="E1654" s="37" t="n">
        <v>23028055</v>
      </c>
      <c r="F1654" s="37" t="s">
        <v>139</v>
      </c>
      <c r="G1654" s="37" t="s">
        <v>198</v>
      </c>
      <c r="H1654" s="37" t="s">
        <v>169</v>
      </c>
      <c r="I1654" s="37" t="n">
        <v>35.4</v>
      </c>
      <c r="J1654" s="39" t="n">
        <v>499.99</v>
      </c>
      <c r="K1654" s="37" t="s">
        <v>322</v>
      </c>
      <c r="L1654" s="39" t="n">
        <v>92.25</v>
      </c>
      <c r="M1654" s="39" t="n">
        <v>62.05</v>
      </c>
      <c r="N1654" s="39" t="n">
        <f aca="false">J1654*Resumo!$C$7</f>
        <v>0.99998</v>
      </c>
      <c r="O1654" s="39" t="n">
        <f aca="false">J1654*Resumo!$C$8</f>
        <v>0.99998</v>
      </c>
      <c r="P1654" s="39" t="n">
        <f aca="false">Resumo!$C$10*CEILING(I1654/100,1)</f>
        <v>1</v>
      </c>
      <c r="Q1654" s="39" t="n">
        <f aca="false">Resumo!$C$9</f>
        <v>11.9</v>
      </c>
      <c r="R1654" s="39" t="n">
        <f aca="false">SUM(M1654:Q1654)*Resumo!$C$11</f>
        <v>4.2322478</v>
      </c>
      <c r="S1654" s="39" t="n">
        <f aca="false">SUM(M1654:R1654)</f>
        <v>81.1822078</v>
      </c>
      <c r="T1654" s="39" t="n">
        <f aca="false">S1654/(1-Resumo!$C$5)</f>
        <v>92.2525088636364</v>
      </c>
      <c r="U1654" s="39" t="n">
        <v>93.97</v>
      </c>
      <c r="V1654" s="39" t="n">
        <f aca="false">J1654*Resumo!$B$6</f>
        <v>0.49999</v>
      </c>
      <c r="W1654" s="39" t="n">
        <f aca="false">J1654*Resumo!$B$7</f>
        <v>0.99998</v>
      </c>
      <c r="X1654" s="39" t="n">
        <f aca="false">Resumo!$B$9</f>
        <v>1</v>
      </c>
      <c r="Y1654" s="39" t="n">
        <f aca="false">Resumo!$B$10*CEILING(I1654/100,1)</f>
        <v>4.5</v>
      </c>
      <c r="Z1654" s="39" t="n">
        <f aca="false">Resumo!$B$12*CEILING(I1654,1)</f>
        <v>2.16</v>
      </c>
      <c r="AA1654" s="39" t="n">
        <f aca="false">Resumo!$B$13*CEILING(I1654,1)</f>
        <v>16.2</v>
      </c>
      <c r="AB1654" s="39" t="n">
        <f aca="false">SUM(U1654:AA1654)</f>
        <v>119.32997</v>
      </c>
      <c r="AC1654" s="39" t="n">
        <f aca="false">AB1654/(1-Resumo!$B$5)</f>
        <v>135.602238636364</v>
      </c>
      <c r="AD1654" s="39" t="n">
        <f aca="false">(AB1654-AA1654)/(1-Resumo!$B$5)</f>
        <v>117.193147727273</v>
      </c>
      <c r="AE1654" s="39" t="n">
        <f aca="false">AC1654-T1654</f>
        <v>43.3497297727273</v>
      </c>
      <c r="AF1654" s="40" t="n">
        <f aca="false">AC1654/T1654-1</f>
        <v>0.469902990246097</v>
      </c>
      <c r="AG1654" s="37" t="str">
        <f aca="false">IF(AC1654&lt;T1654,"SIM","NÃO")</f>
        <v>NÃO</v>
      </c>
      <c r="AH1654" s="37" t="n">
        <v>8</v>
      </c>
      <c r="AI1654" s="37" t="n">
        <v>5</v>
      </c>
      <c r="AJ1654" s="37" t="s">
        <v>323</v>
      </c>
    </row>
    <row r="1655" customFormat="false" ht="15" hidden="false" customHeight="false" outlineLevel="0" collapsed="false">
      <c r="A1655" s="37" t="n">
        <v>391499524</v>
      </c>
      <c r="B1655" s="38" t="n">
        <v>46274.5593402778</v>
      </c>
      <c r="C1655" s="37" t="s">
        <v>320</v>
      </c>
      <c r="D1655" s="37" t="s">
        <v>882</v>
      </c>
      <c r="E1655" s="37" t="n">
        <v>28930000</v>
      </c>
      <c r="F1655" s="37" t="s">
        <v>277</v>
      </c>
      <c r="G1655" s="37" t="s">
        <v>201</v>
      </c>
      <c r="H1655" s="37" t="s">
        <v>170</v>
      </c>
      <c r="I1655" s="37" t="n">
        <v>48</v>
      </c>
      <c r="J1655" s="39" t="n">
        <v>828.99</v>
      </c>
      <c r="K1655" s="37" t="s">
        <v>322</v>
      </c>
      <c r="L1655" s="39" t="n">
        <v>132.14</v>
      </c>
      <c r="M1655" s="39" t="n">
        <v>94</v>
      </c>
      <c r="N1655" s="39" t="n">
        <f aca="false">J1655*Resumo!$C$7</f>
        <v>1.65798</v>
      </c>
      <c r="O1655" s="39" t="n">
        <f aca="false">J1655*Resumo!$C$8</f>
        <v>1.65798</v>
      </c>
      <c r="P1655" s="39" t="n">
        <f aca="false">Resumo!$C$10*CEILING(I1655/100,1)</f>
        <v>1</v>
      </c>
      <c r="Q1655" s="39" t="n">
        <f aca="false">Resumo!$C$9</f>
        <v>11.9</v>
      </c>
      <c r="R1655" s="39" t="n">
        <f aca="false">SUM(M1655:Q1655)*Resumo!$C$11</f>
        <v>6.0618778</v>
      </c>
      <c r="S1655" s="39" t="n">
        <f aca="false">SUM(M1655:R1655)</f>
        <v>116.2778378</v>
      </c>
      <c r="T1655" s="39" t="n">
        <f aca="false">S1655/(1-Resumo!$C$5)</f>
        <v>132.133906590909</v>
      </c>
      <c r="U1655" s="39" t="n">
        <v>129.29</v>
      </c>
      <c r="V1655" s="39" t="n">
        <f aca="false">J1655*Resumo!$B$6</f>
        <v>0.82899</v>
      </c>
      <c r="W1655" s="39" t="n">
        <f aca="false">J1655*Resumo!$B$7</f>
        <v>1.65798</v>
      </c>
      <c r="X1655" s="39" t="n">
        <f aca="false">Resumo!$B$9</f>
        <v>1</v>
      </c>
      <c r="Y1655" s="39" t="n">
        <f aca="false">Resumo!$B$10*CEILING(I1655/100,1)</f>
        <v>4.5</v>
      </c>
      <c r="Z1655" s="39" t="n">
        <f aca="false">Resumo!$B$12*CEILING(I1655,1)</f>
        <v>2.88</v>
      </c>
      <c r="AA1655" s="39" t="n">
        <f aca="false">Resumo!$B$13*CEILING(I1655,1)</f>
        <v>21.6</v>
      </c>
      <c r="AB1655" s="39" t="n">
        <f aca="false">SUM(U1655:AA1655)</f>
        <v>161.75697</v>
      </c>
      <c r="AC1655" s="39" t="n">
        <f aca="false">AB1655/(1-Resumo!$B$5)</f>
        <v>183.814738636364</v>
      </c>
      <c r="AD1655" s="39" t="n">
        <f aca="false">(AB1655-AA1655)/(1-Resumo!$B$5)</f>
        <v>159.269284090909</v>
      </c>
      <c r="AE1655" s="39" t="n">
        <f aca="false">AC1655-T1655</f>
        <v>51.6808320454546</v>
      </c>
      <c r="AF1655" s="40" t="n">
        <f aca="false">AC1655/T1655-1</f>
        <v>0.391124680854704</v>
      </c>
      <c r="AG1655" s="37" t="str">
        <f aca="false">IF(AC1655&lt;T1655,"SIM","NÃO")</f>
        <v>NÃO</v>
      </c>
      <c r="AH1655" s="37" t="n">
        <v>13</v>
      </c>
      <c r="AI1655" s="37" t="n">
        <v>10</v>
      </c>
      <c r="AJ1655" s="37" t="s">
        <v>327</v>
      </c>
    </row>
    <row r="1656" customFormat="false" ht="15" hidden="false" customHeight="false" outlineLevel="0" collapsed="false">
      <c r="A1656" s="37" t="n">
        <v>391508677</v>
      </c>
      <c r="B1656" s="38" t="n">
        <v>46274.5672337963</v>
      </c>
      <c r="C1656" s="37" t="s">
        <v>320</v>
      </c>
      <c r="D1656" s="37" t="s">
        <v>1838</v>
      </c>
      <c r="E1656" s="37" t="n">
        <v>21012200</v>
      </c>
      <c r="F1656" s="37" t="s">
        <v>139</v>
      </c>
      <c r="G1656" s="37" t="s">
        <v>198</v>
      </c>
      <c r="H1656" s="37" t="s">
        <v>170</v>
      </c>
      <c r="I1656" s="37" t="n">
        <v>43.5</v>
      </c>
      <c r="J1656" s="39" t="n">
        <v>690.99</v>
      </c>
      <c r="K1656" s="37" t="s">
        <v>322</v>
      </c>
      <c r="L1656" s="39" t="n">
        <v>103.9</v>
      </c>
      <c r="M1656" s="39" t="n">
        <v>71</v>
      </c>
      <c r="N1656" s="39" t="n">
        <f aca="false">J1656*Resumo!$C$7</f>
        <v>1.38198</v>
      </c>
      <c r="O1656" s="39" t="n">
        <f aca="false">J1656*Resumo!$C$8</f>
        <v>1.38198</v>
      </c>
      <c r="P1656" s="39" t="n">
        <f aca="false">Resumo!$C$10*CEILING(I1656/100,1)</f>
        <v>1</v>
      </c>
      <c r="Q1656" s="39" t="n">
        <f aca="false">Resumo!$C$9</f>
        <v>11.9</v>
      </c>
      <c r="R1656" s="39" t="n">
        <f aca="false">SUM(M1656:Q1656)*Resumo!$C$11</f>
        <v>4.7665178</v>
      </c>
      <c r="S1656" s="39" t="n">
        <f aca="false">SUM(M1656:R1656)</f>
        <v>91.4304778</v>
      </c>
      <c r="T1656" s="39" t="n">
        <f aca="false">S1656/(1-Resumo!$C$5)</f>
        <v>103.898270227273</v>
      </c>
      <c r="U1656" s="39" t="n">
        <v>93.97</v>
      </c>
      <c r="V1656" s="39" t="n">
        <f aca="false">J1656*Resumo!$B$6</f>
        <v>0.69099</v>
      </c>
      <c r="W1656" s="39" t="n">
        <f aca="false">J1656*Resumo!$B$7</f>
        <v>1.38198</v>
      </c>
      <c r="X1656" s="39" t="n">
        <f aca="false">Resumo!$B$9</f>
        <v>1</v>
      </c>
      <c r="Y1656" s="39" t="n">
        <f aca="false">Resumo!$B$10*CEILING(I1656/100,1)</f>
        <v>4.5</v>
      </c>
      <c r="Z1656" s="39" t="n">
        <f aca="false">Resumo!$B$12*CEILING(I1656,1)</f>
        <v>2.64</v>
      </c>
      <c r="AA1656" s="39" t="n">
        <f aca="false">Resumo!$B$13*CEILING(I1656,1)</f>
        <v>19.8</v>
      </c>
      <c r="AB1656" s="39" t="n">
        <f aca="false">SUM(U1656:AA1656)</f>
        <v>123.98297</v>
      </c>
      <c r="AC1656" s="39" t="n">
        <f aca="false">AB1656/(1-Resumo!$B$5)</f>
        <v>140.889738636364</v>
      </c>
      <c r="AD1656" s="39" t="n">
        <f aca="false">(AB1656-AA1656)/(1-Resumo!$B$5)</f>
        <v>118.389738636364</v>
      </c>
      <c r="AE1656" s="39" t="n">
        <f aca="false">AC1656-T1656</f>
        <v>36.9914684090909</v>
      </c>
      <c r="AF1656" s="40" t="n">
        <f aca="false">AC1656/T1656-1</f>
        <v>0.35603545976438</v>
      </c>
      <c r="AG1656" s="37" t="str">
        <f aca="false">IF(AC1656&lt;T1656,"SIM","NÃO")</f>
        <v>NÃO</v>
      </c>
      <c r="AH1656" s="37" t="n">
        <v>8</v>
      </c>
      <c r="AI1656" s="37" t="n">
        <v>5</v>
      </c>
      <c r="AJ1656" s="37" t="s">
        <v>323</v>
      </c>
    </row>
    <row r="1657" customFormat="false" ht="15" hidden="false" customHeight="false" outlineLevel="0" collapsed="false">
      <c r="A1657" s="37" t="n">
        <v>391514814</v>
      </c>
      <c r="B1657" s="38" t="n">
        <v>46274.5730787037</v>
      </c>
      <c r="C1657" s="37" t="s">
        <v>320</v>
      </c>
      <c r="D1657" s="37" t="s">
        <v>1839</v>
      </c>
      <c r="E1657" s="37" t="n">
        <v>24715631</v>
      </c>
      <c r="F1657" s="37" t="s">
        <v>140</v>
      </c>
      <c r="G1657" s="37" t="s">
        <v>207</v>
      </c>
      <c r="H1657" s="37" t="s">
        <v>168</v>
      </c>
      <c r="I1657" s="37" t="n">
        <v>30.5</v>
      </c>
      <c r="J1657" s="39" t="n">
        <v>429.99</v>
      </c>
      <c r="K1657" s="37" t="s">
        <v>498</v>
      </c>
      <c r="L1657" s="39" t="n">
        <v>101.31</v>
      </c>
      <c r="M1657" s="39" t="n">
        <v>70</v>
      </c>
      <c r="N1657" s="39" t="n">
        <f aca="false">J1657*Resumo!$C$7</f>
        <v>0.85998</v>
      </c>
      <c r="O1657" s="39" t="n">
        <f aca="false">J1657*Resumo!$C$8</f>
        <v>0.85998</v>
      </c>
      <c r="P1657" s="39" t="n">
        <f aca="false">Resumo!$C$10*CEILING(I1657/100,1)</f>
        <v>1</v>
      </c>
      <c r="Q1657" s="39" t="n">
        <f aca="false">Resumo!$C$9</f>
        <v>11.9</v>
      </c>
      <c r="R1657" s="39" t="n">
        <f aca="false">SUM(M1657:Q1657)*Resumo!$C$11</f>
        <v>4.6540978</v>
      </c>
      <c r="S1657" s="39" t="n">
        <f aca="false">SUM(M1657:R1657)</f>
        <v>89.2740578</v>
      </c>
      <c r="T1657" s="39" t="n">
        <f aca="false">S1657/(1-Resumo!$C$5)</f>
        <v>101.447792954545</v>
      </c>
      <c r="U1657" s="39" t="n">
        <v>100.58</v>
      </c>
      <c r="V1657" s="39" t="n">
        <f aca="false">J1657*Resumo!$B$6</f>
        <v>0.42999</v>
      </c>
      <c r="W1657" s="39" t="n">
        <f aca="false">J1657*Resumo!$B$7</f>
        <v>0.85998</v>
      </c>
      <c r="X1657" s="39" t="n">
        <f aca="false">Resumo!$B$9</f>
        <v>1</v>
      </c>
      <c r="Y1657" s="39" t="n">
        <f aca="false">Resumo!$B$10*CEILING(I1657/100,1)</f>
        <v>4.5</v>
      </c>
      <c r="Z1657" s="39" t="n">
        <f aca="false">Resumo!$B$12*CEILING(I1657,1)</f>
        <v>1.86</v>
      </c>
      <c r="AA1657" s="39" t="n">
        <f aca="false">Resumo!$B$13*CEILING(I1657,1)</f>
        <v>13.95</v>
      </c>
      <c r="AB1657" s="39" t="n">
        <f aca="false">SUM(U1657:AA1657)</f>
        <v>123.17997</v>
      </c>
      <c r="AC1657" s="39" t="n">
        <f aca="false">AB1657/(1-Resumo!$B$5)</f>
        <v>139.977238636364</v>
      </c>
      <c r="AD1657" s="39" t="n">
        <f aca="false">(AB1657-AA1657)/(1-Resumo!$B$5)</f>
        <v>124.124965909091</v>
      </c>
      <c r="AE1657" s="39" t="n">
        <f aca="false">AC1657-T1657</f>
        <v>38.5294456818182</v>
      </c>
      <c r="AF1657" s="40" t="n">
        <f aca="false">AC1657/T1657-1</f>
        <v>0.379795799984349</v>
      </c>
      <c r="AG1657" s="37" t="str">
        <f aca="false">IF(AC1657&lt;T1657,"SIM","NÃO")</f>
        <v>NÃO</v>
      </c>
      <c r="AH1657" s="37" t="n">
        <v>10</v>
      </c>
      <c r="AI1657" s="37" t="n">
        <v>7</v>
      </c>
      <c r="AJ1657" s="37" t="s">
        <v>323</v>
      </c>
    </row>
    <row r="1658" customFormat="false" ht="15" hidden="false" customHeight="false" outlineLevel="0" collapsed="false">
      <c r="A1658" s="37" t="n">
        <v>391515967</v>
      </c>
      <c r="B1658" s="38" t="n">
        <v>46274.5741435185</v>
      </c>
      <c r="C1658" s="37" t="s">
        <v>320</v>
      </c>
      <c r="D1658" s="37" t="s">
        <v>1840</v>
      </c>
      <c r="E1658" s="37" t="n">
        <v>21842596</v>
      </c>
      <c r="F1658" s="37" t="s">
        <v>139</v>
      </c>
      <c r="G1658" s="37" t="s">
        <v>198</v>
      </c>
      <c r="H1658" s="37" t="s">
        <v>169</v>
      </c>
      <c r="I1658" s="37" t="n">
        <v>40</v>
      </c>
      <c r="J1658" s="39" t="n">
        <v>579.99</v>
      </c>
      <c r="K1658" s="37" t="s">
        <v>322</v>
      </c>
      <c r="L1658" s="39" t="n">
        <v>92.64</v>
      </c>
      <c r="M1658" s="39" t="n">
        <v>62.05</v>
      </c>
      <c r="N1658" s="39" t="n">
        <f aca="false">J1658*Resumo!$C$7</f>
        <v>1.15998</v>
      </c>
      <c r="O1658" s="39" t="n">
        <f aca="false">J1658*Resumo!$C$8</f>
        <v>1.15998</v>
      </c>
      <c r="P1658" s="39" t="n">
        <f aca="false">Resumo!$C$10*CEILING(I1658/100,1)</f>
        <v>1</v>
      </c>
      <c r="Q1658" s="39" t="n">
        <f aca="false">Resumo!$C$9</f>
        <v>11.9</v>
      </c>
      <c r="R1658" s="39" t="n">
        <f aca="false">SUM(M1658:Q1658)*Resumo!$C$11</f>
        <v>4.2498478</v>
      </c>
      <c r="S1658" s="39" t="n">
        <f aca="false">SUM(M1658:R1658)</f>
        <v>81.5198078</v>
      </c>
      <c r="T1658" s="39" t="n">
        <f aca="false">S1658/(1-Resumo!$C$5)</f>
        <v>92.6361452272727</v>
      </c>
      <c r="U1658" s="39" t="n">
        <v>93.97</v>
      </c>
      <c r="V1658" s="39" t="n">
        <f aca="false">J1658*Resumo!$B$6</f>
        <v>0.57999</v>
      </c>
      <c r="W1658" s="39" t="n">
        <f aca="false">J1658*Resumo!$B$7</f>
        <v>1.15998</v>
      </c>
      <c r="X1658" s="39" t="n">
        <f aca="false">Resumo!$B$9</f>
        <v>1</v>
      </c>
      <c r="Y1658" s="39" t="n">
        <f aca="false">Resumo!$B$10*CEILING(I1658/100,1)</f>
        <v>4.5</v>
      </c>
      <c r="Z1658" s="39" t="n">
        <f aca="false">Resumo!$B$12*CEILING(I1658,1)</f>
        <v>2.4</v>
      </c>
      <c r="AA1658" s="39" t="n">
        <f aca="false">Resumo!$B$13*CEILING(I1658,1)</f>
        <v>18</v>
      </c>
      <c r="AB1658" s="39" t="n">
        <f aca="false">SUM(U1658:AA1658)</f>
        <v>121.60997</v>
      </c>
      <c r="AC1658" s="39" t="n">
        <f aca="false">AB1658/(1-Resumo!$B$5)</f>
        <v>138.193147727273</v>
      </c>
      <c r="AD1658" s="39" t="n">
        <f aca="false">(AB1658-AA1658)/(1-Resumo!$B$5)</f>
        <v>117.738602272727</v>
      </c>
      <c r="AE1658" s="39" t="n">
        <f aca="false">AC1658-T1658</f>
        <v>45.5570025</v>
      </c>
      <c r="AF1658" s="40" t="n">
        <f aca="false">AC1658/T1658-1</f>
        <v>0.491784307175464</v>
      </c>
      <c r="AG1658" s="37" t="str">
        <f aca="false">IF(AC1658&lt;T1658,"SIM","NÃO")</f>
        <v>NÃO</v>
      </c>
      <c r="AH1658" s="37" t="n">
        <v>8</v>
      </c>
      <c r="AI1658" s="37" t="n">
        <v>5</v>
      </c>
      <c r="AJ1658" s="37" t="s">
        <v>323</v>
      </c>
    </row>
    <row r="1659" customFormat="false" ht="15" hidden="false" customHeight="false" outlineLevel="0" collapsed="false">
      <c r="A1659" s="37" t="n">
        <v>391663600</v>
      </c>
      <c r="B1659" s="38" t="n">
        <v>46274.5812615741</v>
      </c>
      <c r="C1659" s="37" t="s">
        <v>325</v>
      </c>
      <c r="D1659" s="37" t="s">
        <v>1841</v>
      </c>
      <c r="E1659" s="37" t="n">
        <v>24440900</v>
      </c>
      <c r="F1659" s="37" t="s">
        <v>140</v>
      </c>
      <c r="G1659" s="37" t="s">
        <v>207</v>
      </c>
      <c r="H1659" s="37" t="s">
        <v>170</v>
      </c>
      <c r="I1659" s="37" t="n">
        <v>48.6</v>
      </c>
      <c r="J1659" s="39" t="n">
        <v>601.74</v>
      </c>
      <c r="K1659" s="37" t="s">
        <v>498</v>
      </c>
      <c r="L1659" s="39" t="n">
        <v>118.78</v>
      </c>
      <c r="M1659" s="39" t="n">
        <v>82.25</v>
      </c>
      <c r="N1659" s="39" t="n">
        <f aca="false">J1659*Resumo!$C$7</f>
        <v>1.20348</v>
      </c>
      <c r="O1659" s="39" t="n">
        <f aca="false">J1659*Resumo!$C$8</f>
        <v>1.20348</v>
      </c>
      <c r="P1659" s="39" t="n">
        <f aca="false">Resumo!$C$10*CEILING(I1659/100,1)</f>
        <v>1</v>
      </c>
      <c r="Q1659" s="39" t="n">
        <f aca="false">Resumo!$C$9</f>
        <v>11.9</v>
      </c>
      <c r="R1659" s="39" t="n">
        <f aca="false">SUM(M1659:Q1659)*Resumo!$C$11</f>
        <v>5.3656328</v>
      </c>
      <c r="S1659" s="39" t="n">
        <f aca="false">SUM(M1659:R1659)</f>
        <v>102.9225928</v>
      </c>
      <c r="T1659" s="39" t="n">
        <f aca="false">S1659/(1-Resumo!$C$5)</f>
        <v>116.957491818182</v>
      </c>
      <c r="U1659" s="39" t="n">
        <v>114.95</v>
      </c>
      <c r="V1659" s="39" t="n">
        <f aca="false">J1659*Resumo!$B$6</f>
        <v>0.60174</v>
      </c>
      <c r="W1659" s="39" t="n">
        <f aca="false">J1659*Resumo!$B$7</f>
        <v>1.20348</v>
      </c>
      <c r="X1659" s="39" t="n">
        <f aca="false">Resumo!$B$9</f>
        <v>1</v>
      </c>
      <c r="Y1659" s="39" t="n">
        <f aca="false">Resumo!$B$10*CEILING(I1659/100,1)</f>
        <v>4.5</v>
      </c>
      <c r="Z1659" s="39" t="n">
        <f aca="false">Resumo!$B$12*CEILING(I1659,1)</f>
        <v>2.94</v>
      </c>
      <c r="AA1659" s="39" t="n">
        <f aca="false">Resumo!$B$13*CEILING(I1659,1)</f>
        <v>22.05</v>
      </c>
      <c r="AB1659" s="39" t="n">
        <f aca="false">SUM(U1659:AA1659)</f>
        <v>147.24522</v>
      </c>
      <c r="AC1659" s="39" t="n">
        <f aca="false">AB1659/(1-Resumo!$B$5)</f>
        <v>167.324113636364</v>
      </c>
      <c r="AD1659" s="39" t="n">
        <f aca="false">(AB1659-AA1659)/(1-Resumo!$B$5)</f>
        <v>142.267295454546</v>
      </c>
      <c r="AE1659" s="39" t="n">
        <f aca="false">AC1659-T1659</f>
        <v>50.3666218181818</v>
      </c>
      <c r="AF1659" s="40" t="n">
        <f aca="false">AC1659/T1659-1</f>
        <v>0.430640406486145</v>
      </c>
      <c r="AG1659" s="37" t="str">
        <f aca="false">IF(AC1659&lt;T1659,"SIM","NÃO")</f>
        <v>NÃO</v>
      </c>
      <c r="AH1659" s="37" t="n">
        <v>10</v>
      </c>
      <c r="AI1659" s="37" t="n">
        <v>7</v>
      </c>
      <c r="AJ1659" s="37" t="s">
        <v>323</v>
      </c>
    </row>
    <row r="1660" customFormat="false" ht="15" hidden="false" customHeight="false" outlineLevel="0" collapsed="false">
      <c r="A1660" s="37" t="n">
        <v>391527267</v>
      </c>
      <c r="B1660" s="38" t="n">
        <v>46274.5873958333</v>
      </c>
      <c r="C1660" s="37" t="s">
        <v>320</v>
      </c>
      <c r="D1660" s="37" t="s">
        <v>1842</v>
      </c>
      <c r="E1660" s="37" t="n">
        <v>27966690</v>
      </c>
      <c r="F1660" s="37" t="s">
        <v>146</v>
      </c>
      <c r="G1660" s="37" t="s">
        <v>201</v>
      </c>
      <c r="H1660" s="37" t="s">
        <v>168</v>
      </c>
      <c r="I1660" s="37" t="n">
        <v>27.6</v>
      </c>
      <c r="J1660" s="39" t="n">
        <v>559.99</v>
      </c>
      <c r="K1660" s="37" t="s">
        <v>498</v>
      </c>
      <c r="L1660" s="39" t="n">
        <v>108.17</v>
      </c>
      <c r="M1660" s="39" t="n">
        <v>76.5</v>
      </c>
      <c r="N1660" s="39" t="n">
        <f aca="false">J1660*Resumo!$C$7</f>
        <v>1.11998</v>
      </c>
      <c r="O1660" s="39" t="n">
        <f aca="false">J1660*Resumo!$C$8</f>
        <v>1.11998</v>
      </c>
      <c r="P1660" s="39" t="n">
        <f aca="false">Resumo!$C$10*CEILING(I1660/100,1)</f>
        <v>1</v>
      </c>
      <c r="Q1660" s="39" t="n">
        <f aca="false">Resumo!$C$9</f>
        <v>11.9</v>
      </c>
      <c r="R1660" s="39" t="n">
        <f aca="false">SUM(M1660:Q1660)*Resumo!$C$11</f>
        <v>5.0401978</v>
      </c>
      <c r="S1660" s="39" t="n">
        <f aca="false">SUM(M1660:R1660)</f>
        <v>96.6801578</v>
      </c>
      <c r="T1660" s="39" t="n">
        <f aca="false">S1660/(1-Resumo!$C$5)</f>
        <v>109.863815681818</v>
      </c>
      <c r="U1660" s="39" t="n">
        <v>138.29</v>
      </c>
      <c r="V1660" s="39" t="n">
        <f aca="false">J1660*Resumo!$B$6</f>
        <v>0.55999</v>
      </c>
      <c r="W1660" s="39" t="n">
        <f aca="false">J1660*Resumo!$B$7</f>
        <v>1.11998</v>
      </c>
      <c r="X1660" s="39" t="n">
        <f aca="false">Resumo!$B$9</f>
        <v>1</v>
      </c>
      <c r="Y1660" s="39" t="n">
        <f aca="false">Resumo!$B$10*CEILING(I1660/100,1)</f>
        <v>4.5</v>
      </c>
      <c r="Z1660" s="39" t="n">
        <f aca="false">Resumo!$B$12*CEILING(I1660,1)</f>
        <v>1.68</v>
      </c>
      <c r="AA1660" s="39" t="n">
        <f aca="false">Resumo!$B$13*CEILING(I1660,1)</f>
        <v>12.6</v>
      </c>
      <c r="AB1660" s="39" t="n">
        <f aca="false">SUM(U1660:AA1660)</f>
        <v>159.74997</v>
      </c>
      <c r="AC1660" s="39" t="n">
        <f aca="false">AB1660/(1-Resumo!$B$5)</f>
        <v>181.534056818182</v>
      </c>
      <c r="AD1660" s="39" t="n">
        <f aca="false">(AB1660-AA1660)/(1-Resumo!$B$5)</f>
        <v>167.215875</v>
      </c>
      <c r="AE1660" s="39" t="n">
        <f aca="false">AC1660-T1660</f>
        <v>71.6702411363636</v>
      </c>
      <c r="AF1660" s="40" t="n">
        <f aca="false">AC1660/T1660-1</f>
        <v>0.652355288149933</v>
      </c>
      <c r="AG1660" s="37" t="str">
        <f aca="false">IF(AC1660&lt;T1660,"SIM","NÃO")</f>
        <v>NÃO</v>
      </c>
      <c r="AH1660" s="37" t="n">
        <v>13</v>
      </c>
      <c r="AI1660" s="37" t="n">
        <v>11</v>
      </c>
      <c r="AJ1660" s="37" t="s">
        <v>323</v>
      </c>
    </row>
    <row r="1661" customFormat="false" ht="15" hidden="false" customHeight="false" outlineLevel="0" collapsed="false">
      <c r="A1661" s="37" t="n">
        <v>391529192</v>
      </c>
      <c r="B1661" s="38" t="n">
        <v>46274.5892361111</v>
      </c>
      <c r="C1661" s="37" t="s">
        <v>320</v>
      </c>
      <c r="D1661" s="37" t="s">
        <v>1843</v>
      </c>
      <c r="E1661" s="37" t="n">
        <v>27963795</v>
      </c>
      <c r="F1661" s="37" t="s">
        <v>146</v>
      </c>
      <c r="G1661" s="37" t="s">
        <v>201</v>
      </c>
      <c r="H1661" s="37" t="s">
        <v>168</v>
      </c>
      <c r="I1661" s="37" t="n">
        <v>27</v>
      </c>
      <c r="J1661" s="39" t="n">
        <v>349.99</v>
      </c>
      <c r="K1661" s="37" t="s">
        <v>498</v>
      </c>
      <c r="L1661" s="39" t="n">
        <v>106.64</v>
      </c>
      <c r="M1661" s="39" t="n">
        <v>76.5</v>
      </c>
      <c r="N1661" s="39" t="n">
        <f aca="false">J1661*Resumo!$C$7</f>
        <v>0.69998</v>
      </c>
      <c r="O1661" s="39" t="n">
        <f aca="false">J1661*Resumo!$C$8</f>
        <v>0.69998</v>
      </c>
      <c r="P1661" s="39" t="n">
        <f aca="false">Resumo!$C$10*CEILING(I1661/100,1)</f>
        <v>1</v>
      </c>
      <c r="Q1661" s="39" t="n">
        <f aca="false">Resumo!$C$9</f>
        <v>11.9</v>
      </c>
      <c r="R1661" s="39" t="n">
        <f aca="false">SUM(M1661:Q1661)*Resumo!$C$11</f>
        <v>4.9939978</v>
      </c>
      <c r="S1661" s="39" t="n">
        <f aca="false">SUM(M1661:R1661)</f>
        <v>95.7939578</v>
      </c>
      <c r="T1661" s="39" t="n">
        <f aca="false">S1661/(1-Resumo!$C$5)</f>
        <v>108.856770227273</v>
      </c>
      <c r="U1661" s="39" t="n">
        <v>138.29</v>
      </c>
      <c r="V1661" s="39" t="n">
        <f aca="false">J1661*Resumo!$B$6</f>
        <v>0.34999</v>
      </c>
      <c r="W1661" s="39" t="n">
        <f aca="false">J1661*Resumo!$B$7</f>
        <v>0.69998</v>
      </c>
      <c r="X1661" s="39" t="n">
        <f aca="false">Resumo!$B$9</f>
        <v>1</v>
      </c>
      <c r="Y1661" s="39" t="n">
        <f aca="false">Resumo!$B$10*CEILING(I1661/100,1)</f>
        <v>4.5</v>
      </c>
      <c r="Z1661" s="39" t="n">
        <f aca="false">Resumo!$B$12*CEILING(I1661,1)</f>
        <v>1.62</v>
      </c>
      <c r="AA1661" s="39" t="n">
        <f aca="false">Resumo!$B$13*CEILING(I1661,1)</f>
        <v>12.15</v>
      </c>
      <c r="AB1661" s="39" t="n">
        <f aca="false">SUM(U1661:AA1661)</f>
        <v>158.60997</v>
      </c>
      <c r="AC1661" s="39" t="n">
        <f aca="false">AB1661/(1-Resumo!$B$5)</f>
        <v>180.238602272727</v>
      </c>
      <c r="AD1661" s="39" t="n">
        <f aca="false">(AB1661-AA1661)/(1-Resumo!$B$5)</f>
        <v>166.431784090909</v>
      </c>
      <c r="AE1661" s="39" t="n">
        <f aca="false">AC1661-T1661</f>
        <v>71.3818320454545</v>
      </c>
      <c r="AF1661" s="40" t="n">
        <f aca="false">AC1661/T1661-1</f>
        <v>0.655740859263255</v>
      </c>
      <c r="AG1661" s="37" t="str">
        <f aca="false">IF(AC1661&lt;T1661,"SIM","NÃO")</f>
        <v>NÃO</v>
      </c>
      <c r="AH1661" s="37" t="n">
        <v>13</v>
      </c>
      <c r="AI1661" s="37" t="n">
        <v>11</v>
      </c>
      <c r="AJ1661" s="37" t="s">
        <v>323</v>
      </c>
    </row>
    <row r="1662" customFormat="false" ht="15" hidden="false" customHeight="false" outlineLevel="0" collapsed="false">
      <c r="A1662" s="37" t="n">
        <v>391535167</v>
      </c>
      <c r="B1662" s="38" t="n">
        <v>46274.5951388889</v>
      </c>
      <c r="C1662" s="37" t="s">
        <v>325</v>
      </c>
      <c r="D1662" s="37" t="s">
        <v>1844</v>
      </c>
      <c r="E1662" s="37" t="n">
        <v>23914325</v>
      </c>
      <c r="F1662" s="37" t="s">
        <v>149</v>
      </c>
      <c r="G1662" s="37" t="s">
        <v>201</v>
      </c>
      <c r="H1662" s="37" t="s">
        <v>167</v>
      </c>
      <c r="I1662" s="37" t="n">
        <v>15.15</v>
      </c>
      <c r="J1662" s="39" t="n">
        <v>230.54</v>
      </c>
      <c r="K1662" s="37" t="s">
        <v>498</v>
      </c>
      <c r="L1662" s="39" t="n">
        <v>79.22</v>
      </c>
      <c r="M1662" s="39" t="n">
        <v>52.71</v>
      </c>
      <c r="N1662" s="39" t="n">
        <f aca="false">J1662*Resumo!$C$7</f>
        <v>0.46108</v>
      </c>
      <c r="O1662" s="39" t="n">
        <f aca="false">J1662*Resumo!$C$8</f>
        <v>0.46108</v>
      </c>
      <c r="P1662" s="39" t="n">
        <f aca="false">Resumo!$C$10*CEILING(I1662/100,1)</f>
        <v>1</v>
      </c>
      <c r="Q1662" s="39" t="n">
        <f aca="false">Resumo!$C$9</f>
        <v>11.9</v>
      </c>
      <c r="R1662" s="39" t="n">
        <f aca="false">SUM(M1662:Q1662)*Resumo!$C$11</f>
        <v>3.6592688</v>
      </c>
      <c r="S1662" s="39" t="n">
        <f aca="false">SUM(M1662:R1662)</f>
        <v>70.1914288</v>
      </c>
      <c r="T1662" s="39" t="n">
        <f aca="false">S1662/(1-Resumo!$C$5)</f>
        <v>79.7629872727273</v>
      </c>
      <c r="U1662" s="39" t="n">
        <v>77.35</v>
      </c>
      <c r="V1662" s="39" t="n">
        <f aca="false">J1662*Resumo!$B$6</f>
        <v>0.23054</v>
      </c>
      <c r="W1662" s="39" t="n">
        <f aca="false">J1662*Resumo!$B$7</f>
        <v>0.46108</v>
      </c>
      <c r="X1662" s="39" t="n">
        <f aca="false">Resumo!$B$9</f>
        <v>1</v>
      </c>
      <c r="Y1662" s="39" t="n">
        <f aca="false">Resumo!$B$10*CEILING(I1662/100,1)</f>
        <v>4.5</v>
      </c>
      <c r="Z1662" s="39" t="n">
        <f aca="false">Resumo!$B$12*CEILING(I1662,1)</f>
        <v>0.96</v>
      </c>
      <c r="AA1662" s="39" t="n">
        <f aca="false">Resumo!$B$13*CEILING(I1662,1)</f>
        <v>7.2</v>
      </c>
      <c r="AB1662" s="39" t="n">
        <f aca="false">SUM(U1662:AA1662)</f>
        <v>91.70162</v>
      </c>
      <c r="AC1662" s="39" t="n">
        <f aca="false">AB1662/(1-Resumo!$B$5)</f>
        <v>104.206386363636</v>
      </c>
      <c r="AD1662" s="39" t="n">
        <f aca="false">(AB1662-AA1662)/(1-Resumo!$B$5)</f>
        <v>96.0245681818182</v>
      </c>
      <c r="AE1662" s="39" t="n">
        <f aca="false">AC1662-T1662</f>
        <v>24.4433990909091</v>
      </c>
      <c r="AF1662" s="40" t="n">
        <f aca="false">AC1662/T1662-1</f>
        <v>0.30645039669003</v>
      </c>
      <c r="AG1662" s="37" t="str">
        <f aca="false">IF(AC1662&lt;T1662,"SIM","NÃO")</f>
        <v>NÃO</v>
      </c>
      <c r="AH1662" s="37" t="n">
        <v>13</v>
      </c>
      <c r="AI1662" s="37" t="n">
        <v>10</v>
      </c>
      <c r="AJ1662" s="37" t="s">
        <v>323</v>
      </c>
    </row>
    <row r="1663" customFormat="false" ht="15" hidden="false" customHeight="false" outlineLevel="0" collapsed="false">
      <c r="A1663" s="37" t="n">
        <v>391531300</v>
      </c>
      <c r="B1663" s="38" t="n">
        <v>46274.596875</v>
      </c>
      <c r="C1663" s="37" t="s">
        <v>352</v>
      </c>
      <c r="D1663" s="37" t="s">
        <v>1287</v>
      </c>
      <c r="E1663" s="37" t="n">
        <v>23575275</v>
      </c>
      <c r="F1663" s="37" t="s">
        <v>139</v>
      </c>
      <c r="G1663" s="37" t="s">
        <v>198</v>
      </c>
      <c r="H1663" s="37" t="s">
        <v>169</v>
      </c>
      <c r="I1663" s="37" t="n">
        <v>38.15</v>
      </c>
      <c r="J1663" s="39" t="n">
        <v>459.99</v>
      </c>
      <c r="K1663" s="37" t="s">
        <v>498</v>
      </c>
      <c r="L1663" s="39" t="n">
        <v>93.68</v>
      </c>
      <c r="M1663" s="39" t="n">
        <v>62.05</v>
      </c>
      <c r="N1663" s="39" t="n">
        <f aca="false">J1663*Resumo!$C$7</f>
        <v>0.91998</v>
      </c>
      <c r="O1663" s="39" t="n">
        <f aca="false">J1663*Resumo!$C$8</f>
        <v>0.91998</v>
      </c>
      <c r="P1663" s="39" t="n">
        <f aca="false">Resumo!$C$10*CEILING(I1663/100,1)</f>
        <v>1</v>
      </c>
      <c r="Q1663" s="39" t="n">
        <f aca="false">Resumo!$C$9</f>
        <v>11.9</v>
      </c>
      <c r="R1663" s="39" t="n">
        <f aca="false">SUM(M1663:Q1663)*Resumo!$C$11</f>
        <v>4.2234478</v>
      </c>
      <c r="S1663" s="39" t="n">
        <f aca="false">SUM(M1663:R1663)</f>
        <v>81.0134078</v>
      </c>
      <c r="T1663" s="39" t="n">
        <f aca="false">S1663/(1-Resumo!$C$5)</f>
        <v>92.0606906818182</v>
      </c>
      <c r="U1663" s="39" t="n">
        <v>93.97</v>
      </c>
      <c r="V1663" s="39" t="n">
        <f aca="false">J1663*Resumo!$B$6</f>
        <v>0.45999</v>
      </c>
      <c r="W1663" s="39" t="n">
        <f aca="false">J1663*Resumo!$B$7</f>
        <v>0.91998</v>
      </c>
      <c r="X1663" s="39" t="n">
        <f aca="false">Resumo!$B$9</f>
        <v>1</v>
      </c>
      <c r="Y1663" s="39" t="n">
        <f aca="false">Resumo!$B$10*CEILING(I1663/100,1)</f>
        <v>4.5</v>
      </c>
      <c r="Z1663" s="39" t="n">
        <f aca="false">Resumo!$B$12*CEILING(I1663,1)</f>
        <v>2.34</v>
      </c>
      <c r="AA1663" s="39" t="n">
        <f aca="false">Resumo!$B$13*CEILING(I1663,1)</f>
        <v>17.55</v>
      </c>
      <c r="AB1663" s="39" t="n">
        <f aca="false">SUM(U1663:AA1663)</f>
        <v>120.73997</v>
      </c>
      <c r="AC1663" s="39" t="n">
        <f aca="false">AB1663/(1-Resumo!$B$5)</f>
        <v>137.204511363636</v>
      </c>
      <c r="AD1663" s="39" t="n">
        <f aca="false">(AB1663-AA1663)/(1-Resumo!$B$5)</f>
        <v>117.261329545455</v>
      </c>
      <c r="AE1663" s="39" t="n">
        <f aca="false">AC1663-T1663</f>
        <v>45.1438206818182</v>
      </c>
      <c r="AF1663" s="40" t="n">
        <f aca="false">AC1663/T1663-1</f>
        <v>0.490370214990512</v>
      </c>
      <c r="AG1663" s="37" t="str">
        <f aca="false">IF(AC1663&lt;T1663,"SIM","NÃO")</f>
        <v>NÃO</v>
      </c>
      <c r="AH1663" s="37" t="n">
        <v>8</v>
      </c>
      <c r="AI1663" s="37" t="n">
        <v>5</v>
      </c>
      <c r="AJ1663" s="37" t="s">
        <v>323</v>
      </c>
    </row>
    <row r="1664" customFormat="false" ht="15" hidden="false" customHeight="false" outlineLevel="0" collapsed="false">
      <c r="A1664" s="37" t="n">
        <v>391544534</v>
      </c>
      <c r="B1664" s="38" t="n">
        <v>46274.6049884259</v>
      </c>
      <c r="C1664" s="37" t="s">
        <v>320</v>
      </c>
      <c r="D1664" s="37" t="s">
        <v>1845</v>
      </c>
      <c r="E1664" s="37" t="n">
        <v>23078001</v>
      </c>
      <c r="F1664" s="37" t="s">
        <v>139</v>
      </c>
      <c r="G1664" s="37" t="s">
        <v>198</v>
      </c>
      <c r="H1664" s="37" t="s">
        <v>169</v>
      </c>
      <c r="I1664" s="37" t="n">
        <v>37.5</v>
      </c>
      <c r="J1664" s="39" t="n">
        <v>342.99</v>
      </c>
      <c r="K1664" s="37" t="s">
        <v>498</v>
      </c>
      <c r="L1664" s="39" t="n">
        <v>92.6</v>
      </c>
      <c r="M1664" s="39" t="n">
        <v>62.05</v>
      </c>
      <c r="N1664" s="39" t="n">
        <f aca="false">J1664*Resumo!$C$7</f>
        <v>0.68598</v>
      </c>
      <c r="O1664" s="39" t="n">
        <f aca="false">J1664*Resumo!$C$8</f>
        <v>0.68598</v>
      </c>
      <c r="P1664" s="39" t="n">
        <f aca="false">Resumo!$C$10*CEILING(I1664/100,1)</f>
        <v>1</v>
      </c>
      <c r="Q1664" s="39" t="n">
        <f aca="false">Resumo!$C$9</f>
        <v>11.9</v>
      </c>
      <c r="R1664" s="39" t="n">
        <f aca="false">SUM(M1664:Q1664)*Resumo!$C$11</f>
        <v>4.1977078</v>
      </c>
      <c r="S1664" s="39" t="n">
        <f aca="false">SUM(M1664:R1664)</f>
        <v>80.5196678</v>
      </c>
      <c r="T1664" s="39" t="n">
        <f aca="false">S1664/(1-Resumo!$C$5)</f>
        <v>91.4996225</v>
      </c>
      <c r="U1664" s="39" t="n">
        <v>93.97</v>
      </c>
      <c r="V1664" s="39" t="n">
        <f aca="false">J1664*Resumo!$B$6</f>
        <v>0.34299</v>
      </c>
      <c r="W1664" s="39" t="n">
        <f aca="false">J1664*Resumo!$B$7</f>
        <v>0.68598</v>
      </c>
      <c r="X1664" s="39" t="n">
        <f aca="false">Resumo!$B$9</f>
        <v>1</v>
      </c>
      <c r="Y1664" s="39" t="n">
        <f aca="false">Resumo!$B$10*CEILING(I1664/100,1)</f>
        <v>4.5</v>
      </c>
      <c r="Z1664" s="39" t="n">
        <f aca="false">Resumo!$B$12*CEILING(I1664,1)</f>
        <v>2.28</v>
      </c>
      <c r="AA1664" s="39" t="n">
        <f aca="false">Resumo!$B$13*CEILING(I1664,1)</f>
        <v>17.1</v>
      </c>
      <c r="AB1664" s="39" t="n">
        <f aca="false">SUM(U1664:AA1664)</f>
        <v>119.87897</v>
      </c>
      <c r="AC1664" s="39" t="n">
        <f aca="false">AB1664/(1-Resumo!$B$5)</f>
        <v>136.226102272727</v>
      </c>
      <c r="AD1664" s="39" t="n">
        <f aca="false">(AB1664-AA1664)/(1-Resumo!$B$5)</f>
        <v>116.794284090909</v>
      </c>
      <c r="AE1664" s="39" t="n">
        <f aca="false">AC1664-T1664</f>
        <v>44.7264797727273</v>
      </c>
      <c r="AF1664" s="40" t="n">
        <f aca="false">AC1664/T1664-1</f>
        <v>0.488816003287087</v>
      </c>
      <c r="AG1664" s="37" t="str">
        <f aca="false">IF(AC1664&lt;T1664,"SIM","NÃO")</f>
        <v>NÃO</v>
      </c>
      <c r="AH1664" s="37" t="n">
        <v>8</v>
      </c>
      <c r="AI1664" s="37" t="n">
        <v>5</v>
      </c>
      <c r="AJ1664" s="37" t="s">
        <v>323</v>
      </c>
    </row>
    <row r="1665" customFormat="false" ht="15" hidden="false" customHeight="false" outlineLevel="0" collapsed="false">
      <c r="A1665" s="37" t="n">
        <v>391570685</v>
      </c>
      <c r="B1665" s="38" t="n">
        <v>46274.6282638889</v>
      </c>
      <c r="C1665" s="37" t="s">
        <v>320</v>
      </c>
      <c r="D1665" s="37" t="s">
        <v>1846</v>
      </c>
      <c r="E1665" s="37" t="n">
        <v>24467000</v>
      </c>
      <c r="F1665" s="37" t="s">
        <v>140</v>
      </c>
      <c r="G1665" s="37" t="s">
        <v>207</v>
      </c>
      <c r="H1665" s="37" t="s">
        <v>168</v>
      </c>
      <c r="I1665" s="37" t="n">
        <v>33</v>
      </c>
      <c r="J1665" s="39" t="n">
        <v>449.99</v>
      </c>
      <c r="K1665" s="37" t="s">
        <v>498</v>
      </c>
      <c r="L1665" s="39" t="n">
        <v>102.42</v>
      </c>
      <c r="M1665" s="39" t="n">
        <v>70</v>
      </c>
      <c r="N1665" s="39" t="n">
        <f aca="false">J1665*Resumo!$C$7</f>
        <v>0.89998</v>
      </c>
      <c r="O1665" s="39" t="n">
        <f aca="false">J1665*Resumo!$C$8</f>
        <v>0.89998</v>
      </c>
      <c r="P1665" s="39" t="n">
        <f aca="false">Resumo!$C$10*CEILING(I1665/100,1)</f>
        <v>1</v>
      </c>
      <c r="Q1665" s="39" t="n">
        <f aca="false">Resumo!$C$9</f>
        <v>11.9</v>
      </c>
      <c r="R1665" s="39" t="n">
        <f aca="false">SUM(M1665:Q1665)*Resumo!$C$11</f>
        <v>4.6584978</v>
      </c>
      <c r="S1665" s="39" t="n">
        <f aca="false">SUM(M1665:R1665)</f>
        <v>89.3584578</v>
      </c>
      <c r="T1665" s="39" t="n">
        <f aca="false">S1665/(1-Resumo!$C$5)</f>
        <v>101.543702045455</v>
      </c>
      <c r="U1665" s="39" t="n">
        <v>100.58</v>
      </c>
      <c r="V1665" s="39" t="n">
        <f aca="false">J1665*Resumo!$B$6</f>
        <v>0.44999</v>
      </c>
      <c r="W1665" s="39" t="n">
        <f aca="false">J1665*Resumo!$B$7</f>
        <v>0.89998</v>
      </c>
      <c r="X1665" s="39" t="n">
        <f aca="false">Resumo!$B$9</f>
        <v>1</v>
      </c>
      <c r="Y1665" s="39" t="n">
        <f aca="false">Resumo!$B$10*CEILING(I1665/100,1)</f>
        <v>4.5</v>
      </c>
      <c r="Z1665" s="39" t="n">
        <f aca="false">Resumo!$B$12*CEILING(I1665,1)</f>
        <v>1.98</v>
      </c>
      <c r="AA1665" s="39" t="n">
        <f aca="false">Resumo!$B$13*CEILING(I1665,1)</f>
        <v>14.85</v>
      </c>
      <c r="AB1665" s="39" t="n">
        <f aca="false">SUM(U1665:AA1665)</f>
        <v>124.25997</v>
      </c>
      <c r="AC1665" s="39" t="n">
        <f aca="false">AB1665/(1-Resumo!$B$5)</f>
        <v>141.204511363636</v>
      </c>
      <c r="AD1665" s="39" t="n">
        <f aca="false">(AB1665-AA1665)/(1-Resumo!$B$5)</f>
        <v>124.329511363636</v>
      </c>
      <c r="AE1665" s="39" t="n">
        <f aca="false">AC1665-T1665</f>
        <v>39.6608093181818</v>
      </c>
      <c r="AF1665" s="40" t="n">
        <f aca="false">AC1665/T1665-1</f>
        <v>0.390578721469385</v>
      </c>
      <c r="AG1665" s="37" t="str">
        <f aca="false">IF(AC1665&lt;T1665,"SIM","NÃO")</f>
        <v>NÃO</v>
      </c>
      <c r="AH1665" s="37" t="n">
        <v>10</v>
      </c>
      <c r="AI1665" s="37" t="n">
        <v>7</v>
      </c>
      <c r="AJ1665" s="37" t="s">
        <v>323</v>
      </c>
    </row>
    <row r="1666" customFormat="false" ht="15" hidden="false" customHeight="false" outlineLevel="0" collapsed="false">
      <c r="A1666" s="37" t="n">
        <v>391601971</v>
      </c>
      <c r="B1666" s="38" t="n">
        <v>46274.6552893519</v>
      </c>
      <c r="C1666" s="37" t="s">
        <v>320</v>
      </c>
      <c r="D1666" s="37" t="s">
        <v>1847</v>
      </c>
      <c r="E1666" s="37" t="n">
        <v>21321020</v>
      </c>
      <c r="F1666" s="37" t="s">
        <v>139</v>
      </c>
      <c r="G1666" s="37" t="s">
        <v>198</v>
      </c>
      <c r="H1666" s="37" t="s">
        <v>172</v>
      </c>
      <c r="I1666" s="37" t="n">
        <v>61.4</v>
      </c>
      <c r="J1666" s="39" t="n">
        <v>999.99</v>
      </c>
      <c r="K1666" s="37" t="s">
        <v>322</v>
      </c>
      <c r="L1666" s="39" t="n">
        <v>126</v>
      </c>
      <c r="M1666" s="39" t="n">
        <v>88.2</v>
      </c>
      <c r="N1666" s="39" t="n">
        <f aca="false">J1666*Resumo!$C$7</f>
        <v>1.99998</v>
      </c>
      <c r="O1666" s="39" t="n">
        <f aca="false">J1666*Resumo!$C$8</f>
        <v>1.99998</v>
      </c>
      <c r="P1666" s="39" t="n">
        <f aca="false">Resumo!$C$10*CEILING(I1666/100,1)</f>
        <v>1</v>
      </c>
      <c r="Q1666" s="39" t="n">
        <f aca="false">Resumo!$C$9</f>
        <v>11.9</v>
      </c>
      <c r="R1666" s="39" t="n">
        <f aca="false">SUM(M1666:Q1666)*Resumo!$C$11</f>
        <v>5.7804978</v>
      </c>
      <c r="S1666" s="39" t="n">
        <f aca="false">SUM(M1666:R1666)</f>
        <v>110.8804578</v>
      </c>
      <c r="T1666" s="39" t="n">
        <f aca="false">S1666/(1-Resumo!$C$5)</f>
        <v>126.000520227273</v>
      </c>
      <c r="U1666" s="39" t="n">
        <v>131.02</v>
      </c>
      <c r="V1666" s="39" t="n">
        <f aca="false">J1666*Resumo!$B$6</f>
        <v>0.99999</v>
      </c>
      <c r="W1666" s="39" t="n">
        <f aca="false">J1666*Resumo!$B$7</f>
        <v>1.99998</v>
      </c>
      <c r="X1666" s="39" t="n">
        <f aca="false">Resumo!$B$9</f>
        <v>1</v>
      </c>
      <c r="Y1666" s="39" t="n">
        <f aca="false">Resumo!$B$10*CEILING(I1666/100,1)</f>
        <v>4.5</v>
      </c>
      <c r="Z1666" s="39" t="n">
        <f aca="false">Resumo!$B$12*CEILING(I1666,1)</f>
        <v>3.72</v>
      </c>
      <c r="AA1666" s="39" t="n">
        <f aca="false">Resumo!$B$13*CEILING(I1666,1)</f>
        <v>27.9</v>
      </c>
      <c r="AB1666" s="39" t="n">
        <f aca="false">SUM(U1666:AA1666)</f>
        <v>171.13997</v>
      </c>
      <c r="AC1666" s="39" t="n">
        <f aca="false">AB1666/(1-Resumo!$B$5)</f>
        <v>194.477238636364</v>
      </c>
      <c r="AD1666" s="39" t="n">
        <f aca="false">(AB1666-AA1666)/(1-Resumo!$B$5)</f>
        <v>162.772693181818</v>
      </c>
      <c r="AE1666" s="39" t="n">
        <f aca="false">AC1666-T1666</f>
        <v>68.4767184090909</v>
      </c>
      <c r="AF1666" s="40" t="n">
        <f aca="false">AC1666/T1666-1</f>
        <v>0.543463775273121</v>
      </c>
      <c r="AG1666" s="37" t="str">
        <f aca="false">IF(AC1666&lt;T1666,"SIM","NÃO")</f>
        <v>NÃO</v>
      </c>
      <c r="AH1666" s="37" t="n">
        <v>8</v>
      </c>
      <c r="AI1666" s="37" t="n">
        <v>5</v>
      </c>
      <c r="AJ1666" s="37" t="s">
        <v>323</v>
      </c>
    </row>
    <row r="1667" customFormat="false" ht="15" hidden="false" customHeight="false" outlineLevel="0" collapsed="false">
      <c r="A1667" s="37" t="n">
        <v>391612691</v>
      </c>
      <c r="B1667" s="38" t="n">
        <v>46274.6637731482</v>
      </c>
      <c r="C1667" s="37" t="s">
        <v>320</v>
      </c>
      <c r="D1667" s="37" t="s">
        <v>1848</v>
      </c>
      <c r="E1667" s="37" t="n">
        <v>28979801</v>
      </c>
      <c r="F1667" s="37" t="s">
        <v>153</v>
      </c>
      <c r="G1667" s="37" t="s">
        <v>201</v>
      </c>
      <c r="H1667" s="37" t="s">
        <v>172</v>
      </c>
      <c r="I1667" s="37" t="n">
        <v>61.5</v>
      </c>
      <c r="J1667" s="39" t="n">
        <v>708.99</v>
      </c>
      <c r="K1667" s="37" t="s">
        <v>498</v>
      </c>
      <c r="L1667" s="39" t="n">
        <v>154.18</v>
      </c>
      <c r="M1667" s="39" t="n">
        <v>113.9</v>
      </c>
      <c r="N1667" s="39" t="n">
        <f aca="false">J1667*Resumo!$C$7</f>
        <v>1.41798</v>
      </c>
      <c r="O1667" s="39" t="n">
        <f aca="false">J1667*Resumo!$C$8</f>
        <v>1.41798</v>
      </c>
      <c r="P1667" s="39" t="n">
        <f aca="false">Resumo!$C$10*CEILING(I1667/100,1)</f>
        <v>1</v>
      </c>
      <c r="Q1667" s="39" t="n">
        <f aca="false">Resumo!$C$9</f>
        <v>11.9</v>
      </c>
      <c r="R1667" s="39" t="n">
        <f aca="false">SUM(M1667:Q1667)*Resumo!$C$11</f>
        <v>7.1299778</v>
      </c>
      <c r="S1667" s="39" t="n">
        <f aca="false">SUM(M1667:R1667)</f>
        <v>136.7659378</v>
      </c>
      <c r="T1667" s="39" t="n">
        <f aca="false">S1667/(1-Resumo!$C$5)</f>
        <v>155.415838409091</v>
      </c>
      <c r="U1667" s="39" t="n">
        <v>166.05</v>
      </c>
      <c r="V1667" s="39" t="n">
        <f aca="false">J1667*Resumo!$B$6</f>
        <v>0.70899</v>
      </c>
      <c r="W1667" s="39" t="n">
        <f aca="false">J1667*Resumo!$B$7</f>
        <v>1.41798</v>
      </c>
      <c r="X1667" s="39" t="n">
        <f aca="false">Resumo!$B$9</f>
        <v>1</v>
      </c>
      <c r="Y1667" s="39" t="n">
        <f aca="false">Resumo!$B$10*CEILING(I1667/100,1)</f>
        <v>4.5</v>
      </c>
      <c r="Z1667" s="39" t="n">
        <f aca="false">Resumo!$B$12*CEILING(I1667,1)</f>
        <v>3.72</v>
      </c>
      <c r="AA1667" s="39" t="n">
        <f aca="false">Resumo!$B$13*CEILING(I1667,1)</f>
        <v>27.9</v>
      </c>
      <c r="AB1667" s="39" t="n">
        <f aca="false">SUM(U1667:AA1667)</f>
        <v>205.29697</v>
      </c>
      <c r="AC1667" s="39" t="n">
        <f aca="false">AB1667/(1-Resumo!$B$5)</f>
        <v>233.292011363636</v>
      </c>
      <c r="AD1667" s="39" t="n">
        <f aca="false">(AB1667-AA1667)/(1-Resumo!$B$5)</f>
        <v>201.587465909091</v>
      </c>
      <c r="AE1667" s="39" t="n">
        <f aca="false">AC1667-T1667</f>
        <v>77.8761729545455</v>
      </c>
      <c r="AF1667" s="40" t="n">
        <f aca="false">AC1667/T1667-1</f>
        <v>0.501082603624716</v>
      </c>
      <c r="AG1667" s="37" t="str">
        <f aca="false">IF(AC1667&lt;T1667,"SIM","NÃO")</f>
        <v>NÃO</v>
      </c>
      <c r="AH1667" s="37" t="n">
        <v>13</v>
      </c>
      <c r="AI1667" s="37" t="n">
        <v>10</v>
      </c>
      <c r="AJ1667" s="37" t="s">
        <v>323</v>
      </c>
    </row>
    <row r="1668" customFormat="false" ht="15" hidden="false" customHeight="false" outlineLevel="0" collapsed="false">
      <c r="A1668" s="37" t="n">
        <v>391694668</v>
      </c>
      <c r="B1668" s="38" t="n">
        <v>46274.6862152778</v>
      </c>
      <c r="C1668" s="37" t="s">
        <v>320</v>
      </c>
      <c r="D1668" s="37" t="s">
        <v>1427</v>
      </c>
      <c r="E1668" s="37" t="n">
        <v>22451264</v>
      </c>
      <c r="F1668" s="37" t="s">
        <v>139</v>
      </c>
      <c r="G1668" s="37" t="s">
        <v>198</v>
      </c>
      <c r="H1668" s="37" t="s">
        <v>168</v>
      </c>
      <c r="I1668" s="37" t="n">
        <v>27.4</v>
      </c>
      <c r="J1668" s="39" t="n">
        <v>315.99</v>
      </c>
      <c r="K1668" s="37" t="s">
        <v>498</v>
      </c>
      <c r="L1668" s="39" t="n">
        <v>80.26</v>
      </c>
      <c r="M1668" s="39" t="n">
        <v>54.1</v>
      </c>
      <c r="N1668" s="39" t="n">
        <f aca="false">J1668*Resumo!$C$7</f>
        <v>0.63198</v>
      </c>
      <c r="O1668" s="39" t="n">
        <f aca="false">J1668*Resumo!$C$8</f>
        <v>0.63198</v>
      </c>
      <c r="P1668" s="39" t="n">
        <f aca="false">Resumo!$C$10*CEILING(I1668/100,1)</f>
        <v>1</v>
      </c>
      <c r="Q1668" s="39" t="n">
        <f aca="false">Resumo!$C$9</f>
        <v>11.9</v>
      </c>
      <c r="R1668" s="39" t="n">
        <f aca="false">SUM(M1668:Q1668)*Resumo!$C$11</f>
        <v>3.7545178</v>
      </c>
      <c r="S1668" s="39" t="n">
        <f aca="false">SUM(M1668:R1668)</f>
        <v>72.0184778</v>
      </c>
      <c r="T1668" s="39" t="n">
        <f aca="false">S1668/(1-Resumo!$C$5)</f>
        <v>81.8391793181818</v>
      </c>
      <c r="U1668" s="39" t="n">
        <v>82.21</v>
      </c>
      <c r="V1668" s="39" t="n">
        <f aca="false">J1668*Resumo!$B$6</f>
        <v>0.31599</v>
      </c>
      <c r="W1668" s="39" t="n">
        <f aca="false">J1668*Resumo!$B$7</f>
        <v>0.63198</v>
      </c>
      <c r="X1668" s="39" t="n">
        <f aca="false">Resumo!$B$9</f>
        <v>1</v>
      </c>
      <c r="Y1668" s="39" t="n">
        <f aca="false">Resumo!$B$10*CEILING(I1668/100,1)</f>
        <v>4.5</v>
      </c>
      <c r="Z1668" s="39" t="n">
        <f aca="false">Resumo!$B$12*CEILING(I1668,1)</f>
        <v>1.68</v>
      </c>
      <c r="AA1668" s="39" t="n">
        <f aca="false">Resumo!$B$13*CEILING(I1668,1)</f>
        <v>12.6</v>
      </c>
      <c r="AB1668" s="39" t="n">
        <f aca="false">SUM(U1668:AA1668)</f>
        <v>102.93797</v>
      </c>
      <c r="AC1668" s="39" t="n">
        <f aca="false">AB1668/(1-Resumo!$B$5)</f>
        <v>116.974965909091</v>
      </c>
      <c r="AD1668" s="39" t="n">
        <f aca="false">(AB1668-AA1668)/(1-Resumo!$B$5)</f>
        <v>102.656784090909</v>
      </c>
      <c r="AE1668" s="39" t="n">
        <f aca="false">AC1668-T1668</f>
        <v>35.1357865909091</v>
      </c>
      <c r="AF1668" s="40" t="n">
        <f aca="false">AC1668/T1668-1</f>
        <v>0.429327210800892</v>
      </c>
      <c r="AG1668" s="37" t="str">
        <f aca="false">IF(AC1668&lt;T1668,"SIM","NÃO")</f>
        <v>NÃO</v>
      </c>
      <c r="AH1668" s="37" t="n">
        <v>8</v>
      </c>
      <c r="AI1668" s="37" t="n">
        <v>5</v>
      </c>
      <c r="AJ1668" s="37" t="s">
        <v>323</v>
      </c>
    </row>
    <row r="1669" customFormat="false" ht="15" hidden="false" customHeight="false" outlineLevel="0" collapsed="false">
      <c r="A1669" s="37" t="n">
        <v>391657048</v>
      </c>
      <c r="B1669" s="38" t="n">
        <v>46274.7007291667</v>
      </c>
      <c r="C1669" s="37" t="s">
        <v>320</v>
      </c>
      <c r="D1669" s="37" t="s">
        <v>1849</v>
      </c>
      <c r="E1669" s="37" t="n">
        <v>21341140</v>
      </c>
      <c r="F1669" s="37" t="s">
        <v>139</v>
      </c>
      <c r="G1669" s="37" t="s">
        <v>198</v>
      </c>
      <c r="H1669" s="37" t="s">
        <v>169</v>
      </c>
      <c r="I1669" s="37" t="n">
        <v>37.2</v>
      </c>
      <c r="J1669" s="39" t="n">
        <v>360.99</v>
      </c>
      <c r="K1669" s="37" t="s">
        <v>322</v>
      </c>
      <c r="L1669" s="39" t="n">
        <v>91.58</v>
      </c>
      <c r="M1669" s="39" t="n">
        <v>62.05</v>
      </c>
      <c r="N1669" s="39" t="n">
        <f aca="false">J1669*Resumo!$C$7</f>
        <v>0.72198</v>
      </c>
      <c r="O1669" s="39" t="n">
        <f aca="false">J1669*Resumo!$C$8</f>
        <v>0.72198</v>
      </c>
      <c r="P1669" s="39" t="n">
        <f aca="false">Resumo!$C$10*CEILING(I1669/100,1)</f>
        <v>1</v>
      </c>
      <c r="Q1669" s="39" t="n">
        <f aca="false">Resumo!$C$9</f>
        <v>11.9</v>
      </c>
      <c r="R1669" s="39" t="n">
        <f aca="false">SUM(M1669:Q1669)*Resumo!$C$11</f>
        <v>4.2016678</v>
      </c>
      <c r="S1669" s="39" t="n">
        <f aca="false">SUM(M1669:R1669)</f>
        <v>80.5956278</v>
      </c>
      <c r="T1669" s="39" t="n">
        <f aca="false">S1669/(1-Resumo!$C$5)</f>
        <v>91.5859406818182</v>
      </c>
      <c r="U1669" s="39" t="n">
        <v>93.97</v>
      </c>
      <c r="V1669" s="39" t="n">
        <f aca="false">J1669*Resumo!$B$6</f>
        <v>0.36099</v>
      </c>
      <c r="W1669" s="39" t="n">
        <f aca="false">J1669*Resumo!$B$7</f>
        <v>0.72198</v>
      </c>
      <c r="X1669" s="39" t="n">
        <f aca="false">Resumo!$B$9</f>
        <v>1</v>
      </c>
      <c r="Y1669" s="39" t="n">
        <f aca="false">Resumo!$B$10*CEILING(I1669/100,1)</f>
        <v>4.5</v>
      </c>
      <c r="Z1669" s="39" t="n">
        <f aca="false">Resumo!$B$12*CEILING(I1669,1)</f>
        <v>2.28</v>
      </c>
      <c r="AA1669" s="39" t="n">
        <f aca="false">Resumo!$B$13*CEILING(I1669,1)</f>
        <v>17.1</v>
      </c>
      <c r="AB1669" s="39" t="n">
        <f aca="false">SUM(U1669:AA1669)</f>
        <v>119.93297</v>
      </c>
      <c r="AC1669" s="39" t="n">
        <f aca="false">AB1669/(1-Resumo!$B$5)</f>
        <v>136.287465909091</v>
      </c>
      <c r="AD1669" s="39" t="n">
        <f aca="false">(AB1669-AA1669)/(1-Resumo!$B$5)</f>
        <v>116.855647727273</v>
      </c>
      <c r="AE1669" s="39" t="n">
        <f aca="false">AC1669-T1669</f>
        <v>44.7015252272727</v>
      </c>
      <c r="AF1669" s="40" t="n">
        <f aca="false">AC1669/T1669-1</f>
        <v>0.488082831212837</v>
      </c>
      <c r="AG1669" s="37" t="str">
        <f aca="false">IF(AC1669&lt;T1669,"SIM","NÃO")</f>
        <v>NÃO</v>
      </c>
      <c r="AH1669" s="37" t="n">
        <v>8</v>
      </c>
      <c r="AI1669" s="37" t="n">
        <v>5</v>
      </c>
      <c r="AJ1669" s="37" t="s">
        <v>323</v>
      </c>
    </row>
    <row r="1670" customFormat="false" ht="15" hidden="false" customHeight="false" outlineLevel="0" collapsed="false">
      <c r="A1670" s="37" t="n">
        <v>391673118</v>
      </c>
      <c r="B1670" s="38" t="n">
        <v>46274.7149537037</v>
      </c>
      <c r="C1670" s="37" t="s">
        <v>320</v>
      </c>
      <c r="D1670" s="37" t="s">
        <v>1850</v>
      </c>
      <c r="E1670" s="37" t="n">
        <v>24751160</v>
      </c>
      <c r="F1670" s="37" t="s">
        <v>140</v>
      </c>
      <c r="G1670" s="37" t="s">
        <v>207</v>
      </c>
      <c r="H1670" s="37" t="s">
        <v>170</v>
      </c>
      <c r="I1670" s="37" t="n">
        <v>44.5</v>
      </c>
      <c r="J1670" s="39" t="n">
        <v>726.99</v>
      </c>
      <c r="K1670" s="37" t="s">
        <v>498</v>
      </c>
      <c r="L1670" s="39" t="n">
        <v>117.35</v>
      </c>
      <c r="M1670" s="39" t="n">
        <v>82.25</v>
      </c>
      <c r="N1670" s="39" t="n">
        <f aca="false">J1670*Resumo!$C$7</f>
        <v>1.45398</v>
      </c>
      <c r="O1670" s="39" t="n">
        <f aca="false">J1670*Resumo!$C$8</f>
        <v>1.45398</v>
      </c>
      <c r="P1670" s="39" t="n">
        <f aca="false">Resumo!$C$10*CEILING(I1670/100,1)</f>
        <v>1</v>
      </c>
      <c r="Q1670" s="39" t="n">
        <f aca="false">Resumo!$C$9</f>
        <v>11.9</v>
      </c>
      <c r="R1670" s="39" t="n">
        <f aca="false">SUM(M1670:Q1670)*Resumo!$C$11</f>
        <v>5.3931878</v>
      </c>
      <c r="S1670" s="39" t="n">
        <f aca="false">SUM(M1670:R1670)</f>
        <v>103.4511478</v>
      </c>
      <c r="T1670" s="39" t="n">
        <f aca="false">S1670/(1-Resumo!$C$5)</f>
        <v>117.5581225</v>
      </c>
      <c r="U1670" s="39" t="n">
        <v>114.95</v>
      </c>
      <c r="V1670" s="39" t="n">
        <f aca="false">J1670*Resumo!$B$6</f>
        <v>0.72699</v>
      </c>
      <c r="W1670" s="39" t="n">
        <f aca="false">J1670*Resumo!$B$7</f>
        <v>1.45398</v>
      </c>
      <c r="X1670" s="39" t="n">
        <f aca="false">Resumo!$B$9</f>
        <v>1</v>
      </c>
      <c r="Y1670" s="39" t="n">
        <f aca="false">Resumo!$B$10*CEILING(I1670/100,1)</f>
        <v>4.5</v>
      </c>
      <c r="Z1670" s="39" t="n">
        <f aca="false">Resumo!$B$12*CEILING(I1670,1)</f>
        <v>2.7</v>
      </c>
      <c r="AA1670" s="39" t="n">
        <f aca="false">Resumo!$B$13*CEILING(I1670,1)</f>
        <v>20.25</v>
      </c>
      <c r="AB1670" s="39" t="n">
        <f aca="false">SUM(U1670:AA1670)</f>
        <v>145.58097</v>
      </c>
      <c r="AC1670" s="39" t="n">
        <f aca="false">AB1670/(1-Resumo!$B$5)</f>
        <v>165.432920454545</v>
      </c>
      <c r="AD1670" s="39" t="n">
        <f aca="false">(AB1670-AA1670)/(1-Resumo!$B$5)</f>
        <v>142.421556818182</v>
      </c>
      <c r="AE1670" s="39" t="n">
        <f aca="false">AC1670-T1670</f>
        <v>47.8747979545455</v>
      </c>
      <c r="AF1670" s="40" t="n">
        <f aca="false">AC1670/T1670-1</f>
        <v>0.407243642008194</v>
      </c>
      <c r="AG1670" s="37" t="str">
        <f aca="false">IF(AC1670&lt;T1670,"SIM","NÃO")</f>
        <v>NÃO</v>
      </c>
      <c r="AH1670" s="37" t="n">
        <v>10</v>
      </c>
      <c r="AI1670" s="37" t="n">
        <v>7</v>
      </c>
      <c r="AJ1670" s="37" t="s">
        <v>323</v>
      </c>
    </row>
    <row r="1671" customFormat="false" ht="15" hidden="false" customHeight="false" outlineLevel="0" collapsed="false">
      <c r="A1671" s="37" t="n">
        <v>391677007</v>
      </c>
      <c r="B1671" s="38" t="n">
        <v>46274.7197222222</v>
      </c>
      <c r="C1671" s="37" t="s">
        <v>320</v>
      </c>
      <c r="D1671" s="37" t="s">
        <v>1851</v>
      </c>
      <c r="E1671" s="37" t="n">
        <v>27966610</v>
      </c>
      <c r="F1671" s="37" t="s">
        <v>146</v>
      </c>
      <c r="G1671" s="37" t="s">
        <v>201</v>
      </c>
      <c r="H1671" s="37" t="s">
        <v>172</v>
      </c>
      <c r="I1671" s="37" t="n">
        <v>63.9</v>
      </c>
      <c r="J1671" s="39" t="n">
        <v>719.99</v>
      </c>
      <c r="K1671" s="37" t="s">
        <v>498</v>
      </c>
      <c r="L1671" s="39" t="n">
        <v>155.25</v>
      </c>
      <c r="M1671" s="39" t="n">
        <v>113.9</v>
      </c>
      <c r="N1671" s="39" t="n">
        <f aca="false">J1671*Resumo!$C$7</f>
        <v>1.43998</v>
      </c>
      <c r="O1671" s="39" t="n">
        <f aca="false">J1671*Resumo!$C$8</f>
        <v>1.43998</v>
      </c>
      <c r="P1671" s="39" t="n">
        <f aca="false">Resumo!$C$10*CEILING(I1671/100,1)</f>
        <v>1</v>
      </c>
      <c r="Q1671" s="39" t="n">
        <f aca="false">Resumo!$C$9</f>
        <v>11.9</v>
      </c>
      <c r="R1671" s="39" t="n">
        <f aca="false">SUM(M1671:Q1671)*Resumo!$C$11</f>
        <v>7.1323978</v>
      </c>
      <c r="S1671" s="39" t="n">
        <f aca="false">SUM(M1671:R1671)</f>
        <v>136.8123578</v>
      </c>
      <c r="T1671" s="39" t="n">
        <f aca="false">S1671/(1-Resumo!$C$5)</f>
        <v>155.468588409091</v>
      </c>
      <c r="U1671" s="39" t="n">
        <v>171.54</v>
      </c>
      <c r="V1671" s="39" t="n">
        <f aca="false">J1671*Resumo!$B$6</f>
        <v>0.71999</v>
      </c>
      <c r="W1671" s="39" t="n">
        <f aca="false">J1671*Resumo!$B$7</f>
        <v>1.43998</v>
      </c>
      <c r="X1671" s="39" t="n">
        <f aca="false">Resumo!$B$9</f>
        <v>1</v>
      </c>
      <c r="Y1671" s="39" t="n">
        <f aca="false">Resumo!$B$10*CEILING(I1671/100,1)</f>
        <v>4.5</v>
      </c>
      <c r="Z1671" s="39" t="n">
        <f aca="false">Resumo!$B$12*CEILING(I1671,1)</f>
        <v>3.84</v>
      </c>
      <c r="AA1671" s="39" t="n">
        <f aca="false">Resumo!$B$13*CEILING(I1671,1)</f>
        <v>28.8</v>
      </c>
      <c r="AB1671" s="39" t="n">
        <f aca="false">SUM(U1671:AA1671)</f>
        <v>211.83997</v>
      </c>
      <c r="AC1671" s="39" t="n">
        <f aca="false">AB1671/(1-Resumo!$B$5)</f>
        <v>240.727238636364</v>
      </c>
      <c r="AD1671" s="39" t="n">
        <f aca="false">(AB1671-AA1671)/(1-Resumo!$B$5)</f>
        <v>207.999965909091</v>
      </c>
      <c r="AE1671" s="39" t="n">
        <f aca="false">AC1671-T1671</f>
        <v>85.2586502272727</v>
      </c>
      <c r="AF1671" s="40" t="n">
        <f aca="false">AC1671/T1671-1</f>
        <v>0.548397918188645</v>
      </c>
      <c r="AG1671" s="37" t="str">
        <f aca="false">IF(AC1671&lt;T1671,"SIM","NÃO")</f>
        <v>NÃO</v>
      </c>
      <c r="AH1671" s="37" t="n">
        <v>13</v>
      </c>
      <c r="AI1671" s="37" t="n">
        <v>11</v>
      </c>
      <c r="AJ1671" s="37" t="s">
        <v>323</v>
      </c>
    </row>
    <row r="1672" customFormat="false" ht="15" hidden="false" customHeight="false" outlineLevel="0" collapsed="false">
      <c r="A1672" s="37" t="n">
        <v>391683036</v>
      </c>
      <c r="B1672" s="38" t="n">
        <v>46274.7281018519</v>
      </c>
      <c r="C1672" s="37" t="s">
        <v>320</v>
      </c>
      <c r="D1672" s="37" t="s">
        <v>1852</v>
      </c>
      <c r="E1672" s="37" t="n">
        <v>25655363</v>
      </c>
      <c r="F1672" s="37" t="s">
        <v>150</v>
      </c>
      <c r="G1672" s="37" t="s">
        <v>201</v>
      </c>
      <c r="H1672" s="37" t="s">
        <v>172</v>
      </c>
      <c r="I1672" s="37" t="n">
        <v>69.45</v>
      </c>
      <c r="J1672" s="39" t="n">
        <v>859.99</v>
      </c>
      <c r="K1672" s="37" t="s">
        <v>498</v>
      </c>
      <c r="L1672" s="39" t="n">
        <v>159</v>
      </c>
      <c r="M1672" s="39" t="n">
        <v>113.9</v>
      </c>
      <c r="N1672" s="39" t="n">
        <f aca="false">J1672*Resumo!$C$7</f>
        <v>1.71998</v>
      </c>
      <c r="O1672" s="39" t="n">
        <f aca="false">J1672*Resumo!$C$8</f>
        <v>1.71998</v>
      </c>
      <c r="P1672" s="39" t="n">
        <f aca="false">Resumo!$C$10*CEILING(I1672/100,1)</f>
        <v>1</v>
      </c>
      <c r="Q1672" s="39" t="n">
        <f aca="false">Resumo!$C$9</f>
        <v>11.9</v>
      </c>
      <c r="R1672" s="39" t="n">
        <f aca="false">SUM(M1672:Q1672)*Resumo!$C$11</f>
        <v>7.1631978</v>
      </c>
      <c r="S1672" s="39" t="n">
        <f aca="false">SUM(M1672:R1672)</f>
        <v>137.4031578</v>
      </c>
      <c r="T1672" s="39" t="n">
        <f aca="false">S1672/(1-Resumo!$C$5)</f>
        <v>156.139952045455</v>
      </c>
      <c r="U1672" s="39" t="n">
        <v>166.05</v>
      </c>
      <c r="V1672" s="39" t="n">
        <f aca="false">J1672*Resumo!$B$6</f>
        <v>0.85999</v>
      </c>
      <c r="W1672" s="39" t="n">
        <f aca="false">J1672*Resumo!$B$7</f>
        <v>1.71998</v>
      </c>
      <c r="X1672" s="39" t="n">
        <f aca="false">Resumo!$B$9</f>
        <v>1</v>
      </c>
      <c r="Y1672" s="39" t="n">
        <f aca="false">Resumo!$B$10*CEILING(I1672/100,1)</f>
        <v>4.5</v>
      </c>
      <c r="Z1672" s="39" t="n">
        <f aca="false">Resumo!$B$12*CEILING(I1672,1)</f>
        <v>4.2</v>
      </c>
      <c r="AA1672" s="39" t="n">
        <f aca="false">Resumo!$B$13*CEILING(I1672,1)</f>
        <v>31.5</v>
      </c>
      <c r="AB1672" s="39" t="n">
        <f aca="false">SUM(U1672:AA1672)</f>
        <v>209.82997</v>
      </c>
      <c r="AC1672" s="39" t="n">
        <f aca="false">AB1672/(1-Resumo!$B$5)</f>
        <v>238.443147727273</v>
      </c>
      <c r="AD1672" s="39" t="n">
        <f aca="false">(AB1672-AA1672)/(1-Resumo!$B$5)</f>
        <v>202.647693181818</v>
      </c>
      <c r="AE1672" s="39" t="n">
        <f aca="false">AC1672-T1672</f>
        <v>82.3031956818182</v>
      </c>
      <c r="AF1672" s="40" t="n">
        <f aca="false">AC1672/T1672-1</f>
        <v>0.527111700776356</v>
      </c>
      <c r="AG1672" s="37" t="str">
        <f aca="false">IF(AC1672&lt;T1672,"SIM","NÃO")</f>
        <v>NÃO</v>
      </c>
      <c r="AH1672" s="37" t="n">
        <v>13</v>
      </c>
      <c r="AI1672" s="37" t="n">
        <v>8</v>
      </c>
      <c r="AJ1672" s="37" t="s">
        <v>323</v>
      </c>
    </row>
    <row r="1673" customFormat="false" ht="15" hidden="false" customHeight="false" outlineLevel="0" collapsed="false">
      <c r="A1673" s="37" t="n">
        <v>391677862</v>
      </c>
      <c r="B1673" s="38" t="n">
        <v>46274.7646527778</v>
      </c>
      <c r="C1673" s="37" t="s">
        <v>355</v>
      </c>
      <c r="D1673" s="37" t="s">
        <v>1853</v>
      </c>
      <c r="E1673" s="37" t="n">
        <v>23943120</v>
      </c>
      <c r="F1673" s="37" t="s">
        <v>149</v>
      </c>
      <c r="G1673" s="37" t="s">
        <v>201</v>
      </c>
      <c r="H1673" s="37" t="s">
        <v>167</v>
      </c>
      <c r="I1673" s="37" t="n">
        <v>17</v>
      </c>
      <c r="J1673" s="39" t="n">
        <v>281.59</v>
      </c>
      <c r="K1673" s="37" t="s">
        <v>498</v>
      </c>
      <c r="L1673" s="39" t="n">
        <v>79.98</v>
      </c>
      <c r="M1673" s="39" t="n">
        <v>52.71</v>
      </c>
      <c r="N1673" s="39" t="n">
        <f aca="false">J1673*Resumo!$C$7</f>
        <v>0.56318</v>
      </c>
      <c r="O1673" s="39" t="n">
        <f aca="false">J1673*Resumo!$C$8</f>
        <v>0.56318</v>
      </c>
      <c r="P1673" s="39" t="n">
        <f aca="false">Resumo!$C$10*CEILING(I1673/100,1)</f>
        <v>1</v>
      </c>
      <c r="Q1673" s="39" t="n">
        <f aca="false">Resumo!$C$9</f>
        <v>11.9</v>
      </c>
      <c r="R1673" s="39" t="n">
        <f aca="false">SUM(M1673:Q1673)*Resumo!$C$11</f>
        <v>3.6704998</v>
      </c>
      <c r="S1673" s="39" t="n">
        <f aca="false">SUM(M1673:R1673)</f>
        <v>70.4068598</v>
      </c>
      <c r="T1673" s="39" t="n">
        <f aca="false">S1673/(1-Resumo!$C$5)</f>
        <v>80.0077952272727</v>
      </c>
      <c r="U1673" s="39" t="n">
        <v>77.35</v>
      </c>
      <c r="V1673" s="39" t="n">
        <f aca="false">J1673*Resumo!$B$6</f>
        <v>0.28159</v>
      </c>
      <c r="W1673" s="39" t="n">
        <f aca="false">J1673*Resumo!$B$7</f>
        <v>0.56318</v>
      </c>
      <c r="X1673" s="39" t="n">
        <f aca="false">Resumo!$B$9</f>
        <v>1</v>
      </c>
      <c r="Y1673" s="39" t="n">
        <f aca="false">Resumo!$B$10*CEILING(I1673/100,1)</f>
        <v>4.5</v>
      </c>
      <c r="Z1673" s="39" t="n">
        <f aca="false">Resumo!$B$12*CEILING(I1673,1)</f>
        <v>1.02</v>
      </c>
      <c r="AA1673" s="39" t="n">
        <f aca="false">Resumo!$B$13*CEILING(I1673,1)</f>
        <v>7.65</v>
      </c>
      <c r="AB1673" s="39" t="n">
        <f aca="false">SUM(U1673:AA1673)</f>
        <v>92.36477</v>
      </c>
      <c r="AC1673" s="39" t="n">
        <f aca="false">AB1673/(1-Resumo!$B$5)</f>
        <v>104.959965909091</v>
      </c>
      <c r="AD1673" s="39" t="n">
        <f aca="false">(AB1673-AA1673)/(1-Resumo!$B$5)</f>
        <v>96.2667840909091</v>
      </c>
      <c r="AE1673" s="39" t="n">
        <f aca="false">AC1673-T1673</f>
        <v>24.9521706818182</v>
      </c>
      <c r="AF1673" s="40" t="n">
        <f aca="false">AC1673/T1673-1</f>
        <v>0.31187174463361</v>
      </c>
      <c r="AG1673" s="37" t="str">
        <f aca="false">IF(AC1673&lt;T1673,"SIM","NÃO")</f>
        <v>NÃO</v>
      </c>
      <c r="AH1673" s="37" t="n">
        <v>13</v>
      </c>
      <c r="AI1673" s="37" t="n">
        <v>10</v>
      </c>
      <c r="AJ1673" s="37" t="s">
        <v>323</v>
      </c>
    </row>
    <row r="1674" customFormat="false" ht="15" hidden="false" customHeight="false" outlineLevel="0" collapsed="false">
      <c r="A1674" s="37" t="n">
        <v>391721763</v>
      </c>
      <c r="B1674" s="38" t="n">
        <v>46274.7714467593</v>
      </c>
      <c r="C1674" s="37" t="s">
        <v>325</v>
      </c>
      <c r="D1674" s="37" t="s">
        <v>434</v>
      </c>
      <c r="E1674" s="37" t="n">
        <v>28200000</v>
      </c>
      <c r="F1674" s="37" t="s">
        <v>245</v>
      </c>
      <c r="G1674" s="37" t="s">
        <v>201</v>
      </c>
      <c r="H1674" s="37" t="s">
        <v>172</v>
      </c>
      <c r="I1674" s="37" t="n">
        <v>68.1</v>
      </c>
      <c r="J1674" s="39" t="n">
        <v>884.99</v>
      </c>
      <c r="K1674" s="37" t="s">
        <v>498</v>
      </c>
      <c r="L1674" s="39" t="n">
        <v>158.6</v>
      </c>
      <c r="M1674" s="39" t="n">
        <v>113.9</v>
      </c>
      <c r="N1674" s="39" t="n">
        <f aca="false">J1674*Resumo!$C$7</f>
        <v>1.76998</v>
      </c>
      <c r="O1674" s="39" t="n">
        <f aca="false">J1674*Resumo!$C$8</f>
        <v>1.76998</v>
      </c>
      <c r="P1674" s="39" t="n">
        <f aca="false">Resumo!$C$10*CEILING(I1674/100,1)</f>
        <v>1</v>
      </c>
      <c r="Q1674" s="39" t="n">
        <f aca="false">Resumo!$C$9</f>
        <v>11.9</v>
      </c>
      <c r="R1674" s="39" t="n">
        <f aca="false">SUM(M1674:Q1674)*Resumo!$C$11</f>
        <v>7.1686978</v>
      </c>
      <c r="S1674" s="39" t="n">
        <f aca="false">SUM(M1674:R1674)</f>
        <v>137.5086578</v>
      </c>
      <c r="T1674" s="39" t="n">
        <f aca="false">S1674/(1-Resumo!$C$5)</f>
        <v>156.259838409091</v>
      </c>
      <c r="U1674" s="39" t="n">
        <v>171.54</v>
      </c>
      <c r="V1674" s="39" t="n">
        <f aca="false">J1674*Resumo!$B$6</f>
        <v>0.88499</v>
      </c>
      <c r="W1674" s="39" t="n">
        <f aca="false">J1674*Resumo!$B$7</f>
        <v>1.76998</v>
      </c>
      <c r="X1674" s="39" t="n">
        <f aca="false">Resumo!$B$9</f>
        <v>1</v>
      </c>
      <c r="Y1674" s="39" t="n">
        <f aca="false">Resumo!$B$10*CEILING(I1674/100,1)</f>
        <v>4.5</v>
      </c>
      <c r="Z1674" s="39" t="n">
        <f aca="false">Resumo!$B$12*CEILING(I1674,1)</f>
        <v>4.14</v>
      </c>
      <c r="AA1674" s="39" t="n">
        <f aca="false">Resumo!$B$13*CEILING(I1674,1)</f>
        <v>31.05</v>
      </c>
      <c r="AB1674" s="39" t="n">
        <f aca="false">SUM(U1674:AA1674)</f>
        <v>214.88497</v>
      </c>
      <c r="AC1674" s="39" t="n">
        <f aca="false">AB1674/(1-Resumo!$B$5)</f>
        <v>244.187465909091</v>
      </c>
      <c r="AD1674" s="39" t="n">
        <f aca="false">(AB1674-AA1674)/(1-Resumo!$B$5)</f>
        <v>208.903375</v>
      </c>
      <c r="AE1674" s="39" t="n">
        <f aca="false">AC1674-T1674</f>
        <v>87.9276275</v>
      </c>
      <c r="AF1674" s="40" t="n">
        <f aca="false">AC1674/T1674-1</f>
        <v>0.562701385046899</v>
      </c>
      <c r="AG1674" s="37" t="str">
        <f aca="false">IF(AC1674&lt;T1674,"SIM","NÃO")</f>
        <v>NÃO</v>
      </c>
      <c r="AH1674" s="37" t="n">
        <v>13</v>
      </c>
      <c r="AI1674" s="37" t="n">
        <v>11</v>
      </c>
      <c r="AJ1674" s="37" t="s">
        <v>327</v>
      </c>
    </row>
    <row r="1675" customFormat="false" ht="15" hidden="false" customHeight="false" outlineLevel="0" collapsed="false">
      <c r="A1675" s="37" t="n">
        <v>391723483</v>
      </c>
      <c r="B1675" s="38" t="n">
        <v>46274.7729398148</v>
      </c>
      <c r="C1675" s="37" t="s">
        <v>320</v>
      </c>
      <c r="D1675" s="37" t="s">
        <v>1854</v>
      </c>
      <c r="E1675" s="37" t="n">
        <v>27140290</v>
      </c>
      <c r="F1675" s="37" t="s">
        <v>230</v>
      </c>
      <c r="G1675" s="37" t="s">
        <v>201</v>
      </c>
      <c r="H1675" s="37" t="s">
        <v>169</v>
      </c>
      <c r="I1675" s="37" t="n">
        <v>37.5</v>
      </c>
      <c r="J1675" s="39" t="n">
        <v>387.99</v>
      </c>
      <c r="K1675" s="37" t="s">
        <v>498</v>
      </c>
      <c r="L1675" s="39" t="n">
        <v>123.06</v>
      </c>
      <c r="M1675" s="39" t="n">
        <v>87.4</v>
      </c>
      <c r="N1675" s="39" t="n">
        <f aca="false">J1675*Resumo!$C$7</f>
        <v>0.77598</v>
      </c>
      <c r="O1675" s="39" t="n">
        <f aca="false">J1675*Resumo!$C$8</f>
        <v>0.77598</v>
      </c>
      <c r="P1675" s="39" t="n">
        <f aca="false">Resumo!$C$10*CEILING(I1675/100,1)</f>
        <v>1</v>
      </c>
      <c r="Q1675" s="39" t="n">
        <f aca="false">Resumo!$C$9</f>
        <v>11.9</v>
      </c>
      <c r="R1675" s="39" t="n">
        <f aca="false">SUM(M1675:Q1675)*Resumo!$C$11</f>
        <v>5.6018578</v>
      </c>
      <c r="S1675" s="39" t="n">
        <f aca="false">SUM(M1675:R1675)</f>
        <v>107.4538178</v>
      </c>
      <c r="T1675" s="39" t="n">
        <f aca="false">S1675/(1-Resumo!$C$5)</f>
        <v>122.106611136364</v>
      </c>
      <c r="U1675" s="39" t="n">
        <v>124.38</v>
      </c>
      <c r="V1675" s="39" t="n">
        <f aca="false">J1675*Resumo!$B$6</f>
        <v>0.38799</v>
      </c>
      <c r="W1675" s="39" t="n">
        <f aca="false">J1675*Resumo!$B$7</f>
        <v>0.77598</v>
      </c>
      <c r="X1675" s="39" t="n">
        <f aca="false">Resumo!$B$9</f>
        <v>1</v>
      </c>
      <c r="Y1675" s="39" t="n">
        <f aca="false">Resumo!$B$10*CEILING(I1675/100,1)</f>
        <v>4.5</v>
      </c>
      <c r="Z1675" s="39" t="n">
        <f aca="false">Resumo!$B$12*CEILING(I1675,1)</f>
        <v>2.28</v>
      </c>
      <c r="AA1675" s="39" t="n">
        <f aca="false">Resumo!$B$13*CEILING(I1675,1)</f>
        <v>17.1</v>
      </c>
      <c r="AB1675" s="39" t="n">
        <f aca="false">SUM(U1675:AA1675)</f>
        <v>150.42397</v>
      </c>
      <c r="AC1675" s="39" t="n">
        <f aca="false">AB1675/(1-Resumo!$B$5)</f>
        <v>170.936329545455</v>
      </c>
      <c r="AD1675" s="39" t="n">
        <f aca="false">(AB1675-AA1675)/(1-Resumo!$B$5)</f>
        <v>151.504511363636</v>
      </c>
      <c r="AE1675" s="39" t="n">
        <f aca="false">AC1675-T1675</f>
        <v>48.8297184090909</v>
      </c>
      <c r="AF1675" s="40" t="n">
        <f aca="false">AC1675/T1675-1</f>
        <v>0.399894141313609</v>
      </c>
      <c r="AG1675" s="37" t="str">
        <f aca="false">IF(AC1675&lt;T1675,"SIM","NÃO")</f>
        <v>NÃO</v>
      </c>
      <c r="AH1675" s="37" t="n">
        <v>13</v>
      </c>
      <c r="AI1675" s="37" t="n">
        <v>10</v>
      </c>
      <c r="AJ1675" s="37" t="s">
        <v>327</v>
      </c>
    </row>
    <row r="1676" customFormat="false" ht="15" hidden="false" customHeight="false" outlineLevel="0" collapsed="false">
      <c r="A1676" s="37" t="n">
        <v>391734382</v>
      </c>
      <c r="B1676" s="38" t="n">
        <v>46274.785474537</v>
      </c>
      <c r="C1676" s="37" t="s">
        <v>320</v>
      </c>
      <c r="D1676" s="37" t="s">
        <v>1213</v>
      </c>
      <c r="E1676" s="37" t="n">
        <v>24340105</v>
      </c>
      <c r="F1676" s="37" t="s">
        <v>143</v>
      </c>
      <c r="G1676" s="37" t="s">
        <v>207</v>
      </c>
      <c r="H1676" s="37" t="s">
        <v>169</v>
      </c>
      <c r="I1676" s="37" t="n">
        <v>40</v>
      </c>
      <c r="J1676" s="39" t="n">
        <v>579.99</v>
      </c>
      <c r="K1676" s="37" t="s">
        <v>322</v>
      </c>
      <c r="L1676" s="39" t="n">
        <v>113.74</v>
      </c>
      <c r="M1676" s="39" t="n">
        <v>79.65</v>
      </c>
      <c r="N1676" s="39" t="n">
        <f aca="false">J1676*Resumo!$C$7</f>
        <v>1.15998</v>
      </c>
      <c r="O1676" s="39" t="n">
        <f aca="false">J1676*Resumo!$C$8</f>
        <v>1.15998</v>
      </c>
      <c r="P1676" s="39" t="n">
        <f aca="false">Resumo!$C$10*CEILING(I1676/100,1)</f>
        <v>1</v>
      </c>
      <c r="Q1676" s="39" t="n">
        <f aca="false">Resumo!$C$9</f>
        <v>11.9</v>
      </c>
      <c r="R1676" s="39" t="n">
        <f aca="false">SUM(M1676:Q1676)*Resumo!$C$11</f>
        <v>5.2178478</v>
      </c>
      <c r="S1676" s="39" t="n">
        <f aca="false">SUM(M1676:R1676)</f>
        <v>100.0878078</v>
      </c>
      <c r="T1676" s="39" t="n">
        <f aca="false">S1676/(1-Resumo!$C$5)</f>
        <v>113.736145227273</v>
      </c>
      <c r="U1676" s="39" t="n">
        <v>114.95</v>
      </c>
      <c r="V1676" s="39" t="n">
        <f aca="false">J1676*Resumo!$B$6</f>
        <v>0.57999</v>
      </c>
      <c r="W1676" s="39" t="n">
        <f aca="false">J1676*Resumo!$B$7</f>
        <v>1.15998</v>
      </c>
      <c r="X1676" s="39" t="n">
        <f aca="false">Resumo!$B$9</f>
        <v>1</v>
      </c>
      <c r="Y1676" s="39" t="n">
        <f aca="false">Resumo!$B$10*CEILING(I1676/100,1)</f>
        <v>4.5</v>
      </c>
      <c r="Z1676" s="39" t="n">
        <f aca="false">Resumo!$B$12*CEILING(I1676,1)</f>
        <v>2.4</v>
      </c>
      <c r="AA1676" s="39" t="n">
        <f aca="false">Resumo!$B$13*CEILING(I1676,1)</f>
        <v>18</v>
      </c>
      <c r="AB1676" s="39" t="n">
        <f aca="false">SUM(U1676:AA1676)</f>
        <v>142.58997</v>
      </c>
      <c r="AC1676" s="39" t="n">
        <f aca="false">AB1676/(1-Resumo!$B$5)</f>
        <v>162.034056818182</v>
      </c>
      <c r="AD1676" s="39" t="n">
        <f aca="false">(AB1676-AA1676)/(1-Resumo!$B$5)</f>
        <v>141.579511363636</v>
      </c>
      <c r="AE1676" s="39" t="n">
        <f aca="false">AC1676-T1676</f>
        <v>48.2979115909091</v>
      </c>
      <c r="AF1676" s="40" t="n">
        <f aca="false">AC1676/T1676-1</f>
        <v>0.424648747277288</v>
      </c>
      <c r="AG1676" s="37" t="str">
        <f aca="false">IF(AC1676&lt;T1676,"SIM","NÃO")</f>
        <v>NÃO</v>
      </c>
      <c r="AH1676" s="37" t="n">
        <v>10</v>
      </c>
      <c r="AI1676" s="37" t="n">
        <v>7</v>
      </c>
      <c r="AJ1676" s="37" t="s">
        <v>323</v>
      </c>
    </row>
    <row r="1677" customFormat="false" ht="15" hidden="false" customHeight="false" outlineLevel="0" collapsed="false">
      <c r="A1677" s="37" t="n">
        <v>391738080</v>
      </c>
      <c r="B1677" s="38" t="n">
        <v>46274.7899421296</v>
      </c>
      <c r="C1677" s="37" t="s">
        <v>320</v>
      </c>
      <c r="D1677" s="37" t="s">
        <v>1855</v>
      </c>
      <c r="E1677" s="37" t="n">
        <v>24474215</v>
      </c>
      <c r="F1677" s="37" t="s">
        <v>140</v>
      </c>
      <c r="G1677" s="37" t="s">
        <v>207</v>
      </c>
      <c r="H1677" s="37" t="s">
        <v>172</v>
      </c>
      <c r="I1677" s="37" t="n">
        <v>68.7</v>
      </c>
      <c r="J1677" s="39" t="n">
        <v>749.99</v>
      </c>
      <c r="K1677" s="37" t="s">
        <v>498</v>
      </c>
      <c r="L1677" s="39" t="n">
        <v>142.43</v>
      </c>
      <c r="M1677" s="39" t="n">
        <v>100.9</v>
      </c>
      <c r="N1677" s="39" t="n">
        <f aca="false">J1677*Resumo!$C$7</f>
        <v>1.49998</v>
      </c>
      <c r="O1677" s="39" t="n">
        <f aca="false">J1677*Resumo!$C$8</f>
        <v>1.49998</v>
      </c>
      <c r="P1677" s="39" t="n">
        <f aca="false">Resumo!$C$10*CEILING(I1677/100,1)</f>
        <v>1</v>
      </c>
      <c r="Q1677" s="39" t="n">
        <f aca="false">Resumo!$C$9</f>
        <v>11.9</v>
      </c>
      <c r="R1677" s="39" t="n">
        <f aca="false">SUM(M1677:Q1677)*Resumo!$C$11</f>
        <v>6.4239978</v>
      </c>
      <c r="S1677" s="39" t="n">
        <f aca="false">SUM(M1677:R1677)</f>
        <v>123.2239578</v>
      </c>
      <c r="T1677" s="39" t="n">
        <f aca="false">S1677/(1-Resumo!$C$5)</f>
        <v>140.027224772727</v>
      </c>
      <c r="U1677" s="39" t="n">
        <v>149.5</v>
      </c>
      <c r="V1677" s="39" t="n">
        <f aca="false">J1677*Resumo!$B$6</f>
        <v>0.74999</v>
      </c>
      <c r="W1677" s="39" t="n">
        <f aca="false">J1677*Resumo!$B$7</f>
        <v>1.49998</v>
      </c>
      <c r="X1677" s="39" t="n">
        <f aca="false">Resumo!$B$9</f>
        <v>1</v>
      </c>
      <c r="Y1677" s="39" t="n">
        <f aca="false">Resumo!$B$10*CEILING(I1677/100,1)</f>
        <v>4.5</v>
      </c>
      <c r="Z1677" s="39" t="n">
        <f aca="false">Resumo!$B$12*CEILING(I1677,1)</f>
        <v>4.14</v>
      </c>
      <c r="AA1677" s="39" t="n">
        <f aca="false">Resumo!$B$13*CEILING(I1677,1)</f>
        <v>31.05</v>
      </c>
      <c r="AB1677" s="39" t="n">
        <f aca="false">SUM(U1677:AA1677)</f>
        <v>192.43997</v>
      </c>
      <c r="AC1677" s="39" t="n">
        <f aca="false">AB1677/(1-Resumo!$B$5)</f>
        <v>218.681784090909</v>
      </c>
      <c r="AD1677" s="39" t="n">
        <f aca="false">(AB1677-AA1677)/(1-Resumo!$B$5)</f>
        <v>183.397693181818</v>
      </c>
      <c r="AE1677" s="39" t="n">
        <f aca="false">AC1677-T1677</f>
        <v>78.6545593181818</v>
      </c>
      <c r="AF1677" s="40" t="n">
        <f aca="false">AC1677/T1677-1</f>
        <v>0.561709049406949</v>
      </c>
      <c r="AG1677" s="37" t="str">
        <f aca="false">IF(AC1677&lt;T1677,"SIM","NÃO")</f>
        <v>NÃO</v>
      </c>
      <c r="AH1677" s="37" t="n">
        <v>10</v>
      </c>
      <c r="AI1677" s="37" t="n">
        <v>7</v>
      </c>
      <c r="AJ1677" s="37" t="s">
        <v>323</v>
      </c>
    </row>
    <row r="1678" customFormat="false" ht="15" hidden="false" customHeight="false" outlineLevel="0" collapsed="false">
      <c r="A1678" s="37" t="n">
        <v>391746647</v>
      </c>
      <c r="B1678" s="38" t="n">
        <v>46274.8138194445</v>
      </c>
      <c r="C1678" s="37" t="s">
        <v>341</v>
      </c>
      <c r="D1678" s="37" t="s">
        <v>1856</v>
      </c>
      <c r="E1678" s="37" t="n">
        <v>24730530</v>
      </c>
      <c r="F1678" s="37" t="s">
        <v>140</v>
      </c>
      <c r="G1678" s="37" t="s">
        <v>207</v>
      </c>
      <c r="H1678" s="37" t="s">
        <v>168</v>
      </c>
      <c r="I1678" s="37" t="n">
        <v>30.5</v>
      </c>
      <c r="J1678" s="39" t="n">
        <v>499.99</v>
      </c>
      <c r="K1678" s="37" t="s">
        <v>498</v>
      </c>
      <c r="L1678" s="39" t="n">
        <v>101.65</v>
      </c>
      <c r="M1678" s="39" t="n">
        <v>70</v>
      </c>
      <c r="N1678" s="39" t="n">
        <f aca="false">J1678*Resumo!$C$7</f>
        <v>0.99998</v>
      </c>
      <c r="O1678" s="39" t="n">
        <f aca="false">J1678*Resumo!$C$8</f>
        <v>0.99998</v>
      </c>
      <c r="P1678" s="39" t="n">
        <f aca="false">Resumo!$C$10*CEILING(I1678/100,1)</f>
        <v>1</v>
      </c>
      <c r="Q1678" s="39" t="n">
        <f aca="false">Resumo!$C$9</f>
        <v>11.9</v>
      </c>
      <c r="R1678" s="39" t="n">
        <f aca="false">SUM(M1678:Q1678)*Resumo!$C$11</f>
        <v>4.6694978</v>
      </c>
      <c r="S1678" s="39" t="n">
        <f aca="false">SUM(M1678:R1678)</f>
        <v>89.5694578</v>
      </c>
      <c r="T1678" s="39" t="n">
        <f aca="false">S1678/(1-Resumo!$C$5)</f>
        <v>101.783474772727</v>
      </c>
      <c r="U1678" s="39" t="n">
        <v>100.58</v>
      </c>
      <c r="V1678" s="39" t="n">
        <f aca="false">J1678*Resumo!$B$6</f>
        <v>0.49999</v>
      </c>
      <c r="W1678" s="39" t="n">
        <f aca="false">J1678*Resumo!$B$7</f>
        <v>0.99998</v>
      </c>
      <c r="X1678" s="39" t="n">
        <f aca="false">Resumo!$B$9</f>
        <v>1</v>
      </c>
      <c r="Y1678" s="39" t="n">
        <f aca="false">Resumo!$B$10*CEILING(I1678/100,1)</f>
        <v>4.5</v>
      </c>
      <c r="Z1678" s="39" t="n">
        <f aca="false">Resumo!$B$12*CEILING(I1678,1)</f>
        <v>1.86</v>
      </c>
      <c r="AA1678" s="39" t="n">
        <f aca="false">Resumo!$B$13*CEILING(I1678,1)</f>
        <v>13.95</v>
      </c>
      <c r="AB1678" s="39" t="n">
        <f aca="false">SUM(U1678:AA1678)</f>
        <v>123.38997</v>
      </c>
      <c r="AC1678" s="39" t="n">
        <f aca="false">AB1678/(1-Resumo!$B$5)</f>
        <v>140.215875</v>
      </c>
      <c r="AD1678" s="39" t="n">
        <f aca="false">(AB1678-AA1678)/(1-Resumo!$B$5)</f>
        <v>124.363602272727</v>
      </c>
      <c r="AE1678" s="39" t="n">
        <f aca="false">AC1678-T1678</f>
        <v>38.4324002272727</v>
      </c>
      <c r="AF1678" s="40" t="n">
        <f aca="false">AC1678/T1678-1</f>
        <v>0.377589783735411</v>
      </c>
      <c r="AG1678" s="37" t="str">
        <f aca="false">IF(AC1678&lt;T1678,"SIM","NÃO")</f>
        <v>NÃO</v>
      </c>
      <c r="AH1678" s="37" t="n">
        <v>10</v>
      </c>
      <c r="AI1678" s="37" t="n">
        <v>7</v>
      </c>
      <c r="AJ1678" s="37" t="s">
        <v>323</v>
      </c>
    </row>
    <row r="1679" customFormat="false" ht="15" hidden="false" customHeight="false" outlineLevel="0" collapsed="false">
      <c r="A1679" s="37" t="n">
        <v>391758388</v>
      </c>
      <c r="B1679" s="38" t="n">
        <v>46274.8152893519</v>
      </c>
      <c r="C1679" s="37" t="s">
        <v>320</v>
      </c>
      <c r="D1679" s="37" t="s">
        <v>1857</v>
      </c>
      <c r="E1679" s="37" t="n">
        <v>25936840</v>
      </c>
      <c r="F1679" s="37" t="s">
        <v>156</v>
      </c>
      <c r="G1679" s="37" t="s">
        <v>201</v>
      </c>
      <c r="H1679" s="37" t="s">
        <v>168</v>
      </c>
      <c r="I1679" s="37" t="n">
        <v>35</v>
      </c>
      <c r="J1679" s="39" t="n">
        <v>499.99</v>
      </c>
      <c r="K1679" s="37" t="s">
        <v>498</v>
      </c>
      <c r="L1679" s="39" t="n">
        <v>111.45</v>
      </c>
      <c r="M1679" s="39" t="n">
        <v>76.5</v>
      </c>
      <c r="N1679" s="39" t="n">
        <f aca="false">J1679*Resumo!$C$7</f>
        <v>0.99998</v>
      </c>
      <c r="O1679" s="39" t="n">
        <f aca="false">J1679*Resumo!$C$8</f>
        <v>0.99998</v>
      </c>
      <c r="P1679" s="39" t="n">
        <f aca="false">Resumo!$C$10*CEILING(I1679/100,1)</f>
        <v>1</v>
      </c>
      <c r="Q1679" s="39" t="n">
        <f aca="false">Resumo!$C$9</f>
        <v>11.9</v>
      </c>
      <c r="R1679" s="39" t="n">
        <f aca="false">SUM(M1679:Q1679)*Resumo!$C$11</f>
        <v>5.0269978</v>
      </c>
      <c r="S1679" s="39" t="n">
        <f aca="false">SUM(M1679:R1679)</f>
        <v>96.4269578</v>
      </c>
      <c r="T1679" s="39" t="n">
        <f aca="false">S1679/(1-Resumo!$C$5)</f>
        <v>109.576088409091</v>
      </c>
      <c r="U1679" s="39" t="n">
        <v>103.28</v>
      </c>
      <c r="V1679" s="39" t="n">
        <f aca="false">J1679*Resumo!$B$6</f>
        <v>0.49999</v>
      </c>
      <c r="W1679" s="39" t="n">
        <f aca="false">J1679*Resumo!$B$7</f>
        <v>0.99998</v>
      </c>
      <c r="X1679" s="39" t="n">
        <f aca="false">Resumo!$B$9</f>
        <v>1</v>
      </c>
      <c r="Y1679" s="39" t="n">
        <f aca="false">Resumo!$B$10*CEILING(I1679/100,1)</f>
        <v>4.5</v>
      </c>
      <c r="Z1679" s="39" t="n">
        <f aca="false">Resumo!$B$12*CEILING(I1679,1)</f>
        <v>2.1</v>
      </c>
      <c r="AA1679" s="39" t="n">
        <f aca="false">Resumo!$B$13*CEILING(I1679,1)</f>
        <v>15.75</v>
      </c>
      <c r="AB1679" s="39" t="n">
        <f aca="false">SUM(U1679:AA1679)</f>
        <v>128.12997</v>
      </c>
      <c r="AC1679" s="39" t="n">
        <f aca="false">AB1679/(1-Resumo!$B$5)</f>
        <v>145.602238636364</v>
      </c>
      <c r="AD1679" s="39" t="n">
        <f aca="false">(AB1679-AA1679)/(1-Resumo!$B$5)</f>
        <v>127.704511363636</v>
      </c>
      <c r="AE1679" s="39" t="n">
        <f aca="false">AC1679-T1679</f>
        <v>36.0261502272728</v>
      </c>
      <c r="AF1679" s="40" t="n">
        <f aca="false">AC1679/T1679-1</f>
        <v>0.328777480108369</v>
      </c>
      <c r="AG1679" s="37" t="str">
        <f aca="false">IF(AC1679&lt;T1679,"SIM","NÃO")</f>
        <v>NÃO</v>
      </c>
      <c r="AH1679" s="37" t="n">
        <v>13</v>
      </c>
      <c r="AI1679" s="37" t="n">
        <v>6</v>
      </c>
      <c r="AJ1679" s="37" t="s">
        <v>323</v>
      </c>
    </row>
    <row r="1680" customFormat="false" ht="15" hidden="false" customHeight="false" outlineLevel="0" collapsed="false">
      <c r="A1680" s="37" t="n">
        <v>391843893</v>
      </c>
      <c r="B1680" s="38" t="n">
        <v>46274.8171990741</v>
      </c>
      <c r="C1680" s="37" t="s">
        <v>320</v>
      </c>
      <c r="D1680" s="37" t="s">
        <v>1858</v>
      </c>
      <c r="E1680" s="37" t="n">
        <v>21046630</v>
      </c>
      <c r="F1680" s="37" t="s">
        <v>139</v>
      </c>
      <c r="G1680" s="37" t="s">
        <v>198</v>
      </c>
      <c r="H1680" s="37" t="s">
        <v>167</v>
      </c>
      <c r="I1680" s="37" t="n">
        <v>19.9</v>
      </c>
      <c r="J1680" s="39" t="n">
        <v>252.99</v>
      </c>
      <c r="K1680" s="37" t="s">
        <v>322</v>
      </c>
      <c r="L1680" s="39" t="n">
        <v>64.44</v>
      </c>
      <c r="M1680" s="39" t="n">
        <v>39.83</v>
      </c>
      <c r="N1680" s="39" t="n">
        <f aca="false">J1680*Resumo!$C$7</f>
        <v>0.50598</v>
      </c>
      <c r="O1680" s="39" t="n">
        <f aca="false">J1680*Resumo!$C$8</f>
        <v>0.50598</v>
      </c>
      <c r="P1680" s="39" t="n">
        <f aca="false">Resumo!$C$10*CEILING(I1680/100,1)</f>
        <v>1</v>
      </c>
      <c r="Q1680" s="39" t="n">
        <f aca="false">Resumo!$C$9</f>
        <v>11.9</v>
      </c>
      <c r="R1680" s="39" t="n">
        <f aca="false">SUM(M1680:Q1680)*Resumo!$C$11</f>
        <v>2.9558078</v>
      </c>
      <c r="S1680" s="39" t="n">
        <f aca="false">SUM(M1680:R1680)</f>
        <v>56.6977678</v>
      </c>
      <c r="T1680" s="39" t="n">
        <f aca="false">S1680/(1-Resumo!$C$5)</f>
        <v>64.4292815909091</v>
      </c>
      <c r="U1680" s="39" t="n">
        <v>46.98</v>
      </c>
      <c r="V1680" s="39" t="n">
        <f aca="false">J1680*Resumo!$B$6</f>
        <v>0.25299</v>
      </c>
      <c r="W1680" s="39" t="n">
        <f aca="false">J1680*Resumo!$B$7</f>
        <v>0.50598</v>
      </c>
      <c r="X1680" s="39" t="n">
        <f aca="false">Resumo!$B$9</f>
        <v>1</v>
      </c>
      <c r="Y1680" s="39" t="n">
        <f aca="false">Resumo!$B$10*CEILING(I1680/100,1)</f>
        <v>4.5</v>
      </c>
      <c r="Z1680" s="39" t="n">
        <f aca="false">Resumo!$B$12*CEILING(I1680,1)</f>
        <v>1.2</v>
      </c>
      <c r="AA1680" s="39" t="n">
        <f aca="false">Resumo!$B$13*CEILING(I1680,1)</f>
        <v>9</v>
      </c>
      <c r="AB1680" s="39" t="n">
        <f aca="false">SUM(U1680:AA1680)</f>
        <v>63.43897</v>
      </c>
      <c r="AC1680" s="39" t="n">
        <f aca="false">AB1680/(1-Resumo!$B$5)</f>
        <v>72.0897386363636</v>
      </c>
      <c r="AD1680" s="39" t="n">
        <f aca="false">(AB1680-AA1680)/(1-Resumo!$B$5)</f>
        <v>61.8624659090909</v>
      </c>
      <c r="AE1680" s="39" t="n">
        <f aca="false">AC1680-T1680</f>
        <v>7.66045704545455</v>
      </c>
      <c r="AF1680" s="40" t="n">
        <f aca="false">AC1680/T1680-1</f>
        <v>0.118897135841034</v>
      </c>
      <c r="AG1680" s="37" t="str">
        <f aca="false">IF(AC1680&lt;T1680,"SIM","NÃO")</f>
        <v>NÃO</v>
      </c>
      <c r="AH1680" s="37" t="n">
        <v>8</v>
      </c>
      <c r="AI1680" s="37" t="n">
        <v>5</v>
      </c>
      <c r="AJ1680" s="37" t="s">
        <v>323</v>
      </c>
    </row>
    <row r="1681" customFormat="false" ht="15" hidden="false" customHeight="false" outlineLevel="0" collapsed="false">
      <c r="A1681" s="37" t="n">
        <v>391776116</v>
      </c>
      <c r="B1681" s="38" t="n">
        <v>46274.8332638889</v>
      </c>
      <c r="C1681" s="37" t="s">
        <v>320</v>
      </c>
      <c r="D1681" s="37" t="s">
        <v>1859</v>
      </c>
      <c r="E1681" s="37" t="n">
        <v>28943770</v>
      </c>
      <c r="F1681" s="37" t="s">
        <v>278</v>
      </c>
      <c r="G1681" s="37" t="s">
        <v>201</v>
      </c>
      <c r="H1681" s="37" t="s">
        <v>172</v>
      </c>
      <c r="I1681" s="37" t="n">
        <v>61.5</v>
      </c>
      <c r="J1681" s="39" t="n">
        <v>708.99</v>
      </c>
      <c r="K1681" s="37" t="s">
        <v>498</v>
      </c>
      <c r="L1681" s="39" t="n">
        <v>154.18</v>
      </c>
      <c r="M1681" s="39" t="n">
        <v>113.9</v>
      </c>
      <c r="N1681" s="39" t="n">
        <f aca="false">J1681*Resumo!$C$7</f>
        <v>1.41798</v>
      </c>
      <c r="O1681" s="39" t="n">
        <f aca="false">J1681*Resumo!$C$8</f>
        <v>1.41798</v>
      </c>
      <c r="P1681" s="39" t="n">
        <f aca="false">Resumo!$C$10*CEILING(I1681/100,1)</f>
        <v>1</v>
      </c>
      <c r="Q1681" s="39" t="n">
        <f aca="false">Resumo!$C$9</f>
        <v>11.9</v>
      </c>
      <c r="R1681" s="39" t="n">
        <f aca="false">SUM(M1681:Q1681)*Resumo!$C$11</f>
        <v>7.1299778</v>
      </c>
      <c r="S1681" s="39" t="n">
        <f aca="false">SUM(M1681:R1681)</f>
        <v>136.7659378</v>
      </c>
      <c r="T1681" s="39" t="n">
        <f aca="false">S1681/(1-Resumo!$C$5)</f>
        <v>155.415838409091</v>
      </c>
      <c r="U1681" s="39" t="n">
        <v>166.05</v>
      </c>
      <c r="V1681" s="39" t="n">
        <f aca="false">J1681*Resumo!$B$6</f>
        <v>0.70899</v>
      </c>
      <c r="W1681" s="39" t="n">
        <f aca="false">J1681*Resumo!$B$7</f>
        <v>1.41798</v>
      </c>
      <c r="X1681" s="39" t="n">
        <f aca="false">Resumo!$B$9</f>
        <v>1</v>
      </c>
      <c r="Y1681" s="39" t="n">
        <f aca="false">Resumo!$B$10*CEILING(I1681/100,1)</f>
        <v>4.5</v>
      </c>
      <c r="Z1681" s="39" t="n">
        <f aca="false">Resumo!$B$12*CEILING(I1681,1)</f>
        <v>3.72</v>
      </c>
      <c r="AA1681" s="39" t="n">
        <f aca="false">Resumo!$B$13*CEILING(I1681,1)</f>
        <v>27.9</v>
      </c>
      <c r="AB1681" s="39" t="n">
        <f aca="false">SUM(U1681:AA1681)</f>
        <v>205.29697</v>
      </c>
      <c r="AC1681" s="39" t="n">
        <f aca="false">AB1681/(1-Resumo!$B$5)</f>
        <v>233.292011363636</v>
      </c>
      <c r="AD1681" s="39" t="n">
        <f aca="false">(AB1681-AA1681)/(1-Resumo!$B$5)</f>
        <v>201.587465909091</v>
      </c>
      <c r="AE1681" s="39" t="n">
        <f aca="false">AC1681-T1681</f>
        <v>77.8761729545455</v>
      </c>
      <c r="AF1681" s="40" t="n">
        <f aca="false">AC1681/T1681-1</f>
        <v>0.501082603624716</v>
      </c>
      <c r="AG1681" s="37" t="str">
        <f aca="false">IF(AC1681&lt;T1681,"SIM","NÃO")</f>
        <v>NÃO</v>
      </c>
      <c r="AH1681" s="37" t="n">
        <v>13</v>
      </c>
      <c r="AI1681" s="37" t="n">
        <v>10</v>
      </c>
      <c r="AJ1681" s="37" t="s">
        <v>327</v>
      </c>
    </row>
    <row r="1682" customFormat="false" ht="15" hidden="false" customHeight="false" outlineLevel="0" collapsed="false">
      <c r="A1682" s="37" t="n">
        <v>391500892</v>
      </c>
      <c r="B1682" s="38" t="n">
        <v>46274.8413078704</v>
      </c>
      <c r="C1682" s="37" t="s">
        <v>341</v>
      </c>
      <c r="D1682" s="37" t="s">
        <v>1860</v>
      </c>
      <c r="E1682" s="37" t="n">
        <v>21250391</v>
      </c>
      <c r="F1682" s="37" t="s">
        <v>139</v>
      </c>
      <c r="G1682" s="37" t="s">
        <v>198</v>
      </c>
      <c r="H1682" s="37" t="s">
        <v>168</v>
      </c>
      <c r="I1682" s="37" t="n">
        <v>22.4</v>
      </c>
      <c r="J1682" s="39" t="n">
        <v>629.99</v>
      </c>
      <c r="K1682" s="37" t="s">
        <v>322</v>
      </c>
      <c r="L1682" s="39" t="n">
        <v>83.34</v>
      </c>
      <c r="M1682" s="39" t="n">
        <v>54.1</v>
      </c>
      <c r="N1682" s="39" t="n">
        <f aca="false">J1682*Resumo!$C$7</f>
        <v>1.25998</v>
      </c>
      <c r="O1682" s="39" t="n">
        <f aca="false">J1682*Resumo!$C$8</f>
        <v>1.25998</v>
      </c>
      <c r="P1682" s="39" t="n">
        <f aca="false">Resumo!$C$10*CEILING(I1682/100,1)</f>
        <v>1</v>
      </c>
      <c r="Q1682" s="39" t="n">
        <f aca="false">Resumo!$C$9</f>
        <v>11.9</v>
      </c>
      <c r="R1682" s="39" t="n">
        <f aca="false">SUM(M1682:Q1682)*Resumo!$C$11</f>
        <v>3.8235978</v>
      </c>
      <c r="S1682" s="39" t="n">
        <f aca="false">SUM(M1682:R1682)</f>
        <v>73.3435578</v>
      </c>
      <c r="T1682" s="39" t="n">
        <f aca="false">S1682/(1-Resumo!$C$5)</f>
        <v>83.3449520454546</v>
      </c>
      <c r="U1682" s="39" t="n">
        <v>82.21</v>
      </c>
      <c r="V1682" s="39" t="n">
        <f aca="false">J1682*Resumo!$B$6</f>
        <v>0.62999</v>
      </c>
      <c r="W1682" s="39" t="n">
        <f aca="false">J1682*Resumo!$B$7</f>
        <v>1.25998</v>
      </c>
      <c r="X1682" s="39" t="n">
        <f aca="false">Resumo!$B$9</f>
        <v>1</v>
      </c>
      <c r="Y1682" s="39" t="n">
        <f aca="false">Resumo!$B$10*CEILING(I1682/100,1)</f>
        <v>4.5</v>
      </c>
      <c r="Z1682" s="39" t="n">
        <f aca="false">Resumo!$B$12*CEILING(I1682,1)</f>
        <v>1.38</v>
      </c>
      <c r="AA1682" s="39" t="n">
        <f aca="false">Resumo!$B$13*CEILING(I1682,1)</f>
        <v>10.35</v>
      </c>
      <c r="AB1682" s="39" t="n">
        <f aca="false">SUM(U1682:AA1682)</f>
        <v>101.32997</v>
      </c>
      <c r="AC1682" s="39" t="n">
        <f aca="false">AB1682/(1-Resumo!$B$5)</f>
        <v>115.147693181818</v>
      </c>
      <c r="AD1682" s="39" t="n">
        <f aca="false">(AB1682-AA1682)/(1-Resumo!$B$5)</f>
        <v>103.386329545455</v>
      </c>
      <c r="AE1682" s="39" t="n">
        <f aca="false">AC1682-T1682</f>
        <v>31.8027411363636</v>
      </c>
      <c r="AF1682" s="40" t="n">
        <f aca="false">AC1682/T1682-1</f>
        <v>0.381579692061243</v>
      </c>
      <c r="AG1682" s="37" t="str">
        <f aca="false">IF(AC1682&lt;T1682,"SIM","NÃO")</f>
        <v>NÃO</v>
      </c>
      <c r="AH1682" s="37" t="n">
        <v>8</v>
      </c>
      <c r="AI1682" s="37" t="n">
        <v>5</v>
      </c>
      <c r="AJ1682" s="37" t="s">
        <v>323</v>
      </c>
    </row>
    <row r="1683" customFormat="false" ht="15" hidden="false" customHeight="false" outlineLevel="0" collapsed="false">
      <c r="A1683" s="37" t="n">
        <v>391787335</v>
      </c>
      <c r="B1683" s="38" t="n">
        <v>46274.8485532407</v>
      </c>
      <c r="C1683" s="37" t="s">
        <v>341</v>
      </c>
      <c r="D1683" s="37" t="s">
        <v>1861</v>
      </c>
      <c r="E1683" s="37" t="n">
        <v>21625130</v>
      </c>
      <c r="F1683" s="37" t="s">
        <v>139</v>
      </c>
      <c r="G1683" s="37" t="s">
        <v>198</v>
      </c>
      <c r="H1683" s="37" t="s">
        <v>168</v>
      </c>
      <c r="I1683" s="37" t="n">
        <v>22.4</v>
      </c>
      <c r="J1683" s="39" t="n">
        <v>599.99</v>
      </c>
      <c r="K1683" s="37" t="s">
        <v>322</v>
      </c>
      <c r="L1683" s="39" t="n">
        <v>83.2</v>
      </c>
      <c r="M1683" s="39" t="n">
        <v>54.1</v>
      </c>
      <c r="N1683" s="39" t="n">
        <f aca="false">J1683*Resumo!$C$7</f>
        <v>1.19998</v>
      </c>
      <c r="O1683" s="39" t="n">
        <f aca="false">J1683*Resumo!$C$8</f>
        <v>1.19998</v>
      </c>
      <c r="P1683" s="39" t="n">
        <f aca="false">Resumo!$C$10*CEILING(I1683/100,1)</f>
        <v>1</v>
      </c>
      <c r="Q1683" s="39" t="n">
        <f aca="false">Resumo!$C$9</f>
        <v>11.9</v>
      </c>
      <c r="R1683" s="39" t="n">
        <f aca="false">SUM(M1683:Q1683)*Resumo!$C$11</f>
        <v>3.8169978</v>
      </c>
      <c r="S1683" s="39" t="n">
        <f aca="false">SUM(M1683:R1683)</f>
        <v>73.2169578</v>
      </c>
      <c r="T1683" s="39" t="n">
        <f aca="false">S1683/(1-Resumo!$C$5)</f>
        <v>83.2010884090909</v>
      </c>
      <c r="U1683" s="39" t="n">
        <v>82.21</v>
      </c>
      <c r="V1683" s="39" t="n">
        <f aca="false">J1683*Resumo!$B$6</f>
        <v>0.59999</v>
      </c>
      <c r="W1683" s="39" t="n">
        <f aca="false">J1683*Resumo!$B$7</f>
        <v>1.19998</v>
      </c>
      <c r="X1683" s="39" t="n">
        <f aca="false">Resumo!$B$9</f>
        <v>1</v>
      </c>
      <c r="Y1683" s="39" t="n">
        <f aca="false">Resumo!$B$10*CEILING(I1683/100,1)</f>
        <v>4.5</v>
      </c>
      <c r="Z1683" s="39" t="n">
        <f aca="false">Resumo!$B$12*CEILING(I1683,1)</f>
        <v>1.38</v>
      </c>
      <c r="AA1683" s="39" t="n">
        <f aca="false">Resumo!$B$13*CEILING(I1683,1)</f>
        <v>10.35</v>
      </c>
      <c r="AB1683" s="39" t="n">
        <f aca="false">SUM(U1683:AA1683)</f>
        <v>101.23997</v>
      </c>
      <c r="AC1683" s="39" t="n">
        <f aca="false">AB1683/(1-Resumo!$B$5)</f>
        <v>115.045420454545</v>
      </c>
      <c r="AD1683" s="39" t="n">
        <f aca="false">(AB1683-AA1683)/(1-Resumo!$B$5)</f>
        <v>103.284056818182</v>
      </c>
      <c r="AE1683" s="39" t="n">
        <f aca="false">AC1683-T1683</f>
        <v>31.8443320454545</v>
      </c>
      <c r="AF1683" s="40" t="n">
        <f aca="false">AC1683/T1683-1</f>
        <v>0.382739368611133</v>
      </c>
      <c r="AG1683" s="37" t="str">
        <f aca="false">IF(AC1683&lt;T1683,"SIM","NÃO")</f>
        <v>NÃO</v>
      </c>
      <c r="AH1683" s="37" t="n">
        <v>8</v>
      </c>
      <c r="AI1683" s="37" t="n">
        <v>5</v>
      </c>
      <c r="AJ1683" s="37" t="s">
        <v>323</v>
      </c>
    </row>
    <row r="1684" customFormat="false" ht="15" hidden="false" customHeight="false" outlineLevel="0" collapsed="false">
      <c r="A1684" s="37" t="n">
        <v>391815587</v>
      </c>
      <c r="B1684" s="38" t="n">
        <v>46274.8581481482</v>
      </c>
      <c r="C1684" s="37" t="s">
        <v>320</v>
      </c>
      <c r="D1684" s="37" t="s">
        <v>1862</v>
      </c>
      <c r="E1684" s="37" t="n">
        <v>21535330</v>
      </c>
      <c r="F1684" s="37" t="s">
        <v>139</v>
      </c>
      <c r="G1684" s="37" t="s">
        <v>198</v>
      </c>
      <c r="H1684" s="37" t="s">
        <v>168</v>
      </c>
      <c r="I1684" s="37" t="n">
        <v>25.8</v>
      </c>
      <c r="J1684" s="39" t="n">
        <v>309.58</v>
      </c>
      <c r="K1684" s="37" t="s">
        <v>322</v>
      </c>
      <c r="L1684" s="39" t="n">
        <v>81.81</v>
      </c>
      <c r="M1684" s="39" t="n">
        <v>54.1</v>
      </c>
      <c r="N1684" s="39" t="n">
        <f aca="false">J1684*Resumo!$C$7</f>
        <v>0.61916</v>
      </c>
      <c r="O1684" s="39" t="n">
        <f aca="false">J1684*Resumo!$C$8</f>
        <v>0.61916</v>
      </c>
      <c r="P1684" s="39" t="n">
        <f aca="false">Resumo!$C$10*CEILING(I1684/100,1)</f>
        <v>1</v>
      </c>
      <c r="Q1684" s="39" t="n">
        <f aca="false">Resumo!$C$9</f>
        <v>11.9</v>
      </c>
      <c r="R1684" s="39" t="n">
        <f aca="false">SUM(M1684:Q1684)*Resumo!$C$11</f>
        <v>3.7531076</v>
      </c>
      <c r="S1684" s="39" t="n">
        <f aca="false">SUM(M1684:R1684)</f>
        <v>71.9914276</v>
      </c>
      <c r="T1684" s="39" t="n">
        <f aca="false">S1684/(1-Resumo!$C$5)</f>
        <v>81.8084404545455</v>
      </c>
      <c r="U1684" s="39" t="n">
        <v>82.21</v>
      </c>
      <c r="V1684" s="39" t="n">
        <f aca="false">J1684*Resumo!$B$6</f>
        <v>0.30958</v>
      </c>
      <c r="W1684" s="39" t="n">
        <f aca="false">J1684*Resumo!$B$7</f>
        <v>0.61916</v>
      </c>
      <c r="X1684" s="39" t="n">
        <f aca="false">Resumo!$B$9</f>
        <v>1</v>
      </c>
      <c r="Y1684" s="39" t="n">
        <f aca="false">Resumo!$B$10*CEILING(I1684/100,1)</f>
        <v>4.5</v>
      </c>
      <c r="Z1684" s="39" t="n">
        <f aca="false">Resumo!$B$12*CEILING(I1684,1)</f>
        <v>1.56</v>
      </c>
      <c r="AA1684" s="39" t="n">
        <f aca="false">Resumo!$B$13*CEILING(I1684,1)</f>
        <v>11.7</v>
      </c>
      <c r="AB1684" s="39" t="n">
        <f aca="false">SUM(U1684:AA1684)</f>
        <v>101.89874</v>
      </c>
      <c r="AC1684" s="39" t="n">
        <f aca="false">AB1684/(1-Resumo!$B$5)</f>
        <v>115.794022727273</v>
      </c>
      <c r="AD1684" s="39" t="n">
        <f aca="false">(AB1684-AA1684)/(1-Resumo!$B$5)</f>
        <v>102.498568181818</v>
      </c>
      <c r="AE1684" s="39" t="n">
        <f aca="false">AC1684-T1684</f>
        <v>33.9855822727273</v>
      </c>
      <c r="AF1684" s="40" t="n">
        <f aca="false">AC1684/T1684-1</f>
        <v>0.41542880030344</v>
      </c>
      <c r="AG1684" s="37" t="str">
        <f aca="false">IF(AC1684&lt;T1684,"SIM","NÃO")</f>
        <v>NÃO</v>
      </c>
      <c r="AH1684" s="37" t="n">
        <v>8</v>
      </c>
      <c r="AI1684" s="37" t="n">
        <v>5</v>
      </c>
      <c r="AJ1684" s="37" t="s">
        <v>323</v>
      </c>
    </row>
    <row r="1685" customFormat="false" ht="15" hidden="false" customHeight="false" outlineLevel="0" collapsed="false">
      <c r="A1685" s="37" t="n">
        <v>391805369</v>
      </c>
      <c r="B1685" s="38" t="n">
        <v>46274.8591435185</v>
      </c>
      <c r="C1685" s="37" t="s">
        <v>325</v>
      </c>
      <c r="D1685" s="37" t="s">
        <v>509</v>
      </c>
      <c r="E1685" s="37" t="n">
        <v>21031700</v>
      </c>
      <c r="F1685" s="37" t="s">
        <v>139</v>
      </c>
      <c r="G1685" s="37" t="s">
        <v>198</v>
      </c>
      <c r="H1685" s="37" t="s">
        <v>168</v>
      </c>
      <c r="I1685" s="37" t="n">
        <v>31.9</v>
      </c>
      <c r="J1685" s="39" t="n">
        <v>483.99</v>
      </c>
      <c r="K1685" s="37" t="s">
        <v>322</v>
      </c>
      <c r="L1685" s="39" t="n">
        <v>82.65</v>
      </c>
      <c r="M1685" s="39" t="n">
        <v>54.1</v>
      </c>
      <c r="N1685" s="39" t="n">
        <f aca="false">J1685*Resumo!$C$7</f>
        <v>0.96798</v>
      </c>
      <c r="O1685" s="39" t="n">
        <f aca="false">J1685*Resumo!$C$8</f>
        <v>0.96798</v>
      </c>
      <c r="P1685" s="39" t="n">
        <f aca="false">Resumo!$C$10*CEILING(I1685/100,1)</f>
        <v>1</v>
      </c>
      <c r="Q1685" s="39" t="n">
        <f aca="false">Resumo!$C$9</f>
        <v>11.9</v>
      </c>
      <c r="R1685" s="39" t="n">
        <f aca="false">SUM(M1685:Q1685)*Resumo!$C$11</f>
        <v>3.7914778</v>
      </c>
      <c r="S1685" s="39" t="n">
        <f aca="false">SUM(M1685:R1685)</f>
        <v>72.7274378</v>
      </c>
      <c r="T1685" s="39" t="n">
        <f aca="false">S1685/(1-Resumo!$C$5)</f>
        <v>82.6448156818182</v>
      </c>
      <c r="U1685" s="39" t="n">
        <v>82.21</v>
      </c>
      <c r="V1685" s="39" t="n">
        <f aca="false">J1685*Resumo!$B$6</f>
        <v>0.48399</v>
      </c>
      <c r="W1685" s="39" t="n">
        <f aca="false">J1685*Resumo!$B$7</f>
        <v>0.96798</v>
      </c>
      <c r="X1685" s="39" t="n">
        <f aca="false">Resumo!$B$9</f>
        <v>1</v>
      </c>
      <c r="Y1685" s="39" t="n">
        <f aca="false">Resumo!$B$10*CEILING(I1685/100,1)</f>
        <v>4.5</v>
      </c>
      <c r="Z1685" s="39" t="n">
        <f aca="false">Resumo!$B$12*CEILING(I1685,1)</f>
        <v>1.92</v>
      </c>
      <c r="AA1685" s="39" t="n">
        <f aca="false">Resumo!$B$13*CEILING(I1685,1)</f>
        <v>14.4</v>
      </c>
      <c r="AB1685" s="39" t="n">
        <f aca="false">SUM(U1685:AA1685)</f>
        <v>105.48197</v>
      </c>
      <c r="AC1685" s="39" t="n">
        <f aca="false">AB1685/(1-Resumo!$B$5)</f>
        <v>119.865875</v>
      </c>
      <c r="AD1685" s="39" t="n">
        <f aca="false">(AB1685-AA1685)/(1-Resumo!$B$5)</f>
        <v>103.502238636364</v>
      </c>
      <c r="AE1685" s="39" t="n">
        <f aca="false">AC1685-T1685</f>
        <v>37.2210593181818</v>
      </c>
      <c r="AF1685" s="40" t="n">
        <f aca="false">AC1685/T1685-1</f>
        <v>0.450373795514078</v>
      </c>
      <c r="AG1685" s="37" t="str">
        <f aca="false">IF(AC1685&lt;T1685,"SIM","NÃO")</f>
        <v>NÃO</v>
      </c>
      <c r="AH1685" s="37" t="n">
        <v>8</v>
      </c>
      <c r="AI1685" s="37" t="n">
        <v>5</v>
      </c>
      <c r="AJ1685" s="37" t="s">
        <v>323</v>
      </c>
    </row>
    <row r="1686" customFormat="false" ht="15" hidden="false" customHeight="false" outlineLevel="0" collapsed="false">
      <c r="A1686" s="37" t="n">
        <v>391810925</v>
      </c>
      <c r="B1686" s="38" t="n">
        <v>46274.8636111111</v>
      </c>
      <c r="C1686" s="37" t="s">
        <v>325</v>
      </c>
      <c r="D1686" s="37" t="s">
        <v>882</v>
      </c>
      <c r="E1686" s="37" t="n">
        <v>28930000</v>
      </c>
      <c r="F1686" s="37" t="s">
        <v>277</v>
      </c>
      <c r="G1686" s="37" t="s">
        <v>201</v>
      </c>
      <c r="H1686" s="37" t="s">
        <v>170</v>
      </c>
      <c r="I1686" s="37" t="n">
        <v>48.6</v>
      </c>
      <c r="J1686" s="39" t="n">
        <v>604.3</v>
      </c>
      <c r="K1686" s="37" t="s">
        <v>498</v>
      </c>
      <c r="L1686" s="39" t="n">
        <v>132.83</v>
      </c>
      <c r="M1686" s="39" t="n">
        <v>94</v>
      </c>
      <c r="N1686" s="39" t="n">
        <f aca="false">J1686*Resumo!$C$7</f>
        <v>1.2086</v>
      </c>
      <c r="O1686" s="39" t="n">
        <f aca="false">J1686*Resumo!$C$8</f>
        <v>1.2086</v>
      </c>
      <c r="P1686" s="39" t="n">
        <f aca="false">Resumo!$C$10*CEILING(I1686/100,1)</f>
        <v>1</v>
      </c>
      <c r="Q1686" s="39" t="n">
        <f aca="false">Resumo!$C$9</f>
        <v>11.9</v>
      </c>
      <c r="R1686" s="39" t="n">
        <f aca="false">SUM(M1686:Q1686)*Resumo!$C$11</f>
        <v>6.012446</v>
      </c>
      <c r="S1686" s="39" t="n">
        <f aca="false">SUM(M1686:R1686)</f>
        <v>115.329646</v>
      </c>
      <c r="T1686" s="39" t="n">
        <f aca="false">S1686/(1-Resumo!$C$5)</f>
        <v>131.056415909091</v>
      </c>
      <c r="U1686" s="39" t="n">
        <v>129.29</v>
      </c>
      <c r="V1686" s="39" t="n">
        <f aca="false">J1686*Resumo!$B$6</f>
        <v>0.6043</v>
      </c>
      <c r="W1686" s="39" t="n">
        <f aca="false">J1686*Resumo!$B$7</f>
        <v>1.2086</v>
      </c>
      <c r="X1686" s="39" t="n">
        <f aca="false">Resumo!$B$9</f>
        <v>1</v>
      </c>
      <c r="Y1686" s="39" t="n">
        <f aca="false">Resumo!$B$10*CEILING(I1686/100,1)</f>
        <v>4.5</v>
      </c>
      <c r="Z1686" s="39" t="n">
        <f aca="false">Resumo!$B$12*CEILING(I1686,1)</f>
        <v>2.94</v>
      </c>
      <c r="AA1686" s="39" t="n">
        <f aca="false">Resumo!$B$13*CEILING(I1686,1)</f>
        <v>22.05</v>
      </c>
      <c r="AB1686" s="39" t="n">
        <f aca="false">SUM(U1686:AA1686)</f>
        <v>161.5929</v>
      </c>
      <c r="AC1686" s="39" t="n">
        <f aca="false">AB1686/(1-Resumo!$B$5)</f>
        <v>183.628295454545</v>
      </c>
      <c r="AD1686" s="39" t="n">
        <f aca="false">(AB1686-AA1686)/(1-Resumo!$B$5)</f>
        <v>158.571477272727</v>
      </c>
      <c r="AE1686" s="39" t="n">
        <f aca="false">AC1686-T1686</f>
        <v>52.5718795454546</v>
      </c>
      <c r="AF1686" s="40" t="n">
        <f aca="false">AC1686/T1686-1</f>
        <v>0.401139304632913</v>
      </c>
      <c r="AG1686" s="37" t="str">
        <f aca="false">IF(AC1686&lt;T1686,"SIM","NÃO")</f>
        <v>NÃO</v>
      </c>
      <c r="AH1686" s="37" t="n">
        <v>13</v>
      </c>
      <c r="AI1686" s="37" t="n">
        <v>10</v>
      </c>
      <c r="AJ1686" s="37" t="s">
        <v>327</v>
      </c>
    </row>
    <row r="1687" customFormat="false" ht="15" hidden="false" customHeight="false" outlineLevel="0" collapsed="false">
      <c r="A1687" s="37" t="n">
        <v>391826984</v>
      </c>
      <c r="B1687" s="38" t="n">
        <v>46274.8779976852</v>
      </c>
      <c r="C1687" s="37" t="s">
        <v>325</v>
      </c>
      <c r="D1687" s="37" t="s">
        <v>1863</v>
      </c>
      <c r="E1687" s="37" t="n">
        <v>24456050</v>
      </c>
      <c r="F1687" s="37" t="s">
        <v>140</v>
      </c>
      <c r="G1687" s="37" t="s">
        <v>207</v>
      </c>
      <c r="H1687" s="37" t="s">
        <v>174</v>
      </c>
      <c r="I1687" s="37" t="n">
        <v>81.7</v>
      </c>
      <c r="J1687" s="39" t="n">
        <v>645.99</v>
      </c>
      <c r="K1687" s="37" t="s">
        <v>498</v>
      </c>
      <c r="L1687" s="39" t="n">
        <v>166.52</v>
      </c>
      <c r="M1687" s="39" t="n">
        <v>127.92</v>
      </c>
      <c r="N1687" s="39" t="n">
        <f aca="false">J1687*Resumo!$C$7</f>
        <v>1.29198</v>
      </c>
      <c r="O1687" s="39" t="n">
        <f aca="false">J1687*Resumo!$C$8</f>
        <v>1.29198</v>
      </c>
      <c r="P1687" s="39" t="n">
        <f aca="false">Resumo!$C$10*CEILING(I1687/100,1)</f>
        <v>1</v>
      </c>
      <c r="Q1687" s="39" t="n">
        <f aca="false">Resumo!$C$9</f>
        <v>11.9</v>
      </c>
      <c r="R1687" s="39" t="n">
        <f aca="false">SUM(M1687:Q1687)*Resumo!$C$11</f>
        <v>7.8872178</v>
      </c>
      <c r="S1687" s="39" t="n">
        <f aca="false">SUM(M1687:R1687)</f>
        <v>151.2911778</v>
      </c>
      <c r="T1687" s="39" t="n">
        <f aca="false">S1687/(1-Resumo!$C$5)</f>
        <v>171.921792954545</v>
      </c>
      <c r="U1687" s="39" t="n">
        <v>178.42</v>
      </c>
      <c r="V1687" s="39" t="n">
        <f aca="false">J1687*Resumo!$B$6</f>
        <v>0.64599</v>
      </c>
      <c r="W1687" s="39" t="n">
        <f aca="false">J1687*Resumo!$B$7</f>
        <v>1.29198</v>
      </c>
      <c r="X1687" s="39" t="n">
        <f aca="false">Resumo!$B$9</f>
        <v>1</v>
      </c>
      <c r="Y1687" s="39" t="n">
        <f aca="false">Resumo!$B$10*CEILING(I1687/100,1)</f>
        <v>4.5</v>
      </c>
      <c r="Z1687" s="39" t="n">
        <f aca="false">Resumo!$B$12*CEILING(I1687,1)</f>
        <v>4.92</v>
      </c>
      <c r="AA1687" s="39" t="n">
        <f aca="false">Resumo!$B$13*CEILING(I1687,1)</f>
        <v>36.9</v>
      </c>
      <c r="AB1687" s="39" t="n">
        <f aca="false">SUM(U1687:AA1687)</f>
        <v>227.67797</v>
      </c>
      <c r="AC1687" s="39" t="n">
        <f aca="false">AB1687/(1-Resumo!$B$5)</f>
        <v>258.724965909091</v>
      </c>
      <c r="AD1687" s="39" t="n">
        <f aca="false">(AB1687-AA1687)/(1-Resumo!$B$5)</f>
        <v>216.793147727273</v>
      </c>
      <c r="AE1687" s="39" t="n">
        <f aca="false">AC1687-T1687</f>
        <v>86.8031729545454</v>
      </c>
      <c r="AF1687" s="40" t="n">
        <f aca="false">AC1687/T1687-1</f>
        <v>0.504899183883543</v>
      </c>
      <c r="AG1687" s="37" t="str">
        <f aca="false">IF(AC1687&lt;T1687,"SIM","NÃO")</f>
        <v>NÃO</v>
      </c>
      <c r="AH1687" s="37" t="n">
        <v>10</v>
      </c>
      <c r="AI1687" s="37" t="n">
        <v>7</v>
      </c>
      <c r="AJ1687" s="37" t="s">
        <v>323</v>
      </c>
    </row>
    <row r="1688" customFormat="false" ht="15" hidden="false" customHeight="false" outlineLevel="0" collapsed="false">
      <c r="A1688" s="37" t="n">
        <v>391826824</v>
      </c>
      <c r="B1688" s="38" t="n">
        <v>46274.8781481482</v>
      </c>
      <c r="C1688" s="37" t="s">
        <v>359</v>
      </c>
      <c r="D1688" s="37" t="s">
        <v>1864</v>
      </c>
      <c r="E1688" s="37" t="n">
        <v>20541200</v>
      </c>
      <c r="F1688" s="37" t="s">
        <v>139</v>
      </c>
      <c r="G1688" s="37" t="s">
        <v>198</v>
      </c>
      <c r="H1688" s="37" t="s">
        <v>168</v>
      </c>
      <c r="I1688" s="37" t="n">
        <v>27</v>
      </c>
      <c r="J1688" s="39" t="n">
        <v>369.99</v>
      </c>
      <c r="K1688" s="37" t="s">
        <v>322</v>
      </c>
      <c r="L1688" s="39" t="n">
        <v>82.1</v>
      </c>
      <c r="M1688" s="39" t="n">
        <v>54.1</v>
      </c>
      <c r="N1688" s="39" t="n">
        <f aca="false">J1688*Resumo!$C$7</f>
        <v>0.73998</v>
      </c>
      <c r="O1688" s="39" t="n">
        <f aca="false">J1688*Resumo!$C$8</f>
        <v>0.73998</v>
      </c>
      <c r="P1688" s="39" t="n">
        <f aca="false">Resumo!$C$10*CEILING(I1688/100,1)</f>
        <v>1</v>
      </c>
      <c r="Q1688" s="39" t="n">
        <f aca="false">Resumo!$C$9</f>
        <v>11.9</v>
      </c>
      <c r="R1688" s="39" t="n">
        <f aca="false">SUM(M1688:Q1688)*Resumo!$C$11</f>
        <v>3.7663978</v>
      </c>
      <c r="S1688" s="39" t="n">
        <f aca="false">SUM(M1688:R1688)</f>
        <v>72.2463578</v>
      </c>
      <c r="T1688" s="39" t="n">
        <f aca="false">S1688/(1-Resumo!$C$5)</f>
        <v>82.0981338636364</v>
      </c>
      <c r="U1688" s="39" t="n">
        <v>82.21</v>
      </c>
      <c r="V1688" s="39" t="n">
        <f aca="false">J1688*Resumo!$B$6</f>
        <v>0.36999</v>
      </c>
      <c r="W1688" s="39" t="n">
        <f aca="false">J1688*Resumo!$B$7</f>
        <v>0.73998</v>
      </c>
      <c r="X1688" s="39" t="n">
        <f aca="false">Resumo!$B$9</f>
        <v>1</v>
      </c>
      <c r="Y1688" s="39" t="n">
        <f aca="false">Resumo!$B$10*CEILING(I1688/100,1)</f>
        <v>4.5</v>
      </c>
      <c r="Z1688" s="39" t="n">
        <f aca="false">Resumo!$B$12*CEILING(I1688,1)</f>
        <v>1.62</v>
      </c>
      <c r="AA1688" s="39" t="n">
        <f aca="false">Resumo!$B$13*CEILING(I1688,1)</f>
        <v>12.15</v>
      </c>
      <c r="AB1688" s="39" t="n">
        <f aca="false">SUM(U1688:AA1688)</f>
        <v>102.58997</v>
      </c>
      <c r="AC1688" s="39" t="n">
        <f aca="false">AB1688/(1-Resumo!$B$5)</f>
        <v>116.579511363636</v>
      </c>
      <c r="AD1688" s="39" t="n">
        <f aca="false">(AB1688-AA1688)/(1-Resumo!$B$5)</f>
        <v>102.772693181818</v>
      </c>
      <c r="AE1688" s="39" t="n">
        <f aca="false">AC1688-T1688</f>
        <v>34.4813775</v>
      </c>
      <c r="AF1688" s="40" t="n">
        <f aca="false">AC1688/T1688-1</f>
        <v>0.42000196444505</v>
      </c>
      <c r="AG1688" s="37" t="str">
        <f aca="false">IF(AC1688&lt;T1688,"SIM","NÃO")</f>
        <v>NÃO</v>
      </c>
      <c r="AH1688" s="37" t="n">
        <v>8</v>
      </c>
      <c r="AI1688" s="37" t="n">
        <v>5</v>
      </c>
      <c r="AJ1688" s="37" t="s">
        <v>323</v>
      </c>
    </row>
    <row r="1689" customFormat="false" ht="15" hidden="false" customHeight="false" outlineLevel="0" collapsed="false">
      <c r="A1689" s="37" t="n">
        <v>391845443</v>
      </c>
      <c r="B1689" s="38" t="n">
        <v>46274.893125</v>
      </c>
      <c r="C1689" s="37" t="s">
        <v>320</v>
      </c>
      <c r="D1689" s="37" t="s">
        <v>1865</v>
      </c>
      <c r="E1689" s="37" t="n">
        <v>24931410</v>
      </c>
      <c r="F1689" s="37" t="s">
        <v>151</v>
      </c>
      <c r="G1689" s="37" t="s">
        <v>201</v>
      </c>
      <c r="H1689" s="37" t="s">
        <v>170</v>
      </c>
      <c r="I1689" s="37" t="n">
        <v>45.3</v>
      </c>
      <c r="J1689" s="39" t="n">
        <v>625.99</v>
      </c>
      <c r="K1689" s="37" t="s">
        <v>498</v>
      </c>
      <c r="L1689" s="39" t="n">
        <v>131.39</v>
      </c>
      <c r="M1689" s="39" t="n">
        <v>94</v>
      </c>
      <c r="N1689" s="39" t="n">
        <f aca="false">J1689*Resumo!$C$7</f>
        <v>1.25198</v>
      </c>
      <c r="O1689" s="39" t="n">
        <f aca="false">J1689*Resumo!$C$8</f>
        <v>1.25198</v>
      </c>
      <c r="P1689" s="39" t="n">
        <f aca="false">Resumo!$C$10*CEILING(I1689/100,1)</f>
        <v>1</v>
      </c>
      <c r="Q1689" s="39" t="n">
        <f aca="false">Resumo!$C$9</f>
        <v>11.9</v>
      </c>
      <c r="R1689" s="39" t="n">
        <f aca="false">SUM(M1689:Q1689)*Resumo!$C$11</f>
        <v>6.0172178</v>
      </c>
      <c r="S1689" s="39" t="n">
        <f aca="false">SUM(M1689:R1689)</f>
        <v>115.4211778</v>
      </c>
      <c r="T1689" s="39" t="n">
        <f aca="false">S1689/(1-Resumo!$C$5)</f>
        <v>131.160429318182</v>
      </c>
      <c r="U1689" s="39" t="n">
        <v>114.95</v>
      </c>
      <c r="V1689" s="39" t="n">
        <f aca="false">J1689*Resumo!$B$6</f>
        <v>0.62599</v>
      </c>
      <c r="W1689" s="39" t="n">
        <f aca="false">J1689*Resumo!$B$7</f>
        <v>1.25198</v>
      </c>
      <c r="X1689" s="39" t="n">
        <f aca="false">Resumo!$B$9</f>
        <v>1</v>
      </c>
      <c r="Y1689" s="39" t="n">
        <f aca="false">Resumo!$B$10*CEILING(I1689/100,1)</f>
        <v>4.5</v>
      </c>
      <c r="Z1689" s="39" t="n">
        <f aca="false">Resumo!$B$12*CEILING(I1689,1)</f>
        <v>2.76</v>
      </c>
      <c r="AA1689" s="39" t="n">
        <f aca="false">Resumo!$B$13*CEILING(I1689,1)</f>
        <v>20.7</v>
      </c>
      <c r="AB1689" s="39" t="n">
        <f aca="false">SUM(U1689:AA1689)</f>
        <v>145.78797</v>
      </c>
      <c r="AC1689" s="39" t="n">
        <f aca="false">AB1689/(1-Resumo!$B$5)</f>
        <v>165.668147727273</v>
      </c>
      <c r="AD1689" s="39" t="n">
        <f aca="false">(AB1689-AA1689)/(1-Resumo!$B$5)</f>
        <v>142.145420454545</v>
      </c>
      <c r="AE1689" s="39" t="n">
        <f aca="false">AC1689-T1689</f>
        <v>34.5077184090909</v>
      </c>
      <c r="AF1689" s="40" t="n">
        <f aca="false">AC1689/T1689-1</f>
        <v>0.263095497540487</v>
      </c>
      <c r="AG1689" s="37" t="str">
        <f aca="false">IF(AC1689&lt;T1689,"SIM","NÃO")</f>
        <v>NÃO</v>
      </c>
      <c r="AH1689" s="37" t="n">
        <v>13</v>
      </c>
      <c r="AI1689" s="37" t="n">
        <v>7</v>
      </c>
      <c r="AJ1689" s="37" t="s">
        <v>323</v>
      </c>
    </row>
    <row r="1690" customFormat="false" ht="15" hidden="false" customHeight="false" outlineLevel="0" collapsed="false">
      <c r="A1690" s="37" t="n">
        <v>391845321</v>
      </c>
      <c r="B1690" s="38" t="n">
        <v>46274.8934143519</v>
      </c>
      <c r="C1690" s="37" t="s">
        <v>320</v>
      </c>
      <c r="D1690" s="37" t="s">
        <v>1866</v>
      </c>
      <c r="E1690" s="37" t="n">
        <v>23587565</v>
      </c>
      <c r="F1690" s="37" t="s">
        <v>139</v>
      </c>
      <c r="G1690" s="37" t="s">
        <v>198</v>
      </c>
      <c r="H1690" s="37" t="s">
        <v>169</v>
      </c>
      <c r="I1690" s="37" t="n">
        <v>35.3</v>
      </c>
      <c r="J1690" s="39" t="n">
        <v>432.99</v>
      </c>
      <c r="K1690" s="37" t="s">
        <v>498</v>
      </c>
      <c r="L1690" s="39" t="n">
        <v>92.01</v>
      </c>
      <c r="M1690" s="39" t="n">
        <v>62.05</v>
      </c>
      <c r="N1690" s="39" t="n">
        <f aca="false">J1690*Resumo!$C$7</f>
        <v>0.86598</v>
      </c>
      <c r="O1690" s="39" t="n">
        <f aca="false">J1690*Resumo!$C$8</f>
        <v>0.86598</v>
      </c>
      <c r="P1690" s="39" t="n">
        <f aca="false">Resumo!$C$10*CEILING(I1690/100,1)</f>
        <v>1</v>
      </c>
      <c r="Q1690" s="39" t="n">
        <f aca="false">Resumo!$C$9</f>
        <v>11.9</v>
      </c>
      <c r="R1690" s="39" t="n">
        <f aca="false">SUM(M1690:Q1690)*Resumo!$C$11</f>
        <v>4.2175078</v>
      </c>
      <c r="S1690" s="39" t="n">
        <f aca="false">SUM(M1690:R1690)</f>
        <v>80.8994678</v>
      </c>
      <c r="T1690" s="39" t="n">
        <f aca="false">S1690/(1-Resumo!$C$5)</f>
        <v>91.9312134090909</v>
      </c>
      <c r="U1690" s="39" t="n">
        <v>93.97</v>
      </c>
      <c r="V1690" s="39" t="n">
        <f aca="false">J1690*Resumo!$B$6</f>
        <v>0.43299</v>
      </c>
      <c r="W1690" s="39" t="n">
        <f aca="false">J1690*Resumo!$B$7</f>
        <v>0.86598</v>
      </c>
      <c r="X1690" s="39" t="n">
        <f aca="false">Resumo!$B$9</f>
        <v>1</v>
      </c>
      <c r="Y1690" s="39" t="n">
        <f aca="false">Resumo!$B$10*CEILING(I1690/100,1)</f>
        <v>4.5</v>
      </c>
      <c r="Z1690" s="39" t="n">
        <f aca="false">Resumo!$B$12*CEILING(I1690,1)</f>
        <v>2.16</v>
      </c>
      <c r="AA1690" s="39" t="n">
        <f aca="false">Resumo!$B$13*CEILING(I1690,1)</f>
        <v>16.2</v>
      </c>
      <c r="AB1690" s="39" t="n">
        <f aca="false">SUM(U1690:AA1690)</f>
        <v>119.12897</v>
      </c>
      <c r="AC1690" s="39" t="n">
        <f aca="false">AB1690/(1-Resumo!$B$5)</f>
        <v>135.373829545455</v>
      </c>
      <c r="AD1690" s="39" t="n">
        <f aca="false">(AB1690-AA1690)/(1-Resumo!$B$5)</f>
        <v>116.964738636364</v>
      </c>
      <c r="AE1690" s="39" t="n">
        <f aca="false">AC1690-T1690</f>
        <v>43.4426161363636</v>
      </c>
      <c r="AF1690" s="40" t="n">
        <f aca="false">AC1690/T1690-1</f>
        <v>0.472555669890328</v>
      </c>
      <c r="AG1690" s="37" t="str">
        <f aca="false">IF(AC1690&lt;T1690,"SIM","NÃO")</f>
        <v>NÃO</v>
      </c>
      <c r="AH1690" s="37" t="n">
        <v>8</v>
      </c>
      <c r="AI1690" s="37" t="n">
        <v>5</v>
      </c>
      <c r="AJ1690" s="37" t="s">
        <v>323</v>
      </c>
    </row>
    <row r="1691" customFormat="false" ht="15" hidden="false" customHeight="false" outlineLevel="0" collapsed="false">
      <c r="A1691" s="37" t="n">
        <v>391869730</v>
      </c>
      <c r="B1691" s="38" t="n">
        <v>46274.9019328704</v>
      </c>
      <c r="C1691" s="37" t="s">
        <v>320</v>
      </c>
      <c r="D1691" s="37" t="s">
        <v>1086</v>
      </c>
      <c r="E1691" s="37" t="n">
        <v>24415000</v>
      </c>
      <c r="F1691" s="37" t="s">
        <v>140</v>
      </c>
      <c r="G1691" s="37" t="s">
        <v>207</v>
      </c>
      <c r="H1691" s="37" t="s">
        <v>172</v>
      </c>
      <c r="I1691" s="37" t="n">
        <v>66.8</v>
      </c>
      <c r="J1691" s="39" t="n">
        <v>643.99</v>
      </c>
      <c r="K1691" s="37" t="s">
        <v>498</v>
      </c>
      <c r="L1691" s="39" t="n">
        <v>140.91</v>
      </c>
      <c r="M1691" s="39" t="n">
        <v>100.9</v>
      </c>
      <c r="N1691" s="39" t="n">
        <f aca="false">J1691*Resumo!$C$7</f>
        <v>1.28798</v>
      </c>
      <c r="O1691" s="39" t="n">
        <f aca="false">J1691*Resumo!$C$8</f>
        <v>1.28798</v>
      </c>
      <c r="P1691" s="39" t="n">
        <f aca="false">Resumo!$C$10*CEILING(I1691/100,1)</f>
        <v>1</v>
      </c>
      <c r="Q1691" s="39" t="n">
        <f aca="false">Resumo!$C$9</f>
        <v>11.9</v>
      </c>
      <c r="R1691" s="39" t="n">
        <f aca="false">SUM(M1691:Q1691)*Resumo!$C$11</f>
        <v>6.4006778</v>
      </c>
      <c r="S1691" s="39" t="n">
        <f aca="false">SUM(M1691:R1691)</f>
        <v>122.7766378</v>
      </c>
      <c r="T1691" s="39" t="n">
        <f aca="false">S1691/(1-Resumo!$C$5)</f>
        <v>139.518906590909</v>
      </c>
      <c r="U1691" s="39" t="n">
        <v>149.5</v>
      </c>
      <c r="V1691" s="39" t="n">
        <f aca="false">J1691*Resumo!$B$6</f>
        <v>0.64399</v>
      </c>
      <c r="W1691" s="39" t="n">
        <f aca="false">J1691*Resumo!$B$7</f>
        <v>1.28798</v>
      </c>
      <c r="X1691" s="39" t="n">
        <f aca="false">Resumo!$B$9</f>
        <v>1</v>
      </c>
      <c r="Y1691" s="39" t="n">
        <f aca="false">Resumo!$B$10*CEILING(I1691/100,1)</f>
        <v>4.5</v>
      </c>
      <c r="Z1691" s="39" t="n">
        <f aca="false">Resumo!$B$12*CEILING(I1691,1)</f>
        <v>4.02</v>
      </c>
      <c r="AA1691" s="39" t="n">
        <f aca="false">Resumo!$B$13*CEILING(I1691,1)</f>
        <v>30.15</v>
      </c>
      <c r="AB1691" s="39" t="n">
        <f aca="false">SUM(U1691:AA1691)</f>
        <v>191.10197</v>
      </c>
      <c r="AC1691" s="39" t="n">
        <f aca="false">AB1691/(1-Resumo!$B$5)</f>
        <v>217.161329545455</v>
      </c>
      <c r="AD1691" s="39" t="n">
        <f aca="false">(AB1691-AA1691)/(1-Resumo!$B$5)</f>
        <v>182.899965909091</v>
      </c>
      <c r="AE1691" s="39" t="n">
        <f aca="false">AC1691-T1691</f>
        <v>77.6424229545455</v>
      </c>
      <c r="AF1691" s="40" t="n">
        <f aca="false">AC1691/T1691-1</f>
        <v>0.556501085420666</v>
      </c>
      <c r="AG1691" s="37" t="str">
        <f aca="false">IF(AC1691&lt;T1691,"SIM","NÃO")</f>
        <v>NÃO</v>
      </c>
      <c r="AH1691" s="37" t="n">
        <v>10</v>
      </c>
      <c r="AI1691" s="37" t="n">
        <v>7</v>
      </c>
      <c r="AJ1691" s="37" t="s">
        <v>323</v>
      </c>
    </row>
    <row r="1692" customFormat="false" ht="15" hidden="false" customHeight="false" outlineLevel="0" collapsed="false">
      <c r="A1692" s="37" t="n">
        <v>391913493</v>
      </c>
      <c r="B1692" s="38" t="n">
        <v>46274.9568865741</v>
      </c>
      <c r="C1692" s="37" t="s">
        <v>341</v>
      </c>
      <c r="D1692" s="37" t="s">
        <v>1867</v>
      </c>
      <c r="E1692" s="37" t="n">
        <v>24901640</v>
      </c>
      <c r="F1692" s="37" t="s">
        <v>151</v>
      </c>
      <c r="G1692" s="37" t="s">
        <v>201</v>
      </c>
      <c r="H1692" s="37" t="s">
        <v>168</v>
      </c>
      <c r="I1692" s="37" t="n">
        <v>24.4</v>
      </c>
      <c r="J1692" s="39" t="n">
        <v>359.99</v>
      </c>
      <c r="K1692" s="37" t="s">
        <v>498</v>
      </c>
      <c r="L1692" s="39" t="n">
        <v>105.68</v>
      </c>
      <c r="M1692" s="39" t="n">
        <v>76.5</v>
      </c>
      <c r="N1692" s="39" t="n">
        <f aca="false">J1692*Resumo!$C$7</f>
        <v>0.71998</v>
      </c>
      <c r="O1692" s="39" t="n">
        <f aca="false">J1692*Resumo!$C$8</f>
        <v>0.71998</v>
      </c>
      <c r="P1692" s="39" t="n">
        <f aca="false">Resumo!$C$10*CEILING(I1692/100,1)</f>
        <v>1</v>
      </c>
      <c r="Q1692" s="39" t="n">
        <f aca="false">Resumo!$C$9</f>
        <v>11.9</v>
      </c>
      <c r="R1692" s="39" t="n">
        <f aca="false">SUM(M1692:Q1692)*Resumo!$C$11</f>
        <v>4.9961978</v>
      </c>
      <c r="S1692" s="39" t="n">
        <f aca="false">SUM(M1692:R1692)</f>
        <v>95.8361578</v>
      </c>
      <c r="T1692" s="39" t="n">
        <f aca="false">S1692/(1-Resumo!$C$5)</f>
        <v>108.904724772727</v>
      </c>
      <c r="U1692" s="39" t="n">
        <v>100.58</v>
      </c>
      <c r="V1692" s="39" t="n">
        <f aca="false">J1692*Resumo!$B$6</f>
        <v>0.35999</v>
      </c>
      <c r="W1692" s="39" t="n">
        <f aca="false">J1692*Resumo!$B$7</f>
        <v>0.71998</v>
      </c>
      <c r="X1692" s="39" t="n">
        <f aca="false">Resumo!$B$9</f>
        <v>1</v>
      </c>
      <c r="Y1692" s="39" t="n">
        <f aca="false">Resumo!$B$10*CEILING(I1692/100,1)</f>
        <v>4.5</v>
      </c>
      <c r="Z1692" s="39" t="n">
        <f aca="false">Resumo!$B$12*CEILING(I1692,1)</f>
        <v>1.5</v>
      </c>
      <c r="AA1692" s="39" t="n">
        <f aca="false">Resumo!$B$13*CEILING(I1692,1)</f>
        <v>11.25</v>
      </c>
      <c r="AB1692" s="39" t="n">
        <f aca="false">SUM(U1692:AA1692)</f>
        <v>119.90997</v>
      </c>
      <c r="AC1692" s="39" t="n">
        <f aca="false">AB1692/(1-Resumo!$B$5)</f>
        <v>136.261329545455</v>
      </c>
      <c r="AD1692" s="39" t="n">
        <f aca="false">(AB1692-AA1692)/(1-Resumo!$B$5)</f>
        <v>123.477238636364</v>
      </c>
      <c r="AE1692" s="39" t="n">
        <f aca="false">AC1692-T1692</f>
        <v>27.3566047727273</v>
      </c>
      <c r="AF1692" s="40" t="n">
        <f aca="false">AC1692/T1692-1</f>
        <v>0.251197593399346</v>
      </c>
      <c r="AG1692" s="37" t="str">
        <f aca="false">IF(AC1692&lt;T1692,"SIM","NÃO")</f>
        <v>NÃO</v>
      </c>
      <c r="AH1692" s="37" t="n">
        <v>13</v>
      </c>
      <c r="AI1692" s="37" t="n">
        <v>7</v>
      </c>
      <c r="AJ1692" s="37" t="s">
        <v>323</v>
      </c>
    </row>
    <row r="1693" customFormat="false" ht="15" hidden="false" customHeight="false" outlineLevel="0" collapsed="false">
      <c r="A1693" s="37" t="n">
        <v>391921799</v>
      </c>
      <c r="B1693" s="38" t="n">
        <v>46274.960625</v>
      </c>
      <c r="C1693" s="37" t="s">
        <v>320</v>
      </c>
      <c r="D1693" s="37" t="s">
        <v>1868</v>
      </c>
      <c r="E1693" s="37" t="n">
        <v>27930805</v>
      </c>
      <c r="F1693" s="37" t="s">
        <v>146</v>
      </c>
      <c r="G1693" s="37" t="s">
        <v>201</v>
      </c>
      <c r="H1693" s="37" t="s">
        <v>171</v>
      </c>
      <c r="I1693" s="37" t="n">
        <v>51.06</v>
      </c>
      <c r="J1693" s="39" t="n">
        <v>749.99</v>
      </c>
      <c r="K1693" s="37" t="s">
        <v>498</v>
      </c>
      <c r="L1693" s="39" t="n">
        <v>141.73</v>
      </c>
      <c r="M1693" s="39" t="n">
        <v>103.6</v>
      </c>
      <c r="N1693" s="39" t="n">
        <f aca="false">J1693*Resumo!$C$7</f>
        <v>1.49998</v>
      </c>
      <c r="O1693" s="39" t="n">
        <f aca="false">J1693*Resumo!$C$8</f>
        <v>1.49998</v>
      </c>
      <c r="P1693" s="39" t="n">
        <f aca="false">Resumo!$C$10*CEILING(I1693/100,1)</f>
        <v>1</v>
      </c>
      <c r="Q1693" s="39" t="n">
        <f aca="false">Resumo!$C$9</f>
        <v>11.9</v>
      </c>
      <c r="R1693" s="39" t="n">
        <f aca="false">SUM(M1693:Q1693)*Resumo!$C$11</f>
        <v>6.5724978</v>
      </c>
      <c r="S1693" s="39" t="n">
        <f aca="false">SUM(M1693:R1693)</f>
        <v>126.0724578</v>
      </c>
      <c r="T1693" s="39" t="n">
        <f aca="false">S1693/(1-Resumo!$C$5)</f>
        <v>143.264156590909</v>
      </c>
      <c r="U1693" s="39" t="n">
        <v>162.04</v>
      </c>
      <c r="V1693" s="39" t="n">
        <f aca="false">J1693*Resumo!$B$6</f>
        <v>0.74999</v>
      </c>
      <c r="W1693" s="39" t="n">
        <f aca="false">J1693*Resumo!$B$7</f>
        <v>1.49998</v>
      </c>
      <c r="X1693" s="39" t="n">
        <f aca="false">Resumo!$B$9</f>
        <v>1</v>
      </c>
      <c r="Y1693" s="39" t="n">
        <f aca="false">Resumo!$B$10*CEILING(I1693/100,1)</f>
        <v>4.5</v>
      </c>
      <c r="Z1693" s="39" t="n">
        <f aca="false">Resumo!$B$12*CEILING(I1693,1)</f>
        <v>3.12</v>
      </c>
      <c r="AA1693" s="39" t="n">
        <f aca="false">Resumo!$B$13*CEILING(I1693,1)</f>
        <v>23.4</v>
      </c>
      <c r="AB1693" s="39" t="n">
        <f aca="false">SUM(U1693:AA1693)</f>
        <v>196.30997</v>
      </c>
      <c r="AC1693" s="39" t="n">
        <f aca="false">AB1693/(1-Resumo!$B$5)</f>
        <v>223.079511363636</v>
      </c>
      <c r="AD1693" s="39" t="n">
        <f aca="false">(AB1693-AA1693)/(1-Resumo!$B$5)</f>
        <v>196.488602272727</v>
      </c>
      <c r="AE1693" s="39" t="n">
        <f aca="false">AC1693-T1693</f>
        <v>79.8153547727273</v>
      </c>
      <c r="AF1693" s="40" t="n">
        <f aca="false">AC1693/T1693-1</f>
        <v>0.557120194415691</v>
      </c>
      <c r="AG1693" s="37" t="str">
        <f aca="false">IF(AC1693&lt;T1693,"SIM","NÃO")</f>
        <v>NÃO</v>
      </c>
      <c r="AH1693" s="37" t="n">
        <v>13</v>
      </c>
      <c r="AI1693" s="37" t="n">
        <v>11</v>
      </c>
      <c r="AJ1693" s="37" t="s">
        <v>323</v>
      </c>
    </row>
    <row r="1694" customFormat="false" ht="15" hidden="false" customHeight="false" outlineLevel="0" collapsed="false">
      <c r="A1694" s="37" t="n">
        <v>391922210</v>
      </c>
      <c r="B1694" s="38" t="n">
        <v>46274.9612037037</v>
      </c>
      <c r="C1694" s="37" t="s">
        <v>325</v>
      </c>
      <c r="D1694" s="37" t="s">
        <v>1869</v>
      </c>
      <c r="E1694" s="37" t="n">
        <v>28983816</v>
      </c>
      <c r="F1694" s="37" t="s">
        <v>153</v>
      </c>
      <c r="G1694" s="37" t="s">
        <v>201</v>
      </c>
      <c r="H1694" s="37" t="s">
        <v>170</v>
      </c>
      <c r="I1694" s="37" t="n">
        <v>41.4</v>
      </c>
      <c r="J1694" s="39" t="n">
        <v>387</v>
      </c>
      <c r="K1694" s="37" t="s">
        <v>498</v>
      </c>
      <c r="L1694" s="39" t="n">
        <v>128.2</v>
      </c>
      <c r="M1694" s="39" t="n">
        <v>94</v>
      </c>
      <c r="N1694" s="39" t="n">
        <f aca="false">J1694*Resumo!$C$7</f>
        <v>0.774</v>
      </c>
      <c r="O1694" s="39" t="n">
        <f aca="false">J1694*Resumo!$C$8</f>
        <v>0.774</v>
      </c>
      <c r="P1694" s="39" t="n">
        <f aca="false">Resumo!$C$10*CEILING(I1694/100,1)</f>
        <v>1</v>
      </c>
      <c r="Q1694" s="39" t="n">
        <f aca="false">Resumo!$C$9</f>
        <v>11.9</v>
      </c>
      <c r="R1694" s="39" t="n">
        <f aca="false">SUM(M1694:Q1694)*Resumo!$C$11</f>
        <v>5.96464</v>
      </c>
      <c r="S1694" s="39" t="n">
        <f aca="false">SUM(M1694:R1694)</f>
        <v>114.41264</v>
      </c>
      <c r="T1694" s="39" t="n">
        <f aca="false">S1694/(1-Resumo!$C$5)</f>
        <v>130.014363636364</v>
      </c>
      <c r="U1694" s="39" t="n">
        <v>129.29</v>
      </c>
      <c r="V1694" s="39" t="n">
        <f aca="false">J1694*Resumo!$B$6</f>
        <v>0.387</v>
      </c>
      <c r="W1694" s="39" t="n">
        <f aca="false">J1694*Resumo!$B$7</f>
        <v>0.774</v>
      </c>
      <c r="X1694" s="39" t="n">
        <f aca="false">Resumo!$B$9</f>
        <v>1</v>
      </c>
      <c r="Y1694" s="39" t="n">
        <f aca="false">Resumo!$B$10*CEILING(I1694/100,1)</f>
        <v>4.5</v>
      </c>
      <c r="Z1694" s="39" t="n">
        <f aca="false">Resumo!$B$12*CEILING(I1694,1)</f>
        <v>2.52</v>
      </c>
      <c r="AA1694" s="39" t="n">
        <f aca="false">Resumo!$B$13*CEILING(I1694,1)</f>
        <v>18.9</v>
      </c>
      <c r="AB1694" s="39" t="n">
        <f aca="false">SUM(U1694:AA1694)</f>
        <v>157.371</v>
      </c>
      <c r="AC1694" s="39" t="n">
        <f aca="false">AB1694/(1-Resumo!$B$5)</f>
        <v>178.830681818182</v>
      </c>
      <c r="AD1694" s="39" t="n">
        <f aca="false">(AB1694-AA1694)/(1-Resumo!$B$5)</f>
        <v>157.353409090909</v>
      </c>
      <c r="AE1694" s="39" t="n">
        <f aca="false">AC1694-T1694</f>
        <v>48.8163181818182</v>
      </c>
      <c r="AF1694" s="40" t="n">
        <f aca="false">AC1694/T1694-1</f>
        <v>0.375468654512299</v>
      </c>
      <c r="AG1694" s="37" t="str">
        <f aca="false">IF(AC1694&lt;T1694,"SIM","NÃO")</f>
        <v>NÃO</v>
      </c>
      <c r="AH1694" s="37" t="n">
        <v>13</v>
      </c>
      <c r="AI1694" s="37" t="n">
        <v>10</v>
      </c>
      <c r="AJ1694" s="37" t="s">
        <v>323</v>
      </c>
    </row>
    <row r="1695" customFormat="false" ht="15" hidden="false" customHeight="false" outlineLevel="0" collapsed="false">
      <c r="A1695" s="37" t="n">
        <v>391930457</v>
      </c>
      <c r="B1695" s="38" t="n">
        <v>46274.9727430556</v>
      </c>
      <c r="C1695" s="37" t="s">
        <v>325</v>
      </c>
      <c r="D1695" s="37" t="s">
        <v>577</v>
      </c>
      <c r="E1695" s="37" t="n">
        <v>23970000</v>
      </c>
      <c r="F1695" s="37" t="s">
        <v>206</v>
      </c>
      <c r="G1695" s="37" t="s">
        <v>201</v>
      </c>
      <c r="H1695" s="37" t="s">
        <v>168</v>
      </c>
      <c r="I1695" s="37" t="n">
        <v>33.11</v>
      </c>
      <c r="J1695" s="39" t="n">
        <v>392.24</v>
      </c>
      <c r="K1695" s="37" t="s">
        <v>498</v>
      </c>
      <c r="L1695" s="39" t="n">
        <v>110.42</v>
      </c>
      <c r="M1695" s="39" t="n">
        <v>76.5</v>
      </c>
      <c r="N1695" s="39" t="n">
        <f aca="false">J1695*Resumo!$C$7</f>
        <v>0.78448</v>
      </c>
      <c r="O1695" s="39" t="n">
        <f aca="false">J1695*Resumo!$C$8</f>
        <v>0.78448</v>
      </c>
      <c r="P1695" s="39" t="n">
        <f aca="false">Resumo!$C$10*CEILING(I1695/100,1)</f>
        <v>1</v>
      </c>
      <c r="Q1695" s="39" t="n">
        <f aca="false">Resumo!$C$9</f>
        <v>11.9</v>
      </c>
      <c r="R1695" s="39" t="n">
        <f aca="false">SUM(M1695:Q1695)*Resumo!$C$11</f>
        <v>5.0032928</v>
      </c>
      <c r="S1695" s="39" t="n">
        <f aca="false">SUM(M1695:R1695)</f>
        <v>95.9722528</v>
      </c>
      <c r="T1695" s="39" t="n">
        <f aca="false">S1695/(1-Resumo!$C$5)</f>
        <v>109.059378181818</v>
      </c>
      <c r="U1695" s="39" t="n">
        <v>108.83</v>
      </c>
      <c r="V1695" s="39" t="n">
        <f aca="false">J1695*Resumo!$B$6</f>
        <v>0.39224</v>
      </c>
      <c r="W1695" s="39" t="n">
        <f aca="false">J1695*Resumo!$B$7</f>
        <v>0.78448</v>
      </c>
      <c r="X1695" s="39" t="n">
        <f aca="false">Resumo!$B$9</f>
        <v>1</v>
      </c>
      <c r="Y1695" s="39" t="n">
        <f aca="false">Resumo!$B$10*CEILING(I1695/100,1)</f>
        <v>4.5</v>
      </c>
      <c r="Z1695" s="39" t="n">
        <f aca="false">Resumo!$B$12*CEILING(I1695,1)</f>
        <v>2.04</v>
      </c>
      <c r="AA1695" s="39" t="n">
        <f aca="false">Resumo!$B$13*CEILING(I1695,1)</f>
        <v>15.3</v>
      </c>
      <c r="AB1695" s="39" t="n">
        <f aca="false">SUM(U1695:AA1695)</f>
        <v>132.84672</v>
      </c>
      <c r="AC1695" s="39" t="n">
        <f aca="false">AB1695/(1-Resumo!$B$5)</f>
        <v>150.962181818182</v>
      </c>
      <c r="AD1695" s="39" t="n">
        <f aca="false">(AB1695-AA1695)/(1-Resumo!$B$5)</f>
        <v>133.575818181818</v>
      </c>
      <c r="AE1695" s="39" t="n">
        <f aca="false">AC1695-T1695</f>
        <v>41.9028036363636</v>
      </c>
      <c r="AF1695" s="40" t="n">
        <f aca="false">AC1695/T1695-1</f>
        <v>0.38422008574545</v>
      </c>
      <c r="AG1695" s="37" t="str">
        <f aca="false">IF(AC1695&lt;T1695,"SIM","NÃO")</f>
        <v>NÃO</v>
      </c>
      <c r="AH1695" s="37" t="n">
        <v>13</v>
      </c>
      <c r="AI1695" s="37" t="n">
        <v>10</v>
      </c>
      <c r="AJ1695" s="37" t="s">
        <v>327</v>
      </c>
    </row>
    <row r="1696" customFormat="false" ht="15" hidden="false" customHeight="false" outlineLevel="0" collapsed="false">
      <c r="A1696" s="37" t="n">
        <v>391959678</v>
      </c>
      <c r="B1696" s="38" t="n">
        <v>46275.0038888889</v>
      </c>
      <c r="C1696" s="37" t="s">
        <v>320</v>
      </c>
      <c r="D1696" s="37" t="s">
        <v>1870</v>
      </c>
      <c r="E1696" s="37" t="n">
        <v>27946010</v>
      </c>
      <c r="F1696" s="37" t="s">
        <v>146</v>
      </c>
      <c r="G1696" s="37" t="s">
        <v>201</v>
      </c>
      <c r="H1696" s="37" t="s">
        <v>170</v>
      </c>
      <c r="I1696" s="37" t="n">
        <v>41.2</v>
      </c>
      <c r="J1696" s="39" t="n">
        <v>620.78</v>
      </c>
      <c r="K1696" s="37" t="s">
        <v>498</v>
      </c>
      <c r="L1696" s="39" t="n">
        <v>129.32</v>
      </c>
      <c r="M1696" s="39" t="n">
        <v>94</v>
      </c>
      <c r="N1696" s="39" t="n">
        <f aca="false">J1696*Resumo!$C$7</f>
        <v>1.24156</v>
      </c>
      <c r="O1696" s="39" t="n">
        <f aca="false">J1696*Resumo!$C$8</f>
        <v>1.24156</v>
      </c>
      <c r="P1696" s="39" t="n">
        <f aca="false">Resumo!$C$10*CEILING(I1696/100,1)</f>
        <v>1</v>
      </c>
      <c r="Q1696" s="39" t="n">
        <f aca="false">Resumo!$C$9</f>
        <v>11.9</v>
      </c>
      <c r="R1696" s="39" t="n">
        <f aca="false">SUM(M1696:Q1696)*Resumo!$C$11</f>
        <v>6.0160716</v>
      </c>
      <c r="S1696" s="39" t="n">
        <f aca="false">SUM(M1696:R1696)</f>
        <v>115.3991916</v>
      </c>
      <c r="T1696" s="39" t="n">
        <f aca="false">S1696/(1-Resumo!$C$5)</f>
        <v>131.135445</v>
      </c>
      <c r="U1696" s="39" t="n">
        <v>152.54</v>
      </c>
      <c r="V1696" s="39" t="n">
        <f aca="false">J1696*Resumo!$B$6</f>
        <v>0.62078</v>
      </c>
      <c r="W1696" s="39" t="n">
        <f aca="false">J1696*Resumo!$B$7</f>
        <v>1.24156</v>
      </c>
      <c r="X1696" s="39" t="n">
        <f aca="false">Resumo!$B$9</f>
        <v>1</v>
      </c>
      <c r="Y1696" s="39" t="n">
        <f aca="false">Resumo!$B$10*CEILING(I1696/100,1)</f>
        <v>4.5</v>
      </c>
      <c r="Z1696" s="39" t="n">
        <f aca="false">Resumo!$B$12*CEILING(I1696,1)</f>
        <v>2.52</v>
      </c>
      <c r="AA1696" s="39" t="n">
        <f aca="false">Resumo!$B$13*CEILING(I1696,1)</f>
        <v>18.9</v>
      </c>
      <c r="AB1696" s="39" t="n">
        <f aca="false">SUM(U1696:AA1696)</f>
        <v>181.32234</v>
      </c>
      <c r="AC1696" s="39" t="n">
        <f aca="false">AB1696/(1-Resumo!$B$5)</f>
        <v>206.048113636364</v>
      </c>
      <c r="AD1696" s="39" t="n">
        <f aca="false">(AB1696-AA1696)/(1-Resumo!$B$5)</f>
        <v>184.570840909091</v>
      </c>
      <c r="AE1696" s="39" t="n">
        <f aca="false">AC1696-T1696</f>
        <v>74.9126686363636</v>
      </c>
      <c r="AF1696" s="40" t="n">
        <f aca="false">AC1696/T1696-1</f>
        <v>0.571261786897994</v>
      </c>
      <c r="AG1696" s="37" t="str">
        <f aca="false">IF(AC1696&lt;T1696,"SIM","NÃO")</f>
        <v>NÃO</v>
      </c>
      <c r="AH1696" s="37" t="n">
        <v>13</v>
      </c>
      <c r="AI1696" s="37" t="n">
        <v>11</v>
      </c>
      <c r="AJ1696" s="37" t="s">
        <v>323</v>
      </c>
    </row>
    <row r="1697" customFormat="false" ht="15" hidden="false" customHeight="false" outlineLevel="0" collapsed="false">
      <c r="A1697" s="37" t="n">
        <v>391975230</v>
      </c>
      <c r="B1697" s="38" t="n">
        <v>46275.0227083333</v>
      </c>
      <c r="C1697" s="37" t="s">
        <v>320</v>
      </c>
      <c r="D1697" s="37" t="s">
        <v>1871</v>
      </c>
      <c r="E1697" s="37" t="n">
        <v>27276385</v>
      </c>
      <c r="F1697" s="37" t="s">
        <v>148</v>
      </c>
      <c r="G1697" s="37" t="s">
        <v>201</v>
      </c>
      <c r="H1697" s="37" t="s">
        <v>168</v>
      </c>
      <c r="I1697" s="37" t="n">
        <v>30.5</v>
      </c>
      <c r="J1697" s="39" t="n">
        <v>449.99</v>
      </c>
      <c r="K1697" s="37" t="s">
        <v>498</v>
      </c>
      <c r="L1697" s="39" t="n">
        <v>109.16</v>
      </c>
      <c r="M1697" s="39" t="n">
        <v>76.5</v>
      </c>
      <c r="N1697" s="39" t="n">
        <f aca="false">J1697*Resumo!$C$7</f>
        <v>0.89998</v>
      </c>
      <c r="O1697" s="39" t="n">
        <f aca="false">J1697*Resumo!$C$8</f>
        <v>0.89998</v>
      </c>
      <c r="P1697" s="39" t="n">
        <f aca="false">Resumo!$C$10*CEILING(I1697/100,1)</f>
        <v>1</v>
      </c>
      <c r="Q1697" s="39" t="n">
        <f aca="false">Resumo!$C$9</f>
        <v>11.9</v>
      </c>
      <c r="R1697" s="39" t="n">
        <f aca="false">SUM(M1697:Q1697)*Resumo!$C$11</f>
        <v>5.0159978</v>
      </c>
      <c r="S1697" s="39" t="n">
        <f aca="false">SUM(M1697:R1697)</f>
        <v>96.2159578</v>
      </c>
      <c r="T1697" s="39" t="n">
        <f aca="false">S1697/(1-Resumo!$C$5)</f>
        <v>109.336315681818</v>
      </c>
      <c r="U1697" s="39" t="n">
        <v>108.83</v>
      </c>
      <c r="V1697" s="39" t="n">
        <f aca="false">J1697*Resumo!$B$6</f>
        <v>0.44999</v>
      </c>
      <c r="W1697" s="39" t="n">
        <f aca="false">J1697*Resumo!$B$7</f>
        <v>0.89998</v>
      </c>
      <c r="X1697" s="39" t="n">
        <f aca="false">Resumo!$B$9</f>
        <v>1</v>
      </c>
      <c r="Y1697" s="39" t="n">
        <f aca="false">Resumo!$B$10*CEILING(I1697/100,1)</f>
        <v>4.5</v>
      </c>
      <c r="Z1697" s="39" t="n">
        <f aca="false">Resumo!$B$12*CEILING(I1697,1)</f>
        <v>1.86</v>
      </c>
      <c r="AA1697" s="39" t="n">
        <f aca="false">Resumo!$B$13*CEILING(I1697,1)</f>
        <v>13.95</v>
      </c>
      <c r="AB1697" s="39" t="n">
        <f aca="false">SUM(U1697:AA1697)</f>
        <v>131.48997</v>
      </c>
      <c r="AC1697" s="39" t="n">
        <f aca="false">AB1697/(1-Resumo!$B$5)</f>
        <v>149.420420454545</v>
      </c>
      <c r="AD1697" s="39" t="n">
        <f aca="false">(AB1697-AA1697)/(1-Resumo!$B$5)</f>
        <v>133.568147727273</v>
      </c>
      <c r="AE1697" s="39" t="n">
        <f aca="false">AC1697-T1697</f>
        <v>40.0841047727273</v>
      </c>
      <c r="AF1697" s="40" t="n">
        <f aca="false">AC1697/T1697-1</f>
        <v>0.36661290919457</v>
      </c>
      <c r="AG1697" s="37" t="str">
        <f aca="false">IF(AC1697&lt;T1697,"SIM","NÃO")</f>
        <v>NÃO</v>
      </c>
      <c r="AH1697" s="37" t="n">
        <v>13</v>
      </c>
      <c r="AI1697" s="37" t="n">
        <v>10</v>
      </c>
      <c r="AJ1697" s="37" t="s">
        <v>323</v>
      </c>
    </row>
    <row r="1698" customFormat="false" ht="15" hidden="false" customHeight="false" outlineLevel="0" collapsed="false">
      <c r="A1698" s="37" t="n">
        <v>391997365</v>
      </c>
      <c r="B1698" s="38" t="n">
        <v>46275.0656828704</v>
      </c>
      <c r="C1698" s="37" t="s">
        <v>320</v>
      </c>
      <c r="D1698" s="37" t="s">
        <v>521</v>
      </c>
      <c r="E1698" s="37" t="n">
        <v>21911310</v>
      </c>
      <c r="F1698" s="37" t="s">
        <v>139</v>
      </c>
      <c r="G1698" s="37" t="s">
        <v>198</v>
      </c>
      <c r="H1698" s="37" t="s">
        <v>168</v>
      </c>
      <c r="I1698" s="37" t="n">
        <v>24.8</v>
      </c>
      <c r="J1698" s="39" t="n">
        <v>299.99</v>
      </c>
      <c r="K1698" s="37" t="s">
        <v>322</v>
      </c>
      <c r="L1698" s="39" t="n">
        <v>81.76</v>
      </c>
      <c r="M1698" s="39" t="n">
        <v>54.1</v>
      </c>
      <c r="N1698" s="39" t="n">
        <f aca="false">J1698*Resumo!$C$7</f>
        <v>0.59998</v>
      </c>
      <c r="O1698" s="39" t="n">
        <f aca="false">J1698*Resumo!$C$8</f>
        <v>0.59998</v>
      </c>
      <c r="P1698" s="39" t="n">
        <f aca="false">Resumo!$C$10*CEILING(I1698/100,1)</f>
        <v>1</v>
      </c>
      <c r="Q1698" s="39" t="n">
        <f aca="false">Resumo!$C$9</f>
        <v>11.9</v>
      </c>
      <c r="R1698" s="39" t="n">
        <f aca="false">SUM(M1698:Q1698)*Resumo!$C$11</f>
        <v>3.7509978</v>
      </c>
      <c r="S1698" s="39" t="n">
        <f aca="false">SUM(M1698:R1698)</f>
        <v>71.9509578</v>
      </c>
      <c r="T1698" s="39" t="n">
        <f aca="false">S1698/(1-Resumo!$C$5)</f>
        <v>81.7624520454545</v>
      </c>
      <c r="U1698" s="39" t="n">
        <v>82.21</v>
      </c>
      <c r="V1698" s="39" t="n">
        <f aca="false">J1698*Resumo!$B$6</f>
        <v>0.29999</v>
      </c>
      <c r="W1698" s="39" t="n">
        <f aca="false">J1698*Resumo!$B$7</f>
        <v>0.59998</v>
      </c>
      <c r="X1698" s="39" t="n">
        <f aca="false">Resumo!$B$9</f>
        <v>1</v>
      </c>
      <c r="Y1698" s="39" t="n">
        <f aca="false">Resumo!$B$10*CEILING(I1698/100,1)</f>
        <v>4.5</v>
      </c>
      <c r="Z1698" s="39" t="n">
        <f aca="false">Resumo!$B$12*CEILING(I1698,1)</f>
        <v>1.5</v>
      </c>
      <c r="AA1698" s="39" t="n">
        <f aca="false">Resumo!$B$13*CEILING(I1698,1)</f>
        <v>11.25</v>
      </c>
      <c r="AB1698" s="39" t="n">
        <f aca="false">SUM(U1698:AA1698)</f>
        <v>101.35997</v>
      </c>
      <c r="AC1698" s="39" t="n">
        <f aca="false">AB1698/(1-Resumo!$B$5)</f>
        <v>115.181784090909</v>
      </c>
      <c r="AD1698" s="39" t="n">
        <f aca="false">(AB1698-AA1698)/(1-Resumo!$B$5)</f>
        <v>102.397693181818</v>
      </c>
      <c r="AE1698" s="39" t="n">
        <f aca="false">AC1698-T1698</f>
        <v>33.4193320454545</v>
      </c>
      <c r="AF1698" s="40" t="n">
        <f aca="false">AC1698/T1698-1</f>
        <v>0.408736910518236</v>
      </c>
      <c r="AG1698" s="37" t="str">
        <f aca="false">IF(AC1698&lt;T1698,"SIM","NÃO")</f>
        <v>NÃO</v>
      </c>
      <c r="AH1698" s="37" t="n">
        <v>8</v>
      </c>
      <c r="AI1698" s="37" t="n">
        <v>5</v>
      </c>
      <c r="AJ1698" s="37" t="s">
        <v>323</v>
      </c>
    </row>
    <row r="1699" customFormat="false" ht="15" hidden="false" customHeight="false" outlineLevel="0" collapsed="false">
      <c r="A1699" s="37" t="n">
        <v>392174837</v>
      </c>
      <c r="B1699" s="38" t="n">
        <v>46275.3884259259</v>
      </c>
      <c r="C1699" s="37" t="s">
        <v>325</v>
      </c>
      <c r="D1699" s="37" t="s">
        <v>1872</v>
      </c>
      <c r="E1699" s="37" t="n">
        <v>28165000</v>
      </c>
      <c r="F1699" s="37" t="s">
        <v>144</v>
      </c>
      <c r="G1699" s="37" t="s">
        <v>201</v>
      </c>
      <c r="H1699" s="37" t="s">
        <v>170</v>
      </c>
      <c r="I1699" s="37" t="n">
        <v>43.5</v>
      </c>
      <c r="J1699" s="39" t="n">
        <v>601.04</v>
      </c>
      <c r="K1699" s="37" t="s">
        <v>498</v>
      </c>
      <c r="L1699" s="39" t="n">
        <v>130.25</v>
      </c>
      <c r="M1699" s="39" t="n">
        <v>94</v>
      </c>
      <c r="N1699" s="39" t="n">
        <f aca="false">J1699*Resumo!$C$7</f>
        <v>1.20208</v>
      </c>
      <c r="O1699" s="39" t="n">
        <f aca="false">J1699*Resumo!$C$8</f>
        <v>1.20208</v>
      </c>
      <c r="P1699" s="39" t="n">
        <f aca="false">Resumo!$C$10*CEILING(I1699/100,1)</f>
        <v>1</v>
      </c>
      <c r="Q1699" s="39" t="n">
        <f aca="false">Resumo!$C$9</f>
        <v>11.9</v>
      </c>
      <c r="R1699" s="39" t="n">
        <f aca="false">SUM(M1699:Q1699)*Resumo!$C$11</f>
        <v>6.0117288</v>
      </c>
      <c r="S1699" s="39" t="n">
        <f aca="false">SUM(M1699:R1699)</f>
        <v>115.3158888</v>
      </c>
      <c r="T1699" s="39" t="n">
        <f aca="false">S1699/(1-Resumo!$C$5)</f>
        <v>131.040782727273</v>
      </c>
      <c r="U1699" s="39" t="n">
        <v>152.54</v>
      </c>
      <c r="V1699" s="39" t="n">
        <f aca="false">J1699*Resumo!$B$6</f>
        <v>0.60104</v>
      </c>
      <c r="W1699" s="39" t="n">
        <f aca="false">J1699*Resumo!$B$7</f>
        <v>1.20208</v>
      </c>
      <c r="X1699" s="39" t="n">
        <f aca="false">Resumo!$B$9</f>
        <v>1</v>
      </c>
      <c r="Y1699" s="39" t="n">
        <f aca="false">Resumo!$B$10*CEILING(I1699/100,1)</f>
        <v>4.5</v>
      </c>
      <c r="Z1699" s="39" t="n">
        <f aca="false">Resumo!$B$12*CEILING(I1699,1)</f>
        <v>2.64</v>
      </c>
      <c r="AA1699" s="39" t="n">
        <f aca="false">Resumo!$B$13*CEILING(I1699,1)</f>
        <v>19.8</v>
      </c>
      <c r="AB1699" s="39" t="n">
        <f aca="false">SUM(U1699:AA1699)</f>
        <v>182.28312</v>
      </c>
      <c r="AC1699" s="39" t="n">
        <f aca="false">AB1699/(1-Resumo!$B$5)</f>
        <v>207.139909090909</v>
      </c>
      <c r="AD1699" s="39" t="n">
        <f aca="false">(AB1699-AA1699)/(1-Resumo!$B$5)</f>
        <v>184.639909090909</v>
      </c>
      <c r="AE1699" s="39" t="n">
        <f aca="false">AC1699-T1699</f>
        <v>76.0991263636364</v>
      </c>
      <c r="AF1699" s="40" t="n">
        <f aca="false">AC1699/T1699-1</f>
        <v>0.580728569990435</v>
      </c>
      <c r="AG1699" s="37" t="str">
        <f aca="false">IF(AC1699&lt;T1699,"SIM","NÃO")</f>
        <v>NÃO</v>
      </c>
      <c r="AH1699" s="37" t="n">
        <v>13</v>
      </c>
      <c r="AI1699" s="37" t="n">
        <v>11</v>
      </c>
      <c r="AJ1699" s="37" t="s">
        <v>323</v>
      </c>
    </row>
    <row r="1700" customFormat="false" ht="15" hidden="false" customHeight="false" outlineLevel="0" collapsed="false">
      <c r="A1700" s="37" t="n">
        <v>392177859</v>
      </c>
      <c r="B1700" s="38" t="n">
        <v>46275.392025463</v>
      </c>
      <c r="C1700" s="37" t="s">
        <v>325</v>
      </c>
      <c r="D1700" s="37" t="s">
        <v>1646</v>
      </c>
      <c r="E1700" s="37" t="n">
        <v>28220000</v>
      </c>
      <c r="F1700" s="37" t="s">
        <v>245</v>
      </c>
      <c r="G1700" s="37" t="s">
        <v>201</v>
      </c>
      <c r="H1700" s="37" t="s">
        <v>168</v>
      </c>
      <c r="I1700" s="37" t="n">
        <v>22.6</v>
      </c>
      <c r="J1700" s="39" t="n">
        <v>460</v>
      </c>
      <c r="K1700" s="37" t="s">
        <v>498</v>
      </c>
      <c r="L1700" s="39" t="n">
        <v>105.14</v>
      </c>
      <c r="M1700" s="39" t="n">
        <v>76.5</v>
      </c>
      <c r="N1700" s="39" t="n">
        <f aca="false">J1700*Resumo!$C$7</f>
        <v>0.92</v>
      </c>
      <c r="O1700" s="39" t="n">
        <f aca="false">J1700*Resumo!$C$8</f>
        <v>0.92</v>
      </c>
      <c r="P1700" s="39" t="n">
        <f aca="false">Resumo!$C$10*CEILING(I1700/100,1)</f>
        <v>1</v>
      </c>
      <c r="Q1700" s="39" t="n">
        <f aca="false">Resumo!$C$9</f>
        <v>11.9</v>
      </c>
      <c r="R1700" s="39" t="n">
        <f aca="false">SUM(M1700:Q1700)*Resumo!$C$11</f>
        <v>5.0182</v>
      </c>
      <c r="S1700" s="39" t="n">
        <f aca="false">SUM(M1700:R1700)</f>
        <v>96.2582</v>
      </c>
      <c r="T1700" s="39" t="n">
        <f aca="false">S1700/(1-Resumo!$C$5)</f>
        <v>109.384318181818</v>
      </c>
      <c r="U1700" s="39" t="n">
        <v>138.29</v>
      </c>
      <c r="V1700" s="39" t="n">
        <f aca="false">J1700*Resumo!$B$6</f>
        <v>0.46</v>
      </c>
      <c r="W1700" s="39" t="n">
        <f aca="false">J1700*Resumo!$B$7</f>
        <v>0.92</v>
      </c>
      <c r="X1700" s="39" t="n">
        <f aca="false">Resumo!$B$9</f>
        <v>1</v>
      </c>
      <c r="Y1700" s="39" t="n">
        <f aca="false">Resumo!$B$10*CEILING(I1700/100,1)</f>
        <v>4.5</v>
      </c>
      <c r="Z1700" s="39" t="n">
        <f aca="false">Resumo!$B$12*CEILING(I1700,1)</f>
        <v>1.38</v>
      </c>
      <c r="AA1700" s="39" t="n">
        <f aca="false">Resumo!$B$13*CEILING(I1700,1)</f>
        <v>10.35</v>
      </c>
      <c r="AB1700" s="39" t="n">
        <f aca="false">SUM(U1700:AA1700)</f>
        <v>156.9</v>
      </c>
      <c r="AC1700" s="39" t="n">
        <f aca="false">AB1700/(1-Resumo!$B$5)</f>
        <v>178.295454545455</v>
      </c>
      <c r="AD1700" s="39" t="n">
        <f aca="false">(AB1700-AA1700)/(1-Resumo!$B$5)</f>
        <v>166.534090909091</v>
      </c>
      <c r="AE1700" s="39" t="n">
        <f aca="false">AC1700-T1700</f>
        <v>68.9111363636364</v>
      </c>
      <c r="AF1700" s="40" t="n">
        <f aca="false">AC1700/T1700-1</f>
        <v>0.629991003363869</v>
      </c>
      <c r="AG1700" s="37" t="str">
        <f aca="false">IF(AC1700&lt;T1700,"SIM","NÃO")</f>
        <v>NÃO</v>
      </c>
      <c r="AH1700" s="37" t="n">
        <v>13</v>
      </c>
      <c r="AI1700" s="37" t="n">
        <v>11</v>
      </c>
      <c r="AJ1700" s="37" t="s">
        <v>327</v>
      </c>
    </row>
    <row r="1701" customFormat="false" ht="15" hidden="false" customHeight="false" outlineLevel="0" collapsed="false">
      <c r="A1701" s="37" t="n">
        <v>392218303</v>
      </c>
      <c r="B1701" s="38" t="n">
        <v>46275.4398032407</v>
      </c>
      <c r="C1701" s="37" t="s">
        <v>325</v>
      </c>
      <c r="D1701" s="37" t="s">
        <v>1873</v>
      </c>
      <c r="E1701" s="37" t="n">
        <v>25802250</v>
      </c>
      <c r="F1701" s="37" t="s">
        <v>214</v>
      </c>
      <c r="G1701" s="37" t="s">
        <v>201</v>
      </c>
      <c r="H1701" s="37" t="s">
        <v>171</v>
      </c>
      <c r="I1701" s="37" t="n">
        <v>52.3</v>
      </c>
      <c r="J1701" s="39" t="n">
        <v>620</v>
      </c>
      <c r="K1701" s="37" t="s">
        <v>498</v>
      </c>
      <c r="L1701" s="39" t="n">
        <v>141.63</v>
      </c>
      <c r="M1701" s="39" t="n">
        <v>103.6</v>
      </c>
      <c r="N1701" s="39" t="n">
        <f aca="false">J1701*Resumo!$C$7</f>
        <v>1.24</v>
      </c>
      <c r="O1701" s="39" t="n">
        <f aca="false">J1701*Resumo!$C$8</f>
        <v>1.24</v>
      </c>
      <c r="P1701" s="39" t="n">
        <f aca="false">Resumo!$C$10*CEILING(I1701/100,1)</f>
        <v>1</v>
      </c>
      <c r="Q1701" s="39" t="n">
        <f aca="false">Resumo!$C$9</f>
        <v>11.9</v>
      </c>
      <c r="R1701" s="39" t="n">
        <f aca="false">SUM(M1701:Q1701)*Resumo!$C$11</f>
        <v>6.5439</v>
      </c>
      <c r="S1701" s="39" t="n">
        <f aca="false">SUM(M1701:R1701)</f>
        <v>125.5239</v>
      </c>
      <c r="T1701" s="39" t="n">
        <f aca="false">S1701/(1-Resumo!$C$5)</f>
        <v>142.640795454545</v>
      </c>
      <c r="U1701" s="39" t="n">
        <v>142.32</v>
      </c>
      <c r="V1701" s="39" t="n">
        <f aca="false">J1701*Resumo!$B$6</f>
        <v>0.62</v>
      </c>
      <c r="W1701" s="39" t="n">
        <f aca="false">J1701*Resumo!$B$7</f>
        <v>1.24</v>
      </c>
      <c r="X1701" s="39" t="n">
        <f aca="false">Resumo!$B$9</f>
        <v>1</v>
      </c>
      <c r="Y1701" s="39" t="n">
        <f aca="false">Resumo!$B$10*CEILING(I1701/100,1)</f>
        <v>4.5</v>
      </c>
      <c r="Z1701" s="39" t="n">
        <f aca="false">Resumo!$B$12*CEILING(I1701,1)</f>
        <v>3.18</v>
      </c>
      <c r="AA1701" s="39" t="n">
        <f aca="false">Resumo!$B$13*CEILING(I1701,1)</f>
        <v>23.85</v>
      </c>
      <c r="AB1701" s="39" t="n">
        <f aca="false">SUM(U1701:AA1701)</f>
        <v>176.71</v>
      </c>
      <c r="AC1701" s="39" t="n">
        <f aca="false">AB1701/(1-Resumo!$B$5)</f>
        <v>200.806818181818</v>
      </c>
      <c r="AD1701" s="39" t="n">
        <f aca="false">(AB1701-AA1701)/(1-Resumo!$B$5)</f>
        <v>173.704545454545</v>
      </c>
      <c r="AE1701" s="39" t="n">
        <f aca="false">AC1701-T1701</f>
        <v>58.1660227272727</v>
      </c>
      <c r="AF1701" s="40" t="n">
        <f aca="false">AC1701/T1701-1</f>
        <v>0.407779713664091</v>
      </c>
      <c r="AG1701" s="37" t="str">
        <f aca="false">IF(AC1701&lt;T1701,"SIM","NÃO")</f>
        <v>NÃO</v>
      </c>
      <c r="AH1701" s="37" t="n">
        <v>13</v>
      </c>
      <c r="AI1701" s="37" t="n">
        <v>8</v>
      </c>
      <c r="AJ1701" s="37" t="s">
        <v>327</v>
      </c>
    </row>
    <row r="1702" customFormat="false" ht="15" hidden="false" customHeight="false" outlineLevel="0" collapsed="false">
      <c r="A1702" s="37" t="n">
        <v>392228125</v>
      </c>
      <c r="B1702" s="38" t="n">
        <v>46275.4511805556</v>
      </c>
      <c r="C1702" s="37" t="s">
        <v>320</v>
      </c>
      <c r="D1702" s="37" t="s">
        <v>1874</v>
      </c>
      <c r="E1702" s="37" t="n">
        <v>25665442</v>
      </c>
      <c r="F1702" s="37" t="s">
        <v>150</v>
      </c>
      <c r="G1702" s="37" t="s">
        <v>201</v>
      </c>
      <c r="H1702" s="37" t="s">
        <v>171</v>
      </c>
      <c r="I1702" s="37" t="n">
        <v>60</v>
      </c>
      <c r="J1702" s="39" t="n">
        <v>879.99</v>
      </c>
      <c r="K1702" s="37" t="s">
        <v>498</v>
      </c>
      <c r="L1702" s="39" t="n">
        <v>146.45</v>
      </c>
      <c r="M1702" s="39" t="n">
        <v>103.6</v>
      </c>
      <c r="N1702" s="39" t="n">
        <f aca="false">J1702*Resumo!$C$7</f>
        <v>1.75998</v>
      </c>
      <c r="O1702" s="39" t="n">
        <f aca="false">J1702*Resumo!$C$8</f>
        <v>1.75998</v>
      </c>
      <c r="P1702" s="39" t="n">
        <f aca="false">Resumo!$C$10*CEILING(I1702/100,1)</f>
        <v>1</v>
      </c>
      <c r="Q1702" s="39" t="n">
        <f aca="false">Resumo!$C$9</f>
        <v>11.9</v>
      </c>
      <c r="R1702" s="39" t="n">
        <f aca="false">SUM(M1702:Q1702)*Resumo!$C$11</f>
        <v>6.6010978</v>
      </c>
      <c r="S1702" s="39" t="n">
        <f aca="false">SUM(M1702:R1702)</f>
        <v>126.6210578</v>
      </c>
      <c r="T1702" s="39" t="n">
        <f aca="false">S1702/(1-Resumo!$C$5)</f>
        <v>143.887565681818</v>
      </c>
      <c r="U1702" s="39" t="n">
        <v>142.32</v>
      </c>
      <c r="V1702" s="39" t="n">
        <f aca="false">J1702*Resumo!$B$6</f>
        <v>0.87999</v>
      </c>
      <c r="W1702" s="39" t="n">
        <f aca="false">J1702*Resumo!$B$7</f>
        <v>1.75998</v>
      </c>
      <c r="X1702" s="39" t="n">
        <f aca="false">Resumo!$B$9</f>
        <v>1</v>
      </c>
      <c r="Y1702" s="39" t="n">
        <f aca="false">Resumo!$B$10*CEILING(I1702/100,1)</f>
        <v>4.5</v>
      </c>
      <c r="Z1702" s="39" t="n">
        <f aca="false">Resumo!$B$12*CEILING(I1702,1)</f>
        <v>3.6</v>
      </c>
      <c r="AA1702" s="39" t="n">
        <f aca="false">Resumo!$B$13*CEILING(I1702,1)</f>
        <v>27</v>
      </c>
      <c r="AB1702" s="39" t="n">
        <f aca="false">SUM(U1702:AA1702)</f>
        <v>181.05997</v>
      </c>
      <c r="AC1702" s="39" t="n">
        <f aca="false">AB1702/(1-Resumo!$B$5)</f>
        <v>205.749965909091</v>
      </c>
      <c r="AD1702" s="39" t="n">
        <f aca="false">(AB1702-AA1702)/(1-Resumo!$B$5)</f>
        <v>175.068147727273</v>
      </c>
      <c r="AE1702" s="39" t="n">
        <f aca="false">AC1702-T1702</f>
        <v>61.8624002272727</v>
      </c>
      <c r="AF1702" s="40" t="n">
        <f aca="false">AC1702/T1702-1</f>
        <v>0.429935692734356</v>
      </c>
      <c r="AG1702" s="37" t="str">
        <f aca="false">IF(AC1702&lt;T1702,"SIM","NÃO")</f>
        <v>NÃO</v>
      </c>
      <c r="AH1702" s="37" t="n">
        <v>13</v>
      </c>
      <c r="AI1702" s="37" t="n">
        <v>8</v>
      </c>
      <c r="AJ1702" s="37" t="s">
        <v>323</v>
      </c>
    </row>
    <row r="1703" customFormat="false" ht="15" hidden="false" customHeight="false" outlineLevel="0" collapsed="false">
      <c r="A1703" s="37" t="n">
        <v>391900448</v>
      </c>
      <c r="B1703" s="38" t="n">
        <v>46275.4870486111</v>
      </c>
      <c r="C1703" s="37" t="s">
        <v>341</v>
      </c>
      <c r="D1703" s="37" t="s">
        <v>1875</v>
      </c>
      <c r="E1703" s="37" t="n">
        <v>21645521</v>
      </c>
      <c r="F1703" s="37" t="s">
        <v>139</v>
      </c>
      <c r="G1703" s="37" t="s">
        <v>198</v>
      </c>
      <c r="H1703" s="37" t="s">
        <v>168</v>
      </c>
      <c r="I1703" s="37" t="n">
        <v>26.4</v>
      </c>
      <c r="J1703" s="39" t="n">
        <v>399.99</v>
      </c>
      <c r="K1703" s="37" t="s">
        <v>322</v>
      </c>
      <c r="L1703" s="39" t="n">
        <v>82.24</v>
      </c>
      <c r="M1703" s="39" t="n">
        <v>54.1</v>
      </c>
      <c r="N1703" s="39" t="n">
        <f aca="false">J1703*Resumo!$C$7</f>
        <v>0.79998</v>
      </c>
      <c r="O1703" s="39" t="n">
        <f aca="false">J1703*Resumo!$C$8</f>
        <v>0.79998</v>
      </c>
      <c r="P1703" s="39" t="n">
        <f aca="false">Resumo!$C$10*CEILING(I1703/100,1)</f>
        <v>1</v>
      </c>
      <c r="Q1703" s="39" t="n">
        <f aca="false">Resumo!$C$9</f>
        <v>11.9</v>
      </c>
      <c r="R1703" s="39" t="n">
        <f aca="false">SUM(M1703:Q1703)*Resumo!$C$11</f>
        <v>3.7729978</v>
      </c>
      <c r="S1703" s="39" t="n">
        <f aca="false">SUM(M1703:R1703)</f>
        <v>72.3729578</v>
      </c>
      <c r="T1703" s="39" t="n">
        <f aca="false">S1703/(1-Resumo!$C$5)</f>
        <v>82.2419975</v>
      </c>
      <c r="U1703" s="39" t="n">
        <v>82.21</v>
      </c>
      <c r="V1703" s="39" t="n">
        <f aca="false">J1703*Resumo!$B$6</f>
        <v>0.39999</v>
      </c>
      <c r="W1703" s="39" t="n">
        <f aca="false">J1703*Resumo!$B$7</f>
        <v>0.79998</v>
      </c>
      <c r="X1703" s="39" t="n">
        <f aca="false">Resumo!$B$9</f>
        <v>1</v>
      </c>
      <c r="Y1703" s="39" t="n">
        <f aca="false">Resumo!$B$10*CEILING(I1703/100,1)</f>
        <v>4.5</v>
      </c>
      <c r="Z1703" s="39" t="n">
        <f aca="false">Resumo!$B$12*CEILING(I1703,1)</f>
        <v>1.62</v>
      </c>
      <c r="AA1703" s="39" t="n">
        <f aca="false">Resumo!$B$13*CEILING(I1703,1)</f>
        <v>12.15</v>
      </c>
      <c r="AB1703" s="39" t="n">
        <f aca="false">SUM(U1703:AA1703)</f>
        <v>102.67997</v>
      </c>
      <c r="AC1703" s="39" t="n">
        <f aca="false">AB1703/(1-Resumo!$B$5)</f>
        <v>116.681784090909</v>
      </c>
      <c r="AD1703" s="39" t="n">
        <f aca="false">(AB1703-AA1703)/(1-Resumo!$B$5)</f>
        <v>102.874965909091</v>
      </c>
      <c r="AE1703" s="39" t="n">
        <f aca="false">AC1703-T1703</f>
        <v>34.4397865909091</v>
      </c>
      <c r="AF1703" s="40" t="n">
        <f aca="false">AC1703/T1703-1</f>
        <v>0.418761552951205</v>
      </c>
      <c r="AG1703" s="37" t="str">
        <f aca="false">IF(AC1703&lt;T1703,"SIM","NÃO")</f>
        <v>NÃO</v>
      </c>
      <c r="AH1703" s="37" t="n">
        <v>8</v>
      </c>
      <c r="AI1703" s="37" t="n">
        <v>5</v>
      </c>
      <c r="AJ1703" s="37" t="s">
        <v>323</v>
      </c>
    </row>
    <row r="1704" customFormat="false" ht="15" hidden="false" customHeight="false" outlineLevel="0" collapsed="false">
      <c r="A1704" s="37" t="n">
        <v>392272195</v>
      </c>
      <c r="B1704" s="38" t="n">
        <v>46275.5027430556</v>
      </c>
      <c r="C1704" s="37" t="s">
        <v>320</v>
      </c>
      <c r="D1704" s="37" t="s">
        <v>1876</v>
      </c>
      <c r="E1704" s="37" t="n">
        <v>27214615</v>
      </c>
      <c r="F1704" s="37" t="s">
        <v>148</v>
      </c>
      <c r="G1704" s="37" t="s">
        <v>201</v>
      </c>
      <c r="H1704" s="37" t="s">
        <v>168</v>
      </c>
      <c r="I1704" s="37" t="n">
        <v>27.6</v>
      </c>
      <c r="J1704" s="39" t="n">
        <v>537.45</v>
      </c>
      <c r="K1704" s="37" t="s">
        <v>498</v>
      </c>
      <c r="L1704" s="39" t="n">
        <v>108.06</v>
      </c>
      <c r="M1704" s="39" t="n">
        <v>76.5</v>
      </c>
      <c r="N1704" s="39" t="n">
        <f aca="false">J1704*Resumo!$C$7</f>
        <v>1.0749</v>
      </c>
      <c r="O1704" s="39" t="n">
        <f aca="false">J1704*Resumo!$C$8</f>
        <v>1.0749</v>
      </c>
      <c r="P1704" s="39" t="n">
        <f aca="false">Resumo!$C$10*CEILING(I1704/100,1)</f>
        <v>1</v>
      </c>
      <c r="Q1704" s="39" t="n">
        <f aca="false">Resumo!$C$9</f>
        <v>11.9</v>
      </c>
      <c r="R1704" s="39" t="n">
        <f aca="false">SUM(M1704:Q1704)*Resumo!$C$11</f>
        <v>5.035239</v>
      </c>
      <c r="S1704" s="39" t="n">
        <f aca="false">SUM(M1704:R1704)</f>
        <v>96.585039</v>
      </c>
      <c r="T1704" s="39" t="n">
        <f aca="false">S1704/(1-Resumo!$C$5)</f>
        <v>109.755726136364</v>
      </c>
      <c r="U1704" s="39" t="n">
        <v>108.83</v>
      </c>
      <c r="V1704" s="39" t="n">
        <f aca="false">J1704*Resumo!$B$6</f>
        <v>0.53745</v>
      </c>
      <c r="W1704" s="39" t="n">
        <f aca="false">J1704*Resumo!$B$7</f>
        <v>1.0749</v>
      </c>
      <c r="X1704" s="39" t="n">
        <f aca="false">Resumo!$B$9</f>
        <v>1</v>
      </c>
      <c r="Y1704" s="39" t="n">
        <f aca="false">Resumo!$B$10*CEILING(I1704/100,1)</f>
        <v>4.5</v>
      </c>
      <c r="Z1704" s="39" t="n">
        <f aca="false">Resumo!$B$12*CEILING(I1704,1)</f>
        <v>1.68</v>
      </c>
      <c r="AA1704" s="39" t="n">
        <f aca="false">Resumo!$B$13*CEILING(I1704,1)</f>
        <v>12.6</v>
      </c>
      <c r="AB1704" s="39" t="n">
        <f aca="false">SUM(U1704:AA1704)</f>
        <v>130.22235</v>
      </c>
      <c r="AC1704" s="39" t="n">
        <f aca="false">AB1704/(1-Resumo!$B$5)</f>
        <v>147.979943181818</v>
      </c>
      <c r="AD1704" s="39" t="n">
        <f aca="false">(AB1704-AA1704)/(1-Resumo!$B$5)</f>
        <v>133.661761363636</v>
      </c>
      <c r="AE1704" s="39" t="n">
        <f aca="false">AC1704-T1704</f>
        <v>38.2242170454545</v>
      </c>
      <c r="AF1704" s="40" t="n">
        <f aca="false">AC1704/T1704-1</f>
        <v>0.348266267201072</v>
      </c>
      <c r="AG1704" s="37" t="str">
        <f aca="false">IF(AC1704&lt;T1704,"SIM","NÃO")</f>
        <v>NÃO</v>
      </c>
      <c r="AH1704" s="37" t="n">
        <v>13</v>
      </c>
      <c r="AI1704" s="37" t="n">
        <v>10</v>
      </c>
      <c r="AJ1704" s="37" t="s">
        <v>323</v>
      </c>
    </row>
    <row r="1705" customFormat="false" ht="15" hidden="false" customHeight="false" outlineLevel="0" collapsed="false">
      <c r="A1705" s="37" t="n">
        <v>392273152</v>
      </c>
      <c r="B1705" s="38" t="n">
        <v>46275.5038078704</v>
      </c>
      <c r="C1705" s="37" t="s">
        <v>320</v>
      </c>
      <c r="D1705" s="37" t="s">
        <v>1877</v>
      </c>
      <c r="E1705" s="37" t="n">
        <v>24130345</v>
      </c>
      <c r="F1705" s="37" t="s">
        <v>143</v>
      </c>
      <c r="G1705" s="37" t="s">
        <v>207</v>
      </c>
      <c r="H1705" s="37" t="s">
        <v>169</v>
      </c>
      <c r="I1705" s="37" t="n">
        <v>40</v>
      </c>
      <c r="J1705" s="39" t="n">
        <v>569.99</v>
      </c>
      <c r="K1705" s="37" t="s">
        <v>322</v>
      </c>
      <c r="L1705" s="39" t="n">
        <v>113.69</v>
      </c>
      <c r="M1705" s="39" t="n">
        <v>79.65</v>
      </c>
      <c r="N1705" s="39" t="n">
        <f aca="false">J1705*Resumo!$C$7</f>
        <v>1.13998</v>
      </c>
      <c r="O1705" s="39" t="n">
        <f aca="false">J1705*Resumo!$C$8</f>
        <v>1.13998</v>
      </c>
      <c r="P1705" s="39" t="n">
        <f aca="false">Resumo!$C$10*CEILING(I1705/100,1)</f>
        <v>1</v>
      </c>
      <c r="Q1705" s="39" t="n">
        <f aca="false">Resumo!$C$9</f>
        <v>11.9</v>
      </c>
      <c r="R1705" s="39" t="n">
        <f aca="false">SUM(M1705:Q1705)*Resumo!$C$11</f>
        <v>5.2156478</v>
      </c>
      <c r="S1705" s="39" t="n">
        <f aca="false">SUM(M1705:R1705)</f>
        <v>100.0456078</v>
      </c>
      <c r="T1705" s="39" t="n">
        <f aca="false">S1705/(1-Resumo!$C$5)</f>
        <v>113.688190681818</v>
      </c>
      <c r="U1705" s="39" t="n">
        <v>114.95</v>
      </c>
      <c r="V1705" s="39" t="n">
        <f aca="false">J1705*Resumo!$B$6</f>
        <v>0.56999</v>
      </c>
      <c r="W1705" s="39" t="n">
        <f aca="false">J1705*Resumo!$B$7</f>
        <v>1.13998</v>
      </c>
      <c r="X1705" s="39" t="n">
        <f aca="false">Resumo!$B$9</f>
        <v>1</v>
      </c>
      <c r="Y1705" s="39" t="n">
        <f aca="false">Resumo!$B$10*CEILING(I1705/100,1)</f>
        <v>4.5</v>
      </c>
      <c r="Z1705" s="39" t="n">
        <f aca="false">Resumo!$B$12*CEILING(I1705,1)</f>
        <v>2.4</v>
      </c>
      <c r="AA1705" s="39" t="n">
        <f aca="false">Resumo!$B$13*CEILING(I1705,1)</f>
        <v>18</v>
      </c>
      <c r="AB1705" s="39" t="n">
        <f aca="false">SUM(U1705:AA1705)</f>
        <v>142.55997</v>
      </c>
      <c r="AC1705" s="39" t="n">
        <f aca="false">AB1705/(1-Resumo!$B$5)</f>
        <v>161.999965909091</v>
      </c>
      <c r="AD1705" s="39" t="n">
        <f aca="false">(AB1705-AA1705)/(1-Resumo!$B$5)</f>
        <v>141.545420454545</v>
      </c>
      <c r="AE1705" s="39" t="n">
        <f aca="false">AC1705-T1705</f>
        <v>48.3117752272728</v>
      </c>
      <c r="AF1705" s="40" t="n">
        <f aca="false">AC1705/T1705-1</f>
        <v>0.424949811739762</v>
      </c>
      <c r="AG1705" s="37" t="str">
        <f aca="false">IF(AC1705&lt;T1705,"SIM","NÃO")</f>
        <v>NÃO</v>
      </c>
      <c r="AH1705" s="37" t="n">
        <v>10</v>
      </c>
      <c r="AI1705" s="37" t="n">
        <v>7</v>
      </c>
      <c r="AJ1705" s="37" t="s">
        <v>323</v>
      </c>
    </row>
    <row r="1706" customFormat="false" ht="15" hidden="false" customHeight="false" outlineLevel="0" collapsed="false">
      <c r="A1706" s="37" t="n">
        <v>392279689</v>
      </c>
      <c r="B1706" s="38" t="n">
        <v>46275.5138657407</v>
      </c>
      <c r="C1706" s="37" t="s">
        <v>352</v>
      </c>
      <c r="D1706" s="37" t="s">
        <v>1224</v>
      </c>
      <c r="E1706" s="37" t="n">
        <v>20211020</v>
      </c>
      <c r="F1706" s="37" t="s">
        <v>139</v>
      </c>
      <c r="G1706" s="37" t="s">
        <v>198</v>
      </c>
      <c r="H1706" s="37" t="s">
        <v>169</v>
      </c>
      <c r="I1706" s="37" t="n">
        <v>37.2</v>
      </c>
      <c r="J1706" s="39" t="n">
        <v>444.43</v>
      </c>
      <c r="K1706" s="37" t="s">
        <v>322</v>
      </c>
      <c r="L1706" s="39" t="n">
        <v>91.99</v>
      </c>
      <c r="M1706" s="39" t="n">
        <v>62.05</v>
      </c>
      <c r="N1706" s="39" t="n">
        <f aca="false">J1706*Resumo!$C$7</f>
        <v>0.88886</v>
      </c>
      <c r="O1706" s="39" t="n">
        <f aca="false">J1706*Resumo!$C$8</f>
        <v>0.88886</v>
      </c>
      <c r="P1706" s="39" t="n">
        <f aca="false">Resumo!$C$10*CEILING(I1706/100,1)</f>
        <v>1</v>
      </c>
      <c r="Q1706" s="39" t="n">
        <f aca="false">Resumo!$C$9</f>
        <v>11.9</v>
      </c>
      <c r="R1706" s="39" t="n">
        <f aca="false">SUM(M1706:Q1706)*Resumo!$C$11</f>
        <v>4.2200246</v>
      </c>
      <c r="S1706" s="39" t="n">
        <f aca="false">SUM(M1706:R1706)</f>
        <v>80.9477446</v>
      </c>
      <c r="T1706" s="39" t="n">
        <f aca="false">S1706/(1-Resumo!$C$5)</f>
        <v>91.9860734090909</v>
      </c>
      <c r="U1706" s="39" t="n">
        <v>93.97</v>
      </c>
      <c r="V1706" s="39" t="n">
        <f aca="false">J1706*Resumo!$B$6</f>
        <v>0.44443</v>
      </c>
      <c r="W1706" s="39" t="n">
        <f aca="false">J1706*Resumo!$B$7</f>
        <v>0.88886</v>
      </c>
      <c r="X1706" s="39" t="n">
        <f aca="false">Resumo!$B$9</f>
        <v>1</v>
      </c>
      <c r="Y1706" s="39" t="n">
        <f aca="false">Resumo!$B$10*CEILING(I1706/100,1)</f>
        <v>4.5</v>
      </c>
      <c r="Z1706" s="39" t="n">
        <f aca="false">Resumo!$B$12*CEILING(I1706,1)</f>
        <v>2.28</v>
      </c>
      <c r="AA1706" s="39" t="n">
        <f aca="false">Resumo!$B$13*CEILING(I1706,1)</f>
        <v>17.1</v>
      </c>
      <c r="AB1706" s="39" t="n">
        <f aca="false">SUM(U1706:AA1706)</f>
        <v>120.18329</v>
      </c>
      <c r="AC1706" s="39" t="n">
        <f aca="false">AB1706/(1-Resumo!$B$5)</f>
        <v>136.571920454545</v>
      </c>
      <c r="AD1706" s="39" t="n">
        <f aca="false">(AB1706-AA1706)/(1-Resumo!$B$5)</f>
        <v>117.140102272727</v>
      </c>
      <c r="AE1706" s="39" t="n">
        <f aca="false">AC1706-T1706</f>
        <v>44.5858470454545</v>
      </c>
      <c r="AF1706" s="40" t="n">
        <f aca="false">AC1706/T1706-1</f>
        <v>0.48470214449928</v>
      </c>
      <c r="AG1706" s="37" t="str">
        <f aca="false">IF(AC1706&lt;T1706,"SIM","NÃO")</f>
        <v>NÃO</v>
      </c>
      <c r="AH1706" s="37" t="n">
        <v>8</v>
      </c>
      <c r="AI1706" s="37" t="n">
        <v>5</v>
      </c>
      <c r="AJ1706" s="37" t="s">
        <v>323</v>
      </c>
    </row>
    <row r="1707" customFormat="false" ht="15" hidden="false" customHeight="false" outlineLevel="0" collapsed="false">
      <c r="A1707" s="37" t="n">
        <v>392308079</v>
      </c>
      <c r="B1707" s="38" t="n">
        <v>46275.5432175926</v>
      </c>
      <c r="C1707" s="37" t="s">
        <v>320</v>
      </c>
      <c r="D1707" s="37" t="s">
        <v>1878</v>
      </c>
      <c r="E1707" s="37" t="n">
        <v>25060140</v>
      </c>
      <c r="F1707" s="37" t="s">
        <v>141</v>
      </c>
      <c r="G1707" s="37" t="s">
        <v>207</v>
      </c>
      <c r="H1707" s="37" t="s">
        <v>167</v>
      </c>
      <c r="I1707" s="37" t="n">
        <v>19.5</v>
      </c>
      <c r="J1707" s="39" t="n">
        <v>379.99</v>
      </c>
      <c r="K1707" s="37" t="s">
        <v>322</v>
      </c>
      <c r="L1707" s="39" t="n">
        <v>75.66</v>
      </c>
      <c r="M1707" s="39" t="n">
        <v>48.69</v>
      </c>
      <c r="N1707" s="39" t="n">
        <f aca="false">J1707*Resumo!$C$7</f>
        <v>0.75998</v>
      </c>
      <c r="O1707" s="39" t="n">
        <f aca="false">J1707*Resumo!$C$8</f>
        <v>0.75998</v>
      </c>
      <c r="P1707" s="39" t="n">
        <f aca="false">Resumo!$C$10*CEILING(I1707/100,1)</f>
        <v>1</v>
      </c>
      <c r="Q1707" s="39" t="n">
        <f aca="false">Resumo!$C$9</f>
        <v>11.9</v>
      </c>
      <c r="R1707" s="39" t="n">
        <f aca="false">SUM(M1707:Q1707)*Resumo!$C$11</f>
        <v>3.4710478</v>
      </c>
      <c r="S1707" s="39" t="n">
        <f aca="false">SUM(M1707:R1707)</f>
        <v>66.5810078</v>
      </c>
      <c r="T1707" s="39" t="n">
        <f aca="false">S1707/(1-Resumo!$C$5)</f>
        <v>75.6602361363636</v>
      </c>
      <c r="U1707" s="39" t="n">
        <v>46.98</v>
      </c>
      <c r="V1707" s="39" t="n">
        <f aca="false">J1707*Resumo!$B$6</f>
        <v>0.37999</v>
      </c>
      <c r="W1707" s="39" t="n">
        <f aca="false">J1707*Resumo!$B$7</f>
        <v>0.75998</v>
      </c>
      <c r="X1707" s="39" t="n">
        <f aca="false">Resumo!$B$9</f>
        <v>1</v>
      </c>
      <c r="Y1707" s="39" t="n">
        <f aca="false">Resumo!$B$10*CEILING(I1707/100,1)</f>
        <v>4.5</v>
      </c>
      <c r="Z1707" s="39" t="n">
        <f aca="false">Resumo!$B$12*CEILING(I1707,1)</f>
        <v>1.2</v>
      </c>
      <c r="AA1707" s="39" t="n">
        <f aca="false">Resumo!$B$13*CEILING(I1707,1)</f>
        <v>9</v>
      </c>
      <c r="AB1707" s="39" t="n">
        <f aca="false">SUM(U1707:AA1707)</f>
        <v>63.81997</v>
      </c>
      <c r="AC1707" s="39" t="n">
        <f aca="false">AB1707/(1-Resumo!$B$5)</f>
        <v>72.5226931818182</v>
      </c>
      <c r="AD1707" s="39" t="n">
        <f aca="false">(AB1707-AA1707)/(1-Resumo!$B$5)</f>
        <v>62.2954204545455</v>
      </c>
      <c r="AE1707" s="39" t="n">
        <f aca="false">AC1707-T1707</f>
        <v>-3.13754295454545</v>
      </c>
      <c r="AF1707" s="40" t="n">
        <f aca="false">AC1707/T1707-1</f>
        <v>-0.0414688496199062</v>
      </c>
      <c r="AG1707" s="37" t="str">
        <f aca="false">IF(AC1707&lt;T1707,"SIM","NÃO")</f>
        <v>SIM</v>
      </c>
      <c r="AH1707" s="37" t="n">
        <v>10</v>
      </c>
      <c r="AI1707" s="37" t="n">
        <v>5</v>
      </c>
      <c r="AJ1707" s="37" t="s">
        <v>323</v>
      </c>
    </row>
    <row r="1708" customFormat="false" ht="15" hidden="false" customHeight="false" outlineLevel="0" collapsed="false">
      <c r="A1708" s="37" t="n">
        <v>392317012</v>
      </c>
      <c r="B1708" s="38" t="n">
        <v>46275.5566435185</v>
      </c>
      <c r="C1708" s="37" t="s">
        <v>341</v>
      </c>
      <c r="D1708" s="37" t="s">
        <v>1879</v>
      </c>
      <c r="E1708" s="37" t="n">
        <v>24943255</v>
      </c>
      <c r="F1708" s="37" t="s">
        <v>151</v>
      </c>
      <c r="G1708" s="37" t="s">
        <v>201</v>
      </c>
      <c r="H1708" s="37" t="s">
        <v>169</v>
      </c>
      <c r="I1708" s="37" t="n">
        <v>36.9</v>
      </c>
      <c r="J1708" s="39" t="n">
        <v>439.99</v>
      </c>
      <c r="K1708" s="37" t="s">
        <v>498</v>
      </c>
      <c r="L1708" s="39" t="n">
        <v>122.8</v>
      </c>
      <c r="M1708" s="39" t="n">
        <v>87.4</v>
      </c>
      <c r="N1708" s="39" t="n">
        <f aca="false">J1708*Resumo!$C$7</f>
        <v>0.87998</v>
      </c>
      <c r="O1708" s="39" t="n">
        <f aca="false">J1708*Resumo!$C$8</f>
        <v>0.87998</v>
      </c>
      <c r="P1708" s="39" t="n">
        <f aca="false">Resumo!$C$10*CEILING(I1708/100,1)</f>
        <v>1</v>
      </c>
      <c r="Q1708" s="39" t="n">
        <f aca="false">Resumo!$C$9</f>
        <v>11.9</v>
      </c>
      <c r="R1708" s="39" t="n">
        <f aca="false">SUM(M1708:Q1708)*Resumo!$C$11</f>
        <v>5.6132978</v>
      </c>
      <c r="S1708" s="39" t="n">
        <f aca="false">SUM(M1708:R1708)</f>
        <v>107.6732578</v>
      </c>
      <c r="T1708" s="39" t="n">
        <f aca="false">S1708/(1-Resumo!$C$5)</f>
        <v>122.355974772727</v>
      </c>
      <c r="U1708" s="39" t="n">
        <v>114.95</v>
      </c>
      <c r="V1708" s="39" t="n">
        <f aca="false">J1708*Resumo!$B$6</f>
        <v>0.43999</v>
      </c>
      <c r="W1708" s="39" t="n">
        <f aca="false">J1708*Resumo!$B$7</f>
        <v>0.87998</v>
      </c>
      <c r="X1708" s="39" t="n">
        <f aca="false">Resumo!$B$9</f>
        <v>1</v>
      </c>
      <c r="Y1708" s="39" t="n">
        <f aca="false">Resumo!$B$10*CEILING(I1708/100,1)</f>
        <v>4.5</v>
      </c>
      <c r="Z1708" s="39" t="n">
        <f aca="false">Resumo!$B$12*CEILING(I1708,1)</f>
        <v>2.22</v>
      </c>
      <c r="AA1708" s="39" t="n">
        <f aca="false">Resumo!$B$13*CEILING(I1708,1)</f>
        <v>16.65</v>
      </c>
      <c r="AB1708" s="39" t="n">
        <f aca="false">SUM(U1708:AA1708)</f>
        <v>140.63997</v>
      </c>
      <c r="AC1708" s="39" t="n">
        <f aca="false">AB1708/(1-Resumo!$B$5)</f>
        <v>159.818147727273</v>
      </c>
      <c r="AD1708" s="39" t="n">
        <f aca="false">(AB1708-AA1708)/(1-Resumo!$B$5)</f>
        <v>140.897693181818</v>
      </c>
      <c r="AE1708" s="39" t="n">
        <f aca="false">AC1708-T1708</f>
        <v>37.4621729545455</v>
      </c>
      <c r="AF1708" s="40" t="n">
        <f aca="false">AC1708/T1708-1</f>
        <v>0.306173630050599</v>
      </c>
      <c r="AG1708" s="37" t="str">
        <f aca="false">IF(AC1708&lt;T1708,"SIM","NÃO")</f>
        <v>NÃO</v>
      </c>
      <c r="AH1708" s="37" t="n">
        <v>13</v>
      </c>
      <c r="AI1708" s="37" t="n">
        <v>7</v>
      </c>
      <c r="AJ1708" s="37" t="s">
        <v>323</v>
      </c>
    </row>
    <row r="1709" customFormat="false" ht="15" hidden="false" customHeight="false" outlineLevel="0" collapsed="false">
      <c r="A1709" s="37" t="n">
        <v>392326542</v>
      </c>
      <c r="B1709" s="38" t="n">
        <v>46275.5677893519</v>
      </c>
      <c r="C1709" s="37" t="s">
        <v>320</v>
      </c>
      <c r="D1709" s="37" t="s">
        <v>1880</v>
      </c>
      <c r="E1709" s="37" t="n">
        <v>24802245</v>
      </c>
      <c r="F1709" s="37" t="s">
        <v>154</v>
      </c>
      <c r="G1709" s="37" t="s">
        <v>201</v>
      </c>
      <c r="H1709" s="37" t="s">
        <v>169</v>
      </c>
      <c r="I1709" s="37" t="n">
        <v>37.2</v>
      </c>
      <c r="J1709" s="39" t="n">
        <v>366.5</v>
      </c>
      <c r="K1709" s="37" t="s">
        <v>498</v>
      </c>
      <c r="L1709" s="39" t="n">
        <v>122.97</v>
      </c>
      <c r="M1709" s="39" t="n">
        <v>87.4</v>
      </c>
      <c r="N1709" s="39" t="n">
        <f aca="false">J1709*Resumo!$C$7</f>
        <v>0.733</v>
      </c>
      <c r="O1709" s="39" t="n">
        <f aca="false">J1709*Resumo!$C$8</f>
        <v>0.733</v>
      </c>
      <c r="P1709" s="39" t="n">
        <f aca="false">Resumo!$C$10*CEILING(I1709/100,1)</f>
        <v>1</v>
      </c>
      <c r="Q1709" s="39" t="n">
        <f aca="false">Resumo!$C$9</f>
        <v>11.9</v>
      </c>
      <c r="R1709" s="39" t="n">
        <f aca="false">SUM(M1709:Q1709)*Resumo!$C$11</f>
        <v>5.59713</v>
      </c>
      <c r="S1709" s="39" t="n">
        <f aca="false">SUM(M1709:R1709)</f>
        <v>107.36313</v>
      </c>
      <c r="T1709" s="39" t="n">
        <f aca="false">S1709/(1-Resumo!$C$5)</f>
        <v>122.003556818182</v>
      </c>
      <c r="U1709" s="39" t="n">
        <v>114.95</v>
      </c>
      <c r="V1709" s="39" t="n">
        <f aca="false">J1709*Resumo!$B$6</f>
        <v>0.3665</v>
      </c>
      <c r="W1709" s="39" t="n">
        <f aca="false">J1709*Resumo!$B$7</f>
        <v>0.733</v>
      </c>
      <c r="X1709" s="39" t="n">
        <f aca="false">Resumo!$B$9</f>
        <v>1</v>
      </c>
      <c r="Y1709" s="39" t="n">
        <f aca="false">Resumo!$B$10*CEILING(I1709/100,1)</f>
        <v>4.5</v>
      </c>
      <c r="Z1709" s="39" t="n">
        <f aca="false">Resumo!$B$12*CEILING(I1709,1)</f>
        <v>2.28</v>
      </c>
      <c r="AA1709" s="39" t="n">
        <f aca="false">Resumo!$B$13*CEILING(I1709,1)</f>
        <v>17.1</v>
      </c>
      <c r="AB1709" s="39" t="n">
        <f aca="false">SUM(U1709:AA1709)</f>
        <v>140.9295</v>
      </c>
      <c r="AC1709" s="39" t="n">
        <f aca="false">AB1709/(1-Resumo!$B$5)</f>
        <v>160.147159090909</v>
      </c>
      <c r="AD1709" s="39" t="n">
        <f aca="false">(AB1709-AA1709)/(1-Resumo!$B$5)</f>
        <v>140.715340909091</v>
      </c>
      <c r="AE1709" s="39" t="n">
        <f aca="false">AC1709-T1709</f>
        <v>38.1436022727272</v>
      </c>
      <c r="AF1709" s="40" t="n">
        <f aca="false">AC1709/T1709-1</f>
        <v>0.312643362763362</v>
      </c>
      <c r="AG1709" s="37" t="str">
        <f aca="false">IF(AC1709&lt;T1709,"SIM","NÃO")</f>
        <v>NÃO</v>
      </c>
      <c r="AH1709" s="37" t="n">
        <v>13</v>
      </c>
      <c r="AI1709" s="37" t="n">
        <v>7</v>
      </c>
      <c r="AJ1709" s="37" t="s">
        <v>323</v>
      </c>
    </row>
    <row r="1710" customFormat="false" ht="15" hidden="false" customHeight="false" outlineLevel="0" collapsed="false">
      <c r="A1710" s="37" t="n">
        <v>392368557</v>
      </c>
      <c r="B1710" s="38" t="n">
        <v>46275.6080092593</v>
      </c>
      <c r="C1710" s="37" t="s">
        <v>517</v>
      </c>
      <c r="D1710" s="37" t="s">
        <v>1881</v>
      </c>
      <c r="E1710" s="37" t="n">
        <v>26053200</v>
      </c>
      <c r="F1710" s="37" t="s">
        <v>142</v>
      </c>
      <c r="G1710" s="37" t="s">
        <v>207</v>
      </c>
      <c r="H1710" s="37" t="s">
        <v>172</v>
      </c>
      <c r="I1710" s="37" t="n">
        <v>68.85</v>
      </c>
      <c r="J1710" s="39" t="n">
        <v>779.99</v>
      </c>
      <c r="K1710" s="37" t="s">
        <v>322</v>
      </c>
      <c r="L1710" s="39" t="n">
        <v>140.17</v>
      </c>
      <c r="M1710" s="39" t="n">
        <v>100.9</v>
      </c>
      <c r="N1710" s="39" t="n">
        <f aca="false">J1710*Resumo!$C$7</f>
        <v>1.55998</v>
      </c>
      <c r="O1710" s="39" t="n">
        <f aca="false">J1710*Resumo!$C$8</f>
        <v>1.55998</v>
      </c>
      <c r="P1710" s="39" t="n">
        <f aca="false">Resumo!$C$10*CEILING(I1710/100,1)</f>
        <v>1</v>
      </c>
      <c r="Q1710" s="39" t="n">
        <f aca="false">Resumo!$C$9</f>
        <v>11.9</v>
      </c>
      <c r="R1710" s="39" t="n">
        <f aca="false">SUM(M1710:Q1710)*Resumo!$C$11</f>
        <v>6.4305978</v>
      </c>
      <c r="S1710" s="39" t="n">
        <f aca="false">SUM(M1710:R1710)</f>
        <v>123.3505578</v>
      </c>
      <c r="T1710" s="39" t="n">
        <f aca="false">S1710/(1-Resumo!$C$5)</f>
        <v>140.171088409091</v>
      </c>
      <c r="U1710" s="39" t="n">
        <v>131.02</v>
      </c>
      <c r="V1710" s="39" t="n">
        <f aca="false">J1710*Resumo!$B$6</f>
        <v>0.77999</v>
      </c>
      <c r="W1710" s="39" t="n">
        <f aca="false">J1710*Resumo!$B$7</f>
        <v>1.55998</v>
      </c>
      <c r="X1710" s="39" t="n">
        <f aca="false">Resumo!$B$9</f>
        <v>1</v>
      </c>
      <c r="Y1710" s="39" t="n">
        <f aca="false">Resumo!$B$10*CEILING(I1710/100,1)</f>
        <v>4.5</v>
      </c>
      <c r="Z1710" s="39" t="n">
        <f aca="false">Resumo!$B$12*CEILING(I1710,1)</f>
        <v>4.14</v>
      </c>
      <c r="AA1710" s="39" t="n">
        <f aca="false">Resumo!$B$13*CEILING(I1710,1)</f>
        <v>31.05</v>
      </c>
      <c r="AB1710" s="39" t="n">
        <f aca="false">SUM(U1710:AA1710)</f>
        <v>174.04997</v>
      </c>
      <c r="AC1710" s="39" t="n">
        <f aca="false">AB1710/(1-Resumo!$B$5)</f>
        <v>197.784056818182</v>
      </c>
      <c r="AD1710" s="39" t="n">
        <f aca="false">(AB1710-AA1710)/(1-Resumo!$B$5)</f>
        <v>162.499965909091</v>
      </c>
      <c r="AE1710" s="39" t="n">
        <f aca="false">AC1710-T1710</f>
        <v>57.6129684090909</v>
      </c>
      <c r="AF1710" s="40" t="n">
        <f aca="false">AC1710/T1710-1</f>
        <v>0.411018913122418</v>
      </c>
      <c r="AG1710" s="37" t="str">
        <f aca="false">IF(AC1710&lt;T1710,"SIM","NÃO")</f>
        <v>NÃO</v>
      </c>
      <c r="AH1710" s="37" t="n">
        <v>10</v>
      </c>
      <c r="AI1710" s="37" t="n">
        <v>5</v>
      </c>
      <c r="AJ1710" s="37" t="s">
        <v>323</v>
      </c>
    </row>
    <row r="1711" customFormat="false" ht="15" hidden="false" customHeight="false" outlineLevel="0" collapsed="false">
      <c r="A1711" s="37" t="n">
        <v>392383294</v>
      </c>
      <c r="B1711" s="38" t="n">
        <v>46275.6410416667</v>
      </c>
      <c r="C1711" s="37" t="s">
        <v>320</v>
      </c>
      <c r="D1711" s="37" t="s">
        <v>1882</v>
      </c>
      <c r="E1711" s="37" t="n">
        <v>21046035</v>
      </c>
      <c r="F1711" s="37" t="s">
        <v>139</v>
      </c>
      <c r="G1711" s="37" t="s">
        <v>198</v>
      </c>
      <c r="H1711" s="37" t="s">
        <v>169</v>
      </c>
      <c r="I1711" s="37" t="n">
        <v>37.2</v>
      </c>
      <c r="J1711" s="39" t="n">
        <v>399.99</v>
      </c>
      <c r="K1711" s="37" t="s">
        <v>322</v>
      </c>
      <c r="L1711" s="39" t="n">
        <v>91.77</v>
      </c>
      <c r="M1711" s="39" t="n">
        <v>62.05</v>
      </c>
      <c r="N1711" s="39" t="n">
        <f aca="false">J1711*Resumo!$C$7</f>
        <v>0.79998</v>
      </c>
      <c r="O1711" s="39" t="n">
        <f aca="false">J1711*Resumo!$C$8</f>
        <v>0.79998</v>
      </c>
      <c r="P1711" s="39" t="n">
        <f aca="false">Resumo!$C$10*CEILING(I1711/100,1)</f>
        <v>1</v>
      </c>
      <c r="Q1711" s="39" t="n">
        <f aca="false">Resumo!$C$9</f>
        <v>11.9</v>
      </c>
      <c r="R1711" s="39" t="n">
        <f aca="false">SUM(M1711:Q1711)*Resumo!$C$11</f>
        <v>4.2102478</v>
      </c>
      <c r="S1711" s="39" t="n">
        <f aca="false">SUM(M1711:R1711)</f>
        <v>80.7602078</v>
      </c>
      <c r="T1711" s="39" t="n">
        <f aca="false">S1711/(1-Resumo!$C$5)</f>
        <v>91.7729634090909</v>
      </c>
      <c r="U1711" s="39" t="n">
        <v>93.97</v>
      </c>
      <c r="V1711" s="39" t="n">
        <f aca="false">J1711*Resumo!$B$6</f>
        <v>0.39999</v>
      </c>
      <c r="W1711" s="39" t="n">
        <f aca="false">J1711*Resumo!$B$7</f>
        <v>0.79998</v>
      </c>
      <c r="X1711" s="39" t="n">
        <f aca="false">Resumo!$B$9</f>
        <v>1</v>
      </c>
      <c r="Y1711" s="39" t="n">
        <f aca="false">Resumo!$B$10*CEILING(I1711/100,1)</f>
        <v>4.5</v>
      </c>
      <c r="Z1711" s="39" t="n">
        <f aca="false">Resumo!$B$12*CEILING(I1711,1)</f>
        <v>2.28</v>
      </c>
      <c r="AA1711" s="39" t="n">
        <f aca="false">Resumo!$B$13*CEILING(I1711,1)</f>
        <v>17.1</v>
      </c>
      <c r="AB1711" s="39" t="n">
        <f aca="false">SUM(U1711:AA1711)</f>
        <v>120.04997</v>
      </c>
      <c r="AC1711" s="39" t="n">
        <f aca="false">AB1711/(1-Resumo!$B$5)</f>
        <v>136.420420454545</v>
      </c>
      <c r="AD1711" s="39" t="n">
        <f aca="false">(AB1711-AA1711)/(1-Resumo!$B$5)</f>
        <v>116.988602272727</v>
      </c>
      <c r="AE1711" s="39" t="n">
        <f aca="false">AC1711-T1711</f>
        <v>44.6474570454545</v>
      </c>
      <c r="AF1711" s="40" t="n">
        <f aca="false">AC1711/T1711-1</f>
        <v>0.486499023099344</v>
      </c>
      <c r="AG1711" s="37" t="str">
        <f aca="false">IF(AC1711&lt;T1711,"SIM","NÃO")</f>
        <v>NÃO</v>
      </c>
      <c r="AH1711" s="37" t="n">
        <v>8</v>
      </c>
      <c r="AI1711" s="37" t="n">
        <v>5</v>
      </c>
      <c r="AJ1711" s="37" t="s">
        <v>323</v>
      </c>
    </row>
    <row r="1712" customFormat="false" ht="15" hidden="false" customHeight="false" outlineLevel="0" collapsed="false">
      <c r="A1712" s="37" t="n">
        <v>392432048</v>
      </c>
      <c r="B1712" s="38" t="n">
        <v>46275.7028472222</v>
      </c>
      <c r="C1712" s="37" t="s">
        <v>320</v>
      </c>
      <c r="D1712" s="37" t="s">
        <v>1883</v>
      </c>
      <c r="E1712" s="37" t="n">
        <v>21775490</v>
      </c>
      <c r="F1712" s="37" t="s">
        <v>139</v>
      </c>
      <c r="G1712" s="37" t="s">
        <v>198</v>
      </c>
      <c r="H1712" s="37" t="s">
        <v>168</v>
      </c>
      <c r="I1712" s="37" t="n">
        <v>23</v>
      </c>
      <c r="J1712" s="39" t="n">
        <v>349.99</v>
      </c>
      <c r="K1712" s="37" t="s">
        <v>322</v>
      </c>
      <c r="L1712" s="39" t="n">
        <v>82</v>
      </c>
      <c r="M1712" s="39" t="n">
        <v>54.1</v>
      </c>
      <c r="N1712" s="39" t="n">
        <f aca="false">J1712*Resumo!$C$7</f>
        <v>0.69998</v>
      </c>
      <c r="O1712" s="39" t="n">
        <f aca="false">J1712*Resumo!$C$8</f>
        <v>0.69998</v>
      </c>
      <c r="P1712" s="39" t="n">
        <f aca="false">Resumo!$C$10*CEILING(I1712/100,1)</f>
        <v>1</v>
      </c>
      <c r="Q1712" s="39" t="n">
        <f aca="false">Resumo!$C$9</f>
        <v>11.9</v>
      </c>
      <c r="R1712" s="39" t="n">
        <f aca="false">SUM(M1712:Q1712)*Resumo!$C$11</f>
        <v>3.7619978</v>
      </c>
      <c r="S1712" s="39" t="n">
        <f aca="false">SUM(M1712:R1712)</f>
        <v>72.1619578</v>
      </c>
      <c r="T1712" s="39" t="n">
        <f aca="false">S1712/(1-Resumo!$C$5)</f>
        <v>82.0022247727273</v>
      </c>
      <c r="U1712" s="39" t="n">
        <v>82.21</v>
      </c>
      <c r="V1712" s="39" t="n">
        <f aca="false">J1712*Resumo!$B$6</f>
        <v>0.34999</v>
      </c>
      <c r="W1712" s="39" t="n">
        <f aca="false">J1712*Resumo!$B$7</f>
        <v>0.69998</v>
      </c>
      <c r="X1712" s="39" t="n">
        <f aca="false">Resumo!$B$9</f>
        <v>1</v>
      </c>
      <c r="Y1712" s="39" t="n">
        <f aca="false">Resumo!$B$10*CEILING(I1712/100,1)</f>
        <v>4.5</v>
      </c>
      <c r="Z1712" s="39" t="n">
        <f aca="false">Resumo!$B$12*CEILING(I1712,1)</f>
        <v>1.38</v>
      </c>
      <c r="AA1712" s="39" t="n">
        <f aca="false">Resumo!$B$13*CEILING(I1712,1)</f>
        <v>10.35</v>
      </c>
      <c r="AB1712" s="39" t="n">
        <f aca="false">SUM(U1712:AA1712)</f>
        <v>100.48997</v>
      </c>
      <c r="AC1712" s="39" t="n">
        <f aca="false">AB1712/(1-Resumo!$B$5)</f>
        <v>114.193147727273</v>
      </c>
      <c r="AD1712" s="39" t="n">
        <f aca="false">(AB1712-AA1712)/(1-Resumo!$B$5)</f>
        <v>102.431784090909</v>
      </c>
      <c r="AE1712" s="39" t="n">
        <f aca="false">AC1712-T1712</f>
        <v>32.1909229545454</v>
      </c>
      <c r="AF1712" s="40" t="n">
        <f aca="false">AC1712/T1712-1</f>
        <v>0.392561580417653</v>
      </c>
      <c r="AG1712" s="37" t="str">
        <f aca="false">IF(AC1712&lt;T1712,"SIM","NÃO")</f>
        <v>NÃO</v>
      </c>
      <c r="AH1712" s="37" t="n">
        <v>8</v>
      </c>
      <c r="AI1712" s="37" t="n">
        <v>5</v>
      </c>
      <c r="AJ1712" s="37" t="s">
        <v>323</v>
      </c>
    </row>
    <row r="1713" customFormat="false" ht="15" hidden="false" customHeight="false" outlineLevel="0" collapsed="false">
      <c r="A1713" s="37" t="n">
        <v>392468142</v>
      </c>
      <c r="B1713" s="38" t="n">
        <v>46275.7619675926</v>
      </c>
      <c r="C1713" s="37" t="s">
        <v>320</v>
      </c>
      <c r="D1713" s="37" t="s">
        <v>1884</v>
      </c>
      <c r="E1713" s="37" t="n">
        <v>21370650</v>
      </c>
      <c r="F1713" s="37" t="s">
        <v>139</v>
      </c>
      <c r="G1713" s="37" t="s">
        <v>198</v>
      </c>
      <c r="H1713" s="37" t="s">
        <v>172</v>
      </c>
      <c r="I1713" s="37" t="n">
        <v>66.8</v>
      </c>
      <c r="J1713" s="39" t="n">
        <v>666.29</v>
      </c>
      <c r="K1713" s="37" t="s">
        <v>322</v>
      </c>
      <c r="L1713" s="39" t="n">
        <v>124.4</v>
      </c>
      <c r="M1713" s="39" t="n">
        <v>88.2</v>
      </c>
      <c r="N1713" s="39" t="n">
        <f aca="false">J1713*Resumo!$C$7</f>
        <v>1.33258</v>
      </c>
      <c r="O1713" s="39" t="n">
        <f aca="false">J1713*Resumo!$C$8</f>
        <v>1.33258</v>
      </c>
      <c r="P1713" s="39" t="n">
        <f aca="false">Resumo!$C$10*CEILING(I1713/100,1)</f>
        <v>1</v>
      </c>
      <c r="Q1713" s="39" t="n">
        <f aca="false">Resumo!$C$9</f>
        <v>11.9</v>
      </c>
      <c r="R1713" s="39" t="n">
        <f aca="false">SUM(M1713:Q1713)*Resumo!$C$11</f>
        <v>5.7070838</v>
      </c>
      <c r="S1713" s="39" t="n">
        <f aca="false">SUM(M1713:R1713)</f>
        <v>109.4722438</v>
      </c>
      <c r="T1713" s="39" t="n">
        <f aca="false">S1713/(1-Resumo!$C$5)</f>
        <v>124.400277045455</v>
      </c>
      <c r="U1713" s="39" t="n">
        <v>131.02</v>
      </c>
      <c r="V1713" s="39" t="n">
        <f aca="false">J1713*Resumo!$B$6</f>
        <v>0.66629</v>
      </c>
      <c r="W1713" s="39" t="n">
        <f aca="false">J1713*Resumo!$B$7</f>
        <v>1.33258</v>
      </c>
      <c r="X1713" s="39" t="n">
        <f aca="false">Resumo!$B$9</f>
        <v>1</v>
      </c>
      <c r="Y1713" s="39" t="n">
        <f aca="false">Resumo!$B$10*CEILING(I1713/100,1)</f>
        <v>4.5</v>
      </c>
      <c r="Z1713" s="39" t="n">
        <f aca="false">Resumo!$B$12*CEILING(I1713,1)</f>
        <v>4.02</v>
      </c>
      <c r="AA1713" s="39" t="n">
        <f aca="false">Resumo!$B$13*CEILING(I1713,1)</f>
        <v>30.15</v>
      </c>
      <c r="AB1713" s="39" t="n">
        <f aca="false">SUM(U1713:AA1713)</f>
        <v>172.68887</v>
      </c>
      <c r="AC1713" s="39" t="n">
        <f aca="false">AB1713/(1-Resumo!$B$5)</f>
        <v>196.237352272727</v>
      </c>
      <c r="AD1713" s="39" t="n">
        <f aca="false">(AB1713-AA1713)/(1-Resumo!$B$5)</f>
        <v>161.975988636364</v>
      </c>
      <c r="AE1713" s="39" t="n">
        <f aca="false">AC1713-T1713</f>
        <v>71.8370752272727</v>
      </c>
      <c r="AF1713" s="40" t="n">
        <f aca="false">AC1713/T1713-1</f>
        <v>0.57746716432974</v>
      </c>
      <c r="AG1713" s="37" t="str">
        <f aca="false">IF(AC1713&lt;T1713,"SIM","NÃO")</f>
        <v>NÃO</v>
      </c>
      <c r="AH1713" s="37" t="n">
        <v>8</v>
      </c>
      <c r="AI1713" s="37" t="n">
        <v>5</v>
      </c>
      <c r="AJ1713" s="37" t="s">
        <v>323</v>
      </c>
    </row>
    <row r="1714" customFormat="false" ht="15" hidden="false" customHeight="false" outlineLevel="0" collapsed="false">
      <c r="A1714" s="37" t="n">
        <v>392473327</v>
      </c>
      <c r="B1714" s="38" t="n">
        <v>46275.7769675926</v>
      </c>
      <c r="C1714" s="37" t="s">
        <v>341</v>
      </c>
      <c r="D1714" s="37" t="s">
        <v>1885</v>
      </c>
      <c r="E1714" s="37" t="n">
        <v>28962284</v>
      </c>
      <c r="F1714" s="37" t="s">
        <v>280</v>
      </c>
      <c r="G1714" s="37" t="s">
        <v>201</v>
      </c>
      <c r="H1714" s="37" t="s">
        <v>168</v>
      </c>
      <c r="I1714" s="37" t="n">
        <v>34.4</v>
      </c>
      <c r="J1714" s="39" t="n">
        <v>499.99</v>
      </c>
      <c r="K1714" s="37" t="s">
        <v>322</v>
      </c>
      <c r="L1714" s="39" t="n">
        <v>109.58</v>
      </c>
      <c r="M1714" s="39" t="n">
        <v>76.5</v>
      </c>
      <c r="N1714" s="39" t="n">
        <f aca="false">J1714*Resumo!$C$7</f>
        <v>0.99998</v>
      </c>
      <c r="O1714" s="39" t="n">
        <f aca="false">J1714*Resumo!$C$8</f>
        <v>0.99998</v>
      </c>
      <c r="P1714" s="39" t="n">
        <f aca="false">Resumo!$C$10*CEILING(I1714/100,1)</f>
        <v>1</v>
      </c>
      <c r="Q1714" s="39" t="n">
        <f aca="false">Resumo!$C$9</f>
        <v>11.9</v>
      </c>
      <c r="R1714" s="39" t="n">
        <f aca="false">SUM(M1714:Q1714)*Resumo!$C$11</f>
        <v>5.0269978</v>
      </c>
      <c r="S1714" s="39" t="n">
        <f aca="false">SUM(M1714:R1714)</f>
        <v>96.4269578</v>
      </c>
      <c r="T1714" s="39" t="n">
        <f aca="false">S1714/(1-Resumo!$C$5)</f>
        <v>109.576088409091</v>
      </c>
      <c r="U1714" s="39" t="n">
        <v>114.95</v>
      </c>
      <c r="V1714" s="39" t="n">
        <f aca="false">J1714*Resumo!$B$6</f>
        <v>0.49999</v>
      </c>
      <c r="W1714" s="39" t="n">
        <f aca="false">J1714*Resumo!$B$7</f>
        <v>0.99998</v>
      </c>
      <c r="X1714" s="39" t="n">
        <f aca="false">Resumo!$B$9</f>
        <v>1</v>
      </c>
      <c r="Y1714" s="39" t="n">
        <f aca="false">Resumo!$B$10*CEILING(I1714/100,1)</f>
        <v>4.5</v>
      </c>
      <c r="Z1714" s="39" t="n">
        <f aca="false">Resumo!$B$12*CEILING(I1714,1)</f>
        <v>2.1</v>
      </c>
      <c r="AA1714" s="39" t="n">
        <f aca="false">Resumo!$B$13*CEILING(I1714,1)</f>
        <v>15.75</v>
      </c>
      <c r="AB1714" s="39" t="n">
        <f aca="false">SUM(U1714:AA1714)</f>
        <v>139.79997</v>
      </c>
      <c r="AC1714" s="39" t="n">
        <f aca="false">AB1714/(1-Resumo!$B$5)</f>
        <v>158.863602272727</v>
      </c>
      <c r="AD1714" s="39" t="n">
        <f aca="false">(AB1714-AA1714)/(1-Resumo!$B$5)</f>
        <v>140.965875</v>
      </c>
      <c r="AE1714" s="39" t="n">
        <f aca="false">AC1714-T1714</f>
        <v>49.2875138636364</v>
      </c>
      <c r="AF1714" s="40" t="n">
        <f aca="false">AC1714/T1714-1</f>
        <v>0.449801727541382</v>
      </c>
      <c r="AG1714" s="37" t="str">
        <f aca="false">IF(AC1714&lt;T1714,"SIM","NÃO")</f>
        <v>NÃO</v>
      </c>
      <c r="AH1714" s="37" t="n">
        <v>13</v>
      </c>
      <c r="AI1714" s="37" t="n">
        <v>10</v>
      </c>
      <c r="AJ1714" s="37" t="s">
        <v>327</v>
      </c>
    </row>
    <row r="1715" customFormat="false" ht="15" hidden="false" customHeight="false" outlineLevel="0" collapsed="false">
      <c r="A1715" s="37" t="n">
        <v>392497171</v>
      </c>
      <c r="B1715" s="38" t="n">
        <v>46275.8004398148</v>
      </c>
      <c r="C1715" s="37" t="s">
        <v>320</v>
      </c>
      <c r="D1715" s="37" t="s">
        <v>1886</v>
      </c>
      <c r="E1715" s="37" t="n">
        <v>21073230</v>
      </c>
      <c r="F1715" s="37" t="s">
        <v>139</v>
      </c>
      <c r="G1715" s="37" t="s">
        <v>198</v>
      </c>
      <c r="H1715" s="37" t="s">
        <v>171</v>
      </c>
      <c r="I1715" s="37" t="n">
        <v>52.3</v>
      </c>
      <c r="J1715" s="39" t="n">
        <v>699.99</v>
      </c>
      <c r="K1715" s="37" t="s">
        <v>322</v>
      </c>
      <c r="L1715" s="39" t="n">
        <v>114.5</v>
      </c>
      <c r="M1715" s="39" t="n">
        <v>79.81</v>
      </c>
      <c r="N1715" s="39" t="n">
        <f aca="false">J1715*Resumo!$C$7</f>
        <v>1.39998</v>
      </c>
      <c r="O1715" s="39" t="n">
        <f aca="false">J1715*Resumo!$C$8</f>
        <v>1.39998</v>
      </c>
      <c r="P1715" s="39" t="n">
        <f aca="false">Resumo!$C$10*CEILING(I1715/100,1)</f>
        <v>1</v>
      </c>
      <c r="Q1715" s="39" t="n">
        <f aca="false">Resumo!$C$9</f>
        <v>11.9</v>
      </c>
      <c r="R1715" s="39" t="n">
        <f aca="false">SUM(M1715:Q1715)*Resumo!$C$11</f>
        <v>5.2530478</v>
      </c>
      <c r="S1715" s="39" t="n">
        <f aca="false">SUM(M1715:R1715)</f>
        <v>100.7630078</v>
      </c>
      <c r="T1715" s="39" t="n">
        <f aca="false">S1715/(1-Resumo!$C$5)</f>
        <v>114.503417954545</v>
      </c>
      <c r="U1715" s="39" t="n">
        <v>112.3</v>
      </c>
      <c r="V1715" s="39" t="n">
        <f aca="false">J1715*Resumo!$B$6</f>
        <v>0.69999</v>
      </c>
      <c r="W1715" s="39" t="n">
        <f aca="false">J1715*Resumo!$B$7</f>
        <v>1.39998</v>
      </c>
      <c r="X1715" s="39" t="n">
        <f aca="false">Resumo!$B$9</f>
        <v>1</v>
      </c>
      <c r="Y1715" s="39" t="n">
        <f aca="false">Resumo!$B$10*CEILING(I1715/100,1)</f>
        <v>4.5</v>
      </c>
      <c r="Z1715" s="39" t="n">
        <f aca="false">Resumo!$B$12*CEILING(I1715,1)</f>
        <v>3.18</v>
      </c>
      <c r="AA1715" s="39" t="n">
        <f aca="false">Resumo!$B$13*CEILING(I1715,1)</f>
        <v>23.85</v>
      </c>
      <c r="AB1715" s="39" t="n">
        <f aca="false">SUM(U1715:AA1715)</f>
        <v>146.92997</v>
      </c>
      <c r="AC1715" s="39" t="n">
        <f aca="false">AB1715/(1-Resumo!$B$5)</f>
        <v>166.965875</v>
      </c>
      <c r="AD1715" s="39" t="n">
        <f aca="false">(AB1715-AA1715)/(1-Resumo!$B$5)</f>
        <v>139.863602272727</v>
      </c>
      <c r="AE1715" s="39" t="n">
        <f aca="false">AC1715-T1715</f>
        <v>52.4624570454545</v>
      </c>
      <c r="AF1715" s="40" t="n">
        <f aca="false">AC1715/T1715-1</f>
        <v>0.458173720772952</v>
      </c>
      <c r="AG1715" s="37" t="str">
        <f aca="false">IF(AC1715&lt;T1715,"SIM","NÃO")</f>
        <v>NÃO</v>
      </c>
      <c r="AH1715" s="37" t="n">
        <v>8</v>
      </c>
      <c r="AI1715" s="37" t="n">
        <v>5</v>
      </c>
      <c r="AJ1715" s="37" t="s">
        <v>323</v>
      </c>
    </row>
    <row r="1716" customFormat="false" ht="15" hidden="false" customHeight="false" outlineLevel="0" collapsed="false">
      <c r="A1716" s="37" t="n">
        <v>392499642</v>
      </c>
      <c r="B1716" s="38" t="n">
        <v>46275.804525463</v>
      </c>
      <c r="C1716" s="37" t="s">
        <v>320</v>
      </c>
      <c r="D1716" s="37" t="s">
        <v>1887</v>
      </c>
      <c r="E1716" s="37" t="n">
        <v>28994816</v>
      </c>
      <c r="F1716" s="37" t="s">
        <v>281</v>
      </c>
      <c r="G1716" s="37" t="s">
        <v>201</v>
      </c>
      <c r="H1716" s="37" t="s">
        <v>167</v>
      </c>
      <c r="I1716" s="37" t="n">
        <v>19.5</v>
      </c>
      <c r="J1716" s="39" t="n">
        <v>528.08</v>
      </c>
      <c r="K1716" s="37" t="s">
        <v>322</v>
      </c>
      <c r="L1716" s="39" t="n">
        <v>81.2</v>
      </c>
      <c r="M1716" s="39" t="n">
        <v>52.71</v>
      </c>
      <c r="N1716" s="39" t="n">
        <f aca="false">J1716*Resumo!$C$7</f>
        <v>1.05616</v>
      </c>
      <c r="O1716" s="39" t="n">
        <f aca="false">J1716*Resumo!$C$8</f>
        <v>1.05616</v>
      </c>
      <c r="P1716" s="39" t="n">
        <f aca="false">Resumo!$C$10*CEILING(I1716/100,1)</f>
        <v>1</v>
      </c>
      <c r="Q1716" s="39" t="n">
        <f aca="false">Resumo!$C$9</f>
        <v>11.9</v>
      </c>
      <c r="R1716" s="39" t="n">
        <f aca="false">SUM(M1716:Q1716)*Resumo!$C$11</f>
        <v>3.7247276</v>
      </c>
      <c r="S1716" s="39" t="n">
        <f aca="false">SUM(M1716:R1716)</f>
        <v>71.4470476</v>
      </c>
      <c r="T1716" s="39" t="n">
        <f aca="false">S1716/(1-Resumo!$C$5)</f>
        <v>81.1898268181818</v>
      </c>
      <c r="U1716" s="39" t="n">
        <v>100.7</v>
      </c>
      <c r="V1716" s="39" t="n">
        <f aca="false">J1716*Resumo!$B$6</f>
        <v>0.52808</v>
      </c>
      <c r="W1716" s="39" t="n">
        <f aca="false">J1716*Resumo!$B$7</f>
        <v>1.05616</v>
      </c>
      <c r="X1716" s="39" t="n">
        <f aca="false">Resumo!$B$9</f>
        <v>1</v>
      </c>
      <c r="Y1716" s="39" t="n">
        <f aca="false">Resumo!$B$10*CEILING(I1716/100,1)</f>
        <v>4.5</v>
      </c>
      <c r="Z1716" s="39" t="n">
        <f aca="false">Resumo!$B$12*CEILING(I1716,1)</f>
        <v>1.2</v>
      </c>
      <c r="AA1716" s="39" t="n">
        <f aca="false">Resumo!$B$13*CEILING(I1716,1)</f>
        <v>9</v>
      </c>
      <c r="AB1716" s="39" t="n">
        <f aca="false">SUM(U1716:AA1716)</f>
        <v>117.98424</v>
      </c>
      <c r="AC1716" s="39" t="n">
        <f aca="false">AB1716/(1-Resumo!$B$5)</f>
        <v>134.073</v>
      </c>
      <c r="AD1716" s="39" t="n">
        <f aca="false">(AB1716-AA1716)/(1-Resumo!$B$5)</f>
        <v>123.845727272727</v>
      </c>
      <c r="AE1716" s="39" t="n">
        <f aca="false">AC1716-T1716</f>
        <v>52.8831731818182</v>
      </c>
      <c r="AF1716" s="40" t="n">
        <f aca="false">AC1716/T1716-1</f>
        <v>0.651352210668535</v>
      </c>
      <c r="AG1716" s="37" t="str">
        <f aca="false">IF(AC1716&lt;T1716,"SIM","NÃO")</f>
        <v>NÃO</v>
      </c>
      <c r="AH1716" s="37" t="n">
        <v>13</v>
      </c>
      <c r="AI1716" s="37" t="n">
        <v>10</v>
      </c>
      <c r="AJ1716" s="37" t="s">
        <v>327</v>
      </c>
    </row>
    <row r="1717" customFormat="false" ht="15" hidden="false" customHeight="false" outlineLevel="0" collapsed="false">
      <c r="A1717" s="37" t="n">
        <v>392511038</v>
      </c>
      <c r="B1717" s="38" t="n">
        <v>46275.8287384259</v>
      </c>
      <c r="C1717" s="37" t="s">
        <v>320</v>
      </c>
      <c r="D1717" s="37" t="s">
        <v>1888</v>
      </c>
      <c r="E1717" s="37" t="n">
        <v>27240110</v>
      </c>
      <c r="F1717" s="37" t="s">
        <v>148</v>
      </c>
      <c r="G1717" s="37" t="s">
        <v>201</v>
      </c>
      <c r="H1717" s="37" t="s">
        <v>168</v>
      </c>
      <c r="I1717" s="37" t="n">
        <v>27.6</v>
      </c>
      <c r="J1717" s="39" t="n">
        <v>537.45</v>
      </c>
      <c r="K1717" s="37" t="s">
        <v>322</v>
      </c>
      <c r="L1717" s="39" t="n">
        <v>109.74</v>
      </c>
      <c r="M1717" s="39" t="n">
        <v>76.5</v>
      </c>
      <c r="N1717" s="39" t="n">
        <f aca="false">J1717*Resumo!$C$7</f>
        <v>1.0749</v>
      </c>
      <c r="O1717" s="39" t="n">
        <f aca="false">J1717*Resumo!$C$8</f>
        <v>1.0749</v>
      </c>
      <c r="P1717" s="39" t="n">
        <f aca="false">Resumo!$C$10*CEILING(I1717/100,1)</f>
        <v>1</v>
      </c>
      <c r="Q1717" s="39" t="n">
        <f aca="false">Resumo!$C$9</f>
        <v>11.9</v>
      </c>
      <c r="R1717" s="39" t="n">
        <f aca="false">SUM(M1717:Q1717)*Resumo!$C$11</f>
        <v>5.035239</v>
      </c>
      <c r="S1717" s="39" t="n">
        <f aca="false">SUM(M1717:R1717)</f>
        <v>96.585039</v>
      </c>
      <c r="T1717" s="39" t="n">
        <f aca="false">S1717/(1-Resumo!$C$5)</f>
        <v>109.755726136364</v>
      </c>
      <c r="U1717" s="39" t="n">
        <v>108.83</v>
      </c>
      <c r="V1717" s="39" t="n">
        <f aca="false">J1717*Resumo!$B$6</f>
        <v>0.53745</v>
      </c>
      <c r="W1717" s="39" t="n">
        <f aca="false">J1717*Resumo!$B$7</f>
        <v>1.0749</v>
      </c>
      <c r="X1717" s="39" t="n">
        <f aca="false">Resumo!$B$9</f>
        <v>1</v>
      </c>
      <c r="Y1717" s="39" t="n">
        <f aca="false">Resumo!$B$10*CEILING(I1717/100,1)</f>
        <v>4.5</v>
      </c>
      <c r="Z1717" s="39" t="n">
        <f aca="false">Resumo!$B$12*CEILING(I1717,1)</f>
        <v>1.68</v>
      </c>
      <c r="AA1717" s="39" t="n">
        <f aca="false">Resumo!$B$13*CEILING(I1717,1)</f>
        <v>12.6</v>
      </c>
      <c r="AB1717" s="39" t="n">
        <f aca="false">SUM(U1717:AA1717)</f>
        <v>130.22235</v>
      </c>
      <c r="AC1717" s="39" t="n">
        <f aca="false">AB1717/(1-Resumo!$B$5)</f>
        <v>147.979943181818</v>
      </c>
      <c r="AD1717" s="39" t="n">
        <f aca="false">(AB1717-AA1717)/(1-Resumo!$B$5)</f>
        <v>133.661761363636</v>
      </c>
      <c r="AE1717" s="39" t="n">
        <f aca="false">AC1717-T1717</f>
        <v>38.2242170454545</v>
      </c>
      <c r="AF1717" s="40" t="n">
        <f aca="false">AC1717/T1717-1</f>
        <v>0.348266267201072</v>
      </c>
      <c r="AG1717" s="37" t="str">
        <f aca="false">IF(AC1717&lt;T1717,"SIM","NÃO")</f>
        <v>NÃO</v>
      </c>
      <c r="AH1717" s="37" t="n">
        <v>13</v>
      </c>
      <c r="AI1717" s="37" t="n">
        <v>10</v>
      </c>
      <c r="AJ1717" s="37" t="s">
        <v>323</v>
      </c>
    </row>
    <row r="1718" customFormat="false" ht="15" hidden="false" customHeight="false" outlineLevel="0" collapsed="false">
      <c r="A1718" s="37" t="n">
        <v>392513541</v>
      </c>
      <c r="B1718" s="38" t="n">
        <v>46275.8341087963</v>
      </c>
      <c r="C1718" s="37" t="s">
        <v>320</v>
      </c>
      <c r="D1718" s="37" t="s">
        <v>1889</v>
      </c>
      <c r="E1718" s="37" t="n">
        <v>27276000</v>
      </c>
      <c r="F1718" s="37" t="s">
        <v>148</v>
      </c>
      <c r="G1718" s="37" t="s">
        <v>201</v>
      </c>
      <c r="H1718" s="37" t="s">
        <v>168</v>
      </c>
      <c r="I1718" s="37" t="n">
        <v>33.21</v>
      </c>
      <c r="J1718" s="39" t="n">
        <v>439.99</v>
      </c>
      <c r="K1718" s="37" t="s">
        <v>322</v>
      </c>
      <c r="L1718" s="39" t="n">
        <v>109.28</v>
      </c>
      <c r="M1718" s="39" t="n">
        <v>76.5</v>
      </c>
      <c r="N1718" s="39" t="n">
        <f aca="false">J1718*Resumo!$C$7</f>
        <v>0.87998</v>
      </c>
      <c r="O1718" s="39" t="n">
        <f aca="false">J1718*Resumo!$C$8</f>
        <v>0.87998</v>
      </c>
      <c r="P1718" s="39" t="n">
        <f aca="false">Resumo!$C$10*CEILING(I1718/100,1)</f>
        <v>1</v>
      </c>
      <c r="Q1718" s="39" t="n">
        <f aca="false">Resumo!$C$9</f>
        <v>11.9</v>
      </c>
      <c r="R1718" s="39" t="n">
        <f aca="false">SUM(M1718:Q1718)*Resumo!$C$11</f>
        <v>5.0137978</v>
      </c>
      <c r="S1718" s="39" t="n">
        <f aca="false">SUM(M1718:R1718)</f>
        <v>96.1737578</v>
      </c>
      <c r="T1718" s="39" t="n">
        <f aca="false">S1718/(1-Resumo!$C$5)</f>
        <v>109.288361136364</v>
      </c>
      <c r="U1718" s="39" t="n">
        <v>108.83</v>
      </c>
      <c r="V1718" s="39" t="n">
        <f aca="false">J1718*Resumo!$B$6</f>
        <v>0.43999</v>
      </c>
      <c r="W1718" s="39" t="n">
        <f aca="false">J1718*Resumo!$B$7</f>
        <v>0.87998</v>
      </c>
      <c r="X1718" s="39" t="n">
        <f aca="false">Resumo!$B$9</f>
        <v>1</v>
      </c>
      <c r="Y1718" s="39" t="n">
        <f aca="false">Resumo!$B$10*CEILING(I1718/100,1)</f>
        <v>4.5</v>
      </c>
      <c r="Z1718" s="39" t="n">
        <f aca="false">Resumo!$B$12*CEILING(I1718,1)</f>
        <v>2.04</v>
      </c>
      <c r="AA1718" s="39" t="n">
        <f aca="false">Resumo!$B$13*CEILING(I1718,1)</f>
        <v>15.3</v>
      </c>
      <c r="AB1718" s="39" t="n">
        <f aca="false">SUM(U1718:AA1718)</f>
        <v>132.98997</v>
      </c>
      <c r="AC1718" s="39" t="n">
        <f aca="false">AB1718/(1-Resumo!$B$5)</f>
        <v>151.124965909091</v>
      </c>
      <c r="AD1718" s="39" t="n">
        <f aca="false">(AB1718-AA1718)/(1-Resumo!$B$5)</f>
        <v>133.738602272727</v>
      </c>
      <c r="AE1718" s="39" t="n">
        <f aca="false">AC1718-T1718</f>
        <v>41.8366047727273</v>
      </c>
      <c r="AF1718" s="40" t="n">
        <f aca="false">AC1718/T1718-1</f>
        <v>0.382809334294308</v>
      </c>
      <c r="AG1718" s="37" t="str">
        <f aca="false">IF(AC1718&lt;T1718,"SIM","NÃO")</f>
        <v>NÃO</v>
      </c>
      <c r="AH1718" s="37" t="n">
        <v>13</v>
      </c>
      <c r="AI1718" s="37" t="n">
        <v>10</v>
      </c>
      <c r="AJ1718" s="37" t="s">
        <v>323</v>
      </c>
    </row>
    <row r="1719" customFormat="false" ht="15" hidden="false" customHeight="false" outlineLevel="0" collapsed="false">
      <c r="A1719" s="37" t="n">
        <v>392534946</v>
      </c>
      <c r="B1719" s="38" t="n">
        <v>46275.8749421296</v>
      </c>
      <c r="C1719" s="37" t="s">
        <v>320</v>
      </c>
      <c r="D1719" s="37" t="s">
        <v>548</v>
      </c>
      <c r="E1719" s="37" t="n">
        <v>23036060</v>
      </c>
      <c r="F1719" s="37" t="s">
        <v>139</v>
      </c>
      <c r="G1719" s="37" t="s">
        <v>198</v>
      </c>
      <c r="H1719" s="37" t="s">
        <v>168</v>
      </c>
      <c r="I1719" s="37" t="n">
        <v>27.4</v>
      </c>
      <c r="J1719" s="39" t="n">
        <v>369.99</v>
      </c>
      <c r="K1719" s="37" t="s">
        <v>322</v>
      </c>
      <c r="L1719" s="39" t="n">
        <v>82.1</v>
      </c>
      <c r="M1719" s="39" t="n">
        <v>54.1</v>
      </c>
      <c r="N1719" s="39" t="n">
        <f aca="false">J1719*Resumo!$C$7</f>
        <v>0.73998</v>
      </c>
      <c r="O1719" s="39" t="n">
        <f aca="false">J1719*Resumo!$C$8</f>
        <v>0.73998</v>
      </c>
      <c r="P1719" s="39" t="n">
        <f aca="false">Resumo!$C$10*CEILING(I1719/100,1)</f>
        <v>1</v>
      </c>
      <c r="Q1719" s="39" t="n">
        <f aca="false">Resumo!$C$9</f>
        <v>11.9</v>
      </c>
      <c r="R1719" s="39" t="n">
        <f aca="false">SUM(M1719:Q1719)*Resumo!$C$11</f>
        <v>3.7663978</v>
      </c>
      <c r="S1719" s="39" t="n">
        <f aca="false">SUM(M1719:R1719)</f>
        <v>72.2463578</v>
      </c>
      <c r="T1719" s="39" t="n">
        <f aca="false">S1719/(1-Resumo!$C$5)</f>
        <v>82.0981338636364</v>
      </c>
      <c r="U1719" s="39" t="n">
        <v>82.21</v>
      </c>
      <c r="V1719" s="39" t="n">
        <f aca="false">J1719*Resumo!$B$6</f>
        <v>0.36999</v>
      </c>
      <c r="W1719" s="39" t="n">
        <f aca="false">J1719*Resumo!$B$7</f>
        <v>0.73998</v>
      </c>
      <c r="X1719" s="39" t="n">
        <f aca="false">Resumo!$B$9</f>
        <v>1</v>
      </c>
      <c r="Y1719" s="39" t="n">
        <f aca="false">Resumo!$B$10*CEILING(I1719/100,1)</f>
        <v>4.5</v>
      </c>
      <c r="Z1719" s="39" t="n">
        <f aca="false">Resumo!$B$12*CEILING(I1719,1)</f>
        <v>1.68</v>
      </c>
      <c r="AA1719" s="39" t="n">
        <f aca="false">Resumo!$B$13*CEILING(I1719,1)</f>
        <v>12.6</v>
      </c>
      <c r="AB1719" s="39" t="n">
        <f aca="false">SUM(U1719:AA1719)</f>
        <v>103.09997</v>
      </c>
      <c r="AC1719" s="39" t="n">
        <f aca="false">AB1719/(1-Resumo!$B$5)</f>
        <v>117.159056818182</v>
      </c>
      <c r="AD1719" s="39" t="n">
        <f aca="false">(AB1719-AA1719)/(1-Resumo!$B$5)</f>
        <v>102.840875</v>
      </c>
      <c r="AE1719" s="39" t="n">
        <f aca="false">AC1719-T1719</f>
        <v>35.0609229545454</v>
      </c>
      <c r="AF1719" s="40" t="n">
        <f aca="false">AC1719/T1719-1</f>
        <v>0.427061143835267</v>
      </c>
      <c r="AG1719" s="37" t="str">
        <f aca="false">IF(AC1719&lt;T1719,"SIM","NÃO")</f>
        <v>NÃO</v>
      </c>
      <c r="AH1719" s="37" t="n">
        <v>8</v>
      </c>
      <c r="AI1719" s="37" t="n">
        <v>5</v>
      </c>
      <c r="AJ1719" s="37" t="s">
        <v>323</v>
      </c>
    </row>
    <row r="1720" customFormat="false" ht="15" hidden="false" customHeight="false" outlineLevel="0" collapsed="false">
      <c r="A1720" s="37" t="n">
        <v>392585778</v>
      </c>
      <c r="B1720" s="38" t="n">
        <v>46275.9489467593</v>
      </c>
      <c r="C1720" s="37" t="s">
        <v>320</v>
      </c>
      <c r="D1720" s="37" t="s">
        <v>1890</v>
      </c>
      <c r="E1720" s="37" t="n">
        <v>20750310</v>
      </c>
      <c r="F1720" s="37" t="s">
        <v>139</v>
      </c>
      <c r="G1720" s="37" t="s">
        <v>198</v>
      </c>
      <c r="H1720" s="37" t="s">
        <v>170</v>
      </c>
      <c r="I1720" s="37" t="n">
        <v>46.8</v>
      </c>
      <c r="J1720" s="39" t="n">
        <v>599.99</v>
      </c>
      <c r="K1720" s="37" t="s">
        <v>322</v>
      </c>
      <c r="L1720" s="39" t="n">
        <v>103.47</v>
      </c>
      <c r="M1720" s="39" t="n">
        <v>71</v>
      </c>
      <c r="N1720" s="39" t="n">
        <f aca="false">J1720*Resumo!$C$7</f>
        <v>1.19998</v>
      </c>
      <c r="O1720" s="39" t="n">
        <f aca="false">J1720*Resumo!$C$8</f>
        <v>1.19998</v>
      </c>
      <c r="P1720" s="39" t="n">
        <f aca="false">Resumo!$C$10*CEILING(I1720/100,1)</f>
        <v>1</v>
      </c>
      <c r="Q1720" s="39" t="n">
        <f aca="false">Resumo!$C$9</f>
        <v>11.9</v>
      </c>
      <c r="R1720" s="39" t="n">
        <f aca="false">SUM(M1720:Q1720)*Resumo!$C$11</f>
        <v>4.7464978</v>
      </c>
      <c r="S1720" s="39" t="n">
        <f aca="false">SUM(M1720:R1720)</f>
        <v>91.0464578</v>
      </c>
      <c r="T1720" s="39" t="n">
        <f aca="false">S1720/(1-Resumo!$C$5)</f>
        <v>103.461883863636</v>
      </c>
      <c r="U1720" s="39" t="n">
        <v>93.97</v>
      </c>
      <c r="V1720" s="39" t="n">
        <f aca="false">J1720*Resumo!$B$6</f>
        <v>0.59999</v>
      </c>
      <c r="W1720" s="39" t="n">
        <f aca="false">J1720*Resumo!$B$7</f>
        <v>1.19998</v>
      </c>
      <c r="X1720" s="39" t="n">
        <f aca="false">Resumo!$B$9</f>
        <v>1</v>
      </c>
      <c r="Y1720" s="39" t="n">
        <f aca="false">Resumo!$B$10*CEILING(I1720/100,1)</f>
        <v>4.5</v>
      </c>
      <c r="Z1720" s="39" t="n">
        <f aca="false">Resumo!$B$12*CEILING(I1720,1)</f>
        <v>2.82</v>
      </c>
      <c r="AA1720" s="39" t="n">
        <f aca="false">Resumo!$B$13*CEILING(I1720,1)</f>
        <v>21.15</v>
      </c>
      <c r="AB1720" s="39" t="n">
        <f aca="false">SUM(U1720:AA1720)</f>
        <v>125.23997</v>
      </c>
      <c r="AC1720" s="39" t="n">
        <f aca="false">AB1720/(1-Resumo!$B$5)</f>
        <v>142.318147727273</v>
      </c>
      <c r="AD1720" s="39" t="n">
        <f aca="false">(AB1720-AA1720)/(1-Resumo!$B$5)</f>
        <v>118.284056818182</v>
      </c>
      <c r="AE1720" s="39" t="n">
        <f aca="false">AC1720-T1720</f>
        <v>38.8562638636364</v>
      </c>
      <c r="AF1720" s="40" t="n">
        <f aca="false">AC1720/T1720-1</f>
        <v>0.375561147860494</v>
      </c>
      <c r="AG1720" s="37" t="str">
        <f aca="false">IF(AC1720&lt;T1720,"SIM","NÃO")</f>
        <v>NÃO</v>
      </c>
      <c r="AH1720" s="37" t="n">
        <v>8</v>
      </c>
      <c r="AI1720" s="37" t="n">
        <v>5</v>
      </c>
      <c r="AJ1720" s="37" t="s">
        <v>323</v>
      </c>
    </row>
    <row r="1721" customFormat="false" ht="15" hidden="false" customHeight="false" outlineLevel="0" collapsed="false">
      <c r="A1721" s="37" t="n">
        <v>392733873</v>
      </c>
      <c r="B1721" s="38" t="n">
        <v>46276.2527546296</v>
      </c>
      <c r="C1721" s="37" t="s">
        <v>325</v>
      </c>
      <c r="D1721" s="37" t="s">
        <v>1891</v>
      </c>
      <c r="E1721" s="37" t="n">
        <v>22240006</v>
      </c>
      <c r="F1721" s="37" t="s">
        <v>139</v>
      </c>
      <c r="G1721" s="37" t="s">
        <v>198</v>
      </c>
      <c r="H1721" s="37" t="s">
        <v>168</v>
      </c>
      <c r="I1721" s="37" t="n">
        <v>34.4</v>
      </c>
      <c r="J1721" s="39" t="n">
        <v>439.95</v>
      </c>
      <c r="K1721" s="37" t="s">
        <v>322</v>
      </c>
      <c r="L1721" s="39" t="n">
        <v>82.43</v>
      </c>
      <c r="M1721" s="39" t="n">
        <v>54.1</v>
      </c>
      <c r="N1721" s="39" t="n">
        <f aca="false">J1721*Resumo!$C$7</f>
        <v>0.8799</v>
      </c>
      <c r="O1721" s="39" t="n">
        <f aca="false">J1721*Resumo!$C$8</f>
        <v>0.8799</v>
      </c>
      <c r="P1721" s="39" t="n">
        <f aca="false">Resumo!$C$10*CEILING(I1721/100,1)</f>
        <v>1</v>
      </c>
      <c r="Q1721" s="39" t="n">
        <f aca="false">Resumo!$C$9</f>
        <v>11.9</v>
      </c>
      <c r="R1721" s="39" t="n">
        <f aca="false">SUM(M1721:Q1721)*Resumo!$C$11</f>
        <v>3.781789</v>
      </c>
      <c r="S1721" s="39" t="n">
        <f aca="false">SUM(M1721:R1721)</f>
        <v>72.541589</v>
      </c>
      <c r="T1721" s="39" t="n">
        <f aca="false">S1721/(1-Resumo!$C$5)</f>
        <v>82.4336238636364</v>
      </c>
      <c r="U1721" s="39" t="n">
        <v>82.21</v>
      </c>
      <c r="V1721" s="39" t="n">
        <f aca="false">J1721*Resumo!$B$6</f>
        <v>0.43995</v>
      </c>
      <c r="W1721" s="39" t="n">
        <f aca="false">J1721*Resumo!$B$7</f>
        <v>0.8799</v>
      </c>
      <c r="X1721" s="39" t="n">
        <f aca="false">Resumo!$B$9</f>
        <v>1</v>
      </c>
      <c r="Y1721" s="39" t="n">
        <f aca="false">Resumo!$B$10*CEILING(I1721/100,1)</f>
        <v>4.5</v>
      </c>
      <c r="Z1721" s="39" t="n">
        <f aca="false">Resumo!$B$12*CEILING(I1721,1)</f>
        <v>2.1</v>
      </c>
      <c r="AA1721" s="39" t="n">
        <f aca="false">Resumo!$B$13*CEILING(I1721,1)</f>
        <v>15.75</v>
      </c>
      <c r="AB1721" s="39" t="n">
        <f aca="false">SUM(U1721:AA1721)</f>
        <v>106.87985</v>
      </c>
      <c r="AC1721" s="39" t="n">
        <f aca="false">AB1721/(1-Resumo!$B$5)</f>
        <v>121.454375</v>
      </c>
      <c r="AD1721" s="39" t="n">
        <f aca="false">(AB1721-AA1721)/(1-Resumo!$B$5)</f>
        <v>103.556647727273</v>
      </c>
      <c r="AE1721" s="39" t="n">
        <f aca="false">AC1721-T1721</f>
        <v>39.0207511363636</v>
      </c>
      <c r="AF1721" s="40" t="n">
        <f aca="false">AC1721/T1721-1</f>
        <v>0.47335964752578</v>
      </c>
      <c r="AG1721" s="37" t="str">
        <f aca="false">IF(AC1721&lt;T1721,"SIM","NÃO")</f>
        <v>NÃO</v>
      </c>
      <c r="AH1721" s="37" t="n">
        <v>8</v>
      </c>
      <c r="AI1721" s="37" t="n">
        <v>5</v>
      </c>
      <c r="AJ1721" s="37" t="s">
        <v>323</v>
      </c>
    </row>
    <row r="1722" customFormat="false" ht="15" hidden="false" customHeight="false" outlineLevel="0" collapsed="false">
      <c r="A1722" s="37" t="n">
        <v>392846560</v>
      </c>
      <c r="B1722" s="38" t="n">
        <v>46276.4425231482</v>
      </c>
      <c r="C1722" s="37" t="s">
        <v>320</v>
      </c>
      <c r="D1722" s="37" t="s">
        <v>1892</v>
      </c>
      <c r="E1722" s="37" t="n">
        <v>20961130</v>
      </c>
      <c r="F1722" s="37" t="s">
        <v>139</v>
      </c>
      <c r="G1722" s="37" t="s">
        <v>198</v>
      </c>
      <c r="H1722" s="37" t="s">
        <v>167</v>
      </c>
      <c r="I1722" s="37" t="n">
        <v>19.5</v>
      </c>
      <c r="J1722" s="39" t="n">
        <v>379.99</v>
      </c>
      <c r="K1722" s="37" t="s">
        <v>322</v>
      </c>
      <c r="L1722" s="39" t="n">
        <v>65.03</v>
      </c>
      <c r="M1722" s="39" t="n">
        <v>39.83</v>
      </c>
      <c r="N1722" s="39" t="n">
        <f aca="false">J1722*Resumo!$C$7</f>
        <v>0.75998</v>
      </c>
      <c r="O1722" s="39" t="n">
        <f aca="false">J1722*Resumo!$C$8</f>
        <v>0.75998</v>
      </c>
      <c r="P1722" s="39" t="n">
        <f aca="false">Resumo!$C$10*CEILING(I1722/100,1)</f>
        <v>1</v>
      </c>
      <c r="Q1722" s="39" t="n">
        <f aca="false">Resumo!$C$9</f>
        <v>11.9</v>
      </c>
      <c r="R1722" s="39" t="n">
        <f aca="false">SUM(M1722:Q1722)*Resumo!$C$11</f>
        <v>2.9837478</v>
      </c>
      <c r="S1722" s="39" t="n">
        <f aca="false">SUM(M1722:R1722)</f>
        <v>57.2337078</v>
      </c>
      <c r="T1722" s="39" t="n">
        <f aca="false">S1722/(1-Resumo!$C$5)</f>
        <v>65.0383043181818</v>
      </c>
      <c r="U1722" s="39" t="n">
        <v>46.98</v>
      </c>
      <c r="V1722" s="39" t="n">
        <f aca="false">J1722*Resumo!$B$6</f>
        <v>0.37999</v>
      </c>
      <c r="W1722" s="39" t="n">
        <f aca="false">J1722*Resumo!$B$7</f>
        <v>0.75998</v>
      </c>
      <c r="X1722" s="39" t="n">
        <f aca="false">Resumo!$B$9</f>
        <v>1</v>
      </c>
      <c r="Y1722" s="39" t="n">
        <f aca="false">Resumo!$B$10*CEILING(I1722/100,1)</f>
        <v>4.5</v>
      </c>
      <c r="Z1722" s="39" t="n">
        <f aca="false">Resumo!$B$12*CEILING(I1722,1)</f>
        <v>1.2</v>
      </c>
      <c r="AA1722" s="39" t="n">
        <f aca="false">Resumo!$B$13*CEILING(I1722,1)</f>
        <v>9</v>
      </c>
      <c r="AB1722" s="39" t="n">
        <f aca="false">SUM(U1722:AA1722)</f>
        <v>63.81997</v>
      </c>
      <c r="AC1722" s="39" t="n">
        <f aca="false">AB1722/(1-Resumo!$B$5)</f>
        <v>72.5226931818182</v>
      </c>
      <c r="AD1722" s="39" t="n">
        <f aca="false">(AB1722-AA1722)/(1-Resumo!$B$5)</f>
        <v>62.2954204545455</v>
      </c>
      <c r="AE1722" s="39" t="n">
        <f aca="false">AC1722-T1722</f>
        <v>7.48438886363635</v>
      </c>
      <c r="AF1722" s="40" t="n">
        <f aca="false">AC1722/T1722-1</f>
        <v>0.115076629719943</v>
      </c>
      <c r="AG1722" s="37" t="str">
        <f aca="false">IF(AC1722&lt;T1722,"SIM","NÃO")</f>
        <v>NÃO</v>
      </c>
      <c r="AH1722" s="37" t="n">
        <v>8</v>
      </c>
      <c r="AI1722" s="37" t="n">
        <v>5</v>
      </c>
      <c r="AJ1722" s="37" t="s">
        <v>323</v>
      </c>
    </row>
    <row r="1723" customFormat="false" ht="15" hidden="false" customHeight="false" outlineLevel="0" collapsed="false">
      <c r="A1723" s="37" t="n">
        <v>392860817</v>
      </c>
      <c r="B1723" s="38" t="n">
        <v>46276.4608101852</v>
      </c>
      <c r="C1723" s="37" t="s">
        <v>325</v>
      </c>
      <c r="D1723" s="37" t="s">
        <v>1893</v>
      </c>
      <c r="E1723" s="37" t="n">
        <v>22715090</v>
      </c>
      <c r="F1723" s="37" t="s">
        <v>139</v>
      </c>
      <c r="G1723" s="37" t="s">
        <v>198</v>
      </c>
      <c r="H1723" s="37" t="s">
        <v>171</v>
      </c>
      <c r="I1723" s="37" t="n">
        <v>52.3</v>
      </c>
      <c r="J1723" s="39" t="n">
        <v>572.88</v>
      </c>
      <c r="K1723" s="37" t="s">
        <v>322</v>
      </c>
      <c r="L1723" s="39" t="n">
        <v>113.91</v>
      </c>
      <c r="M1723" s="39" t="n">
        <v>79.81</v>
      </c>
      <c r="N1723" s="39" t="n">
        <f aca="false">J1723*Resumo!$C$7</f>
        <v>1.14576</v>
      </c>
      <c r="O1723" s="39" t="n">
        <f aca="false">J1723*Resumo!$C$8</f>
        <v>1.14576</v>
      </c>
      <c r="P1723" s="39" t="n">
        <f aca="false">Resumo!$C$10*CEILING(I1723/100,1)</f>
        <v>1</v>
      </c>
      <c r="Q1723" s="39" t="n">
        <f aca="false">Resumo!$C$9</f>
        <v>11.9</v>
      </c>
      <c r="R1723" s="39" t="n">
        <f aca="false">SUM(M1723:Q1723)*Resumo!$C$11</f>
        <v>5.2250836</v>
      </c>
      <c r="S1723" s="39" t="n">
        <f aca="false">SUM(M1723:R1723)</f>
        <v>100.2266036</v>
      </c>
      <c r="T1723" s="39" t="n">
        <f aca="false">S1723/(1-Resumo!$C$5)</f>
        <v>113.893867727273</v>
      </c>
      <c r="U1723" s="39" t="n">
        <v>112.3</v>
      </c>
      <c r="V1723" s="39" t="n">
        <f aca="false">J1723*Resumo!$B$6</f>
        <v>0.57288</v>
      </c>
      <c r="W1723" s="39" t="n">
        <f aca="false">J1723*Resumo!$B$7</f>
        <v>1.14576</v>
      </c>
      <c r="X1723" s="39" t="n">
        <f aca="false">Resumo!$B$9</f>
        <v>1</v>
      </c>
      <c r="Y1723" s="39" t="n">
        <f aca="false">Resumo!$B$10*CEILING(I1723/100,1)</f>
        <v>4.5</v>
      </c>
      <c r="Z1723" s="39" t="n">
        <f aca="false">Resumo!$B$12*CEILING(I1723,1)</f>
        <v>3.18</v>
      </c>
      <c r="AA1723" s="39" t="n">
        <f aca="false">Resumo!$B$13*CEILING(I1723,1)</f>
        <v>23.85</v>
      </c>
      <c r="AB1723" s="39" t="n">
        <f aca="false">SUM(U1723:AA1723)</f>
        <v>146.54864</v>
      </c>
      <c r="AC1723" s="39" t="n">
        <f aca="false">AB1723/(1-Resumo!$B$5)</f>
        <v>166.532545454545</v>
      </c>
      <c r="AD1723" s="39" t="n">
        <f aca="false">(AB1723-AA1723)/(1-Resumo!$B$5)</f>
        <v>139.430272727273</v>
      </c>
      <c r="AE1723" s="39" t="n">
        <f aca="false">AC1723-T1723</f>
        <v>52.6386777272727</v>
      </c>
      <c r="AF1723" s="40" t="n">
        <f aca="false">AC1723/T1723-1</f>
        <v>0.462173063200557</v>
      </c>
      <c r="AG1723" s="37" t="str">
        <f aca="false">IF(AC1723&lt;T1723,"SIM","NÃO")</f>
        <v>NÃO</v>
      </c>
      <c r="AH1723" s="37" t="n">
        <v>8</v>
      </c>
      <c r="AI1723" s="37" t="n">
        <v>5</v>
      </c>
      <c r="AJ1723" s="37" t="s">
        <v>323</v>
      </c>
    </row>
    <row r="1724" customFormat="false" ht="15" hidden="false" customHeight="false" outlineLevel="0" collapsed="false">
      <c r="A1724" s="37" t="n">
        <v>392869062</v>
      </c>
      <c r="B1724" s="38" t="n">
        <v>46276.4725</v>
      </c>
      <c r="C1724" s="37" t="s">
        <v>320</v>
      </c>
      <c r="D1724" s="37" t="s">
        <v>1086</v>
      </c>
      <c r="E1724" s="37" t="n">
        <v>24415000</v>
      </c>
      <c r="F1724" s="37" t="s">
        <v>140</v>
      </c>
      <c r="G1724" s="37" t="s">
        <v>207</v>
      </c>
      <c r="H1724" s="37" t="s">
        <v>175</v>
      </c>
      <c r="I1724" s="37" t="n">
        <v>106.5</v>
      </c>
      <c r="J1724" s="39" t="n">
        <v>1112.08</v>
      </c>
      <c r="K1724" s="37" t="s">
        <v>322</v>
      </c>
      <c r="L1724" s="39" t="n">
        <v>195.15</v>
      </c>
      <c r="M1724" s="39" t="n">
        <v>144.44</v>
      </c>
      <c r="N1724" s="39" t="n">
        <f aca="false">J1724*Resumo!$C$7</f>
        <v>2.22416</v>
      </c>
      <c r="O1724" s="39" t="n">
        <f aca="false">J1724*Resumo!$C$8</f>
        <v>2.22416</v>
      </c>
      <c r="P1724" s="39" t="n">
        <f aca="false">Resumo!$C$10*CEILING(I1724/100,1)</f>
        <v>2</v>
      </c>
      <c r="Q1724" s="39" t="n">
        <f aca="false">Resumo!$C$9</f>
        <v>11.9</v>
      </c>
      <c r="R1724" s="39" t="n">
        <f aca="false">SUM(M1724:Q1724)*Resumo!$C$11</f>
        <v>8.9533576</v>
      </c>
      <c r="S1724" s="39" t="n">
        <f aca="false">SUM(M1724:R1724)</f>
        <v>171.7416776</v>
      </c>
      <c r="T1724" s="39" t="n">
        <f aca="false">S1724/(1-Resumo!$C$5)</f>
        <v>195.160997272727</v>
      </c>
      <c r="U1724" s="39" t="n">
        <v>214.11</v>
      </c>
      <c r="V1724" s="39" t="n">
        <f aca="false">J1724*Resumo!$B$6</f>
        <v>1.11208</v>
      </c>
      <c r="W1724" s="39" t="n">
        <f aca="false">J1724*Resumo!$B$7</f>
        <v>2.22416</v>
      </c>
      <c r="X1724" s="39" t="n">
        <f aca="false">Resumo!$B$9</f>
        <v>1</v>
      </c>
      <c r="Y1724" s="39" t="n">
        <f aca="false">Resumo!$B$10*CEILING(I1724/100,1)</f>
        <v>9</v>
      </c>
      <c r="Z1724" s="39" t="n">
        <f aca="false">Resumo!$B$12*CEILING(I1724,1)</f>
        <v>6.42</v>
      </c>
      <c r="AA1724" s="39" t="n">
        <f aca="false">Resumo!$B$13*CEILING(I1724,1)</f>
        <v>48.15</v>
      </c>
      <c r="AB1724" s="39" t="n">
        <f aca="false">SUM(U1724:AA1724)</f>
        <v>282.01624</v>
      </c>
      <c r="AC1724" s="39" t="n">
        <f aca="false">AB1724/(1-Resumo!$B$5)</f>
        <v>320.473</v>
      </c>
      <c r="AD1724" s="39" t="n">
        <f aca="false">(AB1724-AA1724)/(1-Resumo!$B$5)</f>
        <v>265.757090909091</v>
      </c>
      <c r="AE1724" s="39" t="n">
        <f aca="false">AC1724-T1724</f>
        <v>125.312002727273</v>
      </c>
      <c r="AF1724" s="40" t="n">
        <f aca="false">AC1724/T1724-1</f>
        <v>0.642095523585359</v>
      </c>
      <c r="AG1724" s="37" t="str">
        <f aca="false">IF(AC1724&lt;T1724,"SIM","NÃO")</f>
        <v>NÃO</v>
      </c>
      <c r="AH1724" s="37" t="n">
        <v>10</v>
      </c>
      <c r="AI1724" s="37" t="n">
        <v>7</v>
      </c>
      <c r="AJ1724" s="37" t="s">
        <v>323</v>
      </c>
    </row>
    <row r="1725" customFormat="false" ht="15" hidden="false" customHeight="false" outlineLevel="0" collapsed="false">
      <c r="A1725" s="37" t="n">
        <v>392884535</v>
      </c>
      <c r="B1725" s="38" t="n">
        <v>46276.4936342593</v>
      </c>
      <c r="C1725" s="37" t="s">
        <v>325</v>
      </c>
      <c r="D1725" s="37" t="s">
        <v>378</v>
      </c>
      <c r="E1725" s="37" t="n">
        <v>23520400</v>
      </c>
      <c r="F1725" s="37" t="s">
        <v>139</v>
      </c>
      <c r="G1725" s="37" t="s">
        <v>198</v>
      </c>
      <c r="H1725" s="37" t="s">
        <v>168</v>
      </c>
      <c r="I1725" s="37" t="n">
        <v>27.4</v>
      </c>
      <c r="J1725" s="39" t="n">
        <v>315</v>
      </c>
      <c r="K1725" s="37" t="s">
        <v>322</v>
      </c>
      <c r="L1725" s="39" t="n">
        <v>81.83</v>
      </c>
      <c r="M1725" s="39" t="n">
        <v>54.1</v>
      </c>
      <c r="N1725" s="39" t="n">
        <f aca="false">J1725*Resumo!$C$7</f>
        <v>0.63</v>
      </c>
      <c r="O1725" s="39" t="n">
        <f aca="false">J1725*Resumo!$C$8</f>
        <v>0.63</v>
      </c>
      <c r="P1725" s="39" t="n">
        <f aca="false">Resumo!$C$10*CEILING(I1725/100,1)</f>
        <v>1</v>
      </c>
      <c r="Q1725" s="39" t="n">
        <f aca="false">Resumo!$C$9</f>
        <v>11.9</v>
      </c>
      <c r="R1725" s="39" t="n">
        <f aca="false">SUM(M1725:Q1725)*Resumo!$C$11</f>
        <v>3.7543</v>
      </c>
      <c r="S1725" s="39" t="n">
        <f aca="false">SUM(M1725:R1725)</f>
        <v>72.0143</v>
      </c>
      <c r="T1725" s="39" t="n">
        <f aca="false">S1725/(1-Resumo!$C$5)</f>
        <v>81.8344318181818</v>
      </c>
      <c r="U1725" s="39" t="n">
        <v>82.21</v>
      </c>
      <c r="V1725" s="39" t="n">
        <f aca="false">J1725*Resumo!$B$6</f>
        <v>0.315</v>
      </c>
      <c r="W1725" s="39" t="n">
        <f aca="false">J1725*Resumo!$B$7</f>
        <v>0.63</v>
      </c>
      <c r="X1725" s="39" t="n">
        <f aca="false">Resumo!$B$9</f>
        <v>1</v>
      </c>
      <c r="Y1725" s="39" t="n">
        <f aca="false">Resumo!$B$10*CEILING(I1725/100,1)</f>
        <v>4.5</v>
      </c>
      <c r="Z1725" s="39" t="n">
        <f aca="false">Resumo!$B$12*CEILING(I1725,1)</f>
        <v>1.68</v>
      </c>
      <c r="AA1725" s="39" t="n">
        <f aca="false">Resumo!$B$13*CEILING(I1725,1)</f>
        <v>12.6</v>
      </c>
      <c r="AB1725" s="39" t="n">
        <f aca="false">SUM(U1725:AA1725)</f>
        <v>102.935</v>
      </c>
      <c r="AC1725" s="39" t="n">
        <f aca="false">AB1725/(1-Resumo!$B$5)</f>
        <v>116.971590909091</v>
      </c>
      <c r="AD1725" s="39" t="n">
        <f aca="false">(AB1725-AA1725)/(1-Resumo!$B$5)</f>
        <v>102.653409090909</v>
      </c>
      <c r="AE1725" s="39" t="n">
        <f aca="false">AC1725-T1725</f>
        <v>35.1371590909091</v>
      </c>
      <c r="AF1725" s="40" t="n">
        <f aca="false">AC1725/T1725-1</f>
        <v>0.429368889234499</v>
      </c>
      <c r="AG1725" s="37" t="str">
        <f aca="false">IF(AC1725&lt;T1725,"SIM","NÃO")</f>
        <v>NÃO</v>
      </c>
      <c r="AH1725" s="37" t="n">
        <v>8</v>
      </c>
      <c r="AI1725" s="37" t="n">
        <v>5</v>
      </c>
      <c r="AJ1725" s="37" t="s">
        <v>323</v>
      </c>
    </row>
    <row r="1726" customFormat="false" ht="15" hidden="false" customHeight="false" outlineLevel="0" collapsed="false">
      <c r="A1726" s="37" t="n">
        <v>392893029</v>
      </c>
      <c r="B1726" s="38" t="n">
        <v>46276.5057060185</v>
      </c>
      <c r="C1726" s="37" t="s">
        <v>320</v>
      </c>
      <c r="D1726" s="37" t="s">
        <v>1894</v>
      </c>
      <c r="E1726" s="37" t="n">
        <v>24350105</v>
      </c>
      <c r="F1726" s="37" t="s">
        <v>143</v>
      </c>
      <c r="G1726" s="37" t="s">
        <v>207</v>
      </c>
      <c r="H1726" s="37" t="s">
        <v>171</v>
      </c>
      <c r="I1726" s="37" t="n">
        <v>52.3</v>
      </c>
      <c r="J1726" s="39" t="n">
        <v>614.63</v>
      </c>
      <c r="K1726" s="37" t="s">
        <v>322</v>
      </c>
      <c r="L1726" s="39" t="n">
        <v>128.23</v>
      </c>
      <c r="M1726" s="39" t="n">
        <v>91.6</v>
      </c>
      <c r="N1726" s="39" t="n">
        <f aca="false">J1726*Resumo!$C$7</f>
        <v>1.22926</v>
      </c>
      <c r="O1726" s="39" t="n">
        <f aca="false">J1726*Resumo!$C$8</f>
        <v>1.22926</v>
      </c>
      <c r="P1726" s="39" t="n">
        <f aca="false">Resumo!$C$10*CEILING(I1726/100,1)</f>
        <v>1</v>
      </c>
      <c r="Q1726" s="39" t="n">
        <f aca="false">Resumo!$C$9</f>
        <v>11.9</v>
      </c>
      <c r="R1726" s="39" t="n">
        <f aca="false">SUM(M1726:Q1726)*Resumo!$C$11</f>
        <v>5.8827186</v>
      </c>
      <c r="S1726" s="39" t="n">
        <f aca="false">SUM(M1726:R1726)</f>
        <v>112.8412386</v>
      </c>
      <c r="T1726" s="39" t="n">
        <f aca="false">S1726/(1-Resumo!$C$5)</f>
        <v>128.228680227273</v>
      </c>
      <c r="U1726" s="39" t="n">
        <v>128.14</v>
      </c>
      <c r="V1726" s="39" t="n">
        <f aca="false">J1726*Resumo!$B$6</f>
        <v>0.61463</v>
      </c>
      <c r="W1726" s="39" t="n">
        <f aca="false">J1726*Resumo!$B$7</f>
        <v>1.22926</v>
      </c>
      <c r="X1726" s="39" t="n">
        <f aca="false">Resumo!$B$9</f>
        <v>1</v>
      </c>
      <c r="Y1726" s="39" t="n">
        <f aca="false">Resumo!$B$10*CEILING(I1726/100,1)</f>
        <v>4.5</v>
      </c>
      <c r="Z1726" s="39" t="n">
        <f aca="false">Resumo!$B$12*CEILING(I1726,1)</f>
        <v>3.18</v>
      </c>
      <c r="AA1726" s="39" t="n">
        <f aca="false">Resumo!$B$13*CEILING(I1726,1)</f>
        <v>23.85</v>
      </c>
      <c r="AB1726" s="39" t="n">
        <f aca="false">SUM(U1726:AA1726)</f>
        <v>162.51389</v>
      </c>
      <c r="AC1726" s="39" t="n">
        <f aca="false">AB1726/(1-Resumo!$B$5)</f>
        <v>184.674875</v>
      </c>
      <c r="AD1726" s="39" t="n">
        <f aca="false">(AB1726-AA1726)/(1-Resumo!$B$5)</f>
        <v>157.572602272727</v>
      </c>
      <c r="AE1726" s="39" t="n">
        <f aca="false">AC1726-T1726</f>
        <v>56.4461947727272</v>
      </c>
      <c r="AF1726" s="40" t="n">
        <f aca="false">AC1726/T1726-1</f>
        <v>0.44019945204678</v>
      </c>
      <c r="AG1726" s="37" t="str">
        <f aca="false">IF(AC1726&lt;T1726,"SIM","NÃO")</f>
        <v>NÃO</v>
      </c>
      <c r="AH1726" s="37" t="n">
        <v>10</v>
      </c>
      <c r="AI1726" s="37" t="n">
        <v>7</v>
      </c>
      <c r="AJ1726" s="37" t="s">
        <v>323</v>
      </c>
    </row>
    <row r="1727" customFormat="false" ht="15" hidden="false" customHeight="false" outlineLevel="0" collapsed="false">
      <c r="A1727" s="37" t="n">
        <v>392896039</v>
      </c>
      <c r="B1727" s="38" t="n">
        <v>46276.5098148148</v>
      </c>
      <c r="C1727" s="37" t="s">
        <v>320</v>
      </c>
      <c r="D1727" s="37" t="s">
        <v>1895</v>
      </c>
      <c r="E1727" s="37" t="n">
        <v>25847140</v>
      </c>
      <c r="F1727" s="37" t="s">
        <v>215</v>
      </c>
      <c r="G1727" s="37" t="s">
        <v>201</v>
      </c>
      <c r="H1727" s="37" t="s">
        <v>169</v>
      </c>
      <c r="I1727" s="37" t="n">
        <v>36.8</v>
      </c>
      <c r="J1727" s="39" t="n">
        <v>499.99</v>
      </c>
      <c r="K1727" s="37" t="s">
        <v>322</v>
      </c>
      <c r="L1727" s="39" t="n">
        <v>122.65</v>
      </c>
      <c r="M1727" s="39" t="n">
        <v>87.4</v>
      </c>
      <c r="N1727" s="39" t="n">
        <f aca="false">J1727*Resumo!$C$7</f>
        <v>0.99998</v>
      </c>
      <c r="O1727" s="39" t="n">
        <f aca="false">J1727*Resumo!$C$8</f>
        <v>0.99998</v>
      </c>
      <c r="P1727" s="39" t="n">
        <f aca="false">Resumo!$C$10*CEILING(I1727/100,1)</f>
        <v>1</v>
      </c>
      <c r="Q1727" s="39" t="n">
        <f aca="false">Resumo!$C$9</f>
        <v>11.9</v>
      </c>
      <c r="R1727" s="39" t="n">
        <f aca="false">SUM(M1727:Q1727)*Resumo!$C$11</f>
        <v>5.6264978</v>
      </c>
      <c r="S1727" s="39" t="n">
        <f aca="false">SUM(M1727:R1727)</f>
        <v>107.9264578</v>
      </c>
      <c r="T1727" s="39" t="n">
        <f aca="false">S1727/(1-Resumo!$C$5)</f>
        <v>122.643702045455</v>
      </c>
      <c r="U1727" s="39" t="n">
        <v>124.38</v>
      </c>
      <c r="V1727" s="39" t="n">
        <f aca="false">J1727*Resumo!$B$6</f>
        <v>0.49999</v>
      </c>
      <c r="W1727" s="39" t="n">
        <f aca="false">J1727*Resumo!$B$7</f>
        <v>0.99998</v>
      </c>
      <c r="X1727" s="39" t="n">
        <f aca="false">Resumo!$B$9</f>
        <v>1</v>
      </c>
      <c r="Y1727" s="39" t="n">
        <f aca="false">Resumo!$B$10*CEILING(I1727/100,1)</f>
        <v>4.5</v>
      </c>
      <c r="Z1727" s="39" t="n">
        <f aca="false">Resumo!$B$12*CEILING(I1727,1)</f>
        <v>2.22</v>
      </c>
      <c r="AA1727" s="39" t="n">
        <f aca="false">Resumo!$B$13*CEILING(I1727,1)</f>
        <v>16.65</v>
      </c>
      <c r="AB1727" s="39" t="n">
        <f aca="false">SUM(U1727:AA1727)</f>
        <v>150.24997</v>
      </c>
      <c r="AC1727" s="39" t="n">
        <f aca="false">AB1727/(1-Resumo!$B$5)</f>
        <v>170.738602272727</v>
      </c>
      <c r="AD1727" s="39" t="n">
        <f aca="false">(AB1727-AA1727)/(1-Resumo!$B$5)</f>
        <v>151.818147727273</v>
      </c>
      <c r="AE1727" s="39" t="n">
        <f aca="false">AC1727-T1727</f>
        <v>48.0949002272727</v>
      </c>
      <c r="AF1727" s="40" t="n">
        <f aca="false">AC1727/T1727-1</f>
        <v>0.392151406269909</v>
      </c>
      <c r="AG1727" s="37" t="str">
        <f aca="false">IF(AC1727&lt;T1727,"SIM","NÃO")</f>
        <v>NÃO</v>
      </c>
      <c r="AH1727" s="37" t="n">
        <v>13</v>
      </c>
      <c r="AI1727" s="37" t="n">
        <v>8</v>
      </c>
      <c r="AJ1727" s="37" t="s">
        <v>327</v>
      </c>
    </row>
    <row r="1728" customFormat="false" ht="15" hidden="false" customHeight="false" outlineLevel="0" collapsed="false">
      <c r="A1728" s="37" t="n">
        <v>392911430</v>
      </c>
      <c r="B1728" s="38" t="n">
        <v>46276.5326273148</v>
      </c>
      <c r="C1728" s="37" t="s">
        <v>320</v>
      </c>
      <c r="D1728" s="37" t="s">
        <v>1452</v>
      </c>
      <c r="E1728" s="37" t="n">
        <v>27943120</v>
      </c>
      <c r="F1728" s="37" t="s">
        <v>146</v>
      </c>
      <c r="G1728" s="37" t="s">
        <v>201</v>
      </c>
      <c r="H1728" s="37" t="s">
        <v>172</v>
      </c>
      <c r="I1728" s="37" t="n">
        <v>63.9</v>
      </c>
      <c r="J1728" s="39" t="n">
        <v>716.35</v>
      </c>
      <c r="K1728" s="37" t="s">
        <v>322</v>
      </c>
      <c r="L1728" s="39" t="n">
        <v>155.44</v>
      </c>
      <c r="M1728" s="39" t="n">
        <v>113.9</v>
      </c>
      <c r="N1728" s="39" t="n">
        <f aca="false">J1728*Resumo!$C$7</f>
        <v>1.4327</v>
      </c>
      <c r="O1728" s="39" t="n">
        <f aca="false">J1728*Resumo!$C$8</f>
        <v>1.4327</v>
      </c>
      <c r="P1728" s="39" t="n">
        <f aca="false">Resumo!$C$10*CEILING(I1728/100,1)</f>
        <v>1</v>
      </c>
      <c r="Q1728" s="39" t="n">
        <f aca="false">Resumo!$C$9</f>
        <v>11.9</v>
      </c>
      <c r="R1728" s="39" t="n">
        <f aca="false">SUM(M1728:Q1728)*Resumo!$C$11</f>
        <v>7.131597</v>
      </c>
      <c r="S1728" s="39" t="n">
        <f aca="false">SUM(M1728:R1728)</f>
        <v>136.796997</v>
      </c>
      <c r="T1728" s="39" t="n">
        <f aca="false">S1728/(1-Resumo!$C$5)</f>
        <v>155.451132954545</v>
      </c>
      <c r="U1728" s="39" t="n">
        <v>171.54</v>
      </c>
      <c r="V1728" s="39" t="n">
        <f aca="false">J1728*Resumo!$B$6</f>
        <v>0.71635</v>
      </c>
      <c r="W1728" s="39" t="n">
        <f aca="false">J1728*Resumo!$B$7</f>
        <v>1.4327</v>
      </c>
      <c r="X1728" s="39" t="n">
        <f aca="false">Resumo!$B$9</f>
        <v>1</v>
      </c>
      <c r="Y1728" s="39" t="n">
        <f aca="false">Resumo!$B$10*CEILING(I1728/100,1)</f>
        <v>4.5</v>
      </c>
      <c r="Z1728" s="39" t="n">
        <f aca="false">Resumo!$B$12*CEILING(I1728,1)</f>
        <v>3.84</v>
      </c>
      <c r="AA1728" s="39" t="n">
        <f aca="false">Resumo!$B$13*CEILING(I1728,1)</f>
        <v>28.8</v>
      </c>
      <c r="AB1728" s="39" t="n">
        <f aca="false">SUM(U1728:AA1728)</f>
        <v>211.82905</v>
      </c>
      <c r="AC1728" s="39" t="n">
        <f aca="false">AB1728/(1-Resumo!$B$5)</f>
        <v>240.714829545455</v>
      </c>
      <c r="AD1728" s="39" t="n">
        <f aca="false">(AB1728-AA1728)/(1-Resumo!$B$5)</f>
        <v>207.987556818182</v>
      </c>
      <c r="AE1728" s="39" t="n">
        <f aca="false">AC1728-T1728</f>
        <v>85.2636965909091</v>
      </c>
      <c r="AF1728" s="40" t="n">
        <f aca="false">AC1728/T1728-1</f>
        <v>0.548491959951431</v>
      </c>
      <c r="AG1728" s="37" t="str">
        <f aca="false">IF(AC1728&lt;T1728,"SIM","NÃO")</f>
        <v>NÃO</v>
      </c>
      <c r="AH1728" s="37" t="n">
        <v>13</v>
      </c>
      <c r="AI1728" s="37" t="n">
        <v>11</v>
      </c>
      <c r="AJ1728" s="37" t="s">
        <v>323</v>
      </c>
    </row>
    <row r="1729" customFormat="false" ht="15" hidden="false" customHeight="false" outlineLevel="0" collapsed="false">
      <c r="A1729" s="37" t="n">
        <v>392935556</v>
      </c>
      <c r="B1729" s="38" t="n">
        <v>46276.5671875</v>
      </c>
      <c r="C1729" s="37" t="s">
        <v>325</v>
      </c>
      <c r="D1729" s="37" t="s">
        <v>1896</v>
      </c>
      <c r="E1729" s="37" t="n">
        <v>27197868</v>
      </c>
      <c r="F1729" s="37" t="s">
        <v>232</v>
      </c>
      <c r="G1729" s="37" t="s">
        <v>201</v>
      </c>
      <c r="H1729" s="37" t="s">
        <v>172</v>
      </c>
      <c r="I1729" s="37" t="n">
        <v>68.1</v>
      </c>
      <c r="J1729" s="39" t="n">
        <v>898</v>
      </c>
      <c r="K1729" s="37" t="s">
        <v>322</v>
      </c>
      <c r="L1729" s="39" t="n">
        <v>156.33</v>
      </c>
      <c r="M1729" s="39" t="n">
        <v>113.9</v>
      </c>
      <c r="N1729" s="39" t="n">
        <f aca="false">J1729*Resumo!$C$7</f>
        <v>1.796</v>
      </c>
      <c r="O1729" s="39" t="n">
        <f aca="false">J1729*Resumo!$C$8</f>
        <v>1.796</v>
      </c>
      <c r="P1729" s="39" t="n">
        <f aca="false">Resumo!$C$10*CEILING(I1729/100,1)</f>
        <v>1</v>
      </c>
      <c r="Q1729" s="39" t="n">
        <f aca="false">Resumo!$C$9</f>
        <v>11.9</v>
      </c>
      <c r="R1729" s="39" t="n">
        <f aca="false">SUM(M1729:Q1729)*Resumo!$C$11</f>
        <v>7.17156</v>
      </c>
      <c r="S1729" s="39" t="n">
        <f aca="false">SUM(M1729:R1729)</f>
        <v>137.56356</v>
      </c>
      <c r="T1729" s="39" t="n">
        <f aca="false">S1729/(1-Resumo!$C$5)</f>
        <v>156.322227272727</v>
      </c>
      <c r="U1729" s="39" t="n">
        <v>166.05</v>
      </c>
      <c r="V1729" s="39" t="n">
        <f aca="false">J1729*Resumo!$B$6</f>
        <v>0.898</v>
      </c>
      <c r="W1729" s="39" t="n">
        <f aca="false">J1729*Resumo!$B$7</f>
        <v>1.796</v>
      </c>
      <c r="X1729" s="39" t="n">
        <f aca="false">Resumo!$B$9</f>
        <v>1</v>
      </c>
      <c r="Y1729" s="39" t="n">
        <f aca="false">Resumo!$B$10*CEILING(I1729/100,1)</f>
        <v>4.5</v>
      </c>
      <c r="Z1729" s="39" t="n">
        <f aca="false">Resumo!$B$12*CEILING(I1729,1)</f>
        <v>4.14</v>
      </c>
      <c r="AA1729" s="39" t="n">
        <f aca="false">Resumo!$B$13*CEILING(I1729,1)</f>
        <v>31.05</v>
      </c>
      <c r="AB1729" s="39" t="n">
        <f aca="false">SUM(U1729:AA1729)</f>
        <v>209.434</v>
      </c>
      <c r="AC1729" s="39" t="n">
        <f aca="false">AB1729/(1-Resumo!$B$5)</f>
        <v>237.993181818182</v>
      </c>
      <c r="AD1729" s="39" t="n">
        <f aca="false">(AB1729-AA1729)/(1-Resumo!$B$5)</f>
        <v>202.709090909091</v>
      </c>
      <c r="AE1729" s="39" t="n">
        <f aca="false">AC1729-T1729</f>
        <v>81.6709545454546</v>
      </c>
      <c r="AF1729" s="40" t="n">
        <f aca="false">AC1729/T1729-1</f>
        <v>0.522452603000388</v>
      </c>
      <c r="AG1729" s="37" t="str">
        <f aca="false">IF(AC1729&lt;T1729,"SIM","NÃO")</f>
        <v>NÃO</v>
      </c>
      <c r="AH1729" s="37" t="n">
        <v>13</v>
      </c>
      <c r="AI1729" s="37" t="n">
        <v>10</v>
      </c>
      <c r="AJ1729" s="37" t="s">
        <v>327</v>
      </c>
    </row>
    <row r="1730" customFormat="false" ht="15" hidden="false" customHeight="false" outlineLevel="0" collapsed="false">
      <c r="A1730" s="37" t="n">
        <v>392935894</v>
      </c>
      <c r="B1730" s="38" t="n">
        <v>46276.5677546296</v>
      </c>
      <c r="C1730" s="37" t="s">
        <v>325</v>
      </c>
      <c r="D1730" s="37" t="s">
        <v>1897</v>
      </c>
      <c r="E1730" s="37" t="n">
        <v>28148000</v>
      </c>
      <c r="F1730" s="37" t="s">
        <v>144</v>
      </c>
      <c r="G1730" s="37" t="s">
        <v>201</v>
      </c>
      <c r="H1730" s="37" t="s">
        <v>169</v>
      </c>
      <c r="I1730" s="37" t="n">
        <v>38.2</v>
      </c>
      <c r="J1730" s="39" t="n">
        <v>676</v>
      </c>
      <c r="K1730" s="37" t="s">
        <v>322</v>
      </c>
      <c r="L1730" s="39" t="n">
        <v>123.49</v>
      </c>
      <c r="M1730" s="39" t="n">
        <v>87.4</v>
      </c>
      <c r="N1730" s="39" t="n">
        <f aca="false">J1730*Resumo!$C$7</f>
        <v>1.352</v>
      </c>
      <c r="O1730" s="39" t="n">
        <f aca="false">J1730*Resumo!$C$8</f>
        <v>1.352</v>
      </c>
      <c r="P1730" s="39" t="n">
        <f aca="false">Resumo!$C$10*CEILING(I1730/100,1)</f>
        <v>1</v>
      </c>
      <c r="Q1730" s="39" t="n">
        <f aca="false">Resumo!$C$9</f>
        <v>11.9</v>
      </c>
      <c r="R1730" s="39" t="n">
        <f aca="false">SUM(M1730:Q1730)*Resumo!$C$11</f>
        <v>5.66522</v>
      </c>
      <c r="S1730" s="39" t="n">
        <f aca="false">SUM(M1730:R1730)</f>
        <v>108.66922</v>
      </c>
      <c r="T1730" s="39" t="n">
        <f aca="false">S1730/(1-Resumo!$C$5)</f>
        <v>123.48775</v>
      </c>
      <c r="U1730" s="39" t="n">
        <v>143.04</v>
      </c>
      <c r="V1730" s="39" t="n">
        <f aca="false">J1730*Resumo!$B$6</f>
        <v>0.676</v>
      </c>
      <c r="W1730" s="39" t="n">
        <f aca="false">J1730*Resumo!$B$7</f>
        <v>1.352</v>
      </c>
      <c r="X1730" s="39" t="n">
        <f aca="false">Resumo!$B$9</f>
        <v>1</v>
      </c>
      <c r="Y1730" s="39" t="n">
        <f aca="false">Resumo!$B$10*CEILING(I1730/100,1)</f>
        <v>4.5</v>
      </c>
      <c r="Z1730" s="39" t="n">
        <f aca="false">Resumo!$B$12*CEILING(I1730,1)</f>
        <v>2.34</v>
      </c>
      <c r="AA1730" s="39" t="n">
        <f aca="false">Resumo!$B$13*CEILING(I1730,1)</f>
        <v>17.55</v>
      </c>
      <c r="AB1730" s="39" t="n">
        <f aca="false">SUM(U1730:AA1730)</f>
        <v>170.458</v>
      </c>
      <c r="AC1730" s="39" t="n">
        <f aca="false">AB1730/(1-Resumo!$B$5)</f>
        <v>193.702272727273</v>
      </c>
      <c r="AD1730" s="39" t="n">
        <f aca="false">(AB1730-AA1730)/(1-Resumo!$B$5)</f>
        <v>173.759090909091</v>
      </c>
      <c r="AE1730" s="39" t="n">
        <f aca="false">AC1730-T1730</f>
        <v>70.2145227272727</v>
      </c>
      <c r="AF1730" s="40" t="n">
        <f aca="false">AC1730/T1730-1</f>
        <v>0.568595044668582</v>
      </c>
      <c r="AG1730" s="37" t="str">
        <f aca="false">IF(AC1730&lt;T1730,"SIM","NÃO")</f>
        <v>NÃO</v>
      </c>
      <c r="AH1730" s="37" t="n">
        <v>13</v>
      </c>
      <c r="AI1730" s="37" t="n">
        <v>11</v>
      </c>
      <c r="AJ1730" s="37" t="s">
        <v>323</v>
      </c>
    </row>
    <row r="1731" customFormat="false" ht="15" hidden="false" customHeight="false" outlineLevel="0" collapsed="false">
      <c r="A1731" s="37" t="n">
        <v>392939505</v>
      </c>
      <c r="B1731" s="38" t="n">
        <v>46276.5726967593</v>
      </c>
      <c r="C1731" s="37" t="s">
        <v>320</v>
      </c>
      <c r="D1731" s="37" t="s">
        <v>1266</v>
      </c>
      <c r="E1731" s="37" t="n">
        <v>23098393</v>
      </c>
      <c r="F1731" s="37" t="s">
        <v>139</v>
      </c>
      <c r="G1731" s="37" t="s">
        <v>198</v>
      </c>
      <c r="H1731" s="37" t="s">
        <v>171</v>
      </c>
      <c r="I1731" s="37" t="n">
        <v>51.06</v>
      </c>
      <c r="J1731" s="39" t="n">
        <v>749.99</v>
      </c>
      <c r="K1731" s="37" t="s">
        <v>322</v>
      </c>
      <c r="L1731" s="39" t="n">
        <v>114.74</v>
      </c>
      <c r="M1731" s="39" t="n">
        <v>79.81</v>
      </c>
      <c r="N1731" s="39" t="n">
        <f aca="false">J1731*Resumo!$C$7</f>
        <v>1.49998</v>
      </c>
      <c r="O1731" s="39" t="n">
        <f aca="false">J1731*Resumo!$C$8</f>
        <v>1.49998</v>
      </c>
      <c r="P1731" s="39" t="n">
        <f aca="false">Resumo!$C$10*CEILING(I1731/100,1)</f>
        <v>1</v>
      </c>
      <c r="Q1731" s="39" t="n">
        <f aca="false">Resumo!$C$9</f>
        <v>11.9</v>
      </c>
      <c r="R1731" s="39" t="n">
        <f aca="false">SUM(M1731:Q1731)*Resumo!$C$11</f>
        <v>5.2640478</v>
      </c>
      <c r="S1731" s="39" t="n">
        <f aca="false">SUM(M1731:R1731)</f>
        <v>100.9740078</v>
      </c>
      <c r="T1731" s="39" t="n">
        <f aca="false">S1731/(1-Resumo!$C$5)</f>
        <v>114.743190681818</v>
      </c>
      <c r="U1731" s="39" t="n">
        <v>112.3</v>
      </c>
      <c r="V1731" s="39" t="n">
        <f aca="false">J1731*Resumo!$B$6</f>
        <v>0.74999</v>
      </c>
      <c r="W1731" s="39" t="n">
        <f aca="false">J1731*Resumo!$B$7</f>
        <v>1.49998</v>
      </c>
      <c r="X1731" s="39" t="n">
        <f aca="false">Resumo!$B$9</f>
        <v>1</v>
      </c>
      <c r="Y1731" s="39" t="n">
        <f aca="false">Resumo!$B$10*CEILING(I1731/100,1)</f>
        <v>4.5</v>
      </c>
      <c r="Z1731" s="39" t="n">
        <f aca="false">Resumo!$B$12*CEILING(I1731,1)</f>
        <v>3.12</v>
      </c>
      <c r="AA1731" s="39" t="n">
        <f aca="false">Resumo!$B$13*CEILING(I1731,1)</f>
        <v>23.4</v>
      </c>
      <c r="AB1731" s="39" t="n">
        <f aca="false">SUM(U1731:AA1731)</f>
        <v>146.56997</v>
      </c>
      <c r="AC1731" s="39" t="n">
        <f aca="false">AB1731/(1-Resumo!$B$5)</f>
        <v>166.556784090909</v>
      </c>
      <c r="AD1731" s="39" t="n">
        <f aca="false">(AB1731-AA1731)/(1-Resumo!$B$5)</f>
        <v>139.965875</v>
      </c>
      <c r="AE1731" s="39" t="n">
        <f aca="false">AC1731-T1731</f>
        <v>51.8135934090909</v>
      </c>
      <c r="AF1731" s="40" t="n">
        <f aca="false">AC1731/T1731-1</f>
        <v>0.451561378947266</v>
      </c>
      <c r="AG1731" s="37" t="str">
        <f aca="false">IF(AC1731&lt;T1731,"SIM","NÃO")</f>
        <v>NÃO</v>
      </c>
      <c r="AH1731" s="37" t="n">
        <v>8</v>
      </c>
      <c r="AI1731" s="37" t="n">
        <v>5</v>
      </c>
      <c r="AJ1731" s="37" t="s">
        <v>323</v>
      </c>
    </row>
    <row r="1732" customFormat="false" ht="15" hidden="false" customHeight="false" outlineLevel="0" collapsed="false">
      <c r="A1732" s="37" t="n">
        <v>392939764</v>
      </c>
      <c r="B1732" s="38" t="n">
        <v>46276.5732407407</v>
      </c>
      <c r="C1732" s="37" t="s">
        <v>325</v>
      </c>
      <c r="D1732" s="37" t="s">
        <v>1898</v>
      </c>
      <c r="E1732" s="37" t="n">
        <v>24241001</v>
      </c>
      <c r="F1732" s="37" t="s">
        <v>143</v>
      </c>
      <c r="G1732" s="37" t="s">
        <v>207</v>
      </c>
      <c r="H1732" s="37" t="s">
        <v>168</v>
      </c>
      <c r="I1732" s="37" t="n">
        <v>27.4</v>
      </c>
      <c r="J1732" s="39" t="n">
        <v>320</v>
      </c>
      <c r="K1732" s="37" t="s">
        <v>322</v>
      </c>
      <c r="L1732" s="39" t="n">
        <v>100.92</v>
      </c>
      <c r="M1732" s="39" t="n">
        <v>70</v>
      </c>
      <c r="N1732" s="39" t="n">
        <f aca="false">J1732*Resumo!$C$7</f>
        <v>0.64</v>
      </c>
      <c r="O1732" s="39" t="n">
        <f aca="false">J1732*Resumo!$C$8</f>
        <v>0.64</v>
      </c>
      <c r="P1732" s="39" t="n">
        <f aca="false">Resumo!$C$10*CEILING(I1732/100,1)</f>
        <v>1</v>
      </c>
      <c r="Q1732" s="39" t="n">
        <f aca="false">Resumo!$C$9</f>
        <v>11.9</v>
      </c>
      <c r="R1732" s="39" t="n">
        <f aca="false">SUM(M1732:Q1732)*Resumo!$C$11</f>
        <v>4.6299</v>
      </c>
      <c r="S1732" s="39" t="n">
        <f aca="false">SUM(M1732:R1732)</f>
        <v>88.8099</v>
      </c>
      <c r="T1732" s="39" t="n">
        <f aca="false">S1732/(1-Resumo!$C$5)</f>
        <v>100.920340909091</v>
      </c>
      <c r="U1732" s="39" t="n">
        <v>100.58</v>
      </c>
      <c r="V1732" s="39" t="n">
        <f aca="false">J1732*Resumo!$B$6</f>
        <v>0.32</v>
      </c>
      <c r="W1732" s="39" t="n">
        <f aca="false">J1732*Resumo!$B$7</f>
        <v>0.64</v>
      </c>
      <c r="X1732" s="39" t="n">
        <f aca="false">Resumo!$B$9</f>
        <v>1</v>
      </c>
      <c r="Y1732" s="39" t="n">
        <f aca="false">Resumo!$B$10*CEILING(I1732/100,1)</f>
        <v>4.5</v>
      </c>
      <c r="Z1732" s="39" t="n">
        <f aca="false">Resumo!$B$12*CEILING(I1732,1)</f>
        <v>1.68</v>
      </c>
      <c r="AA1732" s="39" t="n">
        <f aca="false">Resumo!$B$13*CEILING(I1732,1)</f>
        <v>12.6</v>
      </c>
      <c r="AB1732" s="39" t="n">
        <f aca="false">SUM(U1732:AA1732)</f>
        <v>121.32</v>
      </c>
      <c r="AC1732" s="39" t="n">
        <f aca="false">AB1732/(1-Resumo!$B$5)</f>
        <v>137.863636363636</v>
      </c>
      <c r="AD1732" s="39" t="n">
        <f aca="false">(AB1732-AA1732)/(1-Resumo!$B$5)</f>
        <v>123.545454545455</v>
      </c>
      <c r="AE1732" s="39" t="n">
        <f aca="false">AC1732-T1732</f>
        <v>36.9432954545454</v>
      </c>
      <c r="AF1732" s="40" t="n">
        <f aca="false">AC1732/T1732-1</f>
        <v>0.366063918549621</v>
      </c>
      <c r="AG1732" s="37" t="str">
        <f aca="false">IF(AC1732&lt;T1732,"SIM","NÃO")</f>
        <v>NÃO</v>
      </c>
      <c r="AH1732" s="37" t="n">
        <v>10</v>
      </c>
      <c r="AI1732" s="37" t="n">
        <v>7</v>
      </c>
      <c r="AJ1732" s="37" t="s">
        <v>323</v>
      </c>
    </row>
    <row r="1733" customFormat="false" ht="15" hidden="false" customHeight="false" outlineLevel="0" collapsed="false">
      <c r="A1733" s="37" t="n">
        <v>392943968</v>
      </c>
      <c r="B1733" s="38" t="n">
        <v>46276.5846296296</v>
      </c>
      <c r="C1733" s="37" t="s">
        <v>341</v>
      </c>
      <c r="D1733" s="37" t="s">
        <v>1899</v>
      </c>
      <c r="E1733" s="37" t="n">
        <v>28897364</v>
      </c>
      <c r="F1733" s="37" t="s">
        <v>158</v>
      </c>
      <c r="G1733" s="37" t="s">
        <v>201</v>
      </c>
      <c r="H1733" s="37" t="s">
        <v>168</v>
      </c>
      <c r="I1733" s="37" t="n">
        <v>33</v>
      </c>
      <c r="J1733" s="39" t="n">
        <v>439.99</v>
      </c>
      <c r="K1733" s="37" t="s">
        <v>322</v>
      </c>
      <c r="L1733" s="39" t="n">
        <v>109.28</v>
      </c>
      <c r="M1733" s="39" t="n">
        <v>76.5</v>
      </c>
      <c r="N1733" s="39" t="n">
        <f aca="false">J1733*Resumo!$C$7</f>
        <v>0.87998</v>
      </c>
      <c r="O1733" s="39" t="n">
        <f aca="false">J1733*Resumo!$C$8</f>
        <v>0.87998</v>
      </c>
      <c r="P1733" s="39" t="n">
        <f aca="false">Resumo!$C$10*CEILING(I1733/100,1)</f>
        <v>1</v>
      </c>
      <c r="Q1733" s="39" t="n">
        <f aca="false">Resumo!$C$9</f>
        <v>11.9</v>
      </c>
      <c r="R1733" s="39" t="n">
        <f aca="false">SUM(M1733:Q1733)*Resumo!$C$11</f>
        <v>5.0137978</v>
      </c>
      <c r="S1733" s="39" t="n">
        <f aca="false">SUM(M1733:R1733)</f>
        <v>96.1737578</v>
      </c>
      <c r="T1733" s="39" t="n">
        <f aca="false">S1733/(1-Resumo!$C$5)</f>
        <v>109.288361136364</v>
      </c>
      <c r="U1733" s="39" t="n">
        <v>114.95</v>
      </c>
      <c r="V1733" s="39" t="n">
        <f aca="false">J1733*Resumo!$B$6</f>
        <v>0.43999</v>
      </c>
      <c r="W1733" s="39" t="n">
        <f aca="false">J1733*Resumo!$B$7</f>
        <v>0.87998</v>
      </c>
      <c r="X1733" s="39" t="n">
        <f aca="false">Resumo!$B$9</f>
        <v>1</v>
      </c>
      <c r="Y1733" s="39" t="n">
        <f aca="false">Resumo!$B$10*CEILING(I1733/100,1)</f>
        <v>4.5</v>
      </c>
      <c r="Z1733" s="39" t="n">
        <f aca="false">Resumo!$B$12*CEILING(I1733,1)</f>
        <v>1.98</v>
      </c>
      <c r="AA1733" s="39" t="n">
        <f aca="false">Resumo!$B$13*CEILING(I1733,1)</f>
        <v>14.85</v>
      </c>
      <c r="AB1733" s="39" t="n">
        <f aca="false">SUM(U1733:AA1733)</f>
        <v>138.59997</v>
      </c>
      <c r="AC1733" s="39" t="n">
        <f aca="false">AB1733/(1-Resumo!$B$5)</f>
        <v>157.499965909091</v>
      </c>
      <c r="AD1733" s="39" t="n">
        <f aca="false">(AB1733-AA1733)/(1-Resumo!$B$5)</f>
        <v>140.624965909091</v>
      </c>
      <c r="AE1733" s="39" t="n">
        <f aca="false">AC1733-T1733</f>
        <v>48.2116047727273</v>
      </c>
      <c r="AF1733" s="40" t="n">
        <f aca="false">AC1733/T1733-1</f>
        <v>0.441141254854866</v>
      </c>
      <c r="AG1733" s="37" t="str">
        <f aca="false">IF(AC1733&lt;T1733,"SIM","NÃO")</f>
        <v>NÃO</v>
      </c>
      <c r="AH1733" s="37" t="n">
        <v>13</v>
      </c>
      <c r="AI1733" s="37" t="n">
        <v>10</v>
      </c>
      <c r="AJ1733" s="37" t="s">
        <v>323</v>
      </c>
    </row>
    <row r="1734" customFormat="false" ht="15" hidden="false" customHeight="false" outlineLevel="0" collapsed="false">
      <c r="A1734" s="37" t="n">
        <v>392949142</v>
      </c>
      <c r="B1734" s="38" t="n">
        <v>46276.5866550926</v>
      </c>
      <c r="C1734" s="37" t="s">
        <v>320</v>
      </c>
      <c r="D1734" s="37" t="s">
        <v>1900</v>
      </c>
      <c r="E1734" s="37" t="n">
        <v>20972450</v>
      </c>
      <c r="F1734" s="37" t="s">
        <v>139</v>
      </c>
      <c r="G1734" s="37" t="s">
        <v>198</v>
      </c>
      <c r="H1734" s="37" t="s">
        <v>168</v>
      </c>
      <c r="I1734" s="37" t="n">
        <v>34.8</v>
      </c>
      <c r="J1734" s="39" t="n">
        <v>469.99</v>
      </c>
      <c r="K1734" s="37" t="s">
        <v>322</v>
      </c>
      <c r="L1734" s="39" t="n">
        <v>82.58</v>
      </c>
      <c r="M1734" s="39" t="n">
        <v>54.1</v>
      </c>
      <c r="N1734" s="39" t="n">
        <f aca="false">J1734*Resumo!$C$7</f>
        <v>0.93998</v>
      </c>
      <c r="O1734" s="39" t="n">
        <f aca="false">J1734*Resumo!$C$8</f>
        <v>0.93998</v>
      </c>
      <c r="P1734" s="39" t="n">
        <f aca="false">Resumo!$C$10*CEILING(I1734/100,1)</f>
        <v>1</v>
      </c>
      <c r="Q1734" s="39" t="n">
        <f aca="false">Resumo!$C$9</f>
        <v>11.9</v>
      </c>
      <c r="R1734" s="39" t="n">
        <f aca="false">SUM(M1734:Q1734)*Resumo!$C$11</f>
        <v>3.7883978</v>
      </c>
      <c r="S1734" s="39" t="n">
        <f aca="false">SUM(M1734:R1734)</f>
        <v>72.6683578</v>
      </c>
      <c r="T1734" s="39" t="n">
        <f aca="false">S1734/(1-Resumo!$C$5)</f>
        <v>82.5776793181818</v>
      </c>
      <c r="U1734" s="39" t="n">
        <v>82.21</v>
      </c>
      <c r="V1734" s="39" t="n">
        <f aca="false">J1734*Resumo!$B$6</f>
        <v>0.46999</v>
      </c>
      <c r="W1734" s="39" t="n">
        <f aca="false">J1734*Resumo!$B$7</f>
        <v>0.93998</v>
      </c>
      <c r="X1734" s="39" t="n">
        <f aca="false">Resumo!$B$9</f>
        <v>1</v>
      </c>
      <c r="Y1734" s="39" t="n">
        <f aca="false">Resumo!$B$10*CEILING(I1734/100,1)</f>
        <v>4.5</v>
      </c>
      <c r="Z1734" s="39" t="n">
        <f aca="false">Resumo!$B$12*CEILING(I1734,1)</f>
        <v>2.1</v>
      </c>
      <c r="AA1734" s="39" t="n">
        <f aca="false">Resumo!$B$13*CEILING(I1734,1)</f>
        <v>15.75</v>
      </c>
      <c r="AB1734" s="39" t="n">
        <f aca="false">SUM(U1734:AA1734)</f>
        <v>106.96997</v>
      </c>
      <c r="AC1734" s="39" t="n">
        <f aca="false">AB1734/(1-Resumo!$B$5)</f>
        <v>121.556784090909</v>
      </c>
      <c r="AD1734" s="39" t="n">
        <f aca="false">(AB1734-AA1734)/(1-Resumo!$B$5)</f>
        <v>103.659056818182</v>
      </c>
      <c r="AE1734" s="39" t="n">
        <f aca="false">AC1734-T1734</f>
        <v>38.9791047727273</v>
      </c>
      <c r="AF1734" s="40" t="n">
        <f aca="false">AC1734/T1734-1</f>
        <v>0.472029549565519</v>
      </c>
      <c r="AG1734" s="37" t="str">
        <f aca="false">IF(AC1734&lt;T1734,"SIM","NÃO")</f>
        <v>NÃO</v>
      </c>
      <c r="AH1734" s="37" t="n">
        <v>8</v>
      </c>
      <c r="AI1734" s="37" t="n">
        <v>5</v>
      </c>
      <c r="AJ1734" s="37" t="s">
        <v>323</v>
      </c>
    </row>
    <row r="1735" customFormat="false" ht="15" hidden="false" customHeight="false" outlineLevel="0" collapsed="false">
      <c r="A1735" s="37" t="n">
        <v>392978867</v>
      </c>
      <c r="B1735" s="38" t="n">
        <v>46276.6275115741</v>
      </c>
      <c r="C1735" s="37" t="s">
        <v>325</v>
      </c>
      <c r="D1735" s="37" t="s">
        <v>1901</v>
      </c>
      <c r="E1735" s="37" t="n">
        <v>24360005</v>
      </c>
      <c r="F1735" s="37" t="s">
        <v>143</v>
      </c>
      <c r="G1735" s="37" t="s">
        <v>207</v>
      </c>
      <c r="H1735" s="37" t="s">
        <v>171</v>
      </c>
      <c r="I1735" s="37" t="n">
        <v>52.3</v>
      </c>
      <c r="J1735" s="39" t="n">
        <v>620</v>
      </c>
      <c r="K1735" s="37" t="s">
        <v>322</v>
      </c>
      <c r="L1735" s="39" t="n">
        <v>128.25</v>
      </c>
      <c r="M1735" s="39" t="n">
        <v>91.6</v>
      </c>
      <c r="N1735" s="39" t="n">
        <f aca="false">J1735*Resumo!$C$7</f>
        <v>1.24</v>
      </c>
      <c r="O1735" s="39" t="n">
        <f aca="false">J1735*Resumo!$C$8</f>
        <v>1.24</v>
      </c>
      <c r="P1735" s="39" t="n">
        <f aca="false">Resumo!$C$10*CEILING(I1735/100,1)</f>
        <v>1</v>
      </c>
      <c r="Q1735" s="39" t="n">
        <f aca="false">Resumo!$C$9</f>
        <v>11.9</v>
      </c>
      <c r="R1735" s="39" t="n">
        <f aca="false">SUM(M1735:Q1735)*Resumo!$C$11</f>
        <v>5.8839</v>
      </c>
      <c r="S1735" s="39" t="n">
        <f aca="false">SUM(M1735:R1735)</f>
        <v>112.8639</v>
      </c>
      <c r="T1735" s="39" t="n">
        <f aca="false">S1735/(1-Resumo!$C$5)</f>
        <v>128.254431818182</v>
      </c>
      <c r="U1735" s="39" t="n">
        <v>128.14</v>
      </c>
      <c r="V1735" s="39" t="n">
        <f aca="false">J1735*Resumo!$B$6</f>
        <v>0.62</v>
      </c>
      <c r="W1735" s="39" t="n">
        <f aca="false">J1735*Resumo!$B$7</f>
        <v>1.24</v>
      </c>
      <c r="X1735" s="39" t="n">
        <f aca="false">Resumo!$B$9</f>
        <v>1</v>
      </c>
      <c r="Y1735" s="39" t="n">
        <f aca="false">Resumo!$B$10*CEILING(I1735/100,1)</f>
        <v>4.5</v>
      </c>
      <c r="Z1735" s="39" t="n">
        <f aca="false">Resumo!$B$12*CEILING(I1735,1)</f>
        <v>3.18</v>
      </c>
      <c r="AA1735" s="39" t="n">
        <f aca="false">Resumo!$B$13*CEILING(I1735,1)</f>
        <v>23.85</v>
      </c>
      <c r="AB1735" s="39" t="n">
        <f aca="false">SUM(U1735:AA1735)</f>
        <v>162.53</v>
      </c>
      <c r="AC1735" s="39" t="n">
        <f aca="false">AB1735/(1-Resumo!$B$5)</f>
        <v>184.693181818182</v>
      </c>
      <c r="AD1735" s="39" t="n">
        <f aca="false">(AB1735-AA1735)/(1-Resumo!$B$5)</f>
        <v>157.590909090909</v>
      </c>
      <c r="AE1735" s="39" t="n">
        <f aca="false">AC1735-T1735</f>
        <v>56.43875</v>
      </c>
      <c r="AF1735" s="40" t="n">
        <f aca="false">AC1735/T1735-1</f>
        <v>0.440053019610345</v>
      </c>
      <c r="AG1735" s="37" t="str">
        <f aca="false">IF(AC1735&lt;T1735,"SIM","NÃO")</f>
        <v>NÃO</v>
      </c>
      <c r="AH1735" s="37" t="n">
        <v>10</v>
      </c>
      <c r="AI1735" s="37" t="n">
        <v>7</v>
      </c>
      <c r="AJ1735" s="37" t="s">
        <v>323</v>
      </c>
    </row>
    <row r="1736" customFormat="false" ht="15" hidden="false" customHeight="false" outlineLevel="0" collapsed="false">
      <c r="A1736" s="37" t="n">
        <v>393047552</v>
      </c>
      <c r="B1736" s="38" t="n">
        <v>46276.7347337963</v>
      </c>
      <c r="C1736" s="37" t="s">
        <v>320</v>
      </c>
      <c r="D1736" s="37" t="s">
        <v>1902</v>
      </c>
      <c r="E1736" s="37" t="n">
        <v>23062220</v>
      </c>
      <c r="F1736" s="37" t="s">
        <v>139</v>
      </c>
      <c r="G1736" s="37" t="s">
        <v>198</v>
      </c>
      <c r="H1736" s="37" t="s">
        <v>171</v>
      </c>
      <c r="I1736" s="37" t="n">
        <v>59.9</v>
      </c>
      <c r="J1736" s="39" t="n">
        <v>883.45</v>
      </c>
      <c r="K1736" s="37" t="s">
        <v>322</v>
      </c>
      <c r="L1736" s="39" t="n">
        <v>115.39</v>
      </c>
      <c r="M1736" s="39" t="n">
        <v>79.81</v>
      </c>
      <c r="N1736" s="39" t="n">
        <f aca="false">J1736*Resumo!$C$7</f>
        <v>1.7669</v>
      </c>
      <c r="O1736" s="39" t="n">
        <f aca="false">J1736*Resumo!$C$8</f>
        <v>1.7669</v>
      </c>
      <c r="P1736" s="39" t="n">
        <f aca="false">Resumo!$C$10*CEILING(I1736/100,1)</f>
        <v>1</v>
      </c>
      <c r="Q1736" s="39" t="n">
        <f aca="false">Resumo!$C$9</f>
        <v>11.9</v>
      </c>
      <c r="R1736" s="39" t="n">
        <f aca="false">SUM(M1736:Q1736)*Resumo!$C$11</f>
        <v>5.293409</v>
      </c>
      <c r="S1736" s="39" t="n">
        <f aca="false">SUM(M1736:R1736)</f>
        <v>101.537209</v>
      </c>
      <c r="T1736" s="39" t="n">
        <f aca="false">S1736/(1-Resumo!$C$5)</f>
        <v>115.383192045455</v>
      </c>
      <c r="U1736" s="39" t="n">
        <v>112.3</v>
      </c>
      <c r="V1736" s="39" t="n">
        <f aca="false">J1736*Resumo!$B$6</f>
        <v>0.88345</v>
      </c>
      <c r="W1736" s="39" t="n">
        <f aca="false">J1736*Resumo!$B$7</f>
        <v>1.7669</v>
      </c>
      <c r="X1736" s="39" t="n">
        <f aca="false">Resumo!$B$9</f>
        <v>1</v>
      </c>
      <c r="Y1736" s="39" t="n">
        <f aca="false">Resumo!$B$10*CEILING(I1736/100,1)</f>
        <v>4.5</v>
      </c>
      <c r="Z1736" s="39" t="n">
        <f aca="false">Resumo!$B$12*CEILING(I1736,1)</f>
        <v>3.6</v>
      </c>
      <c r="AA1736" s="39" t="n">
        <f aca="false">Resumo!$B$13*CEILING(I1736,1)</f>
        <v>27</v>
      </c>
      <c r="AB1736" s="39" t="n">
        <f aca="false">SUM(U1736:AA1736)</f>
        <v>151.05035</v>
      </c>
      <c r="AC1736" s="39" t="n">
        <f aca="false">AB1736/(1-Resumo!$B$5)</f>
        <v>171.648125</v>
      </c>
      <c r="AD1736" s="39" t="n">
        <f aca="false">(AB1736-AA1736)/(1-Resumo!$B$5)</f>
        <v>140.966306818182</v>
      </c>
      <c r="AE1736" s="39" t="n">
        <f aca="false">AC1736-T1736</f>
        <v>56.2649329545454</v>
      </c>
      <c r="AF1736" s="40" t="n">
        <f aca="false">AC1736/T1736-1</f>
        <v>0.487635434218011</v>
      </c>
      <c r="AG1736" s="37" t="str">
        <f aca="false">IF(AC1736&lt;T1736,"SIM","NÃO")</f>
        <v>NÃO</v>
      </c>
      <c r="AH1736" s="37" t="n">
        <v>8</v>
      </c>
      <c r="AI1736" s="37" t="n">
        <v>5</v>
      </c>
      <c r="AJ1736" s="37" t="s">
        <v>323</v>
      </c>
    </row>
    <row r="1737" customFormat="false" ht="15" hidden="false" customHeight="false" outlineLevel="0" collapsed="false">
      <c r="A1737" s="37" t="n">
        <v>393070343</v>
      </c>
      <c r="B1737" s="38" t="n">
        <v>46276.7762962963</v>
      </c>
      <c r="C1737" s="37" t="s">
        <v>341</v>
      </c>
      <c r="D1737" s="37" t="s">
        <v>1903</v>
      </c>
      <c r="E1737" s="37" t="n">
        <v>21941480</v>
      </c>
      <c r="F1737" s="37" t="s">
        <v>139</v>
      </c>
      <c r="G1737" s="37" t="s">
        <v>198</v>
      </c>
      <c r="H1737" s="37" t="s">
        <v>169</v>
      </c>
      <c r="I1737" s="37" t="n">
        <v>36.8</v>
      </c>
      <c r="J1737" s="39" t="n">
        <v>549.99</v>
      </c>
      <c r="K1737" s="37" t="s">
        <v>322</v>
      </c>
      <c r="L1737" s="39" t="n">
        <v>92.49</v>
      </c>
      <c r="M1737" s="39" t="n">
        <v>62.05</v>
      </c>
      <c r="N1737" s="39" t="n">
        <f aca="false">J1737*Resumo!$C$7</f>
        <v>1.09998</v>
      </c>
      <c r="O1737" s="39" t="n">
        <f aca="false">J1737*Resumo!$C$8</f>
        <v>1.09998</v>
      </c>
      <c r="P1737" s="39" t="n">
        <f aca="false">Resumo!$C$10*CEILING(I1737/100,1)</f>
        <v>1</v>
      </c>
      <c r="Q1737" s="39" t="n">
        <f aca="false">Resumo!$C$9</f>
        <v>11.9</v>
      </c>
      <c r="R1737" s="39" t="n">
        <f aca="false">SUM(M1737:Q1737)*Resumo!$C$11</f>
        <v>4.2432478</v>
      </c>
      <c r="S1737" s="39" t="n">
        <f aca="false">SUM(M1737:R1737)</f>
        <v>81.3932078</v>
      </c>
      <c r="T1737" s="39" t="n">
        <f aca="false">S1737/(1-Resumo!$C$5)</f>
        <v>92.4922815909091</v>
      </c>
      <c r="U1737" s="39" t="n">
        <v>93.97</v>
      </c>
      <c r="V1737" s="39" t="n">
        <f aca="false">J1737*Resumo!$B$6</f>
        <v>0.54999</v>
      </c>
      <c r="W1737" s="39" t="n">
        <f aca="false">J1737*Resumo!$B$7</f>
        <v>1.09998</v>
      </c>
      <c r="X1737" s="39" t="n">
        <f aca="false">Resumo!$B$9</f>
        <v>1</v>
      </c>
      <c r="Y1737" s="39" t="n">
        <f aca="false">Resumo!$B$10*CEILING(I1737/100,1)</f>
        <v>4.5</v>
      </c>
      <c r="Z1737" s="39" t="n">
        <f aca="false">Resumo!$B$12*CEILING(I1737,1)</f>
        <v>2.22</v>
      </c>
      <c r="AA1737" s="39" t="n">
        <f aca="false">Resumo!$B$13*CEILING(I1737,1)</f>
        <v>16.65</v>
      </c>
      <c r="AB1737" s="39" t="n">
        <f aca="false">SUM(U1737:AA1737)</f>
        <v>119.98997</v>
      </c>
      <c r="AC1737" s="39" t="n">
        <f aca="false">AB1737/(1-Resumo!$B$5)</f>
        <v>136.352238636364</v>
      </c>
      <c r="AD1737" s="39" t="n">
        <f aca="false">(AB1737-AA1737)/(1-Resumo!$B$5)</f>
        <v>117.431784090909</v>
      </c>
      <c r="AE1737" s="39" t="n">
        <f aca="false">AC1737-T1737</f>
        <v>43.8599570454546</v>
      </c>
      <c r="AF1737" s="40" t="n">
        <f aca="false">AC1737/T1737-1</f>
        <v>0.474201266214255</v>
      </c>
      <c r="AG1737" s="37" t="str">
        <f aca="false">IF(AC1737&lt;T1737,"SIM","NÃO")</f>
        <v>NÃO</v>
      </c>
      <c r="AH1737" s="37" t="n">
        <v>8</v>
      </c>
      <c r="AI1737" s="37" t="n">
        <v>5</v>
      </c>
      <c r="AJ1737" s="37" t="s">
        <v>323</v>
      </c>
    </row>
    <row r="1738" customFormat="false" ht="15" hidden="false" customHeight="false" outlineLevel="0" collapsed="false">
      <c r="A1738" s="37" t="n">
        <v>393082746</v>
      </c>
      <c r="B1738" s="38" t="n">
        <v>46276.7889583333</v>
      </c>
      <c r="C1738" s="37" t="s">
        <v>320</v>
      </c>
      <c r="D1738" s="37" t="s">
        <v>1904</v>
      </c>
      <c r="E1738" s="37" t="n">
        <v>21610520</v>
      </c>
      <c r="F1738" s="37" t="s">
        <v>139</v>
      </c>
      <c r="G1738" s="37" t="s">
        <v>198</v>
      </c>
      <c r="H1738" s="37" t="s">
        <v>172</v>
      </c>
      <c r="I1738" s="37" t="n">
        <v>63.9</v>
      </c>
      <c r="J1738" s="39" t="n">
        <v>716.35</v>
      </c>
      <c r="K1738" s="37" t="s">
        <v>322</v>
      </c>
      <c r="L1738" s="39" t="n">
        <v>124.64</v>
      </c>
      <c r="M1738" s="39" t="n">
        <v>88.2</v>
      </c>
      <c r="N1738" s="39" t="n">
        <f aca="false">J1738*Resumo!$C$7</f>
        <v>1.4327</v>
      </c>
      <c r="O1738" s="39" t="n">
        <f aca="false">J1738*Resumo!$C$8</f>
        <v>1.4327</v>
      </c>
      <c r="P1738" s="39" t="n">
        <f aca="false">Resumo!$C$10*CEILING(I1738/100,1)</f>
        <v>1</v>
      </c>
      <c r="Q1738" s="39" t="n">
        <f aca="false">Resumo!$C$9</f>
        <v>11.9</v>
      </c>
      <c r="R1738" s="39" t="n">
        <f aca="false">SUM(M1738:Q1738)*Resumo!$C$11</f>
        <v>5.718097</v>
      </c>
      <c r="S1738" s="39" t="n">
        <f aca="false">SUM(M1738:R1738)</f>
        <v>109.683497</v>
      </c>
      <c r="T1738" s="39" t="n">
        <f aca="false">S1738/(1-Resumo!$C$5)</f>
        <v>124.6403375</v>
      </c>
      <c r="U1738" s="39" t="n">
        <v>131.02</v>
      </c>
      <c r="V1738" s="39" t="n">
        <f aca="false">J1738*Resumo!$B$6</f>
        <v>0.71635</v>
      </c>
      <c r="W1738" s="39" t="n">
        <f aca="false">J1738*Resumo!$B$7</f>
        <v>1.4327</v>
      </c>
      <c r="X1738" s="39" t="n">
        <f aca="false">Resumo!$B$9</f>
        <v>1</v>
      </c>
      <c r="Y1738" s="39" t="n">
        <f aca="false">Resumo!$B$10*CEILING(I1738/100,1)</f>
        <v>4.5</v>
      </c>
      <c r="Z1738" s="39" t="n">
        <f aca="false">Resumo!$B$12*CEILING(I1738,1)</f>
        <v>3.84</v>
      </c>
      <c r="AA1738" s="39" t="n">
        <f aca="false">Resumo!$B$13*CEILING(I1738,1)</f>
        <v>28.8</v>
      </c>
      <c r="AB1738" s="39" t="n">
        <f aca="false">SUM(U1738:AA1738)</f>
        <v>171.30905</v>
      </c>
      <c r="AC1738" s="39" t="n">
        <f aca="false">AB1738/(1-Resumo!$B$5)</f>
        <v>194.669375</v>
      </c>
      <c r="AD1738" s="39" t="n">
        <f aca="false">(AB1738-AA1738)/(1-Resumo!$B$5)</f>
        <v>161.942102272727</v>
      </c>
      <c r="AE1738" s="39" t="n">
        <f aca="false">AC1738-T1738</f>
        <v>70.0290375</v>
      </c>
      <c r="AF1738" s="40" t="n">
        <f aca="false">AC1738/T1738-1</f>
        <v>0.561848907862593</v>
      </c>
      <c r="AG1738" s="37" t="str">
        <f aca="false">IF(AC1738&lt;T1738,"SIM","NÃO")</f>
        <v>NÃO</v>
      </c>
      <c r="AH1738" s="37" t="n">
        <v>8</v>
      </c>
      <c r="AI1738" s="37" t="n">
        <v>5</v>
      </c>
      <c r="AJ1738" s="37" t="s">
        <v>323</v>
      </c>
    </row>
    <row r="1739" customFormat="false" ht="15" hidden="false" customHeight="false" outlineLevel="0" collapsed="false">
      <c r="A1739" s="37" t="n">
        <v>393091015</v>
      </c>
      <c r="B1739" s="38" t="n">
        <v>46276.8066203704</v>
      </c>
      <c r="C1739" s="37" t="s">
        <v>341</v>
      </c>
      <c r="D1739" s="37" t="s">
        <v>1111</v>
      </c>
      <c r="E1739" s="37" t="n">
        <v>21725180</v>
      </c>
      <c r="F1739" s="37" t="s">
        <v>139</v>
      </c>
      <c r="G1739" s="37" t="s">
        <v>198</v>
      </c>
      <c r="H1739" s="37" t="s">
        <v>168</v>
      </c>
      <c r="I1739" s="37" t="n">
        <v>31.2</v>
      </c>
      <c r="J1739" s="39" t="n">
        <v>399.99</v>
      </c>
      <c r="K1739" s="37" t="s">
        <v>322</v>
      </c>
      <c r="L1739" s="39" t="n">
        <v>82.24</v>
      </c>
      <c r="M1739" s="39" t="n">
        <v>54.1</v>
      </c>
      <c r="N1739" s="39" t="n">
        <f aca="false">J1739*Resumo!$C$7</f>
        <v>0.79998</v>
      </c>
      <c r="O1739" s="39" t="n">
        <f aca="false">J1739*Resumo!$C$8</f>
        <v>0.79998</v>
      </c>
      <c r="P1739" s="39" t="n">
        <f aca="false">Resumo!$C$10*CEILING(I1739/100,1)</f>
        <v>1</v>
      </c>
      <c r="Q1739" s="39" t="n">
        <f aca="false">Resumo!$C$9</f>
        <v>11.9</v>
      </c>
      <c r="R1739" s="39" t="n">
        <f aca="false">SUM(M1739:Q1739)*Resumo!$C$11</f>
        <v>3.7729978</v>
      </c>
      <c r="S1739" s="39" t="n">
        <f aca="false">SUM(M1739:R1739)</f>
        <v>72.3729578</v>
      </c>
      <c r="T1739" s="39" t="n">
        <f aca="false">S1739/(1-Resumo!$C$5)</f>
        <v>82.2419975</v>
      </c>
      <c r="U1739" s="39" t="n">
        <v>82.21</v>
      </c>
      <c r="V1739" s="39" t="n">
        <f aca="false">J1739*Resumo!$B$6</f>
        <v>0.39999</v>
      </c>
      <c r="W1739" s="39" t="n">
        <f aca="false">J1739*Resumo!$B$7</f>
        <v>0.79998</v>
      </c>
      <c r="X1739" s="39" t="n">
        <f aca="false">Resumo!$B$9</f>
        <v>1</v>
      </c>
      <c r="Y1739" s="39" t="n">
        <f aca="false">Resumo!$B$10*CEILING(I1739/100,1)</f>
        <v>4.5</v>
      </c>
      <c r="Z1739" s="39" t="n">
        <f aca="false">Resumo!$B$12*CEILING(I1739,1)</f>
        <v>1.92</v>
      </c>
      <c r="AA1739" s="39" t="n">
        <f aca="false">Resumo!$B$13*CEILING(I1739,1)</f>
        <v>14.4</v>
      </c>
      <c r="AB1739" s="39" t="n">
        <f aca="false">SUM(U1739:AA1739)</f>
        <v>105.22997</v>
      </c>
      <c r="AC1739" s="39" t="n">
        <f aca="false">AB1739/(1-Resumo!$B$5)</f>
        <v>119.579511363636</v>
      </c>
      <c r="AD1739" s="39" t="n">
        <f aca="false">(AB1739-AA1739)/(1-Resumo!$B$5)</f>
        <v>103.215875</v>
      </c>
      <c r="AE1739" s="39" t="n">
        <f aca="false">AC1739-T1739</f>
        <v>37.3375138636364</v>
      </c>
      <c r="AF1739" s="40" t="n">
        <f aca="false">AC1739/T1739-1</f>
        <v>0.453995707772496</v>
      </c>
      <c r="AG1739" s="37" t="str">
        <f aca="false">IF(AC1739&lt;T1739,"SIM","NÃO")</f>
        <v>NÃO</v>
      </c>
      <c r="AH1739" s="37" t="n">
        <v>8</v>
      </c>
      <c r="AI1739" s="37" t="n">
        <v>5</v>
      </c>
      <c r="AJ1739" s="37" t="s">
        <v>323</v>
      </c>
    </row>
    <row r="1740" customFormat="false" ht="15" hidden="false" customHeight="false" outlineLevel="0" collapsed="false">
      <c r="A1740" s="37" t="n">
        <v>393100294</v>
      </c>
      <c r="B1740" s="38" t="n">
        <v>46276.8157291667</v>
      </c>
      <c r="C1740" s="37" t="s">
        <v>325</v>
      </c>
      <c r="D1740" s="37" t="s">
        <v>1905</v>
      </c>
      <c r="E1740" s="37" t="n">
        <v>21250392</v>
      </c>
      <c r="F1740" s="37" t="s">
        <v>139</v>
      </c>
      <c r="G1740" s="37" t="s">
        <v>198</v>
      </c>
      <c r="H1740" s="37" t="s">
        <v>168</v>
      </c>
      <c r="I1740" s="37" t="n">
        <v>31.9</v>
      </c>
      <c r="J1740" s="39" t="n">
        <v>483.99</v>
      </c>
      <c r="K1740" s="37" t="s">
        <v>322</v>
      </c>
      <c r="L1740" s="39" t="n">
        <v>82.65</v>
      </c>
      <c r="M1740" s="39" t="n">
        <v>54.1</v>
      </c>
      <c r="N1740" s="39" t="n">
        <f aca="false">J1740*Resumo!$C$7</f>
        <v>0.96798</v>
      </c>
      <c r="O1740" s="39" t="n">
        <f aca="false">J1740*Resumo!$C$8</f>
        <v>0.96798</v>
      </c>
      <c r="P1740" s="39" t="n">
        <f aca="false">Resumo!$C$10*CEILING(I1740/100,1)</f>
        <v>1</v>
      </c>
      <c r="Q1740" s="39" t="n">
        <f aca="false">Resumo!$C$9</f>
        <v>11.9</v>
      </c>
      <c r="R1740" s="39" t="n">
        <f aca="false">SUM(M1740:Q1740)*Resumo!$C$11</f>
        <v>3.7914778</v>
      </c>
      <c r="S1740" s="39" t="n">
        <f aca="false">SUM(M1740:R1740)</f>
        <v>72.7274378</v>
      </c>
      <c r="T1740" s="39" t="n">
        <f aca="false">S1740/(1-Resumo!$C$5)</f>
        <v>82.6448156818182</v>
      </c>
      <c r="U1740" s="39" t="n">
        <v>82.21</v>
      </c>
      <c r="V1740" s="39" t="n">
        <f aca="false">J1740*Resumo!$B$6</f>
        <v>0.48399</v>
      </c>
      <c r="W1740" s="39" t="n">
        <f aca="false">J1740*Resumo!$B$7</f>
        <v>0.96798</v>
      </c>
      <c r="X1740" s="39" t="n">
        <f aca="false">Resumo!$B$9</f>
        <v>1</v>
      </c>
      <c r="Y1740" s="39" t="n">
        <f aca="false">Resumo!$B$10*CEILING(I1740/100,1)</f>
        <v>4.5</v>
      </c>
      <c r="Z1740" s="39" t="n">
        <f aca="false">Resumo!$B$12*CEILING(I1740,1)</f>
        <v>1.92</v>
      </c>
      <c r="AA1740" s="39" t="n">
        <f aca="false">Resumo!$B$13*CEILING(I1740,1)</f>
        <v>14.4</v>
      </c>
      <c r="AB1740" s="39" t="n">
        <f aca="false">SUM(U1740:AA1740)</f>
        <v>105.48197</v>
      </c>
      <c r="AC1740" s="39" t="n">
        <f aca="false">AB1740/(1-Resumo!$B$5)</f>
        <v>119.865875</v>
      </c>
      <c r="AD1740" s="39" t="n">
        <f aca="false">(AB1740-AA1740)/(1-Resumo!$B$5)</f>
        <v>103.502238636364</v>
      </c>
      <c r="AE1740" s="39" t="n">
        <f aca="false">AC1740-T1740</f>
        <v>37.2210593181818</v>
      </c>
      <c r="AF1740" s="40" t="n">
        <f aca="false">AC1740/T1740-1</f>
        <v>0.450373795514078</v>
      </c>
      <c r="AG1740" s="37" t="str">
        <f aca="false">IF(AC1740&lt;T1740,"SIM","NÃO")</f>
        <v>NÃO</v>
      </c>
      <c r="AH1740" s="37" t="n">
        <v>8</v>
      </c>
      <c r="AI1740" s="37" t="n">
        <v>5</v>
      </c>
      <c r="AJ1740" s="37" t="s">
        <v>323</v>
      </c>
    </row>
    <row r="1741" customFormat="false" ht="15" hidden="false" customHeight="false" outlineLevel="0" collapsed="false">
      <c r="A1741" s="37" t="n">
        <v>393121524</v>
      </c>
      <c r="B1741" s="38" t="n">
        <v>46276.8487384259</v>
      </c>
      <c r="C1741" s="37" t="s">
        <v>325</v>
      </c>
      <c r="D1741" s="37" t="s">
        <v>407</v>
      </c>
      <c r="E1741" s="37" t="n">
        <v>22755155</v>
      </c>
      <c r="F1741" s="37" t="s">
        <v>139</v>
      </c>
      <c r="G1741" s="37" t="s">
        <v>198</v>
      </c>
      <c r="H1741" s="37" t="s">
        <v>168</v>
      </c>
      <c r="I1741" s="37" t="n">
        <v>31.2</v>
      </c>
      <c r="J1741" s="39" t="n">
        <v>323</v>
      </c>
      <c r="K1741" s="37" t="s">
        <v>322</v>
      </c>
      <c r="L1741" s="39" t="n">
        <v>81.89</v>
      </c>
      <c r="M1741" s="39" t="n">
        <v>54.1</v>
      </c>
      <c r="N1741" s="39" t="n">
        <f aca="false">J1741*Resumo!$C$7</f>
        <v>0.646</v>
      </c>
      <c r="O1741" s="39" t="n">
        <f aca="false">J1741*Resumo!$C$8</f>
        <v>0.646</v>
      </c>
      <c r="P1741" s="39" t="n">
        <f aca="false">Resumo!$C$10*CEILING(I1741/100,1)</f>
        <v>1</v>
      </c>
      <c r="Q1741" s="39" t="n">
        <f aca="false">Resumo!$C$9</f>
        <v>11.9</v>
      </c>
      <c r="R1741" s="39" t="n">
        <f aca="false">SUM(M1741:Q1741)*Resumo!$C$11</f>
        <v>3.75606</v>
      </c>
      <c r="S1741" s="39" t="n">
        <f aca="false">SUM(M1741:R1741)</f>
        <v>72.04806</v>
      </c>
      <c r="T1741" s="39" t="n">
        <f aca="false">S1741/(1-Resumo!$C$5)</f>
        <v>81.8727954545455</v>
      </c>
      <c r="U1741" s="39" t="n">
        <v>82.21</v>
      </c>
      <c r="V1741" s="39" t="n">
        <f aca="false">J1741*Resumo!$B$6</f>
        <v>0.323</v>
      </c>
      <c r="W1741" s="39" t="n">
        <f aca="false">J1741*Resumo!$B$7</f>
        <v>0.646</v>
      </c>
      <c r="X1741" s="39" t="n">
        <f aca="false">Resumo!$B$9</f>
        <v>1</v>
      </c>
      <c r="Y1741" s="39" t="n">
        <f aca="false">Resumo!$B$10*CEILING(I1741/100,1)</f>
        <v>4.5</v>
      </c>
      <c r="Z1741" s="39" t="n">
        <f aca="false">Resumo!$B$12*CEILING(I1741,1)</f>
        <v>1.92</v>
      </c>
      <c r="AA1741" s="39" t="n">
        <f aca="false">Resumo!$B$13*CEILING(I1741,1)</f>
        <v>14.4</v>
      </c>
      <c r="AB1741" s="39" t="n">
        <f aca="false">SUM(U1741:AA1741)</f>
        <v>104.999</v>
      </c>
      <c r="AC1741" s="39" t="n">
        <f aca="false">AB1741/(1-Resumo!$B$5)</f>
        <v>119.317045454545</v>
      </c>
      <c r="AD1741" s="39" t="n">
        <f aca="false">(AB1741-AA1741)/(1-Resumo!$B$5)</f>
        <v>102.953409090909</v>
      </c>
      <c r="AE1741" s="39" t="n">
        <f aca="false">AC1741-T1741</f>
        <v>37.44425</v>
      </c>
      <c r="AF1741" s="40" t="n">
        <f aca="false">AC1741/T1741-1</f>
        <v>0.457346665545193</v>
      </c>
      <c r="AG1741" s="37" t="str">
        <f aca="false">IF(AC1741&lt;T1741,"SIM","NÃO")</f>
        <v>NÃO</v>
      </c>
      <c r="AH1741" s="37" t="n">
        <v>8</v>
      </c>
      <c r="AI1741" s="37" t="n">
        <v>5</v>
      </c>
      <c r="AJ1741" s="37" t="s">
        <v>323</v>
      </c>
    </row>
    <row r="1742" customFormat="false" ht="15" hidden="false" customHeight="false" outlineLevel="0" collapsed="false">
      <c r="A1742" s="37" t="n">
        <v>393130247</v>
      </c>
      <c r="B1742" s="38" t="n">
        <v>46276.8626041667</v>
      </c>
      <c r="C1742" s="37" t="s">
        <v>320</v>
      </c>
      <c r="D1742" s="37" t="s">
        <v>1906</v>
      </c>
      <c r="E1742" s="37" t="n">
        <v>27212050</v>
      </c>
      <c r="F1742" s="37" t="s">
        <v>148</v>
      </c>
      <c r="G1742" s="37" t="s">
        <v>201</v>
      </c>
      <c r="H1742" s="37" t="s">
        <v>169</v>
      </c>
      <c r="I1742" s="37" t="n">
        <v>35.3</v>
      </c>
      <c r="J1742" s="39" t="n">
        <v>434.97</v>
      </c>
      <c r="K1742" s="37" t="s">
        <v>322</v>
      </c>
      <c r="L1742" s="39" t="n">
        <v>122.33</v>
      </c>
      <c r="M1742" s="39" t="n">
        <v>87.4</v>
      </c>
      <c r="N1742" s="39" t="n">
        <f aca="false">J1742*Resumo!$C$7</f>
        <v>0.86994</v>
      </c>
      <c r="O1742" s="39" t="n">
        <f aca="false">J1742*Resumo!$C$8</f>
        <v>0.86994</v>
      </c>
      <c r="P1742" s="39" t="n">
        <f aca="false">Resumo!$C$10*CEILING(I1742/100,1)</f>
        <v>1</v>
      </c>
      <c r="Q1742" s="39" t="n">
        <f aca="false">Resumo!$C$9</f>
        <v>11.9</v>
      </c>
      <c r="R1742" s="39" t="n">
        <f aca="false">SUM(M1742:Q1742)*Resumo!$C$11</f>
        <v>5.6121934</v>
      </c>
      <c r="S1742" s="39" t="n">
        <f aca="false">SUM(M1742:R1742)</f>
        <v>107.6520734</v>
      </c>
      <c r="T1742" s="39" t="n">
        <f aca="false">S1742/(1-Resumo!$C$5)</f>
        <v>122.331901590909</v>
      </c>
      <c r="U1742" s="39" t="n">
        <v>124.38</v>
      </c>
      <c r="V1742" s="39" t="n">
        <f aca="false">J1742*Resumo!$B$6</f>
        <v>0.43497</v>
      </c>
      <c r="W1742" s="39" t="n">
        <f aca="false">J1742*Resumo!$B$7</f>
        <v>0.86994</v>
      </c>
      <c r="X1742" s="39" t="n">
        <f aca="false">Resumo!$B$9</f>
        <v>1</v>
      </c>
      <c r="Y1742" s="39" t="n">
        <f aca="false">Resumo!$B$10*CEILING(I1742/100,1)</f>
        <v>4.5</v>
      </c>
      <c r="Z1742" s="39" t="n">
        <f aca="false">Resumo!$B$12*CEILING(I1742,1)</f>
        <v>2.16</v>
      </c>
      <c r="AA1742" s="39" t="n">
        <f aca="false">Resumo!$B$13*CEILING(I1742,1)</f>
        <v>16.2</v>
      </c>
      <c r="AB1742" s="39" t="n">
        <f aca="false">SUM(U1742:AA1742)</f>
        <v>149.54491</v>
      </c>
      <c r="AC1742" s="39" t="n">
        <f aca="false">AB1742/(1-Resumo!$B$5)</f>
        <v>169.937397727273</v>
      </c>
      <c r="AD1742" s="39" t="n">
        <f aca="false">(AB1742-AA1742)/(1-Resumo!$B$5)</f>
        <v>151.528306818182</v>
      </c>
      <c r="AE1742" s="39" t="n">
        <f aca="false">AC1742-T1742</f>
        <v>47.6054961363636</v>
      </c>
      <c r="AF1742" s="40" t="n">
        <f aca="false">AC1742/T1742-1</f>
        <v>0.389150299449783</v>
      </c>
      <c r="AG1742" s="37" t="str">
        <f aca="false">IF(AC1742&lt;T1742,"SIM","NÃO")</f>
        <v>NÃO</v>
      </c>
      <c r="AH1742" s="37" t="n">
        <v>13</v>
      </c>
      <c r="AI1742" s="37" t="n">
        <v>10</v>
      </c>
      <c r="AJ1742" s="37" t="s">
        <v>323</v>
      </c>
    </row>
    <row r="1743" customFormat="false" ht="15" hidden="false" customHeight="false" outlineLevel="0" collapsed="false">
      <c r="A1743" s="37" t="n">
        <v>393165867</v>
      </c>
      <c r="B1743" s="38" t="n">
        <v>46276.9223263889</v>
      </c>
      <c r="C1743" s="37" t="s">
        <v>320</v>
      </c>
      <c r="D1743" s="37" t="s">
        <v>1907</v>
      </c>
      <c r="E1743" s="37" t="n">
        <v>26520332</v>
      </c>
      <c r="F1743" s="37" t="s">
        <v>224</v>
      </c>
      <c r="G1743" s="37" t="s">
        <v>207</v>
      </c>
      <c r="H1743" s="37" t="s">
        <v>168</v>
      </c>
      <c r="I1743" s="37" t="n">
        <v>27</v>
      </c>
      <c r="J1743" s="39" t="n">
        <v>349.99</v>
      </c>
      <c r="K1743" s="37" t="s">
        <v>322</v>
      </c>
      <c r="L1743" s="39" t="n">
        <v>101.07</v>
      </c>
      <c r="M1743" s="39" t="n">
        <v>70</v>
      </c>
      <c r="N1743" s="39" t="n">
        <f aca="false">J1743*Resumo!$C$7</f>
        <v>0.69998</v>
      </c>
      <c r="O1743" s="39" t="n">
        <f aca="false">J1743*Resumo!$C$8</f>
        <v>0.69998</v>
      </c>
      <c r="P1743" s="39" t="n">
        <f aca="false">Resumo!$C$10*CEILING(I1743/100,1)</f>
        <v>1</v>
      </c>
      <c r="Q1743" s="39" t="n">
        <f aca="false">Resumo!$C$9</f>
        <v>11.9</v>
      </c>
      <c r="R1743" s="39" t="n">
        <f aca="false">SUM(M1743:Q1743)*Resumo!$C$11</f>
        <v>4.6364978</v>
      </c>
      <c r="S1743" s="39" t="n">
        <f aca="false">SUM(M1743:R1743)</f>
        <v>88.9364578</v>
      </c>
      <c r="T1743" s="39" t="n">
        <f aca="false">S1743/(1-Resumo!$C$5)</f>
        <v>101.064156590909</v>
      </c>
      <c r="U1743" s="39" t="n">
        <v>82.21</v>
      </c>
      <c r="V1743" s="39" t="n">
        <f aca="false">J1743*Resumo!$B$6</f>
        <v>0.34999</v>
      </c>
      <c r="W1743" s="39" t="n">
        <f aca="false">J1743*Resumo!$B$7</f>
        <v>0.69998</v>
      </c>
      <c r="X1743" s="39" t="n">
        <f aca="false">Resumo!$B$9</f>
        <v>1</v>
      </c>
      <c r="Y1743" s="39" t="n">
        <f aca="false">Resumo!$B$10*CEILING(I1743/100,1)</f>
        <v>4.5</v>
      </c>
      <c r="Z1743" s="39" t="n">
        <f aca="false">Resumo!$B$12*CEILING(I1743,1)</f>
        <v>1.62</v>
      </c>
      <c r="AA1743" s="39" t="n">
        <f aca="false">Resumo!$B$13*CEILING(I1743,1)</f>
        <v>12.15</v>
      </c>
      <c r="AB1743" s="39" t="n">
        <f aca="false">SUM(U1743:AA1743)</f>
        <v>102.52997</v>
      </c>
      <c r="AC1743" s="39" t="n">
        <f aca="false">AB1743/(1-Resumo!$B$5)</f>
        <v>116.511329545455</v>
      </c>
      <c r="AD1743" s="39" t="n">
        <f aca="false">(AB1743-AA1743)/(1-Resumo!$B$5)</f>
        <v>102.704511363636</v>
      </c>
      <c r="AE1743" s="39" t="n">
        <f aca="false">AC1743-T1743</f>
        <v>15.4471729545455</v>
      </c>
      <c r="AF1743" s="40" t="n">
        <f aca="false">AC1743/T1743-1</f>
        <v>0.152845217093861</v>
      </c>
      <c r="AG1743" s="37" t="str">
        <f aca="false">IF(AC1743&lt;T1743,"SIM","NÃO")</f>
        <v>NÃO</v>
      </c>
      <c r="AH1743" s="37" t="n">
        <v>10</v>
      </c>
      <c r="AI1743" s="37" t="n">
        <v>5</v>
      </c>
      <c r="AJ1743" s="37" t="s">
        <v>327</v>
      </c>
    </row>
    <row r="1744" customFormat="false" ht="15" hidden="false" customHeight="false" outlineLevel="0" collapsed="false">
      <c r="A1744" s="37" t="n">
        <v>393207170</v>
      </c>
      <c r="B1744" s="38" t="n">
        <v>46277.011099537</v>
      </c>
      <c r="C1744" s="37" t="s">
        <v>325</v>
      </c>
      <c r="D1744" s="37" t="s">
        <v>1908</v>
      </c>
      <c r="E1744" s="37" t="n">
        <v>24715316</v>
      </c>
      <c r="F1744" s="37" t="s">
        <v>140</v>
      </c>
      <c r="G1744" s="37" t="s">
        <v>207</v>
      </c>
      <c r="H1744" s="37" t="s">
        <v>171</v>
      </c>
      <c r="I1744" s="37" t="n">
        <v>58.6</v>
      </c>
      <c r="J1744" s="39" t="n">
        <v>658.98</v>
      </c>
      <c r="K1744" s="37" t="s">
        <v>322</v>
      </c>
      <c r="L1744" s="39" t="n">
        <v>128.44</v>
      </c>
      <c r="M1744" s="39" t="n">
        <v>91.6</v>
      </c>
      <c r="N1744" s="39" t="n">
        <f aca="false">J1744*Resumo!$C$7</f>
        <v>1.31796</v>
      </c>
      <c r="O1744" s="39" t="n">
        <f aca="false">J1744*Resumo!$C$8</f>
        <v>1.31796</v>
      </c>
      <c r="P1744" s="39" t="n">
        <f aca="false">Resumo!$C$10*CEILING(I1744/100,1)</f>
        <v>1</v>
      </c>
      <c r="Q1744" s="39" t="n">
        <f aca="false">Resumo!$C$9</f>
        <v>11.9</v>
      </c>
      <c r="R1744" s="39" t="n">
        <f aca="false">SUM(M1744:Q1744)*Resumo!$C$11</f>
        <v>5.8924756</v>
      </c>
      <c r="S1744" s="39" t="n">
        <f aca="false">SUM(M1744:R1744)</f>
        <v>113.0283956</v>
      </c>
      <c r="T1744" s="39" t="n">
        <f aca="false">S1744/(1-Resumo!$C$5)</f>
        <v>128.441358636364</v>
      </c>
      <c r="U1744" s="39" t="n">
        <v>128.14</v>
      </c>
      <c r="V1744" s="39" t="n">
        <f aca="false">J1744*Resumo!$B$6</f>
        <v>0.65898</v>
      </c>
      <c r="W1744" s="39" t="n">
        <f aca="false">J1744*Resumo!$B$7</f>
        <v>1.31796</v>
      </c>
      <c r="X1744" s="39" t="n">
        <f aca="false">Resumo!$B$9</f>
        <v>1</v>
      </c>
      <c r="Y1744" s="39" t="n">
        <f aca="false">Resumo!$B$10*CEILING(I1744/100,1)</f>
        <v>4.5</v>
      </c>
      <c r="Z1744" s="39" t="n">
        <f aca="false">Resumo!$B$12*CEILING(I1744,1)</f>
        <v>3.54</v>
      </c>
      <c r="AA1744" s="39" t="n">
        <f aca="false">Resumo!$B$13*CEILING(I1744,1)</f>
        <v>26.55</v>
      </c>
      <c r="AB1744" s="39" t="n">
        <f aca="false">SUM(U1744:AA1744)</f>
        <v>165.70694</v>
      </c>
      <c r="AC1744" s="39" t="n">
        <f aca="false">AB1744/(1-Resumo!$B$5)</f>
        <v>188.303340909091</v>
      </c>
      <c r="AD1744" s="39" t="n">
        <f aca="false">(AB1744-AA1744)/(1-Resumo!$B$5)</f>
        <v>158.132886363636</v>
      </c>
      <c r="AE1744" s="39" t="n">
        <f aca="false">AC1744-T1744</f>
        <v>59.8619822727273</v>
      </c>
      <c r="AF1744" s="40" t="n">
        <f aca="false">AC1744/T1744-1</f>
        <v>0.466064692154226</v>
      </c>
      <c r="AG1744" s="37" t="str">
        <f aca="false">IF(AC1744&lt;T1744,"SIM","NÃO")</f>
        <v>NÃO</v>
      </c>
      <c r="AH1744" s="37" t="n">
        <v>10</v>
      </c>
      <c r="AI1744" s="37" t="n">
        <v>7</v>
      </c>
      <c r="AJ1744" s="37" t="s">
        <v>323</v>
      </c>
    </row>
    <row r="1745" customFormat="false" ht="15" hidden="false" customHeight="false" outlineLevel="0" collapsed="false">
      <c r="A1745" s="37" t="n">
        <v>393214620</v>
      </c>
      <c r="B1745" s="38" t="n">
        <v>46277.0288078704</v>
      </c>
      <c r="C1745" s="37" t="s">
        <v>325</v>
      </c>
      <c r="D1745" s="37" t="s">
        <v>1909</v>
      </c>
      <c r="E1745" s="37" t="n">
        <v>27273480</v>
      </c>
      <c r="F1745" s="37" t="s">
        <v>148</v>
      </c>
      <c r="G1745" s="37" t="s">
        <v>201</v>
      </c>
      <c r="H1745" s="37" t="s">
        <v>170</v>
      </c>
      <c r="I1745" s="37" t="n">
        <v>41.6</v>
      </c>
      <c r="J1745" s="39" t="n">
        <v>523.75</v>
      </c>
      <c r="K1745" s="37" t="s">
        <v>322</v>
      </c>
      <c r="L1745" s="39" t="n">
        <v>130.68</v>
      </c>
      <c r="M1745" s="39" t="n">
        <v>94</v>
      </c>
      <c r="N1745" s="39" t="n">
        <f aca="false">J1745*Resumo!$C$7</f>
        <v>1.0475</v>
      </c>
      <c r="O1745" s="39" t="n">
        <f aca="false">J1745*Resumo!$C$8</f>
        <v>1.0475</v>
      </c>
      <c r="P1745" s="39" t="n">
        <f aca="false">Resumo!$C$10*CEILING(I1745/100,1)</f>
        <v>1</v>
      </c>
      <c r="Q1745" s="39" t="n">
        <f aca="false">Resumo!$C$9</f>
        <v>11.9</v>
      </c>
      <c r="R1745" s="39" t="n">
        <f aca="false">SUM(M1745:Q1745)*Resumo!$C$11</f>
        <v>5.994725</v>
      </c>
      <c r="S1745" s="39" t="n">
        <f aca="false">SUM(M1745:R1745)</f>
        <v>114.989725</v>
      </c>
      <c r="T1745" s="39" t="n">
        <f aca="false">S1745/(1-Resumo!$C$5)</f>
        <v>130.670142045455</v>
      </c>
      <c r="U1745" s="39" t="n">
        <v>124.38</v>
      </c>
      <c r="V1745" s="39" t="n">
        <f aca="false">J1745*Resumo!$B$6</f>
        <v>0.52375</v>
      </c>
      <c r="W1745" s="39" t="n">
        <f aca="false">J1745*Resumo!$B$7</f>
        <v>1.0475</v>
      </c>
      <c r="X1745" s="39" t="n">
        <f aca="false">Resumo!$B$9</f>
        <v>1</v>
      </c>
      <c r="Y1745" s="39" t="n">
        <f aca="false">Resumo!$B$10*CEILING(I1745/100,1)</f>
        <v>4.5</v>
      </c>
      <c r="Z1745" s="39" t="n">
        <f aca="false">Resumo!$B$12*CEILING(I1745,1)</f>
        <v>2.52</v>
      </c>
      <c r="AA1745" s="39" t="n">
        <f aca="false">Resumo!$B$13*CEILING(I1745,1)</f>
        <v>18.9</v>
      </c>
      <c r="AB1745" s="39" t="n">
        <f aca="false">SUM(U1745:AA1745)</f>
        <v>152.87125</v>
      </c>
      <c r="AC1745" s="39" t="n">
        <f aca="false">AB1745/(1-Resumo!$B$5)</f>
        <v>173.717329545455</v>
      </c>
      <c r="AD1745" s="39" t="n">
        <f aca="false">(AB1745-AA1745)/(1-Resumo!$B$5)</f>
        <v>152.240056818182</v>
      </c>
      <c r="AE1745" s="39" t="n">
        <f aca="false">AC1745-T1745</f>
        <v>43.0471875</v>
      </c>
      <c r="AF1745" s="40" t="n">
        <f aca="false">AC1745/T1745-1</f>
        <v>0.329433999429079</v>
      </c>
      <c r="AG1745" s="37" t="str">
        <f aca="false">IF(AC1745&lt;T1745,"SIM","NÃO")</f>
        <v>NÃO</v>
      </c>
      <c r="AH1745" s="37" t="n">
        <v>13</v>
      </c>
      <c r="AI1745" s="37" t="n">
        <v>10</v>
      </c>
      <c r="AJ1745" s="37" t="s">
        <v>323</v>
      </c>
    </row>
    <row r="1746" customFormat="false" ht="15" hidden="false" customHeight="false" outlineLevel="0" collapsed="false">
      <c r="A1746" s="37" t="n">
        <v>393149982</v>
      </c>
      <c r="B1746" s="38" t="n">
        <v>46277.3816666667</v>
      </c>
      <c r="C1746" s="37" t="s">
        <v>341</v>
      </c>
      <c r="D1746" s="37" t="s">
        <v>1910</v>
      </c>
      <c r="E1746" s="37" t="n">
        <v>27943210</v>
      </c>
      <c r="F1746" s="37" t="s">
        <v>146</v>
      </c>
      <c r="G1746" s="37" t="s">
        <v>201</v>
      </c>
      <c r="H1746" s="37" t="s">
        <v>169</v>
      </c>
      <c r="I1746" s="37" t="n">
        <v>36.9</v>
      </c>
      <c r="J1746" s="39" t="n">
        <v>373.99</v>
      </c>
      <c r="K1746" s="37" t="s">
        <v>322</v>
      </c>
      <c r="L1746" s="39" t="n">
        <v>122.05</v>
      </c>
      <c r="M1746" s="39" t="n">
        <v>87.4</v>
      </c>
      <c r="N1746" s="39" t="n">
        <f aca="false">J1746*Resumo!$C$7</f>
        <v>0.74798</v>
      </c>
      <c r="O1746" s="39" t="n">
        <f aca="false">J1746*Resumo!$C$8</f>
        <v>0.74798</v>
      </c>
      <c r="P1746" s="39" t="n">
        <f aca="false">Resumo!$C$10*CEILING(I1746/100,1)</f>
        <v>1</v>
      </c>
      <c r="Q1746" s="39" t="n">
        <f aca="false">Resumo!$C$9</f>
        <v>11.9</v>
      </c>
      <c r="R1746" s="39" t="n">
        <f aca="false">SUM(M1746:Q1746)*Resumo!$C$11</f>
        <v>5.5987778</v>
      </c>
      <c r="S1746" s="39" t="n">
        <f aca="false">SUM(M1746:R1746)</f>
        <v>107.3947378</v>
      </c>
      <c r="T1746" s="39" t="n">
        <f aca="false">S1746/(1-Resumo!$C$5)</f>
        <v>122.039474772727</v>
      </c>
      <c r="U1746" s="39" t="n">
        <v>143.04</v>
      </c>
      <c r="V1746" s="39" t="n">
        <f aca="false">J1746*Resumo!$B$6</f>
        <v>0.37399</v>
      </c>
      <c r="W1746" s="39" t="n">
        <f aca="false">J1746*Resumo!$B$7</f>
        <v>0.74798</v>
      </c>
      <c r="X1746" s="39" t="n">
        <f aca="false">Resumo!$B$9</f>
        <v>1</v>
      </c>
      <c r="Y1746" s="39" t="n">
        <f aca="false">Resumo!$B$10*CEILING(I1746/100,1)</f>
        <v>4.5</v>
      </c>
      <c r="Z1746" s="39" t="n">
        <f aca="false">Resumo!$B$12*CEILING(I1746,1)</f>
        <v>2.22</v>
      </c>
      <c r="AA1746" s="39" t="n">
        <f aca="false">Resumo!$B$13*CEILING(I1746,1)</f>
        <v>16.65</v>
      </c>
      <c r="AB1746" s="39" t="n">
        <f aca="false">SUM(U1746:AA1746)</f>
        <v>168.53197</v>
      </c>
      <c r="AC1746" s="39" t="n">
        <f aca="false">AB1746/(1-Resumo!$B$5)</f>
        <v>191.513602272727</v>
      </c>
      <c r="AD1746" s="39" t="n">
        <f aca="false">(AB1746-AA1746)/(1-Resumo!$B$5)</f>
        <v>172.593147727273</v>
      </c>
      <c r="AE1746" s="39" t="n">
        <f aca="false">AC1746-T1746</f>
        <v>69.4741275</v>
      </c>
      <c r="AF1746" s="40" t="n">
        <f aca="false">AC1746/T1746-1</f>
        <v>0.56927586446419</v>
      </c>
      <c r="AG1746" s="37" t="str">
        <f aca="false">IF(AC1746&lt;T1746,"SIM","NÃO")</f>
        <v>NÃO</v>
      </c>
      <c r="AH1746" s="37" t="n">
        <v>13</v>
      </c>
      <c r="AI1746" s="37" t="n">
        <v>11</v>
      </c>
      <c r="AJ1746" s="37" t="s">
        <v>323</v>
      </c>
    </row>
    <row r="1747" customFormat="false" ht="15" hidden="false" customHeight="false" outlineLevel="0" collapsed="false">
      <c r="A1747" s="37" t="n">
        <v>393411024</v>
      </c>
      <c r="B1747" s="38" t="n">
        <v>46277.4853125</v>
      </c>
      <c r="C1747" s="37" t="s">
        <v>320</v>
      </c>
      <c r="D1747" s="37" t="s">
        <v>1631</v>
      </c>
      <c r="E1747" s="37" t="n">
        <v>22031071</v>
      </c>
      <c r="F1747" s="37" t="s">
        <v>139</v>
      </c>
      <c r="G1747" s="37" t="s">
        <v>198</v>
      </c>
      <c r="H1747" s="37" t="s">
        <v>171</v>
      </c>
      <c r="I1747" s="37" t="n">
        <v>52.3</v>
      </c>
      <c r="J1747" s="39" t="n">
        <v>645.14</v>
      </c>
      <c r="K1747" s="37" t="s">
        <v>322</v>
      </c>
      <c r="L1747" s="39" t="n">
        <v>114.24</v>
      </c>
      <c r="M1747" s="39" t="n">
        <v>79.81</v>
      </c>
      <c r="N1747" s="39" t="n">
        <f aca="false">J1747*Resumo!$C$7</f>
        <v>1.29028</v>
      </c>
      <c r="O1747" s="39" t="n">
        <f aca="false">J1747*Resumo!$C$8</f>
        <v>1.29028</v>
      </c>
      <c r="P1747" s="39" t="n">
        <f aca="false">Resumo!$C$10*CEILING(I1747/100,1)</f>
        <v>1</v>
      </c>
      <c r="Q1747" s="39" t="n">
        <f aca="false">Resumo!$C$9</f>
        <v>11.9</v>
      </c>
      <c r="R1747" s="39" t="n">
        <f aca="false">SUM(M1747:Q1747)*Resumo!$C$11</f>
        <v>5.2409808</v>
      </c>
      <c r="S1747" s="39" t="n">
        <f aca="false">SUM(M1747:R1747)</f>
        <v>100.5315408</v>
      </c>
      <c r="T1747" s="39" t="n">
        <f aca="false">S1747/(1-Resumo!$C$5)</f>
        <v>114.240387272727</v>
      </c>
      <c r="U1747" s="39" t="n">
        <v>112.3</v>
      </c>
      <c r="V1747" s="39" t="n">
        <f aca="false">J1747*Resumo!$B$6</f>
        <v>0.64514</v>
      </c>
      <c r="W1747" s="39" t="n">
        <f aca="false">J1747*Resumo!$B$7</f>
        <v>1.29028</v>
      </c>
      <c r="X1747" s="39" t="n">
        <f aca="false">Resumo!$B$9</f>
        <v>1</v>
      </c>
      <c r="Y1747" s="39" t="n">
        <f aca="false">Resumo!$B$10*CEILING(I1747/100,1)</f>
        <v>4.5</v>
      </c>
      <c r="Z1747" s="39" t="n">
        <f aca="false">Resumo!$B$12*CEILING(I1747,1)</f>
        <v>3.18</v>
      </c>
      <c r="AA1747" s="39" t="n">
        <f aca="false">Resumo!$B$13*CEILING(I1747,1)</f>
        <v>23.85</v>
      </c>
      <c r="AB1747" s="39" t="n">
        <f aca="false">SUM(U1747:AA1747)</f>
        <v>146.76542</v>
      </c>
      <c r="AC1747" s="39" t="n">
        <f aca="false">AB1747/(1-Resumo!$B$5)</f>
        <v>166.778886363636</v>
      </c>
      <c r="AD1747" s="39" t="n">
        <f aca="false">(AB1747-AA1747)/(1-Resumo!$B$5)</f>
        <v>139.676613636364</v>
      </c>
      <c r="AE1747" s="39" t="n">
        <f aca="false">AC1747-T1747</f>
        <v>52.5384990909091</v>
      </c>
      <c r="AF1747" s="40" t="n">
        <f aca="false">AC1747/T1747-1</f>
        <v>0.459894266337555</v>
      </c>
      <c r="AG1747" s="37" t="str">
        <f aca="false">IF(AC1747&lt;T1747,"SIM","NÃO")</f>
        <v>NÃO</v>
      </c>
      <c r="AH1747" s="37" t="n">
        <v>8</v>
      </c>
      <c r="AI1747" s="37" t="n">
        <v>5</v>
      </c>
      <c r="AJ1747" s="37" t="s">
        <v>323</v>
      </c>
    </row>
    <row r="1748" customFormat="false" ht="15" hidden="false" customHeight="false" outlineLevel="0" collapsed="false">
      <c r="A1748" s="37" t="n">
        <v>393428649</v>
      </c>
      <c r="B1748" s="38" t="n">
        <v>46277.5101736111</v>
      </c>
      <c r="C1748" s="37" t="s">
        <v>320</v>
      </c>
      <c r="D1748" s="37" t="s">
        <v>1911</v>
      </c>
      <c r="E1748" s="37" t="n">
        <v>27948075</v>
      </c>
      <c r="F1748" s="37" t="s">
        <v>146</v>
      </c>
      <c r="G1748" s="37" t="s">
        <v>201</v>
      </c>
      <c r="H1748" s="37" t="s">
        <v>170</v>
      </c>
      <c r="I1748" s="37" t="n">
        <v>41</v>
      </c>
      <c r="J1748" s="39" t="n">
        <v>559.99</v>
      </c>
      <c r="K1748" s="37" t="s">
        <v>322</v>
      </c>
      <c r="L1748" s="39" t="n">
        <v>130.84</v>
      </c>
      <c r="M1748" s="39" t="n">
        <v>94</v>
      </c>
      <c r="N1748" s="39" t="n">
        <f aca="false">J1748*Resumo!$C$7</f>
        <v>1.11998</v>
      </c>
      <c r="O1748" s="39" t="n">
        <f aca="false">J1748*Resumo!$C$8</f>
        <v>1.11998</v>
      </c>
      <c r="P1748" s="39" t="n">
        <f aca="false">Resumo!$C$10*CEILING(I1748/100,1)</f>
        <v>1</v>
      </c>
      <c r="Q1748" s="39" t="n">
        <f aca="false">Resumo!$C$9</f>
        <v>11.9</v>
      </c>
      <c r="R1748" s="39" t="n">
        <f aca="false">SUM(M1748:Q1748)*Resumo!$C$11</f>
        <v>6.0026978</v>
      </c>
      <c r="S1748" s="39" t="n">
        <f aca="false">SUM(M1748:R1748)</f>
        <v>115.1426578</v>
      </c>
      <c r="T1748" s="39" t="n">
        <f aca="false">S1748/(1-Resumo!$C$5)</f>
        <v>130.843929318182</v>
      </c>
      <c r="U1748" s="39" t="n">
        <v>152.54</v>
      </c>
      <c r="V1748" s="39" t="n">
        <f aca="false">J1748*Resumo!$B$6</f>
        <v>0.55999</v>
      </c>
      <c r="W1748" s="39" t="n">
        <f aca="false">J1748*Resumo!$B$7</f>
        <v>1.11998</v>
      </c>
      <c r="X1748" s="39" t="n">
        <f aca="false">Resumo!$B$9</f>
        <v>1</v>
      </c>
      <c r="Y1748" s="39" t="n">
        <f aca="false">Resumo!$B$10*CEILING(I1748/100,1)</f>
        <v>4.5</v>
      </c>
      <c r="Z1748" s="39" t="n">
        <f aca="false">Resumo!$B$12*CEILING(I1748,1)</f>
        <v>2.46</v>
      </c>
      <c r="AA1748" s="39" t="n">
        <f aca="false">Resumo!$B$13*CEILING(I1748,1)</f>
        <v>18.45</v>
      </c>
      <c r="AB1748" s="39" t="n">
        <f aca="false">SUM(U1748:AA1748)</f>
        <v>180.62997</v>
      </c>
      <c r="AC1748" s="39" t="n">
        <f aca="false">AB1748/(1-Resumo!$B$5)</f>
        <v>205.261329545455</v>
      </c>
      <c r="AD1748" s="39" t="n">
        <f aca="false">(AB1748-AA1748)/(1-Resumo!$B$5)</f>
        <v>184.295420454545</v>
      </c>
      <c r="AE1748" s="39" t="n">
        <f aca="false">AC1748-T1748</f>
        <v>74.4174002272727</v>
      </c>
      <c r="AF1748" s="40" t="n">
        <f aca="false">AC1748/T1748-1</f>
        <v>0.568749353638769</v>
      </c>
      <c r="AG1748" s="37" t="str">
        <f aca="false">IF(AC1748&lt;T1748,"SIM","NÃO")</f>
        <v>NÃO</v>
      </c>
      <c r="AH1748" s="37" t="n">
        <v>13</v>
      </c>
      <c r="AI1748" s="37" t="n">
        <v>11</v>
      </c>
      <c r="AJ1748" s="37" t="s">
        <v>323</v>
      </c>
    </row>
    <row r="1749" customFormat="false" ht="15" hidden="false" customHeight="false" outlineLevel="0" collapsed="false">
      <c r="A1749" s="37" t="n">
        <v>393433068</v>
      </c>
      <c r="B1749" s="38" t="n">
        <v>46277.5209143519</v>
      </c>
      <c r="C1749" s="37" t="s">
        <v>359</v>
      </c>
      <c r="D1749" s="37" t="s">
        <v>1912</v>
      </c>
      <c r="E1749" s="37" t="n">
        <v>27251085</v>
      </c>
      <c r="F1749" s="37" t="s">
        <v>148</v>
      </c>
      <c r="G1749" s="37" t="s">
        <v>201</v>
      </c>
      <c r="H1749" s="37" t="s">
        <v>168</v>
      </c>
      <c r="I1749" s="37" t="n">
        <v>27.6</v>
      </c>
      <c r="J1749" s="39" t="n">
        <v>552.49</v>
      </c>
      <c r="K1749" s="37" t="s">
        <v>322</v>
      </c>
      <c r="L1749" s="39" t="n">
        <v>109.82</v>
      </c>
      <c r="M1749" s="39" t="n">
        <v>76.5</v>
      </c>
      <c r="N1749" s="39" t="n">
        <f aca="false">J1749*Resumo!$C$7</f>
        <v>1.10498</v>
      </c>
      <c r="O1749" s="39" t="n">
        <f aca="false">J1749*Resumo!$C$8</f>
        <v>1.10498</v>
      </c>
      <c r="P1749" s="39" t="n">
        <f aca="false">Resumo!$C$10*CEILING(I1749/100,1)</f>
        <v>1</v>
      </c>
      <c r="Q1749" s="39" t="n">
        <f aca="false">Resumo!$C$9</f>
        <v>11.9</v>
      </c>
      <c r="R1749" s="39" t="n">
        <f aca="false">SUM(M1749:Q1749)*Resumo!$C$11</f>
        <v>5.0385478</v>
      </c>
      <c r="S1749" s="39" t="n">
        <f aca="false">SUM(M1749:R1749)</f>
        <v>96.6485078</v>
      </c>
      <c r="T1749" s="39" t="n">
        <f aca="false">S1749/(1-Resumo!$C$5)</f>
        <v>109.827849772727</v>
      </c>
      <c r="U1749" s="39" t="n">
        <v>108.83</v>
      </c>
      <c r="V1749" s="39" t="n">
        <f aca="false">J1749*Resumo!$B$6</f>
        <v>0.55249</v>
      </c>
      <c r="W1749" s="39" t="n">
        <f aca="false">J1749*Resumo!$B$7</f>
        <v>1.10498</v>
      </c>
      <c r="X1749" s="39" t="n">
        <f aca="false">Resumo!$B$9</f>
        <v>1</v>
      </c>
      <c r="Y1749" s="39" t="n">
        <f aca="false">Resumo!$B$10*CEILING(I1749/100,1)</f>
        <v>4.5</v>
      </c>
      <c r="Z1749" s="39" t="n">
        <f aca="false">Resumo!$B$12*CEILING(I1749,1)</f>
        <v>1.68</v>
      </c>
      <c r="AA1749" s="39" t="n">
        <f aca="false">Resumo!$B$13*CEILING(I1749,1)</f>
        <v>12.6</v>
      </c>
      <c r="AB1749" s="39" t="n">
        <f aca="false">SUM(U1749:AA1749)</f>
        <v>130.26747</v>
      </c>
      <c r="AC1749" s="39" t="n">
        <f aca="false">AB1749/(1-Resumo!$B$5)</f>
        <v>148.031215909091</v>
      </c>
      <c r="AD1749" s="39" t="n">
        <f aca="false">(AB1749-AA1749)/(1-Resumo!$B$5)</f>
        <v>133.713034090909</v>
      </c>
      <c r="AE1749" s="39" t="n">
        <f aca="false">AC1749-T1749</f>
        <v>38.2033661363636</v>
      </c>
      <c r="AF1749" s="40" t="n">
        <f aca="false">AC1749/T1749-1</f>
        <v>0.347847710898647</v>
      </c>
      <c r="AG1749" s="37" t="str">
        <f aca="false">IF(AC1749&lt;T1749,"SIM","NÃO")</f>
        <v>NÃO</v>
      </c>
      <c r="AH1749" s="37" t="n">
        <v>13</v>
      </c>
      <c r="AI1749" s="37" t="n">
        <v>10</v>
      </c>
      <c r="AJ1749" s="37" t="s">
        <v>323</v>
      </c>
    </row>
    <row r="1750" customFormat="false" ht="15" hidden="false" customHeight="false" outlineLevel="0" collapsed="false">
      <c r="A1750" s="37" t="n">
        <v>393433681</v>
      </c>
      <c r="B1750" s="38" t="n">
        <v>46277.5400115741</v>
      </c>
      <c r="C1750" s="37" t="s">
        <v>352</v>
      </c>
      <c r="D1750" s="37" t="s">
        <v>1913</v>
      </c>
      <c r="E1750" s="37" t="n">
        <v>22723320</v>
      </c>
      <c r="F1750" s="37" t="s">
        <v>139</v>
      </c>
      <c r="G1750" s="37" t="s">
        <v>198</v>
      </c>
      <c r="H1750" s="37" t="s">
        <v>171</v>
      </c>
      <c r="I1750" s="37" t="n">
        <v>56.6</v>
      </c>
      <c r="J1750" s="39" t="n">
        <v>1249.99</v>
      </c>
      <c r="K1750" s="37" t="s">
        <v>322</v>
      </c>
      <c r="L1750" s="39" t="n">
        <v>117.14</v>
      </c>
      <c r="M1750" s="39" t="n">
        <v>79.81</v>
      </c>
      <c r="N1750" s="39" t="n">
        <f aca="false">J1750*Resumo!$C$7</f>
        <v>2.49998</v>
      </c>
      <c r="O1750" s="39" t="n">
        <f aca="false">J1750*Resumo!$C$8</f>
        <v>2.49998</v>
      </c>
      <c r="P1750" s="39" t="n">
        <f aca="false">Resumo!$C$10*CEILING(I1750/100,1)</f>
        <v>1</v>
      </c>
      <c r="Q1750" s="39" t="n">
        <f aca="false">Resumo!$C$9</f>
        <v>11.9</v>
      </c>
      <c r="R1750" s="39" t="n">
        <f aca="false">SUM(M1750:Q1750)*Resumo!$C$11</f>
        <v>5.3740478</v>
      </c>
      <c r="S1750" s="39" t="n">
        <f aca="false">SUM(M1750:R1750)</f>
        <v>103.0840078</v>
      </c>
      <c r="T1750" s="39" t="n">
        <f aca="false">S1750/(1-Resumo!$C$5)</f>
        <v>117.140917954545</v>
      </c>
      <c r="U1750" s="39" t="n">
        <v>112.3</v>
      </c>
      <c r="V1750" s="39" t="n">
        <f aca="false">J1750*Resumo!$B$6</f>
        <v>1.24999</v>
      </c>
      <c r="W1750" s="39" t="n">
        <f aca="false">J1750*Resumo!$B$7</f>
        <v>2.49998</v>
      </c>
      <c r="X1750" s="39" t="n">
        <f aca="false">Resumo!$B$9</f>
        <v>1</v>
      </c>
      <c r="Y1750" s="39" t="n">
        <f aca="false">Resumo!$B$10*CEILING(I1750/100,1)</f>
        <v>4.5</v>
      </c>
      <c r="Z1750" s="39" t="n">
        <f aca="false">Resumo!$B$12*CEILING(I1750,1)</f>
        <v>3.42</v>
      </c>
      <c r="AA1750" s="39" t="n">
        <f aca="false">Resumo!$B$13*CEILING(I1750,1)</f>
        <v>25.65</v>
      </c>
      <c r="AB1750" s="39" t="n">
        <f aca="false">SUM(U1750:AA1750)</f>
        <v>150.61997</v>
      </c>
      <c r="AC1750" s="39" t="n">
        <f aca="false">AB1750/(1-Resumo!$B$5)</f>
        <v>171.159056818182</v>
      </c>
      <c r="AD1750" s="39" t="n">
        <f aca="false">(AB1750-AA1750)/(1-Resumo!$B$5)</f>
        <v>142.011329545455</v>
      </c>
      <c r="AE1750" s="39" t="n">
        <f aca="false">AC1750-T1750</f>
        <v>54.0181388636364</v>
      </c>
      <c r="AF1750" s="40" t="n">
        <f aca="false">AC1750/T1750-1</f>
        <v>0.46113808741534</v>
      </c>
      <c r="AG1750" s="37" t="str">
        <f aca="false">IF(AC1750&lt;T1750,"SIM","NÃO")</f>
        <v>NÃO</v>
      </c>
      <c r="AH1750" s="37" t="n">
        <v>8</v>
      </c>
      <c r="AI1750" s="37" t="n">
        <v>5</v>
      </c>
      <c r="AJ1750" s="37" t="s">
        <v>323</v>
      </c>
    </row>
    <row r="1751" customFormat="false" ht="15" hidden="false" customHeight="false" outlineLevel="0" collapsed="false">
      <c r="A1751" s="37" t="n">
        <v>393484917</v>
      </c>
      <c r="B1751" s="38" t="n">
        <v>46277.6137152778</v>
      </c>
      <c r="C1751" s="37" t="s">
        <v>325</v>
      </c>
      <c r="D1751" s="37" t="s">
        <v>1914</v>
      </c>
      <c r="E1751" s="37" t="n">
        <v>20770150</v>
      </c>
      <c r="F1751" s="37" t="s">
        <v>139</v>
      </c>
      <c r="G1751" s="37" t="s">
        <v>198</v>
      </c>
      <c r="H1751" s="37" t="s">
        <v>167</v>
      </c>
      <c r="I1751" s="37" t="n">
        <v>13.18</v>
      </c>
      <c r="J1751" s="39" t="n">
        <v>239</v>
      </c>
      <c r="K1751" s="37" t="s">
        <v>322</v>
      </c>
      <c r="L1751" s="39" t="n">
        <v>64.36</v>
      </c>
      <c r="M1751" s="39" t="n">
        <v>39.83</v>
      </c>
      <c r="N1751" s="39" t="n">
        <f aca="false">J1751*Resumo!$C$7</f>
        <v>0.478</v>
      </c>
      <c r="O1751" s="39" t="n">
        <f aca="false">J1751*Resumo!$C$8</f>
        <v>0.478</v>
      </c>
      <c r="P1751" s="39" t="n">
        <f aca="false">Resumo!$C$10*CEILING(I1751/100,1)</f>
        <v>1</v>
      </c>
      <c r="Q1751" s="39" t="n">
        <f aca="false">Resumo!$C$9</f>
        <v>11.9</v>
      </c>
      <c r="R1751" s="39" t="n">
        <f aca="false">SUM(M1751:Q1751)*Resumo!$C$11</f>
        <v>2.95273</v>
      </c>
      <c r="S1751" s="39" t="n">
        <f aca="false">SUM(M1751:R1751)</f>
        <v>56.63873</v>
      </c>
      <c r="T1751" s="39" t="n">
        <f aca="false">S1751/(1-Resumo!$C$5)</f>
        <v>64.3621931818182</v>
      </c>
      <c r="U1751" s="39" t="n">
        <v>46.98</v>
      </c>
      <c r="V1751" s="39" t="n">
        <f aca="false">J1751*Resumo!$B$6</f>
        <v>0.239</v>
      </c>
      <c r="W1751" s="39" t="n">
        <f aca="false">J1751*Resumo!$B$7</f>
        <v>0.478</v>
      </c>
      <c r="X1751" s="39" t="n">
        <f aca="false">Resumo!$B$9</f>
        <v>1</v>
      </c>
      <c r="Y1751" s="39" t="n">
        <f aca="false">Resumo!$B$10*CEILING(I1751/100,1)</f>
        <v>4.5</v>
      </c>
      <c r="Z1751" s="39" t="n">
        <f aca="false">Resumo!$B$12*CEILING(I1751,1)</f>
        <v>0.84</v>
      </c>
      <c r="AA1751" s="39" t="n">
        <f aca="false">Resumo!$B$13*CEILING(I1751,1)</f>
        <v>6.3</v>
      </c>
      <c r="AB1751" s="39" t="n">
        <f aca="false">SUM(U1751:AA1751)</f>
        <v>60.337</v>
      </c>
      <c r="AC1751" s="39" t="n">
        <f aca="false">AB1751/(1-Resumo!$B$5)</f>
        <v>68.5647727272727</v>
      </c>
      <c r="AD1751" s="39" t="n">
        <f aca="false">(AB1751-AA1751)/(1-Resumo!$B$5)</f>
        <v>61.4056818181818</v>
      </c>
      <c r="AE1751" s="39" t="n">
        <f aca="false">AC1751-T1751</f>
        <v>4.20257954545454</v>
      </c>
      <c r="AF1751" s="40" t="n">
        <f aca="false">AC1751/T1751-1</f>
        <v>0.0652957790543678</v>
      </c>
      <c r="AG1751" s="37" t="str">
        <f aca="false">IF(AC1751&lt;T1751,"SIM","NÃO")</f>
        <v>NÃO</v>
      </c>
      <c r="AH1751" s="37" t="n">
        <v>8</v>
      </c>
      <c r="AI1751" s="37" t="n">
        <v>5</v>
      </c>
      <c r="AJ1751" s="37" t="s">
        <v>323</v>
      </c>
    </row>
    <row r="1752" customFormat="false" ht="15" hidden="false" customHeight="false" outlineLevel="0" collapsed="false">
      <c r="A1752" s="37" t="n">
        <v>393485058</v>
      </c>
      <c r="B1752" s="38" t="n">
        <v>46277.6144212963</v>
      </c>
      <c r="C1752" s="37" t="s">
        <v>320</v>
      </c>
      <c r="D1752" s="37" t="s">
        <v>958</v>
      </c>
      <c r="E1752" s="37" t="n">
        <v>21215060</v>
      </c>
      <c r="F1752" s="37" t="s">
        <v>139</v>
      </c>
      <c r="G1752" s="37" t="s">
        <v>198</v>
      </c>
      <c r="H1752" s="37" t="s">
        <v>171</v>
      </c>
      <c r="I1752" s="37" t="n">
        <v>52.3</v>
      </c>
      <c r="J1752" s="39" t="n">
        <v>614.63</v>
      </c>
      <c r="K1752" s="37" t="s">
        <v>322</v>
      </c>
      <c r="L1752" s="39" t="n">
        <v>114.09</v>
      </c>
      <c r="M1752" s="39" t="n">
        <v>79.81</v>
      </c>
      <c r="N1752" s="39" t="n">
        <f aca="false">J1752*Resumo!$C$7</f>
        <v>1.22926</v>
      </c>
      <c r="O1752" s="39" t="n">
        <f aca="false">J1752*Resumo!$C$8</f>
        <v>1.22926</v>
      </c>
      <c r="P1752" s="39" t="n">
        <f aca="false">Resumo!$C$10*CEILING(I1752/100,1)</f>
        <v>1</v>
      </c>
      <c r="Q1752" s="39" t="n">
        <f aca="false">Resumo!$C$9</f>
        <v>11.9</v>
      </c>
      <c r="R1752" s="39" t="n">
        <f aca="false">SUM(M1752:Q1752)*Resumo!$C$11</f>
        <v>5.2342686</v>
      </c>
      <c r="S1752" s="39" t="n">
        <f aca="false">SUM(M1752:R1752)</f>
        <v>100.4027886</v>
      </c>
      <c r="T1752" s="39" t="n">
        <f aca="false">S1752/(1-Resumo!$C$5)</f>
        <v>114.094077954545</v>
      </c>
      <c r="U1752" s="39" t="n">
        <v>112.3</v>
      </c>
      <c r="V1752" s="39" t="n">
        <f aca="false">J1752*Resumo!$B$6</f>
        <v>0.61463</v>
      </c>
      <c r="W1752" s="39" t="n">
        <f aca="false">J1752*Resumo!$B$7</f>
        <v>1.22926</v>
      </c>
      <c r="X1752" s="39" t="n">
        <f aca="false">Resumo!$B$9</f>
        <v>1</v>
      </c>
      <c r="Y1752" s="39" t="n">
        <f aca="false">Resumo!$B$10*CEILING(I1752/100,1)</f>
        <v>4.5</v>
      </c>
      <c r="Z1752" s="39" t="n">
        <f aca="false">Resumo!$B$12*CEILING(I1752,1)</f>
        <v>3.18</v>
      </c>
      <c r="AA1752" s="39" t="n">
        <f aca="false">Resumo!$B$13*CEILING(I1752,1)</f>
        <v>23.85</v>
      </c>
      <c r="AB1752" s="39" t="n">
        <f aca="false">SUM(U1752:AA1752)</f>
        <v>146.67389</v>
      </c>
      <c r="AC1752" s="39" t="n">
        <f aca="false">AB1752/(1-Resumo!$B$5)</f>
        <v>166.674875</v>
      </c>
      <c r="AD1752" s="39" t="n">
        <f aca="false">(AB1752-AA1752)/(1-Resumo!$B$5)</f>
        <v>139.572602272727</v>
      </c>
      <c r="AE1752" s="39" t="n">
        <f aca="false">AC1752-T1752</f>
        <v>52.5807970454545</v>
      </c>
      <c r="AF1752" s="40" t="n">
        <f aca="false">AC1752/T1752-1</f>
        <v>0.460854743630099</v>
      </c>
      <c r="AG1752" s="37" t="str">
        <f aca="false">IF(AC1752&lt;T1752,"SIM","NÃO")</f>
        <v>NÃO</v>
      </c>
      <c r="AH1752" s="37" t="n">
        <v>8</v>
      </c>
      <c r="AI1752" s="37" t="n">
        <v>5</v>
      </c>
      <c r="AJ1752" s="37" t="s">
        <v>323</v>
      </c>
    </row>
    <row r="1753" customFormat="false" ht="15" hidden="false" customHeight="false" outlineLevel="0" collapsed="false">
      <c r="A1753" s="37" t="n">
        <v>393498944</v>
      </c>
      <c r="B1753" s="38" t="n">
        <v>46277.6431828704</v>
      </c>
      <c r="C1753" s="37" t="s">
        <v>320</v>
      </c>
      <c r="D1753" s="37" t="s">
        <v>1915</v>
      </c>
      <c r="E1753" s="37" t="n">
        <v>20031204</v>
      </c>
      <c r="F1753" s="37" t="s">
        <v>139</v>
      </c>
      <c r="G1753" s="37" t="s">
        <v>198</v>
      </c>
      <c r="H1753" s="37" t="s">
        <v>171</v>
      </c>
      <c r="I1753" s="37" t="n">
        <v>52.3</v>
      </c>
      <c r="J1753" s="39" t="n">
        <v>614.63</v>
      </c>
      <c r="K1753" s="37" t="s">
        <v>322</v>
      </c>
      <c r="L1753" s="39" t="n">
        <v>114.09</v>
      </c>
      <c r="M1753" s="39" t="n">
        <v>79.81</v>
      </c>
      <c r="N1753" s="39" t="n">
        <f aca="false">J1753*Resumo!$C$7</f>
        <v>1.22926</v>
      </c>
      <c r="O1753" s="39" t="n">
        <f aca="false">J1753*Resumo!$C$8</f>
        <v>1.22926</v>
      </c>
      <c r="P1753" s="39" t="n">
        <f aca="false">Resumo!$C$10*CEILING(I1753/100,1)</f>
        <v>1</v>
      </c>
      <c r="Q1753" s="39" t="n">
        <f aca="false">Resumo!$C$9</f>
        <v>11.9</v>
      </c>
      <c r="R1753" s="39" t="n">
        <f aca="false">SUM(M1753:Q1753)*Resumo!$C$11</f>
        <v>5.2342686</v>
      </c>
      <c r="S1753" s="39" t="n">
        <f aca="false">SUM(M1753:R1753)</f>
        <v>100.4027886</v>
      </c>
      <c r="T1753" s="39" t="n">
        <f aca="false">S1753/(1-Resumo!$C$5)</f>
        <v>114.094077954545</v>
      </c>
      <c r="U1753" s="39" t="n">
        <v>112.3</v>
      </c>
      <c r="V1753" s="39" t="n">
        <f aca="false">J1753*Resumo!$B$6</f>
        <v>0.61463</v>
      </c>
      <c r="W1753" s="39" t="n">
        <f aca="false">J1753*Resumo!$B$7</f>
        <v>1.22926</v>
      </c>
      <c r="X1753" s="39" t="n">
        <f aca="false">Resumo!$B$9</f>
        <v>1</v>
      </c>
      <c r="Y1753" s="39" t="n">
        <f aca="false">Resumo!$B$10*CEILING(I1753/100,1)</f>
        <v>4.5</v>
      </c>
      <c r="Z1753" s="39" t="n">
        <f aca="false">Resumo!$B$12*CEILING(I1753,1)</f>
        <v>3.18</v>
      </c>
      <c r="AA1753" s="39" t="n">
        <f aca="false">Resumo!$B$13*CEILING(I1753,1)</f>
        <v>23.85</v>
      </c>
      <c r="AB1753" s="39" t="n">
        <f aca="false">SUM(U1753:AA1753)</f>
        <v>146.67389</v>
      </c>
      <c r="AC1753" s="39" t="n">
        <f aca="false">AB1753/(1-Resumo!$B$5)</f>
        <v>166.674875</v>
      </c>
      <c r="AD1753" s="39" t="n">
        <f aca="false">(AB1753-AA1753)/(1-Resumo!$B$5)</f>
        <v>139.572602272727</v>
      </c>
      <c r="AE1753" s="39" t="n">
        <f aca="false">AC1753-T1753</f>
        <v>52.5807970454545</v>
      </c>
      <c r="AF1753" s="40" t="n">
        <f aca="false">AC1753/T1753-1</f>
        <v>0.460854743630099</v>
      </c>
      <c r="AG1753" s="37" t="str">
        <f aca="false">IF(AC1753&lt;T1753,"SIM","NÃO")</f>
        <v>NÃO</v>
      </c>
      <c r="AH1753" s="37" t="n">
        <v>8</v>
      </c>
      <c r="AI1753" s="37" t="n">
        <v>5</v>
      </c>
      <c r="AJ1753" s="37" t="s">
        <v>323</v>
      </c>
    </row>
    <row r="1754" customFormat="false" ht="15" hidden="false" customHeight="false" outlineLevel="0" collapsed="false">
      <c r="A1754" s="37" t="n">
        <v>393502564</v>
      </c>
      <c r="B1754" s="38" t="n">
        <v>46277.6495949074</v>
      </c>
      <c r="C1754" s="37" t="s">
        <v>320</v>
      </c>
      <c r="D1754" s="37" t="s">
        <v>1916</v>
      </c>
      <c r="E1754" s="37" t="n">
        <v>25015370</v>
      </c>
      <c r="F1754" s="37" t="s">
        <v>141</v>
      </c>
      <c r="G1754" s="37" t="s">
        <v>207</v>
      </c>
      <c r="H1754" s="37" t="s">
        <v>171</v>
      </c>
      <c r="I1754" s="37" t="n">
        <v>52.3</v>
      </c>
      <c r="J1754" s="39" t="n">
        <v>614.63</v>
      </c>
      <c r="K1754" s="37" t="s">
        <v>322</v>
      </c>
      <c r="L1754" s="39" t="n">
        <v>128.23</v>
      </c>
      <c r="M1754" s="39" t="n">
        <v>91.6</v>
      </c>
      <c r="N1754" s="39" t="n">
        <f aca="false">J1754*Resumo!$C$7</f>
        <v>1.22926</v>
      </c>
      <c r="O1754" s="39" t="n">
        <f aca="false">J1754*Resumo!$C$8</f>
        <v>1.22926</v>
      </c>
      <c r="P1754" s="39" t="n">
        <f aca="false">Resumo!$C$10*CEILING(I1754/100,1)</f>
        <v>1</v>
      </c>
      <c r="Q1754" s="39" t="n">
        <f aca="false">Resumo!$C$9</f>
        <v>11.9</v>
      </c>
      <c r="R1754" s="39" t="n">
        <f aca="false">SUM(M1754:Q1754)*Resumo!$C$11</f>
        <v>5.8827186</v>
      </c>
      <c r="S1754" s="39" t="n">
        <f aca="false">SUM(M1754:R1754)</f>
        <v>112.8412386</v>
      </c>
      <c r="T1754" s="39" t="n">
        <f aca="false">S1754/(1-Resumo!$C$5)</f>
        <v>128.228680227273</v>
      </c>
      <c r="U1754" s="39" t="n">
        <v>112.3</v>
      </c>
      <c r="V1754" s="39" t="n">
        <f aca="false">J1754*Resumo!$B$6</f>
        <v>0.61463</v>
      </c>
      <c r="W1754" s="39" t="n">
        <f aca="false">J1754*Resumo!$B$7</f>
        <v>1.22926</v>
      </c>
      <c r="X1754" s="39" t="n">
        <f aca="false">Resumo!$B$9</f>
        <v>1</v>
      </c>
      <c r="Y1754" s="39" t="n">
        <f aca="false">Resumo!$B$10*CEILING(I1754/100,1)</f>
        <v>4.5</v>
      </c>
      <c r="Z1754" s="39" t="n">
        <f aca="false">Resumo!$B$12*CEILING(I1754,1)</f>
        <v>3.18</v>
      </c>
      <c r="AA1754" s="39" t="n">
        <f aca="false">Resumo!$B$13*CEILING(I1754,1)</f>
        <v>23.85</v>
      </c>
      <c r="AB1754" s="39" t="n">
        <f aca="false">SUM(U1754:AA1754)</f>
        <v>146.67389</v>
      </c>
      <c r="AC1754" s="39" t="n">
        <f aca="false">AB1754/(1-Resumo!$B$5)</f>
        <v>166.674875</v>
      </c>
      <c r="AD1754" s="39" t="n">
        <f aca="false">(AB1754-AA1754)/(1-Resumo!$B$5)</f>
        <v>139.572602272727</v>
      </c>
      <c r="AE1754" s="39" t="n">
        <f aca="false">AC1754-T1754</f>
        <v>38.4461947727273</v>
      </c>
      <c r="AF1754" s="40" t="n">
        <f aca="false">AC1754/T1754-1</f>
        <v>0.299825239599949</v>
      </c>
      <c r="AG1754" s="37" t="str">
        <f aca="false">IF(AC1754&lt;T1754,"SIM","NÃO")</f>
        <v>NÃO</v>
      </c>
      <c r="AH1754" s="37" t="n">
        <v>10</v>
      </c>
      <c r="AI1754" s="37" t="n">
        <v>5</v>
      </c>
      <c r="AJ1754" s="37" t="s">
        <v>323</v>
      </c>
    </row>
    <row r="1755" customFormat="false" ht="15" hidden="false" customHeight="false" outlineLevel="0" collapsed="false">
      <c r="A1755" s="37" t="n">
        <v>393525371</v>
      </c>
      <c r="B1755" s="38" t="n">
        <v>46277.68875</v>
      </c>
      <c r="C1755" s="37" t="s">
        <v>325</v>
      </c>
      <c r="D1755" s="37" t="s">
        <v>1917</v>
      </c>
      <c r="E1755" s="37" t="n">
        <v>22790728</v>
      </c>
      <c r="F1755" s="37" t="s">
        <v>139</v>
      </c>
      <c r="G1755" s="37" t="s">
        <v>198</v>
      </c>
      <c r="H1755" s="37" t="s">
        <v>170</v>
      </c>
      <c r="I1755" s="37" t="n">
        <v>40.6</v>
      </c>
      <c r="J1755" s="39" t="n">
        <v>444.42</v>
      </c>
      <c r="K1755" s="37" t="s">
        <v>322</v>
      </c>
      <c r="L1755" s="39" t="n">
        <v>102.72</v>
      </c>
      <c r="M1755" s="39" t="n">
        <v>71</v>
      </c>
      <c r="N1755" s="39" t="n">
        <f aca="false">J1755*Resumo!$C$7</f>
        <v>0.88884</v>
      </c>
      <c r="O1755" s="39" t="n">
        <f aca="false">J1755*Resumo!$C$8</f>
        <v>0.88884</v>
      </c>
      <c r="P1755" s="39" t="n">
        <f aca="false">Resumo!$C$10*CEILING(I1755/100,1)</f>
        <v>1</v>
      </c>
      <c r="Q1755" s="39" t="n">
        <f aca="false">Resumo!$C$9</f>
        <v>11.9</v>
      </c>
      <c r="R1755" s="39" t="n">
        <f aca="false">SUM(M1755:Q1755)*Resumo!$C$11</f>
        <v>4.7122724</v>
      </c>
      <c r="S1755" s="39" t="n">
        <f aca="false">SUM(M1755:R1755)</f>
        <v>90.3899524</v>
      </c>
      <c r="T1755" s="39" t="n">
        <f aca="false">S1755/(1-Resumo!$C$5)</f>
        <v>102.715855</v>
      </c>
      <c r="U1755" s="39" t="n">
        <v>93.97</v>
      </c>
      <c r="V1755" s="39" t="n">
        <f aca="false">J1755*Resumo!$B$6</f>
        <v>0.44442</v>
      </c>
      <c r="W1755" s="39" t="n">
        <f aca="false">J1755*Resumo!$B$7</f>
        <v>0.88884</v>
      </c>
      <c r="X1755" s="39" t="n">
        <f aca="false">Resumo!$B$9</f>
        <v>1</v>
      </c>
      <c r="Y1755" s="39" t="n">
        <f aca="false">Resumo!$B$10*CEILING(I1755/100,1)</f>
        <v>4.5</v>
      </c>
      <c r="Z1755" s="39" t="n">
        <f aca="false">Resumo!$B$12*CEILING(I1755,1)</f>
        <v>2.46</v>
      </c>
      <c r="AA1755" s="39" t="n">
        <f aca="false">Resumo!$B$13*CEILING(I1755,1)</f>
        <v>18.45</v>
      </c>
      <c r="AB1755" s="39" t="n">
        <f aca="false">SUM(U1755:AA1755)</f>
        <v>121.71326</v>
      </c>
      <c r="AC1755" s="39" t="n">
        <f aca="false">AB1755/(1-Resumo!$B$5)</f>
        <v>138.310522727273</v>
      </c>
      <c r="AD1755" s="39" t="n">
        <f aca="false">(AB1755-AA1755)/(1-Resumo!$B$5)</f>
        <v>117.344613636364</v>
      </c>
      <c r="AE1755" s="39" t="n">
        <f aca="false">AC1755-T1755</f>
        <v>35.5946677272727</v>
      </c>
      <c r="AF1755" s="40" t="n">
        <f aca="false">AC1755/T1755-1</f>
        <v>0.346535281503257</v>
      </c>
      <c r="AG1755" s="37" t="str">
        <f aca="false">IF(AC1755&lt;T1755,"SIM","NÃO")</f>
        <v>NÃO</v>
      </c>
      <c r="AH1755" s="37" t="n">
        <v>8</v>
      </c>
      <c r="AI1755" s="37" t="n">
        <v>5</v>
      </c>
      <c r="AJ1755" s="37" t="s">
        <v>323</v>
      </c>
    </row>
    <row r="1756" customFormat="false" ht="15" hidden="false" customHeight="false" outlineLevel="0" collapsed="false">
      <c r="A1756" s="37" t="n">
        <v>393542286</v>
      </c>
      <c r="B1756" s="38" t="n">
        <v>46277.7167708333</v>
      </c>
      <c r="C1756" s="37" t="s">
        <v>320</v>
      </c>
      <c r="D1756" s="37" t="s">
        <v>1918</v>
      </c>
      <c r="E1756" s="37" t="n">
        <v>21750320</v>
      </c>
      <c r="F1756" s="37" t="s">
        <v>139</v>
      </c>
      <c r="G1756" s="37" t="s">
        <v>198</v>
      </c>
      <c r="H1756" s="37" t="s">
        <v>167</v>
      </c>
      <c r="I1756" s="37" t="n">
        <v>19.5</v>
      </c>
      <c r="J1756" s="39" t="n">
        <v>379.99</v>
      </c>
      <c r="K1756" s="37" t="s">
        <v>322</v>
      </c>
      <c r="L1756" s="39" t="n">
        <v>65.03</v>
      </c>
      <c r="M1756" s="39" t="n">
        <v>39.83</v>
      </c>
      <c r="N1756" s="39" t="n">
        <f aca="false">J1756*Resumo!$C$7</f>
        <v>0.75998</v>
      </c>
      <c r="O1756" s="39" t="n">
        <f aca="false">J1756*Resumo!$C$8</f>
        <v>0.75998</v>
      </c>
      <c r="P1756" s="39" t="n">
        <f aca="false">Resumo!$C$10*CEILING(I1756/100,1)</f>
        <v>1</v>
      </c>
      <c r="Q1756" s="39" t="n">
        <f aca="false">Resumo!$C$9</f>
        <v>11.9</v>
      </c>
      <c r="R1756" s="39" t="n">
        <f aca="false">SUM(M1756:Q1756)*Resumo!$C$11</f>
        <v>2.9837478</v>
      </c>
      <c r="S1756" s="39" t="n">
        <f aca="false">SUM(M1756:R1756)</f>
        <v>57.2337078</v>
      </c>
      <c r="T1756" s="39" t="n">
        <f aca="false">S1756/(1-Resumo!$C$5)</f>
        <v>65.0383043181818</v>
      </c>
      <c r="U1756" s="39" t="n">
        <v>46.98</v>
      </c>
      <c r="V1756" s="39" t="n">
        <f aca="false">J1756*Resumo!$B$6</f>
        <v>0.37999</v>
      </c>
      <c r="W1756" s="39" t="n">
        <f aca="false">J1756*Resumo!$B$7</f>
        <v>0.75998</v>
      </c>
      <c r="X1756" s="39" t="n">
        <f aca="false">Resumo!$B$9</f>
        <v>1</v>
      </c>
      <c r="Y1756" s="39" t="n">
        <f aca="false">Resumo!$B$10*CEILING(I1756/100,1)</f>
        <v>4.5</v>
      </c>
      <c r="Z1756" s="39" t="n">
        <f aca="false">Resumo!$B$12*CEILING(I1756,1)</f>
        <v>1.2</v>
      </c>
      <c r="AA1756" s="39" t="n">
        <f aca="false">Resumo!$B$13*CEILING(I1756,1)</f>
        <v>9</v>
      </c>
      <c r="AB1756" s="39" t="n">
        <f aca="false">SUM(U1756:AA1756)</f>
        <v>63.81997</v>
      </c>
      <c r="AC1756" s="39" t="n">
        <f aca="false">AB1756/(1-Resumo!$B$5)</f>
        <v>72.5226931818182</v>
      </c>
      <c r="AD1756" s="39" t="n">
        <f aca="false">(AB1756-AA1756)/(1-Resumo!$B$5)</f>
        <v>62.2954204545455</v>
      </c>
      <c r="AE1756" s="39" t="n">
        <f aca="false">AC1756-T1756</f>
        <v>7.48438886363635</v>
      </c>
      <c r="AF1756" s="40" t="n">
        <f aca="false">AC1756/T1756-1</f>
        <v>0.115076629719943</v>
      </c>
      <c r="AG1756" s="37" t="str">
        <f aca="false">IF(AC1756&lt;T1756,"SIM","NÃO")</f>
        <v>NÃO</v>
      </c>
      <c r="AH1756" s="37" t="n">
        <v>8</v>
      </c>
      <c r="AI1756" s="37" t="n">
        <v>5</v>
      </c>
      <c r="AJ1756" s="37" t="s">
        <v>323</v>
      </c>
    </row>
    <row r="1757" customFormat="false" ht="15" hidden="false" customHeight="false" outlineLevel="0" collapsed="false">
      <c r="A1757" s="37" t="n">
        <v>393543382</v>
      </c>
      <c r="B1757" s="38" t="n">
        <v>46277.7187152778</v>
      </c>
      <c r="C1757" s="37" t="s">
        <v>320</v>
      </c>
      <c r="D1757" s="37" t="s">
        <v>1919</v>
      </c>
      <c r="E1757" s="37" t="n">
        <v>28800000</v>
      </c>
      <c r="F1757" s="37" t="s">
        <v>274</v>
      </c>
      <c r="G1757" s="37" t="s">
        <v>201</v>
      </c>
      <c r="H1757" s="37" t="s">
        <v>171</v>
      </c>
      <c r="I1757" s="37" t="n">
        <v>52.3</v>
      </c>
      <c r="J1757" s="39" t="n">
        <v>614.63</v>
      </c>
      <c r="K1757" s="37" t="s">
        <v>322</v>
      </c>
      <c r="L1757" s="39" t="n">
        <v>142.61</v>
      </c>
      <c r="M1757" s="39" t="n">
        <v>103.6</v>
      </c>
      <c r="N1757" s="39" t="n">
        <f aca="false">J1757*Resumo!$C$7</f>
        <v>1.22926</v>
      </c>
      <c r="O1757" s="39" t="n">
        <f aca="false">J1757*Resumo!$C$8</f>
        <v>1.22926</v>
      </c>
      <c r="P1757" s="39" t="n">
        <f aca="false">Resumo!$C$10*CEILING(I1757/100,1)</f>
        <v>1</v>
      </c>
      <c r="Q1757" s="39" t="n">
        <f aca="false">Resumo!$C$9</f>
        <v>11.9</v>
      </c>
      <c r="R1757" s="39" t="n">
        <f aca="false">SUM(M1757:Q1757)*Resumo!$C$11</f>
        <v>6.5427186</v>
      </c>
      <c r="S1757" s="39" t="n">
        <f aca="false">SUM(M1757:R1757)</f>
        <v>125.5012386</v>
      </c>
      <c r="T1757" s="39" t="n">
        <f aca="false">S1757/(1-Resumo!$C$5)</f>
        <v>142.615043863636</v>
      </c>
      <c r="U1757" s="39" t="n">
        <v>128.14</v>
      </c>
      <c r="V1757" s="39" t="n">
        <f aca="false">J1757*Resumo!$B$6</f>
        <v>0.61463</v>
      </c>
      <c r="W1757" s="39" t="n">
        <f aca="false">J1757*Resumo!$B$7</f>
        <v>1.22926</v>
      </c>
      <c r="X1757" s="39" t="n">
        <f aca="false">Resumo!$B$9</f>
        <v>1</v>
      </c>
      <c r="Y1757" s="39" t="n">
        <f aca="false">Resumo!$B$10*CEILING(I1757/100,1)</f>
        <v>4.5</v>
      </c>
      <c r="Z1757" s="39" t="n">
        <f aca="false">Resumo!$B$12*CEILING(I1757,1)</f>
        <v>3.18</v>
      </c>
      <c r="AA1757" s="39" t="n">
        <f aca="false">Resumo!$B$13*CEILING(I1757,1)</f>
        <v>23.85</v>
      </c>
      <c r="AB1757" s="39" t="n">
        <f aca="false">SUM(U1757:AA1757)</f>
        <v>162.51389</v>
      </c>
      <c r="AC1757" s="39" t="n">
        <f aca="false">AB1757/(1-Resumo!$B$5)</f>
        <v>184.674875</v>
      </c>
      <c r="AD1757" s="39" t="n">
        <f aca="false">(AB1757-AA1757)/(1-Resumo!$B$5)</f>
        <v>157.572602272727</v>
      </c>
      <c r="AE1757" s="39" t="n">
        <f aca="false">AC1757-T1757</f>
        <v>42.0598311363636</v>
      </c>
      <c r="AF1757" s="40" t="n">
        <f aca="false">AC1757/T1757-1</f>
        <v>0.294918614452623</v>
      </c>
      <c r="AG1757" s="37" t="str">
        <f aca="false">IF(AC1757&lt;T1757,"SIM","NÃO")</f>
        <v>NÃO</v>
      </c>
      <c r="AH1757" s="37" t="n">
        <v>13</v>
      </c>
      <c r="AI1757" s="37" t="n">
        <v>7</v>
      </c>
      <c r="AJ1757" s="37" t="s">
        <v>327</v>
      </c>
    </row>
    <row r="1758" customFormat="false" ht="15" hidden="false" customHeight="false" outlineLevel="0" collapsed="false">
      <c r="A1758" s="37" t="n">
        <v>393551915</v>
      </c>
      <c r="B1758" s="38" t="n">
        <v>46277.7330902778</v>
      </c>
      <c r="C1758" s="37" t="s">
        <v>320</v>
      </c>
      <c r="D1758" s="37" t="s">
        <v>1920</v>
      </c>
      <c r="E1758" s="37" t="n">
        <v>27935070</v>
      </c>
      <c r="F1758" s="37" t="s">
        <v>146</v>
      </c>
      <c r="G1758" s="37" t="s">
        <v>201</v>
      </c>
      <c r="H1758" s="37" t="s">
        <v>172</v>
      </c>
      <c r="I1758" s="37" t="n">
        <v>63.9</v>
      </c>
      <c r="J1758" s="39" t="n">
        <v>716.35</v>
      </c>
      <c r="K1758" s="37" t="s">
        <v>322</v>
      </c>
      <c r="L1758" s="39" t="n">
        <v>155.44</v>
      </c>
      <c r="M1758" s="39" t="n">
        <v>113.9</v>
      </c>
      <c r="N1758" s="39" t="n">
        <f aca="false">J1758*Resumo!$C$7</f>
        <v>1.4327</v>
      </c>
      <c r="O1758" s="39" t="n">
        <f aca="false">J1758*Resumo!$C$8</f>
        <v>1.4327</v>
      </c>
      <c r="P1758" s="39" t="n">
        <f aca="false">Resumo!$C$10*CEILING(I1758/100,1)</f>
        <v>1</v>
      </c>
      <c r="Q1758" s="39" t="n">
        <f aca="false">Resumo!$C$9</f>
        <v>11.9</v>
      </c>
      <c r="R1758" s="39" t="n">
        <f aca="false">SUM(M1758:Q1758)*Resumo!$C$11</f>
        <v>7.131597</v>
      </c>
      <c r="S1758" s="39" t="n">
        <f aca="false">SUM(M1758:R1758)</f>
        <v>136.796997</v>
      </c>
      <c r="T1758" s="39" t="n">
        <f aca="false">S1758/(1-Resumo!$C$5)</f>
        <v>155.451132954545</v>
      </c>
      <c r="U1758" s="39" t="n">
        <v>171.54</v>
      </c>
      <c r="V1758" s="39" t="n">
        <f aca="false">J1758*Resumo!$B$6</f>
        <v>0.71635</v>
      </c>
      <c r="W1758" s="39" t="n">
        <f aca="false">J1758*Resumo!$B$7</f>
        <v>1.4327</v>
      </c>
      <c r="X1758" s="39" t="n">
        <f aca="false">Resumo!$B$9</f>
        <v>1</v>
      </c>
      <c r="Y1758" s="39" t="n">
        <f aca="false">Resumo!$B$10*CEILING(I1758/100,1)</f>
        <v>4.5</v>
      </c>
      <c r="Z1758" s="39" t="n">
        <f aca="false">Resumo!$B$12*CEILING(I1758,1)</f>
        <v>3.84</v>
      </c>
      <c r="AA1758" s="39" t="n">
        <f aca="false">Resumo!$B$13*CEILING(I1758,1)</f>
        <v>28.8</v>
      </c>
      <c r="AB1758" s="39" t="n">
        <f aca="false">SUM(U1758:AA1758)</f>
        <v>211.82905</v>
      </c>
      <c r="AC1758" s="39" t="n">
        <f aca="false">AB1758/(1-Resumo!$B$5)</f>
        <v>240.714829545455</v>
      </c>
      <c r="AD1758" s="39" t="n">
        <f aca="false">(AB1758-AA1758)/(1-Resumo!$B$5)</f>
        <v>207.987556818182</v>
      </c>
      <c r="AE1758" s="39" t="n">
        <f aca="false">AC1758-T1758</f>
        <v>85.2636965909091</v>
      </c>
      <c r="AF1758" s="40" t="n">
        <f aca="false">AC1758/T1758-1</f>
        <v>0.548491959951431</v>
      </c>
      <c r="AG1758" s="37" t="str">
        <f aca="false">IF(AC1758&lt;T1758,"SIM","NÃO")</f>
        <v>NÃO</v>
      </c>
      <c r="AH1758" s="37" t="n">
        <v>13</v>
      </c>
      <c r="AI1758" s="37" t="n">
        <v>11</v>
      </c>
      <c r="AJ1758" s="37" t="s">
        <v>323</v>
      </c>
    </row>
    <row r="1759" customFormat="false" ht="15" hidden="false" customHeight="false" outlineLevel="0" collapsed="false">
      <c r="A1759" s="37" t="n">
        <v>393574315</v>
      </c>
      <c r="B1759" s="38" t="n">
        <v>46277.7675578704</v>
      </c>
      <c r="C1759" s="37" t="s">
        <v>320</v>
      </c>
      <c r="D1759" s="37" t="s">
        <v>1921</v>
      </c>
      <c r="E1759" s="37" t="n">
        <v>23895340</v>
      </c>
      <c r="F1759" s="37" t="s">
        <v>205</v>
      </c>
      <c r="G1759" s="37" t="s">
        <v>201</v>
      </c>
      <c r="H1759" s="37" t="s">
        <v>171</v>
      </c>
      <c r="I1759" s="37" t="n">
        <v>52.3</v>
      </c>
      <c r="J1759" s="39" t="n">
        <v>645.14</v>
      </c>
      <c r="K1759" s="37" t="s">
        <v>322</v>
      </c>
      <c r="L1759" s="39" t="n">
        <v>142.76</v>
      </c>
      <c r="M1759" s="39" t="n">
        <v>103.6</v>
      </c>
      <c r="N1759" s="39" t="n">
        <f aca="false">J1759*Resumo!$C$7</f>
        <v>1.29028</v>
      </c>
      <c r="O1759" s="39" t="n">
        <f aca="false">J1759*Resumo!$C$8</f>
        <v>1.29028</v>
      </c>
      <c r="P1759" s="39" t="n">
        <f aca="false">Resumo!$C$10*CEILING(I1759/100,1)</f>
        <v>1</v>
      </c>
      <c r="Q1759" s="39" t="n">
        <f aca="false">Resumo!$C$9</f>
        <v>11.9</v>
      </c>
      <c r="R1759" s="39" t="n">
        <f aca="false">SUM(M1759:Q1759)*Resumo!$C$11</f>
        <v>6.5494308</v>
      </c>
      <c r="S1759" s="39" t="n">
        <f aca="false">SUM(M1759:R1759)</f>
        <v>125.6299908</v>
      </c>
      <c r="T1759" s="39" t="n">
        <f aca="false">S1759/(1-Resumo!$C$5)</f>
        <v>142.761353181818</v>
      </c>
      <c r="U1759" s="39" t="n">
        <v>122.3</v>
      </c>
      <c r="V1759" s="39" t="n">
        <f aca="false">J1759*Resumo!$B$6</f>
        <v>0.64514</v>
      </c>
      <c r="W1759" s="39" t="n">
        <f aca="false">J1759*Resumo!$B$7</f>
        <v>1.29028</v>
      </c>
      <c r="X1759" s="39" t="n">
        <f aca="false">Resumo!$B$9</f>
        <v>1</v>
      </c>
      <c r="Y1759" s="39" t="n">
        <f aca="false">Resumo!$B$10*CEILING(I1759/100,1)</f>
        <v>4.5</v>
      </c>
      <c r="Z1759" s="39" t="n">
        <f aca="false">Resumo!$B$12*CEILING(I1759,1)</f>
        <v>3.18</v>
      </c>
      <c r="AA1759" s="39" t="n">
        <f aca="false">Resumo!$B$13*CEILING(I1759,1)</f>
        <v>23.85</v>
      </c>
      <c r="AB1759" s="39" t="n">
        <f aca="false">SUM(U1759:AA1759)</f>
        <v>156.76542</v>
      </c>
      <c r="AC1759" s="39" t="n">
        <f aca="false">AB1759/(1-Resumo!$B$5)</f>
        <v>178.142522727273</v>
      </c>
      <c r="AD1759" s="39" t="n">
        <f aca="false">(AB1759-AA1759)/(1-Resumo!$B$5)</f>
        <v>151.04025</v>
      </c>
      <c r="AE1759" s="39" t="n">
        <f aca="false">AC1759-T1759</f>
        <v>35.3811695454545</v>
      </c>
      <c r="AF1759" s="40" t="n">
        <f aca="false">AC1759/T1759-1</f>
        <v>0.24783436663278</v>
      </c>
      <c r="AG1759" s="37" t="str">
        <f aca="false">IF(AC1759&lt;T1759,"SIM","NÃO")</f>
        <v>NÃO</v>
      </c>
      <c r="AH1759" s="37" t="n">
        <v>13</v>
      </c>
      <c r="AI1759" s="37" t="n">
        <v>5</v>
      </c>
      <c r="AJ1759" s="37" t="s">
        <v>327</v>
      </c>
    </row>
    <row r="1760" customFormat="false" ht="15" hidden="false" customHeight="false" outlineLevel="0" collapsed="false">
      <c r="A1760" s="37" t="n">
        <v>393619383</v>
      </c>
      <c r="B1760" s="38" t="n">
        <v>46277.8421875</v>
      </c>
      <c r="C1760" s="37" t="s">
        <v>320</v>
      </c>
      <c r="D1760" s="37" t="s">
        <v>1629</v>
      </c>
      <c r="E1760" s="37" t="n">
        <v>28053100</v>
      </c>
      <c r="F1760" s="37" t="s">
        <v>144</v>
      </c>
      <c r="G1760" s="37" t="s">
        <v>201</v>
      </c>
      <c r="H1760" s="37" t="s">
        <v>168</v>
      </c>
      <c r="I1760" s="37" t="n">
        <v>27.5</v>
      </c>
      <c r="J1760" s="39" t="n">
        <v>399.99</v>
      </c>
      <c r="K1760" s="37" t="s">
        <v>322</v>
      </c>
      <c r="L1760" s="39" t="n">
        <v>109.1</v>
      </c>
      <c r="M1760" s="39" t="n">
        <v>76.5</v>
      </c>
      <c r="N1760" s="39" t="n">
        <f aca="false">J1760*Resumo!$C$7</f>
        <v>0.79998</v>
      </c>
      <c r="O1760" s="39" t="n">
        <f aca="false">J1760*Resumo!$C$8</f>
        <v>0.79998</v>
      </c>
      <c r="P1760" s="39" t="n">
        <f aca="false">Resumo!$C$10*CEILING(I1760/100,1)</f>
        <v>1</v>
      </c>
      <c r="Q1760" s="39" t="n">
        <f aca="false">Resumo!$C$9</f>
        <v>11.9</v>
      </c>
      <c r="R1760" s="39" t="n">
        <f aca="false">SUM(M1760:Q1760)*Resumo!$C$11</f>
        <v>5.0049978</v>
      </c>
      <c r="S1760" s="39" t="n">
        <f aca="false">SUM(M1760:R1760)</f>
        <v>96.0049578</v>
      </c>
      <c r="T1760" s="39" t="n">
        <f aca="false">S1760/(1-Resumo!$C$5)</f>
        <v>109.096542954545</v>
      </c>
      <c r="U1760" s="39" t="n">
        <v>138.29</v>
      </c>
      <c r="V1760" s="39" t="n">
        <f aca="false">J1760*Resumo!$B$6</f>
        <v>0.39999</v>
      </c>
      <c r="W1760" s="39" t="n">
        <f aca="false">J1760*Resumo!$B$7</f>
        <v>0.79998</v>
      </c>
      <c r="X1760" s="39" t="n">
        <f aca="false">Resumo!$B$9</f>
        <v>1</v>
      </c>
      <c r="Y1760" s="39" t="n">
        <f aca="false">Resumo!$B$10*CEILING(I1760/100,1)</f>
        <v>4.5</v>
      </c>
      <c r="Z1760" s="39" t="n">
        <f aca="false">Resumo!$B$12*CEILING(I1760,1)</f>
        <v>1.68</v>
      </c>
      <c r="AA1760" s="39" t="n">
        <f aca="false">Resumo!$B$13*CEILING(I1760,1)</f>
        <v>12.6</v>
      </c>
      <c r="AB1760" s="39" t="n">
        <f aca="false">SUM(U1760:AA1760)</f>
        <v>159.26997</v>
      </c>
      <c r="AC1760" s="39" t="n">
        <f aca="false">AB1760/(1-Resumo!$B$5)</f>
        <v>180.988602272727</v>
      </c>
      <c r="AD1760" s="39" t="n">
        <f aca="false">(AB1760-AA1760)/(1-Resumo!$B$5)</f>
        <v>166.670420454545</v>
      </c>
      <c r="AE1760" s="39" t="n">
        <f aca="false">AC1760-T1760</f>
        <v>71.8920593181818</v>
      </c>
      <c r="AF1760" s="40" t="n">
        <f aca="false">AC1760/T1760-1</f>
        <v>0.658976511731772</v>
      </c>
      <c r="AG1760" s="37" t="str">
        <f aca="false">IF(AC1760&lt;T1760,"SIM","NÃO")</f>
        <v>NÃO</v>
      </c>
      <c r="AH1760" s="37" t="n">
        <v>13</v>
      </c>
      <c r="AI1760" s="37" t="n">
        <v>11</v>
      </c>
      <c r="AJ1760" s="37" t="s">
        <v>323</v>
      </c>
    </row>
    <row r="1761" customFormat="false" ht="15" hidden="false" customHeight="false" outlineLevel="0" collapsed="false">
      <c r="A1761" s="37" t="n">
        <v>393631360</v>
      </c>
      <c r="B1761" s="38" t="n">
        <v>46277.8628819444</v>
      </c>
      <c r="C1761" s="37" t="s">
        <v>320</v>
      </c>
      <c r="D1761" s="37" t="s">
        <v>1922</v>
      </c>
      <c r="E1761" s="37" t="n">
        <v>27940700</v>
      </c>
      <c r="F1761" s="37" t="s">
        <v>146</v>
      </c>
      <c r="G1761" s="37" t="s">
        <v>201</v>
      </c>
      <c r="H1761" s="37" t="s">
        <v>167</v>
      </c>
      <c r="I1761" s="37" t="n">
        <v>15</v>
      </c>
      <c r="J1761" s="39" t="n">
        <v>219.99</v>
      </c>
      <c r="K1761" s="37" t="s">
        <v>322</v>
      </c>
      <c r="L1761" s="39" t="n">
        <v>79.72</v>
      </c>
      <c r="M1761" s="39" t="n">
        <v>52.71</v>
      </c>
      <c r="N1761" s="39" t="n">
        <f aca="false">J1761*Resumo!$C$7</f>
        <v>0.43998</v>
      </c>
      <c r="O1761" s="39" t="n">
        <f aca="false">J1761*Resumo!$C$8</f>
        <v>0.43998</v>
      </c>
      <c r="P1761" s="39" t="n">
        <f aca="false">Resumo!$C$10*CEILING(I1761/100,1)</f>
        <v>1</v>
      </c>
      <c r="Q1761" s="39" t="n">
        <f aca="false">Resumo!$C$9</f>
        <v>11.9</v>
      </c>
      <c r="R1761" s="39" t="n">
        <f aca="false">SUM(M1761:Q1761)*Resumo!$C$11</f>
        <v>3.6569478</v>
      </c>
      <c r="S1761" s="39" t="n">
        <f aca="false">SUM(M1761:R1761)</f>
        <v>70.1469078</v>
      </c>
      <c r="T1761" s="39" t="n">
        <f aca="false">S1761/(1-Resumo!$C$5)</f>
        <v>79.7123952272727</v>
      </c>
      <c r="U1761" s="39" t="n">
        <v>124.04</v>
      </c>
      <c r="V1761" s="39" t="n">
        <f aca="false">J1761*Resumo!$B$6</f>
        <v>0.21999</v>
      </c>
      <c r="W1761" s="39" t="n">
        <f aca="false">J1761*Resumo!$B$7</f>
        <v>0.43998</v>
      </c>
      <c r="X1761" s="39" t="n">
        <f aca="false">Resumo!$B$9</f>
        <v>1</v>
      </c>
      <c r="Y1761" s="39" t="n">
        <f aca="false">Resumo!$B$10*CEILING(I1761/100,1)</f>
        <v>4.5</v>
      </c>
      <c r="Z1761" s="39" t="n">
        <f aca="false">Resumo!$B$12*CEILING(I1761,1)</f>
        <v>0.9</v>
      </c>
      <c r="AA1761" s="39" t="n">
        <f aca="false">Resumo!$B$13*CEILING(I1761,1)</f>
        <v>6.75</v>
      </c>
      <c r="AB1761" s="39" t="n">
        <f aca="false">SUM(U1761:AA1761)</f>
        <v>137.84997</v>
      </c>
      <c r="AC1761" s="39" t="n">
        <f aca="false">AB1761/(1-Resumo!$B$5)</f>
        <v>156.647693181818</v>
      </c>
      <c r="AD1761" s="39" t="n">
        <f aca="false">(AB1761-AA1761)/(1-Resumo!$B$5)</f>
        <v>148.977238636364</v>
      </c>
      <c r="AE1761" s="39" t="n">
        <f aca="false">AC1761-T1761</f>
        <v>76.9352979545455</v>
      </c>
      <c r="AF1761" s="40" t="n">
        <f aca="false">AC1761/T1761-1</f>
        <v>0.965161035936641</v>
      </c>
      <c r="AG1761" s="37" t="str">
        <f aca="false">IF(AC1761&lt;T1761,"SIM","NÃO")</f>
        <v>NÃO</v>
      </c>
      <c r="AH1761" s="37" t="n">
        <v>13</v>
      </c>
      <c r="AI1761" s="37" t="n">
        <v>11</v>
      </c>
      <c r="AJ1761" s="37" t="s">
        <v>323</v>
      </c>
    </row>
    <row r="1762" customFormat="false" ht="15" hidden="false" customHeight="false" outlineLevel="0" collapsed="false">
      <c r="A1762" s="37" t="n">
        <v>393645579</v>
      </c>
      <c r="B1762" s="38" t="n">
        <v>46277.889224537</v>
      </c>
      <c r="C1762" s="37" t="s">
        <v>320</v>
      </c>
      <c r="D1762" s="37" t="s">
        <v>1923</v>
      </c>
      <c r="E1762" s="37" t="n">
        <v>24724310</v>
      </c>
      <c r="F1762" s="37" t="s">
        <v>140</v>
      </c>
      <c r="G1762" s="37" t="s">
        <v>207</v>
      </c>
      <c r="H1762" s="37" t="s">
        <v>172</v>
      </c>
      <c r="I1762" s="37" t="n">
        <v>69</v>
      </c>
      <c r="J1762" s="39" t="n">
        <v>699.18</v>
      </c>
      <c r="K1762" s="37" t="s">
        <v>322</v>
      </c>
      <c r="L1762" s="39" t="n">
        <v>139.78</v>
      </c>
      <c r="M1762" s="39" t="n">
        <v>100.9</v>
      </c>
      <c r="N1762" s="39" t="n">
        <f aca="false">J1762*Resumo!$C$7</f>
        <v>1.39836</v>
      </c>
      <c r="O1762" s="39" t="n">
        <f aca="false">J1762*Resumo!$C$8</f>
        <v>1.39836</v>
      </c>
      <c r="P1762" s="39" t="n">
        <f aca="false">Resumo!$C$10*CEILING(I1762/100,1)</f>
        <v>1</v>
      </c>
      <c r="Q1762" s="39" t="n">
        <f aca="false">Resumo!$C$9</f>
        <v>11.9</v>
      </c>
      <c r="R1762" s="39" t="n">
        <f aca="false">SUM(M1762:Q1762)*Resumo!$C$11</f>
        <v>6.4128196</v>
      </c>
      <c r="S1762" s="39" t="n">
        <f aca="false">SUM(M1762:R1762)</f>
        <v>123.0095396</v>
      </c>
      <c r="T1762" s="39" t="n">
        <f aca="false">S1762/(1-Resumo!$C$5)</f>
        <v>139.783567727273</v>
      </c>
      <c r="U1762" s="39" t="n">
        <v>149.5</v>
      </c>
      <c r="V1762" s="39" t="n">
        <f aca="false">J1762*Resumo!$B$6</f>
        <v>0.69918</v>
      </c>
      <c r="W1762" s="39" t="n">
        <f aca="false">J1762*Resumo!$B$7</f>
        <v>1.39836</v>
      </c>
      <c r="X1762" s="39" t="n">
        <f aca="false">Resumo!$B$9</f>
        <v>1</v>
      </c>
      <c r="Y1762" s="39" t="n">
        <f aca="false">Resumo!$B$10*CEILING(I1762/100,1)</f>
        <v>4.5</v>
      </c>
      <c r="Z1762" s="39" t="n">
        <f aca="false">Resumo!$B$12*CEILING(I1762,1)</f>
        <v>4.14</v>
      </c>
      <c r="AA1762" s="39" t="n">
        <f aca="false">Resumo!$B$13*CEILING(I1762,1)</f>
        <v>31.05</v>
      </c>
      <c r="AB1762" s="39" t="n">
        <f aca="false">SUM(U1762:AA1762)</f>
        <v>192.28754</v>
      </c>
      <c r="AC1762" s="39" t="n">
        <f aca="false">AB1762/(1-Resumo!$B$5)</f>
        <v>218.508568181818</v>
      </c>
      <c r="AD1762" s="39" t="n">
        <f aca="false">(AB1762-AA1762)/(1-Resumo!$B$5)</f>
        <v>183.224477272727</v>
      </c>
      <c r="AE1762" s="39" t="n">
        <f aca="false">AC1762-T1762</f>
        <v>78.7250004545455</v>
      </c>
      <c r="AF1762" s="40" t="n">
        <f aca="false">AC1762/T1762-1</f>
        <v>0.563192095712876</v>
      </c>
      <c r="AG1762" s="37" t="str">
        <f aca="false">IF(AC1762&lt;T1762,"SIM","NÃO")</f>
        <v>NÃO</v>
      </c>
      <c r="AH1762" s="37" t="n">
        <v>10</v>
      </c>
      <c r="AI1762" s="37" t="n">
        <v>7</v>
      </c>
      <c r="AJ1762" s="37" t="s">
        <v>323</v>
      </c>
    </row>
    <row r="1763" customFormat="false" ht="15" hidden="false" customHeight="false" outlineLevel="0" collapsed="false">
      <c r="A1763" s="37" t="n">
        <v>393647371</v>
      </c>
      <c r="B1763" s="38" t="n">
        <v>46277.8933101852</v>
      </c>
      <c r="C1763" s="37" t="s">
        <v>320</v>
      </c>
      <c r="D1763" s="37" t="s">
        <v>1856</v>
      </c>
      <c r="E1763" s="37" t="n">
        <v>24730530</v>
      </c>
      <c r="F1763" s="37" t="s">
        <v>140</v>
      </c>
      <c r="G1763" s="37" t="s">
        <v>207</v>
      </c>
      <c r="H1763" s="37" t="s">
        <v>168</v>
      </c>
      <c r="I1763" s="37" t="n">
        <v>31.9</v>
      </c>
      <c r="J1763" s="39" t="n">
        <v>649.99</v>
      </c>
      <c r="K1763" s="37" t="s">
        <v>322</v>
      </c>
      <c r="L1763" s="39" t="n">
        <v>102.5</v>
      </c>
      <c r="M1763" s="39" t="n">
        <v>70</v>
      </c>
      <c r="N1763" s="39" t="n">
        <f aca="false">J1763*Resumo!$C$7</f>
        <v>1.29998</v>
      </c>
      <c r="O1763" s="39" t="n">
        <f aca="false">J1763*Resumo!$C$8</f>
        <v>1.29998</v>
      </c>
      <c r="P1763" s="39" t="n">
        <f aca="false">Resumo!$C$10*CEILING(I1763/100,1)</f>
        <v>1</v>
      </c>
      <c r="Q1763" s="39" t="n">
        <f aca="false">Resumo!$C$9</f>
        <v>11.9</v>
      </c>
      <c r="R1763" s="39" t="n">
        <f aca="false">SUM(M1763:Q1763)*Resumo!$C$11</f>
        <v>4.7024978</v>
      </c>
      <c r="S1763" s="39" t="n">
        <f aca="false">SUM(M1763:R1763)</f>
        <v>90.2024578</v>
      </c>
      <c r="T1763" s="39" t="n">
        <f aca="false">S1763/(1-Resumo!$C$5)</f>
        <v>102.502792954545</v>
      </c>
      <c r="U1763" s="39" t="n">
        <v>100.58</v>
      </c>
      <c r="V1763" s="39" t="n">
        <f aca="false">J1763*Resumo!$B$6</f>
        <v>0.64999</v>
      </c>
      <c r="W1763" s="39" t="n">
        <f aca="false">J1763*Resumo!$B$7</f>
        <v>1.29998</v>
      </c>
      <c r="X1763" s="39" t="n">
        <f aca="false">Resumo!$B$9</f>
        <v>1</v>
      </c>
      <c r="Y1763" s="39" t="n">
        <f aca="false">Resumo!$B$10*CEILING(I1763/100,1)</f>
        <v>4.5</v>
      </c>
      <c r="Z1763" s="39" t="n">
        <f aca="false">Resumo!$B$12*CEILING(I1763,1)</f>
        <v>1.92</v>
      </c>
      <c r="AA1763" s="39" t="n">
        <f aca="false">Resumo!$B$13*CEILING(I1763,1)</f>
        <v>14.4</v>
      </c>
      <c r="AB1763" s="39" t="n">
        <f aca="false">SUM(U1763:AA1763)</f>
        <v>124.34997</v>
      </c>
      <c r="AC1763" s="39" t="n">
        <f aca="false">AB1763/(1-Resumo!$B$5)</f>
        <v>141.306784090909</v>
      </c>
      <c r="AD1763" s="39" t="n">
        <f aca="false">(AB1763-AA1763)/(1-Resumo!$B$5)</f>
        <v>124.943147727273</v>
      </c>
      <c r="AE1763" s="39" t="n">
        <f aca="false">AC1763-T1763</f>
        <v>38.8039911363636</v>
      </c>
      <c r="AF1763" s="40" t="n">
        <f aca="false">AC1763/T1763-1</f>
        <v>0.378565208009221</v>
      </c>
      <c r="AG1763" s="37" t="str">
        <f aca="false">IF(AC1763&lt;T1763,"SIM","NÃO")</f>
        <v>NÃO</v>
      </c>
      <c r="AH1763" s="37" t="n">
        <v>10</v>
      </c>
      <c r="AI1763" s="37" t="n">
        <v>7</v>
      </c>
      <c r="AJ1763" s="37" t="s">
        <v>323</v>
      </c>
    </row>
    <row r="1764" customFormat="false" ht="15" hidden="false" customHeight="false" outlineLevel="0" collapsed="false">
      <c r="A1764" s="37" t="n">
        <v>393654673</v>
      </c>
      <c r="B1764" s="38" t="n">
        <v>46277.910787037</v>
      </c>
      <c r="C1764" s="37" t="s">
        <v>320</v>
      </c>
      <c r="D1764" s="37" t="s">
        <v>1924</v>
      </c>
      <c r="E1764" s="37" t="n">
        <v>27347370</v>
      </c>
      <c r="F1764" s="37" t="s">
        <v>233</v>
      </c>
      <c r="G1764" s="37" t="s">
        <v>201</v>
      </c>
      <c r="H1764" s="37" t="s">
        <v>172</v>
      </c>
      <c r="I1764" s="37" t="n">
        <v>63.9</v>
      </c>
      <c r="J1764" s="39" t="n">
        <v>716.35</v>
      </c>
      <c r="K1764" s="37" t="s">
        <v>322</v>
      </c>
      <c r="L1764" s="39" t="n">
        <v>155.44</v>
      </c>
      <c r="M1764" s="39" t="n">
        <v>113.9</v>
      </c>
      <c r="N1764" s="39" t="n">
        <f aca="false">J1764*Resumo!$C$7</f>
        <v>1.4327</v>
      </c>
      <c r="O1764" s="39" t="n">
        <f aca="false">J1764*Resumo!$C$8</f>
        <v>1.4327</v>
      </c>
      <c r="P1764" s="39" t="n">
        <f aca="false">Resumo!$C$10*CEILING(I1764/100,1)</f>
        <v>1</v>
      </c>
      <c r="Q1764" s="39" t="n">
        <f aca="false">Resumo!$C$9</f>
        <v>11.9</v>
      </c>
      <c r="R1764" s="39" t="n">
        <f aca="false">SUM(M1764:Q1764)*Resumo!$C$11</f>
        <v>7.131597</v>
      </c>
      <c r="S1764" s="39" t="n">
        <f aca="false">SUM(M1764:R1764)</f>
        <v>136.796997</v>
      </c>
      <c r="T1764" s="39" t="n">
        <f aca="false">S1764/(1-Resumo!$C$5)</f>
        <v>155.451132954545</v>
      </c>
      <c r="U1764" s="39" t="n">
        <v>166.05</v>
      </c>
      <c r="V1764" s="39" t="n">
        <f aca="false">J1764*Resumo!$B$6</f>
        <v>0.71635</v>
      </c>
      <c r="W1764" s="39" t="n">
        <f aca="false">J1764*Resumo!$B$7</f>
        <v>1.4327</v>
      </c>
      <c r="X1764" s="39" t="n">
        <f aca="false">Resumo!$B$9</f>
        <v>1</v>
      </c>
      <c r="Y1764" s="39" t="n">
        <f aca="false">Resumo!$B$10*CEILING(I1764/100,1)</f>
        <v>4.5</v>
      </c>
      <c r="Z1764" s="39" t="n">
        <f aca="false">Resumo!$B$12*CEILING(I1764,1)</f>
        <v>3.84</v>
      </c>
      <c r="AA1764" s="39" t="n">
        <f aca="false">Resumo!$B$13*CEILING(I1764,1)</f>
        <v>28.8</v>
      </c>
      <c r="AB1764" s="39" t="n">
        <f aca="false">SUM(U1764:AA1764)</f>
        <v>206.33905</v>
      </c>
      <c r="AC1764" s="39" t="n">
        <f aca="false">AB1764/(1-Resumo!$B$5)</f>
        <v>234.476193181818</v>
      </c>
      <c r="AD1764" s="39" t="n">
        <f aca="false">(AB1764-AA1764)/(1-Resumo!$B$5)</f>
        <v>201.748920454545</v>
      </c>
      <c r="AE1764" s="39" t="n">
        <f aca="false">AC1764-T1764</f>
        <v>79.0250602272727</v>
      </c>
      <c r="AF1764" s="40" t="n">
        <f aca="false">AC1764/T1764-1</f>
        <v>0.508359500026159</v>
      </c>
      <c r="AG1764" s="37" t="str">
        <f aca="false">IF(AC1764&lt;T1764,"SIM","NÃO")</f>
        <v>NÃO</v>
      </c>
      <c r="AH1764" s="37" t="n">
        <v>13</v>
      </c>
      <c r="AI1764" s="37" t="n">
        <v>10</v>
      </c>
      <c r="AJ1764" s="37" t="s">
        <v>327</v>
      </c>
    </row>
    <row r="1765" customFormat="false" ht="15" hidden="false" customHeight="false" outlineLevel="0" collapsed="false">
      <c r="A1765" s="37" t="n">
        <v>393654861</v>
      </c>
      <c r="B1765" s="38" t="n">
        <v>46277.9111226852</v>
      </c>
      <c r="C1765" s="37" t="s">
        <v>320</v>
      </c>
      <c r="D1765" s="37" t="s">
        <v>1925</v>
      </c>
      <c r="E1765" s="37" t="n">
        <v>20960045</v>
      </c>
      <c r="F1765" s="37" t="s">
        <v>139</v>
      </c>
      <c r="G1765" s="37" t="s">
        <v>198</v>
      </c>
      <c r="H1765" s="37" t="s">
        <v>176</v>
      </c>
      <c r="I1765" s="37" t="n">
        <v>124.2</v>
      </c>
      <c r="J1765" s="39" t="n">
        <v>1699.99</v>
      </c>
      <c r="K1765" s="37" t="s">
        <v>322</v>
      </c>
      <c r="L1765" s="39" t="n">
        <v>234.44</v>
      </c>
      <c r="M1765" s="39" t="n">
        <v>174.85</v>
      </c>
      <c r="N1765" s="39" t="n">
        <f aca="false">J1765*Resumo!$C$7</f>
        <v>3.39998</v>
      </c>
      <c r="O1765" s="39" t="n">
        <f aca="false">J1765*Resumo!$C$8</f>
        <v>3.39998</v>
      </c>
      <c r="P1765" s="39" t="n">
        <f aca="false">Resumo!$C$10*CEILING(I1765/100,1)</f>
        <v>2</v>
      </c>
      <c r="Q1765" s="39" t="n">
        <f aca="false">Resumo!$C$9</f>
        <v>11.9</v>
      </c>
      <c r="R1765" s="39" t="n">
        <f aca="false">SUM(M1765:Q1765)*Resumo!$C$11</f>
        <v>10.7552478</v>
      </c>
      <c r="S1765" s="39" t="n">
        <f aca="false">SUM(M1765:R1765)</f>
        <v>206.3052078</v>
      </c>
      <c r="T1765" s="39" t="n">
        <f aca="false">S1765/(1-Resumo!$C$5)</f>
        <v>234.437736136364</v>
      </c>
      <c r="U1765" s="39" t="n">
        <v>239.25</v>
      </c>
      <c r="V1765" s="39" t="n">
        <f aca="false">J1765*Resumo!$B$6</f>
        <v>1.69999</v>
      </c>
      <c r="W1765" s="39" t="n">
        <f aca="false">J1765*Resumo!$B$7</f>
        <v>3.39998</v>
      </c>
      <c r="X1765" s="39" t="n">
        <f aca="false">Resumo!$B$9</f>
        <v>1</v>
      </c>
      <c r="Y1765" s="39" t="n">
        <f aca="false">Resumo!$B$10*CEILING(I1765/100,1)</f>
        <v>9</v>
      </c>
      <c r="Z1765" s="39" t="n">
        <f aca="false">Resumo!$B$12*CEILING(I1765,1)</f>
        <v>7.5</v>
      </c>
      <c r="AA1765" s="39" t="n">
        <f aca="false">Resumo!$B$13*CEILING(I1765,1)</f>
        <v>56.25</v>
      </c>
      <c r="AB1765" s="39" t="n">
        <f aca="false">SUM(U1765:AA1765)</f>
        <v>318.09997</v>
      </c>
      <c r="AC1765" s="39" t="n">
        <f aca="false">AB1765/(1-Resumo!$B$5)</f>
        <v>361.477238636364</v>
      </c>
      <c r="AD1765" s="39" t="n">
        <f aca="false">(AB1765-AA1765)/(1-Resumo!$B$5)</f>
        <v>297.556784090909</v>
      </c>
      <c r="AE1765" s="39" t="n">
        <f aca="false">AC1765-T1765</f>
        <v>127.0395025</v>
      </c>
      <c r="AF1765" s="40" t="n">
        <f aca="false">AC1765/T1765-1</f>
        <v>0.541890160661276</v>
      </c>
      <c r="AG1765" s="37" t="str">
        <f aca="false">IF(AC1765&lt;T1765,"SIM","NÃO")</f>
        <v>NÃO</v>
      </c>
      <c r="AH1765" s="37" t="n">
        <v>8</v>
      </c>
      <c r="AI1765" s="37" t="n">
        <v>5</v>
      </c>
      <c r="AJ1765" s="37" t="s">
        <v>323</v>
      </c>
    </row>
    <row r="1766" customFormat="false" ht="15" hidden="false" customHeight="false" outlineLevel="0" collapsed="false">
      <c r="A1766" s="37" t="n">
        <v>393671081</v>
      </c>
      <c r="B1766" s="38" t="n">
        <v>46277.9438194444</v>
      </c>
      <c r="C1766" s="37" t="s">
        <v>320</v>
      </c>
      <c r="D1766" s="37" t="s">
        <v>1926</v>
      </c>
      <c r="E1766" s="37" t="n">
        <v>24330060</v>
      </c>
      <c r="F1766" s="37" t="s">
        <v>143</v>
      </c>
      <c r="G1766" s="37" t="s">
        <v>207</v>
      </c>
      <c r="H1766" s="37" t="s">
        <v>171</v>
      </c>
      <c r="I1766" s="37" t="n">
        <v>52.3</v>
      </c>
      <c r="J1766" s="39" t="n">
        <v>645.14</v>
      </c>
      <c r="K1766" s="37" t="s">
        <v>322</v>
      </c>
      <c r="L1766" s="39" t="n">
        <v>128.38</v>
      </c>
      <c r="M1766" s="39" t="n">
        <v>91.6</v>
      </c>
      <c r="N1766" s="39" t="n">
        <f aca="false">J1766*Resumo!$C$7</f>
        <v>1.29028</v>
      </c>
      <c r="O1766" s="39" t="n">
        <f aca="false">J1766*Resumo!$C$8</f>
        <v>1.29028</v>
      </c>
      <c r="P1766" s="39" t="n">
        <f aca="false">Resumo!$C$10*CEILING(I1766/100,1)</f>
        <v>1</v>
      </c>
      <c r="Q1766" s="39" t="n">
        <f aca="false">Resumo!$C$9</f>
        <v>11.9</v>
      </c>
      <c r="R1766" s="39" t="n">
        <f aca="false">SUM(M1766:Q1766)*Resumo!$C$11</f>
        <v>5.8894308</v>
      </c>
      <c r="S1766" s="39" t="n">
        <f aca="false">SUM(M1766:R1766)</f>
        <v>112.9699908</v>
      </c>
      <c r="T1766" s="39" t="n">
        <f aca="false">S1766/(1-Resumo!$C$5)</f>
        <v>128.374989545455</v>
      </c>
      <c r="U1766" s="39" t="n">
        <v>128.14</v>
      </c>
      <c r="V1766" s="39" t="n">
        <f aca="false">J1766*Resumo!$B$6</f>
        <v>0.64514</v>
      </c>
      <c r="W1766" s="39" t="n">
        <f aca="false">J1766*Resumo!$B$7</f>
        <v>1.29028</v>
      </c>
      <c r="X1766" s="39" t="n">
        <f aca="false">Resumo!$B$9</f>
        <v>1</v>
      </c>
      <c r="Y1766" s="39" t="n">
        <f aca="false">Resumo!$B$10*CEILING(I1766/100,1)</f>
        <v>4.5</v>
      </c>
      <c r="Z1766" s="39" t="n">
        <f aca="false">Resumo!$B$12*CEILING(I1766,1)</f>
        <v>3.18</v>
      </c>
      <c r="AA1766" s="39" t="n">
        <f aca="false">Resumo!$B$13*CEILING(I1766,1)</f>
        <v>23.85</v>
      </c>
      <c r="AB1766" s="39" t="n">
        <f aca="false">SUM(U1766:AA1766)</f>
        <v>162.60542</v>
      </c>
      <c r="AC1766" s="39" t="n">
        <f aca="false">AB1766/(1-Resumo!$B$5)</f>
        <v>184.778886363636</v>
      </c>
      <c r="AD1766" s="39" t="n">
        <f aca="false">(AB1766-AA1766)/(1-Resumo!$B$5)</f>
        <v>157.676613636364</v>
      </c>
      <c r="AE1766" s="39" t="n">
        <f aca="false">AC1766-T1766</f>
        <v>56.4038968181818</v>
      </c>
      <c r="AF1766" s="40" t="n">
        <f aca="false">AC1766/T1766-1</f>
        <v>0.43936826805513</v>
      </c>
      <c r="AG1766" s="37" t="str">
        <f aca="false">IF(AC1766&lt;T1766,"SIM","NÃO")</f>
        <v>NÃO</v>
      </c>
      <c r="AH1766" s="37" t="n">
        <v>10</v>
      </c>
      <c r="AI1766" s="37" t="n">
        <v>7</v>
      </c>
      <c r="AJ1766" s="37" t="s">
        <v>323</v>
      </c>
    </row>
    <row r="1767" customFormat="false" ht="15" hidden="false" customHeight="false" outlineLevel="0" collapsed="false">
      <c r="A1767" s="37" t="n">
        <v>393702937</v>
      </c>
      <c r="B1767" s="38" t="n">
        <v>46278.0131134259</v>
      </c>
      <c r="C1767" s="37" t="s">
        <v>320</v>
      </c>
      <c r="D1767" s="37" t="s">
        <v>1927</v>
      </c>
      <c r="E1767" s="37" t="n">
        <v>24460310</v>
      </c>
      <c r="F1767" s="37" t="s">
        <v>140</v>
      </c>
      <c r="G1767" s="37" t="s">
        <v>207</v>
      </c>
      <c r="H1767" s="37" t="s">
        <v>172</v>
      </c>
      <c r="I1767" s="37" t="n">
        <v>66.8</v>
      </c>
      <c r="J1767" s="39" t="n">
        <v>719.99</v>
      </c>
      <c r="K1767" s="37" t="s">
        <v>322</v>
      </c>
      <c r="L1767" s="39" t="n">
        <v>139.89</v>
      </c>
      <c r="M1767" s="39" t="n">
        <v>100.9</v>
      </c>
      <c r="N1767" s="39" t="n">
        <f aca="false">J1767*Resumo!$C$7</f>
        <v>1.43998</v>
      </c>
      <c r="O1767" s="39" t="n">
        <f aca="false">J1767*Resumo!$C$8</f>
        <v>1.43998</v>
      </c>
      <c r="P1767" s="39" t="n">
        <f aca="false">Resumo!$C$10*CEILING(I1767/100,1)</f>
        <v>1</v>
      </c>
      <c r="Q1767" s="39" t="n">
        <f aca="false">Resumo!$C$9</f>
        <v>11.9</v>
      </c>
      <c r="R1767" s="39" t="n">
        <f aca="false">SUM(M1767:Q1767)*Resumo!$C$11</f>
        <v>6.4173978</v>
      </c>
      <c r="S1767" s="39" t="n">
        <f aca="false">SUM(M1767:R1767)</f>
        <v>123.0973578</v>
      </c>
      <c r="T1767" s="39" t="n">
        <f aca="false">S1767/(1-Resumo!$C$5)</f>
        <v>139.883361136364</v>
      </c>
      <c r="U1767" s="39" t="n">
        <v>149.5</v>
      </c>
      <c r="V1767" s="39" t="n">
        <f aca="false">J1767*Resumo!$B$6</f>
        <v>0.71999</v>
      </c>
      <c r="W1767" s="39" t="n">
        <f aca="false">J1767*Resumo!$B$7</f>
        <v>1.43998</v>
      </c>
      <c r="X1767" s="39" t="n">
        <f aca="false">Resumo!$B$9</f>
        <v>1</v>
      </c>
      <c r="Y1767" s="39" t="n">
        <f aca="false">Resumo!$B$10*CEILING(I1767/100,1)</f>
        <v>4.5</v>
      </c>
      <c r="Z1767" s="39" t="n">
        <f aca="false">Resumo!$B$12*CEILING(I1767,1)</f>
        <v>4.02</v>
      </c>
      <c r="AA1767" s="39" t="n">
        <f aca="false">Resumo!$B$13*CEILING(I1767,1)</f>
        <v>30.15</v>
      </c>
      <c r="AB1767" s="39" t="n">
        <f aca="false">SUM(U1767:AA1767)</f>
        <v>191.32997</v>
      </c>
      <c r="AC1767" s="39" t="n">
        <f aca="false">AB1767/(1-Resumo!$B$5)</f>
        <v>217.420420454545</v>
      </c>
      <c r="AD1767" s="39" t="n">
        <f aca="false">(AB1767-AA1767)/(1-Resumo!$B$5)</f>
        <v>183.159056818182</v>
      </c>
      <c r="AE1767" s="39" t="n">
        <f aca="false">AC1767-T1767</f>
        <v>77.5370593181818</v>
      </c>
      <c r="AF1767" s="40" t="n">
        <f aca="false">AC1767/T1767-1</f>
        <v>0.554297942859664</v>
      </c>
      <c r="AG1767" s="37" t="str">
        <f aca="false">IF(AC1767&lt;T1767,"SIM","NÃO")</f>
        <v>NÃO</v>
      </c>
      <c r="AH1767" s="37" t="n">
        <v>10</v>
      </c>
      <c r="AI1767" s="37" t="n">
        <v>7</v>
      </c>
      <c r="AJ1767" s="37" t="s">
        <v>323</v>
      </c>
    </row>
    <row r="1768" customFormat="false" ht="15" hidden="false" customHeight="false" outlineLevel="0" collapsed="false">
      <c r="A1768" s="37" t="n">
        <v>393836138</v>
      </c>
      <c r="B1768" s="38" t="n">
        <v>46278.2715856481</v>
      </c>
      <c r="C1768" s="37" t="s">
        <v>320</v>
      </c>
      <c r="D1768" s="37" t="s">
        <v>1928</v>
      </c>
      <c r="E1768" s="37" t="n">
        <v>21921525</v>
      </c>
      <c r="F1768" s="37" t="s">
        <v>139</v>
      </c>
      <c r="G1768" s="37" t="s">
        <v>198</v>
      </c>
      <c r="H1768" s="37" t="s">
        <v>171</v>
      </c>
      <c r="I1768" s="37" t="n">
        <v>52.3</v>
      </c>
      <c r="J1768" s="39" t="n">
        <v>645.14</v>
      </c>
      <c r="K1768" s="37" t="s">
        <v>322</v>
      </c>
      <c r="L1768" s="39" t="n">
        <v>114.24</v>
      </c>
      <c r="M1768" s="39" t="n">
        <v>79.81</v>
      </c>
      <c r="N1768" s="39" t="n">
        <f aca="false">J1768*Resumo!$C$7</f>
        <v>1.29028</v>
      </c>
      <c r="O1768" s="39" t="n">
        <f aca="false">J1768*Resumo!$C$8</f>
        <v>1.29028</v>
      </c>
      <c r="P1768" s="39" t="n">
        <f aca="false">Resumo!$C$10*CEILING(I1768/100,1)</f>
        <v>1</v>
      </c>
      <c r="Q1768" s="39" t="n">
        <f aca="false">Resumo!$C$9</f>
        <v>11.9</v>
      </c>
      <c r="R1768" s="39" t="n">
        <f aca="false">SUM(M1768:Q1768)*Resumo!$C$11</f>
        <v>5.2409808</v>
      </c>
      <c r="S1768" s="39" t="n">
        <f aca="false">SUM(M1768:R1768)</f>
        <v>100.5315408</v>
      </c>
      <c r="T1768" s="39" t="n">
        <f aca="false">S1768/(1-Resumo!$C$5)</f>
        <v>114.240387272727</v>
      </c>
      <c r="U1768" s="39" t="n">
        <v>112.3</v>
      </c>
      <c r="V1768" s="39" t="n">
        <f aca="false">J1768*Resumo!$B$6</f>
        <v>0.64514</v>
      </c>
      <c r="W1768" s="39" t="n">
        <f aca="false">J1768*Resumo!$B$7</f>
        <v>1.29028</v>
      </c>
      <c r="X1768" s="39" t="n">
        <f aca="false">Resumo!$B$9</f>
        <v>1</v>
      </c>
      <c r="Y1768" s="39" t="n">
        <f aca="false">Resumo!$B$10*CEILING(I1768/100,1)</f>
        <v>4.5</v>
      </c>
      <c r="Z1768" s="39" t="n">
        <f aca="false">Resumo!$B$12*CEILING(I1768,1)</f>
        <v>3.18</v>
      </c>
      <c r="AA1768" s="39" t="n">
        <f aca="false">Resumo!$B$13*CEILING(I1768,1)</f>
        <v>23.85</v>
      </c>
      <c r="AB1768" s="39" t="n">
        <f aca="false">SUM(U1768:AA1768)</f>
        <v>146.76542</v>
      </c>
      <c r="AC1768" s="39" t="n">
        <f aca="false">AB1768/(1-Resumo!$B$5)</f>
        <v>166.778886363636</v>
      </c>
      <c r="AD1768" s="39" t="n">
        <f aca="false">(AB1768-AA1768)/(1-Resumo!$B$5)</f>
        <v>139.676613636364</v>
      </c>
      <c r="AE1768" s="39" t="n">
        <f aca="false">AC1768-T1768</f>
        <v>52.5384990909091</v>
      </c>
      <c r="AF1768" s="40" t="n">
        <f aca="false">AC1768/T1768-1</f>
        <v>0.459894266337555</v>
      </c>
      <c r="AG1768" s="37" t="str">
        <f aca="false">IF(AC1768&lt;T1768,"SIM","NÃO")</f>
        <v>NÃO</v>
      </c>
      <c r="AH1768" s="37" t="n">
        <v>8</v>
      </c>
      <c r="AI1768" s="37" t="n">
        <v>5</v>
      </c>
      <c r="AJ1768" s="37" t="s">
        <v>323</v>
      </c>
    </row>
    <row r="1769" customFormat="false" ht="15" hidden="false" customHeight="false" outlineLevel="0" collapsed="false">
      <c r="A1769" s="37" t="n">
        <v>393895716</v>
      </c>
      <c r="B1769" s="38" t="n">
        <v>46278.3925925926</v>
      </c>
      <c r="C1769" s="37" t="s">
        <v>320</v>
      </c>
      <c r="D1769" s="37" t="s">
        <v>1929</v>
      </c>
      <c r="E1769" s="37" t="n">
        <v>24717070</v>
      </c>
      <c r="F1769" s="37" t="s">
        <v>140</v>
      </c>
      <c r="G1769" s="37" t="s">
        <v>207</v>
      </c>
      <c r="H1769" s="37" t="s">
        <v>168</v>
      </c>
      <c r="I1769" s="37" t="n">
        <v>33</v>
      </c>
      <c r="J1769" s="39" t="n">
        <v>344.13</v>
      </c>
      <c r="K1769" s="37" t="s">
        <v>322</v>
      </c>
      <c r="L1769" s="39" t="n">
        <v>101.05</v>
      </c>
      <c r="M1769" s="39" t="n">
        <v>70</v>
      </c>
      <c r="N1769" s="39" t="n">
        <f aca="false">J1769*Resumo!$C$7</f>
        <v>0.68826</v>
      </c>
      <c r="O1769" s="39" t="n">
        <f aca="false">J1769*Resumo!$C$8</f>
        <v>0.68826</v>
      </c>
      <c r="P1769" s="39" t="n">
        <f aca="false">Resumo!$C$10*CEILING(I1769/100,1)</f>
        <v>1</v>
      </c>
      <c r="Q1769" s="39" t="n">
        <f aca="false">Resumo!$C$9</f>
        <v>11.9</v>
      </c>
      <c r="R1769" s="39" t="n">
        <f aca="false">SUM(M1769:Q1769)*Resumo!$C$11</f>
        <v>4.6352086</v>
      </c>
      <c r="S1769" s="39" t="n">
        <f aca="false">SUM(M1769:R1769)</f>
        <v>88.9117286</v>
      </c>
      <c r="T1769" s="39" t="n">
        <f aca="false">S1769/(1-Resumo!$C$5)</f>
        <v>101.036055227273</v>
      </c>
      <c r="U1769" s="39" t="n">
        <v>100.58</v>
      </c>
      <c r="V1769" s="39" t="n">
        <f aca="false">J1769*Resumo!$B$6</f>
        <v>0.34413</v>
      </c>
      <c r="W1769" s="39" t="n">
        <f aca="false">J1769*Resumo!$B$7</f>
        <v>0.68826</v>
      </c>
      <c r="X1769" s="39" t="n">
        <f aca="false">Resumo!$B$9</f>
        <v>1</v>
      </c>
      <c r="Y1769" s="39" t="n">
        <f aca="false">Resumo!$B$10*CEILING(I1769/100,1)</f>
        <v>4.5</v>
      </c>
      <c r="Z1769" s="39" t="n">
        <f aca="false">Resumo!$B$12*CEILING(I1769,1)</f>
        <v>1.98</v>
      </c>
      <c r="AA1769" s="39" t="n">
        <f aca="false">Resumo!$B$13*CEILING(I1769,1)</f>
        <v>14.85</v>
      </c>
      <c r="AB1769" s="39" t="n">
        <f aca="false">SUM(U1769:AA1769)</f>
        <v>123.94239</v>
      </c>
      <c r="AC1769" s="39" t="n">
        <f aca="false">AB1769/(1-Resumo!$B$5)</f>
        <v>140.843625</v>
      </c>
      <c r="AD1769" s="39" t="n">
        <f aca="false">(AB1769-AA1769)/(1-Resumo!$B$5)</f>
        <v>123.968625</v>
      </c>
      <c r="AE1769" s="39" t="n">
        <f aca="false">AC1769-T1769</f>
        <v>39.8075697727273</v>
      </c>
      <c r="AF1769" s="40" t="n">
        <f aca="false">AC1769/T1769-1</f>
        <v>0.39399370534789</v>
      </c>
      <c r="AG1769" s="37" t="str">
        <f aca="false">IF(AC1769&lt;T1769,"SIM","NÃO")</f>
        <v>NÃO</v>
      </c>
      <c r="AH1769" s="37" t="n">
        <v>10</v>
      </c>
      <c r="AI1769" s="37" t="n">
        <v>7</v>
      </c>
      <c r="AJ1769" s="37" t="s">
        <v>323</v>
      </c>
    </row>
    <row r="1770" customFormat="false" ht="15" hidden="false" customHeight="false" outlineLevel="0" collapsed="false">
      <c r="A1770" s="37" t="n">
        <v>393896312</v>
      </c>
      <c r="B1770" s="38" t="n">
        <v>46278.3935069444</v>
      </c>
      <c r="C1770" s="37" t="s">
        <v>325</v>
      </c>
      <c r="D1770" s="37" t="s">
        <v>1689</v>
      </c>
      <c r="E1770" s="37" t="n">
        <v>22745270</v>
      </c>
      <c r="F1770" s="37" t="s">
        <v>139</v>
      </c>
      <c r="G1770" s="37" t="s">
        <v>198</v>
      </c>
      <c r="H1770" s="37" t="s">
        <v>172</v>
      </c>
      <c r="I1770" s="37" t="n">
        <v>69.15</v>
      </c>
      <c r="J1770" s="39" t="n">
        <v>740.03</v>
      </c>
      <c r="K1770" s="37" t="s">
        <v>322</v>
      </c>
      <c r="L1770" s="39" t="n">
        <v>124.75</v>
      </c>
      <c r="M1770" s="39" t="n">
        <v>88.2</v>
      </c>
      <c r="N1770" s="39" t="n">
        <f aca="false">J1770*Resumo!$C$7</f>
        <v>1.48006</v>
      </c>
      <c r="O1770" s="39" t="n">
        <f aca="false">J1770*Resumo!$C$8</f>
        <v>1.48006</v>
      </c>
      <c r="P1770" s="39" t="n">
        <f aca="false">Resumo!$C$10*CEILING(I1770/100,1)</f>
        <v>1</v>
      </c>
      <c r="Q1770" s="39" t="n">
        <f aca="false">Resumo!$C$9</f>
        <v>11.9</v>
      </c>
      <c r="R1770" s="39" t="n">
        <f aca="false">SUM(M1770:Q1770)*Resumo!$C$11</f>
        <v>5.7233066</v>
      </c>
      <c r="S1770" s="39" t="n">
        <f aca="false">SUM(M1770:R1770)</f>
        <v>109.7834266</v>
      </c>
      <c r="T1770" s="39" t="n">
        <f aca="false">S1770/(1-Resumo!$C$5)</f>
        <v>124.753893863636</v>
      </c>
      <c r="U1770" s="39" t="n">
        <v>131.02</v>
      </c>
      <c r="V1770" s="39" t="n">
        <f aca="false">J1770*Resumo!$B$6</f>
        <v>0.74003</v>
      </c>
      <c r="W1770" s="39" t="n">
        <f aca="false">J1770*Resumo!$B$7</f>
        <v>1.48006</v>
      </c>
      <c r="X1770" s="39" t="n">
        <f aca="false">Resumo!$B$9</f>
        <v>1</v>
      </c>
      <c r="Y1770" s="39" t="n">
        <f aca="false">Resumo!$B$10*CEILING(I1770/100,1)</f>
        <v>4.5</v>
      </c>
      <c r="Z1770" s="39" t="n">
        <f aca="false">Resumo!$B$12*CEILING(I1770,1)</f>
        <v>4.2</v>
      </c>
      <c r="AA1770" s="39" t="n">
        <f aca="false">Resumo!$B$13*CEILING(I1770,1)</f>
        <v>31.5</v>
      </c>
      <c r="AB1770" s="39" t="n">
        <f aca="false">SUM(U1770:AA1770)</f>
        <v>174.44009</v>
      </c>
      <c r="AC1770" s="39" t="n">
        <f aca="false">AB1770/(1-Resumo!$B$5)</f>
        <v>198.227375</v>
      </c>
      <c r="AD1770" s="39" t="n">
        <f aca="false">(AB1770-AA1770)/(1-Resumo!$B$5)</f>
        <v>162.431920454545</v>
      </c>
      <c r="AE1770" s="39" t="n">
        <f aca="false">AC1770-T1770</f>
        <v>73.4734811363636</v>
      </c>
      <c r="AF1770" s="40" t="n">
        <f aca="false">AC1770/T1770-1</f>
        <v>0.588947397639344</v>
      </c>
      <c r="AG1770" s="37" t="str">
        <f aca="false">IF(AC1770&lt;T1770,"SIM","NÃO")</f>
        <v>NÃO</v>
      </c>
      <c r="AH1770" s="37" t="n">
        <v>8</v>
      </c>
      <c r="AI1770" s="37" t="n">
        <v>5</v>
      </c>
      <c r="AJ1770" s="37" t="s">
        <v>323</v>
      </c>
    </row>
    <row r="1771" customFormat="false" ht="15" hidden="false" customHeight="false" outlineLevel="0" collapsed="false">
      <c r="A1771" s="37" t="n">
        <v>393918448</v>
      </c>
      <c r="B1771" s="38" t="n">
        <v>46278.4333796296</v>
      </c>
      <c r="C1771" s="37" t="s">
        <v>320</v>
      </c>
      <c r="D1771" s="37" t="s">
        <v>1930</v>
      </c>
      <c r="E1771" s="37" t="n">
        <v>22710092</v>
      </c>
      <c r="F1771" s="37" t="s">
        <v>139</v>
      </c>
      <c r="G1771" s="37" t="s">
        <v>198</v>
      </c>
      <c r="H1771" s="37" t="s">
        <v>168</v>
      </c>
      <c r="I1771" s="37" t="n">
        <v>31.9</v>
      </c>
      <c r="J1771" s="39" t="n">
        <v>599.99</v>
      </c>
      <c r="K1771" s="37" t="s">
        <v>322</v>
      </c>
      <c r="L1771" s="39" t="n">
        <v>83.2</v>
      </c>
      <c r="M1771" s="39" t="n">
        <v>54.1</v>
      </c>
      <c r="N1771" s="39" t="n">
        <f aca="false">J1771*Resumo!$C$7</f>
        <v>1.19998</v>
      </c>
      <c r="O1771" s="39" t="n">
        <f aca="false">J1771*Resumo!$C$8</f>
        <v>1.19998</v>
      </c>
      <c r="P1771" s="39" t="n">
        <f aca="false">Resumo!$C$10*CEILING(I1771/100,1)</f>
        <v>1</v>
      </c>
      <c r="Q1771" s="39" t="n">
        <f aca="false">Resumo!$C$9</f>
        <v>11.9</v>
      </c>
      <c r="R1771" s="39" t="n">
        <f aca="false">SUM(M1771:Q1771)*Resumo!$C$11</f>
        <v>3.8169978</v>
      </c>
      <c r="S1771" s="39" t="n">
        <f aca="false">SUM(M1771:R1771)</f>
        <v>73.2169578</v>
      </c>
      <c r="T1771" s="39" t="n">
        <f aca="false">S1771/(1-Resumo!$C$5)</f>
        <v>83.2010884090909</v>
      </c>
      <c r="U1771" s="39" t="n">
        <v>82.21</v>
      </c>
      <c r="V1771" s="39" t="n">
        <f aca="false">J1771*Resumo!$B$6</f>
        <v>0.59999</v>
      </c>
      <c r="W1771" s="39" t="n">
        <f aca="false">J1771*Resumo!$B$7</f>
        <v>1.19998</v>
      </c>
      <c r="X1771" s="39" t="n">
        <f aca="false">Resumo!$B$9</f>
        <v>1</v>
      </c>
      <c r="Y1771" s="39" t="n">
        <f aca="false">Resumo!$B$10*CEILING(I1771/100,1)</f>
        <v>4.5</v>
      </c>
      <c r="Z1771" s="39" t="n">
        <f aca="false">Resumo!$B$12*CEILING(I1771,1)</f>
        <v>1.92</v>
      </c>
      <c r="AA1771" s="39" t="n">
        <f aca="false">Resumo!$B$13*CEILING(I1771,1)</f>
        <v>14.4</v>
      </c>
      <c r="AB1771" s="39" t="n">
        <f aca="false">SUM(U1771:AA1771)</f>
        <v>105.82997</v>
      </c>
      <c r="AC1771" s="39" t="n">
        <f aca="false">AB1771/(1-Resumo!$B$5)</f>
        <v>120.261329545455</v>
      </c>
      <c r="AD1771" s="39" t="n">
        <f aca="false">(AB1771-AA1771)/(1-Resumo!$B$5)</f>
        <v>103.897693181818</v>
      </c>
      <c r="AE1771" s="39" t="n">
        <f aca="false">AC1771-T1771</f>
        <v>37.0602411363636</v>
      </c>
      <c r="AF1771" s="40" t="n">
        <f aca="false">AC1771/T1771-1</f>
        <v>0.44542976354038</v>
      </c>
      <c r="AG1771" s="37" t="str">
        <f aca="false">IF(AC1771&lt;T1771,"SIM","NÃO")</f>
        <v>NÃO</v>
      </c>
      <c r="AH1771" s="37" t="n">
        <v>8</v>
      </c>
      <c r="AI1771" s="37" t="n">
        <v>5</v>
      </c>
      <c r="AJ1771" s="37" t="s">
        <v>323</v>
      </c>
    </row>
    <row r="1772" customFormat="false" ht="15" hidden="false" customHeight="false" outlineLevel="0" collapsed="false">
      <c r="A1772" s="37" t="n">
        <v>393946921</v>
      </c>
      <c r="B1772" s="38" t="n">
        <v>46278.481712963</v>
      </c>
      <c r="C1772" s="37" t="s">
        <v>320</v>
      </c>
      <c r="D1772" s="37" t="s">
        <v>1931</v>
      </c>
      <c r="E1772" s="37" t="n">
        <v>20760005</v>
      </c>
      <c r="F1772" s="37" t="s">
        <v>139</v>
      </c>
      <c r="G1772" s="37" t="s">
        <v>198</v>
      </c>
      <c r="H1772" s="37" t="s">
        <v>172</v>
      </c>
      <c r="I1772" s="37" t="n">
        <v>67.3</v>
      </c>
      <c r="J1772" s="39" t="n">
        <v>789.99</v>
      </c>
      <c r="K1772" s="37" t="s">
        <v>322</v>
      </c>
      <c r="L1772" s="39" t="n">
        <v>124.99</v>
      </c>
      <c r="M1772" s="39" t="n">
        <v>88.2</v>
      </c>
      <c r="N1772" s="39" t="n">
        <f aca="false">J1772*Resumo!$C$7</f>
        <v>1.57998</v>
      </c>
      <c r="O1772" s="39" t="n">
        <f aca="false">J1772*Resumo!$C$8</f>
        <v>1.57998</v>
      </c>
      <c r="P1772" s="39" t="n">
        <f aca="false">Resumo!$C$10*CEILING(I1772/100,1)</f>
        <v>1</v>
      </c>
      <c r="Q1772" s="39" t="n">
        <f aca="false">Resumo!$C$9</f>
        <v>11.9</v>
      </c>
      <c r="R1772" s="39" t="n">
        <f aca="false">SUM(M1772:Q1772)*Resumo!$C$11</f>
        <v>5.7342978</v>
      </c>
      <c r="S1772" s="39" t="n">
        <f aca="false">SUM(M1772:R1772)</f>
        <v>109.9942578</v>
      </c>
      <c r="T1772" s="39" t="n">
        <f aca="false">S1772/(1-Resumo!$C$5)</f>
        <v>124.993474772727</v>
      </c>
      <c r="U1772" s="39" t="n">
        <v>131.02</v>
      </c>
      <c r="V1772" s="39" t="n">
        <f aca="false">J1772*Resumo!$B$6</f>
        <v>0.78999</v>
      </c>
      <c r="W1772" s="39" t="n">
        <f aca="false">J1772*Resumo!$B$7</f>
        <v>1.57998</v>
      </c>
      <c r="X1772" s="39" t="n">
        <f aca="false">Resumo!$B$9</f>
        <v>1</v>
      </c>
      <c r="Y1772" s="39" t="n">
        <f aca="false">Resumo!$B$10*CEILING(I1772/100,1)</f>
        <v>4.5</v>
      </c>
      <c r="Z1772" s="39" t="n">
        <f aca="false">Resumo!$B$12*CEILING(I1772,1)</f>
        <v>4.08</v>
      </c>
      <c r="AA1772" s="39" t="n">
        <f aca="false">Resumo!$B$13*CEILING(I1772,1)</f>
        <v>30.6</v>
      </c>
      <c r="AB1772" s="39" t="n">
        <f aca="false">SUM(U1772:AA1772)</f>
        <v>173.56997</v>
      </c>
      <c r="AC1772" s="39" t="n">
        <f aca="false">AB1772/(1-Resumo!$B$5)</f>
        <v>197.238602272727</v>
      </c>
      <c r="AD1772" s="39" t="n">
        <f aca="false">(AB1772-AA1772)/(1-Resumo!$B$5)</f>
        <v>162.465875</v>
      </c>
      <c r="AE1772" s="39" t="n">
        <f aca="false">AC1772-T1772</f>
        <v>72.2451275</v>
      </c>
      <c r="AF1772" s="40" t="n">
        <f aca="false">AC1772/T1772-1</f>
        <v>0.577991192191125</v>
      </c>
      <c r="AG1772" s="37" t="str">
        <f aca="false">IF(AC1772&lt;T1772,"SIM","NÃO")</f>
        <v>NÃO</v>
      </c>
      <c r="AH1772" s="37" t="n">
        <v>8</v>
      </c>
      <c r="AI1772" s="37" t="n">
        <v>5</v>
      </c>
      <c r="AJ1772" s="37" t="s">
        <v>323</v>
      </c>
    </row>
    <row r="1773" customFormat="false" ht="15" hidden="false" customHeight="false" outlineLevel="0" collapsed="false">
      <c r="A1773" s="37" t="n">
        <v>393956557</v>
      </c>
      <c r="B1773" s="38" t="n">
        <v>46278.4972685185</v>
      </c>
      <c r="C1773" s="37" t="s">
        <v>325</v>
      </c>
      <c r="D1773" s="37" t="s">
        <v>1111</v>
      </c>
      <c r="E1773" s="37" t="n">
        <v>21725180</v>
      </c>
      <c r="F1773" s="37" t="s">
        <v>139</v>
      </c>
      <c r="G1773" s="37" t="s">
        <v>198</v>
      </c>
      <c r="H1773" s="37" t="s">
        <v>171</v>
      </c>
      <c r="I1773" s="37" t="n">
        <v>52.3</v>
      </c>
      <c r="J1773" s="39" t="n">
        <v>609.99</v>
      </c>
      <c r="K1773" s="37" t="s">
        <v>322</v>
      </c>
      <c r="L1773" s="39" t="n">
        <v>114.07</v>
      </c>
      <c r="M1773" s="39" t="n">
        <v>79.81</v>
      </c>
      <c r="N1773" s="39" t="n">
        <f aca="false">J1773*Resumo!$C$7</f>
        <v>1.21998</v>
      </c>
      <c r="O1773" s="39" t="n">
        <f aca="false">J1773*Resumo!$C$8</f>
        <v>1.21998</v>
      </c>
      <c r="P1773" s="39" t="n">
        <f aca="false">Resumo!$C$10*CEILING(I1773/100,1)</f>
        <v>1</v>
      </c>
      <c r="Q1773" s="39" t="n">
        <f aca="false">Resumo!$C$9</f>
        <v>11.9</v>
      </c>
      <c r="R1773" s="39" t="n">
        <f aca="false">SUM(M1773:Q1773)*Resumo!$C$11</f>
        <v>5.2332478</v>
      </c>
      <c r="S1773" s="39" t="n">
        <f aca="false">SUM(M1773:R1773)</f>
        <v>100.3832078</v>
      </c>
      <c r="T1773" s="39" t="n">
        <f aca="false">S1773/(1-Resumo!$C$5)</f>
        <v>114.071827045455</v>
      </c>
      <c r="U1773" s="39" t="n">
        <v>112.3</v>
      </c>
      <c r="V1773" s="39" t="n">
        <f aca="false">J1773*Resumo!$B$6</f>
        <v>0.60999</v>
      </c>
      <c r="W1773" s="39" t="n">
        <f aca="false">J1773*Resumo!$B$7</f>
        <v>1.21998</v>
      </c>
      <c r="X1773" s="39" t="n">
        <f aca="false">Resumo!$B$9</f>
        <v>1</v>
      </c>
      <c r="Y1773" s="39" t="n">
        <f aca="false">Resumo!$B$10*CEILING(I1773/100,1)</f>
        <v>4.5</v>
      </c>
      <c r="Z1773" s="39" t="n">
        <f aca="false">Resumo!$B$12*CEILING(I1773,1)</f>
        <v>3.18</v>
      </c>
      <c r="AA1773" s="39" t="n">
        <f aca="false">Resumo!$B$13*CEILING(I1773,1)</f>
        <v>23.85</v>
      </c>
      <c r="AB1773" s="39" t="n">
        <f aca="false">SUM(U1773:AA1773)</f>
        <v>146.65997</v>
      </c>
      <c r="AC1773" s="39" t="n">
        <f aca="false">AB1773/(1-Resumo!$B$5)</f>
        <v>166.659056818182</v>
      </c>
      <c r="AD1773" s="39" t="n">
        <f aca="false">(AB1773-AA1773)/(1-Resumo!$B$5)</f>
        <v>139.556784090909</v>
      </c>
      <c r="AE1773" s="39" t="n">
        <f aca="false">AC1773-T1773</f>
        <v>52.5872297727272</v>
      </c>
      <c r="AF1773" s="40" t="n">
        <f aca="false">AC1773/T1773-1</f>
        <v>0.461001030094597</v>
      </c>
      <c r="AG1773" s="37" t="str">
        <f aca="false">IF(AC1773&lt;T1773,"SIM","NÃO")</f>
        <v>NÃO</v>
      </c>
      <c r="AH1773" s="37" t="n">
        <v>8</v>
      </c>
      <c r="AI1773" s="37" t="n">
        <v>5</v>
      </c>
      <c r="AJ1773" s="37" t="s">
        <v>323</v>
      </c>
    </row>
    <row r="1774" customFormat="false" ht="15" hidden="false" customHeight="false" outlineLevel="0" collapsed="false">
      <c r="A1774" s="37" t="n">
        <v>393961127</v>
      </c>
      <c r="B1774" s="38" t="n">
        <v>46278.5045833333</v>
      </c>
      <c r="C1774" s="37" t="s">
        <v>320</v>
      </c>
      <c r="D1774" s="37" t="s">
        <v>1932</v>
      </c>
      <c r="E1774" s="37" t="n">
        <v>20943000</v>
      </c>
      <c r="F1774" s="37" t="s">
        <v>139</v>
      </c>
      <c r="G1774" s="37" t="s">
        <v>198</v>
      </c>
      <c r="H1774" s="37" t="s">
        <v>169</v>
      </c>
      <c r="I1774" s="37" t="n">
        <v>37.2</v>
      </c>
      <c r="J1774" s="39" t="n">
        <v>399.99</v>
      </c>
      <c r="K1774" s="37" t="s">
        <v>322</v>
      </c>
      <c r="L1774" s="39" t="n">
        <v>91.77</v>
      </c>
      <c r="M1774" s="39" t="n">
        <v>62.05</v>
      </c>
      <c r="N1774" s="39" t="n">
        <f aca="false">J1774*Resumo!$C$7</f>
        <v>0.79998</v>
      </c>
      <c r="O1774" s="39" t="n">
        <f aca="false">J1774*Resumo!$C$8</f>
        <v>0.79998</v>
      </c>
      <c r="P1774" s="39" t="n">
        <f aca="false">Resumo!$C$10*CEILING(I1774/100,1)</f>
        <v>1</v>
      </c>
      <c r="Q1774" s="39" t="n">
        <f aca="false">Resumo!$C$9</f>
        <v>11.9</v>
      </c>
      <c r="R1774" s="39" t="n">
        <f aca="false">SUM(M1774:Q1774)*Resumo!$C$11</f>
        <v>4.2102478</v>
      </c>
      <c r="S1774" s="39" t="n">
        <f aca="false">SUM(M1774:R1774)</f>
        <v>80.7602078</v>
      </c>
      <c r="T1774" s="39" t="n">
        <f aca="false">S1774/(1-Resumo!$C$5)</f>
        <v>91.7729634090909</v>
      </c>
      <c r="U1774" s="39" t="n">
        <v>93.97</v>
      </c>
      <c r="V1774" s="39" t="n">
        <f aca="false">J1774*Resumo!$B$6</f>
        <v>0.39999</v>
      </c>
      <c r="W1774" s="39" t="n">
        <f aca="false">J1774*Resumo!$B$7</f>
        <v>0.79998</v>
      </c>
      <c r="X1774" s="39" t="n">
        <f aca="false">Resumo!$B$9</f>
        <v>1</v>
      </c>
      <c r="Y1774" s="39" t="n">
        <f aca="false">Resumo!$B$10*CEILING(I1774/100,1)</f>
        <v>4.5</v>
      </c>
      <c r="Z1774" s="39" t="n">
        <f aca="false">Resumo!$B$12*CEILING(I1774,1)</f>
        <v>2.28</v>
      </c>
      <c r="AA1774" s="39" t="n">
        <f aca="false">Resumo!$B$13*CEILING(I1774,1)</f>
        <v>17.1</v>
      </c>
      <c r="AB1774" s="39" t="n">
        <f aca="false">SUM(U1774:AA1774)</f>
        <v>120.04997</v>
      </c>
      <c r="AC1774" s="39" t="n">
        <f aca="false">AB1774/(1-Resumo!$B$5)</f>
        <v>136.420420454545</v>
      </c>
      <c r="AD1774" s="39" t="n">
        <f aca="false">(AB1774-AA1774)/(1-Resumo!$B$5)</f>
        <v>116.988602272727</v>
      </c>
      <c r="AE1774" s="39" t="n">
        <f aca="false">AC1774-T1774</f>
        <v>44.6474570454545</v>
      </c>
      <c r="AF1774" s="40" t="n">
        <f aca="false">AC1774/T1774-1</f>
        <v>0.486499023099344</v>
      </c>
      <c r="AG1774" s="37" t="str">
        <f aca="false">IF(AC1774&lt;T1774,"SIM","NÃO")</f>
        <v>NÃO</v>
      </c>
      <c r="AH1774" s="37" t="n">
        <v>8</v>
      </c>
      <c r="AI1774" s="37" t="n">
        <v>5</v>
      </c>
      <c r="AJ1774" s="37" t="s">
        <v>323</v>
      </c>
    </row>
    <row r="1775" customFormat="false" ht="15" hidden="false" customHeight="false" outlineLevel="0" collapsed="false">
      <c r="A1775" s="37" t="n">
        <v>393969544</v>
      </c>
      <c r="B1775" s="38" t="n">
        <v>46278.5187962963</v>
      </c>
      <c r="C1775" s="37" t="s">
        <v>325</v>
      </c>
      <c r="D1775" s="37" t="s">
        <v>1933</v>
      </c>
      <c r="E1775" s="37" t="n">
        <v>26053440</v>
      </c>
      <c r="F1775" s="37" t="s">
        <v>142</v>
      </c>
      <c r="G1775" s="37" t="s">
        <v>207</v>
      </c>
      <c r="H1775" s="37" t="s">
        <v>175</v>
      </c>
      <c r="I1775" s="37" t="n">
        <v>117</v>
      </c>
      <c r="J1775" s="39" t="n">
        <v>1201.97</v>
      </c>
      <c r="K1775" s="37" t="s">
        <v>322</v>
      </c>
      <c r="L1775" s="39" t="n">
        <v>195.58</v>
      </c>
      <c r="M1775" s="39" t="n">
        <v>144.44</v>
      </c>
      <c r="N1775" s="39" t="n">
        <f aca="false">J1775*Resumo!$C$7</f>
        <v>2.40394</v>
      </c>
      <c r="O1775" s="39" t="n">
        <f aca="false">J1775*Resumo!$C$8</f>
        <v>2.40394</v>
      </c>
      <c r="P1775" s="39" t="n">
        <f aca="false">Resumo!$C$10*CEILING(I1775/100,1)</f>
        <v>2</v>
      </c>
      <c r="Q1775" s="39" t="n">
        <f aca="false">Resumo!$C$9</f>
        <v>11.9</v>
      </c>
      <c r="R1775" s="39" t="n">
        <f aca="false">SUM(M1775:Q1775)*Resumo!$C$11</f>
        <v>8.9731334</v>
      </c>
      <c r="S1775" s="39" t="n">
        <f aca="false">SUM(M1775:R1775)</f>
        <v>172.1210134</v>
      </c>
      <c r="T1775" s="39" t="n">
        <f aca="false">S1775/(1-Resumo!$C$5)</f>
        <v>195.592060681818</v>
      </c>
      <c r="U1775" s="39" t="n">
        <v>201.59</v>
      </c>
      <c r="V1775" s="39" t="n">
        <f aca="false">J1775*Resumo!$B$6</f>
        <v>1.20197</v>
      </c>
      <c r="W1775" s="39" t="n">
        <f aca="false">J1775*Resumo!$B$7</f>
        <v>2.40394</v>
      </c>
      <c r="X1775" s="39" t="n">
        <f aca="false">Resumo!$B$9</f>
        <v>1</v>
      </c>
      <c r="Y1775" s="39" t="n">
        <f aca="false">Resumo!$B$10*CEILING(I1775/100,1)</f>
        <v>9</v>
      </c>
      <c r="Z1775" s="39" t="n">
        <f aca="false">Resumo!$B$12*CEILING(I1775,1)</f>
        <v>7.02</v>
      </c>
      <c r="AA1775" s="39" t="n">
        <f aca="false">Resumo!$B$13*CEILING(I1775,1)</f>
        <v>52.65</v>
      </c>
      <c r="AB1775" s="39" t="n">
        <f aca="false">SUM(U1775:AA1775)</f>
        <v>274.86591</v>
      </c>
      <c r="AC1775" s="39" t="n">
        <f aca="false">AB1775/(1-Resumo!$B$5)</f>
        <v>312.347625</v>
      </c>
      <c r="AD1775" s="39" t="n">
        <f aca="false">(AB1775-AA1775)/(1-Resumo!$B$5)</f>
        <v>252.518079545455</v>
      </c>
      <c r="AE1775" s="39" t="n">
        <f aca="false">AC1775-T1775</f>
        <v>116.755564318182</v>
      </c>
      <c r="AF1775" s="40" t="n">
        <f aca="false">AC1775/T1775-1</f>
        <v>0.596934067319406</v>
      </c>
      <c r="AG1775" s="37" t="str">
        <f aca="false">IF(AC1775&lt;T1775,"SIM","NÃO")</f>
        <v>NÃO</v>
      </c>
      <c r="AH1775" s="37" t="n">
        <v>10</v>
      </c>
      <c r="AI1775" s="37" t="n">
        <v>5</v>
      </c>
      <c r="AJ1775" s="37" t="s">
        <v>323</v>
      </c>
    </row>
    <row r="1776" customFormat="false" ht="15" hidden="false" customHeight="false" outlineLevel="0" collapsed="false">
      <c r="A1776" s="37" t="n">
        <v>393971962</v>
      </c>
      <c r="B1776" s="38" t="n">
        <v>46278.5229513889</v>
      </c>
      <c r="C1776" s="37" t="s">
        <v>320</v>
      </c>
      <c r="D1776" s="37" t="s">
        <v>1934</v>
      </c>
      <c r="E1776" s="37" t="n">
        <v>27185000</v>
      </c>
      <c r="F1776" s="37" t="s">
        <v>231</v>
      </c>
      <c r="G1776" s="37" t="s">
        <v>201</v>
      </c>
      <c r="H1776" s="37" t="s">
        <v>168</v>
      </c>
      <c r="I1776" s="37" t="n">
        <v>30.5</v>
      </c>
      <c r="J1776" s="39" t="n">
        <v>449.99</v>
      </c>
      <c r="K1776" s="37" t="s">
        <v>322</v>
      </c>
      <c r="L1776" s="39" t="n">
        <v>109.34</v>
      </c>
      <c r="M1776" s="39" t="n">
        <v>76.5</v>
      </c>
      <c r="N1776" s="39" t="n">
        <f aca="false">J1776*Resumo!$C$7</f>
        <v>0.89998</v>
      </c>
      <c r="O1776" s="39" t="n">
        <f aca="false">J1776*Resumo!$C$8</f>
        <v>0.89998</v>
      </c>
      <c r="P1776" s="39" t="n">
        <f aca="false">Resumo!$C$10*CEILING(I1776/100,1)</f>
        <v>1</v>
      </c>
      <c r="Q1776" s="39" t="n">
        <f aca="false">Resumo!$C$9</f>
        <v>11.9</v>
      </c>
      <c r="R1776" s="39" t="n">
        <f aca="false">SUM(M1776:Q1776)*Resumo!$C$11</f>
        <v>5.0159978</v>
      </c>
      <c r="S1776" s="39" t="n">
        <f aca="false">SUM(M1776:R1776)</f>
        <v>96.2159578</v>
      </c>
      <c r="T1776" s="39" t="n">
        <f aca="false">S1776/(1-Resumo!$C$5)</f>
        <v>109.336315681818</v>
      </c>
      <c r="U1776" s="39" t="n">
        <v>108.83</v>
      </c>
      <c r="V1776" s="39" t="n">
        <f aca="false">J1776*Resumo!$B$6</f>
        <v>0.44999</v>
      </c>
      <c r="W1776" s="39" t="n">
        <f aca="false">J1776*Resumo!$B$7</f>
        <v>0.89998</v>
      </c>
      <c r="X1776" s="39" t="n">
        <f aca="false">Resumo!$B$9</f>
        <v>1</v>
      </c>
      <c r="Y1776" s="39" t="n">
        <f aca="false">Resumo!$B$10*CEILING(I1776/100,1)</f>
        <v>4.5</v>
      </c>
      <c r="Z1776" s="39" t="n">
        <f aca="false">Resumo!$B$12*CEILING(I1776,1)</f>
        <v>1.86</v>
      </c>
      <c r="AA1776" s="39" t="n">
        <f aca="false">Resumo!$B$13*CEILING(I1776,1)</f>
        <v>13.95</v>
      </c>
      <c r="AB1776" s="39" t="n">
        <f aca="false">SUM(U1776:AA1776)</f>
        <v>131.48997</v>
      </c>
      <c r="AC1776" s="39" t="n">
        <f aca="false">AB1776/(1-Resumo!$B$5)</f>
        <v>149.420420454545</v>
      </c>
      <c r="AD1776" s="39" t="n">
        <f aca="false">(AB1776-AA1776)/(1-Resumo!$B$5)</f>
        <v>133.568147727273</v>
      </c>
      <c r="AE1776" s="39" t="n">
        <f aca="false">AC1776-T1776</f>
        <v>40.0841047727273</v>
      </c>
      <c r="AF1776" s="40" t="n">
        <f aca="false">AC1776/T1776-1</f>
        <v>0.36661290919457</v>
      </c>
      <c r="AG1776" s="37" t="str">
        <f aca="false">IF(AC1776&lt;T1776,"SIM","NÃO")</f>
        <v>NÃO</v>
      </c>
      <c r="AH1776" s="37" t="n">
        <v>13</v>
      </c>
      <c r="AI1776" s="37" t="n">
        <v>10</v>
      </c>
      <c r="AJ1776" s="37" t="s">
        <v>327</v>
      </c>
    </row>
    <row r="1777" customFormat="false" ht="15" hidden="false" customHeight="false" outlineLevel="0" collapsed="false">
      <c r="A1777" s="37" t="n">
        <v>393974270</v>
      </c>
      <c r="B1777" s="38" t="n">
        <v>46278.5268865741</v>
      </c>
      <c r="C1777" s="37" t="s">
        <v>320</v>
      </c>
      <c r="D1777" s="37" t="s">
        <v>1935</v>
      </c>
      <c r="E1777" s="37" t="n">
        <v>27460000</v>
      </c>
      <c r="F1777" s="37" t="s">
        <v>235</v>
      </c>
      <c r="G1777" s="37" t="s">
        <v>201</v>
      </c>
      <c r="H1777" s="37" t="s">
        <v>172</v>
      </c>
      <c r="I1777" s="37" t="n">
        <v>63.9</v>
      </c>
      <c r="J1777" s="39" t="n">
        <v>716.35</v>
      </c>
      <c r="K1777" s="37" t="s">
        <v>322</v>
      </c>
      <c r="L1777" s="39" t="n">
        <v>155.44</v>
      </c>
      <c r="M1777" s="39" t="n">
        <v>113.9</v>
      </c>
      <c r="N1777" s="39" t="n">
        <f aca="false">J1777*Resumo!$C$7</f>
        <v>1.4327</v>
      </c>
      <c r="O1777" s="39" t="n">
        <f aca="false">J1777*Resumo!$C$8</f>
        <v>1.4327</v>
      </c>
      <c r="P1777" s="39" t="n">
        <f aca="false">Resumo!$C$10*CEILING(I1777/100,1)</f>
        <v>1</v>
      </c>
      <c r="Q1777" s="39" t="n">
        <f aca="false">Resumo!$C$9</f>
        <v>11.9</v>
      </c>
      <c r="R1777" s="39" t="n">
        <f aca="false">SUM(M1777:Q1777)*Resumo!$C$11</f>
        <v>7.131597</v>
      </c>
      <c r="S1777" s="39" t="n">
        <f aca="false">SUM(M1777:R1777)</f>
        <v>136.796997</v>
      </c>
      <c r="T1777" s="39" t="n">
        <f aca="false">S1777/(1-Resumo!$C$5)</f>
        <v>155.451132954545</v>
      </c>
      <c r="U1777" s="39" t="n">
        <v>166.05</v>
      </c>
      <c r="V1777" s="39" t="n">
        <f aca="false">J1777*Resumo!$B$6</f>
        <v>0.71635</v>
      </c>
      <c r="W1777" s="39" t="n">
        <f aca="false">J1777*Resumo!$B$7</f>
        <v>1.4327</v>
      </c>
      <c r="X1777" s="39" t="n">
        <f aca="false">Resumo!$B$9</f>
        <v>1</v>
      </c>
      <c r="Y1777" s="39" t="n">
        <f aca="false">Resumo!$B$10*CEILING(I1777/100,1)</f>
        <v>4.5</v>
      </c>
      <c r="Z1777" s="39" t="n">
        <f aca="false">Resumo!$B$12*CEILING(I1777,1)</f>
        <v>3.84</v>
      </c>
      <c r="AA1777" s="39" t="n">
        <f aca="false">Resumo!$B$13*CEILING(I1777,1)</f>
        <v>28.8</v>
      </c>
      <c r="AB1777" s="39" t="n">
        <f aca="false">SUM(U1777:AA1777)</f>
        <v>206.33905</v>
      </c>
      <c r="AC1777" s="39" t="n">
        <f aca="false">AB1777/(1-Resumo!$B$5)</f>
        <v>234.476193181818</v>
      </c>
      <c r="AD1777" s="39" t="n">
        <f aca="false">(AB1777-AA1777)/(1-Resumo!$B$5)</f>
        <v>201.748920454545</v>
      </c>
      <c r="AE1777" s="39" t="n">
        <f aca="false">AC1777-T1777</f>
        <v>79.0250602272727</v>
      </c>
      <c r="AF1777" s="40" t="n">
        <f aca="false">AC1777/T1777-1</f>
        <v>0.508359500026159</v>
      </c>
      <c r="AG1777" s="37" t="str">
        <f aca="false">IF(AC1777&lt;T1777,"SIM","NÃO")</f>
        <v>NÃO</v>
      </c>
      <c r="AH1777" s="37" t="n">
        <v>13</v>
      </c>
      <c r="AI1777" s="37" t="n">
        <v>10</v>
      </c>
      <c r="AJ1777" s="37" t="s">
        <v>327</v>
      </c>
    </row>
    <row r="1778" customFormat="false" ht="15" hidden="false" customHeight="false" outlineLevel="0" collapsed="false">
      <c r="A1778" s="37" t="n">
        <v>393978722</v>
      </c>
      <c r="B1778" s="38" t="n">
        <v>46278.5345833333</v>
      </c>
      <c r="C1778" s="37" t="s">
        <v>320</v>
      </c>
      <c r="D1778" s="37" t="s">
        <v>1936</v>
      </c>
      <c r="E1778" s="37" t="n">
        <v>28943784</v>
      </c>
      <c r="F1778" s="37" t="s">
        <v>278</v>
      </c>
      <c r="G1778" s="37" t="s">
        <v>201</v>
      </c>
      <c r="H1778" s="37" t="s">
        <v>171</v>
      </c>
      <c r="I1778" s="37" t="n">
        <v>52.3</v>
      </c>
      <c r="J1778" s="39" t="n">
        <v>699.99</v>
      </c>
      <c r="K1778" s="37" t="s">
        <v>322</v>
      </c>
      <c r="L1778" s="39" t="n">
        <v>143.02</v>
      </c>
      <c r="M1778" s="39" t="n">
        <v>103.6</v>
      </c>
      <c r="N1778" s="39" t="n">
        <f aca="false">J1778*Resumo!$C$7</f>
        <v>1.39998</v>
      </c>
      <c r="O1778" s="39" t="n">
        <f aca="false">J1778*Resumo!$C$8</f>
        <v>1.39998</v>
      </c>
      <c r="P1778" s="39" t="n">
        <f aca="false">Resumo!$C$10*CEILING(I1778/100,1)</f>
        <v>1</v>
      </c>
      <c r="Q1778" s="39" t="n">
        <f aca="false">Resumo!$C$9</f>
        <v>11.9</v>
      </c>
      <c r="R1778" s="39" t="n">
        <f aca="false">SUM(M1778:Q1778)*Resumo!$C$11</f>
        <v>6.5614978</v>
      </c>
      <c r="S1778" s="39" t="n">
        <f aca="false">SUM(M1778:R1778)</f>
        <v>125.8614578</v>
      </c>
      <c r="T1778" s="39" t="n">
        <f aca="false">S1778/(1-Resumo!$C$5)</f>
        <v>143.024383863636</v>
      </c>
      <c r="U1778" s="39" t="n">
        <v>142.32</v>
      </c>
      <c r="V1778" s="39" t="n">
        <f aca="false">J1778*Resumo!$B$6</f>
        <v>0.69999</v>
      </c>
      <c r="W1778" s="39" t="n">
        <f aca="false">J1778*Resumo!$B$7</f>
        <v>1.39998</v>
      </c>
      <c r="X1778" s="39" t="n">
        <f aca="false">Resumo!$B$9</f>
        <v>1</v>
      </c>
      <c r="Y1778" s="39" t="n">
        <f aca="false">Resumo!$B$10*CEILING(I1778/100,1)</f>
        <v>4.5</v>
      </c>
      <c r="Z1778" s="39" t="n">
        <f aca="false">Resumo!$B$12*CEILING(I1778,1)</f>
        <v>3.18</v>
      </c>
      <c r="AA1778" s="39" t="n">
        <f aca="false">Resumo!$B$13*CEILING(I1778,1)</f>
        <v>23.85</v>
      </c>
      <c r="AB1778" s="39" t="n">
        <f aca="false">SUM(U1778:AA1778)</f>
        <v>176.94997</v>
      </c>
      <c r="AC1778" s="39" t="n">
        <f aca="false">AB1778/(1-Resumo!$B$5)</f>
        <v>201.079511363636</v>
      </c>
      <c r="AD1778" s="39" t="n">
        <f aca="false">(AB1778-AA1778)/(1-Resumo!$B$5)</f>
        <v>173.977238636364</v>
      </c>
      <c r="AE1778" s="39" t="n">
        <f aca="false">AC1778-T1778</f>
        <v>58.0551275</v>
      </c>
      <c r="AF1778" s="40" t="n">
        <f aca="false">AC1778/T1778-1</f>
        <v>0.405910698104118</v>
      </c>
      <c r="AG1778" s="37" t="str">
        <f aca="false">IF(AC1778&lt;T1778,"SIM","NÃO")</f>
        <v>NÃO</v>
      </c>
      <c r="AH1778" s="37" t="n">
        <v>13</v>
      </c>
      <c r="AI1778" s="37" t="n">
        <v>10</v>
      </c>
      <c r="AJ1778" s="37" t="s">
        <v>327</v>
      </c>
    </row>
    <row r="1779" customFormat="false" ht="15" hidden="false" customHeight="false" outlineLevel="0" collapsed="false">
      <c r="A1779" s="37" t="n">
        <v>394029225</v>
      </c>
      <c r="B1779" s="38" t="n">
        <v>46278.6224652778</v>
      </c>
      <c r="C1779" s="37" t="s">
        <v>325</v>
      </c>
      <c r="D1779" s="37" t="s">
        <v>1818</v>
      </c>
      <c r="E1779" s="37" t="n">
        <v>22790495</v>
      </c>
      <c r="F1779" s="37" t="s">
        <v>139</v>
      </c>
      <c r="G1779" s="37" t="s">
        <v>198</v>
      </c>
      <c r="H1779" s="37" t="s">
        <v>168</v>
      </c>
      <c r="I1779" s="37" t="n">
        <v>33</v>
      </c>
      <c r="J1779" s="39" t="n">
        <v>535.79</v>
      </c>
      <c r="K1779" s="37" t="s">
        <v>322</v>
      </c>
      <c r="L1779" s="39" t="n">
        <v>82.89</v>
      </c>
      <c r="M1779" s="39" t="n">
        <v>54.1</v>
      </c>
      <c r="N1779" s="39" t="n">
        <f aca="false">J1779*Resumo!$C$7</f>
        <v>1.07158</v>
      </c>
      <c r="O1779" s="39" t="n">
        <f aca="false">J1779*Resumo!$C$8</f>
        <v>1.07158</v>
      </c>
      <c r="P1779" s="39" t="n">
        <f aca="false">Resumo!$C$10*CEILING(I1779/100,1)</f>
        <v>1</v>
      </c>
      <c r="Q1779" s="39" t="n">
        <f aca="false">Resumo!$C$9</f>
        <v>11.9</v>
      </c>
      <c r="R1779" s="39" t="n">
        <f aca="false">SUM(M1779:Q1779)*Resumo!$C$11</f>
        <v>3.8028738</v>
      </c>
      <c r="S1779" s="39" t="n">
        <f aca="false">SUM(M1779:R1779)</f>
        <v>72.9460338</v>
      </c>
      <c r="T1779" s="39" t="n">
        <f aca="false">S1779/(1-Resumo!$C$5)</f>
        <v>82.8932202272727</v>
      </c>
      <c r="U1779" s="39" t="n">
        <v>82.21</v>
      </c>
      <c r="V1779" s="39" t="n">
        <f aca="false">J1779*Resumo!$B$6</f>
        <v>0.53579</v>
      </c>
      <c r="W1779" s="39" t="n">
        <f aca="false">J1779*Resumo!$B$7</f>
        <v>1.07158</v>
      </c>
      <c r="X1779" s="39" t="n">
        <f aca="false">Resumo!$B$9</f>
        <v>1</v>
      </c>
      <c r="Y1779" s="39" t="n">
        <f aca="false">Resumo!$B$10*CEILING(I1779/100,1)</f>
        <v>4.5</v>
      </c>
      <c r="Z1779" s="39" t="n">
        <f aca="false">Resumo!$B$12*CEILING(I1779,1)</f>
        <v>1.98</v>
      </c>
      <c r="AA1779" s="39" t="n">
        <f aca="false">Resumo!$B$13*CEILING(I1779,1)</f>
        <v>14.85</v>
      </c>
      <c r="AB1779" s="39" t="n">
        <f aca="false">SUM(U1779:AA1779)</f>
        <v>106.14737</v>
      </c>
      <c r="AC1779" s="39" t="n">
        <f aca="false">AB1779/(1-Resumo!$B$5)</f>
        <v>120.622011363636</v>
      </c>
      <c r="AD1779" s="39" t="n">
        <f aca="false">(AB1779-AA1779)/(1-Resumo!$B$5)</f>
        <v>103.747011363636</v>
      </c>
      <c r="AE1779" s="39" t="n">
        <f aca="false">AC1779-T1779</f>
        <v>37.7287911363636</v>
      </c>
      <c r="AF1779" s="40" t="n">
        <f aca="false">AC1779/T1779-1</f>
        <v>0.455149299700514</v>
      </c>
      <c r="AG1779" s="37" t="str">
        <f aca="false">IF(AC1779&lt;T1779,"SIM","NÃO")</f>
        <v>NÃO</v>
      </c>
      <c r="AH1779" s="37" t="n">
        <v>8</v>
      </c>
      <c r="AI1779" s="37" t="n">
        <v>5</v>
      </c>
      <c r="AJ1779" s="37" t="s">
        <v>323</v>
      </c>
    </row>
    <row r="1780" customFormat="false" ht="15" hidden="false" customHeight="false" outlineLevel="0" collapsed="false">
      <c r="A1780" s="37" t="n">
        <v>394037436</v>
      </c>
      <c r="B1780" s="38" t="n">
        <v>46278.6375694444</v>
      </c>
      <c r="C1780" s="37" t="s">
        <v>320</v>
      </c>
      <c r="D1780" s="37" t="s">
        <v>1937</v>
      </c>
      <c r="E1780" s="37" t="n">
        <v>23020240</v>
      </c>
      <c r="F1780" s="37" t="s">
        <v>139</v>
      </c>
      <c r="G1780" s="37" t="s">
        <v>198</v>
      </c>
      <c r="H1780" s="37" t="s">
        <v>167</v>
      </c>
      <c r="I1780" s="37" t="n">
        <v>19.9</v>
      </c>
      <c r="J1780" s="39" t="n">
        <v>299.99</v>
      </c>
      <c r="K1780" s="37" t="s">
        <v>365</v>
      </c>
      <c r="L1780" s="39" t="n">
        <v>69.47</v>
      </c>
      <c r="M1780" s="39" t="n">
        <v>39.83</v>
      </c>
      <c r="N1780" s="39" t="n">
        <f aca="false">J1780*Resumo!$C$7</f>
        <v>0.59998</v>
      </c>
      <c r="O1780" s="39" t="n">
        <f aca="false">J1780*Resumo!$C$8</f>
        <v>0.59998</v>
      </c>
      <c r="P1780" s="39" t="n">
        <f aca="false">Resumo!$C$10*CEILING(I1780/100,1)</f>
        <v>1</v>
      </c>
      <c r="Q1780" s="39" t="n">
        <f aca="false">Resumo!$C$9</f>
        <v>11.9</v>
      </c>
      <c r="R1780" s="39" t="n">
        <f aca="false">SUM(M1780:Q1780)*Resumo!$C$11</f>
        <v>2.9661478</v>
      </c>
      <c r="S1780" s="39" t="n">
        <f aca="false">SUM(M1780:R1780)</f>
        <v>56.8961078</v>
      </c>
      <c r="T1780" s="39" t="n">
        <f aca="false">S1780/(1-Resumo!$C$5)</f>
        <v>64.6546679545455</v>
      </c>
      <c r="U1780" s="39" t="n">
        <v>46.98</v>
      </c>
      <c r="V1780" s="39" t="n">
        <f aca="false">J1780*Resumo!$B$6</f>
        <v>0.29999</v>
      </c>
      <c r="W1780" s="39" t="n">
        <f aca="false">J1780*Resumo!$B$7</f>
        <v>0.59998</v>
      </c>
      <c r="X1780" s="39" t="n">
        <f aca="false">Resumo!$B$9</f>
        <v>1</v>
      </c>
      <c r="Y1780" s="39" t="n">
        <f aca="false">Resumo!$B$10*CEILING(I1780/100,1)</f>
        <v>4.5</v>
      </c>
      <c r="Z1780" s="39" t="n">
        <f aca="false">Resumo!$B$12*CEILING(I1780,1)</f>
        <v>1.2</v>
      </c>
      <c r="AA1780" s="39" t="n">
        <f aca="false">Resumo!$B$13*CEILING(I1780,1)</f>
        <v>9</v>
      </c>
      <c r="AB1780" s="39" t="n">
        <f aca="false">SUM(U1780:AA1780)</f>
        <v>63.57997</v>
      </c>
      <c r="AC1780" s="39" t="n">
        <f aca="false">AB1780/(1-Resumo!$B$5)</f>
        <v>72.2499659090909</v>
      </c>
      <c r="AD1780" s="39" t="n">
        <f aca="false">(AB1780-AA1780)/(1-Resumo!$B$5)</f>
        <v>62.0226931818182</v>
      </c>
      <c r="AE1780" s="39" t="n">
        <f aca="false">AC1780-T1780</f>
        <v>7.59529795454544</v>
      </c>
      <c r="AF1780" s="40" t="n">
        <f aca="false">AC1780/T1780-1</f>
        <v>0.117474858271412</v>
      </c>
      <c r="AG1780" s="37" t="str">
        <f aca="false">IF(AC1780&lt;T1780,"SIM","NÃO")</f>
        <v>NÃO</v>
      </c>
      <c r="AH1780" s="37" t="n">
        <v>8</v>
      </c>
      <c r="AI1780" s="37" t="n">
        <v>5</v>
      </c>
      <c r="AJ1780" s="37" t="s">
        <v>323</v>
      </c>
    </row>
    <row r="1781" customFormat="false" ht="15" hidden="false" customHeight="false" outlineLevel="0" collapsed="false">
      <c r="A1781" s="37" t="n">
        <v>394039258</v>
      </c>
      <c r="B1781" s="38" t="n">
        <v>46278.6413888889</v>
      </c>
      <c r="C1781" s="37" t="s">
        <v>320</v>
      </c>
      <c r="D1781" s="37" t="s">
        <v>920</v>
      </c>
      <c r="E1781" s="37" t="n">
        <v>22753050</v>
      </c>
      <c r="F1781" s="37" t="s">
        <v>139</v>
      </c>
      <c r="G1781" s="37" t="s">
        <v>198</v>
      </c>
      <c r="H1781" s="37" t="s">
        <v>168</v>
      </c>
      <c r="I1781" s="37" t="n">
        <v>20.9</v>
      </c>
      <c r="J1781" s="39" t="n">
        <v>499.99</v>
      </c>
      <c r="K1781" s="37" t="s">
        <v>322</v>
      </c>
      <c r="L1781" s="39" t="n">
        <v>82.73</v>
      </c>
      <c r="M1781" s="39" t="n">
        <v>54.1</v>
      </c>
      <c r="N1781" s="39" t="n">
        <f aca="false">J1781*Resumo!$C$7</f>
        <v>0.99998</v>
      </c>
      <c r="O1781" s="39" t="n">
        <f aca="false">J1781*Resumo!$C$8</f>
        <v>0.99998</v>
      </c>
      <c r="P1781" s="39" t="n">
        <f aca="false">Resumo!$C$10*CEILING(I1781/100,1)</f>
        <v>1</v>
      </c>
      <c r="Q1781" s="39" t="n">
        <f aca="false">Resumo!$C$9</f>
        <v>11.9</v>
      </c>
      <c r="R1781" s="39" t="n">
        <f aca="false">SUM(M1781:Q1781)*Resumo!$C$11</f>
        <v>3.7949978</v>
      </c>
      <c r="S1781" s="39" t="n">
        <f aca="false">SUM(M1781:R1781)</f>
        <v>72.7949578</v>
      </c>
      <c r="T1781" s="39" t="n">
        <f aca="false">S1781/(1-Resumo!$C$5)</f>
        <v>82.7215429545455</v>
      </c>
      <c r="U1781" s="39" t="n">
        <v>82.21</v>
      </c>
      <c r="V1781" s="39" t="n">
        <f aca="false">J1781*Resumo!$B$6</f>
        <v>0.49999</v>
      </c>
      <c r="W1781" s="39" t="n">
        <f aca="false">J1781*Resumo!$B$7</f>
        <v>0.99998</v>
      </c>
      <c r="X1781" s="39" t="n">
        <f aca="false">Resumo!$B$9</f>
        <v>1</v>
      </c>
      <c r="Y1781" s="39" t="n">
        <f aca="false">Resumo!$B$10*CEILING(I1781/100,1)</f>
        <v>4.5</v>
      </c>
      <c r="Z1781" s="39" t="n">
        <f aca="false">Resumo!$B$12*CEILING(I1781,1)</f>
        <v>1.26</v>
      </c>
      <c r="AA1781" s="39" t="n">
        <f aca="false">Resumo!$B$13*CEILING(I1781,1)</f>
        <v>9.45</v>
      </c>
      <c r="AB1781" s="39" t="n">
        <f aca="false">SUM(U1781:AA1781)</f>
        <v>99.91997</v>
      </c>
      <c r="AC1781" s="39" t="n">
        <f aca="false">AB1781/(1-Resumo!$B$5)</f>
        <v>113.545420454545</v>
      </c>
      <c r="AD1781" s="39" t="n">
        <f aca="false">(AB1781-AA1781)/(1-Resumo!$B$5)</f>
        <v>102.806784090909</v>
      </c>
      <c r="AE1781" s="39" t="n">
        <f aca="false">AC1781-T1781</f>
        <v>30.8238775</v>
      </c>
      <c r="AF1781" s="40" t="n">
        <f aca="false">AC1781/T1781-1</f>
        <v>0.372622129605795</v>
      </c>
      <c r="AG1781" s="37" t="str">
        <f aca="false">IF(AC1781&lt;T1781,"SIM","NÃO")</f>
        <v>NÃO</v>
      </c>
      <c r="AH1781" s="37" t="n">
        <v>8</v>
      </c>
      <c r="AI1781" s="37" t="n">
        <v>5</v>
      </c>
      <c r="AJ1781" s="37" t="s">
        <v>323</v>
      </c>
    </row>
    <row r="1782" customFormat="false" ht="15" hidden="false" customHeight="false" outlineLevel="0" collapsed="false">
      <c r="A1782" s="37" t="n">
        <v>394066556</v>
      </c>
      <c r="B1782" s="38" t="n">
        <v>46278.6924189815</v>
      </c>
      <c r="C1782" s="37" t="s">
        <v>320</v>
      </c>
      <c r="D1782" s="37" t="s">
        <v>1938</v>
      </c>
      <c r="E1782" s="37" t="n">
        <v>21725500</v>
      </c>
      <c r="F1782" s="37" t="s">
        <v>139</v>
      </c>
      <c r="G1782" s="37" t="s">
        <v>198</v>
      </c>
      <c r="H1782" s="37" t="s">
        <v>171</v>
      </c>
      <c r="I1782" s="37" t="n">
        <v>52.3</v>
      </c>
      <c r="J1782" s="39" t="n">
        <v>614.63</v>
      </c>
      <c r="K1782" s="37" t="s">
        <v>322</v>
      </c>
      <c r="L1782" s="39" t="n">
        <v>114.09</v>
      </c>
      <c r="M1782" s="39" t="n">
        <v>79.81</v>
      </c>
      <c r="N1782" s="39" t="n">
        <f aca="false">J1782*Resumo!$C$7</f>
        <v>1.22926</v>
      </c>
      <c r="O1782" s="39" t="n">
        <f aca="false">J1782*Resumo!$C$8</f>
        <v>1.22926</v>
      </c>
      <c r="P1782" s="39" t="n">
        <f aca="false">Resumo!$C$10*CEILING(I1782/100,1)</f>
        <v>1</v>
      </c>
      <c r="Q1782" s="39" t="n">
        <f aca="false">Resumo!$C$9</f>
        <v>11.9</v>
      </c>
      <c r="R1782" s="39" t="n">
        <f aca="false">SUM(M1782:Q1782)*Resumo!$C$11</f>
        <v>5.2342686</v>
      </c>
      <c r="S1782" s="39" t="n">
        <f aca="false">SUM(M1782:R1782)</f>
        <v>100.4027886</v>
      </c>
      <c r="T1782" s="39" t="n">
        <f aca="false">S1782/(1-Resumo!$C$5)</f>
        <v>114.094077954545</v>
      </c>
      <c r="U1782" s="39" t="n">
        <v>112.3</v>
      </c>
      <c r="V1782" s="39" t="n">
        <f aca="false">J1782*Resumo!$B$6</f>
        <v>0.61463</v>
      </c>
      <c r="W1782" s="39" t="n">
        <f aca="false">J1782*Resumo!$B$7</f>
        <v>1.22926</v>
      </c>
      <c r="X1782" s="39" t="n">
        <f aca="false">Resumo!$B$9</f>
        <v>1</v>
      </c>
      <c r="Y1782" s="39" t="n">
        <f aca="false">Resumo!$B$10*CEILING(I1782/100,1)</f>
        <v>4.5</v>
      </c>
      <c r="Z1782" s="39" t="n">
        <f aca="false">Resumo!$B$12*CEILING(I1782,1)</f>
        <v>3.18</v>
      </c>
      <c r="AA1782" s="39" t="n">
        <f aca="false">Resumo!$B$13*CEILING(I1782,1)</f>
        <v>23.85</v>
      </c>
      <c r="AB1782" s="39" t="n">
        <f aca="false">SUM(U1782:AA1782)</f>
        <v>146.67389</v>
      </c>
      <c r="AC1782" s="39" t="n">
        <f aca="false">AB1782/(1-Resumo!$B$5)</f>
        <v>166.674875</v>
      </c>
      <c r="AD1782" s="39" t="n">
        <f aca="false">(AB1782-AA1782)/(1-Resumo!$B$5)</f>
        <v>139.572602272727</v>
      </c>
      <c r="AE1782" s="39" t="n">
        <f aca="false">AC1782-T1782</f>
        <v>52.5807970454545</v>
      </c>
      <c r="AF1782" s="40" t="n">
        <f aca="false">AC1782/T1782-1</f>
        <v>0.460854743630099</v>
      </c>
      <c r="AG1782" s="37" t="str">
        <f aca="false">IF(AC1782&lt;T1782,"SIM","NÃO")</f>
        <v>NÃO</v>
      </c>
      <c r="AH1782" s="37" t="n">
        <v>8</v>
      </c>
      <c r="AI1782" s="37" t="n">
        <v>5</v>
      </c>
      <c r="AJ1782" s="37" t="s">
        <v>323</v>
      </c>
    </row>
    <row r="1783" customFormat="false" ht="15" hidden="false" customHeight="false" outlineLevel="0" collapsed="false">
      <c r="A1783" s="37" t="n">
        <v>394082384</v>
      </c>
      <c r="B1783" s="38" t="n">
        <v>46278.721400463</v>
      </c>
      <c r="C1783" s="37" t="s">
        <v>320</v>
      </c>
      <c r="D1783" s="37" t="s">
        <v>1939</v>
      </c>
      <c r="E1783" s="37" t="n">
        <v>24410230</v>
      </c>
      <c r="F1783" s="37" t="s">
        <v>140</v>
      </c>
      <c r="G1783" s="37" t="s">
        <v>207</v>
      </c>
      <c r="H1783" s="37" t="s">
        <v>169</v>
      </c>
      <c r="I1783" s="37" t="n">
        <v>36.55</v>
      </c>
      <c r="J1783" s="39" t="n">
        <v>449.99</v>
      </c>
      <c r="K1783" s="37" t="s">
        <v>322</v>
      </c>
      <c r="L1783" s="39" t="n">
        <v>113.11</v>
      </c>
      <c r="M1783" s="39" t="n">
        <v>79.65</v>
      </c>
      <c r="N1783" s="39" t="n">
        <f aca="false">J1783*Resumo!$C$7</f>
        <v>0.89998</v>
      </c>
      <c r="O1783" s="39" t="n">
        <f aca="false">J1783*Resumo!$C$8</f>
        <v>0.89998</v>
      </c>
      <c r="P1783" s="39" t="n">
        <f aca="false">Resumo!$C$10*CEILING(I1783/100,1)</f>
        <v>1</v>
      </c>
      <c r="Q1783" s="39" t="n">
        <f aca="false">Resumo!$C$9</f>
        <v>11.9</v>
      </c>
      <c r="R1783" s="39" t="n">
        <f aca="false">SUM(M1783:Q1783)*Resumo!$C$11</f>
        <v>5.1892478</v>
      </c>
      <c r="S1783" s="39" t="n">
        <f aca="false">SUM(M1783:R1783)</f>
        <v>99.5392078</v>
      </c>
      <c r="T1783" s="39" t="n">
        <f aca="false">S1783/(1-Resumo!$C$5)</f>
        <v>113.112736136364</v>
      </c>
      <c r="U1783" s="39" t="n">
        <v>114.95</v>
      </c>
      <c r="V1783" s="39" t="n">
        <f aca="false">J1783*Resumo!$B$6</f>
        <v>0.44999</v>
      </c>
      <c r="W1783" s="39" t="n">
        <f aca="false">J1783*Resumo!$B$7</f>
        <v>0.89998</v>
      </c>
      <c r="X1783" s="39" t="n">
        <f aca="false">Resumo!$B$9</f>
        <v>1</v>
      </c>
      <c r="Y1783" s="39" t="n">
        <f aca="false">Resumo!$B$10*CEILING(I1783/100,1)</f>
        <v>4.5</v>
      </c>
      <c r="Z1783" s="39" t="n">
        <f aca="false">Resumo!$B$12*CEILING(I1783,1)</f>
        <v>2.22</v>
      </c>
      <c r="AA1783" s="39" t="n">
        <f aca="false">Resumo!$B$13*CEILING(I1783,1)</f>
        <v>16.65</v>
      </c>
      <c r="AB1783" s="39" t="n">
        <f aca="false">SUM(U1783:AA1783)</f>
        <v>140.66997</v>
      </c>
      <c r="AC1783" s="39" t="n">
        <f aca="false">AB1783/(1-Resumo!$B$5)</f>
        <v>159.852238636364</v>
      </c>
      <c r="AD1783" s="39" t="n">
        <f aca="false">(AB1783-AA1783)/(1-Resumo!$B$5)</f>
        <v>140.931784090909</v>
      </c>
      <c r="AE1783" s="39" t="n">
        <f aca="false">AC1783-T1783</f>
        <v>46.7395025</v>
      </c>
      <c r="AF1783" s="40" t="n">
        <f aca="false">AC1783/T1783-1</f>
        <v>0.413211669140891</v>
      </c>
      <c r="AG1783" s="37" t="str">
        <f aca="false">IF(AC1783&lt;T1783,"SIM","NÃO")</f>
        <v>NÃO</v>
      </c>
      <c r="AH1783" s="37" t="n">
        <v>10</v>
      </c>
      <c r="AI1783" s="37" t="n">
        <v>7</v>
      </c>
      <c r="AJ1783" s="37" t="s">
        <v>323</v>
      </c>
    </row>
    <row r="1784" customFormat="false" ht="15" hidden="false" customHeight="false" outlineLevel="0" collapsed="false">
      <c r="A1784" s="37" t="n">
        <v>394085477</v>
      </c>
      <c r="B1784" s="38" t="n">
        <v>46278.727337963</v>
      </c>
      <c r="C1784" s="37" t="s">
        <v>320</v>
      </c>
      <c r="D1784" s="37" t="s">
        <v>1940</v>
      </c>
      <c r="E1784" s="37" t="n">
        <v>21050320</v>
      </c>
      <c r="F1784" s="37" t="s">
        <v>139</v>
      </c>
      <c r="G1784" s="37" t="s">
        <v>198</v>
      </c>
      <c r="H1784" s="37" t="s">
        <v>169</v>
      </c>
      <c r="I1784" s="37" t="n">
        <v>37.2</v>
      </c>
      <c r="J1784" s="39" t="n">
        <v>399.99</v>
      </c>
      <c r="K1784" s="37" t="s">
        <v>322</v>
      </c>
      <c r="L1784" s="39" t="n">
        <v>91.77</v>
      </c>
      <c r="M1784" s="39" t="n">
        <v>62.05</v>
      </c>
      <c r="N1784" s="39" t="n">
        <f aca="false">J1784*Resumo!$C$7</f>
        <v>0.79998</v>
      </c>
      <c r="O1784" s="39" t="n">
        <f aca="false">J1784*Resumo!$C$8</f>
        <v>0.79998</v>
      </c>
      <c r="P1784" s="39" t="n">
        <f aca="false">Resumo!$C$10*CEILING(I1784/100,1)</f>
        <v>1</v>
      </c>
      <c r="Q1784" s="39" t="n">
        <f aca="false">Resumo!$C$9</f>
        <v>11.9</v>
      </c>
      <c r="R1784" s="39" t="n">
        <f aca="false">SUM(M1784:Q1784)*Resumo!$C$11</f>
        <v>4.2102478</v>
      </c>
      <c r="S1784" s="39" t="n">
        <f aca="false">SUM(M1784:R1784)</f>
        <v>80.7602078</v>
      </c>
      <c r="T1784" s="39" t="n">
        <f aca="false">S1784/(1-Resumo!$C$5)</f>
        <v>91.7729634090909</v>
      </c>
      <c r="U1784" s="39" t="n">
        <v>93.97</v>
      </c>
      <c r="V1784" s="39" t="n">
        <f aca="false">J1784*Resumo!$B$6</f>
        <v>0.39999</v>
      </c>
      <c r="W1784" s="39" t="n">
        <f aca="false">J1784*Resumo!$B$7</f>
        <v>0.79998</v>
      </c>
      <c r="X1784" s="39" t="n">
        <f aca="false">Resumo!$B$9</f>
        <v>1</v>
      </c>
      <c r="Y1784" s="39" t="n">
        <f aca="false">Resumo!$B$10*CEILING(I1784/100,1)</f>
        <v>4.5</v>
      </c>
      <c r="Z1784" s="39" t="n">
        <f aca="false">Resumo!$B$12*CEILING(I1784,1)</f>
        <v>2.28</v>
      </c>
      <c r="AA1784" s="39" t="n">
        <f aca="false">Resumo!$B$13*CEILING(I1784,1)</f>
        <v>17.1</v>
      </c>
      <c r="AB1784" s="39" t="n">
        <f aca="false">SUM(U1784:AA1784)</f>
        <v>120.04997</v>
      </c>
      <c r="AC1784" s="39" t="n">
        <f aca="false">AB1784/(1-Resumo!$B$5)</f>
        <v>136.420420454545</v>
      </c>
      <c r="AD1784" s="39" t="n">
        <f aca="false">(AB1784-AA1784)/(1-Resumo!$B$5)</f>
        <v>116.988602272727</v>
      </c>
      <c r="AE1784" s="39" t="n">
        <f aca="false">AC1784-T1784</f>
        <v>44.6474570454545</v>
      </c>
      <c r="AF1784" s="40" t="n">
        <f aca="false">AC1784/T1784-1</f>
        <v>0.486499023099344</v>
      </c>
      <c r="AG1784" s="37" t="str">
        <f aca="false">IF(AC1784&lt;T1784,"SIM","NÃO")</f>
        <v>NÃO</v>
      </c>
      <c r="AH1784" s="37" t="n">
        <v>8</v>
      </c>
      <c r="AI1784" s="37" t="n">
        <v>5</v>
      </c>
      <c r="AJ1784" s="37" t="s">
        <v>323</v>
      </c>
    </row>
    <row r="1785" customFormat="false" ht="15" hidden="false" customHeight="false" outlineLevel="0" collapsed="false">
      <c r="A1785" s="37" t="n">
        <v>394092014</v>
      </c>
      <c r="B1785" s="38" t="n">
        <v>46278.7392361111</v>
      </c>
      <c r="C1785" s="37" t="s">
        <v>320</v>
      </c>
      <c r="D1785" s="37" t="s">
        <v>1941</v>
      </c>
      <c r="E1785" s="37" t="n">
        <v>20720011</v>
      </c>
      <c r="F1785" s="37" t="s">
        <v>139</v>
      </c>
      <c r="G1785" s="37" t="s">
        <v>198</v>
      </c>
      <c r="H1785" s="37" t="s">
        <v>168</v>
      </c>
      <c r="I1785" s="37" t="n">
        <v>27.4</v>
      </c>
      <c r="J1785" s="39" t="n">
        <v>349.99</v>
      </c>
      <c r="K1785" s="37" t="s">
        <v>322</v>
      </c>
      <c r="L1785" s="39" t="n">
        <v>82</v>
      </c>
      <c r="M1785" s="39" t="n">
        <v>54.1</v>
      </c>
      <c r="N1785" s="39" t="n">
        <f aca="false">J1785*Resumo!$C$7</f>
        <v>0.69998</v>
      </c>
      <c r="O1785" s="39" t="n">
        <f aca="false">J1785*Resumo!$C$8</f>
        <v>0.69998</v>
      </c>
      <c r="P1785" s="39" t="n">
        <f aca="false">Resumo!$C$10*CEILING(I1785/100,1)</f>
        <v>1</v>
      </c>
      <c r="Q1785" s="39" t="n">
        <f aca="false">Resumo!$C$9</f>
        <v>11.9</v>
      </c>
      <c r="R1785" s="39" t="n">
        <f aca="false">SUM(M1785:Q1785)*Resumo!$C$11</f>
        <v>3.7619978</v>
      </c>
      <c r="S1785" s="39" t="n">
        <f aca="false">SUM(M1785:R1785)</f>
        <v>72.1619578</v>
      </c>
      <c r="T1785" s="39" t="n">
        <f aca="false">S1785/(1-Resumo!$C$5)</f>
        <v>82.0022247727273</v>
      </c>
      <c r="U1785" s="39" t="n">
        <v>82.21</v>
      </c>
      <c r="V1785" s="39" t="n">
        <f aca="false">J1785*Resumo!$B$6</f>
        <v>0.34999</v>
      </c>
      <c r="W1785" s="39" t="n">
        <f aca="false">J1785*Resumo!$B$7</f>
        <v>0.69998</v>
      </c>
      <c r="X1785" s="39" t="n">
        <f aca="false">Resumo!$B$9</f>
        <v>1</v>
      </c>
      <c r="Y1785" s="39" t="n">
        <f aca="false">Resumo!$B$10*CEILING(I1785/100,1)</f>
        <v>4.5</v>
      </c>
      <c r="Z1785" s="39" t="n">
        <f aca="false">Resumo!$B$12*CEILING(I1785,1)</f>
        <v>1.68</v>
      </c>
      <c r="AA1785" s="39" t="n">
        <f aca="false">Resumo!$B$13*CEILING(I1785,1)</f>
        <v>12.6</v>
      </c>
      <c r="AB1785" s="39" t="n">
        <f aca="false">SUM(U1785:AA1785)</f>
        <v>103.03997</v>
      </c>
      <c r="AC1785" s="39" t="n">
        <f aca="false">AB1785/(1-Resumo!$B$5)</f>
        <v>117.090875</v>
      </c>
      <c r="AD1785" s="39" t="n">
        <f aca="false">(AB1785-AA1785)/(1-Resumo!$B$5)</f>
        <v>102.772693181818</v>
      </c>
      <c r="AE1785" s="39" t="n">
        <f aca="false">AC1785-T1785</f>
        <v>35.0886502272727</v>
      </c>
      <c r="AF1785" s="40" t="n">
        <f aca="false">AC1785/T1785-1</f>
        <v>0.427898759143699</v>
      </c>
      <c r="AG1785" s="37" t="str">
        <f aca="false">IF(AC1785&lt;T1785,"SIM","NÃO")</f>
        <v>NÃO</v>
      </c>
      <c r="AH1785" s="37" t="n">
        <v>8</v>
      </c>
      <c r="AI1785" s="37" t="n">
        <v>5</v>
      </c>
      <c r="AJ1785" s="37" t="s">
        <v>323</v>
      </c>
    </row>
    <row r="1786" customFormat="false" ht="15" hidden="false" customHeight="false" outlineLevel="0" collapsed="false">
      <c r="A1786" s="37" t="n">
        <v>394092767</v>
      </c>
      <c r="B1786" s="38" t="n">
        <v>46278.7406018519</v>
      </c>
      <c r="C1786" s="37" t="s">
        <v>320</v>
      </c>
      <c r="D1786" s="37" t="s">
        <v>1942</v>
      </c>
      <c r="E1786" s="37" t="n">
        <v>25953600</v>
      </c>
      <c r="F1786" s="37" t="s">
        <v>221</v>
      </c>
      <c r="G1786" s="37" t="s">
        <v>201</v>
      </c>
      <c r="H1786" s="37" t="s">
        <v>168</v>
      </c>
      <c r="I1786" s="37" t="n">
        <v>27.5</v>
      </c>
      <c r="J1786" s="39" t="n">
        <v>332.86</v>
      </c>
      <c r="K1786" s="37" t="s">
        <v>322</v>
      </c>
      <c r="L1786" s="39" t="n">
        <v>108.78</v>
      </c>
      <c r="M1786" s="39" t="n">
        <v>76.5</v>
      </c>
      <c r="N1786" s="39" t="n">
        <f aca="false">J1786*Resumo!$C$7</f>
        <v>0.66572</v>
      </c>
      <c r="O1786" s="39" t="n">
        <f aca="false">J1786*Resumo!$C$8</f>
        <v>0.66572</v>
      </c>
      <c r="P1786" s="39" t="n">
        <f aca="false">Resumo!$C$10*CEILING(I1786/100,1)</f>
        <v>1</v>
      </c>
      <c r="Q1786" s="39" t="n">
        <f aca="false">Resumo!$C$9</f>
        <v>11.9</v>
      </c>
      <c r="R1786" s="39" t="n">
        <f aca="false">SUM(M1786:Q1786)*Resumo!$C$11</f>
        <v>4.9902292</v>
      </c>
      <c r="S1786" s="39" t="n">
        <f aca="false">SUM(M1786:R1786)</f>
        <v>95.7216692</v>
      </c>
      <c r="T1786" s="39" t="n">
        <f aca="false">S1786/(1-Resumo!$C$5)</f>
        <v>108.774624090909</v>
      </c>
      <c r="U1786" s="39" t="n">
        <v>120.78</v>
      </c>
      <c r="V1786" s="39" t="n">
        <f aca="false">J1786*Resumo!$B$6</f>
        <v>0.33286</v>
      </c>
      <c r="W1786" s="39" t="n">
        <f aca="false">J1786*Resumo!$B$7</f>
        <v>0.66572</v>
      </c>
      <c r="X1786" s="39" t="n">
        <f aca="false">Resumo!$B$9</f>
        <v>1</v>
      </c>
      <c r="Y1786" s="39" t="n">
        <f aca="false">Resumo!$B$10*CEILING(I1786/100,1)</f>
        <v>4.5</v>
      </c>
      <c r="Z1786" s="39" t="n">
        <f aca="false">Resumo!$B$12*CEILING(I1786,1)</f>
        <v>1.68</v>
      </c>
      <c r="AA1786" s="39" t="n">
        <f aca="false">Resumo!$B$13*CEILING(I1786,1)</f>
        <v>12.6</v>
      </c>
      <c r="AB1786" s="39" t="n">
        <f aca="false">SUM(U1786:AA1786)</f>
        <v>141.55858</v>
      </c>
      <c r="AC1786" s="39" t="n">
        <f aca="false">AB1786/(1-Resumo!$B$5)</f>
        <v>160.862022727273</v>
      </c>
      <c r="AD1786" s="39" t="n">
        <f aca="false">(AB1786-AA1786)/(1-Resumo!$B$5)</f>
        <v>146.543840909091</v>
      </c>
      <c r="AE1786" s="39" t="n">
        <f aca="false">AC1786-T1786</f>
        <v>52.0873986363636</v>
      </c>
      <c r="AF1786" s="40" t="n">
        <f aca="false">AC1786/T1786-1</f>
        <v>0.478856158517553</v>
      </c>
      <c r="AG1786" s="37" t="str">
        <f aca="false">IF(AC1786&lt;T1786,"SIM","NÃO")</f>
        <v>NÃO</v>
      </c>
      <c r="AH1786" s="37" t="n">
        <v>13</v>
      </c>
      <c r="AI1786" s="37" t="n">
        <v>10</v>
      </c>
      <c r="AJ1786" s="37" t="s">
        <v>327</v>
      </c>
    </row>
    <row r="1787" customFormat="false" ht="15" hidden="false" customHeight="false" outlineLevel="0" collapsed="false">
      <c r="A1787" s="37" t="n">
        <v>394096559</v>
      </c>
      <c r="B1787" s="38" t="n">
        <v>46278.7458796296</v>
      </c>
      <c r="C1787" s="37" t="s">
        <v>325</v>
      </c>
      <c r="D1787" s="37" t="s">
        <v>426</v>
      </c>
      <c r="E1787" s="37" t="n">
        <v>22790587</v>
      </c>
      <c r="F1787" s="37" t="s">
        <v>139</v>
      </c>
      <c r="G1787" s="37" t="s">
        <v>198</v>
      </c>
      <c r="H1787" s="37" t="s">
        <v>171</v>
      </c>
      <c r="I1787" s="37" t="n">
        <v>52.3</v>
      </c>
      <c r="J1787" s="39" t="n">
        <v>649.99</v>
      </c>
      <c r="K1787" s="37" t="s">
        <v>322</v>
      </c>
      <c r="L1787" s="39" t="n">
        <v>114.26</v>
      </c>
      <c r="M1787" s="39" t="n">
        <v>79.81</v>
      </c>
      <c r="N1787" s="39" t="n">
        <f aca="false">J1787*Resumo!$C$7</f>
        <v>1.29998</v>
      </c>
      <c r="O1787" s="39" t="n">
        <f aca="false">J1787*Resumo!$C$8</f>
        <v>1.29998</v>
      </c>
      <c r="P1787" s="39" t="n">
        <f aca="false">Resumo!$C$10*CEILING(I1787/100,1)</f>
        <v>1</v>
      </c>
      <c r="Q1787" s="39" t="n">
        <f aca="false">Resumo!$C$9</f>
        <v>11.9</v>
      </c>
      <c r="R1787" s="39" t="n">
        <f aca="false">SUM(M1787:Q1787)*Resumo!$C$11</f>
        <v>5.2420478</v>
      </c>
      <c r="S1787" s="39" t="n">
        <f aca="false">SUM(M1787:R1787)</f>
        <v>100.5520078</v>
      </c>
      <c r="T1787" s="39" t="n">
        <f aca="false">S1787/(1-Resumo!$C$5)</f>
        <v>114.263645227273</v>
      </c>
      <c r="U1787" s="39" t="n">
        <v>112.3</v>
      </c>
      <c r="V1787" s="39" t="n">
        <f aca="false">J1787*Resumo!$B$6</f>
        <v>0.64999</v>
      </c>
      <c r="W1787" s="39" t="n">
        <f aca="false">J1787*Resumo!$B$7</f>
        <v>1.29998</v>
      </c>
      <c r="X1787" s="39" t="n">
        <f aca="false">Resumo!$B$9</f>
        <v>1</v>
      </c>
      <c r="Y1787" s="39" t="n">
        <f aca="false">Resumo!$B$10*CEILING(I1787/100,1)</f>
        <v>4.5</v>
      </c>
      <c r="Z1787" s="39" t="n">
        <f aca="false">Resumo!$B$12*CEILING(I1787,1)</f>
        <v>3.18</v>
      </c>
      <c r="AA1787" s="39" t="n">
        <f aca="false">Resumo!$B$13*CEILING(I1787,1)</f>
        <v>23.85</v>
      </c>
      <c r="AB1787" s="39" t="n">
        <f aca="false">SUM(U1787:AA1787)</f>
        <v>146.77997</v>
      </c>
      <c r="AC1787" s="39" t="n">
        <f aca="false">AB1787/(1-Resumo!$B$5)</f>
        <v>166.795420454545</v>
      </c>
      <c r="AD1787" s="39" t="n">
        <f aca="false">(AB1787-AA1787)/(1-Resumo!$B$5)</f>
        <v>139.693147727273</v>
      </c>
      <c r="AE1787" s="39" t="n">
        <f aca="false">AC1787-T1787</f>
        <v>52.5317752272727</v>
      </c>
      <c r="AF1787" s="40" t="n">
        <f aca="false">AC1787/T1787-1</f>
        <v>0.459741811341533</v>
      </c>
      <c r="AG1787" s="37" t="str">
        <f aca="false">IF(AC1787&lt;T1787,"SIM","NÃO")</f>
        <v>NÃO</v>
      </c>
      <c r="AH1787" s="37" t="n">
        <v>8</v>
      </c>
      <c r="AI1787" s="37" t="n">
        <v>5</v>
      </c>
      <c r="AJ1787" s="37" t="s">
        <v>323</v>
      </c>
    </row>
    <row r="1788" customFormat="false" ht="15" hidden="false" customHeight="false" outlineLevel="0" collapsed="false">
      <c r="A1788" s="37" t="n">
        <v>394109107</v>
      </c>
      <c r="B1788" s="38" t="n">
        <v>46278.7617592593</v>
      </c>
      <c r="C1788" s="37" t="s">
        <v>320</v>
      </c>
      <c r="D1788" s="37" t="s">
        <v>1943</v>
      </c>
      <c r="E1788" s="37" t="n">
        <v>20715010</v>
      </c>
      <c r="F1788" s="37" t="s">
        <v>139</v>
      </c>
      <c r="G1788" s="37" t="s">
        <v>198</v>
      </c>
      <c r="H1788" s="37" t="s">
        <v>171</v>
      </c>
      <c r="I1788" s="37" t="n">
        <v>52.3</v>
      </c>
      <c r="J1788" s="39" t="n">
        <v>614.63</v>
      </c>
      <c r="K1788" s="37" t="s">
        <v>322</v>
      </c>
      <c r="L1788" s="39" t="n">
        <v>114.09</v>
      </c>
      <c r="M1788" s="39" t="n">
        <v>79.81</v>
      </c>
      <c r="N1788" s="39" t="n">
        <f aca="false">J1788*Resumo!$C$7</f>
        <v>1.22926</v>
      </c>
      <c r="O1788" s="39" t="n">
        <f aca="false">J1788*Resumo!$C$8</f>
        <v>1.22926</v>
      </c>
      <c r="P1788" s="39" t="n">
        <f aca="false">Resumo!$C$10*CEILING(I1788/100,1)</f>
        <v>1</v>
      </c>
      <c r="Q1788" s="39" t="n">
        <f aca="false">Resumo!$C$9</f>
        <v>11.9</v>
      </c>
      <c r="R1788" s="39" t="n">
        <f aca="false">SUM(M1788:Q1788)*Resumo!$C$11</f>
        <v>5.2342686</v>
      </c>
      <c r="S1788" s="39" t="n">
        <f aca="false">SUM(M1788:R1788)</f>
        <v>100.4027886</v>
      </c>
      <c r="T1788" s="39" t="n">
        <f aca="false">S1788/(1-Resumo!$C$5)</f>
        <v>114.094077954545</v>
      </c>
      <c r="U1788" s="39" t="n">
        <v>112.3</v>
      </c>
      <c r="V1788" s="39" t="n">
        <f aca="false">J1788*Resumo!$B$6</f>
        <v>0.61463</v>
      </c>
      <c r="W1788" s="39" t="n">
        <f aca="false">J1788*Resumo!$B$7</f>
        <v>1.22926</v>
      </c>
      <c r="X1788" s="39" t="n">
        <f aca="false">Resumo!$B$9</f>
        <v>1</v>
      </c>
      <c r="Y1788" s="39" t="n">
        <f aca="false">Resumo!$B$10*CEILING(I1788/100,1)</f>
        <v>4.5</v>
      </c>
      <c r="Z1788" s="39" t="n">
        <f aca="false">Resumo!$B$12*CEILING(I1788,1)</f>
        <v>3.18</v>
      </c>
      <c r="AA1788" s="39" t="n">
        <f aca="false">Resumo!$B$13*CEILING(I1788,1)</f>
        <v>23.85</v>
      </c>
      <c r="AB1788" s="39" t="n">
        <f aca="false">SUM(U1788:AA1788)</f>
        <v>146.67389</v>
      </c>
      <c r="AC1788" s="39" t="n">
        <f aca="false">AB1788/(1-Resumo!$B$5)</f>
        <v>166.674875</v>
      </c>
      <c r="AD1788" s="39" t="n">
        <f aca="false">(AB1788-AA1788)/(1-Resumo!$B$5)</f>
        <v>139.572602272727</v>
      </c>
      <c r="AE1788" s="39" t="n">
        <f aca="false">AC1788-T1788</f>
        <v>52.5807970454545</v>
      </c>
      <c r="AF1788" s="40" t="n">
        <f aca="false">AC1788/T1788-1</f>
        <v>0.460854743630099</v>
      </c>
      <c r="AG1788" s="37" t="str">
        <f aca="false">IF(AC1788&lt;T1788,"SIM","NÃO")</f>
        <v>NÃO</v>
      </c>
      <c r="AH1788" s="37" t="n">
        <v>8</v>
      </c>
      <c r="AI1788" s="37" t="n">
        <v>5</v>
      </c>
      <c r="AJ1788" s="37" t="s">
        <v>323</v>
      </c>
    </row>
    <row r="1789" customFormat="false" ht="15" hidden="false" customHeight="false" outlineLevel="0" collapsed="false">
      <c r="A1789" s="37" t="n">
        <v>394110545</v>
      </c>
      <c r="B1789" s="38" t="n">
        <v>46278.7636342593</v>
      </c>
      <c r="C1789" s="37" t="s">
        <v>320</v>
      </c>
      <c r="D1789" s="37" t="s">
        <v>1944</v>
      </c>
      <c r="E1789" s="37" t="n">
        <v>25044030</v>
      </c>
      <c r="F1789" s="37" t="s">
        <v>141</v>
      </c>
      <c r="G1789" s="37" t="s">
        <v>207</v>
      </c>
      <c r="H1789" s="37" t="s">
        <v>171</v>
      </c>
      <c r="I1789" s="37" t="n">
        <v>52.3</v>
      </c>
      <c r="J1789" s="39" t="n">
        <v>614.63</v>
      </c>
      <c r="K1789" s="37" t="s">
        <v>322</v>
      </c>
      <c r="L1789" s="39" t="n">
        <v>128.23</v>
      </c>
      <c r="M1789" s="39" t="n">
        <v>91.6</v>
      </c>
      <c r="N1789" s="39" t="n">
        <f aca="false">J1789*Resumo!$C$7</f>
        <v>1.22926</v>
      </c>
      <c r="O1789" s="39" t="n">
        <f aca="false">J1789*Resumo!$C$8</f>
        <v>1.22926</v>
      </c>
      <c r="P1789" s="39" t="n">
        <f aca="false">Resumo!$C$10*CEILING(I1789/100,1)</f>
        <v>1</v>
      </c>
      <c r="Q1789" s="39" t="n">
        <f aca="false">Resumo!$C$9</f>
        <v>11.9</v>
      </c>
      <c r="R1789" s="39" t="n">
        <f aca="false">SUM(M1789:Q1789)*Resumo!$C$11</f>
        <v>5.8827186</v>
      </c>
      <c r="S1789" s="39" t="n">
        <f aca="false">SUM(M1789:R1789)</f>
        <v>112.8412386</v>
      </c>
      <c r="T1789" s="39" t="n">
        <f aca="false">S1789/(1-Resumo!$C$5)</f>
        <v>128.228680227273</v>
      </c>
      <c r="U1789" s="39" t="n">
        <v>112.3</v>
      </c>
      <c r="V1789" s="39" t="n">
        <f aca="false">J1789*Resumo!$B$6</f>
        <v>0.61463</v>
      </c>
      <c r="W1789" s="39" t="n">
        <f aca="false">J1789*Resumo!$B$7</f>
        <v>1.22926</v>
      </c>
      <c r="X1789" s="39" t="n">
        <f aca="false">Resumo!$B$9</f>
        <v>1</v>
      </c>
      <c r="Y1789" s="39" t="n">
        <f aca="false">Resumo!$B$10*CEILING(I1789/100,1)</f>
        <v>4.5</v>
      </c>
      <c r="Z1789" s="39" t="n">
        <f aca="false">Resumo!$B$12*CEILING(I1789,1)</f>
        <v>3.18</v>
      </c>
      <c r="AA1789" s="39" t="n">
        <f aca="false">Resumo!$B$13*CEILING(I1789,1)</f>
        <v>23.85</v>
      </c>
      <c r="AB1789" s="39" t="n">
        <f aca="false">SUM(U1789:AA1789)</f>
        <v>146.67389</v>
      </c>
      <c r="AC1789" s="39" t="n">
        <f aca="false">AB1789/(1-Resumo!$B$5)</f>
        <v>166.674875</v>
      </c>
      <c r="AD1789" s="39" t="n">
        <f aca="false">(AB1789-AA1789)/(1-Resumo!$B$5)</f>
        <v>139.572602272727</v>
      </c>
      <c r="AE1789" s="39" t="n">
        <f aca="false">AC1789-T1789</f>
        <v>38.4461947727273</v>
      </c>
      <c r="AF1789" s="40" t="n">
        <f aca="false">AC1789/T1789-1</f>
        <v>0.299825239599949</v>
      </c>
      <c r="AG1789" s="37" t="str">
        <f aca="false">IF(AC1789&lt;T1789,"SIM","NÃO")</f>
        <v>NÃO</v>
      </c>
      <c r="AH1789" s="37" t="n">
        <v>10</v>
      </c>
      <c r="AI1789" s="37" t="n">
        <v>5</v>
      </c>
      <c r="AJ1789" s="37" t="s">
        <v>323</v>
      </c>
    </row>
    <row r="1790" customFormat="false" ht="15" hidden="false" customHeight="false" outlineLevel="0" collapsed="false">
      <c r="A1790" s="37" t="n">
        <v>394120299</v>
      </c>
      <c r="B1790" s="38" t="n">
        <v>46278.7755439815</v>
      </c>
      <c r="C1790" s="37" t="s">
        <v>320</v>
      </c>
      <c r="D1790" s="37" t="s">
        <v>1945</v>
      </c>
      <c r="E1790" s="37" t="n">
        <v>22790703</v>
      </c>
      <c r="F1790" s="37" t="s">
        <v>139</v>
      </c>
      <c r="G1790" s="37" t="s">
        <v>198</v>
      </c>
      <c r="H1790" s="37" t="s">
        <v>171</v>
      </c>
      <c r="I1790" s="37" t="n">
        <v>52.3</v>
      </c>
      <c r="J1790" s="39" t="n">
        <v>645.14</v>
      </c>
      <c r="K1790" s="37" t="s">
        <v>322</v>
      </c>
      <c r="L1790" s="39" t="n">
        <v>114.24</v>
      </c>
      <c r="M1790" s="39" t="n">
        <v>79.81</v>
      </c>
      <c r="N1790" s="39" t="n">
        <f aca="false">J1790*Resumo!$C$7</f>
        <v>1.29028</v>
      </c>
      <c r="O1790" s="39" t="n">
        <f aca="false">J1790*Resumo!$C$8</f>
        <v>1.29028</v>
      </c>
      <c r="P1790" s="39" t="n">
        <f aca="false">Resumo!$C$10*CEILING(I1790/100,1)</f>
        <v>1</v>
      </c>
      <c r="Q1790" s="39" t="n">
        <f aca="false">Resumo!$C$9</f>
        <v>11.9</v>
      </c>
      <c r="R1790" s="39" t="n">
        <f aca="false">SUM(M1790:Q1790)*Resumo!$C$11</f>
        <v>5.2409808</v>
      </c>
      <c r="S1790" s="39" t="n">
        <f aca="false">SUM(M1790:R1790)</f>
        <v>100.5315408</v>
      </c>
      <c r="T1790" s="39" t="n">
        <f aca="false">S1790/(1-Resumo!$C$5)</f>
        <v>114.240387272727</v>
      </c>
      <c r="U1790" s="39" t="n">
        <v>112.3</v>
      </c>
      <c r="V1790" s="39" t="n">
        <f aca="false">J1790*Resumo!$B$6</f>
        <v>0.64514</v>
      </c>
      <c r="W1790" s="39" t="n">
        <f aca="false">J1790*Resumo!$B$7</f>
        <v>1.29028</v>
      </c>
      <c r="X1790" s="39" t="n">
        <f aca="false">Resumo!$B$9</f>
        <v>1</v>
      </c>
      <c r="Y1790" s="39" t="n">
        <f aca="false">Resumo!$B$10*CEILING(I1790/100,1)</f>
        <v>4.5</v>
      </c>
      <c r="Z1790" s="39" t="n">
        <f aca="false">Resumo!$B$12*CEILING(I1790,1)</f>
        <v>3.18</v>
      </c>
      <c r="AA1790" s="39" t="n">
        <f aca="false">Resumo!$B$13*CEILING(I1790,1)</f>
        <v>23.85</v>
      </c>
      <c r="AB1790" s="39" t="n">
        <f aca="false">SUM(U1790:AA1790)</f>
        <v>146.76542</v>
      </c>
      <c r="AC1790" s="39" t="n">
        <f aca="false">AB1790/(1-Resumo!$B$5)</f>
        <v>166.778886363636</v>
      </c>
      <c r="AD1790" s="39" t="n">
        <f aca="false">(AB1790-AA1790)/(1-Resumo!$B$5)</f>
        <v>139.676613636364</v>
      </c>
      <c r="AE1790" s="39" t="n">
        <f aca="false">AC1790-T1790</f>
        <v>52.5384990909091</v>
      </c>
      <c r="AF1790" s="40" t="n">
        <f aca="false">AC1790/T1790-1</f>
        <v>0.459894266337555</v>
      </c>
      <c r="AG1790" s="37" t="str">
        <f aca="false">IF(AC1790&lt;T1790,"SIM","NÃO")</f>
        <v>NÃO</v>
      </c>
      <c r="AH1790" s="37" t="n">
        <v>8</v>
      </c>
      <c r="AI1790" s="37" t="n">
        <v>5</v>
      </c>
      <c r="AJ1790" s="37" t="s">
        <v>323</v>
      </c>
    </row>
    <row r="1791" customFormat="false" ht="15" hidden="false" customHeight="false" outlineLevel="0" collapsed="false">
      <c r="A1791" s="37" t="n">
        <v>394122402</v>
      </c>
      <c r="B1791" s="38" t="n">
        <v>46278.7782060185</v>
      </c>
      <c r="C1791" s="37" t="s">
        <v>320</v>
      </c>
      <c r="D1791" s="37" t="s">
        <v>1946</v>
      </c>
      <c r="E1791" s="37" t="n">
        <v>21930135</v>
      </c>
      <c r="F1791" s="37" t="s">
        <v>139</v>
      </c>
      <c r="G1791" s="37" t="s">
        <v>198</v>
      </c>
      <c r="H1791" s="37" t="s">
        <v>171</v>
      </c>
      <c r="I1791" s="37" t="n">
        <v>52.3</v>
      </c>
      <c r="J1791" s="39" t="n">
        <v>645.14</v>
      </c>
      <c r="K1791" s="37" t="s">
        <v>322</v>
      </c>
      <c r="L1791" s="39" t="n">
        <v>114.24</v>
      </c>
      <c r="M1791" s="39" t="n">
        <v>79.81</v>
      </c>
      <c r="N1791" s="39" t="n">
        <f aca="false">J1791*Resumo!$C$7</f>
        <v>1.29028</v>
      </c>
      <c r="O1791" s="39" t="n">
        <f aca="false">J1791*Resumo!$C$8</f>
        <v>1.29028</v>
      </c>
      <c r="P1791" s="39" t="n">
        <f aca="false">Resumo!$C$10*CEILING(I1791/100,1)</f>
        <v>1</v>
      </c>
      <c r="Q1791" s="39" t="n">
        <f aca="false">Resumo!$C$9</f>
        <v>11.9</v>
      </c>
      <c r="R1791" s="39" t="n">
        <f aca="false">SUM(M1791:Q1791)*Resumo!$C$11</f>
        <v>5.2409808</v>
      </c>
      <c r="S1791" s="39" t="n">
        <f aca="false">SUM(M1791:R1791)</f>
        <v>100.5315408</v>
      </c>
      <c r="T1791" s="39" t="n">
        <f aca="false">S1791/(1-Resumo!$C$5)</f>
        <v>114.240387272727</v>
      </c>
      <c r="U1791" s="39" t="n">
        <v>112.3</v>
      </c>
      <c r="V1791" s="39" t="n">
        <f aca="false">J1791*Resumo!$B$6</f>
        <v>0.64514</v>
      </c>
      <c r="W1791" s="39" t="n">
        <f aca="false">J1791*Resumo!$B$7</f>
        <v>1.29028</v>
      </c>
      <c r="X1791" s="39" t="n">
        <f aca="false">Resumo!$B$9</f>
        <v>1</v>
      </c>
      <c r="Y1791" s="39" t="n">
        <f aca="false">Resumo!$B$10*CEILING(I1791/100,1)</f>
        <v>4.5</v>
      </c>
      <c r="Z1791" s="39" t="n">
        <f aca="false">Resumo!$B$12*CEILING(I1791,1)</f>
        <v>3.18</v>
      </c>
      <c r="AA1791" s="39" t="n">
        <f aca="false">Resumo!$B$13*CEILING(I1791,1)</f>
        <v>23.85</v>
      </c>
      <c r="AB1791" s="39" t="n">
        <f aca="false">SUM(U1791:AA1791)</f>
        <v>146.76542</v>
      </c>
      <c r="AC1791" s="39" t="n">
        <f aca="false">AB1791/(1-Resumo!$B$5)</f>
        <v>166.778886363636</v>
      </c>
      <c r="AD1791" s="39" t="n">
        <f aca="false">(AB1791-AA1791)/(1-Resumo!$B$5)</f>
        <v>139.676613636364</v>
      </c>
      <c r="AE1791" s="39" t="n">
        <f aca="false">AC1791-T1791</f>
        <v>52.5384990909091</v>
      </c>
      <c r="AF1791" s="40" t="n">
        <f aca="false">AC1791/T1791-1</f>
        <v>0.459894266337555</v>
      </c>
      <c r="AG1791" s="37" t="str">
        <f aca="false">IF(AC1791&lt;T1791,"SIM","NÃO")</f>
        <v>NÃO</v>
      </c>
      <c r="AH1791" s="37" t="n">
        <v>8</v>
      </c>
      <c r="AI1791" s="37" t="n">
        <v>5</v>
      </c>
      <c r="AJ1791" s="37" t="s">
        <v>323</v>
      </c>
    </row>
    <row r="1792" customFormat="false" ht="15" hidden="false" customHeight="false" outlineLevel="0" collapsed="false">
      <c r="A1792" s="37" t="n">
        <v>394124383</v>
      </c>
      <c r="B1792" s="38" t="n">
        <v>46278.7806481482</v>
      </c>
      <c r="C1792" s="37" t="s">
        <v>320</v>
      </c>
      <c r="D1792" s="37" t="s">
        <v>788</v>
      </c>
      <c r="E1792" s="37" t="n">
        <v>22783410</v>
      </c>
      <c r="F1792" s="37" t="s">
        <v>139</v>
      </c>
      <c r="G1792" s="37" t="s">
        <v>198</v>
      </c>
      <c r="H1792" s="37" t="s">
        <v>172</v>
      </c>
      <c r="I1792" s="37" t="n">
        <v>63.9</v>
      </c>
      <c r="J1792" s="39" t="n">
        <v>716.35</v>
      </c>
      <c r="K1792" s="37" t="s">
        <v>322</v>
      </c>
      <c r="L1792" s="39" t="n">
        <v>124.64</v>
      </c>
      <c r="M1792" s="39" t="n">
        <v>88.2</v>
      </c>
      <c r="N1792" s="39" t="n">
        <f aca="false">J1792*Resumo!$C$7</f>
        <v>1.4327</v>
      </c>
      <c r="O1792" s="39" t="n">
        <f aca="false">J1792*Resumo!$C$8</f>
        <v>1.4327</v>
      </c>
      <c r="P1792" s="39" t="n">
        <f aca="false">Resumo!$C$10*CEILING(I1792/100,1)</f>
        <v>1</v>
      </c>
      <c r="Q1792" s="39" t="n">
        <f aca="false">Resumo!$C$9</f>
        <v>11.9</v>
      </c>
      <c r="R1792" s="39" t="n">
        <f aca="false">SUM(M1792:Q1792)*Resumo!$C$11</f>
        <v>5.718097</v>
      </c>
      <c r="S1792" s="39" t="n">
        <f aca="false">SUM(M1792:R1792)</f>
        <v>109.683497</v>
      </c>
      <c r="T1792" s="39" t="n">
        <f aca="false">S1792/(1-Resumo!$C$5)</f>
        <v>124.6403375</v>
      </c>
      <c r="U1792" s="39" t="n">
        <v>131.02</v>
      </c>
      <c r="V1792" s="39" t="n">
        <f aca="false">J1792*Resumo!$B$6</f>
        <v>0.71635</v>
      </c>
      <c r="W1792" s="39" t="n">
        <f aca="false">J1792*Resumo!$B$7</f>
        <v>1.4327</v>
      </c>
      <c r="X1792" s="39" t="n">
        <f aca="false">Resumo!$B$9</f>
        <v>1</v>
      </c>
      <c r="Y1792" s="39" t="n">
        <f aca="false">Resumo!$B$10*CEILING(I1792/100,1)</f>
        <v>4.5</v>
      </c>
      <c r="Z1792" s="39" t="n">
        <f aca="false">Resumo!$B$12*CEILING(I1792,1)</f>
        <v>3.84</v>
      </c>
      <c r="AA1792" s="39" t="n">
        <f aca="false">Resumo!$B$13*CEILING(I1792,1)</f>
        <v>28.8</v>
      </c>
      <c r="AB1792" s="39" t="n">
        <f aca="false">SUM(U1792:AA1792)</f>
        <v>171.30905</v>
      </c>
      <c r="AC1792" s="39" t="n">
        <f aca="false">AB1792/(1-Resumo!$B$5)</f>
        <v>194.669375</v>
      </c>
      <c r="AD1792" s="39" t="n">
        <f aca="false">(AB1792-AA1792)/(1-Resumo!$B$5)</f>
        <v>161.942102272727</v>
      </c>
      <c r="AE1792" s="39" t="n">
        <f aca="false">AC1792-T1792</f>
        <v>70.0290375</v>
      </c>
      <c r="AF1792" s="40" t="n">
        <f aca="false">AC1792/T1792-1</f>
        <v>0.561848907862593</v>
      </c>
      <c r="AG1792" s="37" t="str">
        <f aca="false">IF(AC1792&lt;T1792,"SIM","NÃO")</f>
        <v>NÃO</v>
      </c>
      <c r="AH1792" s="37" t="n">
        <v>8</v>
      </c>
      <c r="AI1792" s="37" t="n">
        <v>5</v>
      </c>
      <c r="AJ1792" s="37" t="s">
        <v>323</v>
      </c>
    </row>
    <row r="1793" customFormat="false" ht="15" hidden="false" customHeight="false" outlineLevel="0" collapsed="false">
      <c r="A1793" s="37" t="n">
        <v>394130127</v>
      </c>
      <c r="B1793" s="38" t="n">
        <v>46278.7966550926</v>
      </c>
      <c r="C1793" s="37" t="s">
        <v>355</v>
      </c>
      <c r="D1793" s="37" t="s">
        <v>466</v>
      </c>
      <c r="E1793" s="37" t="n">
        <v>22765240</v>
      </c>
      <c r="F1793" s="37" t="s">
        <v>139</v>
      </c>
      <c r="G1793" s="37" t="s">
        <v>198</v>
      </c>
      <c r="H1793" s="37" t="s">
        <v>167</v>
      </c>
      <c r="I1793" s="37" t="n">
        <v>15.15</v>
      </c>
      <c r="J1793" s="39" t="n">
        <v>269.99</v>
      </c>
      <c r="K1793" s="37" t="s">
        <v>322</v>
      </c>
      <c r="L1793" s="39" t="n">
        <v>64.51</v>
      </c>
      <c r="M1793" s="39" t="n">
        <v>39.83</v>
      </c>
      <c r="N1793" s="39" t="n">
        <f aca="false">J1793*Resumo!$C$7</f>
        <v>0.53998</v>
      </c>
      <c r="O1793" s="39" t="n">
        <f aca="false">J1793*Resumo!$C$8</f>
        <v>0.53998</v>
      </c>
      <c r="P1793" s="39" t="n">
        <f aca="false">Resumo!$C$10*CEILING(I1793/100,1)</f>
        <v>1</v>
      </c>
      <c r="Q1793" s="39" t="n">
        <f aca="false">Resumo!$C$9</f>
        <v>11.9</v>
      </c>
      <c r="R1793" s="39" t="n">
        <f aca="false">SUM(M1793:Q1793)*Resumo!$C$11</f>
        <v>2.9595478</v>
      </c>
      <c r="S1793" s="39" t="n">
        <f aca="false">SUM(M1793:R1793)</f>
        <v>56.7695078</v>
      </c>
      <c r="T1793" s="39" t="n">
        <f aca="false">S1793/(1-Resumo!$C$5)</f>
        <v>64.5108043181818</v>
      </c>
      <c r="U1793" s="39" t="n">
        <v>46.98</v>
      </c>
      <c r="V1793" s="39" t="n">
        <f aca="false">J1793*Resumo!$B$6</f>
        <v>0.26999</v>
      </c>
      <c r="W1793" s="39" t="n">
        <f aca="false">J1793*Resumo!$B$7</f>
        <v>0.53998</v>
      </c>
      <c r="X1793" s="39" t="n">
        <f aca="false">Resumo!$B$9</f>
        <v>1</v>
      </c>
      <c r="Y1793" s="39" t="n">
        <f aca="false">Resumo!$B$10*CEILING(I1793/100,1)</f>
        <v>4.5</v>
      </c>
      <c r="Z1793" s="39" t="n">
        <f aca="false">Resumo!$B$12*CEILING(I1793,1)</f>
        <v>0.96</v>
      </c>
      <c r="AA1793" s="39" t="n">
        <f aca="false">Resumo!$B$13*CEILING(I1793,1)</f>
        <v>7.2</v>
      </c>
      <c r="AB1793" s="39" t="n">
        <f aca="false">SUM(U1793:AA1793)</f>
        <v>61.44997</v>
      </c>
      <c r="AC1793" s="39" t="n">
        <f aca="false">AB1793/(1-Resumo!$B$5)</f>
        <v>69.8295113636364</v>
      </c>
      <c r="AD1793" s="39" t="n">
        <f aca="false">(AB1793-AA1793)/(1-Resumo!$B$5)</f>
        <v>61.6476931818182</v>
      </c>
      <c r="AE1793" s="39" t="n">
        <f aca="false">AC1793-T1793</f>
        <v>5.31870704545455</v>
      </c>
      <c r="AF1793" s="40" t="n">
        <f aca="false">AC1793/T1793-1</f>
        <v>0.0824467637889226</v>
      </c>
      <c r="AG1793" s="37" t="str">
        <f aca="false">IF(AC1793&lt;T1793,"SIM","NÃO")</f>
        <v>NÃO</v>
      </c>
      <c r="AH1793" s="37" t="n">
        <v>8</v>
      </c>
      <c r="AI1793" s="37" t="n">
        <v>5</v>
      </c>
      <c r="AJ1793" s="37" t="s">
        <v>323</v>
      </c>
    </row>
    <row r="1794" customFormat="false" ht="15" hidden="false" customHeight="false" outlineLevel="0" collapsed="false">
      <c r="A1794" s="37" t="n">
        <v>394185318</v>
      </c>
      <c r="B1794" s="38" t="n">
        <v>46278.8783680556</v>
      </c>
      <c r="C1794" s="37" t="s">
        <v>325</v>
      </c>
      <c r="D1794" s="37" t="s">
        <v>1947</v>
      </c>
      <c r="E1794" s="37" t="n">
        <v>23068155</v>
      </c>
      <c r="F1794" s="37" t="s">
        <v>139</v>
      </c>
      <c r="G1794" s="37" t="s">
        <v>198</v>
      </c>
      <c r="H1794" s="37" t="s">
        <v>171</v>
      </c>
      <c r="I1794" s="37" t="n">
        <v>56.7</v>
      </c>
      <c r="J1794" s="39" t="n">
        <v>645.77</v>
      </c>
      <c r="K1794" s="37" t="s">
        <v>322</v>
      </c>
      <c r="L1794" s="39" t="n">
        <v>114.24</v>
      </c>
      <c r="M1794" s="39" t="n">
        <v>79.81</v>
      </c>
      <c r="N1794" s="39" t="n">
        <f aca="false">J1794*Resumo!$C$7</f>
        <v>1.29154</v>
      </c>
      <c r="O1794" s="39" t="n">
        <f aca="false">J1794*Resumo!$C$8</f>
        <v>1.29154</v>
      </c>
      <c r="P1794" s="39" t="n">
        <f aca="false">Resumo!$C$10*CEILING(I1794/100,1)</f>
        <v>1</v>
      </c>
      <c r="Q1794" s="39" t="n">
        <f aca="false">Resumo!$C$9</f>
        <v>11.9</v>
      </c>
      <c r="R1794" s="39" t="n">
        <f aca="false">SUM(M1794:Q1794)*Resumo!$C$11</f>
        <v>5.2411194</v>
      </c>
      <c r="S1794" s="39" t="n">
        <f aca="false">SUM(M1794:R1794)</f>
        <v>100.5341994</v>
      </c>
      <c r="T1794" s="39" t="n">
        <f aca="false">S1794/(1-Resumo!$C$5)</f>
        <v>114.243408409091</v>
      </c>
      <c r="U1794" s="39" t="n">
        <v>112.3</v>
      </c>
      <c r="V1794" s="39" t="n">
        <f aca="false">J1794*Resumo!$B$6</f>
        <v>0.64577</v>
      </c>
      <c r="W1794" s="39" t="n">
        <f aca="false">J1794*Resumo!$B$7</f>
        <v>1.29154</v>
      </c>
      <c r="X1794" s="39" t="n">
        <f aca="false">Resumo!$B$9</f>
        <v>1</v>
      </c>
      <c r="Y1794" s="39" t="n">
        <f aca="false">Resumo!$B$10*CEILING(I1794/100,1)</f>
        <v>4.5</v>
      </c>
      <c r="Z1794" s="39" t="n">
        <f aca="false">Resumo!$B$12*CEILING(I1794,1)</f>
        <v>3.42</v>
      </c>
      <c r="AA1794" s="39" t="n">
        <f aca="false">Resumo!$B$13*CEILING(I1794,1)</f>
        <v>25.65</v>
      </c>
      <c r="AB1794" s="39" t="n">
        <f aca="false">SUM(U1794:AA1794)</f>
        <v>148.80731</v>
      </c>
      <c r="AC1794" s="39" t="n">
        <f aca="false">AB1794/(1-Resumo!$B$5)</f>
        <v>169.099215909091</v>
      </c>
      <c r="AD1794" s="39" t="n">
        <f aca="false">(AB1794-AA1794)/(1-Resumo!$B$5)</f>
        <v>139.951488636364</v>
      </c>
      <c r="AE1794" s="39" t="n">
        <f aca="false">AC1794-T1794</f>
        <v>54.8558075</v>
      </c>
      <c r="AF1794" s="40" t="n">
        <f aca="false">AC1794/T1794-1</f>
        <v>0.480166061778973</v>
      </c>
      <c r="AG1794" s="37" t="str">
        <f aca="false">IF(AC1794&lt;T1794,"SIM","NÃO")</f>
        <v>NÃO</v>
      </c>
      <c r="AH1794" s="37" t="n">
        <v>8</v>
      </c>
      <c r="AI1794" s="37" t="n">
        <v>5</v>
      </c>
      <c r="AJ1794" s="37" t="s">
        <v>323</v>
      </c>
    </row>
    <row r="1795" customFormat="false" ht="15" hidden="false" customHeight="false" outlineLevel="0" collapsed="false">
      <c r="A1795" s="37" t="n">
        <v>394192604</v>
      </c>
      <c r="B1795" s="38" t="n">
        <v>46278.8900231482</v>
      </c>
      <c r="C1795" s="37" t="s">
        <v>320</v>
      </c>
      <c r="D1795" s="37" t="s">
        <v>1948</v>
      </c>
      <c r="E1795" s="37" t="n">
        <v>23050360</v>
      </c>
      <c r="F1795" s="37" t="s">
        <v>139</v>
      </c>
      <c r="G1795" s="37" t="s">
        <v>198</v>
      </c>
      <c r="H1795" s="37" t="s">
        <v>172</v>
      </c>
      <c r="I1795" s="37" t="n">
        <v>67.3</v>
      </c>
      <c r="J1795" s="39" t="n">
        <v>779.99</v>
      </c>
      <c r="K1795" s="37" t="s">
        <v>322</v>
      </c>
      <c r="L1795" s="39" t="n">
        <v>124.94</v>
      </c>
      <c r="M1795" s="39" t="n">
        <v>88.2</v>
      </c>
      <c r="N1795" s="39" t="n">
        <f aca="false">J1795*Resumo!$C$7</f>
        <v>1.55998</v>
      </c>
      <c r="O1795" s="39" t="n">
        <f aca="false">J1795*Resumo!$C$8</f>
        <v>1.55998</v>
      </c>
      <c r="P1795" s="39" t="n">
        <f aca="false">Resumo!$C$10*CEILING(I1795/100,1)</f>
        <v>1</v>
      </c>
      <c r="Q1795" s="39" t="n">
        <f aca="false">Resumo!$C$9</f>
        <v>11.9</v>
      </c>
      <c r="R1795" s="39" t="n">
        <f aca="false">SUM(M1795:Q1795)*Resumo!$C$11</f>
        <v>5.7320978</v>
      </c>
      <c r="S1795" s="39" t="n">
        <f aca="false">SUM(M1795:R1795)</f>
        <v>109.9520578</v>
      </c>
      <c r="T1795" s="39" t="n">
        <f aca="false">S1795/(1-Resumo!$C$5)</f>
        <v>124.945520227273</v>
      </c>
      <c r="U1795" s="39" t="n">
        <v>131.02</v>
      </c>
      <c r="V1795" s="39" t="n">
        <f aca="false">J1795*Resumo!$B$6</f>
        <v>0.77999</v>
      </c>
      <c r="W1795" s="39" t="n">
        <f aca="false">J1795*Resumo!$B$7</f>
        <v>1.55998</v>
      </c>
      <c r="X1795" s="39" t="n">
        <f aca="false">Resumo!$B$9</f>
        <v>1</v>
      </c>
      <c r="Y1795" s="39" t="n">
        <f aca="false">Resumo!$B$10*CEILING(I1795/100,1)</f>
        <v>4.5</v>
      </c>
      <c r="Z1795" s="39" t="n">
        <f aca="false">Resumo!$B$12*CEILING(I1795,1)</f>
        <v>4.08</v>
      </c>
      <c r="AA1795" s="39" t="n">
        <f aca="false">Resumo!$B$13*CEILING(I1795,1)</f>
        <v>30.6</v>
      </c>
      <c r="AB1795" s="39" t="n">
        <f aca="false">SUM(U1795:AA1795)</f>
        <v>173.53997</v>
      </c>
      <c r="AC1795" s="39" t="n">
        <f aca="false">AB1795/(1-Resumo!$B$5)</f>
        <v>197.204511363636</v>
      </c>
      <c r="AD1795" s="39" t="n">
        <f aca="false">(AB1795-AA1795)/(1-Resumo!$B$5)</f>
        <v>162.431784090909</v>
      </c>
      <c r="AE1795" s="39" t="n">
        <f aca="false">AC1795-T1795</f>
        <v>72.2589911363637</v>
      </c>
      <c r="AF1795" s="40" t="n">
        <f aca="false">AC1795/T1795-1</f>
        <v>0.578323984764931</v>
      </c>
      <c r="AG1795" s="37" t="str">
        <f aca="false">IF(AC1795&lt;T1795,"SIM","NÃO")</f>
        <v>NÃO</v>
      </c>
      <c r="AH1795" s="37" t="n">
        <v>8</v>
      </c>
      <c r="AI1795" s="37" t="n">
        <v>5</v>
      </c>
      <c r="AJ1795" s="37" t="s">
        <v>323</v>
      </c>
    </row>
    <row r="1796" customFormat="false" ht="15" hidden="false" customHeight="false" outlineLevel="0" collapsed="false">
      <c r="A1796" s="37" t="n">
        <v>394219365</v>
      </c>
      <c r="B1796" s="38" t="n">
        <v>46278.9387615741</v>
      </c>
      <c r="C1796" s="37" t="s">
        <v>325</v>
      </c>
      <c r="D1796" s="37" t="s">
        <v>1949</v>
      </c>
      <c r="E1796" s="37" t="n">
        <v>21931242</v>
      </c>
      <c r="F1796" s="37" t="s">
        <v>139</v>
      </c>
      <c r="G1796" s="37" t="s">
        <v>198</v>
      </c>
      <c r="H1796" s="37" t="s">
        <v>172</v>
      </c>
      <c r="I1796" s="37" t="n">
        <v>67.3</v>
      </c>
      <c r="J1796" s="39" t="n">
        <v>709</v>
      </c>
      <c r="K1796" s="37" t="s">
        <v>322</v>
      </c>
      <c r="L1796" s="39" t="n">
        <v>124.61</v>
      </c>
      <c r="M1796" s="39" t="n">
        <v>88.2</v>
      </c>
      <c r="N1796" s="39" t="n">
        <f aca="false">J1796*Resumo!$C$7</f>
        <v>1.418</v>
      </c>
      <c r="O1796" s="39" t="n">
        <f aca="false">J1796*Resumo!$C$8</f>
        <v>1.418</v>
      </c>
      <c r="P1796" s="39" t="n">
        <f aca="false">Resumo!$C$10*CEILING(I1796/100,1)</f>
        <v>1</v>
      </c>
      <c r="Q1796" s="39" t="n">
        <f aca="false">Resumo!$C$9</f>
        <v>11.9</v>
      </c>
      <c r="R1796" s="39" t="n">
        <f aca="false">SUM(M1796:Q1796)*Resumo!$C$11</f>
        <v>5.71648</v>
      </c>
      <c r="S1796" s="39" t="n">
        <f aca="false">SUM(M1796:R1796)</f>
        <v>109.65248</v>
      </c>
      <c r="T1796" s="39" t="n">
        <f aca="false">S1796/(1-Resumo!$C$5)</f>
        <v>124.605090909091</v>
      </c>
      <c r="U1796" s="39" t="n">
        <v>131.02</v>
      </c>
      <c r="V1796" s="39" t="n">
        <f aca="false">J1796*Resumo!$B$6</f>
        <v>0.709</v>
      </c>
      <c r="W1796" s="39" t="n">
        <f aca="false">J1796*Resumo!$B$7</f>
        <v>1.418</v>
      </c>
      <c r="X1796" s="39" t="n">
        <f aca="false">Resumo!$B$9</f>
        <v>1</v>
      </c>
      <c r="Y1796" s="39" t="n">
        <f aca="false">Resumo!$B$10*CEILING(I1796/100,1)</f>
        <v>4.5</v>
      </c>
      <c r="Z1796" s="39" t="n">
        <f aca="false">Resumo!$B$12*CEILING(I1796,1)</f>
        <v>4.08</v>
      </c>
      <c r="AA1796" s="39" t="n">
        <f aca="false">Resumo!$B$13*CEILING(I1796,1)</f>
        <v>30.6</v>
      </c>
      <c r="AB1796" s="39" t="n">
        <f aca="false">SUM(U1796:AA1796)</f>
        <v>173.327</v>
      </c>
      <c r="AC1796" s="39" t="n">
        <f aca="false">AB1796/(1-Resumo!$B$5)</f>
        <v>196.9625</v>
      </c>
      <c r="AD1796" s="39" t="n">
        <f aca="false">(AB1796-AA1796)/(1-Resumo!$B$5)</f>
        <v>162.189772727273</v>
      </c>
      <c r="AE1796" s="39" t="n">
        <f aca="false">AC1796-T1796</f>
        <v>72.3574090909091</v>
      </c>
      <c r="AF1796" s="40" t="n">
        <f aca="false">AC1796/T1796-1</f>
        <v>0.580693842948194</v>
      </c>
      <c r="AG1796" s="37" t="str">
        <f aca="false">IF(AC1796&lt;T1796,"SIM","NÃO")</f>
        <v>NÃO</v>
      </c>
      <c r="AH1796" s="37" t="n">
        <v>8</v>
      </c>
      <c r="AI1796" s="37" t="n">
        <v>5</v>
      </c>
      <c r="AJ1796" s="37" t="s">
        <v>323</v>
      </c>
    </row>
    <row r="1797" customFormat="false" ht="15" hidden="false" customHeight="false" outlineLevel="0" collapsed="false">
      <c r="A1797" s="37" t="n">
        <v>394222719</v>
      </c>
      <c r="B1797" s="38" t="n">
        <v>46278.9438541667</v>
      </c>
      <c r="C1797" s="37" t="s">
        <v>325</v>
      </c>
      <c r="D1797" s="37" t="s">
        <v>1950</v>
      </c>
      <c r="E1797" s="37" t="n">
        <v>23020715</v>
      </c>
      <c r="F1797" s="37" t="s">
        <v>139</v>
      </c>
      <c r="G1797" s="37" t="s">
        <v>198</v>
      </c>
      <c r="H1797" s="37" t="s">
        <v>168</v>
      </c>
      <c r="I1797" s="37" t="n">
        <v>27</v>
      </c>
      <c r="J1797" s="39" t="n">
        <v>486.62</v>
      </c>
      <c r="K1797" s="37" t="s">
        <v>322</v>
      </c>
      <c r="L1797" s="39" t="n">
        <v>82.65</v>
      </c>
      <c r="M1797" s="39" t="n">
        <v>54.1</v>
      </c>
      <c r="N1797" s="39" t="n">
        <f aca="false">J1797*Resumo!$C$7</f>
        <v>0.97324</v>
      </c>
      <c r="O1797" s="39" t="n">
        <f aca="false">J1797*Resumo!$C$8</f>
        <v>0.97324</v>
      </c>
      <c r="P1797" s="39" t="n">
        <f aca="false">Resumo!$C$10*CEILING(I1797/100,1)</f>
        <v>1</v>
      </c>
      <c r="Q1797" s="39" t="n">
        <f aca="false">Resumo!$C$9</f>
        <v>11.9</v>
      </c>
      <c r="R1797" s="39" t="n">
        <f aca="false">SUM(M1797:Q1797)*Resumo!$C$11</f>
        <v>3.7920564</v>
      </c>
      <c r="S1797" s="39" t="n">
        <f aca="false">SUM(M1797:R1797)</f>
        <v>72.7385364</v>
      </c>
      <c r="T1797" s="39" t="n">
        <f aca="false">S1797/(1-Resumo!$C$5)</f>
        <v>82.6574277272728</v>
      </c>
      <c r="U1797" s="39" t="n">
        <v>82.21</v>
      </c>
      <c r="V1797" s="39" t="n">
        <f aca="false">J1797*Resumo!$B$6</f>
        <v>0.48662</v>
      </c>
      <c r="W1797" s="39" t="n">
        <f aca="false">J1797*Resumo!$B$7</f>
        <v>0.97324</v>
      </c>
      <c r="X1797" s="39" t="n">
        <f aca="false">Resumo!$B$9</f>
        <v>1</v>
      </c>
      <c r="Y1797" s="39" t="n">
        <f aca="false">Resumo!$B$10*CEILING(I1797/100,1)</f>
        <v>4.5</v>
      </c>
      <c r="Z1797" s="39" t="n">
        <f aca="false">Resumo!$B$12*CEILING(I1797,1)</f>
        <v>1.62</v>
      </c>
      <c r="AA1797" s="39" t="n">
        <f aca="false">Resumo!$B$13*CEILING(I1797,1)</f>
        <v>12.15</v>
      </c>
      <c r="AB1797" s="39" t="n">
        <f aca="false">SUM(U1797:AA1797)</f>
        <v>102.93986</v>
      </c>
      <c r="AC1797" s="39" t="n">
        <f aca="false">AB1797/(1-Resumo!$B$5)</f>
        <v>116.977113636364</v>
      </c>
      <c r="AD1797" s="39" t="n">
        <f aca="false">(AB1797-AA1797)/(1-Resumo!$B$5)</f>
        <v>103.170295454545</v>
      </c>
      <c r="AE1797" s="39" t="n">
        <f aca="false">AC1797-T1797</f>
        <v>34.3196859090909</v>
      </c>
      <c r="AF1797" s="40" t="n">
        <f aca="false">AC1797/T1797-1</f>
        <v>0.415203894589223</v>
      </c>
      <c r="AG1797" s="37" t="str">
        <f aca="false">IF(AC1797&lt;T1797,"SIM","NÃO")</f>
        <v>NÃO</v>
      </c>
      <c r="AH1797" s="37" t="n">
        <v>8</v>
      </c>
      <c r="AI1797" s="37" t="n">
        <v>5</v>
      </c>
      <c r="AJ1797" s="37" t="s">
        <v>323</v>
      </c>
    </row>
    <row r="1798" customFormat="false" ht="15" hidden="false" customHeight="false" outlineLevel="0" collapsed="false">
      <c r="A1798" s="37" t="n">
        <v>394246647</v>
      </c>
      <c r="B1798" s="38" t="n">
        <v>46278.9808449074</v>
      </c>
      <c r="C1798" s="37" t="s">
        <v>320</v>
      </c>
      <c r="D1798" s="37" t="s">
        <v>1951</v>
      </c>
      <c r="E1798" s="37" t="n">
        <v>28750000</v>
      </c>
      <c r="F1798" s="37" t="s">
        <v>272</v>
      </c>
      <c r="G1798" s="37" t="s">
        <v>201</v>
      </c>
      <c r="H1798" s="37" t="s">
        <v>168</v>
      </c>
      <c r="I1798" s="37" t="n">
        <v>27</v>
      </c>
      <c r="J1798" s="39" t="n">
        <v>339.99</v>
      </c>
      <c r="K1798" s="37" t="s">
        <v>322</v>
      </c>
      <c r="L1798" s="39" t="n">
        <v>108.81</v>
      </c>
      <c r="M1798" s="39" t="n">
        <v>76.5</v>
      </c>
      <c r="N1798" s="39" t="n">
        <f aca="false">J1798*Resumo!$C$7</f>
        <v>0.67998</v>
      </c>
      <c r="O1798" s="39" t="n">
        <f aca="false">J1798*Resumo!$C$8</f>
        <v>0.67998</v>
      </c>
      <c r="P1798" s="39" t="n">
        <f aca="false">Resumo!$C$10*CEILING(I1798/100,1)</f>
        <v>1</v>
      </c>
      <c r="Q1798" s="39" t="n">
        <f aca="false">Resumo!$C$9</f>
        <v>11.9</v>
      </c>
      <c r="R1798" s="39" t="n">
        <f aca="false">SUM(M1798:Q1798)*Resumo!$C$11</f>
        <v>4.9917978</v>
      </c>
      <c r="S1798" s="39" t="n">
        <f aca="false">SUM(M1798:R1798)</f>
        <v>95.7517578</v>
      </c>
      <c r="T1798" s="39" t="n">
        <f aca="false">S1798/(1-Resumo!$C$5)</f>
        <v>108.808815681818</v>
      </c>
      <c r="U1798" s="39" t="n">
        <v>138.29</v>
      </c>
      <c r="V1798" s="39" t="n">
        <f aca="false">J1798*Resumo!$B$6</f>
        <v>0.33999</v>
      </c>
      <c r="W1798" s="39" t="n">
        <f aca="false">J1798*Resumo!$B$7</f>
        <v>0.67998</v>
      </c>
      <c r="X1798" s="39" t="n">
        <f aca="false">Resumo!$B$9</f>
        <v>1</v>
      </c>
      <c r="Y1798" s="39" t="n">
        <f aca="false">Resumo!$B$10*CEILING(I1798/100,1)</f>
        <v>4.5</v>
      </c>
      <c r="Z1798" s="39" t="n">
        <f aca="false">Resumo!$B$12*CEILING(I1798,1)</f>
        <v>1.62</v>
      </c>
      <c r="AA1798" s="39" t="n">
        <f aca="false">Resumo!$B$13*CEILING(I1798,1)</f>
        <v>12.15</v>
      </c>
      <c r="AB1798" s="39" t="n">
        <f aca="false">SUM(U1798:AA1798)</f>
        <v>158.57997</v>
      </c>
      <c r="AC1798" s="39" t="n">
        <f aca="false">AB1798/(1-Resumo!$B$5)</f>
        <v>180.204511363636</v>
      </c>
      <c r="AD1798" s="39" t="n">
        <f aca="false">(AB1798-AA1798)/(1-Resumo!$B$5)</f>
        <v>166.397693181818</v>
      </c>
      <c r="AE1798" s="39" t="n">
        <f aca="false">AC1798-T1798</f>
        <v>71.3956956818182</v>
      </c>
      <c r="AF1798" s="40" t="n">
        <f aca="false">AC1798/T1798-1</f>
        <v>0.656157272133128</v>
      </c>
      <c r="AG1798" s="37" t="str">
        <f aca="false">IF(AC1798&lt;T1798,"SIM","NÃO")</f>
        <v>NÃO</v>
      </c>
      <c r="AH1798" s="37" t="n">
        <v>13</v>
      </c>
      <c r="AI1798" s="37" t="n">
        <v>11</v>
      </c>
      <c r="AJ1798" s="37" t="s">
        <v>327</v>
      </c>
    </row>
    <row r="1799" customFormat="false" ht="15" hidden="false" customHeight="false" outlineLevel="0" collapsed="false">
      <c r="A1799" s="37" t="n">
        <v>394460134</v>
      </c>
      <c r="B1799" s="38" t="n">
        <v>46279.5200115741</v>
      </c>
      <c r="C1799" s="37" t="s">
        <v>320</v>
      </c>
      <c r="D1799" s="37" t="s">
        <v>1952</v>
      </c>
      <c r="E1799" s="37" t="n">
        <v>27581714</v>
      </c>
      <c r="F1799" s="37" t="s">
        <v>238</v>
      </c>
      <c r="G1799" s="37" t="s">
        <v>201</v>
      </c>
      <c r="H1799" s="37" t="s">
        <v>168</v>
      </c>
      <c r="I1799" s="37" t="n">
        <v>33</v>
      </c>
      <c r="J1799" s="39" t="n">
        <v>344.13</v>
      </c>
      <c r="K1799" s="37" t="s">
        <v>322</v>
      </c>
      <c r="L1799" s="39" t="n">
        <v>108.83</v>
      </c>
      <c r="M1799" s="39" t="n">
        <v>76.5</v>
      </c>
      <c r="N1799" s="39" t="n">
        <f aca="false">J1799*Resumo!$C$7</f>
        <v>0.68826</v>
      </c>
      <c r="O1799" s="39" t="n">
        <f aca="false">J1799*Resumo!$C$8</f>
        <v>0.68826</v>
      </c>
      <c r="P1799" s="39" t="n">
        <f aca="false">Resumo!$C$10*CEILING(I1799/100,1)</f>
        <v>1</v>
      </c>
      <c r="Q1799" s="39" t="n">
        <f aca="false">Resumo!$C$9</f>
        <v>11.9</v>
      </c>
      <c r="R1799" s="39" t="n">
        <f aca="false">SUM(M1799:Q1799)*Resumo!$C$11</f>
        <v>4.9927086</v>
      </c>
      <c r="S1799" s="39" t="n">
        <f aca="false">SUM(M1799:R1799)</f>
        <v>95.7692286</v>
      </c>
      <c r="T1799" s="39" t="n">
        <f aca="false">S1799/(1-Resumo!$C$5)</f>
        <v>108.828668863636</v>
      </c>
      <c r="U1799" s="39" t="n">
        <v>108.83</v>
      </c>
      <c r="V1799" s="39" t="n">
        <f aca="false">J1799*Resumo!$B$6</f>
        <v>0.34413</v>
      </c>
      <c r="W1799" s="39" t="n">
        <f aca="false">J1799*Resumo!$B$7</f>
        <v>0.68826</v>
      </c>
      <c r="X1799" s="39" t="n">
        <f aca="false">Resumo!$B$9</f>
        <v>1</v>
      </c>
      <c r="Y1799" s="39" t="n">
        <f aca="false">Resumo!$B$10*CEILING(I1799/100,1)</f>
        <v>4.5</v>
      </c>
      <c r="Z1799" s="39" t="n">
        <f aca="false">Resumo!$B$12*CEILING(I1799,1)</f>
        <v>1.98</v>
      </c>
      <c r="AA1799" s="39" t="n">
        <f aca="false">Resumo!$B$13*CEILING(I1799,1)</f>
        <v>14.85</v>
      </c>
      <c r="AB1799" s="39" t="n">
        <f aca="false">SUM(U1799:AA1799)</f>
        <v>132.19239</v>
      </c>
      <c r="AC1799" s="39" t="n">
        <f aca="false">AB1799/(1-Resumo!$B$5)</f>
        <v>150.218625</v>
      </c>
      <c r="AD1799" s="39" t="n">
        <f aca="false">(AB1799-AA1799)/(1-Resumo!$B$5)</f>
        <v>133.343625</v>
      </c>
      <c r="AE1799" s="39" t="n">
        <f aca="false">AC1799-T1799</f>
        <v>41.3899561363636</v>
      </c>
      <c r="AF1799" s="40" t="n">
        <f aca="false">AC1799/T1799-1</f>
        <v>0.380322175843442</v>
      </c>
      <c r="AG1799" s="37" t="str">
        <f aca="false">IF(AC1799&lt;T1799,"SIM","NÃO")</f>
        <v>NÃO</v>
      </c>
      <c r="AH1799" s="37" t="n">
        <v>13</v>
      </c>
      <c r="AI1799" s="37" t="n">
        <v>10</v>
      </c>
      <c r="AJ1799" s="37" t="s">
        <v>327</v>
      </c>
    </row>
    <row r="1800" customFormat="false" ht="15" hidden="false" customHeight="false" outlineLevel="0" collapsed="false">
      <c r="A1800" s="37" t="n">
        <v>394462754</v>
      </c>
      <c r="B1800" s="38" t="n">
        <v>46279.5240277778</v>
      </c>
      <c r="C1800" s="37" t="s">
        <v>320</v>
      </c>
      <c r="D1800" s="37" t="s">
        <v>1953</v>
      </c>
      <c r="E1800" s="37" t="n">
        <v>22220030</v>
      </c>
      <c r="F1800" s="37" t="s">
        <v>139</v>
      </c>
      <c r="G1800" s="37" t="s">
        <v>198</v>
      </c>
      <c r="H1800" s="37" t="s">
        <v>168</v>
      </c>
      <c r="I1800" s="37" t="n">
        <v>21.3</v>
      </c>
      <c r="J1800" s="39" t="n">
        <v>299.96</v>
      </c>
      <c r="K1800" s="37" t="s">
        <v>322</v>
      </c>
      <c r="L1800" s="39" t="n">
        <v>81.76</v>
      </c>
      <c r="M1800" s="39" t="n">
        <v>54.1</v>
      </c>
      <c r="N1800" s="39" t="n">
        <f aca="false">J1800*Resumo!$C$7</f>
        <v>0.59992</v>
      </c>
      <c r="O1800" s="39" t="n">
        <f aca="false">J1800*Resumo!$C$8</f>
        <v>0.59992</v>
      </c>
      <c r="P1800" s="39" t="n">
        <f aca="false">Resumo!$C$10*CEILING(I1800/100,1)</f>
        <v>1</v>
      </c>
      <c r="Q1800" s="39" t="n">
        <f aca="false">Resumo!$C$9</f>
        <v>11.9</v>
      </c>
      <c r="R1800" s="39" t="n">
        <f aca="false">SUM(M1800:Q1800)*Resumo!$C$11</f>
        <v>3.7509912</v>
      </c>
      <c r="S1800" s="39" t="n">
        <f aca="false">SUM(M1800:R1800)</f>
        <v>71.9508312</v>
      </c>
      <c r="T1800" s="39" t="n">
        <f aca="false">S1800/(1-Resumo!$C$5)</f>
        <v>81.7623081818182</v>
      </c>
      <c r="U1800" s="39" t="n">
        <v>82.21</v>
      </c>
      <c r="V1800" s="39" t="n">
        <f aca="false">J1800*Resumo!$B$6</f>
        <v>0.29996</v>
      </c>
      <c r="W1800" s="39" t="n">
        <f aca="false">J1800*Resumo!$B$7</f>
        <v>0.59992</v>
      </c>
      <c r="X1800" s="39" t="n">
        <f aca="false">Resumo!$B$9</f>
        <v>1</v>
      </c>
      <c r="Y1800" s="39" t="n">
        <f aca="false">Resumo!$B$10*CEILING(I1800/100,1)</f>
        <v>4.5</v>
      </c>
      <c r="Z1800" s="39" t="n">
        <f aca="false">Resumo!$B$12*CEILING(I1800,1)</f>
        <v>1.32</v>
      </c>
      <c r="AA1800" s="39" t="n">
        <f aca="false">Resumo!$B$13*CEILING(I1800,1)</f>
        <v>9.9</v>
      </c>
      <c r="AB1800" s="39" t="n">
        <f aca="false">SUM(U1800:AA1800)</f>
        <v>99.82988</v>
      </c>
      <c r="AC1800" s="39" t="n">
        <f aca="false">AB1800/(1-Resumo!$B$5)</f>
        <v>113.443045454545</v>
      </c>
      <c r="AD1800" s="39" t="n">
        <f aca="false">(AB1800-AA1800)/(1-Resumo!$B$5)</f>
        <v>102.193045454545</v>
      </c>
      <c r="AE1800" s="39" t="n">
        <f aca="false">AC1800-T1800</f>
        <v>31.6807372727273</v>
      </c>
      <c r="AF1800" s="40" t="n">
        <f aca="false">AC1800/T1800-1</f>
        <v>0.387473616844054</v>
      </c>
      <c r="AG1800" s="37" t="str">
        <f aca="false">IF(AC1800&lt;T1800,"SIM","NÃO")</f>
        <v>NÃO</v>
      </c>
      <c r="AH1800" s="37" t="n">
        <v>8</v>
      </c>
      <c r="AI1800" s="37" t="n">
        <v>5</v>
      </c>
      <c r="AJ1800" s="37" t="s">
        <v>323</v>
      </c>
    </row>
    <row r="1801" customFormat="false" ht="15" hidden="false" customHeight="false" outlineLevel="0" collapsed="false">
      <c r="A1801" s="37" t="n">
        <v>394465712</v>
      </c>
      <c r="B1801" s="38" t="n">
        <v>46279.5285185185</v>
      </c>
      <c r="C1801" s="37" t="s">
        <v>320</v>
      </c>
      <c r="D1801" s="37" t="s">
        <v>1954</v>
      </c>
      <c r="E1801" s="37" t="n">
        <v>28635000</v>
      </c>
      <c r="F1801" s="37" t="s">
        <v>157</v>
      </c>
      <c r="G1801" s="37" t="s">
        <v>201</v>
      </c>
      <c r="H1801" s="37" t="s">
        <v>170</v>
      </c>
      <c r="I1801" s="37" t="n">
        <v>45.4</v>
      </c>
      <c r="J1801" s="39" t="n">
        <v>579.93</v>
      </c>
      <c r="K1801" s="37" t="s">
        <v>322</v>
      </c>
      <c r="L1801" s="39" t="n">
        <v>130.94</v>
      </c>
      <c r="M1801" s="39" t="n">
        <v>94</v>
      </c>
      <c r="N1801" s="39" t="n">
        <f aca="false">J1801*Resumo!$C$7</f>
        <v>1.15986</v>
      </c>
      <c r="O1801" s="39" t="n">
        <f aca="false">J1801*Resumo!$C$8</f>
        <v>1.15986</v>
      </c>
      <c r="P1801" s="39" t="n">
        <f aca="false">Resumo!$C$10*CEILING(I1801/100,1)</f>
        <v>1</v>
      </c>
      <c r="Q1801" s="39" t="n">
        <f aca="false">Resumo!$C$9</f>
        <v>11.9</v>
      </c>
      <c r="R1801" s="39" t="n">
        <f aca="false">SUM(M1801:Q1801)*Resumo!$C$11</f>
        <v>6.0070846</v>
      </c>
      <c r="S1801" s="39" t="n">
        <f aca="false">SUM(M1801:R1801)</f>
        <v>115.2268046</v>
      </c>
      <c r="T1801" s="39" t="n">
        <f aca="false">S1801/(1-Resumo!$C$5)</f>
        <v>130.939550681818</v>
      </c>
      <c r="U1801" s="39" t="n">
        <v>135.03</v>
      </c>
      <c r="V1801" s="39" t="n">
        <f aca="false">J1801*Resumo!$B$6</f>
        <v>0.57993</v>
      </c>
      <c r="W1801" s="39" t="n">
        <f aca="false">J1801*Resumo!$B$7</f>
        <v>1.15986</v>
      </c>
      <c r="X1801" s="39" t="n">
        <f aca="false">Resumo!$B$9</f>
        <v>1</v>
      </c>
      <c r="Y1801" s="39" t="n">
        <f aca="false">Resumo!$B$10*CEILING(I1801/100,1)</f>
        <v>4.5</v>
      </c>
      <c r="Z1801" s="39" t="n">
        <f aca="false">Resumo!$B$12*CEILING(I1801,1)</f>
        <v>2.76</v>
      </c>
      <c r="AA1801" s="39" t="n">
        <f aca="false">Resumo!$B$13*CEILING(I1801,1)</f>
        <v>20.7</v>
      </c>
      <c r="AB1801" s="39" t="n">
        <f aca="false">SUM(U1801:AA1801)</f>
        <v>165.72979</v>
      </c>
      <c r="AC1801" s="39" t="n">
        <f aca="false">AB1801/(1-Resumo!$B$5)</f>
        <v>188.329306818182</v>
      </c>
      <c r="AD1801" s="39" t="n">
        <f aca="false">(AB1801-AA1801)/(1-Resumo!$B$5)</f>
        <v>164.806579545455</v>
      </c>
      <c r="AE1801" s="39" t="n">
        <f aca="false">AC1801-T1801</f>
        <v>57.3897561363636</v>
      </c>
      <c r="AF1801" s="40" t="n">
        <f aca="false">AC1801/T1801-1</f>
        <v>0.438291989223487</v>
      </c>
      <c r="AG1801" s="37" t="str">
        <f aca="false">IF(AC1801&lt;T1801,"SIM","NÃO")</f>
        <v>NÃO</v>
      </c>
      <c r="AH1801" s="37" t="n">
        <v>13</v>
      </c>
      <c r="AI1801" s="37" t="n">
        <v>10</v>
      </c>
      <c r="AJ1801" s="37" t="s">
        <v>323</v>
      </c>
    </row>
    <row r="1802" customFormat="false" ht="15" hidden="false" customHeight="false" outlineLevel="0" collapsed="false">
      <c r="A1802" s="37" t="n">
        <v>394492703</v>
      </c>
      <c r="B1802" s="38" t="n">
        <v>46279.5723842593</v>
      </c>
      <c r="C1802" s="37" t="s">
        <v>320</v>
      </c>
      <c r="D1802" s="37" t="s">
        <v>1955</v>
      </c>
      <c r="E1802" s="37" t="n">
        <v>24210130</v>
      </c>
      <c r="F1802" s="37" t="s">
        <v>143</v>
      </c>
      <c r="G1802" s="37" t="s">
        <v>207</v>
      </c>
      <c r="H1802" s="37" t="s">
        <v>170</v>
      </c>
      <c r="I1802" s="37" t="n">
        <v>48</v>
      </c>
      <c r="J1802" s="39" t="n">
        <v>929.99</v>
      </c>
      <c r="K1802" s="37" t="s">
        <v>322</v>
      </c>
      <c r="L1802" s="39" t="n">
        <v>118.53</v>
      </c>
      <c r="M1802" s="39" t="n">
        <v>82.25</v>
      </c>
      <c r="N1802" s="39" t="n">
        <f aca="false">J1802*Resumo!$C$7</f>
        <v>1.85998</v>
      </c>
      <c r="O1802" s="39" t="n">
        <f aca="false">J1802*Resumo!$C$8</f>
        <v>1.85998</v>
      </c>
      <c r="P1802" s="39" t="n">
        <f aca="false">Resumo!$C$10*CEILING(I1802/100,1)</f>
        <v>1</v>
      </c>
      <c r="Q1802" s="39" t="n">
        <f aca="false">Resumo!$C$9</f>
        <v>11.9</v>
      </c>
      <c r="R1802" s="39" t="n">
        <f aca="false">SUM(M1802:Q1802)*Resumo!$C$11</f>
        <v>5.4378478</v>
      </c>
      <c r="S1802" s="39" t="n">
        <f aca="false">SUM(M1802:R1802)</f>
        <v>104.3078078</v>
      </c>
      <c r="T1802" s="39" t="n">
        <f aca="false">S1802/(1-Resumo!$C$5)</f>
        <v>118.531599772727</v>
      </c>
      <c r="U1802" s="39" t="n">
        <v>114.95</v>
      </c>
      <c r="V1802" s="39" t="n">
        <f aca="false">J1802*Resumo!$B$6</f>
        <v>0.92999</v>
      </c>
      <c r="W1802" s="39" t="n">
        <f aca="false">J1802*Resumo!$B$7</f>
        <v>1.85998</v>
      </c>
      <c r="X1802" s="39" t="n">
        <f aca="false">Resumo!$B$9</f>
        <v>1</v>
      </c>
      <c r="Y1802" s="39" t="n">
        <f aca="false">Resumo!$B$10*CEILING(I1802/100,1)</f>
        <v>4.5</v>
      </c>
      <c r="Z1802" s="39" t="n">
        <f aca="false">Resumo!$B$12*CEILING(I1802,1)</f>
        <v>2.88</v>
      </c>
      <c r="AA1802" s="39" t="n">
        <f aca="false">Resumo!$B$13*CEILING(I1802,1)</f>
        <v>21.6</v>
      </c>
      <c r="AB1802" s="39" t="n">
        <f aca="false">SUM(U1802:AA1802)</f>
        <v>147.71997</v>
      </c>
      <c r="AC1802" s="39" t="n">
        <f aca="false">AB1802/(1-Resumo!$B$5)</f>
        <v>167.863602272727</v>
      </c>
      <c r="AD1802" s="39" t="n">
        <f aca="false">(AB1802-AA1802)/(1-Resumo!$B$5)</f>
        <v>143.318147727273</v>
      </c>
      <c r="AE1802" s="39" t="n">
        <f aca="false">AC1802-T1802</f>
        <v>49.3320025</v>
      </c>
      <c r="AF1802" s="40" t="n">
        <f aca="false">AC1802/T1802-1</f>
        <v>0.416192834607727</v>
      </c>
      <c r="AG1802" s="37" t="str">
        <f aca="false">IF(AC1802&lt;T1802,"SIM","NÃO")</f>
        <v>NÃO</v>
      </c>
      <c r="AH1802" s="37" t="n">
        <v>10</v>
      </c>
      <c r="AI1802" s="37" t="n">
        <v>7</v>
      </c>
      <c r="AJ1802" s="37" t="s">
        <v>323</v>
      </c>
    </row>
    <row r="1803" customFormat="false" ht="15" hidden="false" customHeight="false" outlineLevel="0" collapsed="false">
      <c r="A1803" s="37" t="n">
        <v>394529022</v>
      </c>
      <c r="B1803" s="38" t="n">
        <v>46279.626400463</v>
      </c>
      <c r="C1803" s="37" t="s">
        <v>359</v>
      </c>
      <c r="D1803" s="37" t="s">
        <v>1956</v>
      </c>
      <c r="E1803" s="37" t="n">
        <v>21021422</v>
      </c>
      <c r="F1803" s="37" t="s">
        <v>139</v>
      </c>
      <c r="G1803" s="37" t="s">
        <v>198</v>
      </c>
      <c r="H1803" s="37" t="s">
        <v>172</v>
      </c>
      <c r="I1803" s="37" t="n">
        <v>69.3</v>
      </c>
      <c r="J1803" s="39" t="n">
        <v>879.99</v>
      </c>
      <c r="K1803" s="37" t="s">
        <v>322</v>
      </c>
      <c r="L1803" s="39" t="n">
        <v>125.42</v>
      </c>
      <c r="M1803" s="39" t="n">
        <v>88.2</v>
      </c>
      <c r="N1803" s="39" t="n">
        <f aca="false">J1803*Resumo!$C$7</f>
        <v>1.75998</v>
      </c>
      <c r="O1803" s="39" t="n">
        <f aca="false">J1803*Resumo!$C$8</f>
        <v>1.75998</v>
      </c>
      <c r="P1803" s="39" t="n">
        <f aca="false">Resumo!$C$10*CEILING(I1803/100,1)</f>
        <v>1</v>
      </c>
      <c r="Q1803" s="39" t="n">
        <f aca="false">Resumo!$C$9</f>
        <v>11.9</v>
      </c>
      <c r="R1803" s="39" t="n">
        <f aca="false">SUM(M1803:Q1803)*Resumo!$C$11</f>
        <v>5.7540978</v>
      </c>
      <c r="S1803" s="39" t="n">
        <f aca="false">SUM(M1803:R1803)</f>
        <v>110.3740578</v>
      </c>
      <c r="T1803" s="39" t="n">
        <f aca="false">S1803/(1-Resumo!$C$5)</f>
        <v>125.425065681818</v>
      </c>
      <c r="U1803" s="39" t="n">
        <v>131.02</v>
      </c>
      <c r="V1803" s="39" t="n">
        <f aca="false">J1803*Resumo!$B$6</f>
        <v>0.87999</v>
      </c>
      <c r="W1803" s="39" t="n">
        <f aca="false">J1803*Resumo!$B$7</f>
        <v>1.75998</v>
      </c>
      <c r="X1803" s="39" t="n">
        <f aca="false">Resumo!$B$9</f>
        <v>1</v>
      </c>
      <c r="Y1803" s="39" t="n">
        <f aca="false">Resumo!$B$10*CEILING(I1803/100,1)</f>
        <v>4.5</v>
      </c>
      <c r="Z1803" s="39" t="n">
        <f aca="false">Resumo!$B$12*CEILING(I1803,1)</f>
        <v>4.2</v>
      </c>
      <c r="AA1803" s="39" t="n">
        <f aca="false">Resumo!$B$13*CEILING(I1803,1)</f>
        <v>31.5</v>
      </c>
      <c r="AB1803" s="39" t="n">
        <f aca="false">SUM(U1803:AA1803)</f>
        <v>174.85997</v>
      </c>
      <c r="AC1803" s="39" t="n">
        <f aca="false">AB1803/(1-Resumo!$B$5)</f>
        <v>198.704511363636</v>
      </c>
      <c r="AD1803" s="39" t="n">
        <f aca="false">(AB1803-AA1803)/(1-Resumo!$B$5)</f>
        <v>162.909056818182</v>
      </c>
      <c r="AE1803" s="39" t="n">
        <f aca="false">AC1803-T1803</f>
        <v>73.2794456818182</v>
      </c>
      <c r="AF1803" s="40" t="n">
        <f aca="false">AC1803/T1803-1</f>
        <v>0.584248812495865</v>
      </c>
      <c r="AG1803" s="37" t="str">
        <f aca="false">IF(AC1803&lt;T1803,"SIM","NÃO")</f>
        <v>NÃO</v>
      </c>
      <c r="AH1803" s="37" t="n">
        <v>8</v>
      </c>
      <c r="AI1803" s="37" t="n">
        <v>5</v>
      </c>
      <c r="AJ1803" s="37" t="s">
        <v>323</v>
      </c>
    </row>
    <row r="1804" customFormat="false" ht="15" hidden="false" customHeight="false" outlineLevel="0" collapsed="false">
      <c r="A1804" s="37" t="n">
        <v>394534333</v>
      </c>
      <c r="B1804" s="38" t="n">
        <v>46279.6336342593</v>
      </c>
      <c r="C1804" s="37" t="s">
        <v>325</v>
      </c>
      <c r="D1804" s="37" t="s">
        <v>1957</v>
      </c>
      <c r="E1804" s="37" t="n">
        <v>20920350</v>
      </c>
      <c r="F1804" s="37" t="s">
        <v>139</v>
      </c>
      <c r="G1804" s="37" t="s">
        <v>198</v>
      </c>
      <c r="H1804" s="37" t="s">
        <v>168</v>
      </c>
      <c r="I1804" s="37" t="n">
        <v>33.7</v>
      </c>
      <c r="J1804" s="39" t="n">
        <v>374.53</v>
      </c>
      <c r="K1804" s="37" t="s">
        <v>322</v>
      </c>
      <c r="L1804" s="39" t="n">
        <v>82.13</v>
      </c>
      <c r="M1804" s="39" t="n">
        <v>54.1</v>
      </c>
      <c r="N1804" s="39" t="n">
        <f aca="false">J1804*Resumo!$C$7</f>
        <v>0.74906</v>
      </c>
      <c r="O1804" s="39" t="n">
        <f aca="false">J1804*Resumo!$C$8</f>
        <v>0.74906</v>
      </c>
      <c r="P1804" s="39" t="n">
        <f aca="false">Resumo!$C$10*CEILING(I1804/100,1)</f>
        <v>1</v>
      </c>
      <c r="Q1804" s="39" t="n">
        <f aca="false">Resumo!$C$9</f>
        <v>11.9</v>
      </c>
      <c r="R1804" s="39" t="n">
        <f aca="false">SUM(M1804:Q1804)*Resumo!$C$11</f>
        <v>3.7673966</v>
      </c>
      <c r="S1804" s="39" t="n">
        <f aca="false">SUM(M1804:R1804)</f>
        <v>72.2655166</v>
      </c>
      <c r="T1804" s="39" t="n">
        <f aca="false">S1804/(1-Resumo!$C$5)</f>
        <v>82.1199052272727</v>
      </c>
      <c r="U1804" s="39" t="n">
        <v>82.21</v>
      </c>
      <c r="V1804" s="39" t="n">
        <f aca="false">J1804*Resumo!$B$6</f>
        <v>0.37453</v>
      </c>
      <c r="W1804" s="39" t="n">
        <f aca="false">J1804*Resumo!$B$7</f>
        <v>0.74906</v>
      </c>
      <c r="X1804" s="39" t="n">
        <f aca="false">Resumo!$B$9</f>
        <v>1</v>
      </c>
      <c r="Y1804" s="39" t="n">
        <f aca="false">Resumo!$B$10*CEILING(I1804/100,1)</f>
        <v>4.5</v>
      </c>
      <c r="Z1804" s="39" t="n">
        <f aca="false">Resumo!$B$12*CEILING(I1804,1)</f>
        <v>2.04</v>
      </c>
      <c r="AA1804" s="39" t="n">
        <f aca="false">Resumo!$B$13*CEILING(I1804,1)</f>
        <v>15.3</v>
      </c>
      <c r="AB1804" s="39" t="n">
        <f aca="false">SUM(U1804:AA1804)</f>
        <v>106.17359</v>
      </c>
      <c r="AC1804" s="39" t="n">
        <f aca="false">AB1804/(1-Resumo!$B$5)</f>
        <v>120.651806818182</v>
      </c>
      <c r="AD1804" s="39" t="n">
        <f aca="false">(AB1804-AA1804)/(1-Resumo!$B$5)</f>
        <v>103.265443181818</v>
      </c>
      <c r="AE1804" s="39" t="n">
        <f aca="false">AC1804-T1804</f>
        <v>38.5319015909091</v>
      </c>
      <c r="AF1804" s="40" t="n">
        <f aca="false">AC1804/T1804-1</f>
        <v>0.469215124935535</v>
      </c>
      <c r="AG1804" s="37" t="str">
        <f aca="false">IF(AC1804&lt;T1804,"SIM","NÃO")</f>
        <v>NÃO</v>
      </c>
      <c r="AH1804" s="37" t="n">
        <v>8</v>
      </c>
      <c r="AI1804" s="37" t="n">
        <v>5</v>
      </c>
      <c r="AJ1804" s="37" t="s">
        <v>323</v>
      </c>
    </row>
    <row r="1805" customFormat="false" ht="15" hidden="false" customHeight="false" outlineLevel="0" collapsed="false">
      <c r="A1805" s="37" t="n">
        <v>394533211</v>
      </c>
      <c r="B1805" s="38" t="n">
        <v>46279.6344097222</v>
      </c>
      <c r="C1805" s="37" t="s">
        <v>352</v>
      </c>
      <c r="D1805" s="37" t="s">
        <v>1958</v>
      </c>
      <c r="E1805" s="37" t="n">
        <v>20521060</v>
      </c>
      <c r="F1805" s="37" t="s">
        <v>139</v>
      </c>
      <c r="G1805" s="37" t="s">
        <v>198</v>
      </c>
      <c r="H1805" s="37" t="s">
        <v>172</v>
      </c>
      <c r="I1805" s="37" t="n">
        <v>67.3</v>
      </c>
      <c r="J1805" s="39" t="n">
        <v>999.99</v>
      </c>
      <c r="K1805" s="37" t="s">
        <v>322</v>
      </c>
      <c r="L1805" s="39" t="n">
        <v>126</v>
      </c>
      <c r="M1805" s="39" t="n">
        <v>88.2</v>
      </c>
      <c r="N1805" s="39" t="n">
        <f aca="false">J1805*Resumo!$C$7</f>
        <v>1.99998</v>
      </c>
      <c r="O1805" s="39" t="n">
        <f aca="false">J1805*Resumo!$C$8</f>
        <v>1.99998</v>
      </c>
      <c r="P1805" s="39" t="n">
        <f aca="false">Resumo!$C$10*CEILING(I1805/100,1)</f>
        <v>1</v>
      </c>
      <c r="Q1805" s="39" t="n">
        <f aca="false">Resumo!$C$9</f>
        <v>11.9</v>
      </c>
      <c r="R1805" s="39" t="n">
        <f aca="false">SUM(M1805:Q1805)*Resumo!$C$11</f>
        <v>5.7804978</v>
      </c>
      <c r="S1805" s="39" t="n">
        <f aca="false">SUM(M1805:R1805)</f>
        <v>110.8804578</v>
      </c>
      <c r="T1805" s="39" t="n">
        <f aca="false">S1805/(1-Resumo!$C$5)</f>
        <v>126.000520227273</v>
      </c>
      <c r="U1805" s="39" t="n">
        <v>131.02</v>
      </c>
      <c r="V1805" s="39" t="n">
        <f aca="false">J1805*Resumo!$B$6</f>
        <v>0.99999</v>
      </c>
      <c r="W1805" s="39" t="n">
        <f aca="false">J1805*Resumo!$B$7</f>
        <v>1.99998</v>
      </c>
      <c r="X1805" s="39" t="n">
        <f aca="false">Resumo!$B$9</f>
        <v>1</v>
      </c>
      <c r="Y1805" s="39" t="n">
        <f aca="false">Resumo!$B$10*CEILING(I1805/100,1)</f>
        <v>4.5</v>
      </c>
      <c r="Z1805" s="39" t="n">
        <f aca="false">Resumo!$B$12*CEILING(I1805,1)</f>
        <v>4.08</v>
      </c>
      <c r="AA1805" s="39" t="n">
        <f aca="false">Resumo!$B$13*CEILING(I1805,1)</f>
        <v>30.6</v>
      </c>
      <c r="AB1805" s="39" t="n">
        <f aca="false">SUM(U1805:AA1805)</f>
        <v>174.19997</v>
      </c>
      <c r="AC1805" s="39" t="n">
        <f aca="false">AB1805/(1-Resumo!$B$5)</f>
        <v>197.954511363636</v>
      </c>
      <c r="AD1805" s="39" t="n">
        <f aca="false">(AB1805-AA1805)/(1-Resumo!$B$5)</f>
        <v>163.181784090909</v>
      </c>
      <c r="AE1805" s="39" t="n">
        <f aca="false">AC1805-T1805</f>
        <v>71.9539911363636</v>
      </c>
      <c r="AF1805" s="40" t="n">
        <f aca="false">AC1805/T1805-1</f>
        <v>0.571061063927173</v>
      </c>
      <c r="AG1805" s="37" t="str">
        <f aca="false">IF(AC1805&lt;T1805,"SIM","NÃO")</f>
        <v>NÃO</v>
      </c>
      <c r="AH1805" s="37" t="n">
        <v>8</v>
      </c>
      <c r="AI1805" s="37" t="n">
        <v>5</v>
      </c>
      <c r="AJ1805" s="37" t="s">
        <v>323</v>
      </c>
    </row>
    <row r="1806" customFormat="false" ht="15" hidden="false" customHeight="false" outlineLevel="0" collapsed="false">
      <c r="A1806" s="37" t="n">
        <v>394589510</v>
      </c>
      <c r="B1806" s="38" t="n">
        <v>46279.713275463</v>
      </c>
      <c r="C1806" s="37" t="s">
        <v>355</v>
      </c>
      <c r="D1806" s="37" t="s">
        <v>1959</v>
      </c>
      <c r="E1806" s="37" t="n">
        <v>25931858</v>
      </c>
      <c r="F1806" s="37" t="s">
        <v>156</v>
      </c>
      <c r="G1806" s="37" t="s">
        <v>201</v>
      </c>
      <c r="H1806" s="37" t="s">
        <v>172</v>
      </c>
      <c r="I1806" s="37" t="n">
        <v>69.15</v>
      </c>
      <c r="J1806" s="39" t="n">
        <v>859.99</v>
      </c>
      <c r="K1806" s="37" t="s">
        <v>322</v>
      </c>
      <c r="L1806" s="39" t="n">
        <v>156.14</v>
      </c>
      <c r="M1806" s="39" t="n">
        <v>113.9</v>
      </c>
      <c r="N1806" s="39" t="n">
        <f aca="false">J1806*Resumo!$C$7</f>
        <v>1.71998</v>
      </c>
      <c r="O1806" s="39" t="n">
        <f aca="false">J1806*Resumo!$C$8</f>
        <v>1.71998</v>
      </c>
      <c r="P1806" s="39" t="n">
        <f aca="false">Resumo!$C$10*CEILING(I1806/100,1)</f>
        <v>1</v>
      </c>
      <c r="Q1806" s="39" t="n">
        <f aca="false">Resumo!$C$9</f>
        <v>11.9</v>
      </c>
      <c r="R1806" s="39" t="n">
        <f aca="false">SUM(M1806:Q1806)*Resumo!$C$11</f>
        <v>7.1631978</v>
      </c>
      <c r="S1806" s="39" t="n">
        <f aca="false">SUM(M1806:R1806)</f>
        <v>137.4031578</v>
      </c>
      <c r="T1806" s="39" t="n">
        <f aca="false">S1806/(1-Resumo!$C$5)</f>
        <v>156.139952045455</v>
      </c>
      <c r="U1806" s="39" t="n">
        <v>136.53</v>
      </c>
      <c r="V1806" s="39" t="n">
        <f aca="false">J1806*Resumo!$B$6</f>
        <v>0.85999</v>
      </c>
      <c r="W1806" s="39" t="n">
        <f aca="false">J1806*Resumo!$B$7</f>
        <v>1.71998</v>
      </c>
      <c r="X1806" s="39" t="n">
        <f aca="false">Resumo!$B$9</f>
        <v>1</v>
      </c>
      <c r="Y1806" s="39" t="n">
        <f aca="false">Resumo!$B$10*CEILING(I1806/100,1)</f>
        <v>4.5</v>
      </c>
      <c r="Z1806" s="39" t="n">
        <f aca="false">Resumo!$B$12*CEILING(I1806,1)</f>
        <v>4.2</v>
      </c>
      <c r="AA1806" s="39" t="n">
        <f aca="false">Resumo!$B$13*CEILING(I1806,1)</f>
        <v>31.5</v>
      </c>
      <c r="AB1806" s="39" t="n">
        <f aca="false">SUM(U1806:AA1806)</f>
        <v>180.30997</v>
      </c>
      <c r="AC1806" s="39" t="n">
        <f aca="false">AB1806/(1-Resumo!$B$5)</f>
        <v>204.897693181818</v>
      </c>
      <c r="AD1806" s="39" t="n">
        <f aca="false">(AB1806-AA1806)/(1-Resumo!$B$5)</f>
        <v>169.102238636364</v>
      </c>
      <c r="AE1806" s="39" t="n">
        <f aca="false">AC1806-T1806</f>
        <v>48.7577411363636</v>
      </c>
      <c r="AF1806" s="40" t="n">
        <f aca="false">AC1806/T1806-1</f>
        <v>0.312269476822752</v>
      </c>
      <c r="AG1806" s="37" t="str">
        <f aca="false">IF(AC1806&lt;T1806,"SIM","NÃO")</f>
        <v>NÃO</v>
      </c>
      <c r="AH1806" s="37" t="n">
        <v>13</v>
      </c>
      <c r="AI1806" s="37" t="n">
        <v>6</v>
      </c>
      <c r="AJ1806" s="37" t="s">
        <v>323</v>
      </c>
    </row>
    <row r="1807" customFormat="false" ht="15" hidden="false" customHeight="false" outlineLevel="0" collapsed="false">
      <c r="A1807" s="37" t="n">
        <v>394591141</v>
      </c>
      <c r="B1807" s="38" t="n">
        <v>46279.7135069444</v>
      </c>
      <c r="C1807" s="37" t="s">
        <v>341</v>
      </c>
      <c r="D1807" s="37" t="s">
        <v>1960</v>
      </c>
      <c r="E1807" s="37" t="n">
        <v>27525500</v>
      </c>
      <c r="F1807" s="37" t="s">
        <v>236</v>
      </c>
      <c r="G1807" s="37" t="s">
        <v>201</v>
      </c>
      <c r="H1807" s="37" t="s">
        <v>168</v>
      </c>
      <c r="I1807" s="37" t="n">
        <v>27.6</v>
      </c>
      <c r="J1807" s="39" t="n">
        <v>399.99</v>
      </c>
      <c r="K1807" s="37" t="s">
        <v>322</v>
      </c>
      <c r="L1807" s="39" t="n">
        <v>109.1</v>
      </c>
      <c r="M1807" s="39" t="n">
        <v>76.5</v>
      </c>
      <c r="N1807" s="39" t="n">
        <f aca="false">J1807*Resumo!$C$7</f>
        <v>0.79998</v>
      </c>
      <c r="O1807" s="39" t="n">
        <f aca="false">J1807*Resumo!$C$8</f>
        <v>0.79998</v>
      </c>
      <c r="P1807" s="39" t="n">
        <f aca="false">Resumo!$C$10*CEILING(I1807/100,1)</f>
        <v>1</v>
      </c>
      <c r="Q1807" s="39" t="n">
        <f aca="false">Resumo!$C$9</f>
        <v>11.9</v>
      </c>
      <c r="R1807" s="39" t="n">
        <f aca="false">SUM(M1807:Q1807)*Resumo!$C$11</f>
        <v>5.0049978</v>
      </c>
      <c r="S1807" s="39" t="n">
        <f aca="false">SUM(M1807:R1807)</f>
        <v>96.0049578</v>
      </c>
      <c r="T1807" s="39" t="n">
        <f aca="false">S1807/(1-Resumo!$C$5)</f>
        <v>109.096542954545</v>
      </c>
      <c r="U1807" s="39" t="n">
        <v>108.83</v>
      </c>
      <c r="V1807" s="39" t="n">
        <f aca="false">J1807*Resumo!$B$6</f>
        <v>0.39999</v>
      </c>
      <c r="W1807" s="39" t="n">
        <f aca="false">J1807*Resumo!$B$7</f>
        <v>0.79998</v>
      </c>
      <c r="X1807" s="39" t="n">
        <f aca="false">Resumo!$B$9</f>
        <v>1</v>
      </c>
      <c r="Y1807" s="39" t="n">
        <f aca="false">Resumo!$B$10*CEILING(I1807/100,1)</f>
        <v>4.5</v>
      </c>
      <c r="Z1807" s="39" t="n">
        <f aca="false">Resumo!$B$12*CEILING(I1807,1)</f>
        <v>1.68</v>
      </c>
      <c r="AA1807" s="39" t="n">
        <f aca="false">Resumo!$B$13*CEILING(I1807,1)</f>
        <v>12.6</v>
      </c>
      <c r="AB1807" s="39" t="n">
        <f aca="false">SUM(U1807:AA1807)</f>
        <v>129.80997</v>
      </c>
      <c r="AC1807" s="39" t="n">
        <f aca="false">AB1807/(1-Resumo!$B$5)</f>
        <v>147.511329545455</v>
      </c>
      <c r="AD1807" s="39" t="n">
        <f aca="false">(AB1807-AA1807)/(1-Resumo!$B$5)</f>
        <v>133.193147727273</v>
      </c>
      <c r="AE1807" s="39" t="n">
        <f aca="false">AC1807-T1807</f>
        <v>38.4147865909091</v>
      </c>
      <c r="AF1807" s="40" t="n">
        <f aca="false">AC1807/T1807-1</f>
        <v>0.352117359089136</v>
      </c>
      <c r="AG1807" s="37" t="str">
        <f aca="false">IF(AC1807&lt;T1807,"SIM","NÃO")</f>
        <v>NÃO</v>
      </c>
      <c r="AH1807" s="37" t="n">
        <v>13</v>
      </c>
      <c r="AI1807" s="37" t="n">
        <v>10</v>
      </c>
      <c r="AJ1807" s="37" t="s">
        <v>327</v>
      </c>
    </row>
    <row r="1808" customFormat="false" ht="15" hidden="false" customHeight="false" outlineLevel="0" collapsed="false">
      <c r="A1808" s="37" t="n">
        <v>394599163</v>
      </c>
      <c r="B1808" s="38" t="n">
        <v>46279.7192708333</v>
      </c>
      <c r="C1808" s="37" t="s">
        <v>320</v>
      </c>
      <c r="D1808" s="37" t="s">
        <v>1961</v>
      </c>
      <c r="E1808" s="37" t="n">
        <v>27240050</v>
      </c>
      <c r="F1808" s="37" t="s">
        <v>148</v>
      </c>
      <c r="G1808" s="37" t="s">
        <v>201</v>
      </c>
      <c r="H1808" s="37" t="s">
        <v>169</v>
      </c>
      <c r="I1808" s="37" t="n">
        <v>37.2</v>
      </c>
      <c r="J1808" s="39" t="n">
        <v>366.5</v>
      </c>
      <c r="K1808" s="37" t="s">
        <v>322</v>
      </c>
      <c r="L1808" s="39" t="n">
        <v>122</v>
      </c>
      <c r="M1808" s="39" t="n">
        <v>87.4</v>
      </c>
      <c r="N1808" s="39" t="n">
        <f aca="false">J1808*Resumo!$C$7</f>
        <v>0.733</v>
      </c>
      <c r="O1808" s="39" t="n">
        <f aca="false">J1808*Resumo!$C$8</f>
        <v>0.733</v>
      </c>
      <c r="P1808" s="39" t="n">
        <f aca="false">Resumo!$C$10*CEILING(I1808/100,1)</f>
        <v>1</v>
      </c>
      <c r="Q1808" s="39" t="n">
        <f aca="false">Resumo!$C$9</f>
        <v>11.9</v>
      </c>
      <c r="R1808" s="39" t="n">
        <f aca="false">SUM(M1808:Q1808)*Resumo!$C$11</f>
        <v>5.59713</v>
      </c>
      <c r="S1808" s="39" t="n">
        <f aca="false">SUM(M1808:R1808)</f>
        <v>107.36313</v>
      </c>
      <c r="T1808" s="39" t="n">
        <f aca="false">S1808/(1-Resumo!$C$5)</f>
        <v>122.003556818182</v>
      </c>
      <c r="U1808" s="39" t="n">
        <v>124.38</v>
      </c>
      <c r="V1808" s="39" t="n">
        <f aca="false">J1808*Resumo!$B$6</f>
        <v>0.3665</v>
      </c>
      <c r="W1808" s="39" t="n">
        <f aca="false">J1808*Resumo!$B$7</f>
        <v>0.733</v>
      </c>
      <c r="X1808" s="39" t="n">
        <f aca="false">Resumo!$B$9</f>
        <v>1</v>
      </c>
      <c r="Y1808" s="39" t="n">
        <f aca="false">Resumo!$B$10*CEILING(I1808/100,1)</f>
        <v>4.5</v>
      </c>
      <c r="Z1808" s="39" t="n">
        <f aca="false">Resumo!$B$12*CEILING(I1808,1)</f>
        <v>2.28</v>
      </c>
      <c r="AA1808" s="39" t="n">
        <f aca="false">Resumo!$B$13*CEILING(I1808,1)</f>
        <v>17.1</v>
      </c>
      <c r="AB1808" s="39" t="n">
        <f aca="false">SUM(U1808:AA1808)</f>
        <v>150.3595</v>
      </c>
      <c r="AC1808" s="39" t="n">
        <f aca="false">AB1808/(1-Resumo!$B$5)</f>
        <v>170.863068181818</v>
      </c>
      <c r="AD1808" s="39" t="n">
        <f aca="false">(AB1808-AA1808)/(1-Resumo!$B$5)</f>
        <v>151.43125</v>
      </c>
      <c r="AE1808" s="39" t="n">
        <f aca="false">AC1808-T1808</f>
        <v>48.8595113636363</v>
      </c>
      <c r="AF1808" s="40" t="n">
        <f aca="false">AC1808/T1808-1</f>
        <v>0.400476122482643</v>
      </c>
      <c r="AG1808" s="37" t="str">
        <f aca="false">IF(AC1808&lt;T1808,"SIM","NÃO")</f>
        <v>NÃO</v>
      </c>
      <c r="AH1808" s="37" t="n">
        <v>13</v>
      </c>
      <c r="AI1808" s="37" t="n">
        <v>10</v>
      </c>
      <c r="AJ1808" s="37" t="s">
        <v>323</v>
      </c>
    </row>
    <row r="1809" customFormat="false" ht="15" hidden="false" customHeight="false" outlineLevel="0" collapsed="false">
      <c r="A1809" s="37" t="n">
        <v>394606045</v>
      </c>
      <c r="B1809" s="38" t="n">
        <v>46279.7370949074</v>
      </c>
      <c r="C1809" s="37" t="s">
        <v>341</v>
      </c>
      <c r="D1809" s="37" t="s">
        <v>1962</v>
      </c>
      <c r="E1809" s="37" t="n">
        <v>20745110</v>
      </c>
      <c r="F1809" s="37" t="s">
        <v>139</v>
      </c>
      <c r="G1809" s="37" t="s">
        <v>198</v>
      </c>
      <c r="H1809" s="37" t="s">
        <v>168</v>
      </c>
      <c r="I1809" s="37" t="n">
        <v>33.3</v>
      </c>
      <c r="J1809" s="39" t="n">
        <v>439.99</v>
      </c>
      <c r="K1809" s="37" t="s">
        <v>322</v>
      </c>
      <c r="L1809" s="39" t="n">
        <v>82.43</v>
      </c>
      <c r="M1809" s="39" t="n">
        <v>54.1</v>
      </c>
      <c r="N1809" s="39" t="n">
        <f aca="false">J1809*Resumo!$C$7</f>
        <v>0.87998</v>
      </c>
      <c r="O1809" s="39" t="n">
        <f aca="false">J1809*Resumo!$C$8</f>
        <v>0.87998</v>
      </c>
      <c r="P1809" s="39" t="n">
        <f aca="false">Resumo!$C$10*CEILING(I1809/100,1)</f>
        <v>1</v>
      </c>
      <c r="Q1809" s="39" t="n">
        <f aca="false">Resumo!$C$9</f>
        <v>11.9</v>
      </c>
      <c r="R1809" s="39" t="n">
        <f aca="false">SUM(M1809:Q1809)*Resumo!$C$11</f>
        <v>3.7817978</v>
      </c>
      <c r="S1809" s="39" t="n">
        <f aca="false">SUM(M1809:R1809)</f>
        <v>72.5417578</v>
      </c>
      <c r="T1809" s="39" t="n">
        <f aca="false">S1809/(1-Resumo!$C$5)</f>
        <v>82.4338156818182</v>
      </c>
      <c r="U1809" s="39" t="n">
        <v>82.21</v>
      </c>
      <c r="V1809" s="39" t="n">
        <f aca="false">J1809*Resumo!$B$6</f>
        <v>0.43999</v>
      </c>
      <c r="W1809" s="39" t="n">
        <f aca="false">J1809*Resumo!$B$7</f>
        <v>0.87998</v>
      </c>
      <c r="X1809" s="39" t="n">
        <f aca="false">Resumo!$B$9</f>
        <v>1</v>
      </c>
      <c r="Y1809" s="39" t="n">
        <f aca="false">Resumo!$B$10*CEILING(I1809/100,1)</f>
        <v>4.5</v>
      </c>
      <c r="Z1809" s="39" t="n">
        <f aca="false">Resumo!$B$12*CEILING(I1809,1)</f>
        <v>2.04</v>
      </c>
      <c r="AA1809" s="39" t="n">
        <f aca="false">Resumo!$B$13*CEILING(I1809,1)</f>
        <v>15.3</v>
      </c>
      <c r="AB1809" s="39" t="n">
        <f aca="false">SUM(U1809:AA1809)</f>
        <v>106.36997</v>
      </c>
      <c r="AC1809" s="39" t="n">
        <f aca="false">AB1809/(1-Resumo!$B$5)</f>
        <v>120.874965909091</v>
      </c>
      <c r="AD1809" s="39" t="n">
        <f aca="false">(AB1809-AA1809)/(1-Resumo!$B$5)</f>
        <v>103.488602272727</v>
      </c>
      <c r="AE1809" s="39" t="n">
        <f aca="false">AC1809-T1809</f>
        <v>38.4411502272727</v>
      </c>
      <c r="AF1809" s="40" t="n">
        <f aca="false">AC1809/T1809-1</f>
        <v>0.466327439890076</v>
      </c>
      <c r="AG1809" s="37" t="str">
        <f aca="false">IF(AC1809&lt;T1809,"SIM","NÃO")</f>
        <v>NÃO</v>
      </c>
      <c r="AH1809" s="37" t="n">
        <v>8</v>
      </c>
      <c r="AI1809" s="37" t="n">
        <v>5</v>
      </c>
      <c r="AJ1809" s="37" t="s">
        <v>323</v>
      </c>
    </row>
    <row r="1810" customFormat="false" ht="15" hidden="false" customHeight="false" outlineLevel="0" collapsed="false">
      <c r="A1810" s="37" t="n">
        <v>394608962</v>
      </c>
      <c r="B1810" s="38" t="n">
        <v>46279.740474537</v>
      </c>
      <c r="C1810" s="37" t="s">
        <v>325</v>
      </c>
      <c r="D1810" s="37" t="s">
        <v>1963</v>
      </c>
      <c r="E1810" s="37" t="n">
        <v>21755380</v>
      </c>
      <c r="F1810" s="37" t="s">
        <v>139</v>
      </c>
      <c r="G1810" s="37" t="s">
        <v>198</v>
      </c>
      <c r="H1810" s="37" t="s">
        <v>168</v>
      </c>
      <c r="I1810" s="37" t="n">
        <v>31.9</v>
      </c>
      <c r="J1810" s="39" t="n">
        <v>483.99</v>
      </c>
      <c r="K1810" s="37" t="s">
        <v>322</v>
      </c>
      <c r="L1810" s="39" t="n">
        <v>82.65</v>
      </c>
      <c r="M1810" s="39" t="n">
        <v>54.1</v>
      </c>
      <c r="N1810" s="39" t="n">
        <f aca="false">J1810*Resumo!$C$7</f>
        <v>0.96798</v>
      </c>
      <c r="O1810" s="39" t="n">
        <f aca="false">J1810*Resumo!$C$8</f>
        <v>0.96798</v>
      </c>
      <c r="P1810" s="39" t="n">
        <f aca="false">Resumo!$C$10*CEILING(I1810/100,1)</f>
        <v>1</v>
      </c>
      <c r="Q1810" s="39" t="n">
        <f aca="false">Resumo!$C$9</f>
        <v>11.9</v>
      </c>
      <c r="R1810" s="39" t="n">
        <f aca="false">SUM(M1810:Q1810)*Resumo!$C$11</f>
        <v>3.7914778</v>
      </c>
      <c r="S1810" s="39" t="n">
        <f aca="false">SUM(M1810:R1810)</f>
        <v>72.7274378</v>
      </c>
      <c r="T1810" s="39" t="n">
        <f aca="false">S1810/(1-Resumo!$C$5)</f>
        <v>82.6448156818182</v>
      </c>
      <c r="U1810" s="39" t="n">
        <v>82.21</v>
      </c>
      <c r="V1810" s="39" t="n">
        <f aca="false">J1810*Resumo!$B$6</f>
        <v>0.48399</v>
      </c>
      <c r="W1810" s="39" t="n">
        <f aca="false">J1810*Resumo!$B$7</f>
        <v>0.96798</v>
      </c>
      <c r="X1810" s="39" t="n">
        <f aca="false">Resumo!$B$9</f>
        <v>1</v>
      </c>
      <c r="Y1810" s="39" t="n">
        <f aca="false">Resumo!$B$10*CEILING(I1810/100,1)</f>
        <v>4.5</v>
      </c>
      <c r="Z1810" s="39" t="n">
        <f aca="false">Resumo!$B$12*CEILING(I1810,1)</f>
        <v>1.92</v>
      </c>
      <c r="AA1810" s="39" t="n">
        <f aca="false">Resumo!$B$13*CEILING(I1810,1)</f>
        <v>14.4</v>
      </c>
      <c r="AB1810" s="39" t="n">
        <f aca="false">SUM(U1810:AA1810)</f>
        <v>105.48197</v>
      </c>
      <c r="AC1810" s="39" t="n">
        <f aca="false">AB1810/(1-Resumo!$B$5)</f>
        <v>119.865875</v>
      </c>
      <c r="AD1810" s="39" t="n">
        <f aca="false">(AB1810-AA1810)/(1-Resumo!$B$5)</f>
        <v>103.502238636364</v>
      </c>
      <c r="AE1810" s="39" t="n">
        <f aca="false">AC1810-T1810</f>
        <v>37.2210593181818</v>
      </c>
      <c r="AF1810" s="40" t="n">
        <f aca="false">AC1810/T1810-1</f>
        <v>0.450373795514078</v>
      </c>
      <c r="AG1810" s="37" t="str">
        <f aca="false">IF(AC1810&lt;T1810,"SIM","NÃO")</f>
        <v>NÃO</v>
      </c>
      <c r="AH1810" s="37" t="n">
        <v>8</v>
      </c>
      <c r="AI1810" s="37" t="n">
        <v>5</v>
      </c>
      <c r="AJ1810" s="37" t="s">
        <v>323</v>
      </c>
    </row>
    <row r="1811" customFormat="false" ht="15" hidden="false" customHeight="false" outlineLevel="0" collapsed="false">
      <c r="A1811" s="37" t="n">
        <v>394613536</v>
      </c>
      <c r="B1811" s="38" t="n">
        <v>46279.7512962963</v>
      </c>
      <c r="C1811" s="37" t="s">
        <v>325</v>
      </c>
      <c r="D1811" s="37" t="s">
        <v>1964</v>
      </c>
      <c r="E1811" s="37" t="n">
        <v>23575920</v>
      </c>
      <c r="F1811" s="37" t="s">
        <v>139</v>
      </c>
      <c r="G1811" s="37" t="s">
        <v>198</v>
      </c>
      <c r="H1811" s="37" t="s">
        <v>168</v>
      </c>
      <c r="I1811" s="37" t="n">
        <v>27.6</v>
      </c>
      <c r="J1811" s="39" t="n">
        <v>332.45</v>
      </c>
      <c r="K1811" s="37" t="s">
        <v>322</v>
      </c>
      <c r="L1811" s="39" t="n">
        <v>81.91</v>
      </c>
      <c r="M1811" s="39" t="n">
        <v>54.1</v>
      </c>
      <c r="N1811" s="39" t="n">
        <f aca="false">J1811*Resumo!$C$7</f>
        <v>0.6649</v>
      </c>
      <c r="O1811" s="39" t="n">
        <f aca="false">J1811*Resumo!$C$8</f>
        <v>0.6649</v>
      </c>
      <c r="P1811" s="39" t="n">
        <f aca="false">Resumo!$C$10*CEILING(I1811/100,1)</f>
        <v>1</v>
      </c>
      <c r="Q1811" s="39" t="n">
        <f aca="false">Resumo!$C$9</f>
        <v>11.9</v>
      </c>
      <c r="R1811" s="39" t="n">
        <f aca="false">SUM(M1811:Q1811)*Resumo!$C$11</f>
        <v>3.758139</v>
      </c>
      <c r="S1811" s="39" t="n">
        <f aca="false">SUM(M1811:R1811)</f>
        <v>72.087939</v>
      </c>
      <c r="T1811" s="39" t="n">
        <f aca="false">S1811/(1-Resumo!$C$5)</f>
        <v>81.9181125</v>
      </c>
      <c r="U1811" s="39" t="n">
        <v>82.21</v>
      </c>
      <c r="V1811" s="39" t="n">
        <f aca="false">J1811*Resumo!$B$6</f>
        <v>0.33245</v>
      </c>
      <c r="W1811" s="39" t="n">
        <f aca="false">J1811*Resumo!$B$7</f>
        <v>0.6649</v>
      </c>
      <c r="X1811" s="39" t="n">
        <f aca="false">Resumo!$B$9</f>
        <v>1</v>
      </c>
      <c r="Y1811" s="39" t="n">
        <f aca="false">Resumo!$B$10*CEILING(I1811/100,1)</f>
        <v>4.5</v>
      </c>
      <c r="Z1811" s="39" t="n">
        <f aca="false">Resumo!$B$12*CEILING(I1811,1)</f>
        <v>1.68</v>
      </c>
      <c r="AA1811" s="39" t="n">
        <f aca="false">Resumo!$B$13*CEILING(I1811,1)</f>
        <v>12.6</v>
      </c>
      <c r="AB1811" s="39" t="n">
        <f aca="false">SUM(U1811:AA1811)</f>
        <v>102.98735</v>
      </c>
      <c r="AC1811" s="39" t="n">
        <f aca="false">AB1811/(1-Resumo!$B$5)</f>
        <v>117.031079545455</v>
      </c>
      <c r="AD1811" s="39" t="n">
        <f aca="false">(AB1811-AA1811)/(1-Resumo!$B$5)</f>
        <v>102.712897727273</v>
      </c>
      <c r="AE1811" s="39" t="n">
        <f aca="false">AC1811-T1811</f>
        <v>35.1129670454545</v>
      </c>
      <c r="AF1811" s="40" t="n">
        <f aca="false">AC1811/T1811-1</f>
        <v>0.428634962084295</v>
      </c>
      <c r="AG1811" s="37" t="str">
        <f aca="false">IF(AC1811&lt;T1811,"SIM","NÃO")</f>
        <v>NÃO</v>
      </c>
      <c r="AH1811" s="37" t="n">
        <v>8</v>
      </c>
      <c r="AI1811" s="37" t="n">
        <v>5</v>
      </c>
      <c r="AJ1811" s="37" t="s">
        <v>323</v>
      </c>
    </row>
    <row r="1812" customFormat="false" ht="15" hidden="false" customHeight="false" outlineLevel="0" collapsed="false">
      <c r="A1812" s="37" t="n">
        <v>394637079</v>
      </c>
      <c r="B1812" s="38" t="n">
        <v>46279.7655671296</v>
      </c>
      <c r="C1812" s="37" t="s">
        <v>517</v>
      </c>
      <c r="D1812" s="37" t="s">
        <v>1965</v>
      </c>
      <c r="E1812" s="37" t="n">
        <v>27603830</v>
      </c>
      <c r="F1812" s="37" t="s">
        <v>239</v>
      </c>
      <c r="G1812" s="37" t="s">
        <v>201</v>
      </c>
      <c r="H1812" s="37" t="s">
        <v>171</v>
      </c>
      <c r="I1812" s="37" t="n">
        <v>51.3</v>
      </c>
      <c r="J1812" s="39" t="n">
        <v>552.32</v>
      </c>
      <c r="K1812" s="37" t="s">
        <v>322</v>
      </c>
      <c r="L1812" s="39" t="n">
        <v>142.31</v>
      </c>
      <c r="M1812" s="39" t="n">
        <v>103.6</v>
      </c>
      <c r="N1812" s="39" t="n">
        <f aca="false">J1812*Resumo!$C$7</f>
        <v>1.10464</v>
      </c>
      <c r="O1812" s="39" t="n">
        <f aca="false">J1812*Resumo!$C$8</f>
        <v>1.10464</v>
      </c>
      <c r="P1812" s="39" t="n">
        <f aca="false">Resumo!$C$10*CEILING(I1812/100,1)</f>
        <v>1</v>
      </c>
      <c r="Q1812" s="39" t="n">
        <f aca="false">Resumo!$C$9</f>
        <v>11.9</v>
      </c>
      <c r="R1812" s="39" t="n">
        <f aca="false">SUM(M1812:Q1812)*Resumo!$C$11</f>
        <v>6.5290104</v>
      </c>
      <c r="S1812" s="39" t="n">
        <f aca="false">SUM(M1812:R1812)</f>
        <v>125.2382904</v>
      </c>
      <c r="T1812" s="39" t="n">
        <f aca="false">S1812/(1-Resumo!$C$5)</f>
        <v>142.316239090909</v>
      </c>
      <c r="U1812" s="39" t="n">
        <v>142.32</v>
      </c>
      <c r="V1812" s="39" t="n">
        <f aca="false">J1812*Resumo!$B$6</f>
        <v>0.55232</v>
      </c>
      <c r="W1812" s="39" t="n">
        <f aca="false">J1812*Resumo!$B$7</f>
        <v>1.10464</v>
      </c>
      <c r="X1812" s="39" t="n">
        <f aca="false">Resumo!$B$9</f>
        <v>1</v>
      </c>
      <c r="Y1812" s="39" t="n">
        <f aca="false">Resumo!$B$10*CEILING(I1812/100,1)</f>
        <v>4.5</v>
      </c>
      <c r="Z1812" s="39" t="n">
        <f aca="false">Resumo!$B$12*CEILING(I1812,1)</f>
        <v>3.12</v>
      </c>
      <c r="AA1812" s="39" t="n">
        <f aca="false">Resumo!$B$13*CEILING(I1812,1)</f>
        <v>23.4</v>
      </c>
      <c r="AB1812" s="39" t="n">
        <f aca="false">SUM(U1812:AA1812)</f>
        <v>175.99696</v>
      </c>
      <c r="AC1812" s="39" t="n">
        <f aca="false">AB1812/(1-Resumo!$B$5)</f>
        <v>199.996545454545</v>
      </c>
      <c r="AD1812" s="39" t="n">
        <f aca="false">(AB1812-AA1812)/(1-Resumo!$B$5)</f>
        <v>173.405636363636</v>
      </c>
      <c r="AE1812" s="39" t="n">
        <f aca="false">AC1812-T1812</f>
        <v>57.6803063636364</v>
      </c>
      <c r="AF1812" s="40" t="n">
        <f aca="false">AC1812/T1812-1</f>
        <v>0.405296730240259</v>
      </c>
      <c r="AG1812" s="37" t="str">
        <f aca="false">IF(AC1812&lt;T1812,"SIM","NÃO")</f>
        <v>NÃO</v>
      </c>
      <c r="AH1812" s="37" t="n">
        <v>13</v>
      </c>
      <c r="AI1812" s="37" t="n">
        <v>10</v>
      </c>
      <c r="AJ1812" s="37" t="s">
        <v>327</v>
      </c>
    </row>
    <row r="1813" customFormat="false" ht="15" hidden="false" customHeight="false" outlineLevel="0" collapsed="false">
      <c r="A1813" s="37" t="n">
        <v>394652635</v>
      </c>
      <c r="B1813" s="38" t="n">
        <v>46279.8032523148</v>
      </c>
      <c r="C1813" s="37" t="s">
        <v>320</v>
      </c>
      <c r="D1813" s="37" t="s">
        <v>1966</v>
      </c>
      <c r="E1813" s="37" t="n">
        <v>27175000</v>
      </c>
      <c r="F1813" s="37" t="s">
        <v>231</v>
      </c>
      <c r="G1813" s="37" t="s">
        <v>201</v>
      </c>
      <c r="H1813" s="37" t="s">
        <v>171</v>
      </c>
      <c r="I1813" s="37" t="n">
        <v>60</v>
      </c>
      <c r="J1813" s="39" t="n">
        <v>823.09</v>
      </c>
      <c r="K1813" s="37" t="s">
        <v>322</v>
      </c>
      <c r="L1813" s="39" t="n">
        <v>143.63</v>
      </c>
      <c r="M1813" s="39" t="n">
        <v>103.6</v>
      </c>
      <c r="N1813" s="39" t="n">
        <f aca="false">J1813*Resumo!$C$7</f>
        <v>1.64618</v>
      </c>
      <c r="O1813" s="39" t="n">
        <f aca="false">J1813*Resumo!$C$8</f>
        <v>1.64618</v>
      </c>
      <c r="P1813" s="39" t="n">
        <f aca="false">Resumo!$C$10*CEILING(I1813/100,1)</f>
        <v>1</v>
      </c>
      <c r="Q1813" s="39" t="n">
        <f aca="false">Resumo!$C$9</f>
        <v>11.9</v>
      </c>
      <c r="R1813" s="39" t="n">
        <f aca="false">SUM(M1813:Q1813)*Resumo!$C$11</f>
        <v>6.5885798</v>
      </c>
      <c r="S1813" s="39" t="n">
        <f aca="false">SUM(M1813:R1813)</f>
        <v>126.3809398</v>
      </c>
      <c r="T1813" s="39" t="n">
        <f aca="false">S1813/(1-Resumo!$C$5)</f>
        <v>143.614704318182</v>
      </c>
      <c r="U1813" s="39" t="n">
        <v>142.32</v>
      </c>
      <c r="V1813" s="39" t="n">
        <f aca="false">J1813*Resumo!$B$6</f>
        <v>0.82309</v>
      </c>
      <c r="W1813" s="39" t="n">
        <f aca="false">J1813*Resumo!$B$7</f>
        <v>1.64618</v>
      </c>
      <c r="X1813" s="39" t="n">
        <f aca="false">Resumo!$B$9</f>
        <v>1</v>
      </c>
      <c r="Y1813" s="39" t="n">
        <f aca="false">Resumo!$B$10*CEILING(I1813/100,1)</f>
        <v>4.5</v>
      </c>
      <c r="Z1813" s="39" t="n">
        <f aca="false">Resumo!$B$12*CEILING(I1813,1)</f>
        <v>3.6</v>
      </c>
      <c r="AA1813" s="39" t="n">
        <f aca="false">Resumo!$B$13*CEILING(I1813,1)</f>
        <v>27</v>
      </c>
      <c r="AB1813" s="39" t="n">
        <f aca="false">SUM(U1813:AA1813)</f>
        <v>180.88927</v>
      </c>
      <c r="AC1813" s="39" t="n">
        <f aca="false">AB1813/(1-Resumo!$B$5)</f>
        <v>205.555988636364</v>
      </c>
      <c r="AD1813" s="39" t="n">
        <f aca="false">(AB1813-AA1813)/(1-Resumo!$B$5)</f>
        <v>174.874170454545</v>
      </c>
      <c r="AE1813" s="39" t="n">
        <f aca="false">AC1813-T1813</f>
        <v>61.9412843181818</v>
      </c>
      <c r="AF1813" s="40" t="n">
        <f aca="false">AC1813/T1813-1</f>
        <v>0.431301826733211</v>
      </c>
      <c r="AG1813" s="37" t="str">
        <f aca="false">IF(AC1813&lt;T1813,"SIM","NÃO")</f>
        <v>NÃO</v>
      </c>
      <c r="AH1813" s="37" t="n">
        <v>13</v>
      </c>
      <c r="AI1813" s="37" t="n">
        <v>10</v>
      </c>
      <c r="AJ1813" s="37" t="s">
        <v>327</v>
      </c>
    </row>
    <row r="1814" customFormat="false" ht="15" hidden="false" customHeight="false" outlineLevel="0" collapsed="false">
      <c r="A1814" s="37" t="n">
        <v>394686997</v>
      </c>
      <c r="B1814" s="38" t="n">
        <v>46279.8598263889</v>
      </c>
      <c r="C1814" s="37" t="s">
        <v>325</v>
      </c>
      <c r="D1814" s="37" t="s">
        <v>1967</v>
      </c>
      <c r="E1814" s="37" t="n">
        <v>21250520</v>
      </c>
      <c r="F1814" s="37" t="s">
        <v>139</v>
      </c>
      <c r="G1814" s="37" t="s">
        <v>198</v>
      </c>
      <c r="H1814" s="37" t="s">
        <v>168</v>
      </c>
      <c r="I1814" s="37" t="n">
        <v>27.6</v>
      </c>
      <c r="J1814" s="39" t="n">
        <v>331.25</v>
      </c>
      <c r="K1814" s="37" t="s">
        <v>322</v>
      </c>
      <c r="L1814" s="39" t="n">
        <v>81.91</v>
      </c>
      <c r="M1814" s="39" t="n">
        <v>54.1</v>
      </c>
      <c r="N1814" s="39" t="n">
        <f aca="false">J1814*Resumo!$C$7</f>
        <v>0.6625</v>
      </c>
      <c r="O1814" s="39" t="n">
        <f aca="false">J1814*Resumo!$C$8</f>
        <v>0.6625</v>
      </c>
      <c r="P1814" s="39" t="n">
        <f aca="false">Resumo!$C$10*CEILING(I1814/100,1)</f>
        <v>1</v>
      </c>
      <c r="Q1814" s="39" t="n">
        <f aca="false">Resumo!$C$9</f>
        <v>11.9</v>
      </c>
      <c r="R1814" s="39" t="n">
        <f aca="false">SUM(M1814:Q1814)*Resumo!$C$11</f>
        <v>3.757875</v>
      </c>
      <c r="S1814" s="39" t="n">
        <f aca="false">SUM(M1814:R1814)</f>
        <v>72.082875</v>
      </c>
      <c r="T1814" s="39" t="n">
        <f aca="false">S1814/(1-Resumo!$C$5)</f>
        <v>81.9123579545455</v>
      </c>
      <c r="U1814" s="39" t="n">
        <v>82.21</v>
      </c>
      <c r="V1814" s="39" t="n">
        <f aca="false">J1814*Resumo!$B$6</f>
        <v>0.33125</v>
      </c>
      <c r="W1814" s="39" t="n">
        <f aca="false">J1814*Resumo!$B$7</f>
        <v>0.6625</v>
      </c>
      <c r="X1814" s="39" t="n">
        <f aca="false">Resumo!$B$9</f>
        <v>1</v>
      </c>
      <c r="Y1814" s="39" t="n">
        <f aca="false">Resumo!$B$10*CEILING(I1814/100,1)</f>
        <v>4.5</v>
      </c>
      <c r="Z1814" s="39" t="n">
        <f aca="false">Resumo!$B$12*CEILING(I1814,1)</f>
        <v>1.68</v>
      </c>
      <c r="AA1814" s="39" t="n">
        <f aca="false">Resumo!$B$13*CEILING(I1814,1)</f>
        <v>12.6</v>
      </c>
      <c r="AB1814" s="39" t="n">
        <f aca="false">SUM(U1814:AA1814)</f>
        <v>102.98375</v>
      </c>
      <c r="AC1814" s="39" t="n">
        <f aca="false">AB1814/(1-Resumo!$B$5)</f>
        <v>117.026988636364</v>
      </c>
      <c r="AD1814" s="39" t="n">
        <f aca="false">(AB1814-AA1814)/(1-Resumo!$B$5)</f>
        <v>102.708806818182</v>
      </c>
      <c r="AE1814" s="39" t="n">
        <f aca="false">AC1814-T1814</f>
        <v>35.1146306818182</v>
      </c>
      <c r="AF1814" s="40" t="n">
        <f aca="false">AC1814/T1814-1</f>
        <v>0.428685384704758</v>
      </c>
      <c r="AG1814" s="37" t="str">
        <f aca="false">IF(AC1814&lt;T1814,"SIM","NÃO")</f>
        <v>NÃO</v>
      </c>
      <c r="AH1814" s="37" t="n">
        <v>8</v>
      </c>
      <c r="AI1814" s="37" t="n">
        <v>5</v>
      </c>
      <c r="AJ1814" s="37" t="s">
        <v>323</v>
      </c>
    </row>
    <row r="1815" customFormat="false" ht="15" hidden="false" customHeight="false" outlineLevel="0" collapsed="false">
      <c r="A1815" s="37" t="n">
        <v>394704443</v>
      </c>
      <c r="B1815" s="38" t="n">
        <v>46279.8917592593</v>
      </c>
      <c r="C1815" s="37" t="s">
        <v>325</v>
      </c>
      <c r="D1815" s="37" t="s">
        <v>1968</v>
      </c>
      <c r="E1815" s="37" t="n">
        <v>23943140</v>
      </c>
      <c r="F1815" s="37" t="s">
        <v>149</v>
      </c>
      <c r="G1815" s="37" t="s">
        <v>201</v>
      </c>
      <c r="H1815" s="37" t="s">
        <v>168</v>
      </c>
      <c r="I1815" s="37" t="n">
        <v>33.3</v>
      </c>
      <c r="J1815" s="39" t="n">
        <v>389.28</v>
      </c>
      <c r="K1815" s="37" t="s">
        <v>322</v>
      </c>
      <c r="L1815" s="39" t="n">
        <v>109.05</v>
      </c>
      <c r="M1815" s="39" t="n">
        <v>76.5</v>
      </c>
      <c r="N1815" s="39" t="n">
        <f aca="false">J1815*Resumo!$C$7</f>
        <v>0.77856</v>
      </c>
      <c r="O1815" s="39" t="n">
        <f aca="false">J1815*Resumo!$C$8</f>
        <v>0.77856</v>
      </c>
      <c r="P1815" s="39" t="n">
        <f aca="false">Resumo!$C$10*CEILING(I1815/100,1)</f>
        <v>1</v>
      </c>
      <c r="Q1815" s="39" t="n">
        <f aca="false">Resumo!$C$9</f>
        <v>11.9</v>
      </c>
      <c r="R1815" s="39" t="n">
        <f aca="false">SUM(M1815:Q1815)*Resumo!$C$11</f>
        <v>5.0026416</v>
      </c>
      <c r="S1815" s="39" t="n">
        <f aca="false">SUM(M1815:R1815)</f>
        <v>95.9597616</v>
      </c>
      <c r="T1815" s="39" t="n">
        <f aca="false">S1815/(1-Resumo!$C$5)</f>
        <v>109.045183636364</v>
      </c>
      <c r="U1815" s="39" t="n">
        <v>108.83</v>
      </c>
      <c r="V1815" s="39" t="n">
        <f aca="false">J1815*Resumo!$B$6</f>
        <v>0.38928</v>
      </c>
      <c r="W1815" s="39" t="n">
        <f aca="false">J1815*Resumo!$B$7</f>
        <v>0.77856</v>
      </c>
      <c r="X1815" s="39" t="n">
        <f aca="false">Resumo!$B$9</f>
        <v>1</v>
      </c>
      <c r="Y1815" s="39" t="n">
        <f aca="false">Resumo!$B$10*CEILING(I1815/100,1)</f>
        <v>4.5</v>
      </c>
      <c r="Z1815" s="39" t="n">
        <f aca="false">Resumo!$B$12*CEILING(I1815,1)</f>
        <v>2.04</v>
      </c>
      <c r="AA1815" s="39" t="n">
        <f aca="false">Resumo!$B$13*CEILING(I1815,1)</f>
        <v>15.3</v>
      </c>
      <c r="AB1815" s="39" t="n">
        <f aca="false">SUM(U1815:AA1815)</f>
        <v>132.83784</v>
      </c>
      <c r="AC1815" s="39" t="n">
        <f aca="false">AB1815/(1-Resumo!$B$5)</f>
        <v>150.952090909091</v>
      </c>
      <c r="AD1815" s="39" t="n">
        <f aca="false">(AB1815-AA1815)/(1-Resumo!$B$5)</f>
        <v>133.565727272727</v>
      </c>
      <c r="AE1815" s="39" t="n">
        <f aca="false">AC1815-T1815</f>
        <v>41.9069072727273</v>
      </c>
      <c r="AF1815" s="40" t="n">
        <f aca="false">AC1815/T1815-1</f>
        <v>0.384307732586113</v>
      </c>
      <c r="AG1815" s="37" t="str">
        <f aca="false">IF(AC1815&lt;T1815,"SIM","NÃO")</f>
        <v>NÃO</v>
      </c>
      <c r="AH1815" s="37" t="n">
        <v>13</v>
      </c>
      <c r="AI1815" s="37" t="n">
        <v>10</v>
      </c>
      <c r="AJ1815" s="37" t="s">
        <v>323</v>
      </c>
    </row>
    <row r="1816" customFormat="false" ht="15" hidden="false" customHeight="false" outlineLevel="0" collapsed="false">
      <c r="A1816" s="37" t="n">
        <v>394719780</v>
      </c>
      <c r="B1816" s="38" t="n">
        <v>46279.9203703704</v>
      </c>
      <c r="C1816" s="37" t="s">
        <v>325</v>
      </c>
      <c r="D1816" s="37" t="s">
        <v>1969</v>
      </c>
      <c r="E1816" s="37" t="n">
        <v>20940010</v>
      </c>
      <c r="F1816" s="37" t="s">
        <v>139</v>
      </c>
      <c r="G1816" s="37" t="s">
        <v>198</v>
      </c>
      <c r="H1816" s="37" t="s">
        <v>172</v>
      </c>
      <c r="I1816" s="37" t="n">
        <v>63.9</v>
      </c>
      <c r="J1816" s="39" t="n">
        <v>776</v>
      </c>
      <c r="K1816" s="37" t="s">
        <v>322</v>
      </c>
      <c r="L1816" s="39" t="n">
        <v>124.92</v>
      </c>
      <c r="M1816" s="39" t="n">
        <v>88.2</v>
      </c>
      <c r="N1816" s="39" t="n">
        <f aca="false">J1816*Resumo!$C$7</f>
        <v>1.552</v>
      </c>
      <c r="O1816" s="39" t="n">
        <f aca="false">J1816*Resumo!$C$8</f>
        <v>1.552</v>
      </c>
      <c r="P1816" s="39" t="n">
        <f aca="false">Resumo!$C$10*CEILING(I1816/100,1)</f>
        <v>1</v>
      </c>
      <c r="Q1816" s="39" t="n">
        <f aca="false">Resumo!$C$9</f>
        <v>11.9</v>
      </c>
      <c r="R1816" s="39" t="n">
        <f aca="false">SUM(M1816:Q1816)*Resumo!$C$11</f>
        <v>5.73122</v>
      </c>
      <c r="S1816" s="39" t="n">
        <f aca="false">SUM(M1816:R1816)</f>
        <v>109.93522</v>
      </c>
      <c r="T1816" s="39" t="n">
        <f aca="false">S1816/(1-Resumo!$C$5)</f>
        <v>124.926386363636</v>
      </c>
      <c r="U1816" s="39" t="n">
        <v>131.02</v>
      </c>
      <c r="V1816" s="39" t="n">
        <f aca="false">J1816*Resumo!$B$6</f>
        <v>0.776</v>
      </c>
      <c r="W1816" s="39" t="n">
        <f aca="false">J1816*Resumo!$B$7</f>
        <v>1.552</v>
      </c>
      <c r="X1816" s="39" t="n">
        <f aca="false">Resumo!$B$9</f>
        <v>1</v>
      </c>
      <c r="Y1816" s="39" t="n">
        <f aca="false">Resumo!$B$10*CEILING(I1816/100,1)</f>
        <v>4.5</v>
      </c>
      <c r="Z1816" s="39" t="n">
        <f aca="false">Resumo!$B$12*CEILING(I1816,1)</f>
        <v>3.84</v>
      </c>
      <c r="AA1816" s="39" t="n">
        <f aca="false">Resumo!$B$13*CEILING(I1816,1)</f>
        <v>28.8</v>
      </c>
      <c r="AB1816" s="39" t="n">
        <f aca="false">SUM(U1816:AA1816)</f>
        <v>171.488</v>
      </c>
      <c r="AC1816" s="39" t="n">
        <f aca="false">AB1816/(1-Resumo!$B$5)</f>
        <v>194.872727272727</v>
      </c>
      <c r="AD1816" s="39" t="n">
        <f aca="false">(AB1816-AA1816)/(1-Resumo!$B$5)</f>
        <v>162.145454545455</v>
      </c>
      <c r="AE1816" s="39" t="n">
        <f aca="false">AC1816-T1816</f>
        <v>69.9463409090909</v>
      </c>
      <c r="AF1816" s="40" t="n">
        <f aca="false">AC1816/T1816-1</f>
        <v>0.559900457742296</v>
      </c>
      <c r="AG1816" s="37" t="str">
        <f aca="false">IF(AC1816&lt;T1816,"SIM","NÃO")</f>
        <v>NÃO</v>
      </c>
      <c r="AH1816" s="37" t="n">
        <v>8</v>
      </c>
      <c r="AI1816" s="37" t="n">
        <v>5</v>
      </c>
      <c r="AJ1816" s="37" t="s">
        <v>323</v>
      </c>
    </row>
    <row r="1817" customFormat="false" ht="15" hidden="false" customHeight="false" outlineLevel="0" collapsed="false">
      <c r="A1817" s="37" t="n">
        <v>394743199</v>
      </c>
      <c r="B1817" s="38" t="n">
        <v>46279.9688541667</v>
      </c>
      <c r="C1817" s="37" t="s">
        <v>320</v>
      </c>
      <c r="D1817" s="37" t="s">
        <v>445</v>
      </c>
      <c r="E1817" s="37" t="n">
        <v>21321620</v>
      </c>
      <c r="F1817" s="37" t="s">
        <v>139</v>
      </c>
      <c r="G1817" s="37" t="s">
        <v>198</v>
      </c>
      <c r="H1817" s="37" t="s">
        <v>170</v>
      </c>
      <c r="I1817" s="37" t="n">
        <v>46.8</v>
      </c>
      <c r="J1817" s="39" t="n">
        <v>492.2</v>
      </c>
      <c r="K1817" s="37" t="s">
        <v>322</v>
      </c>
      <c r="L1817" s="39" t="n">
        <v>102.93</v>
      </c>
      <c r="M1817" s="39" t="n">
        <v>71</v>
      </c>
      <c r="N1817" s="39" t="n">
        <f aca="false">J1817*Resumo!$C$7</f>
        <v>0.9844</v>
      </c>
      <c r="O1817" s="39" t="n">
        <f aca="false">J1817*Resumo!$C$8</f>
        <v>0.9844</v>
      </c>
      <c r="P1817" s="39" t="n">
        <f aca="false">Resumo!$C$10*CEILING(I1817/100,1)</f>
        <v>1</v>
      </c>
      <c r="Q1817" s="39" t="n">
        <f aca="false">Resumo!$C$9</f>
        <v>11.9</v>
      </c>
      <c r="R1817" s="39" t="n">
        <f aca="false">SUM(M1817:Q1817)*Resumo!$C$11</f>
        <v>4.722784</v>
      </c>
      <c r="S1817" s="39" t="n">
        <f aca="false">SUM(M1817:R1817)</f>
        <v>90.591584</v>
      </c>
      <c r="T1817" s="39" t="n">
        <f aca="false">S1817/(1-Resumo!$C$5)</f>
        <v>102.944981818182</v>
      </c>
      <c r="U1817" s="39" t="n">
        <v>93.97</v>
      </c>
      <c r="V1817" s="39" t="n">
        <f aca="false">J1817*Resumo!$B$6</f>
        <v>0.4922</v>
      </c>
      <c r="W1817" s="39" t="n">
        <f aca="false">J1817*Resumo!$B$7</f>
        <v>0.9844</v>
      </c>
      <c r="X1817" s="39" t="n">
        <f aca="false">Resumo!$B$9</f>
        <v>1</v>
      </c>
      <c r="Y1817" s="39" t="n">
        <f aca="false">Resumo!$B$10*CEILING(I1817/100,1)</f>
        <v>4.5</v>
      </c>
      <c r="Z1817" s="39" t="n">
        <f aca="false">Resumo!$B$12*CEILING(I1817,1)</f>
        <v>2.82</v>
      </c>
      <c r="AA1817" s="39" t="n">
        <f aca="false">Resumo!$B$13*CEILING(I1817,1)</f>
        <v>21.15</v>
      </c>
      <c r="AB1817" s="39" t="n">
        <f aca="false">SUM(U1817:AA1817)</f>
        <v>124.9166</v>
      </c>
      <c r="AC1817" s="39" t="n">
        <f aca="false">AB1817/(1-Resumo!$B$5)</f>
        <v>141.950681818182</v>
      </c>
      <c r="AD1817" s="39" t="n">
        <f aca="false">(AB1817-AA1817)/(1-Resumo!$B$5)</f>
        <v>117.916590909091</v>
      </c>
      <c r="AE1817" s="39" t="n">
        <f aca="false">AC1817-T1817</f>
        <v>39.0057</v>
      </c>
      <c r="AF1817" s="40" t="n">
        <f aca="false">AC1817/T1817-1</f>
        <v>0.3788985078349</v>
      </c>
      <c r="AG1817" s="37" t="str">
        <f aca="false">IF(AC1817&lt;T1817,"SIM","NÃO")</f>
        <v>NÃO</v>
      </c>
      <c r="AH1817" s="37" t="n">
        <v>8</v>
      </c>
      <c r="AI1817" s="37" t="n">
        <v>5</v>
      </c>
      <c r="AJ1817" s="37" t="s">
        <v>323</v>
      </c>
    </row>
    <row r="1818" customFormat="false" ht="15" hidden="false" customHeight="false" outlineLevel="0" collapsed="false">
      <c r="A1818" s="37" t="n">
        <v>394761265</v>
      </c>
      <c r="B1818" s="38" t="n">
        <v>46280.0072106482</v>
      </c>
      <c r="C1818" s="37" t="s">
        <v>325</v>
      </c>
      <c r="D1818" s="37" t="s">
        <v>1970</v>
      </c>
      <c r="E1818" s="37" t="n">
        <v>22793105</v>
      </c>
      <c r="F1818" s="37" t="s">
        <v>139</v>
      </c>
      <c r="G1818" s="37" t="s">
        <v>198</v>
      </c>
      <c r="H1818" s="37" t="s">
        <v>169</v>
      </c>
      <c r="I1818" s="37" t="n">
        <v>35.3</v>
      </c>
      <c r="J1818" s="39" t="n">
        <v>458.79</v>
      </c>
      <c r="K1818" s="37" t="s">
        <v>322</v>
      </c>
      <c r="L1818" s="39" t="n">
        <v>92.06</v>
      </c>
      <c r="M1818" s="39" t="n">
        <v>62.05</v>
      </c>
      <c r="N1818" s="39" t="n">
        <f aca="false">J1818*Resumo!$C$7</f>
        <v>0.91758</v>
      </c>
      <c r="O1818" s="39" t="n">
        <f aca="false">J1818*Resumo!$C$8</f>
        <v>0.91758</v>
      </c>
      <c r="P1818" s="39" t="n">
        <f aca="false">Resumo!$C$10*CEILING(I1818/100,1)</f>
        <v>1</v>
      </c>
      <c r="Q1818" s="39" t="n">
        <f aca="false">Resumo!$C$9</f>
        <v>11.9</v>
      </c>
      <c r="R1818" s="39" t="n">
        <f aca="false">SUM(M1818:Q1818)*Resumo!$C$11</f>
        <v>4.2231838</v>
      </c>
      <c r="S1818" s="39" t="n">
        <f aca="false">SUM(M1818:R1818)</f>
        <v>81.0083438</v>
      </c>
      <c r="T1818" s="39" t="n">
        <f aca="false">S1818/(1-Resumo!$C$5)</f>
        <v>92.0549361363636</v>
      </c>
      <c r="U1818" s="39" t="n">
        <v>93.97</v>
      </c>
      <c r="V1818" s="39" t="n">
        <f aca="false">J1818*Resumo!$B$6</f>
        <v>0.45879</v>
      </c>
      <c r="W1818" s="39" t="n">
        <f aca="false">J1818*Resumo!$B$7</f>
        <v>0.91758</v>
      </c>
      <c r="X1818" s="39" t="n">
        <f aca="false">Resumo!$B$9</f>
        <v>1</v>
      </c>
      <c r="Y1818" s="39" t="n">
        <f aca="false">Resumo!$B$10*CEILING(I1818/100,1)</f>
        <v>4.5</v>
      </c>
      <c r="Z1818" s="39" t="n">
        <f aca="false">Resumo!$B$12*CEILING(I1818,1)</f>
        <v>2.16</v>
      </c>
      <c r="AA1818" s="39" t="n">
        <f aca="false">Resumo!$B$13*CEILING(I1818,1)</f>
        <v>16.2</v>
      </c>
      <c r="AB1818" s="39" t="n">
        <f aca="false">SUM(U1818:AA1818)</f>
        <v>119.20637</v>
      </c>
      <c r="AC1818" s="39" t="n">
        <f aca="false">AB1818/(1-Resumo!$B$5)</f>
        <v>135.461784090909</v>
      </c>
      <c r="AD1818" s="39" t="n">
        <f aca="false">(AB1818-AA1818)/(1-Resumo!$B$5)</f>
        <v>117.052693181818</v>
      </c>
      <c r="AE1818" s="39" t="n">
        <f aca="false">AC1818-T1818</f>
        <v>43.4068479545455</v>
      </c>
      <c r="AF1818" s="40" t="n">
        <f aca="false">AC1818/T1818-1</f>
        <v>0.471531997917479</v>
      </c>
      <c r="AG1818" s="37" t="str">
        <f aca="false">IF(AC1818&lt;T1818,"SIM","NÃO")</f>
        <v>NÃO</v>
      </c>
      <c r="AH1818" s="37" t="n">
        <v>8</v>
      </c>
      <c r="AI1818" s="37" t="n">
        <v>5</v>
      </c>
      <c r="AJ1818" s="37" t="s">
        <v>323</v>
      </c>
    </row>
    <row r="1819" customFormat="false" ht="15" hidden="false" customHeight="false" outlineLevel="0" collapsed="false">
      <c r="A1819" s="37" t="n">
        <v>394846808</v>
      </c>
      <c r="B1819" s="38" t="n">
        <v>46280.2914236111</v>
      </c>
      <c r="C1819" s="37" t="s">
        <v>320</v>
      </c>
      <c r="D1819" s="37" t="s">
        <v>1971</v>
      </c>
      <c r="E1819" s="37" t="n">
        <v>23933630</v>
      </c>
      <c r="F1819" s="37" t="s">
        <v>149</v>
      </c>
      <c r="G1819" s="37" t="s">
        <v>201</v>
      </c>
      <c r="H1819" s="37" t="s">
        <v>170</v>
      </c>
      <c r="I1819" s="37" t="n">
        <v>48</v>
      </c>
      <c r="J1819" s="39" t="n">
        <v>849.99</v>
      </c>
      <c r="K1819" s="37" t="s">
        <v>322</v>
      </c>
      <c r="L1819" s="39" t="n">
        <v>132.24</v>
      </c>
      <c r="M1819" s="39" t="n">
        <v>94</v>
      </c>
      <c r="N1819" s="39" t="n">
        <f aca="false">J1819*Resumo!$C$7</f>
        <v>1.69998</v>
      </c>
      <c r="O1819" s="39" t="n">
        <f aca="false">J1819*Resumo!$C$8</f>
        <v>1.69998</v>
      </c>
      <c r="P1819" s="39" t="n">
        <f aca="false">Resumo!$C$10*CEILING(I1819/100,1)</f>
        <v>1</v>
      </c>
      <c r="Q1819" s="39" t="n">
        <f aca="false">Resumo!$C$9</f>
        <v>11.9</v>
      </c>
      <c r="R1819" s="39" t="n">
        <f aca="false">SUM(M1819:Q1819)*Resumo!$C$11</f>
        <v>6.0664978</v>
      </c>
      <c r="S1819" s="39" t="n">
        <f aca="false">SUM(M1819:R1819)</f>
        <v>116.3664578</v>
      </c>
      <c r="T1819" s="39" t="n">
        <f aca="false">S1819/(1-Resumo!$C$5)</f>
        <v>132.234611136364</v>
      </c>
      <c r="U1819" s="39" t="n">
        <v>124.38</v>
      </c>
      <c r="V1819" s="39" t="n">
        <f aca="false">J1819*Resumo!$B$6</f>
        <v>0.84999</v>
      </c>
      <c r="W1819" s="39" t="n">
        <f aca="false">J1819*Resumo!$B$7</f>
        <v>1.69998</v>
      </c>
      <c r="X1819" s="39" t="n">
        <f aca="false">Resumo!$B$9</f>
        <v>1</v>
      </c>
      <c r="Y1819" s="39" t="n">
        <f aca="false">Resumo!$B$10*CEILING(I1819/100,1)</f>
        <v>4.5</v>
      </c>
      <c r="Z1819" s="39" t="n">
        <f aca="false">Resumo!$B$12*CEILING(I1819,1)</f>
        <v>2.88</v>
      </c>
      <c r="AA1819" s="39" t="n">
        <f aca="false">Resumo!$B$13*CEILING(I1819,1)</f>
        <v>21.6</v>
      </c>
      <c r="AB1819" s="39" t="n">
        <f aca="false">SUM(U1819:AA1819)</f>
        <v>156.90997</v>
      </c>
      <c r="AC1819" s="39" t="n">
        <f aca="false">AB1819/(1-Resumo!$B$5)</f>
        <v>178.306784090909</v>
      </c>
      <c r="AD1819" s="39" t="n">
        <f aca="false">(AB1819-AA1819)/(1-Resumo!$B$5)</f>
        <v>153.761329545455</v>
      </c>
      <c r="AE1819" s="39" t="n">
        <f aca="false">AC1819-T1819</f>
        <v>46.0721729545454</v>
      </c>
      <c r="AF1819" s="40" t="n">
        <f aca="false">AC1819/T1819-1</f>
        <v>0.348412360112245</v>
      </c>
      <c r="AG1819" s="37" t="str">
        <f aca="false">IF(AC1819&lt;T1819,"SIM","NÃO")</f>
        <v>NÃO</v>
      </c>
      <c r="AH1819" s="37" t="n">
        <v>13</v>
      </c>
      <c r="AI1819" s="37" t="n">
        <v>10</v>
      </c>
      <c r="AJ1819" s="37" t="s">
        <v>323</v>
      </c>
    </row>
    <row r="1820" customFormat="false" ht="15" hidden="false" customHeight="false" outlineLevel="0" collapsed="false">
      <c r="A1820" s="37" t="n">
        <v>394870816</v>
      </c>
      <c r="B1820" s="38" t="n">
        <v>46280.3565856482</v>
      </c>
      <c r="C1820" s="37" t="s">
        <v>320</v>
      </c>
      <c r="D1820" s="37" t="s">
        <v>1972</v>
      </c>
      <c r="E1820" s="37" t="n">
        <v>20750130</v>
      </c>
      <c r="F1820" s="37" t="s">
        <v>139</v>
      </c>
      <c r="G1820" s="37" t="s">
        <v>198</v>
      </c>
      <c r="H1820" s="37" t="s">
        <v>172</v>
      </c>
      <c r="I1820" s="37" t="n">
        <v>66.8</v>
      </c>
      <c r="J1820" s="39" t="n">
        <v>719.99</v>
      </c>
      <c r="K1820" s="37" t="s">
        <v>322</v>
      </c>
      <c r="L1820" s="39" t="n">
        <v>124.66</v>
      </c>
      <c r="M1820" s="39" t="n">
        <v>88.2</v>
      </c>
      <c r="N1820" s="39" t="n">
        <f aca="false">J1820*Resumo!$C$7</f>
        <v>1.43998</v>
      </c>
      <c r="O1820" s="39" t="n">
        <f aca="false">J1820*Resumo!$C$8</f>
        <v>1.43998</v>
      </c>
      <c r="P1820" s="39" t="n">
        <f aca="false">Resumo!$C$10*CEILING(I1820/100,1)</f>
        <v>1</v>
      </c>
      <c r="Q1820" s="39" t="n">
        <f aca="false">Resumo!$C$9</f>
        <v>11.9</v>
      </c>
      <c r="R1820" s="39" t="n">
        <f aca="false">SUM(M1820:Q1820)*Resumo!$C$11</f>
        <v>5.7188978</v>
      </c>
      <c r="S1820" s="39" t="n">
        <f aca="false">SUM(M1820:R1820)</f>
        <v>109.6988578</v>
      </c>
      <c r="T1820" s="39" t="n">
        <f aca="false">S1820/(1-Resumo!$C$5)</f>
        <v>124.657792954545</v>
      </c>
      <c r="U1820" s="39" t="n">
        <v>131.02</v>
      </c>
      <c r="V1820" s="39" t="n">
        <f aca="false">J1820*Resumo!$B$6</f>
        <v>0.71999</v>
      </c>
      <c r="W1820" s="39" t="n">
        <f aca="false">J1820*Resumo!$B$7</f>
        <v>1.43998</v>
      </c>
      <c r="X1820" s="39" t="n">
        <f aca="false">Resumo!$B$9</f>
        <v>1</v>
      </c>
      <c r="Y1820" s="39" t="n">
        <f aca="false">Resumo!$B$10*CEILING(I1820/100,1)</f>
        <v>4.5</v>
      </c>
      <c r="Z1820" s="39" t="n">
        <f aca="false">Resumo!$B$12*CEILING(I1820,1)</f>
        <v>4.02</v>
      </c>
      <c r="AA1820" s="39" t="n">
        <f aca="false">Resumo!$B$13*CEILING(I1820,1)</f>
        <v>30.15</v>
      </c>
      <c r="AB1820" s="39" t="n">
        <f aca="false">SUM(U1820:AA1820)</f>
        <v>172.84997</v>
      </c>
      <c r="AC1820" s="39" t="n">
        <f aca="false">AB1820/(1-Resumo!$B$5)</f>
        <v>196.420420454545</v>
      </c>
      <c r="AD1820" s="39" t="n">
        <f aca="false">(AB1820-AA1820)/(1-Resumo!$B$5)</f>
        <v>162.159056818182</v>
      </c>
      <c r="AE1820" s="39" t="n">
        <f aca="false">AC1820-T1820</f>
        <v>71.7626275</v>
      </c>
      <c r="AF1820" s="40" t="n">
        <f aca="false">AC1820/T1820-1</f>
        <v>0.575677025873281</v>
      </c>
      <c r="AG1820" s="37" t="str">
        <f aca="false">IF(AC1820&lt;T1820,"SIM","NÃO")</f>
        <v>NÃO</v>
      </c>
      <c r="AH1820" s="37" t="n">
        <v>8</v>
      </c>
      <c r="AI1820" s="37" t="n">
        <v>5</v>
      </c>
      <c r="AJ1820" s="37" t="s">
        <v>323</v>
      </c>
    </row>
    <row r="1821" customFormat="false" ht="15" hidden="false" customHeight="false" outlineLevel="0" collapsed="false">
      <c r="A1821" s="37" t="n">
        <v>394879355</v>
      </c>
      <c r="B1821" s="38" t="n">
        <v>46280.374224537</v>
      </c>
      <c r="C1821" s="37" t="s">
        <v>320</v>
      </c>
      <c r="D1821" s="37" t="s">
        <v>1973</v>
      </c>
      <c r="E1821" s="37" t="n">
        <v>28956144</v>
      </c>
      <c r="F1821" s="37" t="s">
        <v>279</v>
      </c>
      <c r="G1821" s="37" t="s">
        <v>201</v>
      </c>
      <c r="H1821" s="37" t="s">
        <v>170</v>
      </c>
      <c r="I1821" s="37" t="n">
        <v>41</v>
      </c>
      <c r="J1821" s="39" t="n">
        <v>559.99</v>
      </c>
      <c r="K1821" s="37" t="s">
        <v>322</v>
      </c>
      <c r="L1821" s="39" t="n">
        <v>130.84</v>
      </c>
      <c r="M1821" s="39" t="n">
        <v>94</v>
      </c>
      <c r="N1821" s="39" t="n">
        <f aca="false">J1821*Resumo!$C$7</f>
        <v>1.11998</v>
      </c>
      <c r="O1821" s="39" t="n">
        <f aca="false">J1821*Resumo!$C$8</f>
        <v>1.11998</v>
      </c>
      <c r="P1821" s="39" t="n">
        <f aca="false">Resumo!$C$10*CEILING(I1821/100,1)</f>
        <v>1</v>
      </c>
      <c r="Q1821" s="39" t="n">
        <f aca="false">Resumo!$C$9</f>
        <v>11.9</v>
      </c>
      <c r="R1821" s="39" t="n">
        <f aca="false">SUM(M1821:Q1821)*Resumo!$C$11</f>
        <v>6.0026978</v>
      </c>
      <c r="S1821" s="39" t="n">
        <f aca="false">SUM(M1821:R1821)</f>
        <v>115.1426578</v>
      </c>
      <c r="T1821" s="39" t="n">
        <f aca="false">S1821/(1-Resumo!$C$5)</f>
        <v>130.843929318182</v>
      </c>
      <c r="U1821" s="39" t="n">
        <v>129.29</v>
      </c>
      <c r="V1821" s="39" t="n">
        <f aca="false">J1821*Resumo!$B$6</f>
        <v>0.55999</v>
      </c>
      <c r="W1821" s="39" t="n">
        <f aca="false">J1821*Resumo!$B$7</f>
        <v>1.11998</v>
      </c>
      <c r="X1821" s="39" t="n">
        <f aca="false">Resumo!$B$9</f>
        <v>1</v>
      </c>
      <c r="Y1821" s="39" t="n">
        <f aca="false">Resumo!$B$10*CEILING(I1821/100,1)</f>
        <v>4.5</v>
      </c>
      <c r="Z1821" s="39" t="n">
        <f aca="false">Resumo!$B$12*CEILING(I1821,1)</f>
        <v>2.46</v>
      </c>
      <c r="AA1821" s="39" t="n">
        <f aca="false">Resumo!$B$13*CEILING(I1821,1)</f>
        <v>18.45</v>
      </c>
      <c r="AB1821" s="39" t="n">
        <f aca="false">SUM(U1821:AA1821)</f>
        <v>157.37997</v>
      </c>
      <c r="AC1821" s="39" t="n">
        <f aca="false">AB1821/(1-Resumo!$B$5)</f>
        <v>178.840875</v>
      </c>
      <c r="AD1821" s="39" t="n">
        <f aca="false">(AB1821-AA1821)/(1-Resumo!$B$5)</f>
        <v>157.874965909091</v>
      </c>
      <c r="AE1821" s="39" t="n">
        <f aca="false">AC1821-T1821</f>
        <v>47.9969456818182</v>
      </c>
      <c r="AF1821" s="40" t="n">
        <f aca="false">AC1821/T1821-1</f>
        <v>0.366825927132629</v>
      </c>
      <c r="AG1821" s="37" t="str">
        <f aca="false">IF(AC1821&lt;T1821,"SIM","NÃO")</f>
        <v>NÃO</v>
      </c>
      <c r="AH1821" s="37" t="n">
        <v>13</v>
      </c>
      <c r="AI1821" s="37" t="n">
        <v>10</v>
      </c>
      <c r="AJ1821" s="37" t="s">
        <v>327</v>
      </c>
    </row>
    <row r="1822" customFormat="false" ht="15" hidden="false" customHeight="false" outlineLevel="0" collapsed="false">
      <c r="A1822" s="37" t="n">
        <v>394911153</v>
      </c>
      <c r="B1822" s="38" t="n">
        <v>46280.438275463</v>
      </c>
      <c r="C1822" s="37" t="s">
        <v>355</v>
      </c>
      <c r="D1822" s="37" t="s">
        <v>1974</v>
      </c>
      <c r="E1822" s="37" t="n">
        <v>24240460</v>
      </c>
      <c r="F1822" s="37" t="s">
        <v>143</v>
      </c>
      <c r="G1822" s="37" t="s">
        <v>207</v>
      </c>
      <c r="H1822" s="37" t="s">
        <v>170</v>
      </c>
      <c r="I1822" s="37" t="n">
        <v>49.6</v>
      </c>
      <c r="J1822" s="39" t="n">
        <v>799.99</v>
      </c>
      <c r="K1822" s="37" t="s">
        <v>322</v>
      </c>
      <c r="L1822" s="39" t="n">
        <v>117.91</v>
      </c>
      <c r="M1822" s="39" t="n">
        <v>82.25</v>
      </c>
      <c r="N1822" s="39" t="n">
        <f aca="false">J1822*Resumo!$C$7</f>
        <v>1.59998</v>
      </c>
      <c r="O1822" s="39" t="n">
        <f aca="false">J1822*Resumo!$C$8</f>
        <v>1.59998</v>
      </c>
      <c r="P1822" s="39" t="n">
        <f aca="false">Resumo!$C$10*CEILING(I1822/100,1)</f>
        <v>1</v>
      </c>
      <c r="Q1822" s="39" t="n">
        <f aca="false">Resumo!$C$9</f>
        <v>11.9</v>
      </c>
      <c r="R1822" s="39" t="n">
        <f aca="false">SUM(M1822:Q1822)*Resumo!$C$11</f>
        <v>5.4092478</v>
      </c>
      <c r="S1822" s="39" t="n">
        <f aca="false">SUM(M1822:R1822)</f>
        <v>103.7592078</v>
      </c>
      <c r="T1822" s="39" t="n">
        <f aca="false">S1822/(1-Resumo!$C$5)</f>
        <v>117.908190681818</v>
      </c>
      <c r="U1822" s="39" t="n">
        <v>114.95</v>
      </c>
      <c r="V1822" s="39" t="n">
        <f aca="false">J1822*Resumo!$B$6</f>
        <v>0.79999</v>
      </c>
      <c r="W1822" s="39" t="n">
        <f aca="false">J1822*Resumo!$B$7</f>
        <v>1.59998</v>
      </c>
      <c r="X1822" s="39" t="n">
        <f aca="false">Resumo!$B$9</f>
        <v>1</v>
      </c>
      <c r="Y1822" s="39" t="n">
        <f aca="false">Resumo!$B$10*CEILING(I1822/100,1)</f>
        <v>4.5</v>
      </c>
      <c r="Z1822" s="39" t="n">
        <f aca="false">Resumo!$B$12*CEILING(I1822,1)</f>
        <v>3</v>
      </c>
      <c r="AA1822" s="39" t="n">
        <f aca="false">Resumo!$B$13*CEILING(I1822,1)</f>
        <v>22.5</v>
      </c>
      <c r="AB1822" s="39" t="n">
        <f aca="false">SUM(U1822:AA1822)</f>
        <v>148.34997</v>
      </c>
      <c r="AC1822" s="39" t="n">
        <f aca="false">AB1822/(1-Resumo!$B$5)</f>
        <v>168.579511363636</v>
      </c>
      <c r="AD1822" s="39" t="n">
        <f aca="false">(AB1822-AA1822)/(1-Resumo!$B$5)</f>
        <v>143.011329545455</v>
      </c>
      <c r="AE1822" s="39" t="n">
        <f aca="false">AC1822-T1822</f>
        <v>50.6713206818182</v>
      </c>
      <c r="AF1822" s="40" t="n">
        <f aca="false">AC1822/T1822-1</f>
        <v>0.429752338567874</v>
      </c>
      <c r="AG1822" s="37" t="str">
        <f aca="false">IF(AC1822&lt;T1822,"SIM","NÃO")</f>
        <v>NÃO</v>
      </c>
      <c r="AH1822" s="37" t="n">
        <v>10</v>
      </c>
      <c r="AI1822" s="37" t="n">
        <v>7</v>
      </c>
      <c r="AJ1822" s="37" t="s">
        <v>323</v>
      </c>
    </row>
    <row r="1823" customFormat="false" ht="15" hidden="false" customHeight="false" outlineLevel="0" collapsed="false">
      <c r="A1823" s="37" t="n">
        <v>394977667</v>
      </c>
      <c r="B1823" s="38" t="n">
        <v>46280.5351041667</v>
      </c>
      <c r="C1823" s="37" t="s">
        <v>320</v>
      </c>
      <c r="D1823" s="37" t="s">
        <v>1975</v>
      </c>
      <c r="E1823" s="37" t="n">
        <v>25922144</v>
      </c>
      <c r="F1823" s="37" t="s">
        <v>156</v>
      </c>
      <c r="G1823" s="37" t="s">
        <v>201</v>
      </c>
      <c r="H1823" s="37" t="s">
        <v>170</v>
      </c>
      <c r="I1823" s="37" t="n">
        <v>46.8</v>
      </c>
      <c r="J1823" s="39" t="n">
        <v>492.2</v>
      </c>
      <c r="K1823" s="37" t="s">
        <v>322</v>
      </c>
      <c r="L1823" s="39" t="n">
        <v>130.51</v>
      </c>
      <c r="M1823" s="39" t="n">
        <v>94</v>
      </c>
      <c r="N1823" s="39" t="n">
        <f aca="false">J1823*Resumo!$C$7</f>
        <v>0.9844</v>
      </c>
      <c r="O1823" s="39" t="n">
        <f aca="false">J1823*Resumo!$C$8</f>
        <v>0.9844</v>
      </c>
      <c r="P1823" s="39" t="n">
        <f aca="false">Resumo!$C$10*CEILING(I1823/100,1)</f>
        <v>1</v>
      </c>
      <c r="Q1823" s="39" t="n">
        <f aca="false">Resumo!$C$9</f>
        <v>11.9</v>
      </c>
      <c r="R1823" s="39" t="n">
        <f aca="false">SUM(M1823:Q1823)*Resumo!$C$11</f>
        <v>5.987784</v>
      </c>
      <c r="S1823" s="39" t="n">
        <f aca="false">SUM(M1823:R1823)</f>
        <v>114.856584</v>
      </c>
      <c r="T1823" s="39" t="n">
        <f aca="false">S1823/(1-Resumo!$C$5)</f>
        <v>130.518845454545</v>
      </c>
      <c r="U1823" s="39" t="n">
        <v>117.23</v>
      </c>
      <c r="V1823" s="39" t="n">
        <f aca="false">J1823*Resumo!$B$6</f>
        <v>0.4922</v>
      </c>
      <c r="W1823" s="39" t="n">
        <f aca="false">J1823*Resumo!$B$7</f>
        <v>0.9844</v>
      </c>
      <c r="X1823" s="39" t="n">
        <f aca="false">Resumo!$B$9</f>
        <v>1</v>
      </c>
      <c r="Y1823" s="39" t="n">
        <f aca="false">Resumo!$B$10*CEILING(I1823/100,1)</f>
        <v>4.5</v>
      </c>
      <c r="Z1823" s="39" t="n">
        <f aca="false">Resumo!$B$12*CEILING(I1823,1)</f>
        <v>2.82</v>
      </c>
      <c r="AA1823" s="39" t="n">
        <f aca="false">Resumo!$B$13*CEILING(I1823,1)</f>
        <v>21.15</v>
      </c>
      <c r="AB1823" s="39" t="n">
        <f aca="false">SUM(U1823:AA1823)</f>
        <v>148.1766</v>
      </c>
      <c r="AC1823" s="39" t="n">
        <f aca="false">AB1823/(1-Resumo!$B$5)</f>
        <v>168.3825</v>
      </c>
      <c r="AD1823" s="39" t="n">
        <f aca="false">(AB1823-AA1823)/(1-Resumo!$B$5)</f>
        <v>144.348409090909</v>
      </c>
      <c r="AE1823" s="39" t="n">
        <f aca="false">AC1823-T1823</f>
        <v>37.8636545454546</v>
      </c>
      <c r="AF1823" s="40" t="n">
        <f aca="false">AC1823/T1823-1</f>
        <v>0.290101053327513</v>
      </c>
      <c r="AG1823" s="37" t="str">
        <f aca="false">IF(AC1823&lt;T1823,"SIM","NÃO")</f>
        <v>NÃO</v>
      </c>
      <c r="AH1823" s="37" t="n">
        <v>13</v>
      </c>
      <c r="AI1823" s="37" t="n">
        <v>6</v>
      </c>
      <c r="AJ1823" s="37" t="s">
        <v>323</v>
      </c>
    </row>
    <row r="1824" customFormat="false" ht="15" hidden="false" customHeight="false" outlineLevel="0" collapsed="false">
      <c r="A1824" s="37" t="n">
        <v>395253310</v>
      </c>
      <c r="B1824" s="38" t="n">
        <v>46280.5671643519</v>
      </c>
      <c r="C1824" s="37" t="s">
        <v>320</v>
      </c>
      <c r="D1824" s="37" t="s">
        <v>1646</v>
      </c>
      <c r="E1824" s="37" t="n">
        <v>28220000</v>
      </c>
      <c r="F1824" s="37" t="s">
        <v>245</v>
      </c>
      <c r="G1824" s="37" t="s">
        <v>201</v>
      </c>
      <c r="H1824" s="37" t="s">
        <v>171</v>
      </c>
      <c r="I1824" s="37" t="n">
        <v>51.3</v>
      </c>
      <c r="J1824" s="39" t="n">
        <v>573.13</v>
      </c>
      <c r="K1824" s="37" t="s">
        <v>322</v>
      </c>
      <c r="L1824" s="39" t="n">
        <v>142.42</v>
      </c>
      <c r="M1824" s="39" t="n">
        <v>103.6</v>
      </c>
      <c r="N1824" s="39" t="n">
        <f aca="false">J1824*Resumo!$C$7</f>
        <v>1.14626</v>
      </c>
      <c r="O1824" s="39" t="n">
        <f aca="false">J1824*Resumo!$C$8</f>
        <v>1.14626</v>
      </c>
      <c r="P1824" s="39" t="n">
        <f aca="false">Resumo!$C$10*CEILING(I1824/100,1)</f>
        <v>1</v>
      </c>
      <c r="Q1824" s="39" t="n">
        <f aca="false">Resumo!$C$9</f>
        <v>11.9</v>
      </c>
      <c r="R1824" s="39" t="n">
        <f aca="false">SUM(M1824:Q1824)*Resumo!$C$11</f>
        <v>6.5335886</v>
      </c>
      <c r="S1824" s="39" t="n">
        <f aca="false">SUM(M1824:R1824)</f>
        <v>125.3261086</v>
      </c>
      <c r="T1824" s="39" t="n">
        <f aca="false">S1824/(1-Resumo!$C$5)</f>
        <v>142.4160325</v>
      </c>
      <c r="U1824" s="39" t="n">
        <v>162.04</v>
      </c>
      <c r="V1824" s="39" t="n">
        <f aca="false">J1824*Resumo!$B$6</f>
        <v>0.57313</v>
      </c>
      <c r="W1824" s="39" t="n">
        <f aca="false">J1824*Resumo!$B$7</f>
        <v>1.14626</v>
      </c>
      <c r="X1824" s="39" t="n">
        <f aca="false">Resumo!$B$9</f>
        <v>1</v>
      </c>
      <c r="Y1824" s="39" t="n">
        <f aca="false">Resumo!$B$10*CEILING(I1824/100,1)</f>
        <v>4.5</v>
      </c>
      <c r="Z1824" s="39" t="n">
        <f aca="false">Resumo!$B$12*CEILING(I1824,1)</f>
        <v>3.12</v>
      </c>
      <c r="AA1824" s="39" t="n">
        <f aca="false">Resumo!$B$13*CEILING(I1824,1)</f>
        <v>23.4</v>
      </c>
      <c r="AB1824" s="39" t="n">
        <f aca="false">SUM(U1824:AA1824)</f>
        <v>195.77939</v>
      </c>
      <c r="AC1824" s="39" t="n">
        <f aca="false">AB1824/(1-Resumo!$B$5)</f>
        <v>222.476579545455</v>
      </c>
      <c r="AD1824" s="39" t="n">
        <f aca="false">(AB1824-AA1824)/(1-Resumo!$B$5)</f>
        <v>195.885670454545</v>
      </c>
      <c r="AE1824" s="39" t="n">
        <f aca="false">AC1824-T1824</f>
        <v>80.0605470454545</v>
      </c>
      <c r="AF1824" s="40" t="n">
        <f aca="false">AC1824/T1824-1</f>
        <v>0.562159650427381</v>
      </c>
      <c r="AG1824" s="37" t="str">
        <f aca="false">IF(AC1824&lt;T1824,"SIM","NÃO")</f>
        <v>NÃO</v>
      </c>
      <c r="AH1824" s="37" t="n">
        <v>13</v>
      </c>
      <c r="AI1824" s="37" t="n">
        <v>11</v>
      </c>
      <c r="AJ1824" s="37" t="s">
        <v>327</v>
      </c>
    </row>
    <row r="1825" customFormat="false" ht="15" hidden="false" customHeight="false" outlineLevel="0" collapsed="false">
      <c r="A1825" s="37" t="n">
        <v>395094981</v>
      </c>
      <c r="B1825" s="38" t="n">
        <v>46280.6261342593</v>
      </c>
      <c r="C1825" s="37" t="s">
        <v>341</v>
      </c>
      <c r="D1825" s="37" t="s">
        <v>1976</v>
      </c>
      <c r="E1825" s="37" t="n">
        <v>23595250</v>
      </c>
      <c r="F1825" s="37" t="s">
        <v>139</v>
      </c>
      <c r="G1825" s="37" t="s">
        <v>198</v>
      </c>
      <c r="H1825" s="37" t="s">
        <v>169</v>
      </c>
      <c r="I1825" s="37" t="n">
        <v>39</v>
      </c>
      <c r="J1825" s="39" t="n">
        <v>549.99</v>
      </c>
      <c r="K1825" s="37" t="s">
        <v>322</v>
      </c>
      <c r="L1825" s="39" t="n">
        <v>92.49</v>
      </c>
      <c r="M1825" s="39" t="n">
        <v>62.05</v>
      </c>
      <c r="N1825" s="39" t="n">
        <f aca="false">J1825*Resumo!$C$7</f>
        <v>1.09998</v>
      </c>
      <c r="O1825" s="39" t="n">
        <f aca="false">J1825*Resumo!$C$8</f>
        <v>1.09998</v>
      </c>
      <c r="P1825" s="39" t="n">
        <f aca="false">Resumo!$C$10*CEILING(I1825/100,1)</f>
        <v>1</v>
      </c>
      <c r="Q1825" s="39" t="n">
        <f aca="false">Resumo!$C$9</f>
        <v>11.9</v>
      </c>
      <c r="R1825" s="39" t="n">
        <f aca="false">SUM(M1825:Q1825)*Resumo!$C$11</f>
        <v>4.2432478</v>
      </c>
      <c r="S1825" s="39" t="n">
        <f aca="false">SUM(M1825:R1825)</f>
        <v>81.3932078</v>
      </c>
      <c r="T1825" s="39" t="n">
        <f aca="false">S1825/(1-Resumo!$C$5)</f>
        <v>92.4922815909091</v>
      </c>
      <c r="U1825" s="39" t="n">
        <v>93.97</v>
      </c>
      <c r="V1825" s="39" t="n">
        <f aca="false">J1825*Resumo!$B$6</f>
        <v>0.54999</v>
      </c>
      <c r="W1825" s="39" t="n">
        <f aca="false">J1825*Resumo!$B$7</f>
        <v>1.09998</v>
      </c>
      <c r="X1825" s="39" t="n">
        <f aca="false">Resumo!$B$9</f>
        <v>1</v>
      </c>
      <c r="Y1825" s="39" t="n">
        <f aca="false">Resumo!$B$10*CEILING(I1825/100,1)</f>
        <v>4.5</v>
      </c>
      <c r="Z1825" s="39" t="n">
        <f aca="false">Resumo!$B$12*CEILING(I1825,1)</f>
        <v>2.34</v>
      </c>
      <c r="AA1825" s="39" t="n">
        <f aca="false">Resumo!$B$13*CEILING(I1825,1)</f>
        <v>17.55</v>
      </c>
      <c r="AB1825" s="39" t="n">
        <f aca="false">SUM(U1825:AA1825)</f>
        <v>121.00997</v>
      </c>
      <c r="AC1825" s="39" t="n">
        <f aca="false">AB1825/(1-Resumo!$B$5)</f>
        <v>137.511329545455</v>
      </c>
      <c r="AD1825" s="39" t="n">
        <f aca="false">(AB1825-AA1825)/(1-Resumo!$B$5)</f>
        <v>117.568147727273</v>
      </c>
      <c r="AE1825" s="39" t="n">
        <f aca="false">AC1825-T1825</f>
        <v>45.0190479545455</v>
      </c>
      <c r="AF1825" s="40" t="n">
        <f aca="false">AC1825/T1825-1</f>
        <v>0.4867330244232</v>
      </c>
      <c r="AG1825" s="37" t="str">
        <f aca="false">IF(AC1825&lt;T1825,"SIM","NÃO")</f>
        <v>NÃO</v>
      </c>
      <c r="AH1825" s="37" t="n">
        <v>8</v>
      </c>
      <c r="AI1825" s="37" t="n">
        <v>5</v>
      </c>
      <c r="AJ1825" s="37" t="s">
        <v>323</v>
      </c>
    </row>
    <row r="1826" customFormat="false" ht="15" hidden="false" customHeight="false" outlineLevel="0" collapsed="false">
      <c r="A1826" s="37" t="n">
        <v>395053088</v>
      </c>
      <c r="B1826" s="38" t="n">
        <v>46280.6681018519</v>
      </c>
      <c r="C1826" s="37" t="s">
        <v>320</v>
      </c>
      <c r="D1826" s="37" t="s">
        <v>1977</v>
      </c>
      <c r="E1826" s="37" t="n">
        <v>22773200</v>
      </c>
      <c r="F1826" s="37" t="s">
        <v>139</v>
      </c>
      <c r="G1826" s="37" t="s">
        <v>198</v>
      </c>
      <c r="H1826" s="37" t="s">
        <v>169</v>
      </c>
      <c r="I1826" s="37" t="n">
        <v>37.5</v>
      </c>
      <c r="J1826" s="39" t="n">
        <v>399.99</v>
      </c>
      <c r="K1826" s="37" t="s">
        <v>322</v>
      </c>
      <c r="L1826" s="39" t="n">
        <v>91.77</v>
      </c>
      <c r="M1826" s="39" t="n">
        <v>62.05</v>
      </c>
      <c r="N1826" s="39" t="n">
        <f aca="false">J1826*Resumo!$C$7</f>
        <v>0.79998</v>
      </c>
      <c r="O1826" s="39" t="n">
        <f aca="false">J1826*Resumo!$C$8</f>
        <v>0.79998</v>
      </c>
      <c r="P1826" s="39" t="n">
        <f aca="false">Resumo!$C$10*CEILING(I1826/100,1)</f>
        <v>1</v>
      </c>
      <c r="Q1826" s="39" t="n">
        <f aca="false">Resumo!$C$9</f>
        <v>11.9</v>
      </c>
      <c r="R1826" s="39" t="n">
        <f aca="false">SUM(M1826:Q1826)*Resumo!$C$11</f>
        <v>4.2102478</v>
      </c>
      <c r="S1826" s="39" t="n">
        <f aca="false">SUM(M1826:R1826)</f>
        <v>80.7602078</v>
      </c>
      <c r="T1826" s="39" t="n">
        <f aca="false">S1826/(1-Resumo!$C$5)</f>
        <v>91.7729634090909</v>
      </c>
      <c r="U1826" s="39" t="n">
        <v>93.97</v>
      </c>
      <c r="V1826" s="39" t="n">
        <f aca="false">J1826*Resumo!$B$6</f>
        <v>0.39999</v>
      </c>
      <c r="W1826" s="39" t="n">
        <f aca="false">J1826*Resumo!$B$7</f>
        <v>0.79998</v>
      </c>
      <c r="X1826" s="39" t="n">
        <f aca="false">Resumo!$B$9</f>
        <v>1</v>
      </c>
      <c r="Y1826" s="39" t="n">
        <f aca="false">Resumo!$B$10*CEILING(I1826/100,1)</f>
        <v>4.5</v>
      </c>
      <c r="Z1826" s="39" t="n">
        <f aca="false">Resumo!$B$12*CEILING(I1826,1)</f>
        <v>2.28</v>
      </c>
      <c r="AA1826" s="39" t="n">
        <f aca="false">Resumo!$B$13*CEILING(I1826,1)</f>
        <v>17.1</v>
      </c>
      <c r="AB1826" s="39" t="n">
        <f aca="false">SUM(U1826:AA1826)</f>
        <v>120.04997</v>
      </c>
      <c r="AC1826" s="39" t="n">
        <f aca="false">AB1826/(1-Resumo!$B$5)</f>
        <v>136.420420454545</v>
      </c>
      <c r="AD1826" s="39" t="n">
        <f aca="false">(AB1826-AA1826)/(1-Resumo!$B$5)</f>
        <v>116.988602272727</v>
      </c>
      <c r="AE1826" s="39" t="n">
        <f aca="false">AC1826-T1826</f>
        <v>44.6474570454545</v>
      </c>
      <c r="AF1826" s="40" t="n">
        <f aca="false">AC1826/T1826-1</f>
        <v>0.486499023099344</v>
      </c>
      <c r="AG1826" s="37" t="str">
        <f aca="false">IF(AC1826&lt;T1826,"SIM","NÃO")</f>
        <v>NÃO</v>
      </c>
      <c r="AH1826" s="37" t="n">
        <v>8</v>
      </c>
      <c r="AI1826" s="37" t="n">
        <v>5</v>
      </c>
      <c r="AJ1826" s="37" t="s">
        <v>323</v>
      </c>
    </row>
    <row r="1827" customFormat="false" ht="15" hidden="false" customHeight="false" outlineLevel="0" collapsed="false">
      <c r="A1827" s="37" t="n">
        <v>395074645</v>
      </c>
      <c r="B1827" s="38" t="n">
        <v>46280.7078009259</v>
      </c>
      <c r="C1827" s="37" t="s">
        <v>320</v>
      </c>
      <c r="D1827" s="37" t="s">
        <v>1978</v>
      </c>
      <c r="E1827" s="37" t="n">
        <v>22790701</v>
      </c>
      <c r="F1827" s="37" t="s">
        <v>139</v>
      </c>
      <c r="G1827" s="37" t="s">
        <v>198</v>
      </c>
      <c r="H1827" s="37" t="s">
        <v>167</v>
      </c>
      <c r="I1827" s="37" t="n">
        <v>15.05</v>
      </c>
      <c r="J1827" s="39" t="n">
        <v>239.99</v>
      </c>
      <c r="K1827" s="37" t="s">
        <v>322</v>
      </c>
      <c r="L1827" s="39" t="n">
        <v>64.36</v>
      </c>
      <c r="M1827" s="39" t="n">
        <v>39.83</v>
      </c>
      <c r="N1827" s="39" t="n">
        <f aca="false">J1827*Resumo!$C$7</f>
        <v>0.47998</v>
      </c>
      <c r="O1827" s="39" t="n">
        <f aca="false">J1827*Resumo!$C$8</f>
        <v>0.47998</v>
      </c>
      <c r="P1827" s="39" t="n">
        <f aca="false">Resumo!$C$10*CEILING(I1827/100,1)</f>
        <v>1</v>
      </c>
      <c r="Q1827" s="39" t="n">
        <f aca="false">Resumo!$C$9</f>
        <v>11.9</v>
      </c>
      <c r="R1827" s="39" t="n">
        <f aca="false">SUM(M1827:Q1827)*Resumo!$C$11</f>
        <v>2.9529478</v>
      </c>
      <c r="S1827" s="39" t="n">
        <f aca="false">SUM(M1827:R1827)</f>
        <v>56.6429078</v>
      </c>
      <c r="T1827" s="39" t="n">
        <f aca="false">S1827/(1-Resumo!$C$5)</f>
        <v>64.3669406818182</v>
      </c>
      <c r="U1827" s="39" t="n">
        <v>46.98</v>
      </c>
      <c r="V1827" s="39" t="n">
        <f aca="false">J1827*Resumo!$B$6</f>
        <v>0.23999</v>
      </c>
      <c r="W1827" s="39" t="n">
        <f aca="false">J1827*Resumo!$B$7</f>
        <v>0.47998</v>
      </c>
      <c r="X1827" s="39" t="n">
        <f aca="false">Resumo!$B$9</f>
        <v>1</v>
      </c>
      <c r="Y1827" s="39" t="n">
        <f aca="false">Resumo!$B$10*CEILING(I1827/100,1)</f>
        <v>4.5</v>
      </c>
      <c r="Z1827" s="39" t="n">
        <f aca="false">Resumo!$B$12*CEILING(I1827,1)</f>
        <v>0.96</v>
      </c>
      <c r="AA1827" s="39" t="n">
        <f aca="false">Resumo!$B$13*CEILING(I1827,1)</f>
        <v>7.2</v>
      </c>
      <c r="AB1827" s="39" t="n">
        <f aca="false">SUM(U1827:AA1827)</f>
        <v>61.35997</v>
      </c>
      <c r="AC1827" s="39" t="n">
        <f aca="false">AB1827/(1-Resumo!$B$5)</f>
        <v>69.7272386363636</v>
      </c>
      <c r="AD1827" s="39" t="n">
        <f aca="false">(AB1827-AA1827)/(1-Resumo!$B$5)</f>
        <v>61.5454204545455</v>
      </c>
      <c r="AE1827" s="39" t="n">
        <f aca="false">AC1827-T1827</f>
        <v>5.36029795454546</v>
      </c>
      <c r="AF1827" s="40" t="n">
        <f aca="false">AC1827/T1827-1</f>
        <v>0.0832771900880414</v>
      </c>
      <c r="AG1827" s="37" t="str">
        <f aca="false">IF(AC1827&lt;T1827,"SIM","NÃO")</f>
        <v>NÃO</v>
      </c>
      <c r="AH1827" s="37" t="n">
        <v>8</v>
      </c>
      <c r="AI1827" s="37" t="n">
        <v>5</v>
      </c>
      <c r="AJ1827" s="37" t="s">
        <v>323</v>
      </c>
    </row>
    <row r="1828" customFormat="false" ht="15" hidden="false" customHeight="false" outlineLevel="0" collapsed="false">
      <c r="A1828" s="37" t="n">
        <v>395091478</v>
      </c>
      <c r="B1828" s="38" t="n">
        <v>46280.7393055556</v>
      </c>
      <c r="C1828" s="37" t="s">
        <v>320</v>
      </c>
      <c r="D1828" s="37" t="s">
        <v>706</v>
      </c>
      <c r="E1828" s="37" t="n">
        <v>22753005</v>
      </c>
      <c r="F1828" s="37" t="s">
        <v>139</v>
      </c>
      <c r="G1828" s="37" t="s">
        <v>198</v>
      </c>
      <c r="H1828" s="37" t="s">
        <v>171</v>
      </c>
      <c r="I1828" s="37" t="n">
        <v>60</v>
      </c>
      <c r="J1828" s="39" t="n">
        <v>823.09</v>
      </c>
      <c r="K1828" s="37" t="s">
        <v>322</v>
      </c>
      <c r="L1828" s="39" t="n">
        <v>115.1</v>
      </c>
      <c r="M1828" s="39" t="n">
        <v>79.81</v>
      </c>
      <c r="N1828" s="39" t="n">
        <f aca="false">J1828*Resumo!$C$7</f>
        <v>1.64618</v>
      </c>
      <c r="O1828" s="39" t="n">
        <f aca="false">J1828*Resumo!$C$8</f>
        <v>1.64618</v>
      </c>
      <c r="P1828" s="39" t="n">
        <f aca="false">Resumo!$C$10*CEILING(I1828/100,1)</f>
        <v>1</v>
      </c>
      <c r="Q1828" s="39" t="n">
        <f aca="false">Resumo!$C$9</f>
        <v>11.9</v>
      </c>
      <c r="R1828" s="39" t="n">
        <f aca="false">SUM(M1828:Q1828)*Resumo!$C$11</f>
        <v>5.2801298</v>
      </c>
      <c r="S1828" s="39" t="n">
        <f aca="false">SUM(M1828:R1828)</f>
        <v>101.2824898</v>
      </c>
      <c r="T1828" s="39" t="n">
        <f aca="false">S1828/(1-Resumo!$C$5)</f>
        <v>115.093738409091</v>
      </c>
      <c r="U1828" s="39" t="n">
        <v>112.3</v>
      </c>
      <c r="V1828" s="39" t="n">
        <f aca="false">J1828*Resumo!$B$6</f>
        <v>0.82309</v>
      </c>
      <c r="W1828" s="39" t="n">
        <f aca="false">J1828*Resumo!$B$7</f>
        <v>1.64618</v>
      </c>
      <c r="X1828" s="39" t="n">
        <f aca="false">Resumo!$B$9</f>
        <v>1</v>
      </c>
      <c r="Y1828" s="39" t="n">
        <f aca="false">Resumo!$B$10*CEILING(I1828/100,1)</f>
        <v>4.5</v>
      </c>
      <c r="Z1828" s="39" t="n">
        <f aca="false">Resumo!$B$12*CEILING(I1828,1)</f>
        <v>3.6</v>
      </c>
      <c r="AA1828" s="39" t="n">
        <f aca="false">Resumo!$B$13*CEILING(I1828,1)</f>
        <v>27</v>
      </c>
      <c r="AB1828" s="39" t="n">
        <f aca="false">SUM(U1828:AA1828)</f>
        <v>150.86927</v>
      </c>
      <c r="AC1828" s="39" t="n">
        <f aca="false">AB1828/(1-Resumo!$B$5)</f>
        <v>171.442352272727</v>
      </c>
      <c r="AD1828" s="39" t="n">
        <f aca="false">(AB1828-AA1828)/(1-Resumo!$B$5)</f>
        <v>140.760534090909</v>
      </c>
      <c r="AE1828" s="39" t="n">
        <f aca="false">AC1828-T1828</f>
        <v>56.3486138636364</v>
      </c>
      <c r="AF1828" s="40" t="n">
        <f aca="false">AC1828/T1828-1</f>
        <v>0.48958887462105</v>
      </c>
      <c r="AG1828" s="37" t="str">
        <f aca="false">IF(AC1828&lt;T1828,"SIM","NÃO")</f>
        <v>NÃO</v>
      </c>
      <c r="AH1828" s="37" t="n">
        <v>8</v>
      </c>
      <c r="AI1828" s="37" t="n">
        <v>5</v>
      </c>
      <c r="AJ1828" s="37" t="s">
        <v>323</v>
      </c>
    </row>
    <row r="1829" customFormat="false" ht="15" hidden="false" customHeight="false" outlineLevel="0" collapsed="false">
      <c r="A1829" s="37" t="n">
        <v>395124390</v>
      </c>
      <c r="B1829" s="38" t="n">
        <v>46280.7992592593</v>
      </c>
      <c r="C1829" s="37" t="s">
        <v>320</v>
      </c>
      <c r="D1829" s="37" t="s">
        <v>1979</v>
      </c>
      <c r="E1829" s="37" t="n">
        <v>23575000</v>
      </c>
      <c r="F1829" s="37" t="s">
        <v>139</v>
      </c>
      <c r="G1829" s="37" t="s">
        <v>198</v>
      </c>
      <c r="H1829" s="37" t="s">
        <v>167</v>
      </c>
      <c r="I1829" s="37" t="n">
        <v>19.9</v>
      </c>
      <c r="J1829" s="39" t="n">
        <v>299.99</v>
      </c>
      <c r="K1829" s="37" t="s">
        <v>365</v>
      </c>
      <c r="L1829" s="39" t="n">
        <v>69.47</v>
      </c>
      <c r="M1829" s="39" t="n">
        <v>39.83</v>
      </c>
      <c r="N1829" s="39" t="n">
        <f aca="false">J1829*Resumo!$C$7</f>
        <v>0.59998</v>
      </c>
      <c r="O1829" s="39" t="n">
        <f aca="false">J1829*Resumo!$C$8</f>
        <v>0.59998</v>
      </c>
      <c r="P1829" s="39" t="n">
        <f aca="false">Resumo!$C$10*CEILING(I1829/100,1)</f>
        <v>1</v>
      </c>
      <c r="Q1829" s="39" t="n">
        <f aca="false">Resumo!$C$9</f>
        <v>11.9</v>
      </c>
      <c r="R1829" s="39" t="n">
        <f aca="false">SUM(M1829:Q1829)*Resumo!$C$11</f>
        <v>2.9661478</v>
      </c>
      <c r="S1829" s="39" t="n">
        <f aca="false">SUM(M1829:R1829)</f>
        <v>56.8961078</v>
      </c>
      <c r="T1829" s="39" t="n">
        <f aca="false">S1829/(1-Resumo!$C$5)</f>
        <v>64.6546679545455</v>
      </c>
      <c r="U1829" s="39" t="n">
        <v>46.98</v>
      </c>
      <c r="V1829" s="39" t="n">
        <f aca="false">J1829*Resumo!$B$6</f>
        <v>0.29999</v>
      </c>
      <c r="W1829" s="39" t="n">
        <f aca="false">J1829*Resumo!$B$7</f>
        <v>0.59998</v>
      </c>
      <c r="X1829" s="39" t="n">
        <f aca="false">Resumo!$B$9</f>
        <v>1</v>
      </c>
      <c r="Y1829" s="39" t="n">
        <f aca="false">Resumo!$B$10*CEILING(I1829/100,1)</f>
        <v>4.5</v>
      </c>
      <c r="Z1829" s="39" t="n">
        <f aca="false">Resumo!$B$12*CEILING(I1829,1)</f>
        <v>1.2</v>
      </c>
      <c r="AA1829" s="39" t="n">
        <f aca="false">Resumo!$B$13*CEILING(I1829,1)</f>
        <v>9</v>
      </c>
      <c r="AB1829" s="39" t="n">
        <f aca="false">SUM(U1829:AA1829)</f>
        <v>63.57997</v>
      </c>
      <c r="AC1829" s="39" t="n">
        <f aca="false">AB1829/(1-Resumo!$B$5)</f>
        <v>72.2499659090909</v>
      </c>
      <c r="AD1829" s="39" t="n">
        <f aca="false">(AB1829-AA1829)/(1-Resumo!$B$5)</f>
        <v>62.0226931818182</v>
      </c>
      <c r="AE1829" s="39" t="n">
        <f aca="false">AC1829-T1829</f>
        <v>7.59529795454544</v>
      </c>
      <c r="AF1829" s="40" t="n">
        <f aca="false">AC1829/T1829-1</f>
        <v>0.117474858271412</v>
      </c>
      <c r="AG1829" s="37" t="str">
        <f aca="false">IF(AC1829&lt;T1829,"SIM","NÃO")</f>
        <v>NÃO</v>
      </c>
      <c r="AH1829" s="37" t="n">
        <v>8</v>
      </c>
      <c r="AI1829" s="37" t="n">
        <v>5</v>
      </c>
      <c r="AJ1829" s="37" t="s">
        <v>323</v>
      </c>
    </row>
    <row r="1830" customFormat="false" ht="15" hidden="false" customHeight="false" outlineLevel="0" collapsed="false">
      <c r="A1830" s="37" t="n">
        <v>395281913</v>
      </c>
      <c r="B1830" s="38" t="n">
        <v>46280.819525463</v>
      </c>
      <c r="C1830" s="37" t="s">
        <v>325</v>
      </c>
      <c r="D1830" s="37" t="s">
        <v>1980</v>
      </c>
      <c r="E1830" s="37" t="n">
        <v>25959195</v>
      </c>
      <c r="F1830" s="37" t="s">
        <v>221</v>
      </c>
      <c r="G1830" s="37" t="s">
        <v>201</v>
      </c>
      <c r="H1830" s="37" t="s">
        <v>172</v>
      </c>
      <c r="I1830" s="37" t="n">
        <v>67.3</v>
      </c>
      <c r="J1830" s="39" t="n">
        <v>716</v>
      </c>
      <c r="K1830" s="37" t="s">
        <v>322</v>
      </c>
      <c r="L1830" s="39" t="n">
        <v>155.44</v>
      </c>
      <c r="M1830" s="39" t="n">
        <v>113.9</v>
      </c>
      <c r="N1830" s="39" t="n">
        <f aca="false">J1830*Resumo!$C$7</f>
        <v>1.432</v>
      </c>
      <c r="O1830" s="39" t="n">
        <f aca="false">J1830*Resumo!$C$8</f>
        <v>1.432</v>
      </c>
      <c r="P1830" s="39" t="n">
        <f aca="false">Resumo!$C$10*CEILING(I1830/100,1)</f>
        <v>1</v>
      </c>
      <c r="Q1830" s="39" t="n">
        <f aca="false">Resumo!$C$9</f>
        <v>11.9</v>
      </c>
      <c r="R1830" s="39" t="n">
        <f aca="false">SUM(M1830:Q1830)*Resumo!$C$11</f>
        <v>7.13152</v>
      </c>
      <c r="S1830" s="39" t="n">
        <f aca="false">SUM(M1830:R1830)</f>
        <v>136.79552</v>
      </c>
      <c r="T1830" s="39" t="n">
        <f aca="false">S1830/(1-Resumo!$C$5)</f>
        <v>155.449454545455</v>
      </c>
      <c r="U1830" s="39" t="n">
        <v>166.05</v>
      </c>
      <c r="V1830" s="39" t="n">
        <f aca="false">J1830*Resumo!$B$6</f>
        <v>0.716</v>
      </c>
      <c r="W1830" s="39" t="n">
        <f aca="false">J1830*Resumo!$B$7</f>
        <v>1.432</v>
      </c>
      <c r="X1830" s="39" t="n">
        <f aca="false">Resumo!$B$9</f>
        <v>1</v>
      </c>
      <c r="Y1830" s="39" t="n">
        <f aca="false">Resumo!$B$10*CEILING(I1830/100,1)</f>
        <v>4.5</v>
      </c>
      <c r="Z1830" s="39" t="n">
        <f aca="false">Resumo!$B$12*CEILING(I1830,1)</f>
        <v>4.08</v>
      </c>
      <c r="AA1830" s="39" t="n">
        <f aca="false">Resumo!$B$13*CEILING(I1830,1)</f>
        <v>30.6</v>
      </c>
      <c r="AB1830" s="39" t="n">
        <f aca="false">SUM(U1830:AA1830)</f>
        <v>208.378</v>
      </c>
      <c r="AC1830" s="39" t="n">
        <f aca="false">AB1830/(1-Resumo!$B$5)</f>
        <v>236.793181818182</v>
      </c>
      <c r="AD1830" s="39" t="n">
        <f aca="false">(AB1830-AA1830)/(1-Resumo!$B$5)</f>
        <v>202.020454545455</v>
      </c>
      <c r="AE1830" s="39" t="n">
        <f aca="false">AC1830-T1830</f>
        <v>81.3437272727273</v>
      </c>
      <c r="AF1830" s="40" t="n">
        <f aca="false">AC1830/T1830-1</f>
        <v>0.523280879373828</v>
      </c>
      <c r="AG1830" s="37" t="str">
        <f aca="false">IF(AC1830&lt;T1830,"SIM","NÃO")</f>
        <v>NÃO</v>
      </c>
      <c r="AH1830" s="37" t="n">
        <v>13</v>
      </c>
      <c r="AI1830" s="37" t="n">
        <v>10</v>
      </c>
      <c r="AJ1830" s="37" t="s">
        <v>327</v>
      </c>
    </row>
    <row r="1831" customFormat="false" ht="15" hidden="false" customHeight="false" outlineLevel="0" collapsed="false">
      <c r="A1831" s="37" t="n">
        <v>395136429</v>
      </c>
      <c r="B1831" s="38" t="n">
        <v>46280.820462963</v>
      </c>
      <c r="C1831" s="37" t="s">
        <v>325</v>
      </c>
      <c r="D1831" s="37" t="s">
        <v>1981</v>
      </c>
      <c r="E1831" s="37" t="n">
        <v>21351080</v>
      </c>
      <c r="F1831" s="37" t="s">
        <v>139</v>
      </c>
      <c r="G1831" s="37" t="s">
        <v>198</v>
      </c>
      <c r="H1831" s="37" t="s">
        <v>168</v>
      </c>
      <c r="I1831" s="37" t="n">
        <v>27.5</v>
      </c>
      <c r="J1831" s="39" t="n">
        <v>359.95</v>
      </c>
      <c r="K1831" s="37" t="s">
        <v>322</v>
      </c>
      <c r="L1831" s="39" t="n">
        <v>82.05</v>
      </c>
      <c r="M1831" s="39" t="n">
        <v>54.1</v>
      </c>
      <c r="N1831" s="39" t="n">
        <f aca="false">J1831*Resumo!$C$7</f>
        <v>0.7199</v>
      </c>
      <c r="O1831" s="39" t="n">
        <f aca="false">J1831*Resumo!$C$8</f>
        <v>0.7199</v>
      </c>
      <c r="P1831" s="39" t="n">
        <f aca="false">Resumo!$C$10*CEILING(I1831/100,1)</f>
        <v>1</v>
      </c>
      <c r="Q1831" s="39" t="n">
        <f aca="false">Resumo!$C$9</f>
        <v>11.9</v>
      </c>
      <c r="R1831" s="39" t="n">
        <f aca="false">SUM(M1831:Q1831)*Resumo!$C$11</f>
        <v>3.764189</v>
      </c>
      <c r="S1831" s="39" t="n">
        <f aca="false">SUM(M1831:R1831)</f>
        <v>72.203989</v>
      </c>
      <c r="T1831" s="39" t="n">
        <f aca="false">S1831/(1-Resumo!$C$5)</f>
        <v>82.0499875</v>
      </c>
      <c r="U1831" s="39" t="n">
        <v>82.21</v>
      </c>
      <c r="V1831" s="39" t="n">
        <f aca="false">J1831*Resumo!$B$6</f>
        <v>0.35995</v>
      </c>
      <c r="W1831" s="39" t="n">
        <f aca="false">J1831*Resumo!$B$7</f>
        <v>0.7199</v>
      </c>
      <c r="X1831" s="39" t="n">
        <f aca="false">Resumo!$B$9</f>
        <v>1</v>
      </c>
      <c r="Y1831" s="39" t="n">
        <f aca="false">Resumo!$B$10*CEILING(I1831/100,1)</f>
        <v>4.5</v>
      </c>
      <c r="Z1831" s="39" t="n">
        <f aca="false">Resumo!$B$12*CEILING(I1831,1)</f>
        <v>1.68</v>
      </c>
      <c r="AA1831" s="39" t="n">
        <f aca="false">Resumo!$B$13*CEILING(I1831,1)</f>
        <v>12.6</v>
      </c>
      <c r="AB1831" s="39" t="n">
        <f aca="false">SUM(U1831:AA1831)</f>
        <v>103.06985</v>
      </c>
      <c r="AC1831" s="39" t="n">
        <f aca="false">AB1831/(1-Resumo!$B$5)</f>
        <v>117.124829545455</v>
      </c>
      <c r="AD1831" s="39" t="n">
        <f aca="false">(AB1831-AA1831)/(1-Resumo!$B$5)</f>
        <v>102.806647727273</v>
      </c>
      <c r="AE1831" s="39" t="n">
        <f aca="false">AC1831-T1831</f>
        <v>35.0748420454545</v>
      </c>
      <c r="AF1831" s="40" t="n">
        <f aca="false">AC1831/T1831-1</f>
        <v>0.427481381949687</v>
      </c>
      <c r="AG1831" s="37" t="str">
        <f aca="false">IF(AC1831&lt;T1831,"SIM","NÃO")</f>
        <v>NÃO</v>
      </c>
      <c r="AH1831" s="37" t="n">
        <v>8</v>
      </c>
      <c r="AI1831" s="37" t="n">
        <v>5</v>
      </c>
      <c r="AJ1831" s="37" t="s">
        <v>323</v>
      </c>
    </row>
    <row r="1832" customFormat="false" ht="15" hidden="false" customHeight="false" outlineLevel="0" collapsed="false">
      <c r="A1832" s="37" t="n">
        <v>395138690</v>
      </c>
      <c r="B1832" s="38" t="n">
        <v>46280.8246064815</v>
      </c>
      <c r="C1832" s="37" t="s">
        <v>320</v>
      </c>
      <c r="D1832" s="37" t="s">
        <v>1982</v>
      </c>
      <c r="E1832" s="37" t="n">
        <v>21755370</v>
      </c>
      <c r="F1832" s="37" t="s">
        <v>139</v>
      </c>
      <c r="G1832" s="37" t="s">
        <v>198</v>
      </c>
      <c r="H1832" s="37" t="s">
        <v>168</v>
      </c>
      <c r="I1832" s="37" t="n">
        <v>22.57</v>
      </c>
      <c r="J1832" s="39" t="n">
        <v>299.96</v>
      </c>
      <c r="K1832" s="37" t="s">
        <v>322</v>
      </c>
      <c r="L1832" s="39" t="n">
        <v>81.76</v>
      </c>
      <c r="M1832" s="39" t="n">
        <v>54.1</v>
      </c>
      <c r="N1832" s="39" t="n">
        <f aca="false">J1832*Resumo!$C$7</f>
        <v>0.59992</v>
      </c>
      <c r="O1832" s="39" t="n">
        <f aca="false">J1832*Resumo!$C$8</f>
        <v>0.59992</v>
      </c>
      <c r="P1832" s="39" t="n">
        <f aca="false">Resumo!$C$10*CEILING(I1832/100,1)</f>
        <v>1</v>
      </c>
      <c r="Q1832" s="39" t="n">
        <f aca="false">Resumo!$C$9</f>
        <v>11.9</v>
      </c>
      <c r="R1832" s="39" t="n">
        <f aca="false">SUM(M1832:Q1832)*Resumo!$C$11</f>
        <v>3.7509912</v>
      </c>
      <c r="S1832" s="39" t="n">
        <f aca="false">SUM(M1832:R1832)</f>
        <v>71.9508312</v>
      </c>
      <c r="T1832" s="39" t="n">
        <f aca="false">S1832/(1-Resumo!$C$5)</f>
        <v>81.7623081818182</v>
      </c>
      <c r="U1832" s="39" t="n">
        <v>82.21</v>
      </c>
      <c r="V1832" s="39" t="n">
        <f aca="false">J1832*Resumo!$B$6</f>
        <v>0.29996</v>
      </c>
      <c r="W1832" s="39" t="n">
        <f aca="false">J1832*Resumo!$B$7</f>
        <v>0.59992</v>
      </c>
      <c r="X1832" s="39" t="n">
        <f aca="false">Resumo!$B$9</f>
        <v>1</v>
      </c>
      <c r="Y1832" s="39" t="n">
        <f aca="false">Resumo!$B$10*CEILING(I1832/100,1)</f>
        <v>4.5</v>
      </c>
      <c r="Z1832" s="39" t="n">
        <f aca="false">Resumo!$B$12*CEILING(I1832,1)</f>
        <v>1.38</v>
      </c>
      <c r="AA1832" s="39" t="n">
        <f aca="false">Resumo!$B$13*CEILING(I1832,1)</f>
        <v>10.35</v>
      </c>
      <c r="AB1832" s="39" t="n">
        <f aca="false">SUM(U1832:AA1832)</f>
        <v>100.33988</v>
      </c>
      <c r="AC1832" s="39" t="n">
        <f aca="false">AB1832/(1-Resumo!$B$5)</f>
        <v>114.022590909091</v>
      </c>
      <c r="AD1832" s="39" t="n">
        <f aca="false">(AB1832-AA1832)/(1-Resumo!$B$5)</f>
        <v>102.261227272727</v>
      </c>
      <c r="AE1832" s="39" t="n">
        <f aca="false">AC1832-T1832</f>
        <v>32.2602827272727</v>
      </c>
      <c r="AF1832" s="40" t="n">
        <f aca="false">AC1832/T1832-1</f>
        <v>0.394561790691308</v>
      </c>
      <c r="AG1832" s="37" t="str">
        <f aca="false">IF(AC1832&lt;T1832,"SIM","NÃO")</f>
        <v>NÃO</v>
      </c>
      <c r="AH1832" s="37" t="n">
        <v>8</v>
      </c>
      <c r="AI1832" s="37" t="n">
        <v>5</v>
      </c>
      <c r="AJ1832" s="37" t="s">
        <v>323</v>
      </c>
    </row>
    <row r="1833" customFormat="false" ht="15" hidden="false" customHeight="false" outlineLevel="0" collapsed="false">
      <c r="A1833" s="37" t="n">
        <v>395139149</v>
      </c>
      <c r="B1833" s="38" t="n">
        <v>46280.8255671296</v>
      </c>
      <c r="C1833" s="37" t="s">
        <v>320</v>
      </c>
      <c r="D1833" s="37" t="s">
        <v>1983</v>
      </c>
      <c r="E1833" s="37" t="n">
        <v>28979476</v>
      </c>
      <c r="F1833" s="37" t="s">
        <v>153</v>
      </c>
      <c r="G1833" s="37" t="s">
        <v>201</v>
      </c>
      <c r="H1833" s="37" t="s">
        <v>170</v>
      </c>
      <c r="I1833" s="37" t="n">
        <v>48.3</v>
      </c>
      <c r="J1833" s="39" t="n">
        <v>449.65</v>
      </c>
      <c r="K1833" s="37" t="s">
        <v>322</v>
      </c>
      <c r="L1833" s="39" t="n">
        <v>130.32</v>
      </c>
      <c r="M1833" s="39" t="n">
        <v>94</v>
      </c>
      <c r="N1833" s="39" t="n">
        <f aca="false">J1833*Resumo!$C$7</f>
        <v>0.8993</v>
      </c>
      <c r="O1833" s="39" t="n">
        <f aca="false">J1833*Resumo!$C$8</f>
        <v>0.8993</v>
      </c>
      <c r="P1833" s="39" t="n">
        <f aca="false">Resumo!$C$10*CEILING(I1833/100,1)</f>
        <v>1</v>
      </c>
      <c r="Q1833" s="39" t="n">
        <f aca="false">Resumo!$C$9</f>
        <v>11.9</v>
      </c>
      <c r="R1833" s="39" t="n">
        <f aca="false">SUM(M1833:Q1833)*Resumo!$C$11</f>
        <v>5.978423</v>
      </c>
      <c r="S1833" s="39" t="n">
        <f aca="false">SUM(M1833:R1833)</f>
        <v>114.677023</v>
      </c>
      <c r="T1833" s="39" t="n">
        <f aca="false">S1833/(1-Resumo!$C$5)</f>
        <v>130.314798863636</v>
      </c>
      <c r="U1833" s="39" t="n">
        <v>129.29</v>
      </c>
      <c r="V1833" s="39" t="n">
        <f aca="false">J1833*Resumo!$B$6</f>
        <v>0.44965</v>
      </c>
      <c r="W1833" s="39" t="n">
        <f aca="false">J1833*Resumo!$B$7</f>
        <v>0.8993</v>
      </c>
      <c r="X1833" s="39" t="n">
        <f aca="false">Resumo!$B$9</f>
        <v>1</v>
      </c>
      <c r="Y1833" s="39" t="n">
        <f aca="false">Resumo!$B$10*CEILING(I1833/100,1)</f>
        <v>4.5</v>
      </c>
      <c r="Z1833" s="39" t="n">
        <f aca="false">Resumo!$B$12*CEILING(I1833,1)</f>
        <v>2.94</v>
      </c>
      <c r="AA1833" s="39" t="n">
        <f aca="false">Resumo!$B$13*CEILING(I1833,1)</f>
        <v>22.05</v>
      </c>
      <c r="AB1833" s="39" t="n">
        <f aca="false">SUM(U1833:AA1833)</f>
        <v>161.12895</v>
      </c>
      <c r="AC1833" s="39" t="n">
        <f aca="false">AB1833/(1-Resumo!$B$5)</f>
        <v>183.101079545455</v>
      </c>
      <c r="AD1833" s="39" t="n">
        <f aca="false">(AB1833-AA1833)/(1-Resumo!$B$5)</f>
        <v>158.044261363636</v>
      </c>
      <c r="AE1833" s="39" t="n">
        <f aca="false">AC1833-T1833</f>
        <v>52.7862806818182</v>
      </c>
      <c r="AF1833" s="40" t="n">
        <f aca="false">AC1833/T1833-1</f>
        <v>0.405067430116319</v>
      </c>
      <c r="AG1833" s="37" t="str">
        <f aca="false">IF(AC1833&lt;T1833,"SIM","NÃO")</f>
        <v>NÃO</v>
      </c>
      <c r="AH1833" s="37" t="n">
        <v>13</v>
      </c>
      <c r="AI1833" s="37" t="n">
        <v>10</v>
      </c>
      <c r="AJ1833" s="37" t="s">
        <v>323</v>
      </c>
    </row>
    <row r="1834" customFormat="false" ht="15" hidden="false" customHeight="false" outlineLevel="0" collapsed="false">
      <c r="A1834" s="37" t="n">
        <v>395155065</v>
      </c>
      <c r="B1834" s="38" t="n">
        <v>46280.8543518519</v>
      </c>
      <c r="C1834" s="37" t="s">
        <v>320</v>
      </c>
      <c r="D1834" s="37" t="s">
        <v>1984</v>
      </c>
      <c r="E1834" s="37" t="n">
        <v>24110007</v>
      </c>
      <c r="F1834" s="37" t="s">
        <v>143</v>
      </c>
      <c r="G1834" s="37" t="s">
        <v>207</v>
      </c>
      <c r="H1834" s="37" t="s">
        <v>169</v>
      </c>
      <c r="I1834" s="37" t="n">
        <v>36.8</v>
      </c>
      <c r="J1834" s="39" t="n">
        <v>479.99</v>
      </c>
      <c r="K1834" s="37" t="s">
        <v>322</v>
      </c>
      <c r="L1834" s="39" t="n">
        <v>113.26</v>
      </c>
      <c r="M1834" s="39" t="n">
        <v>79.65</v>
      </c>
      <c r="N1834" s="39" t="n">
        <f aca="false">J1834*Resumo!$C$7</f>
        <v>0.95998</v>
      </c>
      <c r="O1834" s="39" t="n">
        <f aca="false">J1834*Resumo!$C$8</f>
        <v>0.95998</v>
      </c>
      <c r="P1834" s="39" t="n">
        <f aca="false">Resumo!$C$10*CEILING(I1834/100,1)</f>
        <v>1</v>
      </c>
      <c r="Q1834" s="39" t="n">
        <f aca="false">Resumo!$C$9</f>
        <v>11.9</v>
      </c>
      <c r="R1834" s="39" t="n">
        <f aca="false">SUM(M1834:Q1834)*Resumo!$C$11</f>
        <v>5.1958478</v>
      </c>
      <c r="S1834" s="39" t="n">
        <f aca="false">SUM(M1834:R1834)</f>
        <v>99.6658078</v>
      </c>
      <c r="T1834" s="39" t="n">
        <f aca="false">S1834/(1-Resumo!$C$5)</f>
        <v>113.256599772727</v>
      </c>
      <c r="U1834" s="39" t="n">
        <v>114.95</v>
      </c>
      <c r="V1834" s="39" t="n">
        <f aca="false">J1834*Resumo!$B$6</f>
        <v>0.47999</v>
      </c>
      <c r="W1834" s="39" t="n">
        <f aca="false">J1834*Resumo!$B$7</f>
        <v>0.95998</v>
      </c>
      <c r="X1834" s="39" t="n">
        <f aca="false">Resumo!$B$9</f>
        <v>1</v>
      </c>
      <c r="Y1834" s="39" t="n">
        <f aca="false">Resumo!$B$10*CEILING(I1834/100,1)</f>
        <v>4.5</v>
      </c>
      <c r="Z1834" s="39" t="n">
        <f aca="false">Resumo!$B$12*CEILING(I1834,1)</f>
        <v>2.22</v>
      </c>
      <c r="AA1834" s="39" t="n">
        <f aca="false">Resumo!$B$13*CEILING(I1834,1)</f>
        <v>16.65</v>
      </c>
      <c r="AB1834" s="39" t="n">
        <f aca="false">SUM(U1834:AA1834)</f>
        <v>140.75997</v>
      </c>
      <c r="AC1834" s="39" t="n">
        <f aca="false">AB1834/(1-Resumo!$B$5)</f>
        <v>159.954511363636</v>
      </c>
      <c r="AD1834" s="39" t="n">
        <f aca="false">(AB1834-AA1834)/(1-Resumo!$B$5)</f>
        <v>141.034056818182</v>
      </c>
      <c r="AE1834" s="39" t="n">
        <f aca="false">AC1834-T1834</f>
        <v>46.6979115909091</v>
      </c>
      <c r="AF1834" s="40" t="n">
        <f aca="false">AC1834/T1834-1</f>
        <v>0.412319561814659</v>
      </c>
      <c r="AG1834" s="37" t="str">
        <f aca="false">IF(AC1834&lt;T1834,"SIM","NÃO")</f>
        <v>NÃO</v>
      </c>
      <c r="AH1834" s="37" t="n">
        <v>10</v>
      </c>
      <c r="AI1834" s="37" t="n">
        <v>7</v>
      </c>
      <c r="AJ1834" s="37" t="s">
        <v>323</v>
      </c>
    </row>
    <row r="1835" customFormat="false" ht="15" hidden="false" customHeight="false" outlineLevel="0" collapsed="false">
      <c r="A1835" s="37" t="n">
        <v>395164014</v>
      </c>
      <c r="B1835" s="38" t="n">
        <v>46280.8715162037</v>
      </c>
      <c r="C1835" s="37" t="s">
        <v>352</v>
      </c>
      <c r="D1835" s="37" t="s">
        <v>1985</v>
      </c>
      <c r="E1835" s="37" t="n">
        <v>26022136</v>
      </c>
      <c r="F1835" s="37" t="s">
        <v>142</v>
      </c>
      <c r="G1835" s="37" t="s">
        <v>207</v>
      </c>
      <c r="H1835" s="37" t="s">
        <v>172</v>
      </c>
      <c r="I1835" s="37" t="n">
        <v>67.3</v>
      </c>
      <c r="J1835" s="39" t="n">
        <v>819.99</v>
      </c>
      <c r="K1835" s="37" t="s">
        <v>322</v>
      </c>
      <c r="L1835" s="39" t="n">
        <v>140.36</v>
      </c>
      <c r="M1835" s="39" t="n">
        <v>100.9</v>
      </c>
      <c r="N1835" s="39" t="n">
        <f aca="false">J1835*Resumo!$C$7</f>
        <v>1.63998</v>
      </c>
      <c r="O1835" s="39" t="n">
        <f aca="false">J1835*Resumo!$C$8</f>
        <v>1.63998</v>
      </c>
      <c r="P1835" s="39" t="n">
        <f aca="false">Resumo!$C$10*CEILING(I1835/100,1)</f>
        <v>1</v>
      </c>
      <c r="Q1835" s="39" t="n">
        <f aca="false">Resumo!$C$9</f>
        <v>11.9</v>
      </c>
      <c r="R1835" s="39" t="n">
        <f aca="false">SUM(M1835:Q1835)*Resumo!$C$11</f>
        <v>6.4393978</v>
      </c>
      <c r="S1835" s="39" t="n">
        <f aca="false">SUM(M1835:R1835)</f>
        <v>123.5193578</v>
      </c>
      <c r="T1835" s="39" t="n">
        <f aca="false">S1835/(1-Resumo!$C$5)</f>
        <v>140.362906590909</v>
      </c>
      <c r="U1835" s="39" t="n">
        <v>131.02</v>
      </c>
      <c r="V1835" s="39" t="n">
        <f aca="false">J1835*Resumo!$B$6</f>
        <v>0.81999</v>
      </c>
      <c r="W1835" s="39" t="n">
        <f aca="false">J1835*Resumo!$B$7</f>
        <v>1.63998</v>
      </c>
      <c r="X1835" s="39" t="n">
        <f aca="false">Resumo!$B$9</f>
        <v>1</v>
      </c>
      <c r="Y1835" s="39" t="n">
        <f aca="false">Resumo!$B$10*CEILING(I1835/100,1)</f>
        <v>4.5</v>
      </c>
      <c r="Z1835" s="39" t="n">
        <f aca="false">Resumo!$B$12*CEILING(I1835,1)</f>
        <v>4.08</v>
      </c>
      <c r="AA1835" s="39" t="n">
        <f aca="false">Resumo!$B$13*CEILING(I1835,1)</f>
        <v>30.6</v>
      </c>
      <c r="AB1835" s="39" t="n">
        <f aca="false">SUM(U1835:AA1835)</f>
        <v>173.65997</v>
      </c>
      <c r="AC1835" s="39" t="n">
        <f aca="false">AB1835/(1-Resumo!$B$5)</f>
        <v>197.340875</v>
      </c>
      <c r="AD1835" s="39" t="n">
        <f aca="false">(AB1835-AA1835)/(1-Resumo!$B$5)</f>
        <v>162.568147727273</v>
      </c>
      <c r="AE1835" s="39" t="n">
        <f aca="false">AC1835-T1835</f>
        <v>56.9779684090909</v>
      </c>
      <c r="AF1835" s="40" t="n">
        <f aca="false">AC1835/T1835-1</f>
        <v>0.405933232596519</v>
      </c>
      <c r="AG1835" s="37" t="str">
        <f aca="false">IF(AC1835&lt;T1835,"SIM","NÃO")</f>
        <v>NÃO</v>
      </c>
      <c r="AH1835" s="37" t="n">
        <v>10</v>
      </c>
      <c r="AI1835" s="37" t="n">
        <v>5</v>
      </c>
      <c r="AJ1835" s="37" t="s">
        <v>323</v>
      </c>
    </row>
    <row r="1836" customFormat="false" ht="15" hidden="false" customHeight="false" outlineLevel="0" collapsed="false">
      <c r="A1836" s="37" t="n">
        <v>395167733</v>
      </c>
      <c r="B1836" s="38" t="n">
        <v>46280.8757523148</v>
      </c>
      <c r="C1836" s="37" t="s">
        <v>320</v>
      </c>
      <c r="D1836" s="37" t="s">
        <v>1986</v>
      </c>
      <c r="E1836" s="37" t="n">
        <v>27525662</v>
      </c>
      <c r="F1836" s="37" t="s">
        <v>236</v>
      </c>
      <c r="G1836" s="37" t="s">
        <v>201</v>
      </c>
      <c r="H1836" s="37" t="s">
        <v>169</v>
      </c>
      <c r="I1836" s="37" t="n">
        <v>39</v>
      </c>
      <c r="J1836" s="39" t="n">
        <v>539.99</v>
      </c>
      <c r="K1836" s="37" t="s">
        <v>322</v>
      </c>
      <c r="L1836" s="39" t="n">
        <v>122.84</v>
      </c>
      <c r="M1836" s="39" t="n">
        <v>87.4</v>
      </c>
      <c r="N1836" s="39" t="n">
        <f aca="false">J1836*Resumo!$C$7</f>
        <v>1.07998</v>
      </c>
      <c r="O1836" s="39" t="n">
        <f aca="false">J1836*Resumo!$C$8</f>
        <v>1.07998</v>
      </c>
      <c r="P1836" s="39" t="n">
        <f aca="false">Resumo!$C$10*CEILING(I1836/100,1)</f>
        <v>1</v>
      </c>
      <c r="Q1836" s="39" t="n">
        <f aca="false">Resumo!$C$9</f>
        <v>11.9</v>
      </c>
      <c r="R1836" s="39" t="n">
        <f aca="false">SUM(M1836:Q1836)*Resumo!$C$11</f>
        <v>5.6352978</v>
      </c>
      <c r="S1836" s="39" t="n">
        <f aca="false">SUM(M1836:R1836)</f>
        <v>108.0952578</v>
      </c>
      <c r="T1836" s="39" t="n">
        <f aca="false">S1836/(1-Resumo!$C$5)</f>
        <v>122.835520227273</v>
      </c>
      <c r="U1836" s="39" t="n">
        <v>124.38</v>
      </c>
      <c r="V1836" s="39" t="n">
        <f aca="false">J1836*Resumo!$B$6</f>
        <v>0.53999</v>
      </c>
      <c r="W1836" s="39" t="n">
        <f aca="false">J1836*Resumo!$B$7</f>
        <v>1.07998</v>
      </c>
      <c r="X1836" s="39" t="n">
        <f aca="false">Resumo!$B$9</f>
        <v>1</v>
      </c>
      <c r="Y1836" s="39" t="n">
        <f aca="false">Resumo!$B$10*CEILING(I1836/100,1)</f>
        <v>4.5</v>
      </c>
      <c r="Z1836" s="39" t="n">
        <f aca="false">Resumo!$B$12*CEILING(I1836,1)</f>
        <v>2.34</v>
      </c>
      <c r="AA1836" s="39" t="n">
        <f aca="false">Resumo!$B$13*CEILING(I1836,1)</f>
        <v>17.55</v>
      </c>
      <c r="AB1836" s="39" t="n">
        <f aca="false">SUM(U1836:AA1836)</f>
        <v>151.38997</v>
      </c>
      <c r="AC1836" s="39" t="n">
        <f aca="false">AB1836/(1-Resumo!$B$5)</f>
        <v>172.034056818182</v>
      </c>
      <c r="AD1836" s="39" t="n">
        <f aca="false">(AB1836-AA1836)/(1-Resumo!$B$5)</f>
        <v>152.090875</v>
      </c>
      <c r="AE1836" s="39" t="n">
        <f aca="false">AC1836-T1836</f>
        <v>49.1985365909091</v>
      </c>
      <c r="AF1836" s="40" t="n">
        <f aca="false">AC1836/T1836-1</f>
        <v>0.400523696239337</v>
      </c>
      <c r="AG1836" s="37" t="str">
        <f aca="false">IF(AC1836&lt;T1836,"SIM","NÃO")</f>
        <v>NÃO</v>
      </c>
      <c r="AH1836" s="37" t="n">
        <v>13</v>
      </c>
      <c r="AI1836" s="37" t="n">
        <v>10</v>
      </c>
      <c r="AJ1836" s="37" t="s">
        <v>327</v>
      </c>
    </row>
    <row r="1837" customFormat="false" ht="15" hidden="false" customHeight="false" outlineLevel="0" collapsed="false">
      <c r="A1837" s="37" t="n">
        <v>395171437</v>
      </c>
      <c r="B1837" s="38" t="n">
        <v>46280.881724537</v>
      </c>
      <c r="C1837" s="37" t="s">
        <v>320</v>
      </c>
      <c r="D1837" s="37" t="s">
        <v>1987</v>
      </c>
      <c r="E1837" s="37" t="n">
        <v>28860000</v>
      </c>
      <c r="F1837" s="37" t="s">
        <v>276</v>
      </c>
      <c r="G1837" s="37" t="s">
        <v>201</v>
      </c>
      <c r="H1837" s="37" t="s">
        <v>171</v>
      </c>
      <c r="I1837" s="37" t="n">
        <v>52.3</v>
      </c>
      <c r="J1837" s="39" t="n">
        <v>614.63</v>
      </c>
      <c r="K1837" s="37" t="s">
        <v>322</v>
      </c>
      <c r="L1837" s="39" t="n">
        <v>142.61</v>
      </c>
      <c r="M1837" s="39" t="n">
        <v>103.6</v>
      </c>
      <c r="N1837" s="39" t="n">
        <f aca="false">J1837*Resumo!$C$7</f>
        <v>1.22926</v>
      </c>
      <c r="O1837" s="39" t="n">
        <f aca="false">J1837*Resumo!$C$8</f>
        <v>1.22926</v>
      </c>
      <c r="P1837" s="39" t="n">
        <f aca="false">Resumo!$C$10*CEILING(I1837/100,1)</f>
        <v>1</v>
      </c>
      <c r="Q1837" s="39" t="n">
        <f aca="false">Resumo!$C$9</f>
        <v>11.9</v>
      </c>
      <c r="R1837" s="39" t="n">
        <f aca="false">SUM(M1837:Q1837)*Resumo!$C$11</f>
        <v>6.5427186</v>
      </c>
      <c r="S1837" s="39" t="n">
        <f aca="false">SUM(M1837:R1837)</f>
        <v>125.5012386</v>
      </c>
      <c r="T1837" s="39" t="n">
        <f aca="false">S1837/(1-Resumo!$C$5)</f>
        <v>142.615043863636</v>
      </c>
      <c r="U1837" s="39" t="n">
        <v>142.32</v>
      </c>
      <c r="V1837" s="39" t="n">
        <f aca="false">J1837*Resumo!$B$6</f>
        <v>0.61463</v>
      </c>
      <c r="W1837" s="39" t="n">
        <f aca="false">J1837*Resumo!$B$7</f>
        <v>1.22926</v>
      </c>
      <c r="X1837" s="39" t="n">
        <f aca="false">Resumo!$B$9</f>
        <v>1</v>
      </c>
      <c r="Y1837" s="39" t="n">
        <f aca="false">Resumo!$B$10*CEILING(I1837/100,1)</f>
        <v>4.5</v>
      </c>
      <c r="Z1837" s="39" t="n">
        <f aca="false">Resumo!$B$12*CEILING(I1837,1)</f>
        <v>3.18</v>
      </c>
      <c r="AA1837" s="39" t="n">
        <f aca="false">Resumo!$B$13*CEILING(I1837,1)</f>
        <v>23.85</v>
      </c>
      <c r="AB1837" s="39" t="n">
        <f aca="false">SUM(U1837:AA1837)</f>
        <v>176.69389</v>
      </c>
      <c r="AC1837" s="39" t="n">
        <f aca="false">AB1837/(1-Resumo!$B$5)</f>
        <v>200.788511363636</v>
      </c>
      <c r="AD1837" s="39" t="n">
        <f aca="false">(AB1837-AA1837)/(1-Resumo!$B$5)</f>
        <v>173.686238636364</v>
      </c>
      <c r="AE1837" s="39" t="n">
        <f aca="false">AC1837-T1837</f>
        <v>58.1734675</v>
      </c>
      <c r="AF1837" s="40" t="n">
        <f aca="false">AC1837/T1837-1</f>
        <v>0.407905547156887</v>
      </c>
      <c r="AG1837" s="37" t="str">
        <f aca="false">IF(AC1837&lt;T1837,"SIM","NÃO")</f>
        <v>NÃO</v>
      </c>
      <c r="AH1837" s="37" t="n">
        <v>13</v>
      </c>
      <c r="AI1837" s="37" t="n">
        <v>10</v>
      </c>
      <c r="AJ1837" s="37" t="s">
        <v>327</v>
      </c>
    </row>
    <row r="1838" customFormat="false" ht="15" hidden="false" customHeight="false" outlineLevel="0" collapsed="false">
      <c r="A1838" s="37" t="n">
        <v>395195446</v>
      </c>
      <c r="B1838" s="38" t="n">
        <v>46280.9246875</v>
      </c>
      <c r="C1838" s="37" t="s">
        <v>320</v>
      </c>
      <c r="D1838" s="37" t="s">
        <v>1988</v>
      </c>
      <c r="E1838" s="37" t="n">
        <v>21311050</v>
      </c>
      <c r="F1838" s="37" t="s">
        <v>139</v>
      </c>
      <c r="G1838" s="37" t="s">
        <v>198</v>
      </c>
      <c r="H1838" s="37" t="s">
        <v>168</v>
      </c>
      <c r="I1838" s="37" t="n">
        <v>33</v>
      </c>
      <c r="J1838" s="39" t="n">
        <v>344.13</v>
      </c>
      <c r="K1838" s="37" t="s">
        <v>322</v>
      </c>
      <c r="L1838" s="39" t="n">
        <v>81.98</v>
      </c>
      <c r="M1838" s="39" t="n">
        <v>54.1</v>
      </c>
      <c r="N1838" s="39" t="n">
        <f aca="false">J1838*Resumo!$C$7</f>
        <v>0.68826</v>
      </c>
      <c r="O1838" s="39" t="n">
        <f aca="false">J1838*Resumo!$C$8</f>
        <v>0.68826</v>
      </c>
      <c r="P1838" s="39" t="n">
        <f aca="false">Resumo!$C$10*CEILING(I1838/100,1)</f>
        <v>1</v>
      </c>
      <c r="Q1838" s="39" t="n">
        <f aca="false">Resumo!$C$9</f>
        <v>11.9</v>
      </c>
      <c r="R1838" s="39" t="n">
        <f aca="false">SUM(M1838:Q1838)*Resumo!$C$11</f>
        <v>3.7607086</v>
      </c>
      <c r="S1838" s="39" t="n">
        <f aca="false">SUM(M1838:R1838)</f>
        <v>72.1372286</v>
      </c>
      <c r="T1838" s="39" t="n">
        <f aca="false">S1838/(1-Resumo!$C$5)</f>
        <v>81.9741234090909</v>
      </c>
      <c r="U1838" s="39" t="n">
        <v>82.21</v>
      </c>
      <c r="V1838" s="39" t="n">
        <f aca="false">J1838*Resumo!$B$6</f>
        <v>0.34413</v>
      </c>
      <c r="W1838" s="39" t="n">
        <f aca="false">J1838*Resumo!$B$7</f>
        <v>0.68826</v>
      </c>
      <c r="X1838" s="39" t="n">
        <f aca="false">Resumo!$B$9</f>
        <v>1</v>
      </c>
      <c r="Y1838" s="39" t="n">
        <f aca="false">Resumo!$B$10*CEILING(I1838/100,1)</f>
        <v>4.5</v>
      </c>
      <c r="Z1838" s="39" t="n">
        <f aca="false">Resumo!$B$12*CEILING(I1838,1)</f>
        <v>1.98</v>
      </c>
      <c r="AA1838" s="39" t="n">
        <f aca="false">Resumo!$B$13*CEILING(I1838,1)</f>
        <v>14.85</v>
      </c>
      <c r="AB1838" s="39" t="n">
        <f aca="false">SUM(U1838:AA1838)</f>
        <v>105.57239</v>
      </c>
      <c r="AC1838" s="39" t="n">
        <f aca="false">AB1838/(1-Resumo!$B$5)</f>
        <v>119.968625</v>
      </c>
      <c r="AD1838" s="39" t="n">
        <f aca="false">(AB1838-AA1838)/(1-Resumo!$B$5)</f>
        <v>103.093625</v>
      </c>
      <c r="AE1838" s="39" t="n">
        <f aca="false">AC1838-T1838</f>
        <v>37.9945015909091</v>
      </c>
      <c r="AF1838" s="40" t="n">
        <f aca="false">AC1838/T1838-1</f>
        <v>0.463493844286665</v>
      </c>
      <c r="AG1838" s="37" t="str">
        <f aca="false">IF(AC1838&lt;T1838,"SIM","NÃO")</f>
        <v>NÃO</v>
      </c>
      <c r="AH1838" s="37" t="n">
        <v>8</v>
      </c>
      <c r="AI1838" s="37" t="n">
        <v>5</v>
      </c>
      <c r="AJ1838" s="37" t="s">
        <v>323</v>
      </c>
    </row>
    <row r="1839" customFormat="false" ht="15" hidden="false" customHeight="false" outlineLevel="0" collapsed="false">
      <c r="A1839" s="37" t="n">
        <v>395194834</v>
      </c>
      <c r="B1839" s="38" t="n">
        <v>46280.9266782407</v>
      </c>
      <c r="C1839" s="37" t="s">
        <v>352</v>
      </c>
      <c r="D1839" s="37" t="s">
        <v>1989</v>
      </c>
      <c r="E1839" s="37" t="n">
        <v>27115270</v>
      </c>
      <c r="F1839" s="37" t="s">
        <v>230</v>
      </c>
      <c r="G1839" s="37" t="s">
        <v>201</v>
      </c>
      <c r="H1839" s="37" t="s">
        <v>172</v>
      </c>
      <c r="I1839" s="37" t="n">
        <v>68.1</v>
      </c>
      <c r="J1839" s="39" t="n">
        <v>746.99</v>
      </c>
      <c r="K1839" s="37" t="s">
        <v>322</v>
      </c>
      <c r="L1839" s="39" t="n">
        <v>155.59</v>
      </c>
      <c r="M1839" s="39" t="n">
        <v>113.9</v>
      </c>
      <c r="N1839" s="39" t="n">
        <f aca="false">J1839*Resumo!$C$7</f>
        <v>1.49398</v>
      </c>
      <c r="O1839" s="39" t="n">
        <f aca="false">J1839*Resumo!$C$8</f>
        <v>1.49398</v>
      </c>
      <c r="P1839" s="39" t="n">
        <f aca="false">Resumo!$C$10*CEILING(I1839/100,1)</f>
        <v>1</v>
      </c>
      <c r="Q1839" s="39" t="n">
        <f aca="false">Resumo!$C$9</f>
        <v>11.9</v>
      </c>
      <c r="R1839" s="39" t="n">
        <f aca="false">SUM(M1839:Q1839)*Resumo!$C$11</f>
        <v>7.1383378</v>
      </c>
      <c r="S1839" s="39" t="n">
        <f aca="false">SUM(M1839:R1839)</f>
        <v>136.9262978</v>
      </c>
      <c r="T1839" s="39" t="n">
        <f aca="false">S1839/(1-Resumo!$C$5)</f>
        <v>155.598065681818</v>
      </c>
      <c r="U1839" s="39" t="n">
        <v>166.05</v>
      </c>
      <c r="V1839" s="39" t="n">
        <f aca="false">J1839*Resumo!$B$6</f>
        <v>0.74699</v>
      </c>
      <c r="W1839" s="39" t="n">
        <f aca="false">J1839*Resumo!$B$7</f>
        <v>1.49398</v>
      </c>
      <c r="X1839" s="39" t="n">
        <f aca="false">Resumo!$B$9</f>
        <v>1</v>
      </c>
      <c r="Y1839" s="39" t="n">
        <f aca="false">Resumo!$B$10*CEILING(I1839/100,1)</f>
        <v>4.5</v>
      </c>
      <c r="Z1839" s="39" t="n">
        <f aca="false">Resumo!$B$12*CEILING(I1839,1)</f>
        <v>4.14</v>
      </c>
      <c r="AA1839" s="39" t="n">
        <f aca="false">Resumo!$B$13*CEILING(I1839,1)</f>
        <v>31.05</v>
      </c>
      <c r="AB1839" s="39" t="n">
        <f aca="false">SUM(U1839:AA1839)</f>
        <v>208.98097</v>
      </c>
      <c r="AC1839" s="39" t="n">
        <f aca="false">AB1839/(1-Resumo!$B$5)</f>
        <v>237.478375</v>
      </c>
      <c r="AD1839" s="39" t="n">
        <f aca="false">(AB1839-AA1839)/(1-Resumo!$B$5)</f>
        <v>202.194284090909</v>
      </c>
      <c r="AE1839" s="39" t="n">
        <f aca="false">AC1839-T1839</f>
        <v>81.8803093181819</v>
      </c>
      <c r="AF1839" s="40" t="n">
        <f aca="false">AC1839/T1839-1</f>
        <v>0.526229609342436</v>
      </c>
      <c r="AG1839" s="37" t="str">
        <f aca="false">IF(AC1839&lt;T1839,"SIM","NÃO")</f>
        <v>NÃO</v>
      </c>
      <c r="AH1839" s="37" t="n">
        <v>13</v>
      </c>
      <c r="AI1839" s="37" t="n">
        <v>10</v>
      </c>
      <c r="AJ1839" s="37" t="s">
        <v>327</v>
      </c>
    </row>
    <row r="1840" customFormat="false" ht="15" hidden="false" customHeight="false" outlineLevel="0" collapsed="false">
      <c r="A1840" s="37" t="n">
        <v>395197756</v>
      </c>
      <c r="B1840" s="38" t="n">
        <v>46280.9293055556</v>
      </c>
      <c r="C1840" s="37" t="s">
        <v>320</v>
      </c>
      <c r="D1840" s="37" t="s">
        <v>1990</v>
      </c>
      <c r="E1840" s="37" t="n">
        <v>24726123</v>
      </c>
      <c r="F1840" s="37" t="s">
        <v>140</v>
      </c>
      <c r="G1840" s="37" t="s">
        <v>207</v>
      </c>
      <c r="H1840" s="37" t="s">
        <v>173</v>
      </c>
      <c r="I1840" s="37" t="n">
        <v>73</v>
      </c>
      <c r="J1840" s="39" t="n">
        <v>782.92</v>
      </c>
      <c r="K1840" s="37" t="s">
        <v>322</v>
      </c>
      <c r="L1840" s="39" t="n">
        <v>151.76</v>
      </c>
      <c r="M1840" s="39" t="n">
        <v>110.55</v>
      </c>
      <c r="N1840" s="39" t="n">
        <f aca="false">J1840*Resumo!$C$7</f>
        <v>1.56584</v>
      </c>
      <c r="O1840" s="39" t="n">
        <f aca="false">J1840*Resumo!$C$8</f>
        <v>1.56584</v>
      </c>
      <c r="P1840" s="39" t="n">
        <f aca="false">Resumo!$C$10*CEILING(I1840/100,1)</f>
        <v>1</v>
      </c>
      <c r="Q1840" s="39" t="n">
        <f aca="false">Resumo!$C$9</f>
        <v>11.9</v>
      </c>
      <c r="R1840" s="39" t="n">
        <f aca="false">SUM(M1840:Q1840)*Resumo!$C$11</f>
        <v>6.9619924</v>
      </c>
      <c r="S1840" s="39" t="n">
        <f aca="false">SUM(M1840:R1840)</f>
        <v>133.5436724</v>
      </c>
      <c r="T1840" s="39" t="n">
        <f aca="false">S1840/(1-Resumo!$C$5)</f>
        <v>151.754173181818</v>
      </c>
      <c r="U1840" s="39" t="n">
        <v>142.74</v>
      </c>
      <c r="V1840" s="39" t="n">
        <f aca="false">J1840*Resumo!$B$6</f>
        <v>0.78292</v>
      </c>
      <c r="W1840" s="39" t="n">
        <f aca="false">J1840*Resumo!$B$7</f>
        <v>1.56584</v>
      </c>
      <c r="X1840" s="39" t="n">
        <f aca="false">Resumo!$B$9</f>
        <v>1</v>
      </c>
      <c r="Y1840" s="39" t="n">
        <f aca="false">Resumo!$B$10*CEILING(I1840/100,1)</f>
        <v>4.5</v>
      </c>
      <c r="Z1840" s="39" t="n">
        <f aca="false">Resumo!$B$12*CEILING(I1840,1)</f>
        <v>4.38</v>
      </c>
      <c r="AA1840" s="39" t="n">
        <f aca="false">Resumo!$B$13*CEILING(I1840,1)</f>
        <v>32.85</v>
      </c>
      <c r="AB1840" s="39" t="n">
        <f aca="false">SUM(U1840:AA1840)</f>
        <v>187.81876</v>
      </c>
      <c r="AC1840" s="39" t="n">
        <f aca="false">AB1840/(1-Resumo!$B$5)</f>
        <v>213.430409090909</v>
      </c>
      <c r="AD1840" s="39" t="n">
        <f aca="false">(AB1840-AA1840)/(1-Resumo!$B$5)</f>
        <v>176.100863636364</v>
      </c>
      <c r="AE1840" s="39" t="n">
        <f aca="false">AC1840-T1840</f>
        <v>61.6762359090909</v>
      </c>
      <c r="AF1840" s="40" t="n">
        <f aca="false">AC1840/T1840-1</f>
        <v>0.406422008804964</v>
      </c>
      <c r="AG1840" s="37" t="str">
        <f aca="false">IF(AC1840&lt;T1840,"SIM","NÃO")</f>
        <v>NÃO</v>
      </c>
      <c r="AH1840" s="37" t="n">
        <v>10</v>
      </c>
      <c r="AI1840" s="37" t="n">
        <v>7</v>
      </c>
      <c r="AJ1840" s="37" t="s">
        <v>323</v>
      </c>
    </row>
    <row r="1841" customFormat="false" ht="15" hidden="false" customHeight="false" outlineLevel="0" collapsed="false">
      <c r="A1841" s="37" t="n">
        <v>395333144</v>
      </c>
      <c r="B1841" s="38" t="n">
        <v>46281.3265856481</v>
      </c>
      <c r="C1841" s="37" t="s">
        <v>320</v>
      </c>
      <c r="D1841" s="37" t="s">
        <v>1991</v>
      </c>
      <c r="E1841" s="37" t="n">
        <v>27343430</v>
      </c>
      <c r="F1841" s="37" t="s">
        <v>233</v>
      </c>
      <c r="G1841" s="37" t="s">
        <v>201</v>
      </c>
      <c r="H1841" s="37" t="s">
        <v>175</v>
      </c>
      <c r="I1841" s="37" t="n">
        <v>106.5</v>
      </c>
      <c r="J1841" s="39" t="n">
        <v>1229.99</v>
      </c>
      <c r="K1841" s="37" t="s">
        <v>322</v>
      </c>
      <c r="L1841" s="39" t="n">
        <v>216.55</v>
      </c>
      <c r="M1841" s="39" t="n">
        <v>161.81</v>
      </c>
      <c r="N1841" s="39" t="n">
        <f aca="false">J1841*Resumo!$C$7</f>
        <v>2.45998</v>
      </c>
      <c r="O1841" s="39" t="n">
        <f aca="false">J1841*Resumo!$C$8</f>
        <v>2.45998</v>
      </c>
      <c r="P1841" s="39" t="n">
        <f aca="false">Resumo!$C$10*CEILING(I1841/100,1)</f>
        <v>2</v>
      </c>
      <c r="Q1841" s="39" t="n">
        <f aca="false">Resumo!$C$9</f>
        <v>11.9</v>
      </c>
      <c r="R1841" s="39" t="n">
        <f aca="false">SUM(M1841:Q1841)*Resumo!$C$11</f>
        <v>9.9346478</v>
      </c>
      <c r="S1841" s="39" t="n">
        <f aca="false">SUM(M1841:R1841)</f>
        <v>190.5646078</v>
      </c>
      <c r="T1841" s="39" t="n">
        <f aca="false">S1841/(1-Resumo!$C$5)</f>
        <v>216.550690681818</v>
      </c>
      <c r="U1841" s="39" t="n">
        <v>236.82</v>
      </c>
      <c r="V1841" s="39" t="n">
        <f aca="false">J1841*Resumo!$B$6</f>
        <v>1.22999</v>
      </c>
      <c r="W1841" s="39" t="n">
        <f aca="false">J1841*Resumo!$B$7</f>
        <v>2.45998</v>
      </c>
      <c r="X1841" s="39" t="n">
        <f aca="false">Resumo!$B$9</f>
        <v>1</v>
      </c>
      <c r="Y1841" s="39" t="n">
        <f aca="false">Resumo!$B$10*CEILING(I1841/100,1)</f>
        <v>9</v>
      </c>
      <c r="Z1841" s="39" t="n">
        <f aca="false">Resumo!$B$12*CEILING(I1841,1)</f>
        <v>6.42</v>
      </c>
      <c r="AA1841" s="39" t="n">
        <f aca="false">Resumo!$B$13*CEILING(I1841,1)</f>
        <v>48.15</v>
      </c>
      <c r="AB1841" s="39" t="n">
        <f aca="false">SUM(U1841:AA1841)</f>
        <v>305.07997</v>
      </c>
      <c r="AC1841" s="39" t="n">
        <f aca="false">AB1841/(1-Resumo!$B$5)</f>
        <v>346.681784090909</v>
      </c>
      <c r="AD1841" s="39" t="n">
        <f aca="false">(AB1841-AA1841)/(1-Resumo!$B$5)</f>
        <v>291.965875</v>
      </c>
      <c r="AE1841" s="39" t="n">
        <f aca="false">AC1841-T1841</f>
        <v>130.131093409091</v>
      </c>
      <c r="AF1841" s="40" t="n">
        <f aca="false">AC1841/T1841-1</f>
        <v>0.600926706811085</v>
      </c>
      <c r="AG1841" s="37" t="str">
        <f aca="false">IF(AC1841&lt;T1841,"SIM","NÃO")</f>
        <v>NÃO</v>
      </c>
      <c r="AH1841" s="37" t="n">
        <v>13</v>
      </c>
      <c r="AI1841" s="37" t="n">
        <v>10</v>
      </c>
      <c r="AJ1841" s="37" t="s">
        <v>327</v>
      </c>
    </row>
    <row r="1842" customFormat="false" ht="15" hidden="false" customHeight="false" outlineLevel="0" collapsed="false">
      <c r="A1842" s="37" t="n">
        <v>395347654</v>
      </c>
      <c r="B1842" s="38" t="n">
        <v>46281.3599421296</v>
      </c>
      <c r="C1842" s="37" t="s">
        <v>325</v>
      </c>
      <c r="D1842" s="37" t="s">
        <v>1992</v>
      </c>
      <c r="E1842" s="37" t="n">
        <v>28997710</v>
      </c>
      <c r="F1842" s="37" t="s">
        <v>281</v>
      </c>
      <c r="G1842" s="37" t="s">
        <v>201</v>
      </c>
      <c r="H1842" s="37" t="s">
        <v>172</v>
      </c>
      <c r="I1842" s="37" t="n">
        <v>69</v>
      </c>
      <c r="J1842" s="39" t="n">
        <v>772.43</v>
      </c>
      <c r="K1842" s="37" t="s">
        <v>322</v>
      </c>
      <c r="L1842" s="39" t="n">
        <v>155.7</v>
      </c>
      <c r="M1842" s="39" t="n">
        <v>113.9</v>
      </c>
      <c r="N1842" s="39" t="n">
        <f aca="false">J1842*Resumo!$C$7</f>
        <v>1.54486</v>
      </c>
      <c r="O1842" s="39" t="n">
        <f aca="false">J1842*Resumo!$C$8</f>
        <v>1.54486</v>
      </c>
      <c r="P1842" s="39" t="n">
        <f aca="false">Resumo!$C$10*CEILING(I1842/100,1)</f>
        <v>1</v>
      </c>
      <c r="Q1842" s="39" t="n">
        <f aca="false">Resumo!$C$9</f>
        <v>11.9</v>
      </c>
      <c r="R1842" s="39" t="n">
        <f aca="false">SUM(M1842:Q1842)*Resumo!$C$11</f>
        <v>7.1439346</v>
      </c>
      <c r="S1842" s="39" t="n">
        <f aca="false">SUM(M1842:R1842)</f>
        <v>137.0336546</v>
      </c>
      <c r="T1842" s="39" t="n">
        <f aca="false">S1842/(1-Resumo!$C$5)</f>
        <v>155.720062045455</v>
      </c>
      <c r="U1842" s="39" t="n">
        <v>166.05</v>
      </c>
      <c r="V1842" s="39" t="n">
        <f aca="false">J1842*Resumo!$B$6</f>
        <v>0.77243</v>
      </c>
      <c r="W1842" s="39" t="n">
        <f aca="false">J1842*Resumo!$B$7</f>
        <v>1.54486</v>
      </c>
      <c r="X1842" s="39" t="n">
        <f aca="false">Resumo!$B$9</f>
        <v>1</v>
      </c>
      <c r="Y1842" s="39" t="n">
        <f aca="false">Resumo!$B$10*CEILING(I1842/100,1)</f>
        <v>4.5</v>
      </c>
      <c r="Z1842" s="39" t="n">
        <f aca="false">Resumo!$B$12*CEILING(I1842,1)</f>
        <v>4.14</v>
      </c>
      <c r="AA1842" s="39" t="n">
        <f aca="false">Resumo!$B$13*CEILING(I1842,1)</f>
        <v>31.05</v>
      </c>
      <c r="AB1842" s="39" t="n">
        <f aca="false">SUM(U1842:AA1842)</f>
        <v>209.05729</v>
      </c>
      <c r="AC1842" s="39" t="n">
        <f aca="false">AB1842/(1-Resumo!$B$5)</f>
        <v>237.565102272727</v>
      </c>
      <c r="AD1842" s="39" t="n">
        <f aca="false">(AB1842-AA1842)/(1-Resumo!$B$5)</f>
        <v>202.281011363636</v>
      </c>
      <c r="AE1842" s="39" t="n">
        <f aca="false">AC1842-T1842</f>
        <v>81.8450402272728</v>
      </c>
      <c r="AF1842" s="40" t="n">
        <f aca="false">AC1842/T1842-1</f>
        <v>0.525590852920302</v>
      </c>
      <c r="AG1842" s="37" t="str">
        <f aca="false">IF(AC1842&lt;T1842,"SIM","NÃO")</f>
        <v>NÃO</v>
      </c>
      <c r="AH1842" s="37" t="n">
        <v>13</v>
      </c>
      <c r="AI1842" s="37" t="n">
        <v>10</v>
      </c>
      <c r="AJ1842" s="37" t="s">
        <v>327</v>
      </c>
    </row>
    <row r="1843" customFormat="false" ht="15" hidden="false" customHeight="false" outlineLevel="0" collapsed="false">
      <c r="A1843" s="37" t="n">
        <v>395441522</v>
      </c>
      <c r="B1843" s="38" t="n">
        <v>46281.4181481482</v>
      </c>
      <c r="C1843" s="37" t="s">
        <v>341</v>
      </c>
      <c r="D1843" s="37" t="s">
        <v>1804</v>
      </c>
      <c r="E1843" s="37" t="n">
        <v>28740000</v>
      </c>
      <c r="F1843" s="37" t="s">
        <v>271</v>
      </c>
      <c r="G1843" s="37" t="s">
        <v>201</v>
      </c>
      <c r="H1843" s="37" t="s">
        <v>173</v>
      </c>
      <c r="I1843" s="37" t="n">
        <v>72.7</v>
      </c>
      <c r="J1843" s="39" t="n">
        <v>849.99</v>
      </c>
      <c r="K1843" s="37" t="s">
        <v>322</v>
      </c>
      <c r="L1843" s="39" t="n">
        <v>168.4</v>
      </c>
      <c r="M1843" s="39" t="n">
        <v>124.16</v>
      </c>
      <c r="N1843" s="39" t="n">
        <f aca="false">J1843*Resumo!$C$7</f>
        <v>1.69998</v>
      </c>
      <c r="O1843" s="39" t="n">
        <f aca="false">J1843*Resumo!$C$8</f>
        <v>1.69998</v>
      </c>
      <c r="P1843" s="39" t="n">
        <f aca="false">Resumo!$C$10*CEILING(I1843/100,1)</f>
        <v>1</v>
      </c>
      <c r="Q1843" s="39" t="n">
        <f aca="false">Resumo!$C$9</f>
        <v>11.9</v>
      </c>
      <c r="R1843" s="39" t="n">
        <f aca="false">SUM(M1843:Q1843)*Resumo!$C$11</f>
        <v>7.7252978</v>
      </c>
      <c r="S1843" s="39" t="n">
        <f aca="false">SUM(M1843:R1843)</f>
        <v>148.1852578</v>
      </c>
      <c r="T1843" s="39" t="n">
        <f aca="false">S1843/(1-Resumo!$C$5)</f>
        <v>168.392338409091</v>
      </c>
      <c r="U1843" s="39" t="n">
        <v>181.04</v>
      </c>
      <c r="V1843" s="39" t="n">
        <f aca="false">J1843*Resumo!$B$6</f>
        <v>0.84999</v>
      </c>
      <c r="W1843" s="39" t="n">
        <f aca="false">J1843*Resumo!$B$7</f>
        <v>1.69998</v>
      </c>
      <c r="X1843" s="39" t="n">
        <f aca="false">Resumo!$B$9</f>
        <v>1</v>
      </c>
      <c r="Y1843" s="39" t="n">
        <f aca="false">Resumo!$B$10*CEILING(I1843/100,1)</f>
        <v>4.5</v>
      </c>
      <c r="Z1843" s="39" t="n">
        <f aca="false">Resumo!$B$12*CEILING(I1843,1)</f>
        <v>4.38</v>
      </c>
      <c r="AA1843" s="39" t="n">
        <f aca="false">Resumo!$B$13*CEILING(I1843,1)</f>
        <v>32.85</v>
      </c>
      <c r="AB1843" s="39" t="n">
        <f aca="false">SUM(U1843:AA1843)</f>
        <v>226.31997</v>
      </c>
      <c r="AC1843" s="39" t="n">
        <f aca="false">AB1843/(1-Resumo!$B$5)</f>
        <v>257.181784090909</v>
      </c>
      <c r="AD1843" s="39" t="n">
        <f aca="false">(AB1843-AA1843)/(1-Resumo!$B$5)</f>
        <v>219.852238636364</v>
      </c>
      <c r="AE1843" s="39" t="n">
        <f aca="false">AC1843-T1843</f>
        <v>88.7894456818182</v>
      </c>
      <c r="AF1843" s="40" t="n">
        <f aca="false">AC1843/T1843-1</f>
        <v>0.527277229597666</v>
      </c>
      <c r="AG1843" s="37" t="str">
        <f aca="false">IF(AC1843&lt;T1843,"SIM","NÃO")</f>
        <v>NÃO</v>
      </c>
      <c r="AH1843" s="37" t="n">
        <v>13</v>
      </c>
      <c r="AI1843" s="37" t="n">
        <v>11</v>
      </c>
      <c r="AJ1843" s="37" t="s">
        <v>327</v>
      </c>
    </row>
    <row r="1844" customFormat="false" ht="15" hidden="false" customHeight="false" outlineLevel="0" collapsed="false">
      <c r="A1844" s="37" t="n">
        <v>395412194</v>
      </c>
      <c r="B1844" s="38" t="n">
        <v>46281.4804861111</v>
      </c>
      <c r="C1844" s="37" t="s">
        <v>1993</v>
      </c>
      <c r="D1844" s="37" t="s">
        <v>1994</v>
      </c>
      <c r="E1844" s="37" t="n">
        <v>20770290</v>
      </c>
      <c r="F1844" s="37" t="s">
        <v>139</v>
      </c>
      <c r="G1844" s="37" t="s">
        <v>198</v>
      </c>
      <c r="H1844" s="37" t="s">
        <v>170</v>
      </c>
      <c r="I1844" s="37" t="n">
        <v>45</v>
      </c>
      <c r="J1844" s="39" t="n">
        <v>659.99</v>
      </c>
      <c r="K1844" s="37" t="s">
        <v>322</v>
      </c>
      <c r="L1844" s="39" t="n">
        <v>103.75</v>
      </c>
      <c r="M1844" s="39" t="n">
        <v>71</v>
      </c>
      <c r="N1844" s="39" t="n">
        <f aca="false">J1844*Resumo!$C$7</f>
        <v>1.31998</v>
      </c>
      <c r="O1844" s="39" t="n">
        <f aca="false">J1844*Resumo!$C$8</f>
        <v>1.31998</v>
      </c>
      <c r="P1844" s="39" t="n">
        <f aca="false">Resumo!$C$10*CEILING(I1844/100,1)</f>
        <v>1</v>
      </c>
      <c r="Q1844" s="39" t="n">
        <f aca="false">Resumo!$C$9</f>
        <v>11.9</v>
      </c>
      <c r="R1844" s="39" t="n">
        <f aca="false">SUM(M1844:Q1844)*Resumo!$C$11</f>
        <v>4.7596978</v>
      </c>
      <c r="S1844" s="39" t="n">
        <f aca="false">SUM(M1844:R1844)</f>
        <v>91.2996578</v>
      </c>
      <c r="T1844" s="39" t="n">
        <f aca="false">S1844/(1-Resumo!$C$5)</f>
        <v>103.749611136364</v>
      </c>
      <c r="U1844" s="39" t="n">
        <v>93.97</v>
      </c>
      <c r="V1844" s="39" t="n">
        <f aca="false">J1844*Resumo!$B$6</f>
        <v>0.65999</v>
      </c>
      <c r="W1844" s="39" t="n">
        <f aca="false">J1844*Resumo!$B$7</f>
        <v>1.31998</v>
      </c>
      <c r="X1844" s="39" t="n">
        <f aca="false">Resumo!$B$9</f>
        <v>1</v>
      </c>
      <c r="Y1844" s="39" t="n">
        <f aca="false">Resumo!$B$10*CEILING(I1844/100,1)</f>
        <v>4.5</v>
      </c>
      <c r="Z1844" s="39" t="n">
        <f aca="false">Resumo!$B$12*CEILING(I1844,1)</f>
        <v>2.7</v>
      </c>
      <c r="AA1844" s="39" t="n">
        <f aca="false">Resumo!$B$13*CEILING(I1844,1)</f>
        <v>20.25</v>
      </c>
      <c r="AB1844" s="39" t="n">
        <f aca="false">SUM(U1844:AA1844)</f>
        <v>124.39997</v>
      </c>
      <c r="AC1844" s="39" t="n">
        <f aca="false">AB1844/(1-Resumo!$B$5)</f>
        <v>141.363602272727</v>
      </c>
      <c r="AD1844" s="39" t="n">
        <f aca="false">(AB1844-AA1844)/(1-Resumo!$B$5)</f>
        <v>118.352238636364</v>
      </c>
      <c r="AE1844" s="39" t="n">
        <f aca="false">AC1844-T1844</f>
        <v>37.6139911363636</v>
      </c>
      <c r="AF1844" s="40" t="n">
        <f aca="false">AC1844/T1844-1</f>
        <v>0.362545851732645</v>
      </c>
      <c r="AG1844" s="37" t="str">
        <f aca="false">IF(AC1844&lt;T1844,"SIM","NÃO")</f>
        <v>NÃO</v>
      </c>
      <c r="AH1844" s="37" t="n">
        <v>8</v>
      </c>
      <c r="AI1844" s="37" t="n">
        <v>5</v>
      </c>
      <c r="AJ1844" s="37" t="s">
        <v>323</v>
      </c>
    </row>
    <row r="1845" customFormat="false" ht="15" hidden="false" customHeight="false" outlineLevel="0" collapsed="false">
      <c r="A1845" s="37" t="n">
        <v>395461947</v>
      </c>
      <c r="B1845" s="38" t="n">
        <v>46281.569837963</v>
      </c>
      <c r="C1845" s="37" t="s">
        <v>320</v>
      </c>
      <c r="D1845" s="37" t="s">
        <v>1995</v>
      </c>
      <c r="E1845" s="37" t="n">
        <v>21510014</v>
      </c>
      <c r="F1845" s="37" t="s">
        <v>139</v>
      </c>
      <c r="G1845" s="37" t="s">
        <v>198</v>
      </c>
      <c r="H1845" s="37" t="s">
        <v>171</v>
      </c>
      <c r="I1845" s="37" t="n">
        <v>52.3</v>
      </c>
      <c r="J1845" s="39" t="n">
        <v>645.14</v>
      </c>
      <c r="K1845" s="37" t="s">
        <v>322</v>
      </c>
      <c r="L1845" s="39" t="n">
        <v>114.24</v>
      </c>
      <c r="M1845" s="39" t="n">
        <v>79.81</v>
      </c>
      <c r="N1845" s="39" t="n">
        <f aca="false">J1845*Resumo!$C$7</f>
        <v>1.29028</v>
      </c>
      <c r="O1845" s="39" t="n">
        <f aca="false">J1845*Resumo!$C$8</f>
        <v>1.29028</v>
      </c>
      <c r="P1845" s="39" t="n">
        <f aca="false">Resumo!$C$10*CEILING(I1845/100,1)</f>
        <v>1</v>
      </c>
      <c r="Q1845" s="39" t="n">
        <f aca="false">Resumo!$C$9</f>
        <v>11.9</v>
      </c>
      <c r="R1845" s="39" t="n">
        <f aca="false">SUM(M1845:Q1845)*Resumo!$C$11</f>
        <v>5.2409808</v>
      </c>
      <c r="S1845" s="39" t="n">
        <f aca="false">SUM(M1845:R1845)</f>
        <v>100.5315408</v>
      </c>
      <c r="T1845" s="39" t="n">
        <f aca="false">S1845/(1-Resumo!$C$5)</f>
        <v>114.240387272727</v>
      </c>
      <c r="U1845" s="39" t="n">
        <v>112.3</v>
      </c>
      <c r="V1845" s="39" t="n">
        <f aca="false">J1845*Resumo!$B$6</f>
        <v>0.64514</v>
      </c>
      <c r="W1845" s="39" t="n">
        <f aca="false">J1845*Resumo!$B$7</f>
        <v>1.29028</v>
      </c>
      <c r="X1845" s="39" t="n">
        <f aca="false">Resumo!$B$9</f>
        <v>1</v>
      </c>
      <c r="Y1845" s="39" t="n">
        <f aca="false">Resumo!$B$10*CEILING(I1845/100,1)</f>
        <v>4.5</v>
      </c>
      <c r="Z1845" s="39" t="n">
        <f aca="false">Resumo!$B$12*CEILING(I1845,1)</f>
        <v>3.18</v>
      </c>
      <c r="AA1845" s="39" t="n">
        <f aca="false">Resumo!$B$13*CEILING(I1845,1)</f>
        <v>23.85</v>
      </c>
      <c r="AB1845" s="39" t="n">
        <f aca="false">SUM(U1845:AA1845)</f>
        <v>146.76542</v>
      </c>
      <c r="AC1845" s="39" t="n">
        <f aca="false">AB1845/(1-Resumo!$B$5)</f>
        <v>166.778886363636</v>
      </c>
      <c r="AD1845" s="39" t="n">
        <f aca="false">(AB1845-AA1845)/(1-Resumo!$B$5)</f>
        <v>139.676613636364</v>
      </c>
      <c r="AE1845" s="39" t="n">
        <f aca="false">AC1845-T1845</f>
        <v>52.5384990909091</v>
      </c>
      <c r="AF1845" s="40" t="n">
        <f aca="false">AC1845/T1845-1</f>
        <v>0.459894266337555</v>
      </c>
      <c r="AG1845" s="37" t="str">
        <f aca="false">IF(AC1845&lt;T1845,"SIM","NÃO")</f>
        <v>NÃO</v>
      </c>
      <c r="AH1845" s="37" t="n">
        <v>8</v>
      </c>
      <c r="AI1845" s="37" t="n">
        <v>5</v>
      </c>
      <c r="AJ1845" s="37" t="s">
        <v>323</v>
      </c>
    </row>
    <row r="1846" customFormat="false" ht="15" hidden="false" customHeight="false" outlineLevel="0" collapsed="false">
      <c r="A1846" s="37" t="n">
        <v>395466237</v>
      </c>
      <c r="B1846" s="38" t="n">
        <v>46281.5771990741</v>
      </c>
      <c r="C1846" s="37" t="s">
        <v>325</v>
      </c>
      <c r="D1846" s="37" t="s">
        <v>1996</v>
      </c>
      <c r="E1846" s="37" t="n">
        <v>21710000</v>
      </c>
      <c r="F1846" s="37" t="s">
        <v>139</v>
      </c>
      <c r="G1846" s="37" t="s">
        <v>198</v>
      </c>
      <c r="H1846" s="37" t="s">
        <v>168</v>
      </c>
      <c r="I1846" s="37" t="n">
        <v>20.8</v>
      </c>
      <c r="J1846" s="39" t="n">
        <v>417.99</v>
      </c>
      <c r="K1846" s="37" t="s">
        <v>322</v>
      </c>
      <c r="L1846" s="39" t="n">
        <v>82.34</v>
      </c>
      <c r="M1846" s="39" t="n">
        <v>54.1</v>
      </c>
      <c r="N1846" s="39" t="n">
        <f aca="false">J1846*Resumo!$C$7</f>
        <v>0.83598</v>
      </c>
      <c r="O1846" s="39" t="n">
        <f aca="false">J1846*Resumo!$C$8</f>
        <v>0.83598</v>
      </c>
      <c r="P1846" s="39" t="n">
        <f aca="false">Resumo!$C$10*CEILING(I1846/100,1)</f>
        <v>1</v>
      </c>
      <c r="Q1846" s="39" t="n">
        <f aca="false">Resumo!$C$9</f>
        <v>11.9</v>
      </c>
      <c r="R1846" s="39" t="n">
        <f aca="false">SUM(M1846:Q1846)*Resumo!$C$11</f>
        <v>3.7769578</v>
      </c>
      <c r="S1846" s="39" t="n">
        <f aca="false">SUM(M1846:R1846)</f>
        <v>72.4489178</v>
      </c>
      <c r="T1846" s="39" t="n">
        <f aca="false">S1846/(1-Resumo!$C$5)</f>
        <v>82.3283156818182</v>
      </c>
      <c r="U1846" s="39" t="n">
        <v>82.21</v>
      </c>
      <c r="V1846" s="39" t="n">
        <f aca="false">J1846*Resumo!$B$6</f>
        <v>0.41799</v>
      </c>
      <c r="W1846" s="39" t="n">
        <f aca="false">J1846*Resumo!$B$7</f>
        <v>0.83598</v>
      </c>
      <c r="X1846" s="39" t="n">
        <f aca="false">Resumo!$B$9</f>
        <v>1</v>
      </c>
      <c r="Y1846" s="39" t="n">
        <f aca="false">Resumo!$B$10*CEILING(I1846/100,1)</f>
        <v>4.5</v>
      </c>
      <c r="Z1846" s="39" t="n">
        <f aca="false">Resumo!$B$12*CEILING(I1846,1)</f>
        <v>1.26</v>
      </c>
      <c r="AA1846" s="39" t="n">
        <f aca="false">Resumo!$B$13*CEILING(I1846,1)</f>
        <v>9.45</v>
      </c>
      <c r="AB1846" s="39" t="n">
        <f aca="false">SUM(U1846:AA1846)</f>
        <v>99.67397</v>
      </c>
      <c r="AC1846" s="39" t="n">
        <f aca="false">AB1846/(1-Resumo!$B$5)</f>
        <v>113.265875</v>
      </c>
      <c r="AD1846" s="39" t="n">
        <f aca="false">(AB1846-AA1846)/(1-Resumo!$B$5)</f>
        <v>102.527238636364</v>
      </c>
      <c r="AE1846" s="39" t="n">
        <f aca="false">AC1846-T1846</f>
        <v>30.9375593181818</v>
      </c>
      <c r="AF1846" s="40" t="n">
        <f aca="false">AC1846/T1846-1</f>
        <v>0.375782731153508</v>
      </c>
      <c r="AG1846" s="37" t="str">
        <f aca="false">IF(AC1846&lt;T1846,"SIM","NÃO")</f>
        <v>NÃO</v>
      </c>
      <c r="AH1846" s="37" t="n">
        <v>8</v>
      </c>
      <c r="AI1846" s="37" t="n">
        <v>5</v>
      </c>
      <c r="AJ1846" s="37" t="s">
        <v>323</v>
      </c>
    </row>
    <row r="1847" customFormat="false" ht="15" hidden="false" customHeight="false" outlineLevel="0" collapsed="false">
      <c r="A1847" s="37" t="n">
        <v>395475172</v>
      </c>
      <c r="B1847" s="38" t="n">
        <v>46281.5924305556</v>
      </c>
      <c r="C1847" s="37" t="s">
        <v>325</v>
      </c>
      <c r="D1847" s="37" t="s">
        <v>1659</v>
      </c>
      <c r="E1847" s="37" t="n">
        <v>22753211</v>
      </c>
      <c r="F1847" s="37" t="s">
        <v>139</v>
      </c>
      <c r="G1847" s="37" t="s">
        <v>198</v>
      </c>
      <c r="H1847" s="37" t="s">
        <v>168</v>
      </c>
      <c r="I1847" s="37" t="n">
        <v>27.6</v>
      </c>
      <c r="J1847" s="39" t="n">
        <v>514.79</v>
      </c>
      <c r="K1847" s="37" t="s">
        <v>322</v>
      </c>
      <c r="L1847" s="39" t="n">
        <v>82.8</v>
      </c>
      <c r="M1847" s="39" t="n">
        <v>54.1</v>
      </c>
      <c r="N1847" s="39" t="n">
        <f aca="false">J1847*Resumo!$C$7</f>
        <v>1.02958</v>
      </c>
      <c r="O1847" s="39" t="n">
        <f aca="false">J1847*Resumo!$C$8</f>
        <v>1.02958</v>
      </c>
      <c r="P1847" s="39" t="n">
        <f aca="false">Resumo!$C$10*CEILING(I1847/100,1)</f>
        <v>1</v>
      </c>
      <c r="Q1847" s="39" t="n">
        <f aca="false">Resumo!$C$9</f>
        <v>11.9</v>
      </c>
      <c r="R1847" s="39" t="n">
        <f aca="false">SUM(M1847:Q1847)*Resumo!$C$11</f>
        <v>3.7982538</v>
      </c>
      <c r="S1847" s="39" t="n">
        <f aca="false">SUM(M1847:R1847)</f>
        <v>72.8574138</v>
      </c>
      <c r="T1847" s="39" t="n">
        <f aca="false">S1847/(1-Resumo!$C$5)</f>
        <v>82.7925156818182</v>
      </c>
      <c r="U1847" s="39" t="n">
        <v>82.21</v>
      </c>
      <c r="V1847" s="39" t="n">
        <f aca="false">J1847*Resumo!$B$6</f>
        <v>0.51479</v>
      </c>
      <c r="W1847" s="39" t="n">
        <f aca="false">J1847*Resumo!$B$7</f>
        <v>1.02958</v>
      </c>
      <c r="X1847" s="39" t="n">
        <f aca="false">Resumo!$B$9</f>
        <v>1</v>
      </c>
      <c r="Y1847" s="39" t="n">
        <f aca="false">Resumo!$B$10*CEILING(I1847/100,1)</f>
        <v>4.5</v>
      </c>
      <c r="Z1847" s="39" t="n">
        <f aca="false">Resumo!$B$12*CEILING(I1847,1)</f>
        <v>1.68</v>
      </c>
      <c r="AA1847" s="39" t="n">
        <f aca="false">Resumo!$B$13*CEILING(I1847,1)</f>
        <v>12.6</v>
      </c>
      <c r="AB1847" s="39" t="n">
        <f aca="false">SUM(U1847:AA1847)</f>
        <v>103.53437</v>
      </c>
      <c r="AC1847" s="39" t="n">
        <f aca="false">AB1847/(1-Resumo!$B$5)</f>
        <v>117.652693181818</v>
      </c>
      <c r="AD1847" s="39" t="n">
        <f aca="false">(AB1847-AA1847)/(1-Resumo!$B$5)</f>
        <v>103.334511363636</v>
      </c>
      <c r="AE1847" s="39" t="n">
        <f aca="false">AC1847-T1847</f>
        <v>34.8601775</v>
      </c>
      <c r="AF1847" s="40" t="n">
        <f aca="false">AC1847/T1847-1</f>
        <v>0.421054695740517</v>
      </c>
      <c r="AG1847" s="37" t="str">
        <f aca="false">IF(AC1847&lt;T1847,"SIM","NÃO")</f>
        <v>NÃO</v>
      </c>
      <c r="AH1847" s="37" t="n">
        <v>8</v>
      </c>
      <c r="AI1847" s="37" t="n">
        <v>5</v>
      </c>
      <c r="AJ1847" s="37" t="s">
        <v>323</v>
      </c>
    </row>
    <row r="1848" customFormat="false" ht="15" hidden="false" customHeight="false" outlineLevel="0" collapsed="false">
      <c r="A1848" s="37" t="n">
        <v>395555174</v>
      </c>
      <c r="B1848" s="38" t="n">
        <v>46281.6205324074</v>
      </c>
      <c r="C1848" s="37" t="s">
        <v>341</v>
      </c>
      <c r="D1848" s="37" t="s">
        <v>1997</v>
      </c>
      <c r="E1848" s="37" t="n">
        <v>26290672</v>
      </c>
      <c r="F1848" s="37" t="s">
        <v>142</v>
      </c>
      <c r="G1848" s="37" t="s">
        <v>207</v>
      </c>
      <c r="H1848" s="37" t="s">
        <v>169</v>
      </c>
      <c r="I1848" s="37" t="n">
        <v>37.2</v>
      </c>
      <c r="J1848" s="39" t="n">
        <v>373.99</v>
      </c>
      <c r="K1848" s="37" t="s">
        <v>322</v>
      </c>
      <c r="L1848" s="39" t="n">
        <v>112.75</v>
      </c>
      <c r="M1848" s="39" t="n">
        <v>79.65</v>
      </c>
      <c r="N1848" s="39" t="n">
        <f aca="false">J1848*Resumo!$C$7</f>
        <v>0.74798</v>
      </c>
      <c r="O1848" s="39" t="n">
        <f aca="false">J1848*Resumo!$C$8</f>
        <v>0.74798</v>
      </c>
      <c r="P1848" s="39" t="n">
        <f aca="false">Resumo!$C$10*CEILING(I1848/100,1)</f>
        <v>1</v>
      </c>
      <c r="Q1848" s="39" t="n">
        <f aca="false">Resumo!$C$9</f>
        <v>11.9</v>
      </c>
      <c r="R1848" s="39" t="n">
        <f aca="false">SUM(M1848:Q1848)*Resumo!$C$11</f>
        <v>5.1725278</v>
      </c>
      <c r="S1848" s="39" t="n">
        <f aca="false">SUM(M1848:R1848)</f>
        <v>99.2184878</v>
      </c>
      <c r="T1848" s="39" t="n">
        <f aca="false">S1848/(1-Resumo!$C$5)</f>
        <v>112.748281590909</v>
      </c>
      <c r="U1848" s="39" t="n">
        <v>93.97</v>
      </c>
      <c r="V1848" s="39" t="n">
        <f aca="false">J1848*Resumo!$B$6</f>
        <v>0.37399</v>
      </c>
      <c r="W1848" s="39" t="n">
        <f aca="false">J1848*Resumo!$B$7</f>
        <v>0.74798</v>
      </c>
      <c r="X1848" s="39" t="n">
        <f aca="false">Resumo!$B$9</f>
        <v>1</v>
      </c>
      <c r="Y1848" s="39" t="n">
        <f aca="false">Resumo!$B$10*CEILING(I1848/100,1)</f>
        <v>4.5</v>
      </c>
      <c r="Z1848" s="39" t="n">
        <f aca="false">Resumo!$B$12*CEILING(I1848,1)</f>
        <v>2.28</v>
      </c>
      <c r="AA1848" s="39" t="n">
        <f aca="false">Resumo!$B$13*CEILING(I1848,1)</f>
        <v>17.1</v>
      </c>
      <c r="AB1848" s="39" t="n">
        <f aca="false">SUM(U1848:AA1848)</f>
        <v>119.97197</v>
      </c>
      <c r="AC1848" s="39" t="n">
        <f aca="false">AB1848/(1-Resumo!$B$5)</f>
        <v>136.331784090909</v>
      </c>
      <c r="AD1848" s="39" t="n">
        <f aca="false">(AB1848-AA1848)/(1-Resumo!$B$5)</f>
        <v>116.899965909091</v>
      </c>
      <c r="AE1848" s="39" t="n">
        <f aca="false">AC1848-T1848</f>
        <v>23.5835025</v>
      </c>
      <c r="AF1848" s="40" t="n">
        <f aca="false">AC1848/T1848-1</f>
        <v>0.209169507217585</v>
      </c>
      <c r="AG1848" s="37" t="str">
        <f aca="false">IF(AC1848&lt;T1848,"SIM","NÃO")</f>
        <v>NÃO</v>
      </c>
      <c r="AH1848" s="37" t="n">
        <v>10</v>
      </c>
      <c r="AI1848" s="37" t="n">
        <v>5</v>
      </c>
      <c r="AJ1848" s="37" t="s">
        <v>323</v>
      </c>
    </row>
    <row r="1849" customFormat="false" ht="15" hidden="false" customHeight="false" outlineLevel="0" collapsed="false">
      <c r="A1849" s="37" t="n">
        <v>395499661</v>
      </c>
      <c r="B1849" s="38" t="n">
        <v>46281.6356134259</v>
      </c>
      <c r="C1849" s="37" t="s">
        <v>320</v>
      </c>
      <c r="D1849" s="37" t="s">
        <v>1998</v>
      </c>
      <c r="E1849" s="37" t="n">
        <v>23062410</v>
      </c>
      <c r="F1849" s="37" t="s">
        <v>139</v>
      </c>
      <c r="G1849" s="37" t="s">
        <v>198</v>
      </c>
      <c r="H1849" s="37" t="s">
        <v>168</v>
      </c>
      <c r="I1849" s="37" t="n">
        <v>27</v>
      </c>
      <c r="J1849" s="39" t="n">
        <v>349.99</v>
      </c>
      <c r="K1849" s="37" t="s">
        <v>322</v>
      </c>
      <c r="L1849" s="39" t="n">
        <v>82</v>
      </c>
      <c r="M1849" s="39" t="n">
        <v>54.1</v>
      </c>
      <c r="N1849" s="39" t="n">
        <f aca="false">J1849*Resumo!$C$7</f>
        <v>0.69998</v>
      </c>
      <c r="O1849" s="39" t="n">
        <f aca="false">J1849*Resumo!$C$8</f>
        <v>0.69998</v>
      </c>
      <c r="P1849" s="39" t="n">
        <f aca="false">Resumo!$C$10*CEILING(I1849/100,1)</f>
        <v>1</v>
      </c>
      <c r="Q1849" s="39" t="n">
        <f aca="false">Resumo!$C$9</f>
        <v>11.9</v>
      </c>
      <c r="R1849" s="39" t="n">
        <f aca="false">SUM(M1849:Q1849)*Resumo!$C$11</f>
        <v>3.7619978</v>
      </c>
      <c r="S1849" s="39" t="n">
        <f aca="false">SUM(M1849:R1849)</f>
        <v>72.1619578</v>
      </c>
      <c r="T1849" s="39" t="n">
        <f aca="false">S1849/(1-Resumo!$C$5)</f>
        <v>82.0022247727273</v>
      </c>
      <c r="U1849" s="39" t="n">
        <v>82.21</v>
      </c>
      <c r="V1849" s="39" t="n">
        <f aca="false">J1849*Resumo!$B$6</f>
        <v>0.34999</v>
      </c>
      <c r="W1849" s="39" t="n">
        <f aca="false">J1849*Resumo!$B$7</f>
        <v>0.69998</v>
      </c>
      <c r="X1849" s="39" t="n">
        <f aca="false">Resumo!$B$9</f>
        <v>1</v>
      </c>
      <c r="Y1849" s="39" t="n">
        <f aca="false">Resumo!$B$10*CEILING(I1849/100,1)</f>
        <v>4.5</v>
      </c>
      <c r="Z1849" s="39" t="n">
        <f aca="false">Resumo!$B$12*CEILING(I1849,1)</f>
        <v>1.62</v>
      </c>
      <c r="AA1849" s="39" t="n">
        <f aca="false">Resumo!$B$13*CEILING(I1849,1)</f>
        <v>12.15</v>
      </c>
      <c r="AB1849" s="39" t="n">
        <f aca="false">SUM(U1849:AA1849)</f>
        <v>102.52997</v>
      </c>
      <c r="AC1849" s="39" t="n">
        <f aca="false">AB1849/(1-Resumo!$B$5)</f>
        <v>116.511329545455</v>
      </c>
      <c r="AD1849" s="39" t="n">
        <f aca="false">(AB1849-AA1849)/(1-Resumo!$B$5)</f>
        <v>102.704511363636</v>
      </c>
      <c r="AE1849" s="39" t="n">
        <f aca="false">AC1849-T1849</f>
        <v>34.5091047727273</v>
      </c>
      <c r="AF1849" s="40" t="n">
        <f aca="false">AC1849/T1849-1</f>
        <v>0.42083132339849</v>
      </c>
      <c r="AG1849" s="37" t="str">
        <f aca="false">IF(AC1849&lt;T1849,"SIM","NÃO")</f>
        <v>NÃO</v>
      </c>
      <c r="AH1849" s="37" t="n">
        <v>8</v>
      </c>
      <c r="AI1849" s="37" t="n">
        <v>5</v>
      </c>
      <c r="AJ1849" s="37" t="s">
        <v>323</v>
      </c>
    </row>
    <row r="1850" customFormat="false" ht="15" hidden="false" customHeight="false" outlineLevel="0" collapsed="false">
      <c r="A1850" s="37" t="n">
        <v>395501177</v>
      </c>
      <c r="B1850" s="38" t="n">
        <v>46281.6383217593</v>
      </c>
      <c r="C1850" s="37" t="s">
        <v>320</v>
      </c>
      <c r="D1850" s="37" t="s">
        <v>1222</v>
      </c>
      <c r="E1850" s="37" t="n">
        <v>22753155</v>
      </c>
      <c r="F1850" s="37" t="s">
        <v>139</v>
      </c>
      <c r="G1850" s="37" t="s">
        <v>198</v>
      </c>
      <c r="H1850" s="37" t="s">
        <v>168</v>
      </c>
      <c r="I1850" s="37" t="n">
        <v>20.9</v>
      </c>
      <c r="J1850" s="39" t="n">
        <v>440.99</v>
      </c>
      <c r="K1850" s="37" t="s">
        <v>322</v>
      </c>
      <c r="L1850" s="39" t="n">
        <v>82.43</v>
      </c>
      <c r="M1850" s="39" t="n">
        <v>54.1</v>
      </c>
      <c r="N1850" s="39" t="n">
        <f aca="false">J1850*Resumo!$C$7</f>
        <v>0.88198</v>
      </c>
      <c r="O1850" s="39" t="n">
        <f aca="false">J1850*Resumo!$C$8</f>
        <v>0.88198</v>
      </c>
      <c r="P1850" s="39" t="n">
        <f aca="false">Resumo!$C$10*CEILING(I1850/100,1)</f>
        <v>1</v>
      </c>
      <c r="Q1850" s="39" t="n">
        <f aca="false">Resumo!$C$9</f>
        <v>11.9</v>
      </c>
      <c r="R1850" s="39" t="n">
        <f aca="false">SUM(M1850:Q1850)*Resumo!$C$11</f>
        <v>3.7820178</v>
      </c>
      <c r="S1850" s="39" t="n">
        <f aca="false">SUM(M1850:R1850)</f>
        <v>72.5459778</v>
      </c>
      <c r="T1850" s="39" t="n">
        <f aca="false">S1850/(1-Resumo!$C$5)</f>
        <v>82.4386111363636</v>
      </c>
      <c r="U1850" s="39" t="n">
        <v>82.21</v>
      </c>
      <c r="V1850" s="39" t="n">
        <f aca="false">J1850*Resumo!$B$6</f>
        <v>0.44099</v>
      </c>
      <c r="W1850" s="39" t="n">
        <f aca="false">J1850*Resumo!$B$7</f>
        <v>0.88198</v>
      </c>
      <c r="X1850" s="39" t="n">
        <f aca="false">Resumo!$B$9</f>
        <v>1</v>
      </c>
      <c r="Y1850" s="39" t="n">
        <f aca="false">Resumo!$B$10*CEILING(I1850/100,1)</f>
        <v>4.5</v>
      </c>
      <c r="Z1850" s="39" t="n">
        <f aca="false">Resumo!$B$12*CEILING(I1850,1)</f>
        <v>1.26</v>
      </c>
      <c r="AA1850" s="39" t="n">
        <f aca="false">Resumo!$B$13*CEILING(I1850,1)</f>
        <v>9.45</v>
      </c>
      <c r="AB1850" s="39" t="n">
        <f aca="false">SUM(U1850:AA1850)</f>
        <v>99.74297</v>
      </c>
      <c r="AC1850" s="39" t="n">
        <f aca="false">AB1850/(1-Resumo!$B$5)</f>
        <v>113.344284090909</v>
      </c>
      <c r="AD1850" s="39" t="n">
        <f aca="false">(AB1850-AA1850)/(1-Resumo!$B$5)</f>
        <v>102.605647727273</v>
      </c>
      <c r="AE1850" s="39" t="n">
        <f aca="false">AC1850-T1850</f>
        <v>30.9056729545455</v>
      </c>
      <c r="AF1850" s="40" t="n">
        <f aca="false">AC1850/T1850-1</f>
        <v>0.374893178433388</v>
      </c>
      <c r="AG1850" s="37" t="str">
        <f aca="false">IF(AC1850&lt;T1850,"SIM","NÃO")</f>
        <v>NÃO</v>
      </c>
      <c r="AH1850" s="37" t="n">
        <v>8</v>
      </c>
      <c r="AI1850" s="37" t="n">
        <v>5</v>
      </c>
      <c r="AJ1850" s="37" t="s">
        <v>323</v>
      </c>
    </row>
    <row r="1851" customFormat="false" ht="15" hidden="false" customHeight="false" outlineLevel="0" collapsed="false">
      <c r="A1851" s="37" t="n">
        <v>395526784</v>
      </c>
      <c r="B1851" s="38" t="n">
        <v>46281.687037037</v>
      </c>
      <c r="C1851" s="37" t="s">
        <v>325</v>
      </c>
      <c r="D1851" s="37" t="s">
        <v>1999</v>
      </c>
      <c r="E1851" s="37" t="n">
        <v>23016480</v>
      </c>
      <c r="F1851" s="37" t="s">
        <v>139</v>
      </c>
      <c r="G1851" s="37" t="s">
        <v>198</v>
      </c>
      <c r="H1851" s="37" t="s">
        <v>168</v>
      </c>
      <c r="I1851" s="37" t="n">
        <v>34.8</v>
      </c>
      <c r="J1851" s="39" t="n">
        <v>425</v>
      </c>
      <c r="K1851" s="37" t="s">
        <v>322</v>
      </c>
      <c r="L1851" s="39" t="n">
        <v>82.36</v>
      </c>
      <c r="M1851" s="39" t="n">
        <v>54.1</v>
      </c>
      <c r="N1851" s="39" t="n">
        <f aca="false">J1851*Resumo!$C$7</f>
        <v>0.85</v>
      </c>
      <c r="O1851" s="39" t="n">
        <f aca="false">J1851*Resumo!$C$8</f>
        <v>0.85</v>
      </c>
      <c r="P1851" s="39" t="n">
        <f aca="false">Resumo!$C$10*CEILING(I1851/100,1)</f>
        <v>1</v>
      </c>
      <c r="Q1851" s="39" t="n">
        <f aca="false">Resumo!$C$9</f>
        <v>11.9</v>
      </c>
      <c r="R1851" s="39" t="n">
        <f aca="false">SUM(M1851:Q1851)*Resumo!$C$11</f>
        <v>3.7785</v>
      </c>
      <c r="S1851" s="39" t="n">
        <f aca="false">SUM(M1851:R1851)</f>
        <v>72.4785</v>
      </c>
      <c r="T1851" s="39" t="n">
        <f aca="false">S1851/(1-Resumo!$C$5)</f>
        <v>82.3619318181818</v>
      </c>
      <c r="U1851" s="39" t="n">
        <v>82.21</v>
      </c>
      <c r="V1851" s="39" t="n">
        <f aca="false">J1851*Resumo!$B$6</f>
        <v>0.425</v>
      </c>
      <c r="W1851" s="39" t="n">
        <f aca="false">J1851*Resumo!$B$7</f>
        <v>0.85</v>
      </c>
      <c r="X1851" s="39" t="n">
        <f aca="false">Resumo!$B$9</f>
        <v>1</v>
      </c>
      <c r="Y1851" s="39" t="n">
        <f aca="false">Resumo!$B$10*CEILING(I1851/100,1)</f>
        <v>4.5</v>
      </c>
      <c r="Z1851" s="39" t="n">
        <f aca="false">Resumo!$B$12*CEILING(I1851,1)</f>
        <v>2.1</v>
      </c>
      <c r="AA1851" s="39" t="n">
        <f aca="false">Resumo!$B$13*CEILING(I1851,1)</f>
        <v>15.75</v>
      </c>
      <c r="AB1851" s="39" t="n">
        <f aca="false">SUM(U1851:AA1851)</f>
        <v>106.835</v>
      </c>
      <c r="AC1851" s="39" t="n">
        <f aca="false">AB1851/(1-Resumo!$B$5)</f>
        <v>121.403409090909</v>
      </c>
      <c r="AD1851" s="39" t="n">
        <f aca="false">(AB1851-AA1851)/(1-Resumo!$B$5)</f>
        <v>103.505681818182</v>
      </c>
      <c r="AE1851" s="39" t="n">
        <f aca="false">AC1851-T1851</f>
        <v>39.0414772727273</v>
      </c>
      <c r="AF1851" s="40" t="n">
        <f aca="false">AC1851/T1851-1</f>
        <v>0.474023331056796</v>
      </c>
      <c r="AG1851" s="37" t="str">
        <f aca="false">IF(AC1851&lt;T1851,"SIM","NÃO")</f>
        <v>NÃO</v>
      </c>
      <c r="AH1851" s="37" t="n">
        <v>8</v>
      </c>
      <c r="AI1851" s="37" t="n">
        <v>5</v>
      </c>
      <c r="AJ1851" s="37" t="s">
        <v>323</v>
      </c>
    </row>
    <row r="1852" customFormat="false" ht="15" hidden="false" customHeight="false" outlineLevel="0" collapsed="false">
      <c r="A1852" s="37" t="n">
        <v>395531108</v>
      </c>
      <c r="B1852" s="38" t="n">
        <v>46281.695462963</v>
      </c>
      <c r="C1852" s="37" t="s">
        <v>320</v>
      </c>
      <c r="D1852" s="37" t="s">
        <v>2000</v>
      </c>
      <c r="E1852" s="37" t="n">
        <v>24350068</v>
      </c>
      <c r="F1852" s="37" t="s">
        <v>143</v>
      </c>
      <c r="G1852" s="37" t="s">
        <v>207</v>
      </c>
      <c r="H1852" s="37" t="s">
        <v>168</v>
      </c>
      <c r="I1852" s="37" t="n">
        <v>34.1</v>
      </c>
      <c r="J1852" s="39" t="n">
        <v>419.6</v>
      </c>
      <c r="K1852" s="37" t="s">
        <v>322</v>
      </c>
      <c r="L1852" s="39" t="n">
        <v>101.4</v>
      </c>
      <c r="M1852" s="39" t="n">
        <v>70</v>
      </c>
      <c r="N1852" s="39" t="n">
        <f aca="false">J1852*Resumo!$C$7</f>
        <v>0.8392</v>
      </c>
      <c r="O1852" s="39" t="n">
        <f aca="false">J1852*Resumo!$C$8</f>
        <v>0.8392</v>
      </c>
      <c r="P1852" s="39" t="n">
        <f aca="false">Resumo!$C$10*CEILING(I1852/100,1)</f>
        <v>1</v>
      </c>
      <c r="Q1852" s="39" t="n">
        <f aca="false">Resumo!$C$9</f>
        <v>11.9</v>
      </c>
      <c r="R1852" s="39" t="n">
        <f aca="false">SUM(M1852:Q1852)*Resumo!$C$11</f>
        <v>4.651812</v>
      </c>
      <c r="S1852" s="39" t="n">
        <f aca="false">SUM(M1852:R1852)</f>
        <v>89.230212</v>
      </c>
      <c r="T1852" s="39" t="n">
        <f aca="false">S1852/(1-Resumo!$C$5)</f>
        <v>101.397968181818</v>
      </c>
      <c r="U1852" s="39" t="n">
        <v>100.58</v>
      </c>
      <c r="V1852" s="39" t="n">
        <f aca="false">J1852*Resumo!$B$6</f>
        <v>0.4196</v>
      </c>
      <c r="W1852" s="39" t="n">
        <f aca="false">J1852*Resumo!$B$7</f>
        <v>0.8392</v>
      </c>
      <c r="X1852" s="39" t="n">
        <f aca="false">Resumo!$B$9</f>
        <v>1</v>
      </c>
      <c r="Y1852" s="39" t="n">
        <f aca="false">Resumo!$B$10*CEILING(I1852/100,1)</f>
        <v>4.5</v>
      </c>
      <c r="Z1852" s="39" t="n">
        <f aca="false">Resumo!$B$12*CEILING(I1852,1)</f>
        <v>2.1</v>
      </c>
      <c r="AA1852" s="39" t="n">
        <f aca="false">Resumo!$B$13*CEILING(I1852,1)</f>
        <v>15.75</v>
      </c>
      <c r="AB1852" s="39" t="n">
        <f aca="false">SUM(U1852:AA1852)</f>
        <v>125.1888</v>
      </c>
      <c r="AC1852" s="39" t="n">
        <f aca="false">AB1852/(1-Resumo!$B$5)</f>
        <v>142.26</v>
      </c>
      <c r="AD1852" s="39" t="n">
        <f aca="false">(AB1852-AA1852)/(1-Resumo!$B$5)</f>
        <v>124.362272727273</v>
      </c>
      <c r="AE1852" s="39" t="n">
        <f aca="false">AC1852-T1852</f>
        <v>40.8620318181818</v>
      </c>
      <c r="AF1852" s="40" t="n">
        <f aca="false">AC1852/T1852-1</f>
        <v>0.402986692444483</v>
      </c>
      <c r="AG1852" s="37" t="str">
        <f aca="false">IF(AC1852&lt;T1852,"SIM","NÃO")</f>
        <v>NÃO</v>
      </c>
      <c r="AH1852" s="37" t="n">
        <v>10</v>
      </c>
      <c r="AI1852" s="37" t="n">
        <v>7</v>
      </c>
      <c r="AJ1852" s="37" t="s">
        <v>323</v>
      </c>
    </row>
    <row r="1853" customFormat="false" ht="15" hidden="false" customHeight="false" outlineLevel="0" collapsed="false">
      <c r="A1853" s="37" t="n">
        <v>395536611</v>
      </c>
      <c r="B1853" s="38" t="n">
        <v>46281.7062268519</v>
      </c>
      <c r="C1853" s="37" t="s">
        <v>320</v>
      </c>
      <c r="D1853" s="37" t="s">
        <v>2001</v>
      </c>
      <c r="E1853" s="37" t="n">
        <v>23065620</v>
      </c>
      <c r="F1853" s="37" t="s">
        <v>139</v>
      </c>
      <c r="G1853" s="37" t="s">
        <v>198</v>
      </c>
      <c r="H1853" s="37" t="s">
        <v>170</v>
      </c>
      <c r="I1853" s="37" t="n">
        <v>48.3</v>
      </c>
      <c r="J1853" s="39" t="n">
        <v>449.65</v>
      </c>
      <c r="K1853" s="37" t="s">
        <v>322</v>
      </c>
      <c r="L1853" s="39" t="n">
        <v>102.74</v>
      </c>
      <c r="M1853" s="39" t="n">
        <v>71</v>
      </c>
      <c r="N1853" s="39" t="n">
        <f aca="false">J1853*Resumo!$C$7</f>
        <v>0.8993</v>
      </c>
      <c r="O1853" s="39" t="n">
        <f aca="false">J1853*Resumo!$C$8</f>
        <v>0.8993</v>
      </c>
      <c r="P1853" s="39" t="n">
        <f aca="false">Resumo!$C$10*CEILING(I1853/100,1)</f>
        <v>1</v>
      </c>
      <c r="Q1853" s="39" t="n">
        <f aca="false">Resumo!$C$9</f>
        <v>11.9</v>
      </c>
      <c r="R1853" s="39" t="n">
        <f aca="false">SUM(M1853:Q1853)*Resumo!$C$11</f>
        <v>4.713423</v>
      </c>
      <c r="S1853" s="39" t="n">
        <f aca="false">SUM(M1853:R1853)</f>
        <v>90.412023</v>
      </c>
      <c r="T1853" s="39" t="n">
        <f aca="false">S1853/(1-Resumo!$C$5)</f>
        <v>102.740935227273</v>
      </c>
      <c r="U1853" s="39" t="n">
        <v>93.97</v>
      </c>
      <c r="V1853" s="39" t="n">
        <f aca="false">J1853*Resumo!$B$6</f>
        <v>0.44965</v>
      </c>
      <c r="W1853" s="39" t="n">
        <f aca="false">J1853*Resumo!$B$7</f>
        <v>0.8993</v>
      </c>
      <c r="X1853" s="39" t="n">
        <f aca="false">Resumo!$B$9</f>
        <v>1</v>
      </c>
      <c r="Y1853" s="39" t="n">
        <f aca="false">Resumo!$B$10*CEILING(I1853/100,1)</f>
        <v>4.5</v>
      </c>
      <c r="Z1853" s="39" t="n">
        <f aca="false">Resumo!$B$12*CEILING(I1853,1)</f>
        <v>2.94</v>
      </c>
      <c r="AA1853" s="39" t="n">
        <f aca="false">Resumo!$B$13*CEILING(I1853,1)</f>
        <v>22.05</v>
      </c>
      <c r="AB1853" s="39" t="n">
        <f aca="false">SUM(U1853:AA1853)</f>
        <v>125.80895</v>
      </c>
      <c r="AC1853" s="39" t="n">
        <f aca="false">AB1853/(1-Resumo!$B$5)</f>
        <v>142.964715909091</v>
      </c>
      <c r="AD1853" s="39" t="n">
        <f aca="false">(AB1853-AA1853)/(1-Resumo!$B$5)</f>
        <v>117.907897727273</v>
      </c>
      <c r="AE1853" s="39" t="n">
        <f aca="false">AC1853-T1853</f>
        <v>40.2237806818182</v>
      </c>
      <c r="AF1853" s="40" t="n">
        <f aca="false">AC1853/T1853-1</f>
        <v>0.391506857445276</v>
      </c>
      <c r="AG1853" s="37" t="str">
        <f aca="false">IF(AC1853&lt;T1853,"SIM","NÃO")</f>
        <v>NÃO</v>
      </c>
      <c r="AH1853" s="37" t="n">
        <v>8</v>
      </c>
      <c r="AI1853" s="37" t="n">
        <v>5</v>
      </c>
      <c r="AJ1853" s="37" t="s">
        <v>323</v>
      </c>
    </row>
    <row r="1854" customFormat="false" ht="15" hidden="false" customHeight="false" outlineLevel="0" collapsed="false">
      <c r="A1854" s="37" t="n">
        <v>395565951</v>
      </c>
      <c r="B1854" s="38" t="n">
        <v>46281.7634606482</v>
      </c>
      <c r="C1854" s="37" t="s">
        <v>355</v>
      </c>
      <c r="D1854" s="37" t="s">
        <v>2002</v>
      </c>
      <c r="E1854" s="37" t="n">
        <v>25075300</v>
      </c>
      <c r="F1854" s="37" t="s">
        <v>141</v>
      </c>
      <c r="G1854" s="37" t="s">
        <v>207</v>
      </c>
      <c r="H1854" s="37" t="s">
        <v>171</v>
      </c>
      <c r="I1854" s="37" t="n">
        <v>52.3</v>
      </c>
      <c r="J1854" s="39" t="n">
        <v>612.73</v>
      </c>
      <c r="K1854" s="37" t="s">
        <v>322</v>
      </c>
      <c r="L1854" s="39" t="n">
        <v>128.23</v>
      </c>
      <c r="M1854" s="39" t="n">
        <v>91.6</v>
      </c>
      <c r="N1854" s="39" t="n">
        <f aca="false">J1854*Resumo!$C$7</f>
        <v>1.22546</v>
      </c>
      <c r="O1854" s="39" t="n">
        <f aca="false">J1854*Resumo!$C$8</f>
        <v>1.22546</v>
      </c>
      <c r="P1854" s="39" t="n">
        <f aca="false">Resumo!$C$10*CEILING(I1854/100,1)</f>
        <v>1</v>
      </c>
      <c r="Q1854" s="39" t="n">
        <f aca="false">Resumo!$C$9</f>
        <v>11.9</v>
      </c>
      <c r="R1854" s="39" t="n">
        <f aca="false">SUM(M1854:Q1854)*Resumo!$C$11</f>
        <v>5.8823006</v>
      </c>
      <c r="S1854" s="39" t="n">
        <f aca="false">SUM(M1854:R1854)</f>
        <v>112.8332206</v>
      </c>
      <c r="T1854" s="39" t="n">
        <f aca="false">S1854/(1-Resumo!$C$5)</f>
        <v>128.219568863636</v>
      </c>
      <c r="U1854" s="39" t="n">
        <v>112.3</v>
      </c>
      <c r="V1854" s="39" t="n">
        <f aca="false">J1854*Resumo!$B$6</f>
        <v>0.61273</v>
      </c>
      <c r="W1854" s="39" t="n">
        <f aca="false">J1854*Resumo!$B$7</f>
        <v>1.22546</v>
      </c>
      <c r="X1854" s="39" t="n">
        <f aca="false">Resumo!$B$9</f>
        <v>1</v>
      </c>
      <c r="Y1854" s="39" t="n">
        <f aca="false">Resumo!$B$10*CEILING(I1854/100,1)</f>
        <v>4.5</v>
      </c>
      <c r="Z1854" s="39" t="n">
        <f aca="false">Resumo!$B$12*CEILING(I1854,1)</f>
        <v>3.18</v>
      </c>
      <c r="AA1854" s="39" t="n">
        <f aca="false">Resumo!$B$13*CEILING(I1854,1)</f>
        <v>23.85</v>
      </c>
      <c r="AB1854" s="39" t="n">
        <f aca="false">SUM(U1854:AA1854)</f>
        <v>146.66819</v>
      </c>
      <c r="AC1854" s="39" t="n">
        <f aca="false">AB1854/(1-Resumo!$B$5)</f>
        <v>166.668397727273</v>
      </c>
      <c r="AD1854" s="39" t="n">
        <f aca="false">(AB1854-AA1854)/(1-Resumo!$B$5)</f>
        <v>139.566125</v>
      </c>
      <c r="AE1854" s="39" t="n">
        <f aca="false">AC1854-T1854</f>
        <v>38.4488288636364</v>
      </c>
      <c r="AF1854" s="40" t="n">
        <f aca="false">AC1854/T1854-1</f>
        <v>0.299867088966173</v>
      </c>
      <c r="AG1854" s="37" t="str">
        <f aca="false">IF(AC1854&lt;T1854,"SIM","NÃO")</f>
        <v>NÃO</v>
      </c>
      <c r="AH1854" s="37" t="n">
        <v>10</v>
      </c>
      <c r="AI1854" s="37" t="n">
        <v>5</v>
      </c>
      <c r="AJ1854" s="37" t="s">
        <v>323</v>
      </c>
    </row>
    <row r="1855" customFormat="false" ht="15" hidden="false" customHeight="false" outlineLevel="0" collapsed="false">
      <c r="A1855" s="37" t="n">
        <v>395568620</v>
      </c>
      <c r="B1855" s="38" t="n">
        <v>46281.7673032407</v>
      </c>
      <c r="C1855" s="37" t="s">
        <v>325</v>
      </c>
      <c r="D1855" s="37" t="s">
        <v>2003</v>
      </c>
      <c r="E1855" s="37" t="n">
        <v>21665062</v>
      </c>
      <c r="F1855" s="37" t="s">
        <v>139</v>
      </c>
      <c r="G1855" s="37" t="s">
        <v>198</v>
      </c>
      <c r="H1855" s="37" t="s">
        <v>172</v>
      </c>
      <c r="I1855" s="37" t="n">
        <v>69.45</v>
      </c>
      <c r="J1855" s="39" t="n">
        <v>761.79</v>
      </c>
      <c r="K1855" s="37" t="s">
        <v>322</v>
      </c>
      <c r="L1855" s="39" t="n">
        <v>124.85</v>
      </c>
      <c r="M1855" s="39" t="n">
        <v>88.2</v>
      </c>
      <c r="N1855" s="39" t="n">
        <f aca="false">J1855*Resumo!$C$7</f>
        <v>1.52358</v>
      </c>
      <c r="O1855" s="39" t="n">
        <f aca="false">J1855*Resumo!$C$8</f>
        <v>1.52358</v>
      </c>
      <c r="P1855" s="39" t="n">
        <f aca="false">Resumo!$C$10*CEILING(I1855/100,1)</f>
        <v>1</v>
      </c>
      <c r="Q1855" s="39" t="n">
        <f aca="false">Resumo!$C$9</f>
        <v>11.9</v>
      </c>
      <c r="R1855" s="39" t="n">
        <f aca="false">SUM(M1855:Q1855)*Resumo!$C$11</f>
        <v>5.7280938</v>
      </c>
      <c r="S1855" s="39" t="n">
        <f aca="false">SUM(M1855:R1855)</f>
        <v>109.8752538</v>
      </c>
      <c r="T1855" s="39" t="n">
        <f aca="false">S1855/(1-Resumo!$C$5)</f>
        <v>124.858242954545</v>
      </c>
      <c r="U1855" s="39" t="n">
        <v>131.02</v>
      </c>
      <c r="V1855" s="39" t="n">
        <f aca="false">J1855*Resumo!$B$6</f>
        <v>0.76179</v>
      </c>
      <c r="W1855" s="39" t="n">
        <f aca="false">J1855*Resumo!$B$7</f>
        <v>1.52358</v>
      </c>
      <c r="X1855" s="39" t="n">
        <f aca="false">Resumo!$B$9</f>
        <v>1</v>
      </c>
      <c r="Y1855" s="39" t="n">
        <f aca="false">Resumo!$B$10*CEILING(I1855/100,1)</f>
        <v>4.5</v>
      </c>
      <c r="Z1855" s="39" t="n">
        <f aca="false">Resumo!$B$12*CEILING(I1855,1)</f>
        <v>4.2</v>
      </c>
      <c r="AA1855" s="39" t="n">
        <f aca="false">Resumo!$B$13*CEILING(I1855,1)</f>
        <v>31.5</v>
      </c>
      <c r="AB1855" s="39" t="n">
        <f aca="false">SUM(U1855:AA1855)</f>
        <v>174.50537</v>
      </c>
      <c r="AC1855" s="39" t="n">
        <f aca="false">AB1855/(1-Resumo!$B$5)</f>
        <v>198.301556818182</v>
      </c>
      <c r="AD1855" s="39" t="n">
        <f aca="false">(AB1855-AA1855)/(1-Resumo!$B$5)</f>
        <v>162.506102272727</v>
      </c>
      <c r="AE1855" s="39" t="n">
        <f aca="false">AC1855-T1855</f>
        <v>73.4433138636364</v>
      </c>
      <c r="AF1855" s="40" t="n">
        <f aca="false">AC1855/T1855-1</f>
        <v>0.588213578260695</v>
      </c>
      <c r="AG1855" s="37" t="str">
        <f aca="false">IF(AC1855&lt;T1855,"SIM","NÃO")</f>
        <v>NÃO</v>
      </c>
      <c r="AH1855" s="37" t="n">
        <v>8</v>
      </c>
      <c r="AI1855" s="37" t="n">
        <v>5</v>
      </c>
      <c r="AJ1855" s="37" t="s">
        <v>323</v>
      </c>
    </row>
    <row r="1856" customFormat="false" ht="15" hidden="false" customHeight="false" outlineLevel="0" collapsed="false">
      <c r="A1856" s="37" t="n">
        <v>395572874</v>
      </c>
      <c r="B1856" s="38" t="n">
        <v>46281.7761805556</v>
      </c>
      <c r="C1856" s="37" t="s">
        <v>320</v>
      </c>
      <c r="D1856" s="37" t="s">
        <v>868</v>
      </c>
      <c r="E1856" s="37" t="n">
        <v>28360000</v>
      </c>
      <c r="F1856" s="37" t="s">
        <v>250</v>
      </c>
      <c r="G1856" s="37" t="s">
        <v>201</v>
      </c>
      <c r="H1856" s="37" t="s">
        <v>170</v>
      </c>
      <c r="I1856" s="37" t="n">
        <v>41.4</v>
      </c>
      <c r="J1856" s="39" t="n">
        <v>413.55</v>
      </c>
      <c r="K1856" s="37" t="s">
        <v>322</v>
      </c>
      <c r="L1856" s="39" t="n">
        <v>130.15</v>
      </c>
      <c r="M1856" s="39" t="n">
        <v>94</v>
      </c>
      <c r="N1856" s="39" t="n">
        <f aca="false">J1856*Resumo!$C$7</f>
        <v>0.8271</v>
      </c>
      <c r="O1856" s="39" t="n">
        <f aca="false">J1856*Resumo!$C$8</f>
        <v>0.8271</v>
      </c>
      <c r="P1856" s="39" t="n">
        <f aca="false">Resumo!$C$10*CEILING(I1856/100,1)</f>
        <v>1</v>
      </c>
      <c r="Q1856" s="39" t="n">
        <f aca="false">Resumo!$C$9</f>
        <v>11.9</v>
      </c>
      <c r="R1856" s="39" t="n">
        <f aca="false">SUM(M1856:Q1856)*Resumo!$C$11</f>
        <v>5.970481</v>
      </c>
      <c r="S1856" s="39" t="n">
        <f aca="false">SUM(M1856:R1856)</f>
        <v>114.524681</v>
      </c>
      <c r="T1856" s="39" t="n">
        <f aca="false">S1856/(1-Resumo!$C$5)</f>
        <v>130.141682954545</v>
      </c>
      <c r="U1856" s="39" t="n">
        <v>152.54</v>
      </c>
      <c r="V1856" s="39" t="n">
        <f aca="false">J1856*Resumo!$B$6</f>
        <v>0.41355</v>
      </c>
      <c r="W1856" s="39" t="n">
        <f aca="false">J1856*Resumo!$B$7</f>
        <v>0.8271</v>
      </c>
      <c r="X1856" s="39" t="n">
        <f aca="false">Resumo!$B$9</f>
        <v>1</v>
      </c>
      <c r="Y1856" s="39" t="n">
        <f aca="false">Resumo!$B$10*CEILING(I1856/100,1)</f>
        <v>4.5</v>
      </c>
      <c r="Z1856" s="39" t="n">
        <f aca="false">Resumo!$B$12*CEILING(I1856,1)</f>
        <v>2.52</v>
      </c>
      <c r="AA1856" s="39" t="n">
        <f aca="false">Resumo!$B$13*CEILING(I1856,1)</f>
        <v>18.9</v>
      </c>
      <c r="AB1856" s="39" t="n">
        <f aca="false">SUM(U1856:AA1856)</f>
        <v>180.70065</v>
      </c>
      <c r="AC1856" s="39" t="n">
        <f aca="false">AB1856/(1-Resumo!$B$5)</f>
        <v>205.341647727273</v>
      </c>
      <c r="AD1856" s="39" t="n">
        <f aca="false">(AB1856-AA1856)/(1-Resumo!$B$5)</f>
        <v>183.864375</v>
      </c>
      <c r="AE1856" s="39" t="n">
        <f aca="false">AC1856-T1856</f>
        <v>75.1999647727273</v>
      </c>
      <c r="AF1856" s="40" t="n">
        <f aca="false">AC1856/T1856-1</f>
        <v>0.577831506904612</v>
      </c>
      <c r="AG1856" s="37" t="str">
        <f aca="false">IF(AC1856&lt;T1856,"SIM","NÃO")</f>
        <v>NÃO</v>
      </c>
      <c r="AH1856" s="37" t="n">
        <v>13</v>
      </c>
      <c r="AI1856" s="37" t="n">
        <v>11</v>
      </c>
      <c r="AJ1856" s="37" t="s">
        <v>327</v>
      </c>
    </row>
    <row r="1857" customFormat="false" ht="15" hidden="false" customHeight="false" outlineLevel="0" collapsed="false">
      <c r="A1857" s="37" t="n">
        <v>395579102</v>
      </c>
      <c r="B1857" s="38" t="n">
        <v>46281.788599537</v>
      </c>
      <c r="C1857" s="37" t="s">
        <v>320</v>
      </c>
      <c r="D1857" s="37" t="s">
        <v>2004</v>
      </c>
      <c r="E1857" s="37" t="n">
        <v>21060060</v>
      </c>
      <c r="F1857" s="37" t="s">
        <v>139</v>
      </c>
      <c r="G1857" s="37" t="s">
        <v>198</v>
      </c>
      <c r="H1857" s="37" t="s">
        <v>171</v>
      </c>
      <c r="I1857" s="37" t="n">
        <v>52.3</v>
      </c>
      <c r="J1857" s="39" t="n">
        <v>645.14</v>
      </c>
      <c r="K1857" s="37" t="s">
        <v>322</v>
      </c>
      <c r="L1857" s="39" t="n">
        <v>114.24</v>
      </c>
      <c r="M1857" s="39" t="n">
        <v>79.81</v>
      </c>
      <c r="N1857" s="39" t="n">
        <f aca="false">J1857*Resumo!$C$7</f>
        <v>1.29028</v>
      </c>
      <c r="O1857" s="39" t="n">
        <f aca="false">J1857*Resumo!$C$8</f>
        <v>1.29028</v>
      </c>
      <c r="P1857" s="39" t="n">
        <f aca="false">Resumo!$C$10*CEILING(I1857/100,1)</f>
        <v>1</v>
      </c>
      <c r="Q1857" s="39" t="n">
        <f aca="false">Resumo!$C$9</f>
        <v>11.9</v>
      </c>
      <c r="R1857" s="39" t="n">
        <f aca="false">SUM(M1857:Q1857)*Resumo!$C$11</f>
        <v>5.2409808</v>
      </c>
      <c r="S1857" s="39" t="n">
        <f aca="false">SUM(M1857:R1857)</f>
        <v>100.5315408</v>
      </c>
      <c r="T1857" s="39" t="n">
        <f aca="false">S1857/(1-Resumo!$C$5)</f>
        <v>114.240387272727</v>
      </c>
      <c r="U1857" s="39" t="n">
        <v>112.3</v>
      </c>
      <c r="V1857" s="39" t="n">
        <f aca="false">J1857*Resumo!$B$6</f>
        <v>0.64514</v>
      </c>
      <c r="W1857" s="39" t="n">
        <f aca="false">J1857*Resumo!$B$7</f>
        <v>1.29028</v>
      </c>
      <c r="X1857" s="39" t="n">
        <f aca="false">Resumo!$B$9</f>
        <v>1</v>
      </c>
      <c r="Y1857" s="39" t="n">
        <f aca="false">Resumo!$B$10*CEILING(I1857/100,1)</f>
        <v>4.5</v>
      </c>
      <c r="Z1857" s="39" t="n">
        <f aca="false">Resumo!$B$12*CEILING(I1857,1)</f>
        <v>3.18</v>
      </c>
      <c r="AA1857" s="39" t="n">
        <f aca="false">Resumo!$B$13*CEILING(I1857,1)</f>
        <v>23.85</v>
      </c>
      <c r="AB1857" s="39" t="n">
        <f aca="false">SUM(U1857:AA1857)</f>
        <v>146.76542</v>
      </c>
      <c r="AC1857" s="39" t="n">
        <f aca="false">AB1857/(1-Resumo!$B$5)</f>
        <v>166.778886363636</v>
      </c>
      <c r="AD1857" s="39" t="n">
        <f aca="false">(AB1857-AA1857)/(1-Resumo!$B$5)</f>
        <v>139.676613636364</v>
      </c>
      <c r="AE1857" s="39" t="n">
        <f aca="false">AC1857-T1857</f>
        <v>52.5384990909091</v>
      </c>
      <c r="AF1857" s="40" t="n">
        <f aca="false">AC1857/T1857-1</f>
        <v>0.459894266337555</v>
      </c>
      <c r="AG1857" s="37" t="str">
        <f aca="false">IF(AC1857&lt;T1857,"SIM","NÃO")</f>
        <v>NÃO</v>
      </c>
      <c r="AH1857" s="37" t="n">
        <v>8</v>
      </c>
      <c r="AI1857" s="37" t="n">
        <v>5</v>
      </c>
      <c r="AJ1857" s="37" t="s">
        <v>323</v>
      </c>
    </row>
    <row r="1858" customFormat="false" ht="15" hidden="false" customHeight="false" outlineLevel="0" collapsed="false">
      <c r="A1858" s="37" t="n">
        <v>395594745</v>
      </c>
      <c r="B1858" s="38" t="n">
        <v>46281.8208333333</v>
      </c>
      <c r="C1858" s="37" t="s">
        <v>320</v>
      </c>
      <c r="D1858" s="37" t="s">
        <v>2005</v>
      </c>
      <c r="E1858" s="37" t="n">
        <v>21061520</v>
      </c>
      <c r="F1858" s="37" t="s">
        <v>139</v>
      </c>
      <c r="G1858" s="37" t="s">
        <v>198</v>
      </c>
      <c r="H1858" s="37" t="s">
        <v>171</v>
      </c>
      <c r="I1858" s="37" t="n">
        <v>52.3</v>
      </c>
      <c r="J1858" s="39" t="n">
        <v>645.14</v>
      </c>
      <c r="K1858" s="37" t="s">
        <v>322</v>
      </c>
      <c r="L1858" s="39" t="n">
        <v>114.24</v>
      </c>
      <c r="M1858" s="39" t="n">
        <v>79.81</v>
      </c>
      <c r="N1858" s="39" t="n">
        <f aca="false">J1858*Resumo!$C$7</f>
        <v>1.29028</v>
      </c>
      <c r="O1858" s="39" t="n">
        <f aca="false">J1858*Resumo!$C$8</f>
        <v>1.29028</v>
      </c>
      <c r="P1858" s="39" t="n">
        <f aca="false">Resumo!$C$10*CEILING(I1858/100,1)</f>
        <v>1</v>
      </c>
      <c r="Q1858" s="39" t="n">
        <f aca="false">Resumo!$C$9</f>
        <v>11.9</v>
      </c>
      <c r="R1858" s="39" t="n">
        <f aca="false">SUM(M1858:Q1858)*Resumo!$C$11</f>
        <v>5.2409808</v>
      </c>
      <c r="S1858" s="39" t="n">
        <f aca="false">SUM(M1858:R1858)</f>
        <v>100.5315408</v>
      </c>
      <c r="T1858" s="39" t="n">
        <f aca="false">S1858/(1-Resumo!$C$5)</f>
        <v>114.240387272727</v>
      </c>
      <c r="U1858" s="39" t="n">
        <v>112.3</v>
      </c>
      <c r="V1858" s="39" t="n">
        <f aca="false">J1858*Resumo!$B$6</f>
        <v>0.64514</v>
      </c>
      <c r="W1858" s="39" t="n">
        <f aca="false">J1858*Resumo!$B$7</f>
        <v>1.29028</v>
      </c>
      <c r="X1858" s="39" t="n">
        <f aca="false">Resumo!$B$9</f>
        <v>1</v>
      </c>
      <c r="Y1858" s="39" t="n">
        <f aca="false">Resumo!$B$10*CEILING(I1858/100,1)</f>
        <v>4.5</v>
      </c>
      <c r="Z1858" s="39" t="n">
        <f aca="false">Resumo!$B$12*CEILING(I1858,1)</f>
        <v>3.18</v>
      </c>
      <c r="AA1858" s="39" t="n">
        <f aca="false">Resumo!$B$13*CEILING(I1858,1)</f>
        <v>23.85</v>
      </c>
      <c r="AB1858" s="39" t="n">
        <f aca="false">SUM(U1858:AA1858)</f>
        <v>146.76542</v>
      </c>
      <c r="AC1858" s="39" t="n">
        <f aca="false">AB1858/(1-Resumo!$B$5)</f>
        <v>166.778886363636</v>
      </c>
      <c r="AD1858" s="39" t="n">
        <f aca="false">(AB1858-AA1858)/(1-Resumo!$B$5)</f>
        <v>139.676613636364</v>
      </c>
      <c r="AE1858" s="39" t="n">
        <f aca="false">AC1858-T1858</f>
        <v>52.5384990909091</v>
      </c>
      <c r="AF1858" s="40" t="n">
        <f aca="false">AC1858/T1858-1</f>
        <v>0.459894266337555</v>
      </c>
      <c r="AG1858" s="37" t="str">
        <f aca="false">IF(AC1858&lt;T1858,"SIM","NÃO")</f>
        <v>NÃO</v>
      </c>
      <c r="AH1858" s="37" t="n">
        <v>8</v>
      </c>
      <c r="AI1858" s="37" t="n">
        <v>5</v>
      </c>
      <c r="AJ1858" s="37" t="s">
        <v>323</v>
      </c>
    </row>
    <row r="1859" customFormat="false" ht="15" hidden="false" customHeight="false" outlineLevel="0" collapsed="false">
      <c r="A1859" s="37" t="n">
        <v>395595689</v>
      </c>
      <c r="B1859" s="38" t="n">
        <v>46281.8217939815</v>
      </c>
      <c r="C1859" s="37" t="s">
        <v>325</v>
      </c>
      <c r="D1859" s="37" t="s">
        <v>1932</v>
      </c>
      <c r="E1859" s="37" t="n">
        <v>20943000</v>
      </c>
      <c r="F1859" s="37" t="s">
        <v>139</v>
      </c>
      <c r="G1859" s="37" t="s">
        <v>198</v>
      </c>
      <c r="H1859" s="37" t="s">
        <v>172</v>
      </c>
      <c r="I1859" s="37" t="n">
        <v>66.8</v>
      </c>
      <c r="J1859" s="39" t="n">
        <v>691.9</v>
      </c>
      <c r="K1859" s="37" t="s">
        <v>322</v>
      </c>
      <c r="L1859" s="39" t="n">
        <v>124.51</v>
      </c>
      <c r="M1859" s="39" t="n">
        <v>88.2</v>
      </c>
      <c r="N1859" s="39" t="n">
        <f aca="false">J1859*Resumo!$C$7</f>
        <v>1.3838</v>
      </c>
      <c r="O1859" s="39" t="n">
        <f aca="false">J1859*Resumo!$C$8</f>
        <v>1.3838</v>
      </c>
      <c r="P1859" s="39" t="n">
        <f aca="false">Resumo!$C$10*CEILING(I1859/100,1)</f>
        <v>1</v>
      </c>
      <c r="Q1859" s="39" t="n">
        <f aca="false">Resumo!$C$9</f>
        <v>11.9</v>
      </c>
      <c r="R1859" s="39" t="n">
        <f aca="false">SUM(M1859:Q1859)*Resumo!$C$11</f>
        <v>5.712718</v>
      </c>
      <c r="S1859" s="39" t="n">
        <f aca="false">SUM(M1859:R1859)</f>
        <v>109.580318</v>
      </c>
      <c r="T1859" s="39" t="n">
        <f aca="false">S1859/(1-Resumo!$C$5)</f>
        <v>124.523088636364</v>
      </c>
      <c r="U1859" s="39" t="n">
        <v>131.02</v>
      </c>
      <c r="V1859" s="39" t="n">
        <f aca="false">J1859*Resumo!$B$6</f>
        <v>0.6919</v>
      </c>
      <c r="W1859" s="39" t="n">
        <f aca="false">J1859*Resumo!$B$7</f>
        <v>1.3838</v>
      </c>
      <c r="X1859" s="39" t="n">
        <f aca="false">Resumo!$B$9</f>
        <v>1</v>
      </c>
      <c r="Y1859" s="39" t="n">
        <f aca="false">Resumo!$B$10*CEILING(I1859/100,1)</f>
        <v>4.5</v>
      </c>
      <c r="Z1859" s="39" t="n">
        <f aca="false">Resumo!$B$12*CEILING(I1859,1)</f>
        <v>4.02</v>
      </c>
      <c r="AA1859" s="39" t="n">
        <f aca="false">Resumo!$B$13*CEILING(I1859,1)</f>
        <v>30.15</v>
      </c>
      <c r="AB1859" s="39" t="n">
        <f aca="false">SUM(U1859:AA1859)</f>
        <v>172.7657</v>
      </c>
      <c r="AC1859" s="39" t="n">
        <f aca="false">AB1859/(1-Resumo!$B$5)</f>
        <v>196.324659090909</v>
      </c>
      <c r="AD1859" s="39" t="n">
        <f aca="false">(AB1859-AA1859)/(1-Resumo!$B$5)</f>
        <v>162.063295454545</v>
      </c>
      <c r="AE1859" s="39" t="n">
        <f aca="false">AC1859-T1859</f>
        <v>71.8015704545455</v>
      </c>
      <c r="AF1859" s="40" t="n">
        <f aca="false">AC1859/T1859-1</f>
        <v>0.576612508096573</v>
      </c>
      <c r="AG1859" s="37" t="str">
        <f aca="false">IF(AC1859&lt;T1859,"SIM","NÃO")</f>
        <v>NÃO</v>
      </c>
      <c r="AH1859" s="37" t="n">
        <v>8</v>
      </c>
      <c r="AI1859" s="37" t="n">
        <v>5</v>
      </c>
      <c r="AJ1859" s="37" t="s">
        <v>323</v>
      </c>
    </row>
    <row r="1860" customFormat="false" ht="15" hidden="false" customHeight="false" outlineLevel="0" collapsed="false">
      <c r="A1860" s="37" t="n">
        <v>395603279</v>
      </c>
      <c r="B1860" s="38" t="n">
        <v>46281.8372222222</v>
      </c>
      <c r="C1860" s="37" t="s">
        <v>325</v>
      </c>
      <c r="D1860" s="37" t="s">
        <v>2006</v>
      </c>
      <c r="E1860" s="37" t="n">
        <v>22743370</v>
      </c>
      <c r="F1860" s="37" t="s">
        <v>139</v>
      </c>
      <c r="G1860" s="37" t="s">
        <v>198</v>
      </c>
      <c r="H1860" s="37" t="s">
        <v>172</v>
      </c>
      <c r="I1860" s="37" t="n">
        <v>63</v>
      </c>
      <c r="J1860" s="39" t="n">
        <v>779.95</v>
      </c>
      <c r="K1860" s="37" t="s">
        <v>322</v>
      </c>
      <c r="L1860" s="39" t="n">
        <v>124.94</v>
      </c>
      <c r="M1860" s="39" t="n">
        <v>88.2</v>
      </c>
      <c r="N1860" s="39" t="n">
        <f aca="false">J1860*Resumo!$C$7</f>
        <v>1.5599</v>
      </c>
      <c r="O1860" s="39" t="n">
        <f aca="false">J1860*Resumo!$C$8</f>
        <v>1.5599</v>
      </c>
      <c r="P1860" s="39" t="n">
        <f aca="false">Resumo!$C$10*CEILING(I1860/100,1)</f>
        <v>1</v>
      </c>
      <c r="Q1860" s="39" t="n">
        <f aca="false">Resumo!$C$9</f>
        <v>11.9</v>
      </c>
      <c r="R1860" s="39" t="n">
        <f aca="false">SUM(M1860:Q1860)*Resumo!$C$11</f>
        <v>5.732089</v>
      </c>
      <c r="S1860" s="39" t="n">
        <f aca="false">SUM(M1860:R1860)</f>
        <v>109.951889</v>
      </c>
      <c r="T1860" s="39" t="n">
        <f aca="false">S1860/(1-Resumo!$C$5)</f>
        <v>124.945328409091</v>
      </c>
      <c r="U1860" s="39" t="n">
        <v>131.02</v>
      </c>
      <c r="V1860" s="39" t="n">
        <f aca="false">J1860*Resumo!$B$6</f>
        <v>0.77995</v>
      </c>
      <c r="W1860" s="39" t="n">
        <f aca="false">J1860*Resumo!$B$7</f>
        <v>1.5599</v>
      </c>
      <c r="X1860" s="39" t="n">
        <f aca="false">Resumo!$B$9</f>
        <v>1</v>
      </c>
      <c r="Y1860" s="39" t="n">
        <f aca="false">Resumo!$B$10*CEILING(I1860/100,1)</f>
        <v>4.5</v>
      </c>
      <c r="Z1860" s="39" t="n">
        <f aca="false">Resumo!$B$12*CEILING(I1860,1)</f>
        <v>3.78</v>
      </c>
      <c r="AA1860" s="39" t="n">
        <f aca="false">Resumo!$B$13*CEILING(I1860,1)</f>
        <v>28.35</v>
      </c>
      <c r="AB1860" s="39" t="n">
        <f aca="false">SUM(U1860:AA1860)</f>
        <v>170.98985</v>
      </c>
      <c r="AC1860" s="39" t="n">
        <f aca="false">AB1860/(1-Resumo!$B$5)</f>
        <v>194.306647727273</v>
      </c>
      <c r="AD1860" s="39" t="n">
        <f aca="false">(AB1860-AA1860)/(1-Resumo!$B$5)</f>
        <v>162.090738636364</v>
      </c>
      <c r="AE1860" s="39" t="n">
        <f aca="false">AC1860-T1860</f>
        <v>69.3613193181818</v>
      </c>
      <c r="AF1860" s="40" t="n">
        <f aca="false">AC1860/T1860-1</f>
        <v>0.555133354734815</v>
      </c>
      <c r="AG1860" s="37" t="str">
        <f aca="false">IF(AC1860&lt;T1860,"SIM","NÃO")</f>
        <v>NÃO</v>
      </c>
      <c r="AH1860" s="37" t="n">
        <v>8</v>
      </c>
      <c r="AI1860" s="37" t="n">
        <v>5</v>
      </c>
      <c r="AJ1860" s="37" t="s">
        <v>323</v>
      </c>
    </row>
    <row r="1861" customFormat="false" ht="15" hidden="false" customHeight="false" outlineLevel="0" collapsed="false">
      <c r="A1861" s="37" t="n">
        <v>395603339</v>
      </c>
      <c r="B1861" s="38" t="n">
        <v>46281.8375925926</v>
      </c>
      <c r="C1861" s="37" t="s">
        <v>320</v>
      </c>
      <c r="D1861" s="37" t="s">
        <v>1958</v>
      </c>
      <c r="E1861" s="37" t="n">
        <v>20521060</v>
      </c>
      <c r="F1861" s="37" t="s">
        <v>139</v>
      </c>
      <c r="G1861" s="37" t="s">
        <v>198</v>
      </c>
      <c r="H1861" s="37" t="s">
        <v>170</v>
      </c>
      <c r="I1861" s="37" t="n">
        <v>46.8</v>
      </c>
      <c r="J1861" s="39" t="n">
        <v>492.2</v>
      </c>
      <c r="K1861" s="37" t="s">
        <v>322</v>
      </c>
      <c r="L1861" s="39" t="n">
        <v>102.93</v>
      </c>
      <c r="M1861" s="39" t="n">
        <v>71</v>
      </c>
      <c r="N1861" s="39" t="n">
        <f aca="false">J1861*Resumo!$C$7</f>
        <v>0.9844</v>
      </c>
      <c r="O1861" s="39" t="n">
        <f aca="false">J1861*Resumo!$C$8</f>
        <v>0.9844</v>
      </c>
      <c r="P1861" s="39" t="n">
        <f aca="false">Resumo!$C$10*CEILING(I1861/100,1)</f>
        <v>1</v>
      </c>
      <c r="Q1861" s="39" t="n">
        <f aca="false">Resumo!$C$9</f>
        <v>11.9</v>
      </c>
      <c r="R1861" s="39" t="n">
        <f aca="false">SUM(M1861:Q1861)*Resumo!$C$11</f>
        <v>4.722784</v>
      </c>
      <c r="S1861" s="39" t="n">
        <f aca="false">SUM(M1861:R1861)</f>
        <v>90.591584</v>
      </c>
      <c r="T1861" s="39" t="n">
        <f aca="false">S1861/(1-Resumo!$C$5)</f>
        <v>102.944981818182</v>
      </c>
      <c r="U1861" s="39" t="n">
        <v>93.97</v>
      </c>
      <c r="V1861" s="39" t="n">
        <f aca="false">J1861*Resumo!$B$6</f>
        <v>0.4922</v>
      </c>
      <c r="W1861" s="39" t="n">
        <f aca="false">J1861*Resumo!$B$7</f>
        <v>0.9844</v>
      </c>
      <c r="X1861" s="39" t="n">
        <f aca="false">Resumo!$B$9</f>
        <v>1</v>
      </c>
      <c r="Y1861" s="39" t="n">
        <f aca="false">Resumo!$B$10*CEILING(I1861/100,1)</f>
        <v>4.5</v>
      </c>
      <c r="Z1861" s="39" t="n">
        <f aca="false">Resumo!$B$12*CEILING(I1861,1)</f>
        <v>2.82</v>
      </c>
      <c r="AA1861" s="39" t="n">
        <f aca="false">Resumo!$B$13*CEILING(I1861,1)</f>
        <v>21.15</v>
      </c>
      <c r="AB1861" s="39" t="n">
        <f aca="false">SUM(U1861:AA1861)</f>
        <v>124.9166</v>
      </c>
      <c r="AC1861" s="39" t="n">
        <f aca="false">AB1861/(1-Resumo!$B$5)</f>
        <v>141.950681818182</v>
      </c>
      <c r="AD1861" s="39" t="n">
        <f aca="false">(AB1861-AA1861)/(1-Resumo!$B$5)</f>
        <v>117.916590909091</v>
      </c>
      <c r="AE1861" s="39" t="n">
        <f aca="false">AC1861-T1861</f>
        <v>39.0057</v>
      </c>
      <c r="AF1861" s="40" t="n">
        <f aca="false">AC1861/T1861-1</f>
        <v>0.3788985078349</v>
      </c>
      <c r="AG1861" s="37" t="str">
        <f aca="false">IF(AC1861&lt;T1861,"SIM","NÃO")</f>
        <v>NÃO</v>
      </c>
      <c r="AH1861" s="37" t="n">
        <v>8</v>
      </c>
      <c r="AI1861" s="37" t="n">
        <v>5</v>
      </c>
      <c r="AJ1861" s="37" t="s">
        <v>323</v>
      </c>
    </row>
    <row r="1862" customFormat="false" ht="15" hidden="false" customHeight="false" outlineLevel="0" collapsed="false">
      <c r="A1862" s="37" t="n">
        <v>395611996</v>
      </c>
      <c r="B1862" s="38" t="n">
        <v>46281.8533912037</v>
      </c>
      <c r="C1862" s="37" t="s">
        <v>320</v>
      </c>
      <c r="D1862" s="37" t="s">
        <v>1680</v>
      </c>
      <c r="E1862" s="37" t="n">
        <v>28230000</v>
      </c>
      <c r="F1862" s="37" t="s">
        <v>246</v>
      </c>
      <c r="G1862" s="37" t="s">
        <v>201</v>
      </c>
      <c r="H1862" s="37" t="s">
        <v>172</v>
      </c>
      <c r="I1862" s="37" t="n">
        <v>66.8</v>
      </c>
      <c r="J1862" s="39" t="n">
        <v>666.23</v>
      </c>
      <c r="K1862" s="37" t="s">
        <v>1760</v>
      </c>
      <c r="L1862" s="39" t="n">
        <v>165.98</v>
      </c>
      <c r="M1862" s="39" t="n">
        <v>113.9</v>
      </c>
      <c r="N1862" s="39" t="n">
        <f aca="false">J1862*Resumo!$C$7</f>
        <v>1.33246</v>
      </c>
      <c r="O1862" s="39" t="n">
        <f aca="false">J1862*Resumo!$C$8</f>
        <v>1.33246</v>
      </c>
      <c r="P1862" s="39" t="n">
        <f aca="false">Resumo!$C$10*CEILING(I1862/100,1)</f>
        <v>1</v>
      </c>
      <c r="Q1862" s="39" t="n">
        <f aca="false">Resumo!$C$9</f>
        <v>11.9</v>
      </c>
      <c r="R1862" s="39" t="n">
        <f aca="false">SUM(M1862:Q1862)*Resumo!$C$11</f>
        <v>7.1205706</v>
      </c>
      <c r="S1862" s="39" t="n">
        <f aca="false">SUM(M1862:R1862)</f>
        <v>136.5854906</v>
      </c>
      <c r="T1862" s="39" t="n">
        <f aca="false">S1862/(1-Resumo!$C$5)</f>
        <v>155.210784772727</v>
      </c>
      <c r="U1862" s="39" t="n">
        <v>171.54</v>
      </c>
      <c r="V1862" s="39" t="n">
        <f aca="false">J1862*Resumo!$B$6</f>
        <v>0.66623</v>
      </c>
      <c r="W1862" s="39" t="n">
        <f aca="false">J1862*Resumo!$B$7</f>
        <v>1.33246</v>
      </c>
      <c r="X1862" s="39" t="n">
        <f aca="false">Resumo!$B$9</f>
        <v>1</v>
      </c>
      <c r="Y1862" s="39" t="n">
        <f aca="false">Resumo!$B$10*CEILING(I1862/100,1)</f>
        <v>4.5</v>
      </c>
      <c r="Z1862" s="39" t="n">
        <f aca="false">Resumo!$B$12*CEILING(I1862,1)</f>
        <v>4.02</v>
      </c>
      <c r="AA1862" s="39" t="n">
        <f aca="false">Resumo!$B$13*CEILING(I1862,1)</f>
        <v>30.15</v>
      </c>
      <c r="AB1862" s="39" t="n">
        <f aca="false">SUM(U1862:AA1862)</f>
        <v>213.20869</v>
      </c>
      <c r="AC1862" s="39" t="n">
        <f aca="false">AB1862/(1-Resumo!$B$5)</f>
        <v>242.282602272727</v>
      </c>
      <c r="AD1862" s="39" t="n">
        <f aca="false">(AB1862-AA1862)/(1-Resumo!$B$5)</f>
        <v>208.021238636364</v>
      </c>
      <c r="AE1862" s="39" t="n">
        <f aca="false">AC1862-T1862</f>
        <v>87.0718175</v>
      </c>
      <c r="AF1862" s="40" t="n">
        <f aca="false">AC1862/T1862-1</f>
        <v>0.560990768956538</v>
      </c>
      <c r="AG1862" s="37" t="str">
        <f aca="false">IF(AC1862&lt;T1862,"SIM","NÃO")</f>
        <v>NÃO</v>
      </c>
      <c r="AH1862" s="37" t="n">
        <v>13</v>
      </c>
      <c r="AI1862" s="37" t="n">
        <v>11</v>
      </c>
      <c r="AJ1862" s="37" t="s">
        <v>327</v>
      </c>
    </row>
    <row r="1863" customFormat="false" ht="15" hidden="false" customHeight="false" outlineLevel="0" collapsed="false">
      <c r="A1863" s="37" t="n">
        <v>395631224</v>
      </c>
      <c r="B1863" s="38" t="n">
        <v>46281.8899305556</v>
      </c>
      <c r="C1863" s="37" t="s">
        <v>320</v>
      </c>
      <c r="D1863" s="37" t="s">
        <v>1158</v>
      </c>
      <c r="E1863" s="37" t="n">
        <v>21215395</v>
      </c>
      <c r="F1863" s="37" t="s">
        <v>139</v>
      </c>
      <c r="G1863" s="37" t="s">
        <v>198</v>
      </c>
      <c r="H1863" s="37" t="s">
        <v>168</v>
      </c>
      <c r="I1863" s="37" t="n">
        <v>26.4</v>
      </c>
      <c r="J1863" s="39" t="n">
        <v>399.99</v>
      </c>
      <c r="K1863" s="37" t="s">
        <v>322</v>
      </c>
      <c r="L1863" s="39" t="n">
        <v>82.24</v>
      </c>
      <c r="M1863" s="39" t="n">
        <v>54.1</v>
      </c>
      <c r="N1863" s="39" t="n">
        <f aca="false">J1863*Resumo!$C$7</f>
        <v>0.79998</v>
      </c>
      <c r="O1863" s="39" t="n">
        <f aca="false">J1863*Resumo!$C$8</f>
        <v>0.79998</v>
      </c>
      <c r="P1863" s="39" t="n">
        <f aca="false">Resumo!$C$10*CEILING(I1863/100,1)</f>
        <v>1</v>
      </c>
      <c r="Q1863" s="39" t="n">
        <f aca="false">Resumo!$C$9</f>
        <v>11.9</v>
      </c>
      <c r="R1863" s="39" t="n">
        <f aca="false">SUM(M1863:Q1863)*Resumo!$C$11</f>
        <v>3.7729978</v>
      </c>
      <c r="S1863" s="39" t="n">
        <f aca="false">SUM(M1863:R1863)</f>
        <v>72.3729578</v>
      </c>
      <c r="T1863" s="39" t="n">
        <f aca="false">S1863/(1-Resumo!$C$5)</f>
        <v>82.2419975</v>
      </c>
      <c r="U1863" s="39" t="n">
        <v>82.21</v>
      </c>
      <c r="V1863" s="39" t="n">
        <f aca="false">J1863*Resumo!$B$6</f>
        <v>0.39999</v>
      </c>
      <c r="W1863" s="39" t="n">
        <f aca="false">J1863*Resumo!$B$7</f>
        <v>0.79998</v>
      </c>
      <c r="X1863" s="39" t="n">
        <f aca="false">Resumo!$B$9</f>
        <v>1</v>
      </c>
      <c r="Y1863" s="39" t="n">
        <f aca="false">Resumo!$B$10*CEILING(I1863/100,1)</f>
        <v>4.5</v>
      </c>
      <c r="Z1863" s="39" t="n">
        <f aca="false">Resumo!$B$12*CEILING(I1863,1)</f>
        <v>1.62</v>
      </c>
      <c r="AA1863" s="39" t="n">
        <f aca="false">Resumo!$B$13*CEILING(I1863,1)</f>
        <v>12.15</v>
      </c>
      <c r="AB1863" s="39" t="n">
        <f aca="false">SUM(U1863:AA1863)</f>
        <v>102.67997</v>
      </c>
      <c r="AC1863" s="39" t="n">
        <f aca="false">AB1863/(1-Resumo!$B$5)</f>
        <v>116.681784090909</v>
      </c>
      <c r="AD1863" s="39" t="n">
        <f aca="false">(AB1863-AA1863)/(1-Resumo!$B$5)</f>
        <v>102.874965909091</v>
      </c>
      <c r="AE1863" s="39" t="n">
        <f aca="false">AC1863-T1863</f>
        <v>34.4397865909091</v>
      </c>
      <c r="AF1863" s="40" t="n">
        <f aca="false">AC1863/T1863-1</f>
        <v>0.418761552951205</v>
      </c>
      <c r="AG1863" s="37" t="str">
        <f aca="false">IF(AC1863&lt;T1863,"SIM","NÃO")</f>
        <v>NÃO</v>
      </c>
      <c r="AH1863" s="37" t="n">
        <v>8</v>
      </c>
      <c r="AI1863" s="37" t="n">
        <v>5</v>
      </c>
      <c r="AJ1863" s="37" t="s">
        <v>323</v>
      </c>
    </row>
    <row r="1864" customFormat="false" ht="15" hidden="false" customHeight="false" outlineLevel="0" collapsed="false">
      <c r="A1864" s="37" t="n">
        <v>395650935</v>
      </c>
      <c r="B1864" s="38" t="n">
        <v>46281.8965740741</v>
      </c>
      <c r="C1864" s="37" t="s">
        <v>352</v>
      </c>
      <c r="D1864" s="37" t="s">
        <v>2007</v>
      </c>
      <c r="E1864" s="37" t="n">
        <v>23028620</v>
      </c>
      <c r="F1864" s="37" t="s">
        <v>139</v>
      </c>
      <c r="G1864" s="37" t="s">
        <v>198</v>
      </c>
      <c r="H1864" s="37" t="s">
        <v>172</v>
      </c>
      <c r="I1864" s="37" t="n">
        <v>66.8</v>
      </c>
      <c r="J1864" s="39" t="n">
        <v>823.52</v>
      </c>
      <c r="K1864" s="37" t="s">
        <v>322</v>
      </c>
      <c r="L1864" s="39" t="n">
        <v>125.16</v>
      </c>
      <c r="M1864" s="39" t="n">
        <v>88.2</v>
      </c>
      <c r="N1864" s="39" t="n">
        <f aca="false">J1864*Resumo!$C$7</f>
        <v>1.64704</v>
      </c>
      <c r="O1864" s="39" t="n">
        <f aca="false">J1864*Resumo!$C$8</f>
        <v>1.64704</v>
      </c>
      <c r="P1864" s="39" t="n">
        <f aca="false">Resumo!$C$10*CEILING(I1864/100,1)</f>
        <v>1</v>
      </c>
      <c r="Q1864" s="39" t="n">
        <f aca="false">Resumo!$C$9</f>
        <v>11.9</v>
      </c>
      <c r="R1864" s="39" t="n">
        <f aca="false">SUM(M1864:Q1864)*Resumo!$C$11</f>
        <v>5.7416744</v>
      </c>
      <c r="S1864" s="39" t="n">
        <f aca="false">SUM(M1864:R1864)</f>
        <v>110.1357544</v>
      </c>
      <c r="T1864" s="39" t="n">
        <f aca="false">S1864/(1-Resumo!$C$5)</f>
        <v>125.154266363636</v>
      </c>
      <c r="U1864" s="39" t="n">
        <v>131.02</v>
      </c>
      <c r="V1864" s="39" t="n">
        <f aca="false">J1864*Resumo!$B$6</f>
        <v>0.82352</v>
      </c>
      <c r="W1864" s="39" t="n">
        <f aca="false">J1864*Resumo!$B$7</f>
        <v>1.64704</v>
      </c>
      <c r="X1864" s="39" t="n">
        <f aca="false">Resumo!$B$9</f>
        <v>1</v>
      </c>
      <c r="Y1864" s="39" t="n">
        <f aca="false">Resumo!$B$10*CEILING(I1864/100,1)</f>
        <v>4.5</v>
      </c>
      <c r="Z1864" s="39" t="n">
        <f aca="false">Resumo!$B$12*CEILING(I1864,1)</f>
        <v>4.02</v>
      </c>
      <c r="AA1864" s="39" t="n">
        <f aca="false">Resumo!$B$13*CEILING(I1864,1)</f>
        <v>30.15</v>
      </c>
      <c r="AB1864" s="39" t="n">
        <f aca="false">SUM(U1864:AA1864)</f>
        <v>173.16056</v>
      </c>
      <c r="AC1864" s="39" t="n">
        <f aca="false">AB1864/(1-Resumo!$B$5)</f>
        <v>196.773363636364</v>
      </c>
      <c r="AD1864" s="39" t="n">
        <f aca="false">(AB1864-AA1864)/(1-Resumo!$B$5)</f>
        <v>162.512</v>
      </c>
      <c r="AE1864" s="39" t="n">
        <f aca="false">AC1864-T1864</f>
        <v>71.6190972727273</v>
      </c>
      <c r="AF1864" s="40" t="n">
        <f aca="false">AC1864/T1864-1</f>
        <v>0.572246551025577</v>
      </c>
      <c r="AG1864" s="37" t="str">
        <f aca="false">IF(AC1864&lt;T1864,"SIM","NÃO")</f>
        <v>NÃO</v>
      </c>
      <c r="AH1864" s="37" t="n">
        <v>8</v>
      </c>
      <c r="AI1864" s="37" t="n">
        <v>5</v>
      </c>
      <c r="AJ1864" s="37" t="s">
        <v>323</v>
      </c>
    </row>
    <row r="1865" customFormat="false" ht="15" hidden="false" customHeight="false" outlineLevel="0" collapsed="false">
      <c r="A1865" s="37" t="n">
        <v>395640483</v>
      </c>
      <c r="B1865" s="38" t="n">
        <v>46281.9081712963</v>
      </c>
      <c r="C1865" s="37" t="s">
        <v>320</v>
      </c>
      <c r="D1865" s="37" t="s">
        <v>2008</v>
      </c>
      <c r="E1865" s="37" t="n">
        <v>24416170</v>
      </c>
      <c r="F1865" s="37" t="s">
        <v>140</v>
      </c>
      <c r="G1865" s="37" t="s">
        <v>207</v>
      </c>
      <c r="H1865" s="37" t="s">
        <v>171</v>
      </c>
      <c r="I1865" s="37" t="n">
        <v>52.3</v>
      </c>
      <c r="J1865" s="39" t="n">
        <v>645.14</v>
      </c>
      <c r="K1865" s="37" t="s">
        <v>322</v>
      </c>
      <c r="L1865" s="39" t="n">
        <v>128.38</v>
      </c>
      <c r="M1865" s="39" t="n">
        <v>91.6</v>
      </c>
      <c r="N1865" s="39" t="n">
        <f aca="false">J1865*Resumo!$C$7</f>
        <v>1.29028</v>
      </c>
      <c r="O1865" s="39" t="n">
        <f aca="false">J1865*Resumo!$C$8</f>
        <v>1.29028</v>
      </c>
      <c r="P1865" s="39" t="n">
        <f aca="false">Resumo!$C$10*CEILING(I1865/100,1)</f>
        <v>1</v>
      </c>
      <c r="Q1865" s="39" t="n">
        <f aca="false">Resumo!$C$9</f>
        <v>11.9</v>
      </c>
      <c r="R1865" s="39" t="n">
        <f aca="false">SUM(M1865:Q1865)*Resumo!$C$11</f>
        <v>5.8894308</v>
      </c>
      <c r="S1865" s="39" t="n">
        <f aca="false">SUM(M1865:R1865)</f>
        <v>112.9699908</v>
      </c>
      <c r="T1865" s="39" t="n">
        <f aca="false">S1865/(1-Resumo!$C$5)</f>
        <v>128.374989545455</v>
      </c>
      <c r="U1865" s="39" t="n">
        <v>128.14</v>
      </c>
      <c r="V1865" s="39" t="n">
        <f aca="false">J1865*Resumo!$B$6</f>
        <v>0.64514</v>
      </c>
      <c r="W1865" s="39" t="n">
        <f aca="false">J1865*Resumo!$B$7</f>
        <v>1.29028</v>
      </c>
      <c r="X1865" s="39" t="n">
        <f aca="false">Resumo!$B$9</f>
        <v>1</v>
      </c>
      <c r="Y1865" s="39" t="n">
        <f aca="false">Resumo!$B$10*CEILING(I1865/100,1)</f>
        <v>4.5</v>
      </c>
      <c r="Z1865" s="39" t="n">
        <f aca="false">Resumo!$B$12*CEILING(I1865,1)</f>
        <v>3.18</v>
      </c>
      <c r="AA1865" s="39" t="n">
        <f aca="false">Resumo!$B$13*CEILING(I1865,1)</f>
        <v>23.85</v>
      </c>
      <c r="AB1865" s="39" t="n">
        <f aca="false">SUM(U1865:AA1865)</f>
        <v>162.60542</v>
      </c>
      <c r="AC1865" s="39" t="n">
        <f aca="false">AB1865/(1-Resumo!$B$5)</f>
        <v>184.778886363636</v>
      </c>
      <c r="AD1865" s="39" t="n">
        <f aca="false">(AB1865-AA1865)/(1-Resumo!$B$5)</f>
        <v>157.676613636364</v>
      </c>
      <c r="AE1865" s="39" t="n">
        <f aca="false">AC1865-T1865</f>
        <v>56.4038968181818</v>
      </c>
      <c r="AF1865" s="40" t="n">
        <f aca="false">AC1865/T1865-1</f>
        <v>0.43936826805513</v>
      </c>
      <c r="AG1865" s="37" t="str">
        <f aca="false">IF(AC1865&lt;T1865,"SIM","NÃO")</f>
        <v>NÃO</v>
      </c>
      <c r="AH1865" s="37" t="n">
        <v>10</v>
      </c>
      <c r="AI1865" s="37" t="n">
        <v>7</v>
      </c>
      <c r="AJ1865" s="37" t="s">
        <v>323</v>
      </c>
    </row>
    <row r="1866" customFormat="false" ht="15" hidden="false" customHeight="false" outlineLevel="0" collapsed="false">
      <c r="A1866" s="37" t="n">
        <v>395640734</v>
      </c>
      <c r="B1866" s="38" t="n">
        <v>46281.908599537</v>
      </c>
      <c r="C1866" s="37" t="s">
        <v>325</v>
      </c>
      <c r="D1866" s="37" t="s">
        <v>2009</v>
      </c>
      <c r="E1866" s="37" t="n">
        <v>27910060</v>
      </c>
      <c r="F1866" s="37" t="s">
        <v>146</v>
      </c>
      <c r="G1866" s="37" t="s">
        <v>201</v>
      </c>
      <c r="H1866" s="37" t="s">
        <v>174</v>
      </c>
      <c r="I1866" s="37" t="n">
        <v>81.7</v>
      </c>
      <c r="J1866" s="39" t="n">
        <v>645.99</v>
      </c>
      <c r="K1866" s="37" t="s">
        <v>322</v>
      </c>
      <c r="L1866" s="39" t="n">
        <v>191.68</v>
      </c>
      <c r="M1866" s="39" t="n">
        <v>144.41</v>
      </c>
      <c r="N1866" s="39" t="n">
        <f aca="false">J1866*Resumo!$C$7</f>
        <v>1.29198</v>
      </c>
      <c r="O1866" s="39" t="n">
        <f aca="false">J1866*Resumo!$C$8</f>
        <v>1.29198</v>
      </c>
      <c r="P1866" s="39" t="n">
        <f aca="false">Resumo!$C$10*CEILING(I1866/100,1)</f>
        <v>1</v>
      </c>
      <c r="Q1866" s="39" t="n">
        <f aca="false">Resumo!$C$9</f>
        <v>11.9</v>
      </c>
      <c r="R1866" s="39" t="n">
        <f aca="false">SUM(M1866:Q1866)*Resumo!$C$11</f>
        <v>8.7941678</v>
      </c>
      <c r="S1866" s="39" t="n">
        <f aca="false">SUM(M1866:R1866)</f>
        <v>168.6881278</v>
      </c>
      <c r="T1866" s="39" t="n">
        <f aca="false">S1866/(1-Resumo!$C$5)</f>
        <v>191.691054318182</v>
      </c>
      <c r="U1866" s="39" t="n">
        <v>200.04</v>
      </c>
      <c r="V1866" s="39" t="n">
        <f aca="false">J1866*Resumo!$B$6</f>
        <v>0.64599</v>
      </c>
      <c r="W1866" s="39" t="n">
        <f aca="false">J1866*Resumo!$B$7</f>
        <v>1.29198</v>
      </c>
      <c r="X1866" s="39" t="n">
        <f aca="false">Resumo!$B$9</f>
        <v>1</v>
      </c>
      <c r="Y1866" s="39" t="n">
        <f aca="false">Resumo!$B$10*CEILING(I1866/100,1)</f>
        <v>4.5</v>
      </c>
      <c r="Z1866" s="39" t="n">
        <f aca="false">Resumo!$B$12*CEILING(I1866,1)</f>
        <v>4.92</v>
      </c>
      <c r="AA1866" s="39" t="n">
        <f aca="false">Resumo!$B$13*CEILING(I1866,1)</f>
        <v>36.9</v>
      </c>
      <c r="AB1866" s="39" t="n">
        <f aca="false">SUM(U1866:AA1866)</f>
        <v>249.29797</v>
      </c>
      <c r="AC1866" s="39" t="n">
        <f aca="false">AB1866/(1-Resumo!$B$5)</f>
        <v>283.293147727273</v>
      </c>
      <c r="AD1866" s="39" t="n">
        <f aca="false">(AB1866-AA1866)/(1-Resumo!$B$5)</f>
        <v>241.361329545455</v>
      </c>
      <c r="AE1866" s="39" t="n">
        <f aca="false">AC1866-T1866</f>
        <v>91.6020934090909</v>
      </c>
      <c r="AF1866" s="40" t="n">
        <f aca="false">AC1866/T1866-1</f>
        <v>0.477863162341647</v>
      </c>
      <c r="AG1866" s="37" t="str">
        <f aca="false">IF(AC1866&lt;T1866,"SIM","NÃO")</f>
        <v>NÃO</v>
      </c>
      <c r="AH1866" s="37" t="n">
        <v>13</v>
      </c>
      <c r="AI1866" s="37" t="n">
        <v>11</v>
      </c>
      <c r="AJ1866" s="37" t="s">
        <v>323</v>
      </c>
    </row>
    <row r="1867" customFormat="false" ht="15" hidden="false" customHeight="false" outlineLevel="0" collapsed="false">
      <c r="A1867" s="37" t="n">
        <v>395640983</v>
      </c>
      <c r="B1867" s="38" t="n">
        <v>46281.9095717593</v>
      </c>
      <c r="C1867" s="37" t="s">
        <v>359</v>
      </c>
      <c r="D1867" s="37" t="s">
        <v>2010</v>
      </c>
      <c r="E1867" s="37" t="n">
        <v>24410100</v>
      </c>
      <c r="F1867" s="37" t="s">
        <v>140</v>
      </c>
      <c r="G1867" s="37" t="s">
        <v>207</v>
      </c>
      <c r="H1867" s="37" t="s">
        <v>174</v>
      </c>
      <c r="I1867" s="37" t="n">
        <v>81.7</v>
      </c>
      <c r="J1867" s="39" t="n">
        <v>879.99</v>
      </c>
      <c r="K1867" s="37" t="s">
        <v>322</v>
      </c>
      <c r="L1867" s="39" t="n">
        <v>173.05</v>
      </c>
      <c r="M1867" s="39" t="n">
        <v>127.92</v>
      </c>
      <c r="N1867" s="39" t="n">
        <f aca="false">J1867*Resumo!$C$7</f>
        <v>1.75998</v>
      </c>
      <c r="O1867" s="39" t="n">
        <f aca="false">J1867*Resumo!$C$8</f>
        <v>1.75998</v>
      </c>
      <c r="P1867" s="39" t="n">
        <f aca="false">Resumo!$C$10*CEILING(I1867/100,1)</f>
        <v>1</v>
      </c>
      <c r="Q1867" s="39" t="n">
        <f aca="false">Resumo!$C$9</f>
        <v>11.9</v>
      </c>
      <c r="R1867" s="39" t="n">
        <f aca="false">SUM(M1867:Q1867)*Resumo!$C$11</f>
        <v>7.9386978</v>
      </c>
      <c r="S1867" s="39" t="n">
        <f aca="false">SUM(M1867:R1867)</f>
        <v>152.2786578</v>
      </c>
      <c r="T1867" s="39" t="n">
        <f aca="false">S1867/(1-Resumo!$C$5)</f>
        <v>173.043929318182</v>
      </c>
      <c r="U1867" s="39" t="n">
        <v>178.42</v>
      </c>
      <c r="V1867" s="39" t="n">
        <f aca="false">J1867*Resumo!$B$6</f>
        <v>0.87999</v>
      </c>
      <c r="W1867" s="39" t="n">
        <f aca="false">J1867*Resumo!$B$7</f>
        <v>1.75998</v>
      </c>
      <c r="X1867" s="39" t="n">
        <f aca="false">Resumo!$B$9</f>
        <v>1</v>
      </c>
      <c r="Y1867" s="39" t="n">
        <f aca="false">Resumo!$B$10*CEILING(I1867/100,1)</f>
        <v>4.5</v>
      </c>
      <c r="Z1867" s="39" t="n">
        <f aca="false">Resumo!$B$12*CEILING(I1867,1)</f>
        <v>4.92</v>
      </c>
      <c r="AA1867" s="39" t="n">
        <f aca="false">Resumo!$B$13*CEILING(I1867,1)</f>
        <v>36.9</v>
      </c>
      <c r="AB1867" s="39" t="n">
        <f aca="false">SUM(U1867:AA1867)</f>
        <v>228.37997</v>
      </c>
      <c r="AC1867" s="39" t="n">
        <f aca="false">AB1867/(1-Resumo!$B$5)</f>
        <v>259.522693181818</v>
      </c>
      <c r="AD1867" s="39" t="n">
        <f aca="false">(AB1867-AA1867)/(1-Resumo!$B$5)</f>
        <v>217.590875</v>
      </c>
      <c r="AE1867" s="39" t="n">
        <f aca="false">AC1867-T1867</f>
        <v>86.4787638636364</v>
      </c>
      <c r="AF1867" s="40" t="n">
        <f aca="false">AC1867/T1867-1</f>
        <v>0.499750347812693</v>
      </c>
      <c r="AG1867" s="37" t="str">
        <f aca="false">IF(AC1867&lt;T1867,"SIM","NÃO")</f>
        <v>NÃO</v>
      </c>
      <c r="AH1867" s="37" t="n">
        <v>10</v>
      </c>
      <c r="AI1867" s="37" t="n">
        <v>7</v>
      </c>
      <c r="AJ1867" s="37" t="s">
        <v>323</v>
      </c>
    </row>
    <row r="1868" customFormat="false" ht="15" hidden="false" customHeight="false" outlineLevel="0" collapsed="false">
      <c r="A1868" s="37" t="n">
        <v>395645540</v>
      </c>
      <c r="B1868" s="38" t="n">
        <v>46281.9181018519</v>
      </c>
      <c r="C1868" s="37" t="s">
        <v>320</v>
      </c>
      <c r="D1868" s="37" t="s">
        <v>2011</v>
      </c>
      <c r="E1868" s="37" t="n">
        <v>21850510</v>
      </c>
      <c r="F1868" s="37" t="s">
        <v>139</v>
      </c>
      <c r="G1868" s="37" t="s">
        <v>198</v>
      </c>
      <c r="H1868" s="37" t="s">
        <v>168</v>
      </c>
      <c r="I1868" s="37" t="n">
        <v>21.3</v>
      </c>
      <c r="J1868" s="39" t="n">
        <v>299.99</v>
      </c>
      <c r="K1868" s="37" t="s">
        <v>322</v>
      </c>
      <c r="L1868" s="39" t="n">
        <v>81.76</v>
      </c>
      <c r="M1868" s="39" t="n">
        <v>54.1</v>
      </c>
      <c r="N1868" s="39" t="n">
        <f aca="false">J1868*Resumo!$C$7</f>
        <v>0.59998</v>
      </c>
      <c r="O1868" s="39" t="n">
        <f aca="false">J1868*Resumo!$C$8</f>
        <v>0.59998</v>
      </c>
      <c r="P1868" s="39" t="n">
        <f aca="false">Resumo!$C$10*CEILING(I1868/100,1)</f>
        <v>1</v>
      </c>
      <c r="Q1868" s="39" t="n">
        <f aca="false">Resumo!$C$9</f>
        <v>11.9</v>
      </c>
      <c r="R1868" s="39" t="n">
        <f aca="false">SUM(M1868:Q1868)*Resumo!$C$11</f>
        <v>3.7509978</v>
      </c>
      <c r="S1868" s="39" t="n">
        <f aca="false">SUM(M1868:R1868)</f>
        <v>71.9509578</v>
      </c>
      <c r="T1868" s="39" t="n">
        <f aca="false">S1868/(1-Resumo!$C$5)</f>
        <v>81.7624520454545</v>
      </c>
      <c r="U1868" s="39" t="n">
        <v>82.21</v>
      </c>
      <c r="V1868" s="39" t="n">
        <f aca="false">J1868*Resumo!$B$6</f>
        <v>0.29999</v>
      </c>
      <c r="W1868" s="39" t="n">
        <f aca="false">J1868*Resumo!$B$7</f>
        <v>0.59998</v>
      </c>
      <c r="X1868" s="39" t="n">
        <f aca="false">Resumo!$B$9</f>
        <v>1</v>
      </c>
      <c r="Y1868" s="39" t="n">
        <f aca="false">Resumo!$B$10*CEILING(I1868/100,1)</f>
        <v>4.5</v>
      </c>
      <c r="Z1868" s="39" t="n">
        <f aca="false">Resumo!$B$12*CEILING(I1868,1)</f>
        <v>1.32</v>
      </c>
      <c r="AA1868" s="39" t="n">
        <f aca="false">Resumo!$B$13*CEILING(I1868,1)</f>
        <v>9.9</v>
      </c>
      <c r="AB1868" s="39" t="n">
        <f aca="false">SUM(U1868:AA1868)</f>
        <v>99.82997</v>
      </c>
      <c r="AC1868" s="39" t="n">
        <f aca="false">AB1868/(1-Resumo!$B$5)</f>
        <v>113.443147727273</v>
      </c>
      <c r="AD1868" s="39" t="n">
        <f aca="false">(AB1868-AA1868)/(1-Resumo!$B$5)</f>
        <v>102.193147727273</v>
      </c>
      <c r="AE1868" s="39" t="n">
        <f aca="false">AC1868-T1868</f>
        <v>31.6806956818182</v>
      </c>
      <c r="AF1868" s="40" t="n">
        <f aca="false">AC1868/T1868-1</f>
        <v>0.387472426392078</v>
      </c>
      <c r="AG1868" s="37" t="str">
        <f aca="false">IF(AC1868&lt;T1868,"SIM","NÃO")</f>
        <v>NÃO</v>
      </c>
      <c r="AH1868" s="37" t="n">
        <v>8</v>
      </c>
      <c r="AI1868" s="37" t="n">
        <v>5</v>
      </c>
      <c r="AJ1868" s="37" t="s">
        <v>323</v>
      </c>
    </row>
    <row r="1869" customFormat="false" ht="15" hidden="false" customHeight="false" outlineLevel="0" collapsed="false">
      <c r="A1869" s="37" t="n">
        <v>395654553</v>
      </c>
      <c r="B1869" s="38" t="n">
        <v>46281.9363657407</v>
      </c>
      <c r="C1869" s="37" t="s">
        <v>320</v>
      </c>
      <c r="D1869" s="37" t="s">
        <v>2012</v>
      </c>
      <c r="E1869" s="37" t="n">
        <v>22715410</v>
      </c>
      <c r="F1869" s="37" t="s">
        <v>139</v>
      </c>
      <c r="G1869" s="37" t="s">
        <v>198</v>
      </c>
      <c r="H1869" s="37" t="s">
        <v>168</v>
      </c>
      <c r="I1869" s="37" t="n">
        <v>34</v>
      </c>
      <c r="J1869" s="39" t="n">
        <v>529.32</v>
      </c>
      <c r="K1869" s="37" t="s">
        <v>322</v>
      </c>
      <c r="L1869" s="39" t="n">
        <v>82.86</v>
      </c>
      <c r="M1869" s="39" t="n">
        <v>54.1</v>
      </c>
      <c r="N1869" s="39" t="n">
        <f aca="false">J1869*Resumo!$C$7</f>
        <v>1.05864</v>
      </c>
      <c r="O1869" s="39" t="n">
        <f aca="false">J1869*Resumo!$C$8</f>
        <v>1.05864</v>
      </c>
      <c r="P1869" s="39" t="n">
        <f aca="false">Resumo!$C$10*CEILING(I1869/100,1)</f>
        <v>1</v>
      </c>
      <c r="Q1869" s="39" t="n">
        <f aca="false">Resumo!$C$9</f>
        <v>11.9</v>
      </c>
      <c r="R1869" s="39" t="n">
        <f aca="false">SUM(M1869:Q1869)*Resumo!$C$11</f>
        <v>3.8014504</v>
      </c>
      <c r="S1869" s="39" t="n">
        <f aca="false">SUM(M1869:R1869)</f>
        <v>72.9187304</v>
      </c>
      <c r="T1869" s="39" t="n">
        <f aca="false">S1869/(1-Resumo!$C$5)</f>
        <v>82.8621936363637</v>
      </c>
      <c r="U1869" s="39" t="n">
        <v>82.21</v>
      </c>
      <c r="V1869" s="39" t="n">
        <f aca="false">J1869*Resumo!$B$6</f>
        <v>0.52932</v>
      </c>
      <c r="W1869" s="39" t="n">
        <f aca="false">J1869*Resumo!$B$7</f>
        <v>1.05864</v>
      </c>
      <c r="X1869" s="39" t="n">
        <f aca="false">Resumo!$B$9</f>
        <v>1</v>
      </c>
      <c r="Y1869" s="39" t="n">
        <f aca="false">Resumo!$B$10*CEILING(I1869/100,1)</f>
        <v>4.5</v>
      </c>
      <c r="Z1869" s="39" t="n">
        <f aca="false">Resumo!$B$12*CEILING(I1869,1)</f>
        <v>2.04</v>
      </c>
      <c r="AA1869" s="39" t="n">
        <f aca="false">Resumo!$B$13*CEILING(I1869,1)</f>
        <v>15.3</v>
      </c>
      <c r="AB1869" s="39" t="n">
        <f aca="false">SUM(U1869:AA1869)</f>
        <v>106.63796</v>
      </c>
      <c r="AC1869" s="39" t="n">
        <f aca="false">AB1869/(1-Resumo!$B$5)</f>
        <v>121.1795</v>
      </c>
      <c r="AD1869" s="39" t="n">
        <f aca="false">(AB1869-AA1869)/(1-Resumo!$B$5)</f>
        <v>103.793136363636</v>
      </c>
      <c r="AE1869" s="39" t="n">
        <f aca="false">AC1869-T1869</f>
        <v>38.3173063636363</v>
      </c>
      <c r="AF1869" s="40" t="n">
        <f aca="false">AC1869/T1869-1</f>
        <v>0.462422061040163</v>
      </c>
      <c r="AG1869" s="37" t="str">
        <f aca="false">IF(AC1869&lt;T1869,"SIM","NÃO")</f>
        <v>NÃO</v>
      </c>
      <c r="AH1869" s="37" t="n">
        <v>8</v>
      </c>
      <c r="AI1869" s="37" t="n">
        <v>5</v>
      </c>
      <c r="AJ1869" s="37" t="s">
        <v>323</v>
      </c>
    </row>
    <row r="1870" customFormat="false" ht="15" hidden="false" customHeight="false" outlineLevel="0" collapsed="false">
      <c r="A1870" s="37" t="n">
        <v>395665084</v>
      </c>
      <c r="B1870" s="38" t="n">
        <v>46281.9581597222</v>
      </c>
      <c r="C1870" s="37" t="s">
        <v>325</v>
      </c>
      <c r="D1870" s="37" t="s">
        <v>2013</v>
      </c>
      <c r="E1870" s="37" t="n">
        <v>22783551</v>
      </c>
      <c r="F1870" s="37" t="s">
        <v>139</v>
      </c>
      <c r="G1870" s="37" t="s">
        <v>198</v>
      </c>
      <c r="H1870" s="37" t="s">
        <v>171</v>
      </c>
      <c r="I1870" s="37" t="n">
        <v>58.6</v>
      </c>
      <c r="J1870" s="39" t="n">
        <v>669.2</v>
      </c>
      <c r="K1870" s="37" t="s">
        <v>322</v>
      </c>
      <c r="L1870" s="39" t="n">
        <v>114.36</v>
      </c>
      <c r="M1870" s="39" t="n">
        <v>79.81</v>
      </c>
      <c r="N1870" s="39" t="n">
        <f aca="false">J1870*Resumo!$C$7</f>
        <v>1.3384</v>
      </c>
      <c r="O1870" s="39" t="n">
        <f aca="false">J1870*Resumo!$C$8</f>
        <v>1.3384</v>
      </c>
      <c r="P1870" s="39" t="n">
        <f aca="false">Resumo!$C$10*CEILING(I1870/100,1)</f>
        <v>1</v>
      </c>
      <c r="Q1870" s="39" t="n">
        <f aca="false">Resumo!$C$9</f>
        <v>11.9</v>
      </c>
      <c r="R1870" s="39" t="n">
        <f aca="false">SUM(M1870:Q1870)*Resumo!$C$11</f>
        <v>5.246274</v>
      </c>
      <c r="S1870" s="39" t="n">
        <f aca="false">SUM(M1870:R1870)</f>
        <v>100.633074</v>
      </c>
      <c r="T1870" s="39" t="n">
        <f aca="false">S1870/(1-Resumo!$C$5)</f>
        <v>114.355765909091</v>
      </c>
      <c r="U1870" s="39" t="n">
        <v>112.3</v>
      </c>
      <c r="V1870" s="39" t="n">
        <f aca="false">J1870*Resumo!$B$6</f>
        <v>0.6692</v>
      </c>
      <c r="W1870" s="39" t="n">
        <f aca="false">J1870*Resumo!$B$7</f>
        <v>1.3384</v>
      </c>
      <c r="X1870" s="39" t="n">
        <f aca="false">Resumo!$B$9</f>
        <v>1</v>
      </c>
      <c r="Y1870" s="39" t="n">
        <f aca="false">Resumo!$B$10*CEILING(I1870/100,1)</f>
        <v>4.5</v>
      </c>
      <c r="Z1870" s="39" t="n">
        <f aca="false">Resumo!$B$12*CEILING(I1870,1)</f>
        <v>3.54</v>
      </c>
      <c r="AA1870" s="39" t="n">
        <f aca="false">Resumo!$B$13*CEILING(I1870,1)</f>
        <v>26.55</v>
      </c>
      <c r="AB1870" s="39" t="n">
        <f aca="false">SUM(U1870:AA1870)</f>
        <v>149.8976</v>
      </c>
      <c r="AC1870" s="39" t="n">
        <f aca="false">AB1870/(1-Resumo!$B$5)</f>
        <v>170.338181818182</v>
      </c>
      <c r="AD1870" s="39" t="n">
        <f aca="false">(AB1870-AA1870)/(1-Resumo!$B$5)</f>
        <v>140.167727272727</v>
      </c>
      <c r="AE1870" s="39" t="n">
        <f aca="false">AC1870-T1870</f>
        <v>55.9824159090909</v>
      </c>
      <c r="AF1870" s="40" t="n">
        <f aca="false">AC1870/T1870-1</f>
        <v>0.489546071105808</v>
      </c>
      <c r="AG1870" s="37" t="str">
        <f aca="false">IF(AC1870&lt;T1870,"SIM","NÃO")</f>
        <v>NÃO</v>
      </c>
      <c r="AH1870" s="37" t="n">
        <v>8</v>
      </c>
      <c r="AI1870" s="37" t="n">
        <v>5</v>
      </c>
      <c r="AJ1870" s="37" t="s">
        <v>323</v>
      </c>
    </row>
    <row r="1871" customFormat="false" ht="15" hidden="false" customHeight="false" outlineLevel="0" collapsed="false">
      <c r="A1871" s="37" t="n">
        <v>395668545</v>
      </c>
      <c r="B1871" s="38" t="n">
        <v>46281.9659606482</v>
      </c>
      <c r="C1871" s="37" t="s">
        <v>320</v>
      </c>
      <c r="D1871" s="37" t="s">
        <v>2014</v>
      </c>
      <c r="E1871" s="37" t="n">
        <v>25650390</v>
      </c>
      <c r="F1871" s="37" t="s">
        <v>150</v>
      </c>
      <c r="G1871" s="37" t="s">
        <v>201</v>
      </c>
      <c r="H1871" s="37" t="s">
        <v>169</v>
      </c>
      <c r="I1871" s="37" t="n">
        <v>37.2</v>
      </c>
      <c r="J1871" s="39" t="n">
        <v>399.99</v>
      </c>
      <c r="K1871" s="37" t="s">
        <v>322</v>
      </c>
      <c r="L1871" s="39" t="n">
        <v>122.16</v>
      </c>
      <c r="M1871" s="39" t="n">
        <v>87.4</v>
      </c>
      <c r="N1871" s="39" t="n">
        <f aca="false">J1871*Resumo!$C$7</f>
        <v>0.79998</v>
      </c>
      <c r="O1871" s="39" t="n">
        <f aca="false">J1871*Resumo!$C$8</f>
        <v>0.79998</v>
      </c>
      <c r="P1871" s="39" t="n">
        <f aca="false">Resumo!$C$10*CEILING(I1871/100,1)</f>
        <v>1</v>
      </c>
      <c r="Q1871" s="39" t="n">
        <f aca="false">Resumo!$C$9</f>
        <v>11.9</v>
      </c>
      <c r="R1871" s="39" t="n">
        <f aca="false">SUM(M1871:Q1871)*Resumo!$C$11</f>
        <v>5.6044978</v>
      </c>
      <c r="S1871" s="39" t="n">
        <f aca="false">SUM(M1871:R1871)</f>
        <v>107.5044578</v>
      </c>
      <c r="T1871" s="39" t="n">
        <f aca="false">S1871/(1-Resumo!$C$5)</f>
        <v>122.164156590909</v>
      </c>
      <c r="U1871" s="39" t="n">
        <v>124.38</v>
      </c>
      <c r="V1871" s="39" t="n">
        <f aca="false">J1871*Resumo!$B$6</f>
        <v>0.39999</v>
      </c>
      <c r="W1871" s="39" t="n">
        <f aca="false">J1871*Resumo!$B$7</f>
        <v>0.79998</v>
      </c>
      <c r="X1871" s="39" t="n">
        <f aca="false">Resumo!$B$9</f>
        <v>1</v>
      </c>
      <c r="Y1871" s="39" t="n">
        <f aca="false">Resumo!$B$10*CEILING(I1871/100,1)</f>
        <v>4.5</v>
      </c>
      <c r="Z1871" s="39" t="n">
        <f aca="false">Resumo!$B$12*CEILING(I1871,1)</f>
        <v>2.28</v>
      </c>
      <c r="AA1871" s="39" t="n">
        <f aca="false">Resumo!$B$13*CEILING(I1871,1)</f>
        <v>17.1</v>
      </c>
      <c r="AB1871" s="39" t="n">
        <f aca="false">SUM(U1871:AA1871)</f>
        <v>150.45997</v>
      </c>
      <c r="AC1871" s="39" t="n">
        <f aca="false">AB1871/(1-Resumo!$B$5)</f>
        <v>170.977238636364</v>
      </c>
      <c r="AD1871" s="39" t="n">
        <f aca="false">(AB1871-AA1871)/(1-Resumo!$B$5)</f>
        <v>151.545420454545</v>
      </c>
      <c r="AE1871" s="39" t="n">
        <f aca="false">AC1871-T1871</f>
        <v>48.8130820454545</v>
      </c>
      <c r="AF1871" s="40" t="n">
        <f aca="false">AC1871/T1871-1</f>
        <v>0.399569590685383</v>
      </c>
      <c r="AG1871" s="37" t="str">
        <f aca="false">IF(AC1871&lt;T1871,"SIM","NÃO")</f>
        <v>NÃO</v>
      </c>
      <c r="AH1871" s="37" t="n">
        <v>13</v>
      </c>
      <c r="AI1871" s="37" t="n">
        <v>8</v>
      </c>
      <c r="AJ1871" s="37" t="s">
        <v>323</v>
      </c>
    </row>
    <row r="1872" customFormat="false" ht="15" hidden="false" customHeight="false" outlineLevel="0" collapsed="false">
      <c r="A1872" s="37" t="n">
        <v>395680133</v>
      </c>
      <c r="B1872" s="38" t="n">
        <v>46281.9907060185</v>
      </c>
      <c r="C1872" s="37" t="s">
        <v>320</v>
      </c>
      <c r="D1872" s="37" t="s">
        <v>2015</v>
      </c>
      <c r="E1872" s="37" t="n">
        <v>20530420</v>
      </c>
      <c r="F1872" s="37" t="s">
        <v>139</v>
      </c>
      <c r="G1872" s="37" t="s">
        <v>198</v>
      </c>
      <c r="H1872" s="37" t="s">
        <v>169</v>
      </c>
      <c r="I1872" s="37" t="n">
        <v>39</v>
      </c>
      <c r="J1872" s="39" t="n">
        <v>819.99</v>
      </c>
      <c r="K1872" s="37" t="s">
        <v>322</v>
      </c>
      <c r="L1872" s="39" t="n">
        <v>93.78</v>
      </c>
      <c r="M1872" s="39" t="n">
        <v>62.05</v>
      </c>
      <c r="N1872" s="39" t="n">
        <f aca="false">J1872*Resumo!$C$7</f>
        <v>1.63998</v>
      </c>
      <c r="O1872" s="39" t="n">
        <f aca="false">J1872*Resumo!$C$8</f>
        <v>1.63998</v>
      </c>
      <c r="P1872" s="39" t="n">
        <f aca="false">Resumo!$C$10*CEILING(I1872/100,1)</f>
        <v>1</v>
      </c>
      <c r="Q1872" s="39" t="n">
        <f aca="false">Resumo!$C$9</f>
        <v>11.9</v>
      </c>
      <c r="R1872" s="39" t="n">
        <f aca="false">SUM(M1872:Q1872)*Resumo!$C$11</f>
        <v>4.3026478</v>
      </c>
      <c r="S1872" s="39" t="n">
        <f aca="false">SUM(M1872:R1872)</f>
        <v>82.5326078</v>
      </c>
      <c r="T1872" s="39" t="n">
        <f aca="false">S1872/(1-Resumo!$C$5)</f>
        <v>93.7870543181818</v>
      </c>
      <c r="U1872" s="39" t="n">
        <v>93.97</v>
      </c>
      <c r="V1872" s="39" t="n">
        <f aca="false">J1872*Resumo!$B$6</f>
        <v>0.81999</v>
      </c>
      <c r="W1872" s="39" t="n">
        <f aca="false">J1872*Resumo!$B$7</f>
        <v>1.63998</v>
      </c>
      <c r="X1872" s="39" t="n">
        <f aca="false">Resumo!$B$9</f>
        <v>1</v>
      </c>
      <c r="Y1872" s="39" t="n">
        <f aca="false">Resumo!$B$10*CEILING(I1872/100,1)</f>
        <v>4.5</v>
      </c>
      <c r="Z1872" s="39" t="n">
        <f aca="false">Resumo!$B$12*CEILING(I1872,1)</f>
        <v>2.34</v>
      </c>
      <c r="AA1872" s="39" t="n">
        <f aca="false">Resumo!$B$13*CEILING(I1872,1)</f>
        <v>17.55</v>
      </c>
      <c r="AB1872" s="39" t="n">
        <f aca="false">SUM(U1872:AA1872)</f>
        <v>121.81997</v>
      </c>
      <c r="AC1872" s="39" t="n">
        <f aca="false">AB1872/(1-Resumo!$B$5)</f>
        <v>138.431784090909</v>
      </c>
      <c r="AD1872" s="39" t="n">
        <f aca="false">(AB1872-AA1872)/(1-Resumo!$B$5)</f>
        <v>118.488602272727</v>
      </c>
      <c r="AE1872" s="39" t="n">
        <f aca="false">AC1872-T1872</f>
        <v>44.6447297727273</v>
      </c>
      <c r="AF1872" s="40" t="n">
        <f aca="false">AC1872/T1872-1</f>
        <v>0.476022304968291</v>
      </c>
      <c r="AG1872" s="37" t="str">
        <f aca="false">IF(AC1872&lt;T1872,"SIM","NÃO")</f>
        <v>NÃO</v>
      </c>
      <c r="AH1872" s="37" t="n">
        <v>8</v>
      </c>
      <c r="AI1872" s="37" t="n">
        <v>5</v>
      </c>
      <c r="AJ1872" s="37" t="s">
        <v>323</v>
      </c>
    </row>
    <row r="1873" customFormat="false" ht="15" hidden="false" customHeight="false" outlineLevel="0" collapsed="false">
      <c r="A1873" s="37" t="n">
        <v>395688188</v>
      </c>
      <c r="B1873" s="38" t="n">
        <v>46282.0111342593</v>
      </c>
      <c r="C1873" s="37" t="s">
        <v>320</v>
      </c>
      <c r="D1873" s="37" t="s">
        <v>2016</v>
      </c>
      <c r="E1873" s="37" t="n">
        <v>26160455</v>
      </c>
      <c r="F1873" s="37" t="s">
        <v>145</v>
      </c>
      <c r="G1873" s="37" t="s">
        <v>207</v>
      </c>
      <c r="H1873" s="37" t="s">
        <v>172</v>
      </c>
      <c r="I1873" s="37" t="n">
        <v>63</v>
      </c>
      <c r="J1873" s="39" t="n">
        <v>702.57</v>
      </c>
      <c r="K1873" s="37" t="s">
        <v>322</v>
      </c>
      <c r="L1873" s="39" t="n">
        <v>139.81</v>
      </c>
      <c r="M1873" s="39" t="n">
        <v>100.9</v>
      </c>
      <c r="N1873" s="39" t="n">
        <f aca="false">J1873*Resumo!$C$7</f>
        <v>1.40514</v>
      </c>
      <c r="O1873" s="39" t="n">
        <f aca="false">J1873*Resumo!$C$8</f>
        <v>1.40514</v>
      </c>
      <c r="P1873" s="39" t="n">
        <f aca="false">Resumo!$C$10*CEILING(I1873/100,1)</f>
        <v>1</v>
      </c>
      <c r="Q1873" s="39" t="n">
        <f aca="false">Resumo!$C$9</f>
        <v>11.9</v>
      </c>
      <c r="R1873" s="39" t="n">
        <f aca="false">SUM(M1873:Q1873)*Resumo!$C$11</f>
        <v>6.4135654</v>
      </c>
      <c r="S1873" s="39" t="n">
        <f aca="false">SUM(M1873:R1873)</f>
        <v>123.0238454</v>
      </c>
      <c r="T1873" s="39" t="n">
        <f aca="false">S1873/(1-Resumo!$C$5)</f>
        <v>139.799824318182</v>
      </c>
      <c r="U1873" s="39" t="n">
        <v>131.02</v>
      </c>
      <c r="V1873" s="39" t="n">
        <f aca="false">J1873*Resumo!$B$6</f>
        <v>0.70257</v>
      </c>
      <c r="W1873" s="39" t="n">
        <f aca="false">J1873*Resumo!$B$7</f>
        <v>1.40514</v>
      </c>
      <c r="X1873" s="39" t="n">
        <f aca="false">Resumo!$B$9</f>
        <v>1</v>
      </c>
      <c r="Y1873" s="39" t="n">
        <f aca="false">Resumo!$B$10*CEILING(I1873/100,1)</f>
        <v>4.5</v>
      </c>
      <c r="Z1873" s="39" t="n">
        <f aca="false">Resumo!$B$12*CEILING(I1873,1)</f>
        <v>3.78</v>
      </c>
      <c r="AA1873" s="39" t="n">
        <f aca="false">Resumo!$B$13*CEILING(I1873,1)</f>
        <v>28.35</v>
      </c>
      <c r="AB1873" s="39" t="n">
        <f aca="false">SUM(U1873:AA1873)</f>
        <v>170.75771</v>
      </c>
      <c r="AC1873" s="39" t="n">
        <f aca="false">AB1873/(1-Resumo!$B$5)</f>
        <v>194.042852272727</v>
      </c>
      <c r="AD1873" s="39" t="n">
        <f aca="false">(AB1873-AA1873)/(1-Resumo!$B$5)</f>
        <v>161.826943181818</v>
      </c>
      <c r="AE1873" s="39" t="n">
        <f aca="false">AC1873-T1873</f>
        <v>54.2430279545455</v>
      </c>
      <c r="AF1873" s="40" t="n">
        <f aca="false">AC1873/T1873-1</f>
        <v>0.388004979398896</v>
      </c>
      <c r="AG1873" s="37" t="str">
        <f aca="false">IF(AC1873&lt;T1873,"SIM","NÃO")</f>
        <v>NÃO</v>
      </c>
      <c r="AH1873" s="37" t="n">
        <v>10</v>
      </c>
      <c r="AI1873" s="37" t="n">
        <v>5</v>
      </c>
      <c r="AJ1873" s="37" t="s">
        <v>323</v>
      </c>
    </row>
    <row r="1874" customFormat="false" ht="15" hidden="false" customHeight="false" outlineLevel="0" collapsed="false">
      <c r="A1874" s="37" t="n">
        <v>395710154</v>
      </c>
      <c r="B1874" s="38" t="n">
        <v>46282.0831481482</v>
      </c>
      <c r="C1874" s="37" t="s">
        <v>359</v>
      </c>
      <c r="D1874" s="37" t="s">
        <v>2017</v>
      </c>
      <c r="E1874" s="37" t="n">
        <v>24130410</v>
      </c>
      <c r="F1874" s="37" t="s">
        <v>143</v>
      </c>
      <c r="G1874" s="37" t="s">
        <v>207</v>
      </c>
      <c r="H1874" s="37" t="s">
        <v>168</v>
      </c>
      <c r="I1874" s="37" t="n">
        <v>24.4</v>
      </c>
      <c r="J1874" s="39" t="n">
        <v>297.49</v>
      </c>
      <c r="K1874" s="37" t="s">
        <v>322</v>
      </c>
      <c r="L1874" s="39" t="n">
        <v>100.8</v>
      </c>
      <c r="M1874" s="39" t="n">
        <v>70</v>
      </c>
      <c r="N1874" s="39" t="n">
        <f aca="false">J1874*Resumo!$C$7</f>
        <v>0.59498</v>
      </c>
      <c r="O1874" s="39" t="n">
        <f aca="false">J1874*Resumo!$C$8</f>
        <v>0.59498</v>
      </c>
      <c r="P1874" s="39" t="n">
        <f aca="false">Resumo!$C$10*CEILING(I1874/100,1)</f>
        <v>1</v>
      </c>
      <c r="Q1874" s="39" t="n">
        <f aca="false">Resumo!$C$9</f>
        <v>11.9</v>
      </c>
      <c r="R1874" s="39" t="n">
        <f aca="false">SUM(M1874:Q1874)*Resumo!$C$11</f>
        <v>4.6249478</v>
      </c>
      <c r="S1874" s="39" t="n">
        <f aca="false">SUM(M1874:R1874)</f>
        <v>88.7149078</v>
      </c>
      <c r="T1874" s="39" t="n">
        <f aca="false">S1874/(1-Resumo!$C$5)</f>
        <v>100.812395227273</v>
      </c>
      <c r="U1874" s="39" t="n">
        <v>100.58</v>
      </c>
      <c r="V1874" s="39" t="n">
        <f aca="false">J1874*Resumo!$B$6</f>
        <v>0.29749</v>
      </c>
      <c r="W1874" s="39" t="n">
        <f aca="false">J1874*Resumo!$B$7</f>
        <v>0.59498</v>
      </c>
      <c r="X1874" s="39" t="n">
        <f aca="false">Resumo!$B$9</f>
        <v>1</v>
      </c>
      <c r="Y1874" s="39" t="n">
        <f aca="false">Resumo!$B$10*CEILING(I1874/100,1)</f>
        <v>4.5</v>
      </c>
      <c r="Z1874" s="39" t="n">
        <f aca="false">Resumo!$B$12*CEILING(I1874,1)</f>
        <v>1.5</v>
      </c>
      <c r="AA1874" s="39" t="n">
        <f aca="false">Resumo!$B$13*CEILING(I1874,1)</f>
        <v>11.25</v>
      </c>
      <c r="AB1874" s="39" t="n">
        <f aca="false">SUM(U1874:AA1874)</f>
        <v>119.72247</v>
      </c>
      <c r="AC1874" s="39" t="n">
        <f aca="false">AB1874/(1-Resumo!$B$5)</f>
        <v>136.048261363636</v>
      </c>
      <c r="AD1874" s="39" t="n">
        <f aca="false">(AB1874-AA1874)/(1-Resumo!$B$5)</f>
        <v>123.264170454545</v>
      </c>
      <c r="AE1874" s="39" t="n">
        <f aca="false">AC1874-T1874</f>
        <v>35.2358661363636</v>
      </c>
      <c r="AF1874" s="40" t="n">
        <f aca="false">AC1874/T1874-1</f>
        <v>0.349519184192851</v>
      </c>
      <c r="AG1874" s="37" t="str">
        <f aca="false">IF(AC1874&lt;T1874,"SIM","NÃO")</f>
        <v>NÃO</v>
      </c>
      <c r="AH1874" s="37" t="n">
        <v>10</v>
      </c>
      <c r="AI1874" s="37" t="n">
        <v>7</v>
      </c>
      <c r="AJ1874" s="37" t="s">
        <v>323</v>
      </c>
    </row>
    <row r="1875" customFormat="false" ht="15" hidden="false" customHeight="false" outlineLevel="0" collapsed="false">
      <c r="A1875" s="37" t="n">
        <v>395714575</v>
      </c>
      <c r="B1875" s="38" t="n">
        <v>46282.1010763889</v>
      </c>
      <c r="C1875" s="37" t="s">
        <v>320</v>
      </c>
      <c r="D1875" s="37" t="s">
        <v>2018</v>
      </c>
      <c r="E1875" s="37" t="n">
        <v>28905165</v>
      </c>
      <c r="F1875" s="37" t="s">
        <v>152</v>
      </c>
      <c r="G1875" s="37" t="s">
        <v>201</v>
      </c>
      <c r="H1875" s="37" t="s">
        <v>168</v>
      </c>
      <c r="I1875" s="37" t="n">
        <v>27.4</v>
      </c>
      <c r="J1875" s="39" t="n">
        <v>329.99</v>
      </c>
      <c r="K1875" s="37" t="s">
        <v>322</v>
      </c>
      <c r="L1875" s="39" t="n">
        <v>108.76</v>
      </c>
      <c r="M1875" s="39" t="n">
        <v>76.5</v>
      </c>
      <c r="N1875" s="39" t="n">
        <f aca="false">J1875*Resumo!$C$7</f>
        <v>0.65998</v>
      </c>
      <c r="O1875" s="39" t="n">
        <f aca="false">J1875*Resumo!$C$8</f>
        <v>0.65998</v>
      </c>
      <c r="P1875" s="39" t="n">
        <f aca="false">Resumo!$C$10*CEILING(I1875/100,1)</f>
        <v>1</v>
      </c>
      <c r="Q1875" s="39" t="n">
        <f aca="false">Resumo!$C$9</f>
        <v>11.9</v>
      </c>
      <c r="R1875" s="39" t="n">
        <f aca="false">SUM(M1875:Q1875)*Resumo!$C$11</f>
        <v>4.9895978</v>
      </c>
      <c r="S1875" s="39" t="n">
        <f aca="false">SUM(M1875:R1875)</f>
        <v>95.7095578</v>
      </c>
      <c r="T1875" s="39" t="n">
        <f aca="false">S1875/(1-Resumo!$C$5)</f>
        <v>108.760861136364</v>
      </c>
      <c r="U1875" s="39" t="n">
        <v>114.95</v>
      </c>
      <c r="V1875" s="39" t="n">
        <f aca="false">J1875*Resumo!$B$6</f>
        <v>0.32999</v>
      </c>
      <c r="W1875" s="39" t="n">
        <f aca="false">J1875*Resumo!$B$7</f>
        <v>0.65998</v>
      </c>
      <c r="X1875" s="39" t="n">
        <f aca="false">Resumo!$B$9</f>
        <v>1</v>
      </c>
      <c r="Y1875" s="39" t="n">
        <f aca="false">Resumo!$B$10*CEILING(I1875/100,1)</f>
        <v>4.5</v>
      </c>
      <c r="Z1875" s="39" t="n">
        <f aca="false">Resumo!$B$12*CEILING(I1875,1)</f>
        <v>1.68</v>
      </c>
      <c r="AA1875" s="39" t="n">
        <f aca="false">Resumo!$B$13*CEILING(I1875,1)</f>
        <v>12.6</v>
      </c>
      <c r="AB1875" s="39" t="n">
        <f aca="false">SUM(U1875:AA1875)</f>
        <v>135.71997</v>
      </c>
      <c r="AC1875" s="39" t="n">
        <f aca="false">AB1875/(1-Resumo!$B$5)</f>
        <v>154.227238636364</v>
      </c>
      <c r="AD1875" s="39" t="n">
        <f aca="false">(AB1875-AA1875)/(1-Resumo!$B$5)</f>
        <v>139.909056818182</v>
      </c>
      <c r="AE1875" s="39" t="n">
        <f aca="false">AC1875-T1875</f>
        <v>45.4663775</v>
      </c>
      <c r="AF1875" s="40" t="n">
        <f aca="false">AC1875/T1875-1</f>
        <v>0.4180398814882</v>
      </c>
      <c r="AG1875" s="37" t="str">
        <f aca="false">IF(AC1875&lt;T1875,"SIM","NÃO")</f>
        <v>NÃO</v>
      </c>
      <c r="AH1875" s="37" t="n">
        <v>13</v>
      </c>
      <c r="AI1875" s="37" t="n">
        <v>10</v>
      </c>
      <c r="AJ1875" s="37" t="s">
        <v>323</v>
      </c>
    </row>
    <row r="1876" customFormat="false" ht="15" hidden="false" customHeight="false" outlineLevel="0" collapsed="false">
      <c r="A1876" s="37" t="n">
        <v>395744090</v>
      </c>
      <c r="B1876" s="38" t="n">
        <v>46282.2219791667</v>
      </c>
      <c r="C1876" s="37" t="s">
        <v>320</v>
      </c>
      <c r="D1876" s="37" t="s">
        <v>1289</v>
      </c>
      <c r="E1876" s="37" t="n">
        <v>21725020</v>
      </c>
      <c r="F1876" s="37" t="s">
        <v>139</v>
      </c>
      <c r="G1876" s="37" t="s">
        <v>198</v>
      </c>
      <c r="H1876" s="37" t="s">
        <v>169</v>
      </c>
      <c r="I1876" s="37" t="n">
        <v>37.2</v>
      </c>
      <c r="J1876" s="39" t="n">
        <v>399.99</v>
      </c>
      <c r="K1876" s="37" t="s">
        <v>322</v>
      </c>
      <c r="L1876" s="39" t="n">
        <v>91.77</v>
      </c>
      <c r="M1876" s="39" t="n">
        <v>62.05</v>
      </c>
      <c r="N1876" s="39" t="n">
        <f aca="false">J1876*Resumo!$C$7</f>
        <v>0.79998</v>
      </c>
      <c r="O1876" s="39" t="n">
        <f aca="false">J1876*Resumo!$C$8</f>
        <v>0.79998</v>
      </c>
      <c r="P1876" s="39" t="n">
        <f aca="false">Resumo!$C$10*CEILING(I1876/100,1)</f>
        <v>1</v>
      </c>
      <c r="Q1876" s="39" t="n">
        <f aca="false">Resumo!$C$9</f>
        <v>11.9</v>
      </c>
      <c r="R1876" s="39" t="n">
        <f aca="false">SUM(M1876:Q1876)*Resumo!$C$11</f>
        <v>4.2102478</v>
      </c>
      <c r="S1876" s="39" t="n">
        <f aca="false">SUM(M1876:R1876)</f>
        <v>80.7602078</v>
      </c>
      <c r="T1876" s="39" t="n">
        <f aca="false">S1876/(1-Resumo!$C$5)</f>
        <v>91.7729634090909</v>
      </c>
      <c r="U1876" s="39" t="n">
        <v>93.97</v>
      </c>
      <c r="V1876" s="39" t="n">
        <f aca="false">J1876*Resumo!$B$6</f>
        <v>0.39999</v>
      </c>
      <c r="W1876" s="39" t="n">
        <f aca="false">J1876*Resumo!$B$7</f>
        <v>0.79998</v>
      </c>
      <c r="X1876" s="39" t="n">
        <f aca="false">Resumo!$B$9</f>
        <v>1</v>
      </c>
      <c r="Y1876" s="39" t="n">
        <f aca="false">Resumo!$B$10*CEILING(I1876/100,1)</f>
        <v>4.5</v>
      </c>
      <c r="Z1876" s="39" t="n">
        <f aca="false">Resumo!$B$12*CEILING(I1876,1)</f>
        <v>2.28</v>
      </c>
      <c r="AA1876" s="39" t="n">
        <f aca="false">Resumo!$B$13*CEILING(I1876,1)</f>
        <v>17.1</v>
      </c>
      <c r="AB1876" s="39" t="n">
        <f aca="false">SUM(U1876:AA1876)</f>
        <v>120.04997</v>
      </c>
      <c r="AC1876" s="39" t="n">
        <f aca="false">AB1876/(1-Resumo!$B$5)</f>
        <v>136.420420454545</v>
      </c>
      <c r="AD1876" s="39" t="n">
        <f aca="false">(AB1876-AA1876)/(1-Resumo!$B$5)</f>
        <v>116.988602272727</v>
      </c>
      <c r="AE1876" s="39" t="n">
        <f aca="false">AC1876-T1876</f>
        <v>44.6474570454545</v>
      </c>
      <c r="AF1876" s="40" t="n">
        <f aca="false">AC1876/T1876-1</f>
        <v>0.486499023099344</v>
      </c>
      <c r="AG1876" s="37" t="str">
        <f aca="false">IF(AC1876&lt;T1876,"SIM","NÃO")</f>
        <v>NÃO</v>
      </c>
      <c r="AH1876" s="37" t="n">
        <v>8</v>
      </c>
      <c r="AI1876" s="37" t="n">
        <v>5</v>
      </c>
      <c r="AJ1876" s="37" t="s">
        <v>323</v>
      </c>
    </row>
    <row r="1877" customFormat="false" ht="15" hidden="false" customHeight="false" outlineLevel="0" collapsed="false">
      <c r="A1877" s="37" t="n">
        <v>395771362</v>
      </c>
      <c r="B1877" s="38" t="n">
        <v>46282.3222106482</v>
      </c>
      <c r="C1877" s="37" t="s">
        <v>320</v>
      </c>
      <c r="D1877" s="37" t="s">
        <v>2019</v>
      </c>
      <c r="E1877" s="37" t="n">
        <v>27197970</v>
      </c>
      <c r="F1877" s="37" t="s">
        <v>232</v>
      </c>
      <c r="G1877" s="37" t="s">
        <v>201</v>
      </c>
      <c r="H1877" s="37" t="s">
        <v>171</v>
      </c>
      <c r="I1877" s="37" t="n">
        <v>52.3</v>
      </c>
      <c r="J1877" s="39" t="n">
        <v>645.14</v>
      </c>
      <c r="K1877" s="37" t="s">
        <v>322</v>
      </c>
      <c r="L1877" s="39" t="n">
        <v>142.76</v>
      </c>
      <c r="M1877" s="39" t="n">
        <v>103.6</v>
      </c>
      <c r="N1877" s="39" t="n">
        <f aca="false">J1877*Resumo!$C$7</f>
        <v>1.29028</v>
      </c>
      <c r="O1877" s="39" t="n">
        <f aca="false">J1877*Resumo!$C$8</f>
        <v>1.29028</v>
      </c>
      <c r="P1877" s="39" t="n">
        <f aca="false">Resumo!$C$10*CEILING(I1877/100,1)</f>
        <v>1</v>
      </c>
      <c r="Q1877" s="39" t="n">
        <f aca="false">Resumo!$C$9</f>
        <v>11.9</v>
      </c>
      <c r="R1877" s="39" t="n">
        <f aca="false">SUM(M1877:Q1877)*Resumo!$C$11</f>
        <v>6.5494308</v>
      </c>
      <c r="S1877" s="39" t="n">
        <f aca="false">SUM(M1877:R1877)</f>
        <v>125.6299908</v>
      </c>
      <c r="T1877" s="39" t="n">
        <f aca="false">S1877/(1-Resumo!$C$5)</f>
        <v>142.761353181818</v>
      </c>
      <c r="U1877" s="39" t="n">
        <v>142.32</v>
      </c>
      <c r="V1877" s="39" t="n">
        <f aca="false">J1877*Resumo!$B$6</f>
        <v>0.64514</v>
      </c>
      <c r="W1877" s="39" t="n">
        <f aca="false">J1877*Resumo!$B$7</f>
        <v>1.29028</v>
      </c>
      <c r="X1877" s="39" t="n">
        <f aca="false">Resumo!$B$9</f>
        <v>1</v>
      </c>
      <c r="Y1877" s="39" t="n">
        <f aca="false">Resumo!$B$10*CEILING(I1877/100,1)</f>
        <v>4.5</v>
      </c>
      <c r="Z1877" s="39" t="n">
        <f aca="false">Resumo!$B$12*CEILING(I1877,1)</f>
        <v>3.18</v>
      </c>
      <c r="AA1877" s="39" t="n">
        <f aca="false">Resumo!$B$13*CEILING(I1877,1)</f>
        <v>23.85</v>
      </c>
      <c r="AB1877" s="39" t="n">
        <f aca="false">SUM(U1877:AA1877)</f>
        <v>176.78542</v>
      </c>
      <c r="AC1877" s="39" t="n">
        <f aca="false">AB1877/(1-Resumo!$B$5)</f>
        <v>200.892522727273</v>
      </c>
      <c r="AD1877" s="39" t="n">
        <f aca="false">(AB1877-AA1877)/(1-Resumo!$B$5)</f>
        <v>173.79025</v>
      </c>
      <c r="AE1877" s="39" t="n">
        <f aca="false">AC1877-T1877</f>
        <v>58.1311695454545</v>
      </c>
      <c r="AF1877" s="40" t="n">
        <f aca="false">AC1877/T1877-1</f>
        <v>0.407191219821374</v>
      </c>
      <c r="AG1877" s="37" t="str">
        <f aca="false">IF(AC1877&lt;T1877,"SIM","NÃO")</f>
        <v>NÃO</v>
      </c>
      <c r="AH1877" s="37" t="n">
        <v>13</v>
      </c>
      <c r="AI1877" s="37" t="n">
        <v>10</v>
      </c>
      <c r="AJ1877" s="37" t="s">
        <v>327</v>
      </c>
    </row>
    <row r="1878" customFormat="false" ht="15" hidden="false" customHeight="false" outlineLevel="0" collapsed="false">
      <c r="A1878" s="37" t="n">
        <v>395774633</v>
      </c>
      <c r="B1878" s="38" t="n">
        <v>46282.3348263889</v>
      </c>
      <c r="C1878" s="37" t="s">
        <v>352</v>
      </c>
      <c r="D1878" s="37" t="s">
        <v>1263</v>
      </c>
      <c r="E1878" s="37" t="n">
        <v>21020160</v>
      </c>
      <c r="F1878" s="37" t="s">
        <v>139</v>
      </c>
      <c r="G1878" s="37" t="s">
        <v>198</v>
      </c>
      <c r="H1878" s="37" t="s">
        <v>171</v>
      </c>
      <c r="I1878" s="37" t="n">
        <v>58.6</v>
      </c>
      <c r="J1878" s="39" t="n">
        <v>692.99</v>
      </c>
      <c r="K1878" s="37" t="s">
        <v>322</v>
      </c>
      <c r="L1878" s="39" t="n">
        <v>114.48</v>
      </c>
      <c r="M1878" s="39" t="n">
        <v>79.81</v>
      </c>
      <c r="N1878" s="39" t="n">
        <f aca="false">J1878*Resumo!$C$7</f>
        <v>1.38598</v>
      </c>
      <c r="O1878" s="39" t="n">
        <f aca="false">J1878*Resumo!$C$8</f>
        <v>1.38598</v>
      </c>
      <c r="P1878" s="39" t="n">
        <f aca="false">Resumo!$C$10*CEILING(I1878/100,1)</f>
        <v>1</v>
      </c>
      <c r="Q1878" s="39" t="n">
        <f aca="false">Resumo!$C$9</f>
        <v>11.9</v>
      </c>
      <c r="R1878" s="39" t="n">
        <f aca="false">SUM(M1878:Q1878)*Resumo!$C$11</f>
        <v>5.2515078</v>
      </c>
      <c r="S1878" s="39" t="n">
        <f aca="false">SUM(M1878:R1878)</f>
        <v>100.7334678</v>
      </c>
      <c r="T1878" s="39" t="n">
        <f aca="false">S1878/(1-Resumo!$C$5)</f>
        <v>114.469849772727</v>
      </c>
      <c r="U1878" s="39" t="n">
        <v>112.3</v>
      </c>
      <c r="V1878" s="39" t="n">
        <f aca="false">J1878*Resumo!$B$6</f>
        <v>0.69299</v>
      </c>
      <c r="W1878" s="39" t="n">
        <f aca="false">J1878*Resumo!$B$7</f>
        <v>1.38598</v>
      </c>
      <c r="X1878" s="39" t="n">
        <f aca="false">Resumo!$B$9</f>
        <v>1</v>
      </c>
      <c r="Y1878" s="39" t="n">
        <f aca="false">Resumo!$B$10*CEILING(I1878/100,1)</f>
        <v>4.5</v>
      </c>
      <c r="Z1878" s="39" t="n">
        <f aca="false">Resumo!$B$12*CEILING(I1878,1)</f>
        <v>3.54</v>
      </c>
      <c r="AA1878" s="39" t="n">
        <f aca="false">Resumo!$B$13*CEILING(I1878,1)</f>
        <v>26.55</v>
      </c>
      <c r="AB1878" s="39" t="n">
        <f aca="false">SUM(U1878:AA1878)</f>
        <v>149.96897</v>
      </c>
      <c r="AC1878" s="39" t="n">
        <f aca="false">AB1878/(1-Resumo!$B$5)</f>
        <v>170.419284090909</v>
      </c>
      <c r="AD1878" s="39" t="n">
        <f aca="false">(AB1878-AA1878)/(1-Resumo!$B$5)</f>
        <v>140.248829545455</v>
      </c>
      <c r="AE1878" s="39" t="n">
        <f aca="false">AC1878-T1878</f>
        <v>55.9494343181818</v>
      </c>
      <c r="AF1878" s="40" t="n">
        <f aca="false">AC1878/T1878-1</f>
        <v>0.488770051059436</v>
      </c>
      <c r="AG1878" s="37" t="str">
        <f aca="false">IF(AC1878&lt;T1878,"SIM","NÃO")</f>
        <v>NÃO</v>
      </c>
      <c r="AH1878" s="37" t="n">
        <v>8</v>
      </c>
      <c r="AI1878" s="37" t="n">
        <v>5</v>
      </c>
      <c r="AJ1878" s="37" t="s">
        <v>323</v>
      </c>
    </row>
    <row r="1879" customFormat="false" ht="15" hidden="false" customHeight="false" outlineLevel="0" collapsed="false">
      <c r="A1879" s="37" t="n">
        <v>395786580</v>
      </c>
      <c r="B1879" s="38" t="n">
        <v>46282.3651967593</v>
      </c>
      <c r="C1879" s="37" t="s">
        <v>320</v>
      </c>
      <c r="D1879" s="37" t="s">
        <v>2020</v>
      </c>
      <c r="E1879" s="37" t="n">
        <v>28090230</v>
      </c>
      <c r="F1879" s="37" t="s">
        <v>144</v>
      </c>
      <c r="G1879" s="37" t="s">
        <v>201</v>
      </c>
      <c r="H1879" s="37" t="s">
        <v>171</v>
      </c>
      <c r="I1879" s="37" t="n">
        <v>56.7</v>
      </c>
      <c r="J1879" s="39" t="n">
        <v>799.99</v>
      </c>
      <c r="K1879" s="37" t="s">
        <v>322</v>
      </c>
      <c r="L1879" s="39" t="n">
        <v>143.5</v>
      </c>
      <c r="M1879" s="39" t="n">
        <v>103.6</v>
      </c>
      <c r="N1879" s="39" t="n">
        <f aca="false">J1879*Resumo!$C$7</f>
        <v>1.59998</v>
      </c>
      <c r="O1879" s="39" t="n">
        <f aca="false">J1879*Resumo!$C$8</f>
        <v>1.59998</v>
      </c>
      <c r="P1879" s="39" t="n">
        <f aca="false">Resumo!$C$10*CEILING(I1879/100,1)</f>
        <v>1</v>
      </c>
      <c r="Q1879" s="39" t="n">
        <f aca="false">Resumo!$C$9</f>
        <v>11.9</v>
      </c>
      <c r="R1879" s="39" t="n">
        <f aca="false">SUM(M1879:Q1879)*Resumo!$C$11</f>
        <v>6.5834978</v>
      </c>
      <c r="S1879" s="39" t="n">
        <f aca="false">SUM(M1879:R1879)</f>
        <v>126.2834578</v>
      </c>
      <c r="T1879" s="39" t="n">
        <f aca="false">S1879/(1-Resumo!$C$5)</f>
        <v>143.503929318182</v>
      </c>
      <c r="U1879" s="39" t="n">
        <v>162.04</v>
      </c>
      <c r="V1879" s="39" t="n">
        <f aca="false">J1879*Resumo!$B$6</f>
        <v>0.79999</v>
      </c>
      <c r="W1879" s="39" t="n">
        <f aca="false">J1879*Resumo!$B$7</f>
        <v>1.59998</v>
      </c>
      <c r="X1879" s="39" t="n">
        <f aca="false">Resumo!$B$9</f>
        <v>1</v>
      </c>
      <c r="Y1879" s="39" t="n">
        <f aca="false">Resumo!$B$10*CEILING(I1879/100,1)</f>
        <v>4.5</v>
      </c>
      <c r="Z1879" s="39" t="n">
        <f aca="false">Resumo!$B$12*CEILING(I1879,1)</f>
        <v>3.42</v>
      </c>
      <c r="AA1879" s="39" t="n">
        <f aca="false">Resumo!$B$13*CEILING(I1879,1)</f>
        <v>25.65</v>
      </c>
      <c r="AB1879" s="39" t="n">
        <f aca="false">SUM(U1879:AA1879)</f>
        <v>199.00997</v>
      </c>
      <c r="AC1879" s="39" t="n">
        <f aca="false">AB1879/(1-Resumo!$B$5)</f>
        <v>226.147693181818</v>
      </c>
      <c r="AD1879" s="39" t="n">
        <f aca="false">(AB1879-AA1879)/(1-Resumo!$B$5)</f>
        <v>196.999965909091</v>
      </c>
      <c r="AE1879" s="39" t="n">
        <f aca="false">AC1879-T1879</f>
        <v>82.6437638636364</v>
      </c>
      <c r="AF1879" s="40" t="n">
        <f aca="false">AC1879/T1879-1</f>
        <v>0.575898961486942</v>
      </c>
      <c r="AG1879" s="37" t="str">
        <f aca="false">IF(AC1879&lt;T1879,"SIM","NÃO")</f>
        <v>NÃO</v>
      </c>
      <c r="AH1879" s="37" t="n">
        <v>13</v>
      </c>
      <c r="AI1879" s="37" t="n">
        <v>11</v>
      </c>
      <c r="AJ1879" s="37" t="s">
        <v>323</v>
      </c>
    </row>
    <row r="1880" customFormat="false" ht="15" hidden="false" customHeight="false" outlineLevel="0" collapsed="false">
      <c r="A1880" s="37" t="n">
        <v>395800048</v>
      </c>
      <c r="B1880" s="38" t="n">
        <v>46282.3974652778</v>
      </c>
      <c r="C1880" s="37" t="s">
        <v>320</v>
      </c>
      <c r="D1880" s="37" t="s">
        <v>2021</v>
      </c>
      <c r="E1880" s="37" t="n">
        <v>26210022</v>
      </c>
      <c r="F1880" s="37" t="s">
        <v>142</v>
      </c>
      <c r="G1880" s="37" t="s">
        <v>207</v>
      </c>
      <c r="H1880" s="37" t="s">
        <v>171</v>
      </c>
      <c r="I1880" s="37" t="n">
        <v>52.3</v>
      </c>
      <c r="J1880" s="39" t="n">
        <v>699.99</v>
      </c>
      <c r="K1880" s="37" t="s">
        <v>322</v>
      </c>
      <c r="L1880" s="39" t="n">
        <v>128.64</v>
      </c>
      <c r="M1880" s="39" t="n">
        <v>91.6</v>
      </c>
      <c r="N1880" s="39" t="n">
        <f aca="false">J1880*Resumo!$C$7</f>
        <v>1.39998</v>
      </c>
      <c r="O1880" s="39" t="n">
        <f aca="false">J1880*Resumo!$C$8</f>
        <v>1.39998</v>
      </c>
      <c r="P1880" s="39" t="n">
        <f aca="false">Resumo!$C$10*CEILING(I1880/100,1)</f>
        <v>1</v>
      </c>
      <c r="Q1880" s="39" t="n">
        <f aca="false">Resumo!$C$9</f>
        <v>11.9</v>
      </c>
      <c r="R1880" s="39" t="n">
        <f aca="false">SUM(M1880:Q1880)*Resumo!$C$11</f>
        <v>5.9014978</v>
      </c>
      <c r="S1880" s="39" t="n">
        <f aca="false">SUM(M1880:R1880)</f>
        <v>113.2014578</v>
      </c>
      <c r="T1880" s="39" t="n">
        <f aca="false">S1880/(1-Resumo!$C$5)</f>
        <v>128.638020227273</v>
      </c>
      <c r="U1880" s="39" t="n">
        <v>112.3</v>
      </c>
      <c r="V1880" s="39" t="n">
        <f aca="false">J1880*Resumo!$B$6</f>
        <v>0.69999</v>
      </c>
      <c r="W1880" s="39" t="n">
        <f aca="false">J1880*Resumo!$B$7</f>
        <v>1.39998</v>
      </c>
      <c r="X1880" s="39" t="n">
        <f aca="false">Resumo!$B$9</f>
        <v>1</v>
      </c>
      <c r="Y1880" s="39" t="n">
        <f aca="false">Resumo!$B$10*CEILING(I1880/100,1)</f>
        <v>4.5</v>
      </c>
      <c r="Z1880" s="39" t="n">
        <f aca="false">Resumo!$B$12*CEILING(I1880,1)</f>
        <v>3.18</v>
      </c>
      <c r="AA1880" s="39" t="n">
        <f aca="false">Resumo!$B$13*CEILING(I1880,1)</f>
        <v>23.85</v>
      </c>
      <c r="AB1880" s="39" t="n">
        <f aca="false">SUM(U1880:AA1880)</f>
        <v>146.92997</v>
      </c>
      <c r="AC1880" s="39" t="n">
        <f aca="false">AB1880/(1-Resumo!$B$5)</f>
        <v>166.965875</v>
      </c>
      <c r="AD1880" s="39" t="n">
        <f aca="false">(AB1880-AA1880)/(1-Resumo!$B$5)</f>
        <v>139.863602272727</v>
      </c>
      <c r="AE1880" s="39" t="n">
        <f aca="false">AC1880-T1880</f>
        <v>38.3278547727273</v>
      </c>
      <c r="AF1880" s="40" t="n">
        <f aca="false">AC1880/T1880-1</f>
        <v>0.297951217727162</v>
      </c>
      <c r="AG1880" s="37" t="str">
        <f aca="false">IF(AC1880&lt;T1880,"SIM","NÃO")</f>
        <v>NÃO</v>
      </c>
      <c r="AH1880" s="37" t="n">
        <v>10</v>
      </c>
      <c r="AI1880" s="37" t="n">
        <v>5</v>
      </c>
      <c r="AJ1880" s="37" t="s">
        <v>323</v>
      </c>
    </row>
    <row r="1881" customFormat="false" ht="15" hidden="false" customHeight="false" outlineLevel="0" collapsed="false">
      <c r="A1881" s="37" t="n">
        <v>395808305</v>
      </c>
      <c r="B1881" s="38" t="n">
        <v>46282.4158449074</v>
      </c>
      <c r="C1881" s="37" t="s">
        <v>320</v>
      </c>
      <c r="D1881" s="37" t="s">
        <v>2022</v>
      </c>
      <c r="E1881" s="37" t="n">
        <v>28959880</v>
      </c>
      <c r="F1881" s="37" t="s">
        <v>279</v>
      </c>
      <c r="G1881" s="37" t="s">
        <v>201</v>
      </c>
      <c r="H1881" s="37" t="s">
        <v>167</v>
      </c>
      <c r="I1881" s="37" t="n">
        <v>19.5</v>
      </c>
      <c r="J1881" s="39" t="n">
        <v>450.7</v>
      </c>
      <c r="K1881" s="37" t="s">
        <v>322</v>
      </c>
      <c r="L1881" s="39" t="n">
        <v>80.82</v>
      </c>
      <c r="M1881" s="39" t="n">
        <v>52.71</v>
      </c>
      <c r="N1881" s="39" t="n">
        <f aca="false">J1881*Resumo!$C$7</f>
        <v>0.9014</v>
      </c>
      <c r="O1881" s="39" t="n">
        <f aca="false">J1881*Resumo!$C$8</f>
        <v>0.9014</v>
      </c>
      <c r="P1881" s="39" t="n">
        <f aca="false">Resumo!$C$10*CEILING(I1881/100,1)</f>
        <v>1</v>
      </c>
      <c r="Q1881" s="39" t="n">
        <f aca="false">Resumo!$C$9</f>
        <v>11.9</v>
      </c>
      <c r="R1881" s="39" t="n">
        <f aca="false">SUM(M1881:Q1881)*Resumo!$C$11</f>
        <v>3.707704</v>
      </c>
      <c r="S1881" s="39" t="n">
        <f aca="false">SUM(M1881:R1881)</f>
        <v>71.120504</v>
      </c>
      <c r="T1881" s="39" t="n">
        <f aca="false">S1881/(1-Resumo!$C$5)</f>
        <v>80.8187545454546</v>
      </c>
      <c r="U1881" s="39" t="n">
        <v>100.7</v>
      </c>
      <c r="V1881" s="39" t="n">
        <f aca="false">J1881*Resumo!$B$6</f>
        <v>0.4507</v>
      </c>
      <c r="W1881" s="39" t="n">
        <f aca="false">J1881*Resumo!$B$7</f>
        <v>0.9014</v>
      </c>
      <c r="X1881" s="39" t="n">
        <f aca="false">Resumo!$B$9</f>
        <v>1</v>
      </c>
      <c r="Y1881" s="39" t="n">
        <f aca="false">Resumo!$B$10*CEILING(I1881/100,1)</f>
        <v>4.5</v>
      </c>
      <c r="Z1881" s="39" t="n">
        <f aca="false">Resumo!$B$12*CEILING(I1881,1)</f>
        <v>1.2</v>
      </c>
      <c r="AA1881" s="39" t="n">
        <f aca="false">Resumo!$B$13*CEILING(I1881,1)</f>
        <v>9</v>
      </c>
      <c r="AB1881" s="39" t="n">
        <f aca="false">SUM(U1881:AA1881)</f>
        <v>117.7521</v>
      </c>
      <c r="AC1881" s="39" t="n">
        <f aca="false">AB1881/(1-Resumo!$B$5)</f>
        <v>133.809204545455</v>
      </c>
      <c r="AD1881" s="39" t="n">
        <f aca="false">(AB1881-AA1881)/(1-Resumo!$B$5)</f>
        <v>123.581931818182</v>
      </c>
      <c r="AE1881" s="39" t="n">
        <f aca="false">AC1881-T1881</f>
        <v>52.99045</v>
      </c>
      <c r="AF1881" s="40" t="n">
        <f aca="false">AC1881/T1881-1</f>
        <v>0.655670212910752</v>
      </c>
      <c r="AG1881" s="37" t="str">
        <f aca="false">IF(AC1881&lt;T1881,"SIM","NÃO")</f>
        <v>NÃO</v>
      </c>
      <c r="AH1881" s="37" t="n">
        <v>13</v>
      </c>
      <c r="AI1881" s="37" t="n">
        <v>10</v>
      </c>
      <c r="AJ1881" s="37" t="s">
        <v>327</v>
      </c>
    </row>
    <row r="1882" customFormat="false" ht="15" hidden="false" customHeight="false" outlineLevel="0" collapsed="false">
      <c r="A1882" s="37" t="n">
        <v>395809443</v>
      </c>
      <c r="B1882" s="38" t="n">
        <v>46282.4192361111</v>
      </c>
      <c r="C1882" s="37" t="s">
        <v>320</v>
      </c>
      <c r="D1882" s="37" t="s">
        <v>2023</v>
      </c>
      <c r="E1882" s="37" t="n">
        <v>28635010</v>
      </c>
      <c r="F1882" s="37" t="s">
        <v>157</v>
      </c>
      <c r="G1882" s="37" t="s">
        <v>201</v>
      </c>
      <c r="H1882" s="37" t="s">
        <v>171</v>
      </c>
      <c r="I1882" s="37" t="n">
        <v>52.3</v>
      </c>
      <c r="J1882" s="39" t="n">
        <v>645.14</v>
      </c>
      <c r="K1882" s="37" t="s">
        <v>322</v>
      </c>
      <c r="L1882" s="39" t="n">
        <v>142.76</v>
      </c>
      <c r="M1882" s="39" t="n">
        <v>103.6</v>
      </c>
      <c r="N1882" s="39" t="n">
        <f aca="false">J1882*Resumo!$C$7</f>
        <v>1.29028</v>
      </c>
      <c r="O1882" s="39" t="n">
        <f aca="false">J1882*Resumo!$C$8</f>
        <v>1.29028</v>
      </c>
      <c r="P1882" s="39" t="n">
        <f aca="false">Resumo!$C$10*CEILING(I1882/100,1)</f>
        <v>1</v>
      </c>
      <c r="Q1882" s="39" t="n">
        <f aca="false">Resumo!$C$9</f>
        <v>11.9</v>
      </c>
      <c r="R1882" s="39" t="n">
        <f aca="false">SUM(M1882:Q1882)*Resumo!$C$11</f>
        <v>6.5494308</v>
      </c>
      <c r="S1882" s="39" t="n">
        <f aca="false">SUM(M1882:R1882)</f>
        <v>125.6299908</v>
      </c>
      <c r="T1882" s="39" t="n">
        <f aca="false">S1882/(1-Resumo!$C$5)</f>
        <v>142.761353181818</v>
      </c>
      <c r="U1882" s="39" t="n">
        <v>144.53</v>
      </c>
      <c r="V1882" s="39" t="n">
        <f aca="false">J1882*Resumo!$B$6</f>
        <v>0.64514</v>
      </c>
      <c r="W1882" s="39" t="n">
        <f aca="false">J1882*Resumo!$B$7</f>
        <v>1.29028</v>
      </c>
      <c r="X1882" s="39" t="n">
        <f aca="false">Resumo!$B$9</f>
        <v>1</v>
      </c>
      <c r="Y1882" s="39" t="n">
        <f aca="false">Resumo!$B$10*CEILING(I1882/100,1)</f>
        <v>4.5</v>
      </c>
      <c r="Z1882" s="39" t="n">
        <f aca="false">Resumo!$B$12*CEILING(I1882,1)</f>
        <v>3.18</v>
      </c>
      <c r="AA1882" s="39" t="n">
        <f aca="false">Resumo!$B$13*CEILING(I1882,1)</f>
        <v>23.85</v>
      </c>
      <c r="AB1882" s="39" t="n">
        <f aca="false">SUM(U1882:AA1882)</f>
        <v>178.99542</v>
      </c>
      <c r="AC1882" s="39" t="n">
        <f aca="false">AB1882/(1-Resumo!$B$5)</f>
        <v>203.403886363636</v>
      </c>
      <c r="AD1882" s="39" t="n">
        <f aca="false">(AB1882-AA1882)/(1-Resumo!$B$5)</f>
        <v>176.301613636364</v>
      </c>
      <c r="AE1882" s="39" t="n">
        <f aca="false">AC1882-T1882</f>
        <v>60.6425331818182</v>
      </c>
      <c r="AF1882" s="40" t="n">
        <f aca="false">AC1882/T1882-1</f>
        <v>0.424782560757777</v>
      </c>
      <c r="AG1882" s="37" t="str">
        <f aca="false">IF(AC1882&lt;T1882,"SIM","NÃO")</f>
        <v>NÃO</v>
      </c>
      <c r="AH1882" s="37" t="n">
        <v>13</v>
      </c>
      <c r="AI1882" s="37" t="n">
        <v>10</v>
      </c>
      <c r="AJ1882" s="37" t="s">
        <v>323</v>
      </c>
    </row>
    <row r="1883" customFormat="false" ht="15" hidden="false" customHeight="false" outlineLevel="0" collapsed="false">
      <c r="A1883" s="37" t="n">
        <v>395828342</v>
      </c>
      <c r="B1883" s="38" t="n">
        <v>46282.4647222222</v>
      </c>
      <c r="C1883" s="37" t="s">
        <v>320</v>
      </c>
      <c r="D1883" s="37" t="s">
        <v>1354</v>
      </c>
      <c r="E1883" s="37" t="n">
        <v>24422400</v>
      </c>
      <c r="F1883" s="37" t="s">
        <v>140</v>
      </c>
      <c r="G1883" s="37" t="s">
        <v>207</v>
      </c>
      <c r="H1883" s="37" t="s">
        <v>171</v>
      </c>
      <c r="I1883" s="37" t="n">
        <v>60</v>
      </c>
      <c r="J1883" s="39" t="n">
        <v>823.09</v>
      </c>
      <c r="K1883" s="37" t="s">
        <v>322</v>
      </c>
      <c r="L1883" s="39" t="n">
        <v>129.24</v>
      </c>
      <c r="M1883" s="39" t="n">
        <v>91.6</v>
      </c>
      <c r="N1883" s="39" t="n">
        <f aca="false">J1883*Resumo!$C$7</f>
        <v>1.64618</v>
      </c>
      <c r="O1883" s="39" t="n">
        <f aca="false">J1883*Resumo!$C$8</f>
        <v>1.64618</v>
      </c>
      <c r="P1883" s="39" t="n">
        <f aca="false">Resumo!$C$10*CEILING(I1883/100,1)</f>
        <v>1</v>
      </c>
      <c r="Q1883" s="39" t="n">
        <f aca="false">Resumo!$C$9</f>
        <v>11.9</v>
      </c>
      <c r="R1883" s="39" t="n">
        <f aca="false">SUM(M1883:Q1883)*Resumo!$C$11</f>
        <v>5.9285798</v>
      </c>
      <c r="S1883" s="39" t="n">
        <f aca="false">SUM(M1883:R1883)</f>
        <v>113.7209398</v>
      </c>
      <c r="T1883" s="39" t="n">
        <f aca="false">S1883/(1-Resumo!$C$5)</f>
        <v>129.228340681818</v>
      </c>
      <c r="U1883" s="39" t="n">
        <v>128.14</v>
      </c>
      <c r="V1883" s="39" t="n">
        <f aca="false">J1883*Resumo!$B$6</f>
        <v>0.82309</v>
      </c>
      <c r="W1883" s="39" t="n">
        <f aca="false">J1883*Resumo!$B$7</f>
        <v>1.64618</v>
      </c>
      <c r="X1883" s="39" t="n">
        <f aca="false">Resumo!$B$9</f>
        <v>1</v>
      </c>
      <c r="Y1883" s="39" t="n">
        <f aca="false">Resumo!$B$10*CEILING(I1883/100,1)</f>
        <v>4.5</v>
      </c>
      <c r="Z1883" s="39" t="n">
        <f aca="false">Resumo!$B$12*CEILING(I1883,1)</f>
        <v>3.6</v>
      </c>
      <c r="AA1883" s="39" t="n">
        <f aca="false">Resumo!$B$13*CEILING(I1883,1)</f>
        <v>27</v>
      </c>
      <c r="AB1883" s="39" t="n">
        <f aca="false">SUM(U1883:AA1883)</f>
        <v>166.70927</v>
      </c>
      <c r="AC1883" s="39" t="n">
        <f aca="false">AB1883/(1-Resumo!$B$5)</f>
        <v>189.442352272727</v>
      </c>
      <c r="AD1883" s="39" t="n">
        <f aca="false">(AB1883-AA1883)/(1-Resumo!$B$5)</f>
        <v>158.760534090909</v>
      </c>
      <c r="AE1883" s="39" t="n">
        <f aca="false">AC1883-T1883</f>
        <v>60.2140115909091</v>
      </c>
      <c r="AF1883" s="40" t="n">
        <f aca="false">AC1883/T1883-1</f>
        <v>0.465950512660114</v>
      </c>
      <c r="AG1883" s="37" t="str">
        <f aca="false">IF(AC1883&lt;T1883,"SIM","NÃO")</f>
        <v>NÃO</v>
      </c>
      <c r="AH1883" s="37" t="n">
        <v>10</v>
      </c>
      <c r="AI1883" s="37" t="n">
        <v>7</v>
      </c>
      <c r="AJ1883" s="37" t="s">
        <v>323</v>
      </c>
    </row>
    <row r="1884" customFormat="false" ht="15" hidden="false" customHeight="false" outlineLevel="0" collapsed="false">
      <c r="A1884" s="37" t="n">
        <v>395837545</v>
      </c>
      <c r="B1884" s="38" t="n">
        <v>46282.4882175926</v>
      </c>
      <c r="C1884" s="37" t="s">
        <v>320</v>
      </c>
      <c r="D1884" s="37" t="s">
        <v>2024</v>
      </c>
      <c r="E1884" s="37" t="n">
        <v>21910160</v>
      </c>
      <c r="F1884" s="37" t="s">
        <v>139</v>
      </c>
      <c r="G1884" s="37" t="s">
        <v>198</v>
      </c>
      <c r="H1884" s="37" t="s">
        <v>169</v>
      </c>
      <c r="I1884" s="37" t="n">
        <v>40</v>
      </c>
      <c r="J1884" s="39" t="n">
        <v>562.42</v>
      </c>
      <c r="K1884" s="37" t="s">
        <v>322</v>
      </c>
      <c r="L1884" s="39" t="n">
        <v>92.55</v>
      </c>
      <c r="M1884" s="39" t="n">
        <v>62.05</v>
      </c>
      <c r="N1884" s="39" t="n">
        <f aca="false">J1884*Resumo!$C$7</f>
        <v>1.12484</v>
      </c>
      <c r="O1884" s="39" t="n">
        <f aca="false">J1884*Resumo!$C$8</f>
        <v>1.12484</v>
      </c>
      <c r="P1884" s="39" t="n">
        <f aca="false">Resumo!$C$10*CEILING(I1884/100,1)</f>
        <v>1</v>
      </c>
      <c r="Q1884" s="39" t="n">
        <f aca="false">Resumo!$C$9</f>
        <v>11.9</v>
      </c>
      <c r="R1884" s="39" t="n">
        <f aca="false">SUM(M1884:Q1884)*Resumo!$C$11</f>
        <v>4.2459824</v>
      </c>
      <c r="S1884" s="39" t="n">
        <f aca="false">SUM(M1884:R1884)</f>
        <v>81.4456624</v>
      </c>
      <c r="T1884" s="39" t="n">
        <f aca="false">S1884/(1-Resumo!$C$5)</f>
        <v>92.5518890909091</v>
      </c>
      <c r="U1884" s="39" t="n">
        <v>93.97</v>
      </c>
      <c r="V1884" s="39" t="n">
        <f aca="false">J1884*Resumo!$B$6</f>
        <v>0.56242</v>
      </c>
      <c r="W1884" s="39" t="n">
        <f aca="false">J1884*Resumo!$B$7</f>
        <v>1.12484</v>
      </c>
      <c r="X1884" s="39" t="n">
        <f aca="false">Resumo!$B$9</f>
        <v>1</v>
      </c>
      <c r="Y1884" s="39" t="n">
        <f aca="false">Resumo!$B$10*CEILING(I1884/100,1)</f>
        <v>4.5</v>
      </c>
      <c r="Z1884" s="39" t="n">
        <f aca="false">Resumo!$B$12*CEILING(I1884,1)</f>
        <v>2.4</v>
      </c>
      <c r="AA1884" s="39" t="n">
        <f aca="false">Resumo!$B$13*CEILING(I1884,1)</f>
        <v>18</v>
      </c>
      <c r="AB1884" s="39" t="n">
        <f aca="false">SUM(U1884:AA1884)</f>
        <v>121.55726</v>
      </c>
      <c r="AC1884" s="39" t="n">
        <f aca="false">AB1884/(1-Resumo!$B$5)</f>
        <v>138.13325</v>
      </c>
      <c r="AD1884" s="39" t="n">
        <f aca="false">(AB1884-AA1884)/(1-Resumo!$B$5)</f>
        <v>117.678704545455</v>
      </c>
      <c r="AE1884" s="39" t="n">
        <f aca="false">AC1884-T1884</f>
        <v>45.5813609090909</v>
      </c>
      <c r="AF1884" s="40" t="n">
        <f aca="false">AC1884/T1884-1</f>
        <v>0.492495197632526</v>
      </c>
      <c r="AG1884" s="37" t="str">
        <f aca="false">IF(AC1884&lt;T1884,"SIM","NÃO")</f>
        <v>NÃO</v>
      </c>
      <c r="AH1884" s="37" t="n">
        <v>8</v>
      </c>
      <c r="AI1884" s="37" t="n">
        <v>5</v>
      </c>
      <c r="AJ1884" s="37" t="s">
        <v>323</v>
      </c>
    </row>
    <row r="1885" customFormat="false" ht="15" hidden="false" customHeight="false" outlineLevel="0" collapsed="false">
      <c r="A1885" s="37" t="n">
        <v>395859493</v>
      </c>
      <c r="B1885" s="38" t="n">
        <v>46282.5369444444</v>
      </c>
      <c r="C1885" s="37" t="s">
        <v>325</v>
      </c>
      <c r="D1885" s="37" t="s">
        <v>2025</v>
      </c>
      <c r="E1885" s="37" t="n">
        <v>22471180</v>
      </c>
      <c r="F1885" s="37" t="s">
        <v>139</v>
      </c>
      <c r="G1885" s="37" t="s">
        <v>198</v>
      </c>
      <c r="H1885" s="37" t="s">
        <v>171</v>
      </c>
      <c r="I1885" s="37" t="n">
        <v>52.3</v>
      </c>
      <c r="J1885" s="39" t="n">
        <v>649.99</v>
      </c>
      <c r="K1885" s="37" t="s">
        <v>322</v>
      </c>
      <c r="L1885" s="39" t="n">
        <v>114.26</v>
      </c>
      <c r="M1885" s="39" t="n">
        <v>79.81</v>
      </c>
      <c r="N1885" s="39" t="n">
        <f aca="false">J1885*Resumo!$C$7</f>
        <v>1.29998</v>
      </c>
      <c r="O1885" s="39" t="n">
        <f aca="false">J1885*Resumo!$C$8</f>
        <v>1.29998</v>
      </c>
      <c r="P1885" s="39" t="n">
        <f aca="false">Resumo!$C$10*CEILING(I1885/100,1)</f>
        <v>1</v>
      </c>
      <c r="Q1885" s="39" t="n">
        <f aca="false">Resumo!$C$9</f>
        <v>11.9</v>
      </c>
      <c r="R1885" s="39" t="n">
        <f aca="false">SUM(M1885:Q1885)*Resumo!$C$11</f>
        <v>5.2420478</v>
      </c>
      <c r="S1885" s="39" t="n">
        <f aca="false">SUM(M1885:R1885)</f>
        <v>100.5520078</v>
      </c>
      <c r="T1885" s="39" t="n">
        <f aca="false">S1885/(1-Resumo!$C$5)</f>
        <v>114.263645227273</v>
      </c>
      <c r="U1885" s="39" t="n">
        <v>112.3</v>
      </c>
      <c r="V1885" s="39" t="n">
        <f aca="false">J1885*Resumo!$B$6</f>
        <v>0.64999</v>
      </c>
      <c r="W1885" s="39" t="n">
        <f aca="false">J1885*Resumo!$B$7</f>
        <v>1.29998</v>
      </c>
      <c r="X1885" s="39" t="n">
        <f aca="false">Resumo!$B$9</f>
        <v>1</v>
      </c>
      <c r="Y1885" s="39" t="n">
        <f aca="false">Resumo!$B$10*CEILING(I1885/100,1)</f>
        <v>4.5</v>
      </c>
      <c r="Z1885" s="39" t="n">
        <f aca="false">Resumo!$B$12*CEILING(I1885,1)</f>
        <v>3.18</v>
      </c>
      <c r="AA1885" s="39" t="n">
        <f aca="false">Resumo!$B$13*CEILING(I1885,1)</f>
        <v>23.85</v>
      </c>
      <c r="AB1885" s="39" t="n">
        <f aca="false">SUM(U1885:AA1885)</f>
        <v>146.77997</v>
      </c>
      <c r="AC1885" s="39" t="n">
        <f aca="false">AB1885/(1-Resumo!$B$5)</f>
        <v>166.795420454545</v>
      </c>
      <c r="AD1885" s="39" t="n">
        <f aca="false">(AB1885-AA1885)/(1-Resumo!$B$5)</f>
        <v>139.693147727273</v>
      </c>
      <c r="AE1885" s="39" t="n">
        <f aca="false">AC1885-T1885</f>
        <v>52.5317752272727</v>
      </c>
      <c r="AF1885" s="40" t="n">
        <f aca="false">AC1885/T1885-1</f>
        <v>0.459741811341533</v>
      </c>
      <c r="AG1885" s="37" t="str">
        <f aca="false">IF(AC1885&lt;T1885,"SIM","NÃO")</f>
        <v>NÃO</v>
      </c>
      <c r="AH1885" s="37" t="n">
        <v>8</v>
      </c>
      <c r="AI1885" s="37" t="n">
        <v>5</v>
      </c>
      <c r="AJ1885" s="37" t="s">
        <v>323</v>
      </c>
    </row>
    <row r="1886" customFormat="false" ht="15" hidden="false" customHeight="false" outlineLevel="0" collapsed="false">
      <c r="A1886" s="37" t="n">
        <v>395895631</v>
      </c>
      <c r="B1886" s="38" t="n">
        <v>46282.6074768519</v>
      </c>
      <c r="C1886" s="37" t="s">
        <v>320</v>
      </c>
      <c r="D1886" s="37" t="s">
        <v>434</v>
      </c>
      <c r="E1886" s="37" t="n">
        <v>28200000</v>
      </c>
      <c r="F1886" s="37" t="s">
        <v>245</v>
      </c>
      <c r="G1886" s="37" t="s">
        <v>201</v>
      </c>
      <c r="H1886" s="37" t="s">
        <v>171</v>
      </c>
      <c r="I1886" s="37" t="n">
        <v>58.9</v>
      </c>
      <c r="J1886" s="39" t="n">
        <v>759.99</v>
      </c>
      <c r="K1886" s="37" t="s">
        <v>322</v>
      </c>
      <c r="L1886" s="39" t="n">
        <v>143.31</v>
      </c>
      <c r="M1886" s="39" t="n">
        <v>103.6</v>
      </c>
      <c r="N1886" s="39" t="n">
        <f aca="false">J1886*Resumo!$C$7</f>
        <v>1.51998</v>
      </c>
      <c r="O1886" s="39" t="n">
        <f aca="false">J1886*Resumo!$C$8</f>
        <v>1.51998</v>
      </c>
      <c r="P1886" s="39" t="n">
        <f aca="false">Resumo!$C$10*CEILING(I1886/100,1)</f>
        <v>1</v>
      </c>
      <c r="Q1886" s="39" t="n">
        <f aca="false">Resumo!$C$9</f>
        <v>11.9</v>
      </c>
      <c r="R1886" s="39" t="n">
        <f aca="false">SUM(M1886:Q1886)*Resumo!$C$11</f>
        <v>6.5746978</v>
      </c>
      <c r="S1886" s="39" t="n">
        <f aca="false">SUM(M1886:R1886)</f>
        <v>126.1146578</v>
      </c>
      <c r="T1886" s="39" t="n">
        <f aca="false">S1886/(1-Resumo!$C$5)</f>
        <v>143.312111136364</v>
      </c>
      <c r="U1886" s="39" t="n">
        <v>162.04</v>
      </c>
      <c r="V1886" s="39" t="n">
        <f aca="false">J1886*Resumo!$B$6</f>
        <v>0.75999</v>
      </c>
      <c r="W1886" s="39" t="n">
        <f aca="false">J1886*Resumo!$B$7</f>
        <v>1.51998</v>
      </c>
      <c r="X1886" s="39" t="n">
        <f aca="false">Resumo!$B$9</f>
        <v>1</v>
      </c>
      <c r="Y1886" s="39" t="n">
        <f aca="false">Resumo!$B$10*CEILING(I1886/100,1)</f>
        <v>4.5</v>
      </c>
      <c r="Z1886" s="39" t="n">
        <f aca="false">Resumo!$B$12*CEILING(I1886,1)</f>
        <v>3.54</v>
      </c>
      <c r="AA1886" s="39" t="n">
        <f aca="false">Resumo!$B$13*CEILING(I1886,1)</f>
        <v>26.55</v>
      </c>
      <c r="AB1886" s="39" t="n">
        <f aca="false">SUM(U1886:AA1886)</f>
        <v>199.90997</v>
      </c>
      <c r="AC1886" s="39" t="n">
        <f aca="false">AB1886/(1-Resumo!$B$5)</f>
        <v>227.170420454545</v>
      </c>
      <c r="AD1886" s="39" t="n">
        <f aca="false">(AB1886-AA1886)/(1-Resumo!$B$5)</f>
        <v>196.999965909091</v>
      </c>
      <c r="AE1886" s="39" t="n">
        <f aca="false">AC1886-T1886</f>
        <v>83.8583093181819</v>
      </c>
      <c r="AF1886" s="40" t="n">
        <f aca="false">AC1886/T1886-1</f>
        <v>0.585144609574479</v>
      </c>
      <c r="AG1886" s="37" t="str">
        <f aca="false">IF(AC1886&lt;T1886,"SIM","NÃO")</f>
        <v>NÃO</v>
      </c>
      <c r="AH1886" s="37" t="n">
        <v>13</v>
      </c>
      <c r="AI1886" s="37" t="n">
        <v>11</v>
      </c>
      <c r="AJ1886" s="37" t="s">
        <v>327</v>
      </c>
    </row>
    <row r="1887" customFormat="false" ht="15" hidden="false" customHeight="false" outlineLevel="0" collapsed="false">
      <c r="A1887" s="37" t="n">
        <v>395896388</v>
      </c>
      <c r="B1887" s="38" t="n">
        <v>46282.6089236111</v>
      </c>
      <c r="C1887" s="37" t="s">
        <v>320</v>
      </c>
      <c r="D1887" s="37" t="s">
        <v>434</v>
      </c>
      <c r="E1887" s="37" t="n">
        <v>28200000</v>
      </c>
      <c r="F1887" s="37" t="s">
        <v>245</v>
      </c>
      <c r="G1887" s="37" t="s">
        <v>201</v>
      </c>
      <c r="H1887" s="37" t="s">
        <v>168</v>
      </c>
      <c r="I1887" s="37" t="n">
        <v>31.3</v>
      </c>
      <c r="J1887" s="39" t="n">
        <v>399.99</v>
      </c>
      <c r="K1887" s="37" t="s">
        <v>322</v>
      </c>
      <c r="L1887" s="39" t="n">
        <v>109.1</v>
      </c>
      <c r="M1887" s="39" t="n">
        <v>76.5</v>
      </c>
      <c r="N1887" s="39" t="n">
        <f aca="false">J1887*Resumo!$C$7</f>
        <v>0.79998</v>
      </c>
      <c r="O1887" s="39" t="n">
        <f aca="false">J1887*Resumo!$C$8</f>
        <v>0.79998</v>
      </c>
      <c r="P1887" s="39" t="n">
        <f aca="false">Resumo!$C$10*CEILING(I1887/100,1)</f>
        <v>1</v>
      </c>
      <c r="Q1887" s="39" t="n">
        <f aca="false">Resumo!$C$9</f>
        <v>11.9</v>
      </c>
      <c r="R1887" s="39" t="n">
        <f aca="false">SUM(M1887:Q1887)*Resumo!$C$11</f>
        <v>5.0049978</v>
      </c>
      <c r="S1887" s="39" t="n">
        <f aca="false">SUM(M1887:R1887)</f>
        <v>96.0049578</v>
      </c>
      <c r="T1887" s="39" t="n">
        <f aca="false">S1887/(1-Resumo!$C$5)</f>
        <v>109.096542954545</v>
      </c>
      <c r="U1887" s="39" t="n">
        <v>138.29</v>
      </c>
      <c r="V1887" s="39" t="n">
        <f aca="false">J1887*Resumo!$B$6</f>
        <v>0.39999</v>
      </c>
      <c r="W1887" s="39" t="n">
        <f aca="false">J1887*Resumo!$B$7</f>
        <v>0.79998</v>
      </c>
      <c r="X1887" s="39" t="n">
        <f aca="false">Resumo!$B$9</f>
        <v>1</v>
      </c>
      <c r="Y1887" s="39" t="n">
        <f aca="false">Resumo!$B$10*CEILING(I1887/100,1)</f>
        <v>4.5</v>
      </c>
      <c r="Z1887" s="39" t="n">
        <f aca="false">Resumo!$B$12*CEILING(I1887,1)</f>
        <v>1.92</v>
      </c>
      <c r="AA1887" s="39" t="n">
        <f aca="false">Resumo!$B$13*CEILING(I1887,1)</f>
        <v>14.4</v>
      </c>
      <c r="AB1887" s="39" t="n">
        <f aca="false">SUM(U1887:AA1887)</f>
        <v>161.30997</v>
      </c>
      <c r="AC1887" s="39" t="n">
        <f aca="false">AB1887/(1-Resumo!$B$5)</f>
        <v>183.306784090909</v>
      </c>
      <c r="AD1887" s="39" t="n">
        <f aca="false">(AB1887-AA1887)/(1-Resumo!$B$5)</f>
        <v>166.943147727273</v>
      </c>
      <c r="AE1887" s="39" t="n">
        <f aca="false">AC1887-T1887</f>
        <v>74.2102411363636</v>
      </c>
      <c r="AF1887" s="40" t="n">
        <f aca="false">AC1887/T1887-1</f>
        <v>0.680225414358757</v>
      </c>
      <c r="AG1887" s="37" t="str">
        <f aca="false">IF(AC1887&lt;T1887,"SIM","NÃO")</f>
        <v>NÃO</v>
      </c>
      <c r="AH1887" s="37" t="n">
        <v>13</v>
      </c>
      <c r="AI1887" s="37" t="n">
        <v>11</v>
      </c>
      <c r="AJ1887" s="37" t="s">
        <v>327</v>
      </c>
    </row>
    <row r="1888" customFormat="false" ht="15" hidden="false" customHeight="false" outlineLevel="0" collapsed="false">
      <c r="A1888" s="37" t="n">
        <v>395903306</v>
      </c>
      <c r="B1888" s="38" t="n">
        <v>46282.6327546296</v>
      </c>
      <c r="C1888" s="37" t="s">
        <v>355</v>
      </c>
      <c r="D1888" s="37" t="s">
        <v>765</v>
      </c>
      <c r="E1888" s="37" t="n">
        <v>23520286</v>
      </c>
      <c r="F1888" s="37" t="s">
        <v>139</v>
      </c>
      <c r="G1888" s="37" t="s">
        <v>198</v>
      </c>
      <c r="H1888" s="37" t="s">
        <v>168</v>
      </c>
      <c r="I1888" s="37" t="n">
        <v>24.8</v>
      </c>
      <c r="J1888" s="39" t="n">
        <v>399.99</v>
      </c>
      <c r="K1888" s="37" t="s">
        <v>322</v>
      </c>
      <c r="L1888" s="39" t="n">
        <v>82.24</v>
      </c>
      <c r="M1888" s="39" t="n">
        <v>54.1</v>
      </c>
      <c r="N1888" s="39" t="n">
        <f aca="false">J1888*Resumo!$C$7</f>
        <v>0.79998</v>
      </c>
      <c r="O1888" s="39" t="n">
        <f aca="false">J1888*Resumo!$C$8</f>
        <v>0.79998</v>
      </c>
      <c r="P1888" s="39" t="n">
        <f aca="false">Resumo!$C$10*CEILING(I1888/100,1)</f>
        <v>1</v>
      </c>
      <c r="Q1888" s="39" t="n">
        <f aca="false">Resumo!$C$9</f>
        <v>11.9</v>
      </c>
      <c r="R1888" s="39" t="n">
        <f aca="false">SUM(M1888:Q1888)*Resumo!$C$11</f>
        <v>3.7729978</v>
      </c>
      <c r="S1888" s="39" t="n">
        <f aca="false">SUM(M1888:R1888)</f>
        <v>72.3729578</v>
      </c>
      <c r="T1888" s="39" t="n">
        <f aca="false">S1888/(1-Resumo!$C$5)</f>
        <v>82.2419975</v>
      </c>
      <c r="U1888" s="39" t="n">
        <v>82.21</v>
      </c>
      <c r="V1888" s="39" t="n">
        <f aca="false">J1888*Resumo!$B$6</f>
        <v>0.39999</v>
      </c>
      <c r="W1888" s="39" t="n">
        <f aca="false">J1888*Resumo!$B$7</f>
        <v>0.79998</v>
      </c>
      <c r="X1888" s="39" t="n">
        <f aca="false">Resumo!$B$9</f>
        <v>1</v>
      </c>
      <c r="Y1888" s="39" t="n">
        <f aca="false">Resumo!$B$10*CEILING(I1888/100,1)</f>
        <v>4.5</v>
      </c>
      <c r="Z1888" s="39" t="n">
        <f aca="false">Resumo!$B$12*CEILING(I1888,1)</f>
        <v>1.5</v>
      </c>
      <c r="AA1888" s="39" t="n">
        <f aca="false">Resumo!$B$13*CEILING(I1888,1)</f>
        <v>11.25</v>
      </c>
      <c r="AB1888" s="39" t="n">
        <f aca="false">SUM(U1888:AA1888)</f>
        <v>101.65997</v>
      </c>
      <c r="AC1888" s="39" t="n">
        <f aca="false">AB1888/(1-Resumo!$B$5)</f>
        <v>115.522693181818</v>
      </c>
      <c r="AD1888" s="39" t="n">
        <f aca="false">(AB1888-AA1888)/(1-Resumo!$B$5)</f>
        <v>102.738602272727</v>
      </c>
      <c r="AE1888" s="39" t="n">
        <f aca="false">AC1888-T1888</f>
        <v>33.2806956818182</v>
      </c>
      <c r="AF1888" s="40" t="n">
        <f aca="false">AC1888/T1888-1</f>
        <v>0.404667891022688</v>
      </c>
      <c r="AG1888" s="37" t="str">
        <f aca="false">IF(AC1888&lt;T1888,"SIM","NÃO")</f>
        <v>NÃO</v>
      </c>
      <c r="AH1888" s="37" t="n">
        <v>8</v>
      </c>
      <c r="AI1888" s="37" t="n">
        <v>5</v>
      </c>
      <c r="AJ1888" s="37" t="s">
        <v>323</v>
      </c>
    </row>
    <row r="1889" customFormat="false" ht="15" hidden="false" customHeight="false" outlineLevel="0" collapsed="false">
      <c r="A1889" s="37" t="n">
        <v>395922080</v>
      </c>
      <c r="B1889" s="38" t="n">
        <v>46282.6438425926</v>
      </c>
      <c r="C1889" s="37" t="s">
        <v>517</v>
      </c>
      <c r="D1889" s="37" t="s">
        <v>2026</v>
      </c>
      <c r="E1889" s="37" t="n">
        <v>20745230</v>
      </c>
      <c r="F1889" s="37" t="s">
        <v>139</v>
      </c>
      <c r="G1889" s="37" t="s">
        <v>198</v>
      </c>
      <c r="H1889" s="37" t="s">
        <v>169</v>
      </c>
      <c r="I1889" s="37" t="n">
        <v>40</v>
      </c>
      <c r="J1889" s="39" t="n">
        <v>579.99</v>
      </c>
      <c r="K1889" s="37" t="s">
        <v>322</v>
      </c>
      <c r="L1889" s="39" t="n">
        <v>92.64</v>
      </c>
      <c r="M1889" s="39" t="n">
        <v>62.05</v>
      </c>
      <c r="N1889" s="39" t="n">
        <f aca="false">J1889*Resumo!$C$7</f>
        <v>1.15998</v>
      </c>
      <c r="O1889" s="39" t="n">
        <f aca="false">J1889*Resumo!$C$8</f>
        <v>1.15998</v>
      </c>
      <c r="P1889" s="39" t="n">
        <f aca="false">Resumo!$C$10*CEILING(I1889/100,1)</f>
        <v>1</v>
      </c>
      <c r="Q1889" s="39" t="n">
        <f aca="false">Resumo!$C$9</f>
        <v>11.9</v>
      </c>
      <c r="R1889" s="39" t="n">
        <f aca="false">SUM(M1889:Q1889)*Resumo!$C$11</f>
        <v>4.2498478</v>
      </c>
      <c r="S1889" s="39" t="n">
        <f aca="false">SUM(M1889:R1889)</f>
        <v>81.5198078</v>
      </c>
      <c r="T1889" s="39" t="n">
        <f aca="false">S1889/(1-Resumo!$C$5)</f>
        <v>92.6361452272727</v>
      </c>
      <c r="U1889" s="39" t="n">
        <v>93.97</v>
      </c>
      <c r="V1889" s="39" t="n">
        <f aca="false">J1889*Resumo!$B$6</f>
        <v>0.57999</v>
      </c>
      <c r="W1889" s="39" t="n">
        <f aca="false">J1889*Resumo!$B$7</f>
        <v>1.15998</v>
      </c>
      <c r="X1889" s="39" t="n">
        <f aca="false">Resumo!$B$9</f>
        <v>1</v>
      </c>
      <c r="Y1889" s="39" t="n">
        <f aca="false">Resumo!$B$10*CEILING(I1889/100,1)</f>
        <v>4.5</v>
      </c>
      <c r="Z1889" s="39" t="n">
        <f aca="false">Resumo!$B$12*CEILING(I1889,1)</f>
        <v>2.4</v>
      </c>
      <c r="AA1889" s="39" t="n">
        <f aca="false">Resumo!$B$13*CEILING(I1889,1)</f>
        <v>18</v>
      </c>
      <c r="AB1889" s="39" t="n">
        <f aca="false">SUM(U1889:AA1889)</f>
        <v>121.60997</v>
      </c>
      <c r="AC1889" s="39" t="n">
        <f aca="false">AB1889/(1-Resumo!$B$5)</f>
        <v>138.193147727273</v>
      </c>
      <c r="AD1889" s="39" t="n">
        <f aca="false">(AB1889-AA1889)/(1-Resumo!$B$5)</f>
        <v>117.738602272727</v>
      </c>
      <c r="AE1889" s="39" t="n">
        <f aca="false">AC1889-T1889</f>
        <v>45.5570025</v>
      </c>
      <c r="AF1889" s="40" t="n">
        <f aca="false">AC1889/T1889-1</f>
        <v>0.491784307175464</v>
      </c>
      <c r="AG1889" s="37" t="str">
        <f aca="false">IF(AC1889&lt;T1889,"SIM","NÃO")</f>
        <v>NÃO</v>
      </c>
      <c r="AH1889" s="37" t="n">
        <v>8</v>
      </c>
      <c r="AI1889" s="37" t="n">
        <v>5</v>
      </c>
      <c r="AJ1889" s="37" t="s">
        <v>323</v>
      </c>
    </row>
    <row r="1890" customFormat="false" ht="15" hidden="false" customHeight="false" outlineLevel="0" collapsed="false">
      <c r="A1890" s="37" t="n">
        <v>395948335</v>
      </c>
      <c r="B1890" s="38" t="n">
        <v>46282.7233217593</v>
      </c>
      <c r="C1890" s="37" t="s">
        <v>320</v>
      </c>
      <c r="D1890" s="37" t="s">
        <v>2027</v>
      </c>
      <c r="E1890" s="37" t="n">
        <v>24070000</v>
      </c>
      <c r="F1890" s="37" t="s">
        <v>143</v>
      </c>
      <c r="G1890" s="37" t="s">
        <v>207</v>
      </c>
      <c r="H1890" s="37" t="s">
        <v>168</v>
      </c>
      <c r="I1890" s="37" t="n">
        <v>27</v>
      </c>
      <c r="J1890" s="39" t="n">
        <v>339.99</v>
      </c>
      <c r="K1890" s="37" t="s">
        <v>322</v>
      </c>
      <c r="L1890" s="39" t="n">
        <v>101.01</v>
      </c>
      <c r="M1890" s="39" t="n">
        <v>70</v>
      </c>
      <c r="N1890" s="39" t="n">
        <f aca="false">J1890*Resumo!$C$7</f>
        <v>0.67998</v>
      </c>
      <c r="O1890" s="39" t="n">
        <f aca="false">J1890*Resumo!$C$8</f>
        <v>0.67998</v>
      </c>
      <c r="P1890" s="39" t="n">
        <f aca="false">Resumo!$C$10*CEILING(I1890/100,1)</f>
        <v>1</v>
      </c>
      <c r="Q1890" s="39" t="n">
        <f aca="false">Resumo!$C$9</f>
        <v>11.9</v>
      </c>
      <c r="R1890" s="39" t="n">
        <f aca="false">SUM(M1890:Q1890)*Resumo!$C$11</f>
        <v>4.6342978</v>
      </c>
      <c r="S1890" s="39" t="n">
        <f aca="false">SUM(M1890:R1890)</f>
        <v>88.8942578</v>
      </c>
      <c r="T1890" s="39" t="n">
        <f aca="false">S1890/(1-Resumo!$C$5)</f>
        <v>101.016202045455</v>
      </c>
      <c r="U1890" s="39" t="n">
        <v>100.58</v>
      </c>
      <c r="V1890" s="39" t="n">
        <f aca="false">J1890*Resumo!$B$6</f>
        <v>0.33999</v>
      </c>
      <c r="W1890" s="39" t="n">
        <f aca="false">J1890*Resumo!$B$7</f>
        <v>0.67998</v>
      </c>
      <c r="X1890" s="39" t="n">
        <f aca="false">Resumo!$B$9</f>
        <v>1</v>
      </c>
      <c r="Y1890" s="39" t="n">
        <f aca="false">Resumo!$B$10*CEILING(I1890/100,1)</f>
        <v>4.5</v>
      </c>
      <c r="Z1890" s="39" t="n">
        <f aca="false">Resumo!$B$12*CEILING(I1890,1)</f>
        <v>1.62</v>
      </c>
      <c r="AA1890" s="39" t="n">
        <f aca="false">Resumo!$B$13*CEILING(I1890,1)</f>
        <v>12.15</v>
      </c>
      <c r="AB1890" s="39" t="n">
        <f aca="false">SUM(U1890:AA1890)</f>
        <v>120.86997</v>
      </c>
      <c r="AC1890" s="39" t="n">
        <f aca="false">AB1890/(1-Resumo!$B$5)</f>
        <v>137.352238636364</v>
      </c>
      <c r="AD1890" s="39" t="n">
        <f aca="false">(AB1890-AA1890)/(1-Resumo!$B$5)</f>
        <v>123.545420454545</v>
      </c>
      <c r="AE1890" s="39" t="n">
        <f aca="false">AC1890-T1890</f>
        <v>36.3360365909091</v>
      </c>
      <c r="AF1890" s="40" t="n">
        <f aca="false">AC1890/T1890-1</f>
        <v>0.359705035975901</v>
      </c>
      <c r="AG1890" s="37" t="str">
        <f aca="false">IF(AC1890&lt;T1890,"SIM","NÃO")</f>
        <v>NÃO</v>
      </c>
      <c r="AH1890" s="37" t="n">
        <v>10</v>
      </c>
      <c r="AI1890" s="37" t="n">
        <v>7</v>
      </c>
      <c r="AJ1890" s="37" t="s">
        <v>323</v>
      </c>
    </row>
    <row r="1891" customFormat="false" ht="15" hidden="false" customHeight="false" outlineLevel="0" collapsed="false">
      <c r="A1891" s="37" t="n">
        <v>395956377</v>
      </c>
      <c r="B1891" s="38" t="n">
        <v>46282.7409722222</v>
      </c>
      <c r="C1891" s="37" t="s">
        <v>320</v>
      </c>
      <c r="D1891" s="37" t="s">
        <v>2028</v>
      </c>
      <c r="E1891" s="37" t="n">
        <v>21840096</v>
      </c>
      <c r="F1891" s="37" t="s">
        <v>139</v>
      </c>
      <c r="G1891" s="37" t="s">
        <v>198</v>
      </c>
      <c r="H1891" s="37" t="s">
        <v>168</v>
      </c>
      <c r="I1891" s="37" t="n">
        <v>23</v>
      </c>
      <c r="J1891" s="39" t="n">
        <v>349.99</v>
      </c>
      <c r="K1891" s="37" t="s">
        <v>322</v>
      </c>
      <c r="L1891" s="39" t="n">
        <v>82</v>
      </c>
      <c r="M1891" s="39" t="n">
        <v>54.1</v>
      </c>
      <c r="N1891" s="39" t="n">
        <f aca="false">J1891*Resumo!$C$7</f>
        <v>0.69998</v>
      </c>
      <c r="O1891" s="39" t="n">
        <f aca="false">J1891*Resumo!$C$8</f>
        <v>0.69998</v>
      </c>
      <c r="P1891" s="39" t="n">
        <f aca="false">Resumo!$C$10*CEILING(I1891/100,1)</f>
        <v>1</v>
      </c>
      <c r="Q1891" s="39" t="n">
        <f aca="false">Resumo!$C$9</f>
        <v>11.9</v>
      </c>
      <c r="R1891" s="39" t="n">
        <f aca="false">SUM(M1891:Q1891)*Resumo!$C$11</f>
        <v>3.7619978</v>
      </c>
      <c r="S1891" s="39" t="n">
        <f aca="false">SUM(M1891:R1891)</f>
        <v>72.1619578</v>
      </c>
      <c r="T1891" s="39" t="n">
        <f aca="false">S1891/(1-Resumo!$C$5)</f>
        <v>82.0022247727273</v>
      </c>
      <c r="U1891" s="39" t="n">
        <v>82.21</v>
      </c>
      <c r="V1891" s="39" t="n">
        <f aca="false">J1891*Resumo!$B$6</f>
        <v>0.34999</v>
      </c>
      <c r="W1891" s="39" t="n">
        <f aca="false">J1891*Resumo!$B$7</f>
        <v>0.69998</v>
      </c>
      <c r="X1891" s="39" t="n">
        <f aca="false">Resumo!$B$9</f>
        <v>1</v>
      </c>
      <c r="Y1891" s="39" t="n">
        <f aca="false">Resumo!$B$10*CEILING(I1891/100,1)</f>
        <v>4.5</v>
      </c>
      <c r="Z1891" s="39" t="n">
        <f aca="false">Resumo!$B$12*CEILING(I1891,1)</f>
        <v>1.38</v>
      </c>
      <c r="AA1891" s="39" t="n">
        <f aca="false">Resumo!$B$13*CEILING(I1891,1)</f>
        <v>10.35</v>
      </c>
      <c r="AB1891" s="39" t="n">
        <f aca="false">SUM(U1891:AA1891)</f>
        <v>100.48997</v>
      </c>
      <c r="AC1891" s="39" t="n">
        <f aca="false">AB1891/(1-Resumo!$B$5)</f>
        <v>114.193147727273</v>
      </c>
      <c r="AD1891" s="39" t="n">
        <f aca="false">(AB1891-AA1891)/(1-Resumo!$B$5)</f>
        <v>102.431784090909</v>
      </c>
      <c r="AE1891" s="39" t="n">
        <f aca="false">AC1891-T1891</f>
        <v>32.1909229545454</v>
      </c>
      <c r="AF1891" s="40" t="n">
        <f aca="false">AC1891/T1891-1</f>
        <v>0.392561580417653</v>
      </c>
      <c r="AG1891" s="37" t="str">
        <f aca="false">IF(AC1891&lt;T1891,"SIM","NÃO")</f>
        <v>NÃO</v>
      </c>
      <c r="AH1891" s="37" t="n">
        <v>8</v>
      </c>
      <c r="AI1891" s="37" t="n">
        <v>5</v>
      </c>
      <c r="AJ1891" s="37" t="s">
        <v>323</v>
      </c>
    </row>
    <row r="1892" customFormat="false" ht="15" hidden="false" customHeight="false" outlineLevel="0" collapsed="false">
      <c r="A1892" s="37" t="n">
        <v>395959912</v>
      </c>
      <c r="B1892" s="38" t="n">
        <v>46282.7503125</v>
      </c>
      <c r="C1892" s="37" t="s">
        <v>320</v>
      </c>
      <c r="D1892" s="37" t="s">
        <v>882</v>
      </c>
      <c r="E1892" s="37" t="n">
        <v>28930000</v>
      </c>
      <c r="F1892" s="37" t="s">
        <v>277</v>
      </c>
      <c r="G1892" s="37" t="s">
        <v>201</v>
      </c>
      <c r="H1892" s="37" t="s">
        <v>171</v>
      </c>
      <c r="I1892" s="37" t="n">
        <v>56.7</v>
      </c>
      <c r="J1892" s="39" t="n">
        <v>769.91</v>
      </c>
      <c r="K1892" s="37" t="s">
        <v>322</v>
      </c>
      <c r="L1892" s="39" t="n">
        <v>143.36</v>
      </c>
      <c r="M1892" s="39" t="n">
        <v>103.6</v>
      </c>
      <c r="N1892" s="39" t="n">
        <f aca="false">J1892*Resumo!$C$7</f>
        <v>1.53982</v>
      </c>
      <c r="O1892" s="39" t="n">
        <f aca="false">J1892*Resumo!$C$8</f>
        <v>1.53982</v>
      </c>
      <c r="P1892" s="39" t="n">
        <f aca="false">Resumo!$C$10*CEILING(I1892/100,1)</f>
        <v>1</v>
      </c>
      <c r="Q1892" s="39" t="n">
        <f aca="false">Resumo!$C$9</f>
        <v>11.9</v>
      </c>
      <c r="R1892" s="39" t="n">
        <f aca="false">SUM(M1892:Q1892)*Resumo!$C$11</f>
        <v>6.5768802</v>
      </c>
      <c r="S1892" s="39" t="n">
        <f aca="false">SUM(M1892:R1892)</f>
        <v>126.1565202</v>
      </c>
      <c r="T1892" s="39" t="n">
        <f aca="false">S1892/(1-Resumo!$C$5)</f>
        <v>143.359682045455</v>
      </c>
      <c r="U1892" s="39" t="n">
        <v>142.32</v>
      </c>
      <c r="V1892" s="39" t="n">
        <f aca="false">J1892*Resumo!$B$6</f>
        <v>0.76991</v>
      </c>
      <c r="W1892" s="39" t="n">
        <f aca="false">J1892*Resumo!$B$7</f>
        <v>1.53982</v>
      </c>
      <c r="X1892" s="39" t="n">
        <f aca="false">Resumo!$B$9</f>
        <v>1</v>
      </c>
      <c r="Y1892" s="39" t="n">
        <f aca="false">Resumo!$B$10*CEILING(I1892/100,1)</f>
        <v>4.5</v>
      </c>
      <c r="Z1892" s="39" t="n">
        <f aca="false">Resumo!$B$12*CEILING(I1892,1)</f>
        <v>3.42</v>
      </c>
      <c r="AA1892" s="39" t="n">
        <f aca="false">Resumo!$B$13*CEILING(I1892,1)</f>
        <v>25.65</v>
      </c>
      <c r="AB1892" s="39" t="n">
        <f aca="false">SUM(U1892:AA1892)</f>
        <v>179.19973</v>
      </c>
      <c r="AC1892" s="39" t="n">
        <f aca="false">AB1892/(1-Resumo!$B$5)</f>
        <v>203.636056818182</v>
      </c>
      <c r="AD1892" s="39" t="n">
        <f aca="false">(AB1892-AA1892)/(1-Resumo!$B$5)</f>
        <v>174.488329545455</v>
      </c>
      <c r="AE1892" s="39" t="n">
        <f aca="false">AC1892-T1892</f>
        <v>60.2763747727273</v>
      </c>
      <c r="AF1892" s="40" t="n">
        <f aca="false">AC1892/T1892-1</f>
        <v>0.420455555653476</v>
      </c>
      <c r="AG1892" s="37" t="str">
        <f aca="false">IF(AC1892&lt;T1892,"SIM","NÃO")</f>
        <v>NÃO</v>
      </c>
      <c r="AH1892" s="37" t="n">
        <v>13</v>
      </c>
      <c r="AI1892" s="37" t="n">
        <v>10</v>
      </c>
      <c r="AJ1892" s="37" t="s">
        <v>327</v>
      </c>
    </row>
    <row r="1893" customFormat="false" ht="15" hidden="false" customHeight="false" outlineLevel="0" collapsed="false">
      <c r="A1893" s="37" t="n">
        <v>395979164</v>
      </c>
      <c r="B1893" s="38" t="n">
        <v>46282.7926041667</v>
      </c>
      <c r="C1893" s="37" t="s">
        <v>320</v>
      </c>
      <c r="D1893" s="37" t="s">
        <v>2029</v>
      </c>
      <c r="E1893" s="37" t="n">
        <v>21030640</v>
      </c>
      <c r="F1893" s="37" t="s">
        <v>139</v>
      </c>
      <c r="G1893" s="37" t="s">
        <v>198</v>
      </c>
      <c r="H1893" s="37" t="s">
        <v>168</v>
      </c>
      <c r="I1893" s="37" t="n">
        <v>21.5</v>
      </c>
      <c r="J1893" s="39" t="n">
        <v>299.99</v>
      </c>
      <c r="K1893" s="37" t="s">
        <v>322</v>
      </c>
      <c r="L1893" s="39" t="n">
        <v>81.76</v>
      </c>
      <c r="M1893" s="39" t="n">
        <v>54.1</v>
      </c>
      <c r="N1893" s="39" t="n">
        <f aca="false">J1893*Resumo!$C$7</f>
        <v>0.59998</v>
      </c>
      <c r="O1893" s="39" t="n">
        <f aca="false">J1893*Resumo!$C$8</f>
        <v>0.59998</v>
      </c>
      <c r="P1893" s="39" t="n">
        <f aca="false">Resumo!$C$10*CEILING(I1893/100,1)</f>
        <v>1</v>
      </c>
      <c r="Q1893" s="39" t="n">
        <f aca="false">Resumo!$C$9</f>
        <v>11.9</v>
      </c>
      <c r="R1893" s="39" t="n">
        <f aca="false">SUM(M1893:Q1893)*Resumo!$C$11</f>
        <v>3.7509978</v>
      </c>
      <c r="S1893" s="39" t="n">
        <f aca="false">SUM(M1893:R1893)</f>
        <v>71.9509578</v>
      </c>
      <c r="T1893" s="39" t="n">
        <f aca="false">S1893/(1-Resumo!$C$5)</f>
        <v>81.7624520454545</v>
      </c>
      <c r="U1893" s="39" t="n">
        <v>82.21</v>
      </c>
      <c r="V1893" s="39" t="n">
        <f aca="false">J1893*Resumo!$B$6</f>
        <v>0.29999</v>
      </c>
      <c r="W1893" s="39" t="n">
        <f aca="false">J1893*Resumo!$B$7</f>
        <v>0.59998</v>
      </c>
      <c r="X1893" s="39" t="n">
        <f aca="false">Resumo!$B$9</f>
        <v>1</v>
      </c>
      <c r="Y1893" s="39" t="n">
        <f aca="false">Resumo!$B$10*CEILING(I1893/100,1)</f>
        <v>4.5</v>
      </c>
      <c r="Z1893" s="39" t="n">
        <f aca="false">Resumo!$B$12*CEILING(I1893,1)</f>
        <v>1.32</v>
      </c>
      <c r="AA1893" s="39" t="n">
        <f aca="false">Resumo!$B$13*CEILING(I1893,1)</f>
        <v>9.9</v>
      </c>
      <c r="AB1893" s="39" t="n">
        <f aca="false">SUM(U1893:AA1893)</f>
        <v>99.82997</v>
      </c>
      <c r="AC1893" s="39" t="n">
        <f aca="false">AB1893/(1-Resumo!$B$5)</f>
        <v>113.443147727273</v>
      </c>
      <c r="AD1893" s="39" t="n">
        <f aca="false">(AB1893-AA1893)/(1-Resumo!$B$5)</f>
        <v>102.193147727273</v>
      </c>
      <c r="AE1893" s="39" t="n">
        <f aca="false">AC1893-T1893</f>
        <v>31.6806956818182</v>
      </c>
      <c r="AF1893" s="40" t="n">
        <f aca="false">AC1893/T1893-1</f>
        <v>0.387472426392078</v>
      </c>
      <c r="AG1893" s="37" t="str">
        <f aca="false">IF(AC1893&lt;T1893,"SIM","NÃO")</f>
        <v>NÃO</v>
      </c>
      <c r="AH1893" s="37" t="n">
        <v>8</v>
      </c>
      <c r="AI1893" s="37" t="n">
        <v>5</v>
      </c>
      <c r="AJ1893" s="37" t="s">
        <v>323</v>
      </c>
    </row>
    <row r="1894" customFormat="false" ht="15" hidden="false" customHeight="false" outlineLevel="0" collapsed="false">
      <c r="A1894" s="37" t="n">
        <v>395995280</v>
      </c>
      <c r="B1894" s="38" t="n">
        <v>46282.8268171296</v>
      </c>
      <c r="C1894" s="37" t="s">
        <v>325</v>
      </c>
      <c r="D1894" s="37" t="s">
        <v>2030</v>
      </c>
      <c r="E1894" s="37" t="n">
        <v>22785050</v>
      </c>
      <c r="F1894" s="37" t="s">
        <v>139</v>
      </c>
      <c r="G1894" s="37" t="s">
        <v>198</v>
      </c>
      <c r="H1894" s="37" t="s">
        <v>168</v>
      </c>
      <c r="I1894" s="37" t="n">
        <v>31.9</v>
      </c>
      <c r="J1894" s="39" t="n">
        <v>494.99</v>
      </c>
      <c r="K1894" s="37" t="s">
        <v>322</v>
      </c>
      <c r="L1894" s="39" t="n">
        <v>82.69</v>
      </c>
      <c r="M1894" s="39" t="n">
        <v>54.1</v>
      </c>
      <c r="N1894" s="39" t="n">
        <f aca="false">J1894*Resumo!$C$7</f>
        <v>0.98998</v>
      </c>
      <c r="O1894" s="39" t="n">
        <f aca="false">J1894*Resumo!$C$8</f>
        <v>0.98998</v>
      </c>
      <c r="P1894" s="39" t="n">
        <f aca="false">Resumo!$C$10*CEILING(I1894/100,1)</f>
        <v>1</v>
      </c>
      <c r="Q1894" s="39" t="n">
        <f aca="false">Resumo!$C$9</f>
        <v>11.9</v>
      </c>
      <c r="R1894" s="39" t="n">
        <f aca="false">SUM(M1894:Q1894)*Resumo!$C$11</f>
        <v>3.7938978</v>
      </c>
      <c r="S1894" s="39" t="n">
        <f aca="false">SUM(M1894:R1894)</f>
        <v>72.7738578</v>
      </c>
      <c r="T1894" s="39" t="n">
        <f aca="false">S1894/(1-Resumo!$C$5)</f>
        <v>82.6975656818182</v>
      </c>
      <c r="U1894" s="39" t="n">
        <v>82.21</v>
      </c>
      <c r="V1894" s="39" t="n">
        <f aca="false">J1894*Resumo!$B$6</f>
        <v>0.49499</v>
      </c>
      <c r="W1894" s="39" t="n">
        <f aca="false">J1894*Resumo!$B$7</f>
        <v>0.98998</v>
      </c>
      <c r="X1894" s="39" t="n">
        <f aca="false">Resumo!$B$9</f>
        <v>1</v>
      </c>
      <c r="Y1894" s="39" t="n">
        <f aca="false">Resumo!$B$10*CEILING(I1894/100,1)</f>
        <v>4.5</v>
      </c>
      <c r="Z1894" s="39" t="n">
        <f aca="false">Resumo!$B$12*CEILING(I1894,1)</f>
        <v>1.92</v>
      </c>
      <c r="AA1894" s="39" t="n">
        <f aca="false">Resumo!$B$13*CEILING(I1894,1)</f>
        <v>14.4</v>
      </c>
      <c r="AB1894" s="39" t="n">
        <f aca="false">SUM(U1894:AA1894)</f>
        <v>105.51497</v>
      </c>
      <c r="AC1894" s="39" t="n">
        <f aca="false">AB1894/(1-Resumo!$B$5)</f>
        <v>119.903375</v>
      </c>
      <c r="AD1894" s="39" t="n">
        <f aca="false">(AB1894-AA1894)/(1-Resumo!$B$5)</f>
        <v>103.539738636364</v>
      </c>
      <c r="AE1894" s="39" t="n">
        <f aca="false">AC1894-T1894</f>
        <v>37.2058093181818</v>
      </c>
      <c r="AF1894" s="40" t="n">
        <f aca="false">AC1894/T1894-1</f>
        <v>0.449902110315224</v>
      </c>
      <c r="AG1894" s="37" t="str">
        <f aca="false">IF(AC1894&lt;T1894,"SIM","NÃO")</f>
        <v>NÃO</v>
      </c>
      <c r="AH1894" s="37" t="n">
        <v>8</v>
      </c>
      <c r="AI1894" s="37" t="n">
        <v>5</v>
      </c>
      <c r="AJ1894" s="37" t="s">
        <v>323</v>
      </c>
    </row>
    <row r="1895" customFormat="false" ht="15" hidden="false" customHeight="false" outlineLevel="0" collapsed="false">
      <c r="A1895" s="37" t="n">
        <v>395998407</v>
      </c>
      <c r="B1895" s="38" t="n">
        <v>46282.8336689815</v>
      </c>
      <c r="C1895" s="37" t="s">
        <v>320</v>
      </c>
      <c r="D1895" s="37" t="s">
        <v>2031</v>
      </c>
      <c r="E1895" s="37" t="n">
        <v>28920231</v>
      </c>
      <c r="F1895" s="37" t="s">
        <v>152</v>
      </c>
      <c r="G1895" s="37" t="s">
        <v>201</v>
      </c>
      <c r="H1895" s="37" t="s">
        <v>172</v>
      </c>
      <c r="I1895" s="37" t="n">
        <v>66.8</v>
      </c>
      <c r="J1895" s="39" t="n">
        <v>643.99</v>
      </c>
      <c r="K1895" s="37" t="s">
        <v>322</v>
      </c>
      <c r="L1895" s="39" t="n">
        <v>155.11</v>
      </c>
      <c r="M1895" s="39" t="n">
        <v>113.9</v>
      </c>
      <c r="N1895" s="39" t="n">
        <f aca="false">J1895*Resumo!$C$7</f>
        <v>1.28798</v>
      </c>
      <c r="O1895" s="39" t="n">
        <f aca="false">J1895*Resumo!$C$8</f>
        <v>1.28798</v>
      </c>
      <c r="P1895" s="39" t="n">
        <f aca="false">Resumo!$C$10*CEILING(I1895/100,1)</f>
        <v>1</v>
      </c>
      <c r="Q1895" s="39" t="n">
        <f aca="false">Resumo!$C$9</f>
        <v>11.9</v>
      </c>
      <c r="R1895" s="39" t="n">
        <f aca="false">SUM(M1895:Q1895)*Resumo!$C$11</f>
        <v>7.1156778</v>
      </c>
      <c r="S1895" s="39" t="n">
        <f aca="false">SUM(M1895:R1895)</f>
        <v>136.4916378</v>
      </c>
      <c r="T1895" s="39" t="n">
        <f aca="false">S1895/(1-Resumo!$C$5)</f>
        <v>155.104133863636</v>
      </c>
      <c r="U1895" s="39" t="n">
        <v>166.05</v>
      </c>
      <c r="V1895" s="39" t="n">
        <f aca="false">J1895*Resumo!$B$6</f>
        <v>0.64399</v>
      </c>
      <c r="W1895" s="39" t="n">
        <f aca="false">J1895*Resumo!$B$7</f>
        <v>1.28798</v>
      </c>
      <c r="X1895" s="39" t="n">
        <f aca="false">Resumo!$B$9</f>
        <v>1</v>
      </c>
      <c r="Y1895" s="39" t="n">
        <f aca="false">Resumo!$B$10*CEILING(I1895/100,1)</f>
        <v>4.5</v>
      </c>
      <c r="Z1895" s="39" t="n">
        <f aca="false">Resumo!$B$12*CEILING(I1895,1)</f>
        <v>4.02</v>
      </c>
      <c r="AA1895" s="39" t="n">
        <f aca="false">Resumo!$B$13*CEILING(I1895,1)</f>
        <v>30.15</v>
      </c>
      <c r="AB1895" s="39" t="n">
        <f aca="false">SUM(U1895:AA1895)</f>
        <v>207.65197</v>
      </c>
      <c r="AC1895" s="39" t="n">
        <f aca="false">AB1895/(1-Resumo!$B$5)</f>
        <v>235.968147727273</v>
      </c>
      <c r="AD1895" s="39" t="n">
        <f aca="false">(AB1895-AA1895)/(1-Resumo!$B$5)</f>
        <v>201.706784090909</v>
      </c>
      <c r="AE1895" s="39" t="n">
        <f aca="false">AC1895-T1895</f>
        <v>80.8640138636364</v>
      </c>
      <c r="AF1895" s="40" t="n">
        <f aca="false">AC1895/T1895-1</f>
        <v>0.521353053908479</v>
      </c>
      <c r="AG1895" s="37" t="str">
        <f aca="false">IF(AC1895&lt;T1895,"SIM","NÃO")</f>
        <v>NÃO</v>
      </c>
      <c r="AH1895" s="37" t="n">
        <v>13</v>
      </c>
      <c r="AI1895" s="37" t="n">
        <v>10</v>
      </c>
      <c r="AJ1895" s="37" t="s">
        <v>323</v>
      </c>
    </row>
    <row r="1896" customFormat="false" ht="15" hidden="false" customHeight="false" outlineLevel="0" collapsed="false">
      <c r="A1896" s="37" t="n">
        <v>396002204</v>
      </c>
      <c r="B1896" s="38" t="n">
        <v>46282.8422337963</v>
      </c>
      <c r="C1896" s="37" t="s">
        <v>320</v>
      </c>
      <c r="D1896" s="37" t="s">
        <v>2032</v>
      </c>
      <c r="E1896" s="37" t="n">
        <v>24474655</v>
      </c>
      <c r="F1896" s="37" t="s">
        <v>140</v>
      </c>
      <c r="G1896" s="37" t="s">
        <v>207</v>
      </c>
      <c r="H1896" s="37" t="s">
        <v>168</v>
      </c>
      <c r="I1896" s="37" t="n">
        <v>34.1</v>
      </c>
      <c r="J1896" s="39" t="n">
        <v>399.99</v>
      </c>
      <c r="K1896" s="37" t="s">
        <v>322</v>
      </c>
      <c r="L1896" s="39" t="n">
        <v>101.31</v>
      </c>
      <c r="M1896" s="39" t="n">
        <v>70</v>
      </c>
      <c r="N1896" s="39" t="n">
        <f aca="false">J1896*Resumo!$C$7</f>
        <v>0.79998</v>
      </c>
      <c r="O1896" s="39" t="n">
        <f aca="false">J1896*Resumo!$C$8</f>
        <v>0.79998</v>
      </c>
      <c r="P1896" s="39" t="n">
        <f aca="false">Resumo!$C$10*CEILING(I1896/100,1)</f>
        <v>1</v>
      </c>
      <c r="Q1896" s="39" t="n">
        <f aca="false">Resumo!$C$9</f>
        <v>11.9</v>
      </c>
      <c r="R1896" s="39" t="n">
        <f aca="false">SUM(M1896:Q1896)*Resumo!$C$11</f>
        <v>4.6474978</v>
      </c>
      <c r="S1896" s="39" t="n">
        <f aca="false">SUM(M1896:R1896)</f>
        <v>89.1474578</v>
      </c>
      <c r="T1896" s="39" t="n">
        <f aca="false">S1896/(1-Resumo!$C$5)</f>
        <v>101.303929318182</v>
      </c>
      <c r="U1896" s="39" t="n">
        <v>100.58</v>
      </c>
      <c r="V1896" s="39" t="n">
        <f aca="false">J1896*Resumo!$B$6</f>
        <v>0.39999</v>
      </c>
      <c r="W1896" s="39" t="n">
        <f aca="false">J1896*Resumo!$B$7</f>
        <v>0.79998</v>
      </c>
      <c r="X1896" s="39" t="n">
        <f aca="false">Resumo!$B$9</f>
        <v>1</v>
      </c>
      <c r="Y1896" s="39" t="n">
        <f aca="false">Resumo!$B$10*CEILING(I1896/100,1)</f>
        <v>4.5</v>
      </c>
      <c r="Z1896" s="39" t="n">
        <f aca="false">Resumo!$B$12*CEILING(I1896,1)</f>
        <v>2.1</v>
      </c>
      <c r="AA1896" s="39" t="n">
        <f aca="false">Resumo!$B$13*CEILING(I1896,1)</f>
        <v>15.75</v>
      </c>
      <c r="AB1896" s="39" t="n">
        <f aca="false">SUM(U1896:AA1896)</f>
        <v>125.12997</v>
      </c>
      <c r="AC1896" s="39" t="n">
        <f aca="false">AB1896/(1-Resumo!$B$5)</f>
        <v>142.193147727273</v>
      </c>
      <c r="AD1896" s="39" t="n">
        <f aca="false">(AB1896-AA1896)/(1-Resumo!$B$5)</f>
        <v>124.295420454545</v>
      </c>
      <c r="AE1896" s="39" t="n">
        <f aca="false">AC1896-T1896</f>
        <v>40.8892184090909</v>
      </c>
      <c r="AF1896" s="40" t="n">
        <f aca="false">AC1896/T1896-1</f>
        <v>0.403629145328247</v>
      </c>
      <c r="AG1896" s="37" t="str">
        <f aca="false">IF(AC1896&lt;T1896,"SIM","NÃO")</f>
        <v>NÃO</v>
      </c>
      <c r="AH1896" s="37" t="n">
        <v>10</v>
      </c>
      <c r="AI1896" s="37" t="n">
        <v>7</v>
      </c>
      <c r="AJ1896" s="37" t="s">
        <v>323</v>
      </c>
    </row>
    <row r="1897" customFormat="false" ht="15" hidden="false" customHeight="false" outlineLevel="0" collapsed="false">
      <c r="A1897" s="37" t="n">
        <v>396011699</v>
      </c>
      <c r="B1897" s="38" t="n">
        <v>46282.8624421296</v>
      </c>
      <c r="C1897" s="37" t="s">
        <v>320</v>
      </c>
      <c r="D1897" s="37" t="s">
        <v>2033</v>
      </c>
      <c r="E1897" s="37" t="n">
        <v>21555290</v>
      </c>
      <c r="F1897" s="37" t="s">
        <v>139</v>
      </c>
      <c r="G1897" s="37" t="s">
        <v>198</v>
      </c>
      <c r="H1897" s="37" t="s">
        <v>168</v>
      </c>
      <c r="I1897" s="37" t="n">
        <v>31</v>
      </c>
      <c r="J1897" s="39" t="n">
        <v>323.94</v>
      </c>
      <c r="K1897" s="37" t="s">
        <v>322</v>
      </c>
      <c r="L1897" s="39" t="n">
        <v>81.89</v>
      </c>
      <c r="M1897" s="39" t="n">
        <v>54.1</v>
      </c>
      <c r="N1897" s="39" t="n">
        <f aca="false">J1897*Resumo!$C$7</f>
        <v>0.64788</v>
      </c>
      <c r="O1897" s="39" t="n">
        <f aca="false">J1897*Resumo!$C$8</f>
        <v>0.64788</v>
      </c>
      <c r="P1897" s="39" t="n">
        <f aca="false">Resumo!$C$10*CEILING(I1897/100,1)</f>
        <v>1</v>
      </c>
      <c r="Q1897" s="39" t="n">
        <f aca="false">Resumo!$C$9</f>
        <v>11.9</v>
      </c>
      <c r="R1897" s="39" t="n">
        <f aca="false">SUM(M1897:Q1897)*Resumo!$C$11</f>
        <v>3.7562668</v>
      </c>
      <c r="S1897" s="39" t="n">
        <f aca="false">SUM(M1897:R1897)</f>
        <v>72.0520268</v>
      </c>
      <c r="T1897" s="39" t="n">
        <f aca="false">S1897/(1-Resumo!$C$5)</f>
        <v>81.8773031818182</v>
      </c>
      <c r="U1897" s="39" t="n">
        <v>82.21</v>
      </c>
      <c r="V1897" s="39" t="n">
        <f aca="false">J1897*Resumo!$B$6</f>
        <v>0.32394</v>
      </c>
      <c r="W1897" s="39" t="n">
        <f aca="false">J1897*Resumo!$B$7</f>
        <v>0.64788</v>
      </c>
      <c r="X1897" s="39" t="n">
        <f aca="false">Resumo!$B$9</f>
        <v>1</v>
      </c>
      <c r="Y1897" s="39" t="n">
        <f aca="false">Resumo!$B$10*CEILING(I1897/100,1)</f>
        <v>4.5</v>
      </c>
      <c r="Z1897" s="39" t="n">
        <f aca="false">Resumo!$B$12*CEILING(I1897,1)</f>
        <v>1.86</v>
      </c>
      <c r="AA1897" s="39" t="n">
        <f aca="false">Resumo!$B$13*CEILING(I1897,1)</f>
        <v>13.95</v>
      </c>
      <c r="AB1897" s="39" t="n">
        <f aca="false">SUM(U1897:AA1897)</f>
        <v>104.49182</v>
      </c>
      <c r="AC1897" s="39" t="n">
        <f aca="false">AB1897/(1-Resumo!$B$5)</f>
        <v>118.740704545455</v>
      </c>
      <c r="AD1897" s="39" t="n">
        <f aca="false">(AB1897-AA1897)/(1-Resumo!$B$5)</f>
        <v>102.888431818182</v>
      </c>
      <c r="AE1897" s="39" t="n">
        <f aca="false">AC1897-T1897</f>
        <v>36.8634013636363</v>
      </c>
      <c r="AF1897" s="40" t="n">
        <f aca="false">AC1897/T1897-1</f>
        <v>0.450227351550366</v>
      </c>
      <c r="AG1897" s="37" t="str">
        <f aca="false">IF(AC1897&lt;T1897,"SIM","NÃO")</f>
        <v>NÃO</v>
      </c>
      <c r="AH1897" s="37" t="n">
        <v>8</v>
      </c>
      <c r="AI1897" s="37" t="n">
        <v>5</v>
      </c>
      <c r="AJ1897" s="37" t="s">
        <v>323</v>
      </c>
    </row>
    <row r="1898" customFormat="false" ht="15" hidden="false" customHeight="false" outlineLevel="0" collapsed="false">
      <c r="A1898" s="37" t="n">
        <v>396015371</v>
      </c>
      <c r="B1898" s="38" t="n">
        <v>46282.8701157407</v>
      </c>
      <c r="C1898" s="37" t="s">
        <v>320</v>
      </c>
      <c r="D1898" s="37" t="s">
        <v>2034</v>
      </c>
      <c r="E1898" s="37" t="n">
        <v>24110026</v>
      </c>
      <c r="F1898" s="37" t="s">
        <v>143</v>
      </c>
      <c r="G1898" s="37" t="s">
        <v>207</v>
      </c>
      <c r="H1898" s="37" t="s">
        <v>171</v>
      </c>
      <c r="I1898" s="37" t="n">
        <v>52.3</v>
      </c>
      <c r="J1898" s="39" t="n">
        <v>645.14</v>
      </c>
      <c r="K1898" s="37" t="s">
        <v>322</v>
      </c>
      <c r="L1898" s="39" t="n">
        <v>128.38</v>
      </c>
      <c r="M1898" s="39" t="n">
        <v>91.6</v>
      </c>
      <c r="N1898" s="39" t="n">
        <f aca="false">J1898*Resumo!$C$7</f>
        <v>1.29028</v>
      </c>
      <c r="O1898" s="39" t="n">
        <f aca="false">J1898*Resumo!$C$8</f>
        <v>1.29028</v>
      </c>
      <c r="P1898" s="39" t="n">
        <f aca="false">Resumo!$C$10*CEILING(I1898/100,1)</f>
        <v>1</v>
      </c>
      <c r="Q1898" s="39" t="n">
        <f aca="false">Resumo!$C$9</f>
        <v>11.9</v>
      </c>
      <c r="R1898" s="39" t="n">
        <f aca="false">SUM(M1898:Q1898)*Resumo!$C$11</f>
        <v>5.8894308</v>
      </c>
      <c r="S1898" s="39" t="n">
        <f aca="false">SUM(M1898:R1898)</f>
        <v>112.9699908</v>
      </c>
      <c r="T1898" s="39" t="n">
        <f aca="false">S1898/(1-Resumo!$C$5)</f>
        <v>128.374989545455</v>
      </c>
      <c r="U1898" s="39" t="n">
        <v>128.14</v>
      </c>
      <c r="V1898" s="39" t="n">
        <f aca="false">J1898*Resumo!$B$6</f>
        <v>0.64514</v>
      </c>
      <c r="W1898" s="39" t="n">
        <f aca="false">J1898*Resumo!$B$7</f>
        <v>1.29028</v>
      </c>
      <c r="X1898" s="39" t="n">
        <f aca="false">Resumo!$B$9</f>
        <v>1</v>
      </c>
      <c r="Y1898" s="39" t="n">
        <f aca="false">Resumo!$B$10*CEILING(I1898/100,1)</f>
        <v>4.5</v>
      </c>
      <c r="Z1898" s="39" t="n">
        <f aca="false">Resumo!$B$12*CEILING(I1898,1)</f>
        <v>3.18</v>
      </c>
      <c r="AA1898" s="39" t="n">
        <f aca="false">Resumo!$B$13*CEILING(I1898,1)</f>
        <v>23.85</v>
      </c>
      <c r="AB1898" s="39" t="n">
        <f aca="false">SUM(U1898:AA1898)</f>
        <v>162.60542</v>
      </c>
      <c r="AC1898" s="39" t="n">
        <f aca="false">AB1898/(1-Resumo!$B$5)</f>
        <v>184.778886363636</v>
      </c>
      <c r="AD1898" s="39" t="n">
        <f aca="false">(AB1898-AA1898)/(1-Resumo!$B$5)</f>
        <v>157.676613636364</v>
      </c>
      <c r="AE1898" s="39" t="n">
        <f aca="false">AC1898-T1898</f>
        <v>56.4038968181818</v>
      </c>
      <c r="AF1898" s="40" t="n">
        <f aca="false">AC1898/T1898-1</f>
        <v>0.43936826805513</v>
      </c>
      <c r="AG1898" s="37" t="str">
        <f aca="false">IF(AC1898&lt;T1898,"SIM","NÃO")</f>
        <v>NÃO</v>
      </c>
      <c r="AH1898" s="37" t="n">
        <v>10</v>
      </c>
      <c r="AI1898" s="37" t="n">
        <v>7</v>
      </c>
      <c r="AJ1898" s="37" t="s">
        <v>323</v>
      </c>
    </row>
    <row r="1899" customFormat="false" ht="15" hidden="false" customHeight="false" outlineLevel="0" collapsed="false">
      <c r="A1899" s="37" t="n">
        <v>396019865</v>
      </c>
      <c r="B1899" s="38" t="n">
        <v>46282.8803935185</v>
      </c>
      <c r="C1899" s="37" t="s">
        <v>325</v>
      </c>
      <c r="D1899" s="37" t="s">
        <v>2035</v>
      </c>
      <c r="E1899" s="37" t="n">
        <v>22783240</v>
      </c>
      <c r="F1899" s="37" t="s">
        <v>139</v>
      </c>
      <c r="G1899" s="37" t="s">
        <v>198</v>
      </c>
      <c r="H1899" s="37" t="s">
        <v>169</v>
      </c>
      <c r="I1899" s="37" t="n">
        <v>36.8</v>
      </c>
      <c r="J1899" s="39" t="n">
        <v>439.95</v>
      </c>
      <c r="K1899" s="37" t="s">
        <v>322</v>
      </c>
      <c r="L1899" s="39" t="n">
        <v>91.97</v>
      </c>
      <c r="M1899" s="39" t="n">
        <v>62.05</v>
      </c>
      <c r="N1899" s="39" t="n">
        <f aca="false">J1899*Resumo!$C$7</f>
        <v>0.8799</v>
      </c>
      <c r="O1899" s="39" t="n">
        <f aca="false">J1899*Resumo!$C$8</f>
        <v>0.8799</v>
      </c>
      <c r="P1899" s="39" t="n">
        <f aca="false">Resumo!$C$10*CEILING(I1899/100,1)</f>
        <v>1</v>
      </c>
      <c r="Q1899" s="39" t="n">
        <f aca="false">Resumo!$C$9</f>
        <v>11.9</v>
      </c>
      <c r="R1899" s="39" t="n">
        <f aca="false">SUM(M1899:Q1899)*Resumo!$C$11</f>
        <v>4.219039</v>
      </c>
      <c r="S1899" s="39" t="n">
        <f aca="false">SUM(M1899:R1899)</f>
        <v>80.928839</v>
      </c>
      <c r="T1899" s="39" t="n">
        <f aca="false">S1899/(1-Resumo!$C$5)</f>
        <v>91.9645897727273</v>
      </c>
      <c r="U1899" s="39" t="n">
        <v>93.97</v>
      </c>
      <c r="V1899" s="39" t="n">
        <f aca="false">J1899*Resumo!$B$6</f>
        <v>0.43995</v>
      </c>
      <c r="W1899" s="39" t="n">
        <f aca="false">J1899*Resumo!$B$7</f>
        <v>0.8799</v>
      </c>
      <c r="X1899" s="39" t="n">
        <f aca="false">Resumo!$B$9</f>
        <v>1</v>
      </c>
      <c r="Y1899" s="39" t="n">
        <f aca="false">Resumo!$B$10*CEILING(I1899/100,1)</f>
        <v>4.5</v>
      </c>
      <c r="Z1899" s="39" t="n">
        <f aca="false">Resumo!$B$12*CEILING(I1899,1)</f>
        <v>2.22</v>
      </c>
      <c r="AA1899" s="39" t="n">
        <f aca="false">Resumo!$B$13*CEILING(I1899,1)</f>
        <v>16.65</v>
      </c>
      <c r="AB1899" s="39" t="n">
        <f aca="false">SUM(U1899:AA1899)</f>
        <v>119.65985</v>
      </c>
      <c r="AC1899" s="39" t="n">
        <f aca="false">AB1899/(1-Resumo!$B$5)</f>
        <v>135.977102272727</v>
      </c>
      <c r="AD1899" s="39" t="n">
        <f aca="false">(AB1899-AA1899)/(1-Resumo!$B$5)</f>
        <v>117.056647727273</v>
      </c>
      <c r="AE1899" s="39" t="n">
        <f aca="false">AC1899-T1899</f>
        <v>44.0125125</v>
      </c>
      <c r="AF1899" s="40" t="n">
        <f aca="false">AC1899/T1899-1</f>
        <v>0.478581077877566</v>
      </c>
      <c r="AG1899" s="37" t="str">
        <f aca="false">IF(AC1899&lt;T1899,"SIM","NÃO")</f>
        <v>NÃO</v>
      </c>
      <c r="AH1899" s="37" t="n">
        <v>8</v>
      </c>
      <c r="AI1899" s="37" t="n">
        <v>5</v>
      </c>
      <c r="AJ1899" s="37" t="s">
        <v>323</v>
      </c>
    </row>
    <row r="1900" customFormat="false" ht="15" hidden="false" customHeight="false" outlineLevel="0" collapsed="false">
      <c r="A1900" s="37" t="n">
        <v>396026937</v>
      </c>
      <c r="B1900" s="38" t="n">
        <v>46282.8964583333</v>
      </c>
      <c r="C1900" s="37" t="s">
        <v>320</v>
      </c>
      <c r="D1900" s="37" t="s">
        <v>509</v>
      </c>
      <c r="E1900" s="37" t="n">
        <v>21031700</v>
      </c>
      <c r="F1900" s="37" t="s">
        <v>139</v>
      </c>
      <c r="G1900" s="37" t="s">
        <v>198</v>
      </c>
      <c r="H1900" s="37" t="s">
        <v>168</v>
      </c>
      <c r="I1900" s="37" t="n">
        <v>33</v>
      </c>
      <c r="J1900" s="39" t="n">
        <v>458.3</v>
      </c>
      <c r="K1900" s="37" t="s">
        <v>322</v>
      </c>
      <c r="L1900" s="39" t="n">
        <v>82.53</v>
      </c>
      <c r="M1900" s="39" t="n">
        <v>54.1</v>
      </c>
      <c r="N1900" s="39" t="n">
        <f aca="false">J1900*Resumo!$C$7</f>
        <v>0.9166</v>
      </c>
      <c r="O1900" s="39" t="n">
        <f aca="false">J1900*Resumo!$C$8</f>
        <v>0.9166</v>
      </c>
      <c r="P1900" s="39" t="n">
        <f aca="false">Resumo!$C$10*CEILING(I1900/100,1)</f>
        <v>1</v>
      </c>
      <c r="Q1900" s="39" t="n">
        <f aca="false">Resumo!$C$9</f>
        <v>11.9</v>
      </c>
      <c r="R1900" s="39" t="n">
        <f aca="false">SUM(M1900:Q1900)*Resumo!$C$11</f>
        <v>3.785826</v>
      </c>
      <c r="S1900" s="39" t="n">
        <f aca="false">SUM(M1900:R1900)</f>
        <v>72.619026</v>
      </c>
      <c r="T1900" s="39" t="n">
        <f aca="false">S1900/(1-Resumo!$C$5)</f>
        <v>82.5216204545455</v>
      </c>
      <c r="U1900" s="39" t="n">
        <v>82.21</v>
      </c>
      <c r="V1900" s="39" t="n">
        <f aca="false">J1900*Resumo!$B$6</f>
        <v>0.4583</v>
      </c>
      <c r="W1900" s="39" t="n">
        <f aca="false">J1900*Resumo!$B$7</f>
        <v>0.9166</v>
      </c>
      <c r="X1900" s="39" t="n">
        <f aca="false">Resumo!$B$9</f>
        <v>1</v>
      </c>
      <c r="Y1900" s="39" t="n">
        <f aca="false">Resumo!$B$10*CEILING(I1900/100,1)</f>
        <v>4.5</v>
      </c>
      <c r="Z1900" s="39" t="n">
        <f aca="false">Resumo!$B$12*CEILING(I1900,1)</f>
        <v>1.98</v>
      </c>
      <c r="AA1900" s="39" t="n">
        <f aca="false">Resumo!$B$13*CEILING(I1900,1)</f>
        <v>14.85</v>
      </c>
      <c r="AB1900" s="39" t="n">
        <f aca="false">SUM(U1900:AA1900)</f>
        <v>105.9149</v>
      </c>
      <c r="AC1900" s="39" t="n">
        <f aca="false">AB1900/(1-Resumo!$B$5)</f>
        <v>120.357840909091</v>
      </c>
      <c r="AD1900" s="39" t="n">
        <f aca="false">(AB1900-AA1900)/(1-Resumo!$B$5)</f>
        <v>103.482840909091</v>
      </c>
      <c r="AE1900" s="39" t="n">
        <f aca="false">AC1900-T1900</f>
        <v>37.8362204545454</v>
      </c>
      <c r="AF1900" s="40" t="n">
        <f aca="false">AC1900/T1900-1</f>
        <v>0.458500696497912</v>
      </c>
      <c r="AG1900" s="37" t="str">
        <f aca="false">IF(AC1900&lt;T1900,"SIM","NÃO")</f>
        <v>NÃO</v>
      </c>
      <c r="AH1900" s="37" t="n">
        <v>8</v>
      </c>
      <c r="AI1900" s="37" t="n">
        <v>5</v>
      </c>
      <c r="AJ1900" s="37" t="s">
        <v>323</v>
      </c>
    </row>
    <row r="1901" customFormat="false" ht="15" hidden="false" customHeight="false" outlineLevel="0" collapsed="false">
      <c r="A1901" s="37" t="n">
        <v>396038496</v>
      </c>
      <c r="B1901" s="38" t="n">
        <v>46282.9242708333</v>
      </c>
      <c r="C1901" s="37" t="s">
        <v>320</v>
      </c>
      <c r="D1901" s="37" t="s">
        <v>2036</v>
      </c>
      <c r="E1901" s="37" t="n">
        <v>27963788</v>
      </c>
      <c r="F1901" s="37" t="s">
        <v>146</v>
      </c>
      <c r="G1901" s="37" t="s">
        <v>201</v>
      </c>
      <c r="H1901" s="37" t="s">
        <v>172</v>
      </c>
      <c r="I1901" s="37" t="n">
        <v>69.45</v>
      </c>
      <c r="J1901" s="39" t="n">
        <v>859.99</v>
      </c>
      <c r="K1901" s="37" t="s">
        <v>322</v>
      </c>
      <c r="L1901" s="39" t="n">
        <v>156.14</v>
      </c>
      <c r="M1901" s="39" t="n">
        <v>113.9</v>
      </c>
      <c r="N1901" s="39" t="n">
        <f aca="false">J1901*Resumo!$C$7</f>
        <v>1.71998</v>
      </c>
      <c r="O1901" s="39" t="n">
        <f aca="false">J1901*Resumo!$C$8</f>
        <v>1.71998</v>
      </c>
      <c r="P1901" s="39" t="n">
        <f aca="false">Resumo!$C$10*CEILING(I1901/100,1)</f>
        <v>1</v>
      </c>
      <c r="Q1901" s="39" t="n">
        <f aca="false">Resumo!$C$9</f>
        <v>11.9</v>
      </c>
      <c r="R1901" s="39" t="n">
        <f aca="false">SUM(M1901:Q1901)*Resumo!$C$11</f>
        <v>7.1631978</v>
      </c>
      <c r="S1901" s="39" t="n">
        <f aca="false">SUM(M1901:R1901)</f>
        <v>137.4031578</v>
      </c>
      <c r="T1901" s="39" t="n">
        <f aca="false">S1901/(1-Resumo!$C$5)</f>
        <v>156.139952045455</v>
      </c>
      <c r="U1901" s="39" t="n">
        <v>171.54</v>
      </c>
      <c r="V1901" s="39" t="n">
        <f aca="false">J1901*Resumo!$B$6</f>
        <v>0.85999</v>
      </c>
      <c r="W1901" s="39" t="n">
        <f aca="false">J1901*Resumo!$B$7</f>
        <v>1.71998</v>
      </c>
      <c r="X1901" s="39" t="n">
        <f aca="false">Resumo!$B$9</f>
        <v>1</v>
      </c>
      <c r="Y1901" s="39" t="n">
        <f aca="false">Resumo!$B$10*CEILING(I1901/100,1)</f>
        <v>4.5</v>
      </c>
      <c r="Z1901" s="39" t="n">
        <f aca="false">Resumo!$B$12*CEILING(I1901,1)</f>
        <v>4.2</v>
      </c>
      <c r="AA1901" s="39" t="n">
        <f aca="false">Resumo!$B$13*CEILING(I1901,1)</f>
        <v>31.5</v>
      </c>
      <c r="AB1901" s="39" t="n">
        <f aca="false">SUM(U1901:AA1901)</f>
        <v>215.31997</v>
      </c>
      <c r="AC1901" s="39" t="n">
        <f aca="false">AB1901/(1-Resumo!$B$5)</f>
        <v>244.681784090909</v>
      </c>
      <c r="AD1901" s="39" t="n">
        <f aca="false">(AB1901-AA1901)/(1-Resumo!$B$5)</f>
        <v>208.886329545455</v>
      </c>
      <c r="AE1901" s="39" t="n">
        <f aca="false">AC1901-T1901</f>
        <v>88.5418320454545</v>
      </c>
      <c r="AF1901" s="40" t="n">
        <f aca="false">AC1901/T1901-1</f>
        <v>0.567067114377483</v>
      </c>
      <c r="AG1901" s="37" t="str">
        <f aca="false">IF(AC1901&lt;T1901,"SIM","NÃO")</f>
        <v>NÃO</v>
      </c>
      <c r="AH1901" s="37" t="n">
        <v>13</v>
      </c>
      <c r="AI1901" s="37" t="n">
        <v>11</v>
      </c>
      <c r="AJ1901" s="37" t="s">
        <v>323</v>
      </c>
    </row>
    <row r="1902" customFormat="false" ht="15" hidden="false" customHeight="false" outlineLevel="0" collapsed="false">
      <c r="A1902" s="37" t="n">
        <v>396039640</v>
      </c>
      <c r="B1902" s="38" t="n">
        <v>46282.9270949074</v>
      </c>
      <c r="C1902" s="37" t="s">
        <v>320</v>
      </c>
      <c r="D1902" s="37" t="s">
        <v>2037</v>
      </c>
      <c r="E1902" s="37" t="n">
        <v>28053600</v>
      </c>
      <c r="F1902" s="37" t="s">
        <v>144</v>
      </c>
      <c r="G1902" s="37" t="s">
        <v>201</v>
      </c>
      <c r="H1902" s="37" t="s">
        <v>168</v>
      </c>
      <c r="I1902" s="37" t="n">
        <v>27.4</v>
      </c>
      <c r="J1902" s="39" t="n">
        <v>329.99</v>
      </c>
      <c r="K1902" s="37" t="s">
        <v>322</v>
      </c>
      <c r="L1902" s="39" t="n">
        <v>108.76</v>
      </c>
      <c r="M1902" s="39" t="n">
        <v>76.5</v>
      </c>
      <c r="N1902" s="39" t="n">
        <f aca="false">J1902*Resumo!$C$7</f>
        <v>0.65998</v>
      </c>
      <c r="O1902" s="39" t="n">
        <f aca="false">J1902*Resumo!$C$8</f>
        <v>0.65998</v>
      </c>
      <c r="P1902" s="39" t="n">
        <f aca="false">Resumo!$C$10*CEILING(I1902/100,1)</f>
        <v>1</v>
      </c>
      <c r="Q1902" s="39" t="n">
        <f aca="false">Resumo!$C$9</f>
        <v>11.9</v>
      </c>
      <c r="R1902" s="39" t="n">
        <f aca="false">SUM(M1902:Q1902)*Resumo!$C$11</f>
        <v>4.9895978</v>
      </c>
      <c r="S1902" s="39" t="n">
        <f aca="false">SUM(M1902:R1902)</f>
        <v>95.7095578</v>
      </c>
      <c r="T1902" s="39" t="n">
        <f aca="false">S1902/(1-Resumo!$C$5)</f>
        <v>108.760861136364</v>
      </c>
      <c r="U1902" s="39" t="n">
        <v>138.29</v>
      </c>
      <c r="V1902" s="39" t="n">
        <f aca="false">J1902*Resumo!$B$6</f>
        <v>0.32999</v>
      </c>
      <c r="W1902" s="39" t="n">
        <f aca="false">J1902*Resumo!$B$7</f>
        <v>0.65998</v>
      </c>
      <c r="X1902" s="39" t="n">
        <f aca="false">Resumo!$B$9</f>
        <v>1</v>
      </c>
      <c r="Y1902" s="39" t="n">
        <f aca="false">Resumo!$B$10*CEILING(I1902/100,1)</f>
        <v>4.5</v>
      </c>
      <c r="Z1902" s="39" t="n">
        <f aca="false">Resumo!$B$12*CEILING(I1902,1)</f>
        <v>1.68</v>
      </c>
      <c r="AA1902" s="39" t="n">
        <f aca="false">Resumo!$B$13*CEILING(I1902,1)</f>
        <v>12.6</v>
      </c>
      <c r="AB1902" s="39" t="n">
        <f aca="false">SUM(U1902:AA1902)</f>
        <v>159.05997</v>
      </c>
      <c r="AC1902" s="39" t="n">
        <f aca="false">AB1902/(1-Resumo!$B$5)</f>
        <v>180.749965909091</v>
      </c>
      <c r="AD1902" s="39" t="n">
        <f aca="false">(AB1902-AA1902)/(1-Resumo!$B$5)</f>
        <v>166.431784090909</v>
      </c>
      <c r="AE1902" s="39" t="n">
        <f aca="false">AC1902-T1902</f>
        <v>71.9891047727273</v>
      </c>
      <c r="AF1902" s="40" t="n">
        <f aca="false">AC1902/T1902-1</f>
        <v>0.661902673632455</v>
      </c>
      <c r="AG1902" s="37" t="str">
        <f aca="false">IF(AC1902&lt;T1902,"SIM","NÃO")</f>
        <v>NÃO</v>
      </c>
      <c r="AH1902" s="37" t="n">
        <v>13</v>
      </c>
      <c r="AI1902" s="37" t="n">
        <v>11</v>
      </c>
      <c r="AJ1902" s="37" t="s">
        <v>323</v>
      </c>
    </row>
    <row r="1903" customFormat="false" ht="15" hidden="false" customHeight="false" outlineLevel="0" collapsed="false">
      <c r="A1903" s="37" t="n">
        <v>396126034</v>
      </c>
      <c r="B1903" s="38" t="n">
        <v>46283.2787731482</v>
      </c>
      <c r="C1903" s="37" t="s">
        <v>341</v>
      </c>
      <c r="D1903" s="37" t="s">
        <v>2038</v>
      </c>
      <c r="E1903" s="37" t="n">
        <v>22430190</v>
      </c>
      <c r="F1903" s="37" t="s">
        <v>139</v>
      </c>
      <c r="G1903" s="37" t="s">
        <v>198</v>
      </c>
      <c r="H1903" s="37" t="s">
        <v>169</v>
      </c>
      <c r="I1903" s="37" t="n">
        <v>36.8</v>
      </c>
      <c r="J1903" s="39" t="n">
        <v>549.99</v>
      </c>
      <c r="K1903" s="37" t="s">
        <v>322</v>
      </c>
      <c r="L1903" s="39" t="n">
        <v>92.49</v>
      </c>
      <c r="M1903" s="39" t="n">
        <v>62.05</v>
      </c>
      <c r="N1903" s="39" t="n">
        <f aca="false">J1903*Resumo!$C$7</f>
        <v>1.09998</v>
      </c>
      <c r="O1903" s="39" t="n">
        <f aca="false">J1903*Resumo!$C$8</f>
        <v>1.09998</v>
      </c>
      <c r="P1903" s="39" t="n">
        <f aca="false">Resumo!$C$10*CEILING(I1903/100,1)</f>
        <v>1</v>
      </c>
      <c r="Q1903" s="39" t="n">
        <f aca="false">Resumo!$C$9</f>
        <v>11.9</v>
      </c>
      <c r="R1903" s="39" t="n">
        <f aca="false">SUM(M1903:Q1903)*Resumo!$C$11</f>
        <v>4.2432478</v>
      </c>
      <c r="S1903" s="39" t="n">
        <f aca="false">SUM(M1903:R1903)</f>
        <v>81.3932078</v>
      </c>
      <c r="T1903" s="39" t="n">
        <f aca="false">S1903/(1-Resumo!$C$5)</f>
        <v>92.4922815909091</v>
      </c>
      <c r="U1903" s="39" t="n">
        <v>93.97</v>
      </c>
      <c r="V1903" s="39" t="n">
        <f aca="false">J1903*Resumo!$B$6</f>
        <v>0.54999</v>
      </c>
      <c r="W1903" s="39" t="n">
        <f aca="false">J1903*Resumo!$B$7</f>
        <v>1.09998</v>
      </c>
      <c r="X1903" s="39" t="n">
        <f aca="false">Resumo!$B$9</f>
        <v>1</v>
      </c>
      <c r="Y1903" s="39" t="n">
        <f aca="false">Resumo!$B$10*CEILING(I1903/100,1)</f>
        <v>4.5</v>
      </c>
      <c r="Z1903" s="39" t="n">
        <f aca="false">Resumo!$B$12*CEILING(I1903,1)</f>
        <v>2.22</v>
      </c>
      <c r="AA1903" s="39" t="n">
        <f aca="false">Resumo!$B$13*CEILING(I1903,1)</f>
        <v>16.65</v>
      </c>
      <c r="AB1903" s="39" t="n">
        <f aca="false">SUM(U1903:AA1903)</f>
        <v>119.98997</v>
      </c>
      <c r="AC1903" s="39" t="n">
        <f aca="false">AB1903/(1-Resumo!$B$5)</f>
        <v>136.352238636364</v>
      </c>
      <c r="AD1903" s="39" t="n">
        <f aca="false">(AB1903-AA1903)/(1-Resumo!$B$5)</f>
        <v>117.431784090909</v>
      </c>
      <c r="AE1903" s="39" t="n">
        <f aca="false">AC1903-T1903</f>
        <v>43.8599570454546</v>
      </c>
      <c r="AF1903" s="40" t="n">
        <f aca="false">AC1903/T1903-1</f>
        <v>0.474201266214255</v>
      </c>
      <c r="AG1903" s="37" t="str">
        <f aca="false">IF(AC1903&lt;T1903,"SIM","NÃO")</f>
        <v>NÃO</v>
      </c>
      <c r="AH1903" s="37" t="n">
        <v>8</v>
      </c>
      <c r="AI1903" s="37" t="n">
        <v>5</v>
      </c>
      <c r="AJ1903" s="37" t="s">
        <v>323</v>
      </c>
    </row>
    <row r="1904" customFormat="false" ht="15" hidden="false" customHeight="false" outlineLevel="0" collapsed="false">
      <c r="A1904" s="37" t="n">
        <v>396164984</v>
      </c>
      <c r="B1904" s="38" t="n">
        <v>46283.3938425926</v>
      </c>
      <c r="C1904" s="37" t="s">
        <v>359</v>
      </c>
      <c r="D1904" s="37" t="s">
        <v>2039</v>
      </c>
      <c r="E1904" s="37" t="n">
        <v>22280030</v>
      </c>
      <c r="F1904" s="37" t="s">
        <v>139</v>
      </c>
      <c r="G1904" s="37" t="s">
        <v>198</v>
      </c>
      <c r="H1904" s="37" t="s">
        <v>170</v>
      </c>
      <c r="I1904" s="37" t="n">
        <v>49.6</v>
      </c>
      <c r="J1904" s="39" t="n">
        <v>799.99</v>
      </c>
      <c r="K1904" s="37" t="s">
        <v>322</v>
      </c>
      <c r="L1904" s="39" t="n">
        <v>104.42</v>
      </c>
      <c r="M1904" s="39" t="n">
        <v>71</v>
      </c>
      <c r="N1904" s="39" t="n">
        <f aca="false">J1904*Resumo!$C$7</f>
        <v>1.59998</v>
      </c>
      <c r="O1904" s="39" t="n">
        <f aca="false">J1904*Resumo!$C$8</f>
        <v>1.59998</v>
      </c>
      <c r="P1904" s="39" t="n">
        <f aca="false">Resumo!$C$10*CEILING(I1904/100,1)</f>
        <v>1</v>
      </c>
      <c r="Q1904" s="39" t="n">
        <f aca="false">Resumo!$C$9</f>
        <v>11.9</v>
      </c>
      <c r="R1904" s="39" t="n">
        <f aca="false">SUM(M1904:Q1904)*Resumo!$C$11</f>
        <v>4.7904978</v>
      </c>
      <c r="S1904" s="39" t="n">
        <f aca="false">SUM(M1904:R1904)</f>
        <v>91.8904578</v>
      </c>
      <c r="T1904" s="39" t="n">
        <f aca="false">S1904/(1-Resumo!$C$5)</f>
        <v>104.420974772727</v>
      </c>
      <c r="U1904" s="39" t="n">
        <v>93.97</v>
      </c>
      <c r="V1904" s="39" t="n">
        <f aca="false">J1904*Resumo!$B$6</f>
        <v>0.79999</v>
      </c>
      <c r="W1904" s="39" t="n">
        <f aca="false">J1904*Resumo!$B$7</f>
        <v>1.59998</v>
      </c>
      <c r="X1904" s="39" t="n">
        <f aca="false">Resumo!$B$9</f>
        <v>1</v>
      </c>
      <c r="Y1904" s="39" t="n">
        <f aca="false">Resumo!$B$10*CEILING(I1904/100,1)</f>
        <v>4.5</v>
      </c>
      <c r="Z1904" s="39" t="n">
        <f aca="false">Resumo!$B$12*CEILING(I1904,1)</f>
        <v>3</v>
      </c>
      <c r="AA1904" s="39" t="n">
        <f aca="false">Resumo!$B$13*CEILING(I1904,1)</f>
        <v>22.5</v>
      </c>
      <c r="AB1904" s="39" t="n">
        <f aca="false">SUM(U1904:AA1904)</f>
        <v>127.36997</v>
      </c>
      <c r="AC1904" s="39" t="n">
        <f aca="false">AB1904/(1-Resumo!$B$5)</f>
        <v>144.738602272727</v>
      </c>
      <c r="AD1904" s="39" t="n">
        <f aca="false">(AB1904-AA1904)/(1-Resumo!$B$5)</f>
        <v>119.170420454545</v>
      </c>
      <c r="AE1904" s="39" t="n">
        <f aca="false">AC1904-T1904</f>
        <v>40.3176275</v>
      </c>
      <c r="AF1904" s="40" t="n">
        <f aca="false">AC1904/T1904-1</f>
        <v>0.386106599634331</v>
      </c>
      <c r="AG1904" s="37" t="str">
        <f aca="false">IF(AC1904&lt;T1904,"SIM","NÃO")</f>
        <v>NÃO</v>
      </c>
      <c r="AH1904" s="37" t="n">
        <v>8</v>
      </c>
      <c r="AI1904" s="37" t="n">
        <v>5</v>
      </c>
      <c r="AJ1904" s="37" t="s">
        <v>323</v>
      </c>
    </row>
    <row r="1905" customFormat="false" ht="15" hidden="false" customHeight="false" outlineLevel="0" collapsed="false">
      <c r="A1905" s="37" t="n">
        <v>396174944</v>
      </c>
      <c r="B1905" s="38" t="n">
        <v>46283.417025463</v>
      </c>
      <c r="C1905" s="37" t="s">
        <v>320</v>
      </c>
      <c r="D1905" s="37" t="s">
        <v>2040</v>
      </c>
      <c r="E1905" s="37" t="n">
        <v>21061600</v>
      </c>
      <c r="F1905" s="37" t="s">
        <v>139</v>
      </c>
      <c r="G1905" s="37" t="s">
        <v>198</v>
      </c>
      <c r="H1905" s="37" t="s">
        <v>170</v>
      </c>
      <c r="I1905" s="37" t="n">
        <v>48</v>
      </c>
      <c r="J1905" s="39" t="n">
        <v>725.1</v>
      </c>
      <c r="K1905" s="37" t="s">
        <v>322</v>
      </c>
      <c r="L1905" s="39" t="n">
        <v>104.06</v>
      </c>
      <c r="M1905" s="39" t="n">
        <v>71</v>
      </c>
      <c r="N1905" s="39" t="n">
        <f aca="false">J1905*Resumo!$C$7</f>
        <v>1.4502</v>
      </c>
      <c r="O1905" s="39" t="n">
        <f aca="false">J1905*Resumo!$C$8</f>
        <v>1.4502</v>
      </c>
      <c r="P1905" s="39" t="n">
        <f aca="false">Resumo!$C$10*CEILING(I1905/100,1)</f>
        <v>1</v>
      </c>
      <c r="Q1905" s="39" t="n">
        <f aca="false">Resumo!$C$9</f>
        <v>11.9</v>
      </c>
      <c r="R1905" s="39" t="n">
        <f aca="false">SUM(M1905:Q1905)*Resumo!$C$11</f>
        <v>4.774022</v>
      </c>
      <c r="S1905" s="39" t="n">
        <f aca="false">SUM(M1905:R1905)</f>
        <v>91.574422</v>
      </c>
      <c r="T1905" s="39" t="n">
        <f aca="false">S1905/(1-Resumo!$C$5)</f>
        <v>104.061843181818</v>
      </c>
      <c r="U1905" s="39" t="n">
        <v>93.97</v>
      </c>
      <c r="V1905" s="39" t="n">
        <f aca="false">J1905*Resumo!$B$6</f>
        <v>0.7251</v>
      </c>
      <c r="W1905" s="39" t="n">
        <f aca="false">J1905*Resumo!$B$7</f>
        <v>1.4502</v>
      </c>
      <c r="X1905" s="39" t="n">
        <f aca="false">Resumo!$B$9</f>
        <v>1</v>
      </c>
      <c r="Y1905" s="39" t="n">
        <f aca="false">Resumo!$B$10*CEILING(I1905/100,1)</f>
        <v>4.5</v>
      </c>
      <c r="Z1905" s="39" t="n">
        <f aca="false">Resumo!$B$12*CEILING(I1905,1)</f>
        <v>2.88</v>
      </c>
      <c r="AA1905" s="39" t="n">
        <f aca="false">Resumo!$B$13*CEILING(I1905,1)</f>
        <v>21.6</v>
      </c>
      <c r="AB1905" s="39" t="n">
        <f aca="false">SUM(U1905:AA1905)</f>
        <v>126.1253</v>
      </c>
      <c r="AC1905" s="39" t="n">
        <f aca="false">AB1905/(1-Resumo!$B$5)</f>
        <v>143.324204545455</v>
      </c>
      <c r="AD1905" s="39" t="n">
        <f aca="false">(AB1905-AA1905)/(1-Resumo!$B$5)</f>
        <v>118.77875</v>
      </c>
      <c r="AE1905" s="39" t="n">
        <f aca="false">AC1905-T1905</f>
        <v>39.2623613636364</v>
      </c>
      <c r="AF1905" s="40" t="n">
        <f aca="false">AC1905/T1905-1</f>
        <v>0.377298346474958</v>
      </c>
      <c r="AG1905" s="37" t="str">
        <f aca="false">IF(AC1905&lt;T1905,"SIM","NÃO")</f>
        <v>NÃO</v>
      </c>
      <c r="AH1905" s="37" t="n">
        <v>8</v>
      </c>
      <c r="AI1905" s="37" t="n">
        <v>5</v>
      </c>
      <c r="AJ1905" s="37" t="s">
        <v>323</v>
      </c>
    </row>
    <row r="1906" customFormat="false" ht="15" hidden="false" customHeight="false" outlineLevel="0" collapsed="false">
      <c r="A1906" s="37" t="n">
        <v>396197357</v>
      </c>
      <c r="B1906" s="38" t="n">
        <v>46283.4628819445</v>
      </c>
      <c r="C1906" s="37" t="s">
        <v>320</v>
      </c>
      <c r="D1906" s="37" t="s">
        <v>1512</v>
      </c>
      <c r="E1906" s="37" t="n">
        <v>21020260</v>
      </c>
      <c r="F1906" s="37" t="s">
        <v>139</v>
      </c>
      <c r="G1906" s="37" t="s">
        <v>198</v>
      </c>
      <c r="H1906" s="37" t="s">
        <v>168</v>
      </c>
      <c r="I1906" s="37" t="n">
        <v>25.8</v>
      </c>
      <c r="J1906" s="39" t="n">
        <v>309.58</v>
      </c>
      <c r="K1906" s="37" t="s">
        <v>322</v>
      </c>
      <c r="L1906" s="39" t="n">
        <v>81.81</v>
      </c>
      <c r="M1906" s="39" t="n">
        <v>54.1</v>
      </c>
      <c r="N1906" s="39" t="n">
        <f aca="false">J1906*Resumo!$C$7</f>
        <v>0.61916</v>
      </c>
      <c r="O1906" s="39" t="n">
        <f aca="false">J1906*Resumo!$C$8</f>
        <v>0.61916</v>
      </c>
      <c r="P1906" s="39" t="n">
        <f aca="false">Resumo!$C$10*CEILING(I1906/100,1)</f>
        <v>1</v>
      </c>
      <c r="Q1906" s="39" t="n">
        <f aca="false">Resumo!$C$9</f>
        <v>11.9</v>
      </c>
      <c r="R1906" s="39" t="n">
        <f aca="false">SUM(M1906:Q1906)*Resumo!$C$11</f>
        <v>3.7531076</v>
      </c>
      <c r="S1906" s="39" t="n">
        <f aca="false">SUM(M1906:R1906)</f>
        <v>71.9914276</v>
      </c>
      <c r="T1906" s="39" t="n">
        <f aca="false">S1906/(1-Resumo!$C$5)</f>
        <v>81.8084404545455</v>
      </c>
      <c r="U1906" s="39" t="n">
        <v>82.21</v>
      </c>
      <c r="V1906" s="39" t="n">
        <f aca="false">J1906*Resumo!$B$6</f>
        <v>0.30958</v>
      </c>
      <c r="W1906" s="39" t="n">
        <f aca="false">J1906*Resumo!$B$7</f>
        <v>0.61916</v>
      </c>
      <c r="X1906" s="39" t="n">
        <f aca="false">Resumo!$B$9</f>
        <v>1</v>
      </c>
      <c r="Y1906" s="39" t="n">
        <f aca="false">Resumo!$B$10*CEILING(I1906/100,1)</f>
        <v>4.5</v>
      </c>
      <c r="Z1906" s="39" t="n">
        <f aca="false">Resumo!$B$12*CEILING(I1906,1)</f>
        <v>1.56</v>
      </c>
      <c r="AA1906" s="39" t="n">
        <f aca="false">Resumo!$B$13*CEILING(I1906,1)</f>
        <v>11.7</v>
      </c>
      <c r="AB1906" s="39" t="n">
        <f aca="false">SUM(U1906:AA1906)</f>
        <v>101.89874</v>
      </c>
      <c r="AC1906" s="39" t="n">
        <f aca="false">AB1906/(1-Resumo!$B$5)</f>
        <v>115.794022727273</v>
      </c>
      <c r="AD1906" s="39" t="n">
        <f aca="false">(AB1906-AA1906)/(1-Resumo!$B$5)</f>
        <v>102.498568181818</v>
      </c>
      <c r="AE1906" s="39" t="n">
        <f aca="false">AC1906-T1906</f>
        <v>33.9855822727273</v>
      </c>
      <c r="AF1906" s="40" t="n">
        <f aca="false">AC1906/T1906-1</f>
        <v>0.41542880030344</v>
      </c>
      <c r="AG1906" s="37" t="str">
        <f aca="false">IF(AC1906&lt;T1906,"SIM","NÃO")</f>
        <v>NÃO</v>
      </c>
      <c r="AH1906" s="37" t="n">
        <v>8</v>
      </c>
      <c r="AI1906" s="37" t="n">
        <v>5</v>
      </c>
      <c r="AJ1906" s="37" t="s">
        <v>323</v>
      </c>
    </row>
    <row r="1907" customFormat="false" ht="15" hidden="false" customHeight="false" outlineLevel="0" collapsed="false">
      <c r="A1907" s="37" t="n">
        <v>396206956</v>
      </c>
      <c r="B1907" s="38" t="n">
        <v>46283.487025463</v>
      </c>
      <c r="C1907" s="37" t="s">
        <v>341</v>
      </c>
      <c r="D1907" s="37" t="s">
        <v>706</v>
      </c>
      <c r="E1907" s="37" t="n">
        <v>22753005</v>
      </c>
      <c r="F1907" s="37" t="s">
        <v>139</v>
      </c>
      <c r="G1907" s="37" t="s">
        <v>198</v>
      </c>
      <c r="H1907" s="37" t="s">
        <v>168</v>
      </c>
      <c r="I1907" s="37" t="n">
        <v>22.4</v>
      </c>
      <c r="J1907" s="39" t="n">
        <v>599.99</v>
      </c>
      <c r="K1907" s="37" t="s">
        <v>322</v>
      </c>
      <c r="L1907" s="39" t="n">
        <v>83.2</v>
      </c>
      <c r="M1907" s="39" t="n">
        <v>54.1</v>
      </c>
      <c r="N1907" s="39" t="n">
        <f aca="false">J1907*Resumo!$C$7</f>
        <v>1.19998</v>
      </c>
      <c r="O1907" s="39" t="n">
        <f aca="false">J1907*Resumo!$C$8</f>
        <v>1.19998</v>
      </c>
      <c r="P1907" s="39" t="n">
        <f aca="false">Resumo!$C$10*CEILING(I1907/100,1)</f>
        <v>1</v>
      </c>
      <c r="Q1907" s="39" t="n">
        <f aca="false">Resumo!$C$9</f>
        <v>11.9</v>
      </c>
      <c r="R1907" s="39" t="n">
        <f aca="false">SUM(M1907:Q1907)*Resumo!$C$11</f>
        <v>3.8169978</v>
      </c>
      <c r="S1907" s="39" t="n">
        <f aca="false">SUM(M1907:R1907)</f>
        <v>73.2169578</v>
      </c>
      <c r="T1907" s="39" t="n">
        <f aca="false">S1907/(1-Resumo!$C$5)</f>
        <v>83.2010884090909</v>
      </c>
      <c r="U1907" s="39" t="n">
        <v>82.21</v>
      </c>
      <c r="V1907" s="39" t="n">
        <f aca="false">J1907*Resumo!$B$6</f>
        <v>0.59999</v>
      </c>
      <c r="W1907" s="39" t="n">
        <f aca="false">J1907*Resumo!$B$7</f>
        <v>1.19998</v>
      </c>
      <c r="X1907" s="39" t="n">
        <f aca="false">Resumo!$B$9</f>
        <v>1</v>
      </c>
      <c r="Y1907" s="39" t="n">
        <f aca="false">Resumo!$B$10*CEILING(I1907/100,1)</f>
        <v>4.5</v>
      </c>
      <c r="Z1907" s="39" t="n">
        <f aca="false">Resumo!$B$12*CEILING(I1907,1)</f>
        <v>1.38</v>
      </c>
      <c r="AA1907" s="39" t="n">
        <f aca="false">Resumo!$B$13*CEILING(I1907,1)</f>
        <v>10.35</v>
      </c>
      <c r="AB1907" s="39" t="n">
        <f aca="false">SUM(U1907:AA1907)</f>
        <v>101.23997</v>
      </c>
      <c r="AC1907" s="39" t="n">
        <f aca="false">AB1907/(1-Resumo!$B$5)</f>
        <v>115.045420454545</v>
      </c>
      <c r="AD1907" s="39" t="n">
        <f aca="false">(AB1907-AA1907)/(1-Resumo!$B$5)</f>
        <v>103.284056818182</v>
      </c>
      <c r="AE1907" s="39" t="n">
        <f aca="false">AC1907-T1907</f>
        <v>31.8443320454545</v>
      </c>
      <c r="AF1907" s="40" t="n">
        <f aca="false">AC1907/T1907-1</f>
        <v>0.382739368611133</v>
      </c>
      <c r="AG1907" s="37" t="str">
        <f aca="false">IF(AC1907&lt;T1907,"SIM","NÃO")</f>
        <v>NÃO</v>
      </c>
      <c r="AH1907" s="37" t="n">
        <v>8</v>
      </c>
      <c r="AI1907" s="37" t="n">
        <v>5</v>
      </c>
      <c r="AJ1907" s="37" t="s">
        <v>323</v>
      </c>
    </row>
    <row r="1908" customFormat="false" ht="15" hidden="false" customHeight="false" outlineLevel="0" collapsed="false">
      <c r="A1908" s="37" t="n">
        <v>396209617</v>
      </c>
      <c r="B1908" s="38" t="n">
        <v>46283.4874768519</v>
      </c>
      <c r="C1908" s="37" t="s">
        <v>320</v>
      </c>
      <c r="D1908" s="37" t="s">
        <v>2041</v>
      </c>
      <c r="E1908" s="37" t="n">
        <v>28982235</v>
      </c>
      <c r="F1908" s="37" t="s">
        <v>153</v>
      </c>
      <c r="G1908" s="37" t="s">
        <v>201</v>
      </c>
      <c r="H1908" s="37" t="s">
        <v>168</v>
      </c>
      <c r="I1908" s="37" t="n">
        <v>20.8</v>
      </c>
      <c r="J1908" s="39" t="n">
        <v>339.99</v>
      </c>
      <c r="K1908" s="37" t="s">
        <v>322</v>
      </c>
      <c r="L1908" s="39" t="n">
        <v>108.81</v>
      </c>
      <c r="M1908" s="39" t="n">
        <v>76.5</v>
      </c>
      <c r="N1908" s="39" t="n">
        <f aca="false">J1908*Resumo!$C$7</f>
        <v>0.67998</v>
      </c>
      <c r="O1908" s="39" t="n">
        <f aca="false">J1908*Resumo!$C$8</f>
        <v>0.67998</v>
      </c>
      <c r="P1908" s="39" t="n">
        <f aca="false">Resumo!$C$10*CEILING(I1908/100,1)</f>
        <v>1</v>
      </c>
      <c r="Q1908" s="39" t="n">
        <f aca="false">Resumo!$C$9</f>
        <v>11.9</v>
      </c>
      <c r="R1908" s="39" t="n">
        <f aca="false">SUM(M1908:Q1908)*Resumo!$C$11</f>
        <v>4.9917978</v>
      </c>
      <c r="S1908" s="39" t="n">
        <f aca="false">SUM(M1908:R1908)</f>
        <v>95.7517578</v>
      </c>
      <c r="T1908" s="39" t="n">
        <f aca="false">S1908/(1-Resumo!$C$5)</f>
        <v>108.808815681818</v>
      </c>
      <c r="U1908" s="39" t="n">
        <v>114.95</v>
      </c>
      <c r="V1908" s="39" t="n">
        <f aca="false">J1908*Resumo!$B$6</f>
        <v>0.33999</v>
      </c>
      <c r="W1908" s="39" t="n">
        <f aca="false">J1908*Resumo!$B$7</f>
        <v>0.67998</v>
      </c>
      <c r="X1908" s="39" t="n">
        <f aca="false">Resumo!$B$9</f>
        <v>1</v>
      </c>
      <c r="Y1908" s="39" t="n">
        <f aca="false">Resumo!$B$10*CEILING(I1908/100,1)</f>
        <v>4.5</v>
      </c>
      <c r="Z1908" s="39" t="n">
        <f aca="false">Resumo!$B$12*CEILING(I1908,1)</f>
        <v>1.26</v>
      </c>
      <c r="AA1908" s="39" t="n">
        <f aca="false">Resumo!$B$13*CEILING(I1908,1)</f>
        <v>9.45</v>
      </c>
      <c r="AB1908" s="39" t="n">
        <f aca="false">SUM(U1908:AA1908)</f>
        <v>132.17997</v>
      </c>
      <c r="AC1908" s="39" t="n">
        <f aca="false">AB1908/(1-Resumo!$B$5)</f>
        <v>150.204511363636</v>
      </c>
      <c r="AD1908" s="39" t="n">
        <f aca="false">(AB1908-AA1908)/(1-Resumo!$B$5)</f>
        <v>139.465875</v>
      </c>
      <c r="AE1908" s="39" t="n">
        <f aca="false">AC1908-T1908</f>
        <v>41.3956956818182</v>
      </c>
      <c r="AF1908" s="40" t="n">
        <f aca="false">AC1908/T1908-1</f>
        <v>0.380444318067652</v>
      </c>
      <c r="AG1908" s="37" t="str">
        <f aca="false">IF(AC1908&lt;T1908,"SIM","NÃO")</f>
        <v>NÃO</v>
      </c>
      <c r="AH1908" s="37" t="n">
        <v>13</v>
      </c>
      <c r="AI1908" s="37" t="n">
        <v>10</v>
      </c>
      <c r="AJ1908" s="37" t="s">
        <v>323</v>
      </c>
    </row>
    <row r="1909" customFormat="false" ht="15" hidden="false" customHeight="false" outlineLevel="0" collapsed="false">
      <c r="A1909" s="37" t="n">
        <v>396231856</v>
      </c>
      <c r="B1909" s="38" t="n">
        <v>46283.5308564815</v>
      </c>
      <c r="C1909" s="37" t="s">
        <v>320</v>
      </c>
      <c r="D1909" s="37" t="s">
        <v>2042</v>
      </c>
      <c r="E1909" s="37" t="n">
        <v>21321624</v>
      </c>
      <c r="F1909" s="37" t="s">
        <v>139</v>
      </c>
      <c r="G1909" s="37" t="s">
        <v>198</v>
      </c>
      <c r="H1909" s="37" t="s">
        <v>171</v>
      </c>
      <c r="I1909" s="37" t="n">
        <v>52.3</v>
      </c>
      <c r="J1909" s="39" t="n">
        <v>614.63</v>
      </c>
      <c r="K1909" s="37" t="s">
        <v>322</v>
      </c>
      <c r="L1909" s="39" t="n">
        <v>114.09</v>
      </c>
      <c r="M1909" s="39" t="n">
        <v>79.81</v>
      </c>
      <c r="N1909" s="39" t="n">
        <f aca="false">J1909*Resumo!$C$7</f>
        <v>1.22926</v>
      </c>
      <c r="O1909" s="39" t="n">
        <f aca="false">J1909*Resumo!$C$8</f>
        <v>1.22926</v>
      </c>
      <c r="P1909" s="39" t="n">
        <f aca="false">Resumo!$C$10*CEILING(I1909/100,1)</f>
        <v>1</v>
      </c>
      <c r="Q1909" s="39" t="n">
        <f aca="false">Resumo!$C$9</f>
        <v>11.9</v>
      </c>
      <c r="R1909" s="39" t="n">
        <f aca="false">SUM(M1909:Q1909)*Resumo!$C$11</f>
        <v>5.2342686</v>
      </c>
      <c r="S1909" s="39" t="n">
        <f aca="false">SUM(M1909:R1909)</f>
        <v>100.4027886</v>
      </c>
      <c r="T1909" s="39" t="n">
        <f aca="false">S1909/(1-Resumo!$C$5)</f>
        <v>114.094077954545</v>
      </c>
      <c r="U1909" s="39" t="n">
        <v>112.3</v>
      </c>
      <c r="V1909" s="39" t="n">
        <f aca="false">J1909*Resumo!$B$6</f>
        <v>0.61463</v>
      </c>
      <c r="W1909" s="39" t="n">
        <f aca="false">J1909*Resumo!$B$7</f>
        <v>1.22926</v>
      </c>
      <c r="X1909" s="39" t="n">
        <f aca="false">Resumo!$B$9</f>
        <v>1</v>
      </c>
      <c r="Y1909" s="39" t="n">
        <f aca="false">Resumo!$B$10*CEILING(I1909/100,1)</f>
        <v>4.5</v>
      </c>
      <c r="Z1909" s="39" t="n">
        <f aca="false">Resumo!$B$12*CEILING(I1909,1)</f>
        <v>3.18</v>
      </c>
      <c r="AA1909" s="39" t="n">
        <f aca="false">Resumo!$B$13*CEILING(I1909,1)</f>
        <v>23.85</v>
      </c>
      <c r="AB1909" s="39" t="n">
        <f aca="false">SUM(U1909:AA1909)</f>
        <v>146.67389</v>
      </c>
      <c r="AC1909" s="39" t="n">
        <f aca="false">AB1909/(1-Resumo!$B$5)</f>
        <v>166.674875</v>
      </c>
      <c r="AD1909" s="39" t="n">
        <f aca="false">(AB1909-AA1909)/(1-Resumo!$B$5)</f>
        <v>139.572602272727</v>
      </c>
      <c r="AE1909" s="39" t="n">
        <f aca="false">AC1909-T1909</f>
        <v>52.5807970454545</v>
      </c>
      <c r="AF1909" s="40" t="n">
        <f aca="false">AC1909/T1909-1</f>
        <v>0.460854743630099</v>
      </c>
      <c r="AG1909" s="37" t="str">
        <f aca="false">IF(AC1909&lt;T1909,"SIM","NÃO")</f>
        <v>NÃO</v>
      </c>
      <c r="AH1909" s="37" t="n">
        <v>8</v>
      </c>
      <c r="AI1909" s="37" t="n">
        <v>5</v>
      </c>
      <c r="AJ1909" s="37" t="s">
        <v>323</v>
      </c>
    </row>
    <row r="1910" customFormat="false" ht="15" hidden="false" customHeight="false" outlineLevel="0" collapsed="false">
      <c r="A1910" s="37" t="n">
        <v>396260048</v>
      </c>
      <c r="B1910" s="38" t="n">
        <v>46283.5845023148</v>
      </c>
      <c r="C1910" s="37" t="s">
        <v>320</v>
      </c>
      <c r="D1910" s="37" t="s">
        <v>2043</v>
      </c>
      <c r="E1910" s="37" t="n">
        <v>21842550</v>
      </c>
      <c r="F1910" s="37" t="s">
        <v>139</v>
      </c>
      <c r="G1910" s="37" t="s">
        <v>198</v>
      </c>
      <c r="H1910" s="37" t="s">
        <v>169</v>
      </c>
      <c r="I1910" s="37" t="n">
        <v>39.9</v>
      </c>
      <c r="J1910" s="39" t="n">
        <v>599.99</v>
      </c>
      <c r="K1910" s="37" t="s">
        <v>322</v>
      </c>
      <c r="L1910" s="39" t="n">
        <v>92.73</v>
      </c>
      <c r="M1910" s="39" t="n">
        <v>62.05</v>
      </c>
      <c r="N1910" s="39" t="n">
        <f aca="false">J1910*Resumo!$C$7</f>
        <v>1.19998</v>
      </c>
      <c r="O1910" s="39" t="n">
        <f aca="false">J1910*Resumo!$C$8</f>
        <v>1.19998</v>
      </c>
      <c r="P1910" s="39" t="n">
        <f aca="false">Resumo!$C$10*CEILING(I1910/100,1)</f>
        <v>1</v>
      </c>
      <c r="Q1910" s="39" t="n">
        <f aca="false">Resumo!$C$9</f>
        <v>11.9</v>
      </c>
      <c r="R1910" s="39" t="n">
        <f aca="false">SUM(M1910:Q1910)*Resumo!$C$11</f>
        <v>4.2542478</v>
      </c>
      <c r="S1910" s="39" t="n">
        <f aca="false">SUM(M1910:R1910)</f>
        <v>81.6042078</v>
      </c>
      <c r="T1910" s="39" t="n">
        <f aca="false">S1910/(1-Resumo!$C$5)</f>
        <v>92.7320543181818</v>
      </c>
      <c r="U1910" s="39" t="n">
        <v>93.97</v>
      </c>
      <c r="V1910" s="39" t="n">
        <f aca="false">J1910*Resumo!$B$6</f>
        <v>0.59999</v>
      </c>
      <c r="W1910" s="39" t="n">
        <f aca="false">J1910*Resumo!$B$7</f>
        <v>1.19998</v>
      </c>
      <c r="X1910" s="39" t="n">
        <f aca="false">Resumo!$B$9</f>
        <v>1</v>
      </c>
      <c r="Y1910" s="39" t="n">
        <f aca="false">Resumo!$B$10*CEILING(I1910/100,1)</f>
        <v>4.5</v>
      </c>
      <c r="Z1910" s="39" t="n">
        <f aca="false">Resumo!$B$12*CEILING(I1910,1)</f>
        <v>2.4</v>
      </c>
      <c r="AA1910" s="39" t="n">
        <f aca="false">Resumo!$B$13*CEILING(I1910,1)</f>
        <v>18</v>
      </c>
      <c r="AB1910" s="39" t="n">
        <f aca="false">SUM(U1910:AA1910)</f>
        <v>121.66997</v>
      </c>
      <c r="AC1910" s="39" t="n">
        <f aca="false">AB1910/(1-Resumo!$B$5)</f>
        <v>138.261329545455</v>
      </c>
      <c r="AD1910" s="39" t="n">
        <f aca="false">(AB1910-AA1910)/(1-Resumo!$B$5)</f>
        <v>117.806784090909</v>
      </c>
      <c r="AE1910" s="39" t="n">
        <f aca="false">AC1910-T1910</f>
        <v>45.5292752272727</v>
      </c>
      <c r="AF1910" s="40" t="n">
        <f aca="false">AC1910/T1910-1</f>
        <v>0.490976669955492</v>
      </c>
      <c r="AG1910" s="37" t="str">
        <f aca="false">IF(AC1910&lt;T1910,"SIM","NÃO")</f>
        <v>NÃO</v>
      </c>
      <c r="AH1910" s="37" t="n">
        <v>8</v>
      </c>
      <c r="AI1910" s="37" t="n">
        <v>5</v>
      </c>
      <c r="AJ1910" s="37" t="s">
        <v>323</v>
      </c>
    </row>
    <row r="1911" customFormat="false" ht="15" hidden="false" customHeight="false" outlineLevel="0" collapsed="false">
      <c r="A1911" s="37" t="n">
        <v>396262102</v>
      </c>
      <c r="B1911" s="38" t="n">
        <v>46283.5879282407</v>
      </c>
      <c r="C1911" s="37" t="s">
        <v>320</v>
      </c>
      <c r="D1911" s="37" t="s">
        <v>1601</v>
      </c>
      <c r="E1911" s="37" t="n">
        <v>22011002</v>
      </c>
      <c r="F1911" s="37" t="s">
        <v>139</v>
      </c>
      <c r="G1911" s="37" t="s">
        <v>198</v>
      </c>
      <c r="H1911" s="37" t="s">
        <v>168</v>
      </c>
      <c r="I1911" s="37" t="n">
        <v>34.1</v>
      </c>
      <c r="J1911" s="39" t="n">
        <v>419.3</v>
      </c>
      <c r="K1911" s="37" t="s">
        <v>322</v>
      </c>
      <c r="L1911" s="39" t="n">
        <v>82.34</v>
      </c>
      <c r="M1911" s="39" t="n">
        <v>54.1</v>
      </c>
      <c r="N1911" s="39" t="n">
        <f aca="false">J1911*Resumo!$C$7</f>
        <v>0.8386</v>
      </c>
      <c r="O1911" s="39" t="n">
        <f aca="false">J1911*Resumo!$C$8</f>
        <v>0.8386</v>
      </c>
      <c r="P1911" s="39" t="n">
        <f aca="false">Resumo!$C$10*CEILING(I1911/100,1)</f>
        <v>1</v>
      </c>
      <c r="Q1911" s="39" t="n">
        <f aca="false">Resumo!$C$9</f>
        <v>11.9</v>
      </c>
      <c r="R1911" s="39" t="n">
        <f aca="false">SUM(M1911:Q1911)*Resumo!$C$11</f>
        <v>3.777246</v>
      </c>
      <c r="S1911" s="39" t="n">
        <f aca="false">SUM(M1911:R1911)</f>
        <v>72.454446</v>
      </c>
      <c r="T1911" s="39" t="n">
        <f aca="false">S1911/(1-Resumo!$C$5)</f>
        <v>82.3345977272727</v>
      </c>
      <c r="U1911" s="39" t="n">
        <v>82.21</v>
      </c>
      <c r="V1911" s="39" t="n">
        <f aca="false">J1911*Resumo!$B$6</f>
        <v>0.4193</v>
      </c>
      <c r="W1911" s="39" t="n">
        <f aca="false">J1911*Resumo!$B$7</f>
        <v>0.8386</v>
      </c>
      <c r="X1911" s="39" t="n">
        <f aca="false">Resumo!$B$9</f>
        <v>1</v>
      </c>
      <c r="Y1911" s="39" t="n">
        <f aca="false">Resumo!$B$10*CEILING(I1911/100,1)</f>
        <v>4.5</v>
      </c>
      <c r="Z1911" s="39" t="n">
        <f aca="false">Resumo!$B$12*CEILING(I1911,1)</f>
        <v>2.1</v>
      </c>
      <c r="AA1911" s="39" t="n">
        <f aca="false">Resumo!$B$13*CEILING(I1911,1)</f>
        <v>15.75</v>
      </c>
      <c r="AB1911" s="39" t="n">
        <f aca="false">SUM(U1911:AA1911)</f>
        <v>106.8179</v>
      </c>
      <c r="AC1911" s="39" t="n">
        <f aca="false">AB1911/(1-Resumo!$B$5)</f>
        <v>121.383977272727</v>
      </c>
      <c r="AD1911" s="39" t="n">
        <f aca="false">(AB1911-AA1911)/(1-Resumo!$B$5)</f>
        <v>103.48625</v>
      </c>
      <c r="AE1911" s="39" t="n">
        <f aca="false">AC1911-T1911</f>
        <v>39.0493795454545</v>
      </c>
      <c r="AF1911" s="40" t="n">
        <f aca="false">AC1911/T1911-1</f>
        <v>0.474276678618176</v>
      </c>
      <c r="AG1911" s="37" t="str">
        <f aca="false">IF(AC1911&lt;T1911,"SIM","NÃO")</f>
        <v>NÃO</v>
      </c>
      <c r="AH1911" s="37" t="n">
        <v>8</v>
      </c>
      <c r="AI1911" s="37" t="n">
        <v>5</v>
      </c>
      <c r="AJ1911" s="37" t="s">
        <v>323</v>
      </c>
    </row>
    <row r="1912" customFormat="false" ht="15" hidden="false" customHeight="false" outlineLevel="0" collapsed="false">
      <c r="A1912" s="37" t="n">
        <v>396262194</v>
      </c>
      <c r="B1912" s="38" t="n">
        <v>46283.5882175926</v>
      </c>
      <c r="C1912" s="37" t="s">
        <v>325</v>
      </c>
      <c r="D1912" s="37" t="s">
        <v>2044</v>
      </c>
      <c r="E1912" s="37" t="n">
        <v>28899314</v>
      </c>
      <c r="F1912" s="37" t="s">
        <v>158</v>
      </c>
      <c r="G1912" s="37" t="s">
        <v>201</v>
      </c>
      <c r="H1912" s="37" t="s">
        <v>172</v>
      </c>
      <c r="I1912" s="37" t="n">
        <v>67.3</v>
      </c>
      <c r="J1912" s="39" t="n">
        <v>720</v>
      </c>
      <c r="K1912" s="37" t="s">
        <v>322</v>
      </c>
      <c r="L1912" s="39" t="n">
        <v>155.47</v>
      </c>
      <c r="M1912" s="39" t="n">
        <v>113.9</v>
      </c>
      <c r="N1912" s="39" t="n">
        <f aca="false">J1912*Resumo!$C$7</f>
        <v>1.44</v>
      </c>
      <c r="O1912" s="39" t="n">
        <f aca="false">J1912*Resumo!$C$8</f>
        <v>1.44</v>
      </c>
      <c r="P1912" s="39" t="n">
        <f aca="false">Resumo!$C$10*CEILING(I1912/100,1)</f>
        <v>1</v>
      </c>
      <c r="Q1912" s="39" t="n">
        <f aca="false">Resumo!$C$9</f>
        <v>11.9</v>
      </c>
      <c r="R1912" s="39" t="n">
        <f aca="false">SUM(M1912:Q1912)*Resumo!$C$11</f>
        <v>7.1324</v>
      </c>
      <c r="S1912" s="39" t="n">
        <f aca="false">SUM(M1912:R1912)</f>
        <v>136.8124</v>
      </c>
      <c r="T1912" s="39" t="n">
        <f aca="false">S1912/(1-Resumo!$C$5)</f>
        <v>155.468636363636</v>
      </c>
      <c r="U1912" s="39" t="n">
        <v>166.05</v>
      </c>
      <c r="V1912" s="39" t="n">
        <f aca="false">J1912*Resumo!$B$6</f>
        <v>0.72</v>
      </c>
      <c r="W1912" s="39" t="n">
        <f aca="false">J1912*Resumo!$B$7</f>
        <v>1.44</v>
      </c>
      <c r="X1912" s="39" t="n">
        <f aca="false">Resumo!$B$9</f>
        <v>1</v>
      </c>
      <c r="Y1912" s="39" t="n">
        <f aca="false">Resumo!$B$10*CEILING(I1912/100,1)</f>
        <v>4.5</v>
      </c>
      <c r="Z1912" s="39" t="n">
        <f aca="false">Resumo!$B$12*CEILING(I1912,1)</f>
        <v>4.08</v>
      </c>
      <c r="AA1912" s="39" t="n">
        <f aca="false">Resumo!$B$13*CEILING(I1912,1)</f>
        <v>30.6</v>
      </c>
      <c r="AB1912" s="39" t="n">
        <f aca="false">SUM(U1912:AA1912)</f>
        <v>208.39</v>
      </c>
      <c r="AC1912" s="39" t="n">
        <f aca="false">AB1912/(1-Resumo!$B$5)</f>
        <v>236.806818181818</v>
      </c>
      <c r="AD1912" s="39" t="n">
        <f aca="false">(AB1912-AA1912)/(1-Resumo!$B$5)</f>
        <v>202.034090909091</v>
      </c>
      <c r="AE1912" s="39" t="n">
        <f aca="false">AC1912-T1912</f>
        <v>81.3381818181818</v>
      </c>
      <c r="AF1912" s="40" t="n">
        <f aca="false">AC1912/T1912-1</f>
        <v>0.523180647368221</v>
      </c>
      <c r="AG1912" s="37" t="str">
        <f aca="false">IF(AC1912&lt;T1912,"SIM","NÃO")</f>
        <v>NÃO</v>
      </c>
      <c r="AH1912" s="37" t="n">
        <v>13</v>
      </c>
      <c r="AI1912" s="37" t="n">
        <v>10</v>
      </c>
      <c r="AJ1912" s="37" t="s">
        <v>323</v>
      </c>
    </row>
    <row r="1913" customFormat="false" ht="15" hidden="false" customHeight="false" outlineLevel="0" collapsed="false">
      <c r="A1913" s="37" t="n">
        <v>396290456</v>
      </c>
      <c r="B1913" s="38" t="n">
        <v>46283.6419560185</v>
      </c>
      <c r="C1913" s="37" t="s">
        <v>320</v>
      </c>
      <c r="D1913" s="37" t="s">
        <v>2045</v>
      </c>
      <c r="E1913" s="37" t="n">
        <v>23032780</v>
      </c>
      <c r="F1913" s="37" t="s">
        <v>139</v>
      </c>
      <c r="G1913" s="37" t="s">
        <v>198</v>
      </c>
      <c r="H1913" s="37" t="s">
        <v>168</v>
      </c>
      <c r="I1913" s="37" t="n">
        <v>29.2</v>
      </c>
      <c r="J1913" s="39" t="n">
        <v>429.99</v>
      </c>
      <c r="K1913" s="37" t="s">
        <v>322</v>
      </c>
      <c r="L1913" s="39" t="n">
        <v>82.39</v>
      </c>
      <c r="M1913" s="39" t="n">
        <v>54.1</v>
      </c>
      <c r="N1913" s="39" t="n">
        <f aca="false">J1913*Resumo!$C$7</f>
        <v>0.85998</v>
      </c>
      <c r="O1913" s="39" t="n">
        <f aca="false">J1913*Resumo!$C$8</f>
        <v>0.85998</v>
      </c>
      <c r="P1913" s="39" t="n">
        <f aca="false">Resumo!$C$10*CEILING(I1913/100,1)</f>
        <v>1</v>
      </c>
      <c r="Q1913" s="39" t="n">
        <f aca="false">Resumo!$C$9</f>
        <v>11.9</v>
      </c>
      <c r="R1913" s="39" t="n">
        <f aca="false">SUM(M1913:Q1913)*Resumo!$C$11</f>
        <v>3.7795978</v>
      </c>
      <c r="S1913" s="39" t="n">
        <f aca="false">SUM(M1913:R1913)</f>
        <v>72.4995578</v>
      </c>
      <c r="T1913" s="39" t="n">
        <f aca="false">S1913/(1-Resumo!$C$5)</f>
        <v>82.3858611363636</v>
      </c>
      <c r="U1913" s="39" t="n">
        <v>82.21</v>
      </c>
      <c r="V1913" s="39" t="n">
        <f aca="false">J1913*Resumo!$B$6</f>
        <v>0.42999</v>
      </c>
      <c r="W1913" s="39" t="n">
        <f aca="false">J1913*Resumo!$B$7</f>
        <v>0.85998</v>
      </c>
      <c r="X1913" s="39" t="n">
        <f aca="false">Resumo!$B$9</f>
        <v>1</v>
      </c>
      <c r="Y1913" s="39" t="n">
        <f aca="false">Resumo!$B$10*CEILING(I1913/100,1)</f>
        <v>4.5</v>
      </c>
      <c r="Z1913" s="39" t="n">
        <f aca="false">Resumo!$B$12*CEILING(I1913,1)</f>
        <v>1.8</v>
      </c>
      <c r="AA1913" s="39" t="n">
        <f aca="false">Resumo!$B$13*CEILING(I1913,1)</f>
        <v>13.5</v>
      </c>
      <c r="AB1913" s="39" t="n">
        <f aca="false">SUM(U1913:AA1913)</f>
        <v>104.29997</v>
      </c>
      <c r="AC1913" s="39" t="n">
        <f aca="false">AB1913/(1-Resumo!$B$5)</f>
        <v>118.522693181818</v>
      </c>
      <c r="AD1913" s="39" t="n">
        <f aca="false">(AB1913-AA1913)/(1-Resumo!$B$5)</f>
        <v>103.181784090909</v>
      </c>
      <c r="AE1913" s="39" t="n">
        <f aca="false">AC1913-T1913</f>
        <v>36.1368320454545</v>
      </c>
      <c r="AF1913" s="40" t="n">
        <f aca="false">AC1913/T1913-1</f>
        <v>0.438629050507119</v>
      </c>
      <c r="AG1913" s="37" t="str">
        <f aca="false">IF(AC1913&lt;T1913,"SIM","NÃO")</f>
        <v>NÃO</v>
      </c>
      <c r="AH1913" s="37" t="n">
        <v>8</v>
      </c>
      <c r="AI1913" s="37" t="n">
        <v>5</v>
      </c>
      <c r="AJ1913" s="37" t="s">
        <v>323</v>
      </c>
    </row>
    <row r="1914" customFormat="false" ht="15" hidden="false" customHeight="false" outlineLevel="0" collapsed="false">
      <c r="A1914" s="37" t="n">
        <v>396324931</v>
      </c>
      <c r="B1914" s="38" t="n">
        <v>46283.7087962963</v>
      </c>
      <c r="C1914" s="37" t="s">
        <v>325</v>
      </c>
      <c r="D1914" s="37" t="s">
        <v>2046</v>
      </c>
      <c r="E1914" s="37" t="n">
        <v>23030360</v>
      </c>
      <c r="F1914" s="37" t="s">
        <v>139</v>
      </c>
      <c r="G1914" s="37" t="s">
        <v>198</v>
      </c>
      <c r="H1914" s="37" t="s">
        <v>172</v>
      </c>
      <c r="I1914" s="37" t="n">
        <v>66.8</v>
      </c>
      <c r="J1914" s="39" t="n">
        <v>691.9</v>
      </c>
      <c r="K1914" s="37" t="s">
        <v>322</v>
      </c>
      <c r="L1914" s="39" t="n">
        <v>124.51</v>
      </c>
      <c r="M1914" s="39" t="n">
        <v>88.2</v>
      </c>
      <c r="N1914" s="39" t="n">
        <f aca="false">J1914*Resumo!$C$7</f>
        <v>1.3838</v>
      </c>
      <c r="O1914" s="39" t="n">
        <f aca="false">J1914*Resumo!$C$8</f>
        <v>1.3838</v>
      </c>
      <c r="P1914" s="39" t="n">
        <f aca="false">Resumo!$C$10*CEILING(I1914/100,1)</f>
        <v>1</v>
      </c>
      <c r="Q1914" s="39" t="n">
        <f aca="false">Resumo!$C$9</f>
        <v>11.9</v>
      </c>
      <c r="R1914" s="39" t="n">
        <f aca="false">SUM(M1914:Q1914)*Resumo!$C$11</f>
        <v>5.712718</v>
      </c>
      <c r="S1914" s="39" t="n">
        <f aca="false">SUM(M1914:R1914)</f>
        <v>109.580318</v>
      </c>
      <c r="T1914" s="39" t="n">
        <f aca="false">S1914/(1-Resumo!$C$5)</f>
        <v>124.523088636364</v>
      </c>
      <c r="U1914" s="39" t="n">
        <v>131.02</v>
      </c>
      <c r="V1914" s="39" t="n">
        <f aca="false">J1914*Resumo!$B$6</f>
        <v>0.6919</v>
      </c>
      <c r="W1914" s="39" t="n">
        <f aca="false">J1914*Resumo!$B$7</f>
        <v>1.3838</v>
      </c>
      <c r="X1914" s="39" t="n">
        <f aca="false">Resumo!$B$9</f>
        <v>1</v>
      </c>
      <c r="Y1914" s="39" t="n">
        <f aca="false">Resumo!$B$10*CEILING(I1914/100,1)</f>
        <v>4.5</v>
      </c>
      <c r="Z1914" s="39" t="n">
        <f aca="false">Resumo!$B$12*CEILING(I1914,1)</f>
        <v>4.02</v>
      </c>
      <c r="AA1914" s="39" t="n">
        <f aca="false">Resumo!$B$13*CEILING(I1914,1)</f>
        <v>30.15</v>
      </c>
      <c r="AB1914" s="39" t="n">
        <f aca="false">SUM(U1914:AA1914)</f>
        <v>172.7657</v>
      </c>
      <c r="AC1914" s="39" t="n">
        <f aca="false">AB1914/(1-Resumo!$B$5)</f>
        <v>196.324659090909</v>
      </c>
      <c r="AD1914" s="39" t="n">
        <f aca="false">(AB1914-AA1914)/(1-Resumo!$B$5)</f>
        <v>162.063295454545</v>
      </c>
      <c r="AE1914" s="39" t="n">
        <f aca="false">AC1914-T1914</f>
        <v>71.8015704545455</v>
      </c>
      <c r="AF1914" s="40" t="n">
        <f aca="false">AC1914/T1914-1</f>
        <v>0.576612508096573</v>
      </c>
      <c r="AG1914" s="37" t="str">
        <f aca="false">IF(AC1914&lt;T1914,"SIM","NÃO")</f>
        <v>NÃO</v>
      </c>
      <c r="AH1914" s="37" t="n">
        <v>8</v>
      </c>
      <c r="AI1914" s="37" t="n">
        <v>5</v>
      </c>
      <c r="AJ1914" s="37" t="s">
        <v>323</v>
      </c>
    </row>
    <row r="1915" customFormat="false" ht="15" hidden="false" customHeight="false" outlineLevel="0" collapsed="false">
      <c r="A1915" s="37" t="n">
        <v>396359410</v>
      </c>
      <c r="B1915" s="38" t="n">
        <v>46283.7637615741</v>
      </c>
      <c r="C1915" s="37" t="s">
        <v>320</v>
      </c>
      <c r="D1915" s="37" t="s">
        <v>2047</v>
      </c>
      <c r="E1915" s="37" t="n">
        <v>27323340</v>
      </c>
      <c r="F1915" s="37" t="s">
        <v>233</v>
      </c>
      <c r="G1915" s="37" t="s">
        <v>201</v>
      </c>
      <c r="H1915" s="37" t="s">
        <v>171</v>
      </c>
      <c r="I1915" s="37" t="n">
        <v>60</v>
      </c>
      <c r="J1915" s="39" t="n">
        <v>762.34</v>
      </c>
      <c r="K1915" s="37" t="s">
        <v>322</v>
      </c>
      <c r="L1915" s="39" t="n">
        <v>143.31</v>
      </c>
      <c r="M1915" s="39" t="n">
        <v>103.6</v>
      </c>
      <c r="N1915" s="39" t="n">
        <f aca="false">J1915*Resumo!$C$7</f>
        <v>1.52468</v>
      </c>
      <c r="O1915" s="39" t="n">
        <f aca="false">J1915*Resumo!$C$8</f>
        <v>1.52468</v>
      </c>
      <c r="P1915" s="39" t="n">
        <f aca="false">Resumo!$C$10*CEILING(I1915/100,1)</f>
        <v>1</v>
      </c>
      <c r="Q1915" s="39" t="n">
        <f aca="false">Resumo!$C$9</f>
        <v>11.9</v>
      </c>
      <c r="R1915" s="39" t="n">
        <f aca="false">SUM(M1915:Q1915)*Resumo!$C$11</f>
        <v>6.5752148</v>
      </c>
      <c r="S1915" s="39" t="n">
        <f aca="false">SUM(M1915:R1915)</f>
        <v>126.1245748</v>
      </c>
      <c r="T1915" s="39" t="n">
        <f aca="false">S1915/(1-Resumo!$C$5)</f>
        <v>143.323380454545</v>
      </c>
      <c r="U1915" s="39" t="n">
        <v>142.32</v>
      </c>
      <c r="V1915" s="39" t="n">
        <f aca="false">J1915*Resumo!$B$6</f>
        <v>0.76234</v>
      </c>
      <c r="W1915" s="39" t="n">
        <f aca="false">J1915*Resumo!$B$7</f>
        <v>1.52468</v>
      </c>
      <c r="X1915" s="39" t="n">
        <f aca="false">Resumo!$B$9</f>
        <v>1</v>
      </c>
      <c r="Y1915" s="39" t="n">
        <f aca="false">Resumo!$B$10*CEILING(I1915/100,1)</f>
        <v>4.5</v>
      </c>
      <c r="Z1915" s="39" t="n">
        <f aca="false">Resumo!$B$12*CEILING(I1915,1)</f>
        <v>3.6</v>
      </c>
      <c r="AA1915" s="39" t="n">
        <f aca="false">Resumo!$B$13*CEILING(I1915,1)</f>
        <v>27</v>
      </c>
      <c r="AB1915" s="39" t="n">
        <f aca="false">SUM(U1915:AA1915)</f>
        <v>180.70702</v>
      </c>
      <c r="AC1915" s="39" t="n">
        <f aca="false">AB1915/(1-Resumo!$B$5)</f>
        <v>205.348886363636</v>
      </c>
      <c r="AD1915" s="39" t="n">
        <f aca="false">(AB1915-AA1915)/(1-Resumo!$B$5)</f>
        <v>174.667068181818</v>
      </c>
      <c r="AE1915" s="39" t="n">
        <f aca="false">AC1915-T1915</f>
        <v>62.0255059090909</v>
      </c>
      <c r="AF1915" s="40" t="n">
        <f aca="false">AC1915/T1915-1</f>
        <v>0.432766138451236</v>
      </c>
      <c r="AG1915" s="37" t="str">
        <f aca="false">IF(AC1915&lt;T1915,"SIM","NÃO")</f>
        <v>NÃO</v>
      </c>
      <c r="AH1915" s="37" t="n">
        <v>13</v>
      </c>
      <c r="AI1915" s="37" t="n">
        <v>10</v>
      </c>
      <c r="AJ1915" s="37" t="s">
        <v>327</v>
      </c>
    </row>
    <row r="1916" customFormat="false" ht="15" hidden="false" customHeight="false" outlineLevel="0" collapsed="false">
      <c r="A1916" s="37" t="n">
        <v>396369019</v>
      </c>
      <c r="B1916" s="38" t="n">
        <v>46283.781724537</v>
      </c>
      <c r="C1916" s="37" t="s">
        <v>320</v>
      </c>
      <c r="D1916" s="37" t="s">
        <v>2048</v>
      </c>
      <c r="E1916" s="37" t="n">
        <v>21941598</v>
      </c>
      <c r="F1916" s="37" t="s">
        <v>139</v>
      </c>
      <c r="G1916" s="37" t="s">
        <v>198</v>
      </c>
      <c r="H1916" s="37" t="s">
        <v>168</v>
      </c>
      <c r="I1916" s="37" t="n">
        <v>27.5</v>
      </c>
      <c r="J1916" s="39" t="n">
        <v>332.86</v>
      </c>
      <c r="K1916" s="37" t="s">
        <v>322</v>
      </c>
      <c r="L1916" s="39" t="n">
        <v>81.93</v>
      </c>
      <c r="M1916" s="39" t="n">
        <v>54.1</v>
      </c>
      <c r="N1916" s="39" t="n">
        <f aca="false">J1916*Resumo!$C$7</f>
        <v>0.66572</v>
      </c>
      <c r="O1916" s="39" t="n">
        <f aca="false">J1916*Resumo!$C$8</f>
        <v>0.66572</v>
      </c>
      <c r="P1916" s="39" t="n">
        <f aca="false">Resumo!$C$10*CEILING(I1916/100,1)</f>
        <v>1</v>
      </c>
      <c r="Q1916" s="39" t="n">
        <f aca="false">Resumo!$C$9</f>
        <v>11.9</v>
      </c>
      <c r="R1916" s="39" t="n">
        <f aca="false">SUM(M1916:Q1916)*Resumo!$C$11</f>
        <v>3.7582292</v>
      </c>
      <c r="S1916" s="39" t="n">
        <f aca="false">SUM(M1916:R1916)</f>
        <v>72.0896692</v>
      </c>
      <c r="T1916" s="39" t="n">
        <f aca="false">S1916/(1-Resumo!$C$5)</f>
        <v>81.9200786363636</v>
      </c>
      <c r="U1916" s="39" t="n">
        <v>82.21</v>
      </c>
      <c r="V1916" s="39" t="n">
        <f aca="false">J1916*Resumo!$B$6</f>
        <v>0.33286</v>
      </c>
      <c r="W1916" s="39" t="n">
        <f aca="false">J1916*Resumo!$B$7</f>
        <v>0.66572</v>
      </c>
      <c r="X1916" s="39" t="n">
        <f aca="false">Resumo!$B$9</f>
        <v>1</v>
      </c>
      <c r="Y1916" s="39" t="n">
        <f aca="false">Resumo!$B$10*CEILING(I1916/100,1)</f>
        <v>4.5</v>
      </c>
      <c r="Z1916" s="39" t="n">
        <f aca="false">Resumo!$B$12*CEILING(I1916,1)</f>
        <v>1.68</v>
      </c>
      <c r="AA1916" s="39" t="n">
        <f aca="false">Resumo!$B$13*CEILING(I1916,1)</f>
        <v>12.6</v>
      </c>
      <c r="AB1916" s="39" t="n">
        <f aca="false">SUM(U1916:AA1916)</f>
        <v>102.98858</v>
      </c>
      <c r="AC1916" s="39" t="n">
        <f aca="false">AB1916/(1-Resumo!$B$5)</f>
        <v>117.032477272727</v>
      </c>
      <c r="AD1916" s="39" t="n">
        <f aca="false">(AB1916-AA1916)/(1-Resumo!$B$5)</f>
        <v>102.714295454545</v>
      </c>
      <c r="AE1916" s="39" t="n">
        <f aca="false">AC1916-T1916</f>
        <v>35.1123986363636</v>
      </c>
      <c r="AF1916" s="40" t="n">
        <f aca="false">AC1916/T1916-1</f>
        <v>0.42861773597929</v>
      </c>
      <c r="AG1916" s="37" t="str">
        <f aca="false">IF(AC1916&lt;T1916,"SIM","NÃO")</f>
        <v>NÃO</v>
      </c>
      <c r="AH1916" s="37" t="n">
        <v>8</v>
      </c>
      <c r="AI1916" s="37" t="n">
        <v>5</v>
      </c>
      <c r="AJ1916" s="37" t="s">
        <v>323</v>
      </c>
    </row>
    <row r="1917" customFormat="false" ht="15" hidden="false" customHeight="false" outlineLevel="0" collapsed="false">
      <c r="A1917" s="37" t="n">
        <v>396406947</v>
      </c>
      <c r="B1917" s="38" t="n">
        <v>46283.8301388889</v>
      </c>
      <c r="C1917" s="37" t="s">
        <v>517</v>
      </c>
      <c r="D1917" s="37" t="s">
        <v>2049</v>
      </c>
      <c r="E1917" s="37" t="n">
        <v>26275580</v>
      </c>
      <c r="F1917" s="37" t="s">
        <v>142</v>
      </c>
      <c r="G1917" s="37" t="s">
        <v>207</v>
      </c>
      <c r="H1917" s="37" t="s">
        <v>171</v>
      </c>
      <c r="I1917" s="37" t="n">
        <v>52.3</v>
      </c>
      <c r="J1917" s="39" t="n">
        <v>620.49</v>
      </c>
      <c r="K1917" s="37" t="s">
        <v>322</v>
      </c>
      <c r="L1917" s="39" t="n">
        <v>128.25</v>
      </c>
      <c r="M1917" s="39" t="n">
        <v>91.6</v>
      </c>
      <c r="N1917" s="39" t="n">
        <f aca="false">J1917*Resumo!$C$7</f>
        <v>1.24098</v>
      </c>
      <c r="O1917" s="39" t="n">
        <f aca="false">J1917*Resumo!$C$8</f>
        <v>1.24098</v>
      </c>
      <c r="P1917" s="39" t="n">
        <f aca="false">Resumo!$C$10*CEILING(I1917/100,1)</f>
        <v>1</v>
      </c>
      <c r="Q1917" s="39" t="n">
        <f aca="false">Resumo!$C$9</f>
        <v>11.9</v>
      </c>
      <c r="R1917" s="39" t="n">
        <f aca="false">SUM(M1917:Q1917)*Resumo!$C$11</f>
        <v>5.8840078</v>
      </c>
      <c r="S1917" s="39" t="n">
        <f aca="false">SUM(M1917:R1917)</f>
        <v>112.8659678</v>
      </c>
      <c r="T1917" s="39" t="n">
        <f aca="false">S1917/(1-Resumo!$C$5)</f>
        <v>128.256781590909</v>
      </c>
      <c r="U1917" s="39" t="n">
        <v>112.3</v>
      </c>
      <c r="V1917" s="39" t="n">
        <f aca="false">J1917*Resumo!$B$6</f>
        <v>0.62049</v>
      </c>
      <c r="W1917" s="39" t="n">
        <f aca="false">J1917*Resumo!$B$7</f>
        <v>1.24098</v>
      </c>
      <c r="X1917" s="39" t="n">
        <f aca="false">Resumo!$B$9</f>
        <v>1</v>
      </c>
      <c r="Y1917" s="39" t="n">
        <f aca="false">Resumo!$B$10*CEILING(I1917/100,1)</f>
        <v>4.5</v>
      </c>
      <c r="Z1917" s="39" t="n">
        <f aca="false">Resumo!$B$12*CEILING(I1917,1)</f>
        <v>3.18</v>
      </c>
      <c r="AA1917" s="39" t="n">
        <f aca="false">Resumo!$B$13*CEILING(I1917,1)</f>
        <v>23.85</v>
      </c>
      <c r="AB1917" s="39" t="n">
        <f aca="false">SUM(U1917:AA1917)</f>
        <v>146.69147</v>
      </c>
      <c r="AC1917" s="39" t="n">
        <f aca="false">AB1917/(1-Resumo!$B$5)</f>
        <v>166.694852272727</v>
      </c>
      <c r="AD1917" s="39" t="n">
        <f aca="false">(AB1917-AA1917)/(1-Resumo!$B$5)</f>
        <v>139.592579545455</v>
      </c>
      <c r="AE1917" s="39" t="n">
        <f aca="false">AC1917-T1917</f>
        <v>38.4380706818182</v>
      </c>
      <c r="AF1917" s="40" t="n">
        <f aca="false">AC1917/T1917-1</f>
        <v>0.299696204793452</v>
      </c>
      <c r="AG1917" s="37" t="str">
        <f aca="false">IF(AC1917&lt;T1917,"SIM","NÃO")</f>
        <v>NÃO</v>
      </c>
      <c r="AH1917" s="37" t="n">
        <v>10</v>
      </c>
      <c r="AI1917" s="37" t="n">
        <v>5</v>
      </c>
      <c r="AJ1917" s="37" t="s">
        <v>323</v>
      </c>
    </row>
    <row r="1918" customFormat="false" ht="15" hidden="false" customHeight="false" outlineLevel="0" collapsed="false">
      <c r="A1918" s="37" t="n">
        <v>396421064</v>
      </c>
      <c r="B1918" s="38" t="n">
        <v>46283.8767476852</v>
      </c>
      <c r="C1918" s="37" t="s">
        <v>320</v>
      </c>
      <c r="D1918" s="37" t="s">
        <v>2050</v>
      </c>
      <c r="E1918" s="37" t="n">
        <v>23914250</v>
      </c>
      <c r="F1918" s="37" t="s">
        <v>149</v>
      </c>
      <c r="G1918" s="37" t="s">
        <v>201</v>
      </c>
      <c r="H1918" s="37" t="s">
        <v>169</v>
      </c>
      <c r="I1918" s="37" t="n">
        <v>40</v>
      </c>
      <c r="J1918" s="39" t="n">
        <v>562.42</v>
      </c>
      <c r="K1918" s="37" t="s">
        <v>322</v>
      </c>
      <c r="L1918" s="39" t="n">
        <v>122.93</v>
      </c>
      <c r="M1918" s="39" t="n">
        <v>87.4</v>
      </c>
      <c r="N1918" s="39" t="n">
        <f aca="false">J1918*Resumo!$C$7</f>
        <v>1.12484</v>
      </c>
      <c r="O1918" s="39" t="n">
        <f aca="false">J1918*Resumo!$C$8</f>
        <v>1.12484</v>
      </c>
      <c r="P1918" s="39" t="n">
        <f aca="false">Resumo!$C$10*CEILING(I1918/100,1)</f>
        <v>1</v>
      </c>
      <c r="Q1918" s="39" t="n">
        <f aca="false">Resumo!$C$9</f>
        <v>11.9</v>
      </c>
      <c r="R1918" s="39" t="n">
        <f aca="false">SUM(M1918:Q1918)*Resumo!$C$11</f>
        <v>5.6402324</v>
      </c>
      <c r="S1918" s="39" t="n">
        <f aca="false">SUM(M1918:R1918)</f>
        <v>108.1899124</v>
      </c>
      <c r="T1918" s="39" t="n">
        <f aca="false">S1918/(1-Resumo!$C$5)</f>
        <v>122.943082272727</v>
      </c>
      <c r="U1918" s="39" t="n">
        <v>124.38</v>
      </c>
      <c r="V1918" s="39" t="n">
        <f aca="false">J1918*Resumo!$B$6</f>
        <v>0.56242</v>
      </c>
      <c r="W1918" s="39" t="n">
        <f aca="false">J1918*Resumo!$B$7</f>
        <v>1.12484</v>
      </c>
      <c r="X1918" s="39" t="n">
        <f aca="false">Resumo!$B$9</f>
        <v>1</v>
      </c>
      <c r="Y1918" s="39" t="n">
        <f aca="false">Resumo!$B$10*CEILING(I1918/100,1)</f>
        <v>4.5</v>
      </c>
      <c r="Z1918" s="39" t="n">
        <f aca="false">Resumo!$B$12*CEILING(I1918,1)</f>
        <v>2.4</v>
      </c>
      <c r="AA1918" s="39" t="n">
        <f aca="false">Resumo!$B$13*CEILING(I1918,1)</f>
        <v>18</v>
      </c>
      <c r="AB1918" s="39" t="n">
        <f aca="false">SUM(U1918:AA1918)</f>
        <v>151.96726</v>
      </c>
      <c r="AC1918" s="39" t="n">
        <f aca="false">AB1918/(1-Resumo!$B$5)</f>
        <v>172.690068181818</v>
      </c>
      <c r="AD1918" s="39" t="n">
        <f aca="false">(AB1918-AA1918)/(1-Resumo!$B$5)</f>
        <v>152.235522727273</v>
      </c>
      <c r="AE1918" s="39" t="n">
        <f aca="false">AC1918-T1918</f>
        <v>49.7469859090909</v>
      </c>
      <c r="AF1918" s="40" t="n">
        <f aca="false">AC1918/T1918-1</f>
        <v>0.404634282706009</v>
      </c>
      <c r="AG1918" s="37" t="str">
        <f aca="false">IF(AC1918&lt;T1918,"SIM","NÃO")</f>
        <v>NÃO</v>
      </c>
      <c r="AH1918" s="37" t="n">
        <v>13</v>
      </c>
      <c r="AI1918" s="37" t="n">
        <v>10</v>
      </c>
      <c r="AJ1918" s="37" t="s">
        <v>323</v>
      </c>
    </row>
    <row r="1919" customFormat="false" ht="15" hidden="false" customHeight="false" outlineLevel="0" collapsed="false">
      <c r="A1919" s="37" t="n">
        <v>396429267</v>
      </c>
      <c r="B1919" s="38" t="n">
        <v>46283.8917824074</v>
      </c>
      <c r="C1919" s="37" t="s">
        <v>320</v>
      </c>
      <c r="D1919" s="37" t="s">
        <v>715</v>
      </c>
      <c r="E1919" s="37" t="n">
        <v>22031112</v>
      </c>
      <c r="F1919" s="37" t="s">
        <v>139</v>
      </c>
      <c r="G1919" s="37" t="s">
        <v>198</v>
      </c>
      <c r="H1919" s="37" t="s">
        <v>171</v>
      </c>
      <c r="I1919" s="37" t="n">
        <v>52.3</v>
      </c>
      <c r="J1919" s="39" t="n">
        <v>614.63</v>
      </c>
      <c r="K1919" s="37" t="s">
        <v>322</v>
      </c>
      <c r="L1919" s="39" t="n">
        <v>114.09</v>
      </c>
      <c r="M1919" s="39" t="n">
        <v>79.81</v>
      </c>
      <c r="N1919" s="39" t="n">
        <f aca="false">J1919*Resumo!$C$7</f>
        <v>1.22926</v>
      </c>
      <c r="O1919" s="39" t="n">
        <f aca="false">J1919*Resumo!$C$8</f>
        <v>1.22926</v>
      </c>
      <c r="P1919" s="39" t="n">
        <f aca="false">Resumo!$C$10*CEILING(I1919/100,1)</f>
        <v>1</v>
      </c>
      <c r="Q1919" s="39" t="n">
        <f aca="false">Resumo!$C$9</f>
        <v>11.9</v>
      </c>
      <c r="R1919" s="39" t="n">
        <f aca="false">SUM(M1919:Q1919)*Resumo!$C$11</f>
        <v>5.2342686</v>
      </c>
      <c r="S1919" s="39" t="n">
        <f aca="false">SUM(M1919:R1919)</f>
        <v>100.4027886</v>
      </c>
      <c r="T1919" s="39" t="n">
        <f aca="false">S1919/(1-Resumo!$C$5)</f>
        <v>114.094077954545</v>
      </c>
      <c r="U1919" s="39" t="n">
        <v>112.3</v>
      </c>
      <c r="V1919" s="39" t="n">
        <f aca="false">J1919*Resumo!$B$6</f>
        <v>0.61463</v>
      </c>
      <c r="W1919" s="39" t="n">
        <f aca="false">J1919*Resumo!$B$7</f>
        <v>1.22926</v>
      </c>
      <c r="X1919" s="39" t="n">
        <f aca="false">Resumo!$B$9</f>
        <v>1</v>
      </c>
      <c r="Y1919" s="39" t="n">
        <f aca="false">Resumo!$B$10*CEILING(I1919/100,1)</f>
        <v>4.5</v>
      </c>
      <c r="Z1919" s="39" t="n">
        <f aca="false">Resumo!$B$12*CEILING(I1919,1)</f>
        <v>3.18</v>
      </c>
      <c r="AA1919" s="39" t="n">
        <f aca="false">Resumo!$B$13*CEILING(I1919,1)</f>
        <v>23.85</v>
      </c>
      <c r="AB1919" s="39" t="n">
        <f aca="false">SUM(U1919:AA1919)</f>
        <v>146.67389</v>
      </c>
      <c r="AC1919" s="39" t="n">
        <f aca="false">AB1919/(1-Resumo!$B$5)</f>
        <v>166.674875</v>
      </c>
      <c r="AD1919" s="39" t="n">
        <f aca="false">(AB1919-AA1919)/(1-Resumo!$B$5)</f>
        <v>139.572602272727</v>
      </c>
      <c r="AE1919" s="39" t="n">
        <f aca="false">AC1919-T1919</f>
        <v>52.5807970454545</v>
      </c>
      <c r="AF1919" s="40" t="n">
        <f aca="false">AC1919/T1919-1</f>
        <v>0.460854743630099</v>
      </c>
      <c r="AG1919" s="37" t="str">
        <f aca="false">IF(AC1919&lt;T1919,"SIM","NÃO")</f>
        <v>NÃO</v>
      </c>
      <c r="AH1919" s="37" t="n">
        <v>8</v>
      </c>
      <c r="AI1919" s="37" t="n">
        <v>5</v>
      </c>
      <c r="AJ1919" s="37" t="s">
        <v>323</v>
      </c>
    </row>
    <row r="1920" customFormat="false" ht="15" hidden="false" customHeight="false" outlineLevel="0" collapsed="false">
      <c r="A1920" s="37" t="n">
        <v>396445921</v>
      </c>
      <c r="B1920" s="38" t="n">
        <v>46283.906087963</v>
      </c>
      <c r="C1920" s="37" t="s">
        <v>517</v>
      </c>
      <c r="D1920" s="37" t="s">
        <v>2051</v>
      </c>
      <c r="E1920" s="37" t="n">
        <v>22610095</v>
      </c>
      <c r="F1920" s="37" t="s">
        <v>139</v>
      </c>
      <c r="G1920" s="37" t="s">
        <v>198</v>
      </c>
      <c r="H1920" s="37" t="s">
        <v>168</v>
      </c>
      <c r="I1920" s="37" t="n">
        <v>21.75</v>
      </c>
      <c r="J1920" s="39" t="n">
        <v>329.99</v>
      </c>
      <c r="K1920" s="37" t="s">
        <v>322</v>
      </c>
      <c r="L1920" s="39" t="n">
        <v>81.91</v>
      </c>
      <c r="M1920" s="39" t="n">
        <v>54.1</v>
      </c>
      <c r="N1920" s="39" t="n">
        <f aca="false">J1920*Resumo!$C$7</f>
        <v>0.65998</v>
      </c>
      <c r="O1920" s="39" t="n">
        <f aca="false">J1920*Resumo!$C$8</f>
        <v>0.65998</v>
      </c>
      <c r="P1920" s="39" t="n">
        <f aca="false">Resumo!$C$10*CEILING(I1920/100,1)</f>
        <v>1</v>
      </c>
      <c r="Q1920" s="39" t="n">
        <f aca="false">Resumo!$C$9</f>
        <v>11.9</v>
      </c>
      <c r="R1920" s="39" t="n">
        <f aca="false">SUM(M1920:Q1920)*Resumo!$C$11</f>
        <v>3.7575978</v>
      </c>
      <c r="S1920" s="39" t="n">
        <f aca="false">SUM(M1920:R1920)</f>
        <v>72.0775578</v>
      </c>
      <c r="T1920" s="39" t="n">
        <f aca="false">S1920/(1-Resumo!$C$5)</f>
        <v>81.9063156818182</v>
      </c>
      <c r="U1920" s="39" t="n">
        <v>82.21</v>
      </c>
      <c r="V1920" s="39" t="n">
        <f aca="false">J1920*Resumo!$B$6</f>
        <v>0.32999</v>
      </c>
      <c r="W1920" s="39" t="n">
        <f aca="false">J1920*Resumo!$B$7</f>
        <v>0.65998</v>
      </c>
      <c r="X1920" s="39" t="n">
        <f aca="false">Resumo!$B$9</f>
        <v>1</v>
      </c>
      <c r="Y1920" s="39" t="n">
        <f aca="false">Resumo!$B$10*CEILING(I1920/100,1)</f>
        <v>4.5</v>
      </c>
      <c r="Z1920" s="39" t="n">
        <f aca="false">Resumo!$B$12*CEILING(I1920,1)</f>
        <v>1.32</v>
      </c>
      <c r="AA1920" s="39" t="n">
        <f aca="false">Resumo!$B$13*CEILING(I1920,1)</f>
        <v>9.9</v>
      </c>
      <c r="AB1920" s="39" t="n">
        <f aca="false">SUM(U1920:AA1920)</f>
        <v>99.91997</v>
      </c>
      <c r="AC1920" s="39" t="n">
        <f aca="false">AB1920/(1-Resumo!$B$5)</f>
        <v>113.545420454545</v>
      </c>
      <c r="AD1920" s="39" t="n">
        <f aca="false">(AB1920-AA1920)/(1-Resumo!$B$5)</f>
        <v>102.295420454545</v>
      </c>
      <c r="AE1920" s="39" t="n">
        <f aca="false">AC1920-T1920</f>
        <v>31.6391047727273</v>
      </c>
      <c r="AF1920" s="40" t="n">
        <f aca="false">AC1920/T1920-1</f>
        <v>0.386284067466004</v>
      </c>
      <c r="AG1920" s="37" t="str">
        <f aca="false">IF(AC1920&lt;T1920,"SIM","NÃO")</f>
        <v>NÃO</v>
      </c>
      <c r="AH1920" s="37" t="n">
        <v>8</v>
      </c>
      <c r="AI1920" s="37" t="n">
        <v>5</v>
      </c>
      <c r="AJ1920" s="37" t="s">
        <v>323</v>
      </c>
    </row>
    <row r="1921" customFormat="false" ht="15" hidden="false" customHeight="false" outlineLevel="0" collapsed="false">
      <c r="A1921" s="37" t="n">
        <v>396438599</v>
      </c>
      <c r="B1921" s="38" t="n">
        <v>46283.9089930556</v>
      </c>
      <c r="C1921" s="37" t="s">
        <v>325</v>
      </c>
      <c r="D1921" s="37" t="s">
        <v>2052</v>
      </c>
      <c r="E1921" s="37" t="n">
        <v>26585400</v>
      </c>
      <c r="F1921" s="37" t="s">
        <v>155</v>
      </c>
      <c r="G1921" s="37" t="s">
        <v>207</v>
      </c>
      <c r="H1921" s="37" t="s">
        <v>170</v>
      </c>
      <c r="I1921" s="37" t="n">
        <v>48</v>
      </c>
      <c r="J1921" s="39" t="n">
        <v>828.99</v>
      </c>
      <c r="K1921" s="37" t="s">
        <v>322</v>
      </c>
      <c r="L1921" s="39" t="n">
        <v>118.06</v>
      </c>
      <c r="M1921" s="39" t="n">
        <v>82.25</v>
      </c>
      <c r="N1921" s="39" t="n">
        <f aca="false">J1921*Resumo!$C$7</f>
        <v>1.65798</v>
      </c>
      <c r="O1921" s="39" t="n">
        <f aca="false">J1921*Resumo!$C$8</f>
        <v>1.65798</v>
      </c>
      <c r="P1921" s="39" t="n">
        <f aca="false">Resumo!$C$10*CEILING(I1921/100,1)</f>
        <v>1</v>
      </c>
      <c r="Q1921" s="39" t="n">
        <f aca="false">Resumo!$C$9</f>
        <v>11.9</v>
      </c>
      <c r="R1921" s="39" t="n">
        <f aca="false">SUM(M1921:Q1921)*Resumo!$C$11</f>
        <v>5.4156278</v>
      </c>
      <c r="S1921" s="39" t="n">
        <f aca="false">SUM(M1921:R1921)</f>
        <v>103.8815878</v>
      </c>
      <c r="T1921" s="39" t="n">
        <f aca="false">S1921/(1-Resumo!$C$5)</f>
        <v>118.047258863636</v>
      </c>
      <c r="U1921" s="39" t="n">
        <v>93.97</v>
      </c>
      <c r="V1921" s="39" t="n">
        <f aca="false">J1921*Resumo!$B$6</f>
        <v>0.82899</v>
      </c>
      <c r="W1921" s="39" t="n">
        <f aca="false">J1921*Resumo!$B$7</f>
        <v>1.65798</v>
      </c>
      <c r="X1921" s="39" t="n">
        <f aca="false">Resumo!$B$9</f>
        <v>1</v>
      </c>
      <c r="Y1921" s="39" t="n">
        <f aca="false">Resumo!$B$10*CEILING(I1921/100,1)</f>
        <v>4.5</v>
      </c>
      <c r="Z1921" s="39" t="n">
        <f aca="false">Resumo!$B$12*CEILING(I1921,1)</f>
        <v>2.88</v>
      </c>
      <c r="AA1921" s="39" t="n">
        <f aca="false">Resumo!$B$13*CEILING(I1921,1)</f>
        <v>21.6</v>
      </c>
      <c r="AB1921" s="39" t="n">
        <f aca="false">SUM(U1921:AA1921)</f>
        <v>126.43697</v>
      </c>
      <c r="AC1921" s="39" t="n">
        <f aca="false">AB1921/(1-Resumo!$B$5)</f>
        <v>143.678375</v>
      </c>
      <c r="AD1921" s="39" t="n">
        <f aca="false">(AB1921-AA1921)/(1-Resumo!$B$5)</f>
        <v>119.132920454545</v>
      </c>
      <c r="AE1921" s="39" t="n">
        <f aca="false">AC1921-T1921</f>
        <v>25.6311161363636</v>
      </c>
      <c r="AF1921" s="40" t="n">
        <f aca="false">AC1921/T1921-1</f>
        <v>0.217125889945244</v>
      </c>
      <c r="AG1921" s="37" t="str">
        <f aca="false">IF(AC1921&lt;T1921,"SIM","NÃO")</f>
        <v>NÃO</v>
      </c>
      <c r="AH1921" s="37" t="n">
        <v>10</v>
      </c>
      <c r="AI1921" s="37" t="n">
        <v>5</v>
      </c>
      <c r="AJ1921" s="37" t="s">
        <v>323</v>
      </c>
    </row>
    <row r="1922" customFormat="false" ht="15" hidden="false" customHeight="false" outlineLevel="0" collapsed="false">
      <c r="A1922" s="37" t="n">
        <v>396443070</v>
      </c>
      <c r="B1922" s="38" t="n">
        <v>46283.917974537</v>
      </c>
      <c r="C1922" s="37" t="s">
        <v>320</v>
      </c>
      <c r="D1922" s="37" t="s">
        <v>2053</v>
      </c>
      <c r="E1922" s="37" t="n">
        <v>24475290</v>
      </c>
      <c r="F1922" s="37" t="s">
        <v>140</v>
      </c>
      <c r="G1922" s="37" t="s">
        <v>207</v>
      </c>
      <c r="H1922" s="37" t="s">
        <v>169</v>
      </c>
      <c r="I1922" s="37" t="n">
        <v>37.2</v>
      </c>
      <c r="J1922" s="39" t="n">
        <v>399.99</v>
      </c>
      <c r="K1922" s="37" t="s">
        <v>322</v>
      </c>
      <c r="L1922" s="39" t="n">
        <v>112.88</v>
      </c>
      <c r="M1922" s="39" t="n">
        <v>79.65</v>
      </c>
      <c r="N1922" s="39" t="n">
        <f aca="false">J1922*Resumo!$C$7</f>
        <v>0.79998</v>
      </c>
      <c r="O1922" s="39" t="n">
        <f aca="false">J1922*Resumo!$C$8</f>
        <v>0.79998</v>
      </c>
      <c r="P1922" s="39" t="n">
        <f aca="false">Resumo!$C$10*CEILING(I1922/100,1)</f>
        <v>1</v>
      </c>
      <c r="Q1922" s="39" t="n">
        <f aca="false">Resumo!$C$9</f>
        <v>11.9</v>
      </c>
      <c r="R1922" s="39" t="n">
        <f aca="false">SUM(M1922:Q1922)*Resumo!$C$11</f>
        <v>5.1782478</v>
      </c>
      <c r="S1922" s="39" t="n">
        <f aca="false">SUM(M1922:R1922)</f>
        <v>99.3282078</v>
      </c>
      <c r="T1922" s="39" t="n">
        <f aca="false">S1922/(1-Resumo!$C$5)</f>
        <v>112.872963409091</v>
      </c>
      <c r="U1922" s="39" t="n">
        <v>114.95</v>
      </c>
      <c r="V1922" s="39" t="n">
        <f aca="false">J1922*Resumo!$B$6</f>
        <v>0.39999</v>
      </c>
      <c r="W1922" s="39" t="n">
        <f aca="false">J1922*Resumo!$B$7</f>
        <v>0.79998</v>
      </c>
      <c r="X1922" s="39" t="n">
        <f aca="false">Resumo!$B$9</f>
        <v>1</v>
      </c>
      <c r="Y1922" s="39" t="n">
        <f aca="false">Resumo!$B$10*CEILING(I1922/100,1)</f>
        <v>4.5</v>
      </c>
      <c r="Z1922" s="39" t="n">
        <f aca="false">Resumo!$B$12*CEILING(I1922,1)</f>
        <v>2.28</v>
      </c>
      <c r="AA1922" s="39" t="n">
        <f aca="false">Resumo!$B$13*CEILING(I1922,1)</f>
        <v>17.1</v>
      </c>
      <c r="AB1922" s="39" t="n">
        <f aca="false">SUM(U1922:AA1922)</f>
        <v>141.02997</v>
      </c>
      <c r="AC1922" s="39" t="n">
        <f aca="false">AB1922/(1-Resumo!$B$5)</f>
        <v>160.261329545455</v>
      </c>
      <c r="AD1922" s="39" t="n">
        <f aca="false">(AB1922-AA1922)/(1-Resumo!$B$5)</f>
        <v>140.829511363636</v>
      </c>
      <c r="AE1922" s="39" t="n">
        <f aca="false">AC1922-T1922</f>
        <v>47.3883661363636</v>
      </c>
      <c r="AF1922" s="40" t="n">
        <f aca="false">AC1922/T1922-1</f>
        <v>0.419838061348772</v>
      </c>
      <c r="AG1922" s="37" t="str">
        <f aca="false">IF(AC1922&lt;T1922,"SIM","NÃO")</f>
        <v>NÃO</v>
      </c>
      <c r="AH1922" s="37" t="n">
        <v>10</v>
      </c>
      <c r="AI1922" s="37" t="n">
        <v>7</v>
      </c>
      <c r="AJ1922" s="37" t="s">
        <v>323</v>
      </c>
    </row>
    <row r="1923" customFormat="false" ht="15" hidden="false" customHeight="false" outlineLevel="0" collapsed="false">
      <c r="A1923" s="37" t="n">
        <v>396618673</v>
      </c>
      <c r="B1923" s="38" t="n">
        <v>46284.3352662037</v>
      </c>
      <c r="C1923" s="37" t="s">
        <v>325</v>
      </c>
      <c r="D1923" s="37" t="s">
        <v>1538</v>
      </c>
      <c r="E1923" s="37" t="n">
        <v>21770190</v>
      </c>
      <c r="F1923" s="37" t="s">
        <v>139</v>
      </c>
      <c r="G1923" s="37" t="s">
        <v>198</v>
      </c>
      <c r="H1923" s="37" t="s">
        <v>176</v>
      </c>
      <c r="I1923" s="37" t="n">
        <v>124.2</v>
      </c>
      <c r="J1923" s="39" t="n">
        <v>1475</v>
      </c>
      <c r="K1923" s="37" t="s">
        <v>322</v>
      </c>
      <c r="L1923" s="39" t="n">
        <v>233.36</v>
      </c>
      <c r="M1923" s="39" t="n">
        <v>174.85</v>
      </c>
      <c r="N1923" s="39" t="n">
        <f aca="false">J1923*Resumo!$C$7</f>
        <v>2.95</v>
      </c>
      <c r="O1923" s="39" t="n">
        <f aca="false">J1923*Resumo!$C$8</f>
        <v>2.95</v>
      </c>
      <c r="P1923" s="39" t="n">
        <f aca="false">Resumo!$C$10*CEILING(I1923/100,1)</f>
        <v>2</v>
      </c>
      <c r="Q1923" s="39" t="n">
        <f aca="false">Resumo!$C$9</f>
        <v>11.9</v>
      </c>
      <c r="R1923" s="39" t="n">
        <f aca="false">SUM(M1923:Q1923)*Resumo!$C$11</f>
        <v>10.70575</v>
      </c>
      <c r="S1923" s="39" t="n">
        <f aca="false">SUM(M1923:R1923)</f>
        <v>205.35575</v>
      </c>
      <c r="T1923" s="39" t="n">
        <f aca="false">S1923/(1-Resumo!$C$5)</f>
        <v>233.358806818182</v>
      </c>
      <c r="U1923" s="39" t="n">
        <v>239.25</v>
      </c>
      <c r="V1923" s="39" t="n">
        <f aca="false">J1923*Resumo!$B$6</f>
        <v>1.475</v>
      </c>
      <c r="W1923" s="39" t="n">
        <f aca="false">J1923*Resumo!$B$7</f>
        <v>2.95</v>
      </c>
      <c r="X1923" s="39" t="n">
        <f aca="false">Resumo!$B$9</f>
        <v>1</v>
      </c>
      <c r="Y1923" s="39" t="n">
        <f aca="false">Resumo!$B$10*CEILING(I1923/100,1)</f>
        <v>9</v>
      </c>
      <c r="Z1923" s="39" t="n">
        <f aca="false">Resumo!$B$12*CEILING(I1923,1)</f>
        <v>7.5</v>
      </c>
      <c r="AA1923" s="39" t="n">
        <f aca="false">Resumo!$B$13*CEILING(I1923,1)</f>
        <v>56.25</v>
      </c>
      <c r="AB1923" s="39" t="n">
        <f aca="false">SUM(U1923:AA1923)</f>
        <v>317.425</v>
      </c>
      <c r="AC1923" s="39" t="n">
        <f aca="false">AB1923/(1-Resumo!$B$5)</f>
        <v>360.710227272727</v>
      </c>
      <c r="AD1923" s="39" t="n">
        <f aca="false">(AB1923-AA1923)/(1-Resumo!$B$5)</f>
        <v>296.789772727273</v>
      </c>
      <c r="AE1923" s="39" t="n">
        <f aca="false">AC1923-T1923</f>
        <v>127.351420454545</v>
      </c>
      <c r="AF1923" s="40" t="n">
        <f aca="false">AC1923/T1923-1</f>
        <v>0.545732223227254</v>
      </c>
      <c r="AG1923" s="37" t="str">
        <f aca="false">IF(AC1923&lt;T1923,"SIM","NÃO")</f>
        <v>NÃO</v>
      </c>
      <c r="AH1923" s="37" t="n">
        <v>8</v>
      </c>
      <c r="AI1923" s="37" t="n">
        <v>5</v>
      </c>
      <c r="AJ1923" s="37" t="s">
        <v>323</v>
      </c>
    </row>
    <row r="1924" customFormat="false" ht="15" hidden="false" customHeight="false" outlineLevel="0" collapsed="false">
      <c r="A1924" s="37" t="n">
        <v>396668452</v>
      </c>
      <c r="B1924" s="38" t="n">
        <v>46284.4299652778</v>
      </c>
      <c r="C1924" s="37" t="s">
        <v>325</v>
      </c>
      <c r="D1924" s="37" t="s">
        <v>2054</v>
      </c>
      <c r="E1924" s="37" t="n">
        <v>22793084</v>
      </c>
      <c r="F1924" s="37" t="s">
        <v>139</v>
      </c>
      <c r="G1924" s="37" t="s">
        <v>198</v>
      </c>
      <c r="H1924" s="37" t="s">
        <v>173</v>
      </c>
      <c r="I1924" s="37" t="n">
        <v>78.7</v>
      </c>
      <c r="J1924" s="39" t="n">
        <v>1541</v>
      </c>
      <c r="K1924" s="37" t="s">
        <v>322</v>
      </c>
      <c r="L1924" s="39" t="n">
        <v>139.86</v>
      </c>
      <c r="M1924" s="39" t="n">
        <v>97.6</v>
      </c>
      <c r="N1924" s="39" t="n">
        <f aca="false">J1924*Resumo!$C$7</f>
        <v>3.082</v>
      </c>
      <c r="O1924" s="39" t="n">
        <f aca="false">J1924*Resumo!$C$8</f>
        <v>3.082</v>
      </c>
      <c r="P1924" s="39" t="n">
        <f aca="false">Resumo!$C$10*CEILING(I1924/100,1)</f>
        <v>1</v>
      </c>
      <c r="Q1924" s="39" t="n">
        <f aca="false">Resumo!$C$9</f>
        <v>11.9</v>
      </c>
      <c r="R1924" s="39" t="n">
        <f aca="false">SUM(M1924:Q1924)*Resumo!$C$11</f>
        <v>6.41652</v>
      </c>
      <c r="S1924" s="39" t="n">
        <f aca="false">SUM(M1924:R1924)</f>
        <v>123.08052</v>
      </c>
      <c r="T1924" s="39" t="n">
        <f aca="false">S1924/(1-Resumo!$C$5)</f>
        <v>139.864227272727</v>
      </c>
      <c r="U1924" s="39" t="n">
        <v>134.39</v>
      </c>
      <c r="V1924" s="39" t="n">
        <f aca="false">J1924*Resumo!$B$6</f>
        <v>1.541</v>
      </c>
      <c r="W1924" s="39" t="n">
        <f aca="false">J1924*Resumo!$B$7</f>
        <v>3.082</v>
      </c>
      <c r="X1924" s="39" t="n">
        <f aca="false">Resumo!$B$9</f>
        <v>1</v>
      </c>
      <c r="Y1924" s="39" t="n">
        <f aca="false">Resumo!$B$10*CEILING(I1924/100,1)</f>
        <v>4.5</v>
      </c>
      <c r="Z1924" s="39" t="n">
        <f aca="false">Resumo!$B$12*CEILING(I1924,1)</f>
        <v>4.74</v>
      </c>
      <c r="AA1924" s="39" t="n">
        <f aca="false">Resumo!$B$13*CEILING(I1924,1)</f>
        <v>35.55</v>
      </c>
      <c r="AB1924" s="39" t="n">
        <f aca="false">SUM(U1924:AA1924)</f>
        <v>184.803</v>
      </c>
      <c r="AC1924" s="39" t="n">
        <f aca="false">AB1924/(1-Resumo!$B$5)</f>
        <v>210.003409090909</v>
      </c>
      <c r="AD1924" s="39" t="n">
        <f aca="false">(AB1924-AA1924)/(1-Resumo!$B$5)</f>
        <v>169.605681818182</v>
      </c>
      <c r="AE1924" s="39" t="n">
        <f aca="false">AC1924-T1924</f>
        <v>70.1391818181818</v>
      </c>
      <c r="AF1924" s="40" t="n">
        <f aca="false">AC1924/T1924-1</f>
        <v>0.501480494232556</v>
      </c>
      <c r="AG1924" s="37" t="str">
        <f aca="false">IF(AC1924&lt;T1924,"SIM","NÃO")</f>
        <v>NÃO</v>
      </c>
      <c r="AH1924" s="37" t="n">
        <v>8</v>
      </c>
      <c r="AI1924" s="37" t="n">
        <v>5</v>
      </c>
      <c r="AJ1924" s="37" t="s">
        <v>323</v>
      </c>
    </row>
    <row r="1925" customFormat="false" ht="15" hidden="false" customHeight="false" outlineLevel="0" collapsed="false">
      <c r="A1925" s="37" t="n">
        <v>396715738</v>
      </c>
      <c r="B1925" s="38" t="n">
        <v>46284.4979282407</v>
      </c>
      <c r="C1925" s="37" t="s">
        <v>320</v>
      </c>
      <c r="D1925" s="37" t="s">
        <v>2055</v>
      </c>
      <c r="E1925" s="37" t="n">
        <v>24930628</v>
      </c>
      <c r="F1925" s="37" t="s">
        <v>151</v>
      </c>
      <c r="G1925" s="37" t="s">
        <v>201</v>
      </c>
      <c r="H1925" s="37" t="s">
        <v>169</v>
      </c>
      <c r="I1925" s="37" t="n">
        <v>37.6</v>
      </c>
      <c r="J1925" s="39" t="n">
        <v>378.18</v>
      </c>
      <c r="K1925" s="37" t="s">
        <v>322</v>
      </c>
      <c r="L1925" s="39" t="n">
        <v>122.07</v>
      </c>
      <c r="M1925" s="39" t="n">
        <v>87.4</v>
      </c>
      <c r="N1925" s="39" t="n">
        <f aca="false">J1925*Resumo!$C$7</f>
        <v>0.75636</v>
      </c>
      <c r="O1925" s="39" t="n">
        <f aca="false">J1925*Resumo!$C$8</f>
        <v>0.75636</v>
      </c>
      <c r="P1925" s="39" t="n">
        <f aca="false">Resumo!$C$10*CEILING(I1925/100,1)</f>
        <v>1</v>
      </c>
      <c r="Q1925" s="39" t="n">
        <f aca="false">Resumo!$C$9</f>
        <v>11.9</v>
      </c>
      <c r="R1925" s="39" t="n">
        <f aca="false">SUM(M1925:Q1925)*Resumo!$C$11</f>
        <v>5.5996996</v>
      </c>
      <c r="S1925" s="39" t="n">
        <f aca="false">SUM(M1925:R1925)</f>
        <v>107.4124196</v>
      </c>
      <c r="T1925" s="39" t="n">
        <f aca="false">S1925/(1-Resumo!$C$5)</f>
        <v>122.059567727273</v>
      </c>
      <c r="U1925" s="39" t="n">
        <v>114.95</v>
      </c>
      <c r="V1925" s="39" t="n">
        <f aca="false">J1925*Resumo!$B$6</f>
        <v>0.37818</v>
      </c>
      <c r="W1925" s="39" t="n">
        <f aca="false">J1925*Resumo!$B$7</f>
        <v>0.75636</v>
      </c>
      <c r="X1925" s="39" t="n">
        <f aca="false">Resumo!$B$9</f>
        <v>1</v>
      </c>
      <c r="Y1925" s="39" t="n">
        <f aca="false">Resumo!$B$10*CEILING(I1925/100,1)</f>
        <v>4.5</v>
      </c>
      <c r="Z1925" s="39" t="n">
        <f aca="false">Resumo!$B$12*CEILING(I1925,1)</f>
        <v>2.28</v>
      </c>
      <c r="AA1925" s="39" t="n">
        <f aca="false">Resumo!$B$13*CEILING(I1925,1)</f>
        <v>17.1</v>
      </c>
      <c r="AB1925" s="39" t="n">
        <f aca="false">SUM(U1925:AA1925)</f>
        <v>140.96454</v>
      </c>
      <c r="AC1925" s="39" t="n">
        <f aca="false">AB1925/(1-Resumo!$B$5)</f>
        <v>160.186977272727</v>
      </c>
      <c r="AD1925" s="39" t="n">
        <f aca="false">(AB1925-AA1925)/(1-Resumo!$B$5)</f>
        <v>140.755159090909</v>
      </c>
      <c r="AE1925" s="39" t="n">
        <f aca="false">AC1925-T1925</f>
        <v>38.1274095454545</v>
      </c>
      <c r="AF1925" s="40" t="n">
        <f aca="false">AC1925/T1925-1</f>
        <v>0.312367233928319</v>
      </c>
      <c r="AG1925" s="37" t="str">
        <f aca="false">IF(AC1925&lt;T1925,"SIM","NÃO")</f>
        <v>NÃO</v>
      </c>
      <c r="AH1925" s="37" t="n">
        <v>13</v>
      </c>
      <c r="AI1925" s="37" t="n">
        <v>7</v>
      </c>
      <c r="AJ1925" s="37" t="s">
        <v>323</v>
      </c>
    </row>
    <row r="1926" customFormat="false" ht="15" hidden="false" customHeight="false" outlineLevel="0" collapsed="false">
      <c r="A1926" s="37" t="n">
        <v>396719512</v>
      </c>
      <c r="B1926" s="38" t="n">
        <v>46284.5028472222</v>
      </c>
      <c r="C1926" s="37" t="s">
        <v>320</v>
      </c>
      <c r="D1926" s="37" t="s">
        <v>2056</v>
      </c>
      <c r="E1926" s="37" t="n">
        <v>20250460</v>
      </c>
      <c r="F1926" s="37" t="s">
        <v>139</v>
      </c>
      <c r="G1926" s="37" t="s">
        <v>198</v>
      </c>
      <c r="H1926" s="37" t="s">
        <v>168</v>
      </c>
      <c r="I1926" s="37" t="n">
        <v>30.5</v>
      </c>
      <c r="J1926" s="39" t="n">
        <v>406.6</v>
      </c>
      <c r="K1926" s="37" t="s">
        <v>322</v>
      </c>
      <c r="L1926" s="39" t="n">
        <v>82.26</v>
      </c>
      <c r="M1926" s="39" t="n">
        <v>54.1</v>
      </c>
      <c r="N1926" s="39" t="n">
        <f aca="false">J1926*Resumo!$C$7</f>
        <v>0.8132</v>
      </c>
      <c r="O1926" s="39" t="n">
        <f aca="false">J1926*Resumo!$C$8</f>
        <v>0.8132</v>
      </c>
      <c r="P1926" s="39" t="n">
        <f aca="false">Resumo!$C$10*CEILING(I1926/100,1)</f>
        <v>1</v>
      </c>
      <c r="Q1926" s="39" t="n">
        <f aca="false">Resumo!$C$9</f>
        <v>11.9</v>
      </c>
      <c r="R1926" s="39" t="n">
        <f aca="false">SUM(M1926:Q1926)*Resumo!$C$11</f>
        <v>3.774452</v>
      </c>
      <c r="S1926" s="39" t="n">
        <f aca="false">SUM(M1926:R1926)</f>
        <v>72.400852</v>
      </c>
      <c r="T1926" s="39" t="n">
        <f aca="false">S1926/(1-Resumo!$C$5)</f>
        <v>82.2736954545455</v>
      </c>
      <c r="U1926" s="39" t="n">
        <v>82.21</v>
      </c>
      <c r="V1926" s="39" t="n">
        <f aca="false">J1926*Resumo!$B$6</f>
        <v>0.4066</v>
      </c>
      <c r="W1926" s="39" t="n">
        <f aca="false">J1926*Resumo!$B$7</f>
        <v>0.8132</v>
      </c>
      <c r="X1926" s="39" t="n">
        <f aca="false">Resumo!$B$9</f>
        <v>1</v>
      </c>
      <c r="Y1926" s="39" t="n">
        <f aca="false">Resumo!$B$10*CEILING(I1926/100,1)</f>
        <v>4.5</v>
      </c>
      <c r="Z1926" s="39" t="n">
        <f aca="false">Resumo!$B$12*CEILING(I1926,1)</f>
        <v>1.86</v>
      </c>
      <c r="AA1926" s="39" t="n">
        <f aca="false">Resumo!$B$13*CEILING(I1926,1)</f>
        <v>13.95</v>
      </c>
      <c r="AB1926" s="39" t="n">
        <f aca="false">SUM(U1926:AA1926)</f>
        <v>104.7398</v>
      </c>
      <c r="AC1926" s="39" t="n">
        <f aca="false">AB1926/(1-Resumo!$B$5)</f>
        <v>119.0225</v>
      </c>
      <c r="AD1926" s="39" t="n">
        <f aca="false">(AB1926-AA1926)/(1-Resumo!$B$5)</f>
        <v>103.170227272727</v>
      </c>
      <c r="AE1926" s="39" t="n">
        <f aca="false">AC1926-T1926</f>
        <v>36.7488045454546</v>
      </c>
      <c r="AF1926" s="40" t="n">
        <f aca="false">AC1926/T1926-1</f>
        <v>0.446665296148725</v>
      </c>
      <c r="AG1926" s="37" t="str">
        <f aca="false">IF(AC1926&lt;T1926,"SIM","NÃO")</f>
        <v>NÃO</v>
      </c>
      <c r="AH1926" s="37" t="n">
        <v>8</v>
      </c>
      <c r="AI1926" s="37" t="n">
        <v>5</v>
      </c>
      <c r="AJ1926" s="37" t="s">
        <v>323</v>
      </c>
    </row>
    <row r="1927" customFormat="false" ht="15" hidden="false" customHeight="false" outlineLevel="0" collapsed="false">
      <c r="A1927" s="37" t="n">
        <v>396732352</v>
      </c>
      <c r="B1927" s="38" t="n">
        <v>46284.5200578704</v>
      </c>
      <c r="C1927" s="37" t="s">
        <v>320</v>
      </c>
      <c r="D1927" s="37" t="s">
        <v>2057</v>
      </c>
      <c r="E1927" s="37" t="n">
        <v>20973011</v>
      </c>
      <c r="F1927" s="37" t="s">
        <v>139</v>
      </c>
      <c r="G1927" s="37" t="s">
        <v>198</v>
      </c>
      <c r="H1927" s="37" t="s">
        <v>168</v>
      </c>
      <c r="I1927" s="37" t="n">
        <v>22.9</v>
      </c>
      <c r="J1927" s="39" t="n">
        <v>369.99</v>
      </c>
      <c r="K1927" s="37" t="s">
        <v>322</v>
      </c>
      <c r="L1927" s="39" t="n">
        <v>82.1</v>
      </c>
      <c r="M1927" s="39" t="n">
        <v>54.1</v>
      </c>
      <c r="N1927" s="39" t="n">
        <f aca="false">J1927*Resumo!$C$7</f>
        <v>0.73998</v>
      </c>
      <c r="O1927" s="39" t="n">
        <f aca="false">J1927*Resumo!$C$8</f>
        <v>0.73998</v>
      </c>
      <c r="P1927" s="39" t="n">
        <f aca="false">Resumo!$C$10*CEILING(I1927/100,1)</f>
        <v>1</v>
      </c>
      <c r="Q1927" s="39" t="n">
        <f aca="false">Resumo!$C$9</f>
        <v>11.9</v>
      </c>
      <c r="R1927" s="39" t="n">
        <f aca="false">SUM(M1927:Q1927)*Resumo!$C$11</f>
        <v>3.7663978</v>
      </c>
      <c r="S1927" s="39" t="n">
        <f aca="false">SUM(M1927:R1927)</f>
        <v>72.2463578</v>
      </c>
      <c r="T1927" s="39" t="n">
        <f aca="false">S1927/(1-Resumo!$C$5)</f>
        <v>82.0981338636364</v>
      </c>
      <c r="U1927" s="39" t="n">
        <v>82.21</v>
      </c>
      <c r="V1927" s="39" t="n">
        <f aca="false">J1927*Resumo!$B$6</f>
        <v>0.36999</v>
      </c>
      <c r="W1927" s="39" t="n">
        <f aca="false">J1927*Resumo!$B$7</f>
        <v>0.73998</v>
      </c>
      <c r="X1927" s="39" t="n">
        <f aca="false">Resumo!$B$9</f>
        <v>1</v>
      </c>
      <c r="Y1927" s="39" t="n">
        <f aca="false">Resumo!$B$10*CEILING(I1927/100,1)</f>
        <v>4.5</v>
      </c>
      <c r="Z1927" s="39" t="n">
        <f aca="false">Resumo!$B$12*CEILING(I1927,1)</f>
        <v>1.38</v>
      </c>
      <c r="AA1927" s="39" t="n">
        <f aca="false">Resumo!$B$13*CEILING(I1927,1)</f>
        <v>10.35</v>
      </c>
      <c r="AB1927" s="39" t="n">
        <f aca="false">SUM(U1927:AA1927)</f>
        <v>100.54997</v>
      </c>
      <c r="AC1927" s="39" t="n">
        <f aca="false">AB1927/(1-Resumo!$B$5)</f>
        <v>114.261329545455</v>
      </c>
      <c r="AD1927" s="39" t="n">
        <f aca="false">(AB1927-AA1927)/(1-Resumo!$B$5)</f>
        <v>102.499965909091</v>
      </c>
      <c r="AE1927" s="39" t="n">
        <f aca="false">AC1927-T1927</f>
        <v>32.1631956818182</v>
      </c>
      <c r="AF1927" s="40" t="n">
        <f aca="false">AC1927/T1927-1</f>
        <v>0.391765246884182</v>
      </c>
      <c r="AG1927" s="37" t="str">
        <f aca="false">IF(AC1927&lt;T1927,"SIM","NÃO")</f>
        <v>NÃO</v>
      </c>
      <c r="AH1927" s="37" t="n">
        <v>8</v>
      </c>
      <c r="AI1927" s="37" t="n">
        <v>5</v>
      </c>
      <c r="AJ1927" s="37" t="s">
        <v>323</v>
      </c>
    </row>
    <row r="1928" customFormat="false" ht="15" hidden="false" customHeight="false" outlineLevel="0" collapsed="false">
      <c r="A1928" s="37" t="n">
        <v>396757559</v>
      </c>
      <c r="B1928" s="38" t="n">
        <v>46284.5584143519</v>
      </c>
      <c r="C1928" s="37" t="s">
        <v>320</v>
      </c>
      <c r="D1928" s="37" t="s">
        <v>2058</v>
      </c>
      <c r="E1928" s="37" t="n">
        <v>24470270</v>
      </c>
      <c r="F1928" s="37" t="s">
        <v>140</v>
      </c>
      <c r="G1928" s="37" t="s">
        <v>207</v>
      </c>
      <c r="H1928" s="37" t="s">
        <v>169</v>
      </c>
      <c r="I1928" s="37" t="n">
        <v>36.8</v>
      </c>
      <c r="J1928" s="39" t="n">
        <v>469.99</v>
      </c>
      <c r="K1928" s="37" t="s">
        <v>322</v>
      </c>
      <c r="L1928" s="39" t="n">
        <v>113.2</v>
      </c>
      <c r="M1928" s="39" t="n">
        <v>79.65</v>
      </c>
      <c r="N1928" s="39" t="n">
        <f aca="false">J1928*Resumo!$C$7</f>
        <v>0.93998</v>
      </c>
      <c r="O1928" s="39" t="n">
        <f aca="false">J1928*Resumo!$C$8</f>
        <v>0.93998</v>
      </c>
      <c r="P1928" s="39" t="n">
        <f aca="false">Resumo!$C$10*CEILING(I1928/100,1)</f>
        <v>1</v>
      </c>
      <c r="Q1928" s="39" t="n">
        <f aca="false">Resumo!$C$9</f>
        <v>11.9</v>
      </c>
      <c r="R1928" s="39" t="n">
        <f aca="false">SUM(M1928:Q1928)*Resumo!$C$11</f>
        <v>5.1936478</v>
      </c>
      <c r="S1928" s="39" t="n">
        <f aca="false">SUM(M1928:R1928)</f>
        <v>99.6236078</v>
      </c>
      <c r="T1928" s="39" t="n">
        <f aca="false">S1928/(1-Resumo!$C$5)</f>
        <v>113.208645227273</v>
      </c>
      <c r="U1928" s="39" t="n">
        <v>114.95</v>
      </c>
      <c r="V1928" s="39" t="n">
        <f aca="false">J1928*Resumo!$B$6</f>
        <v>0.46999</v>
      </c>
      <c r="W1928" s="39" t="n">
        <f aca="false">J1928*Resumo!$B$7</f>
        <v>0.93998</v>
      </c>
      <c r="X1928" s="39" t="n">
        <f aca="false">Resumo!$B$9</f>
        <v>1</v>
      </c>
      <c r="Y1928" s="39" t="n">
        <f aca="false">Resumo!$B$10*CEILING(I1928/100,1)</f>
        <v>4.5</v>
      </c>
      <c r="Z1928" s="39" t="n">
        <f aca="false">Resumo!$B$12*CEILING(I1928,1)</f>
        <v>2.22</v>
      </c>
      <c r="AA1928" s="39" t="n">
        <f aca="false">Resumo!$B$13*CEILING(I1928,1)</f>
        <v>16.65</v>
      </c>
      <c r="AB1928" s="39" t="n">
        <f aca="false">SUM(U1928:AA1928)</f>
        <v>140.72997</v>
      </c>
      <c r="AC1928" s="39" t="n">
        <f aca="false">AB1928/(1-Resumo!$B$5)</f>
        <v>159.920420454545</v>
      </c>
      <c r="AD1928" s="39" t="n">
        <f aca="false">(AB1928-AA1928)/(1-Resumo!$B$5)</f>
        <v>140.999965909091</v>
      </c>
      <c r="AE1928" s="39" t="n">
        <f aca="false">AC1928-T1928</f>
        <v>46.7117752272727</v>
      </c>
      <c r="AF1928" s="40" t="n">
        <f aca="false">AC1928/T1928-1</f>
        <v>0.412616678995639</v>
      </c>
      <c r="AG1928" s="37" t="str">
        <f aca="false">IF(AC1928&lt;T1928,"SIM","NÃO")</f>
        <v>NÃO</v>
      </c>
      <c r="AH1928" s="37" t="n">
        <v>10</v>
      </c>
      <c r="AI1928" s="37" t="n">
        <v>7</v>
      </c>
      <c r="AJ1928" s="37" t="s">
        <v>323</v>
      </c>
    </row>
    <row r="1929" customFormat="false" ht="15" hidden="false" customHeight="false" outlineLevel="0" collapsed="false">
      <c r="A1929" s="37" t="n">
        <v>396762183</v>
      </c>
      <c r="B1929" s="38" t="n">
        <v>46284.5639351852</v>
      </c>
      <c r="C1929" s="37" t="s">
        <v>325</v>
      </c>
      <c r="D1929" s="37" t="s">
        <v>2059</v>
      </c>
      <c r="E1929" s="37" t="n">
        <v>24921768</v>
      </c>
      <c r="F1929" s="37" t="s">
        <v>151</v>
      </c>
      <c r="G1929" s="37" t="s">
        <v>201</v>
      </c>
      <c r="H1929" s="37" t="s">
        <v>168</v>
      </c>
      <c r="I1929" s="37" t="n">
        <v>24</v>
      </c>
      <c r="J1929" s="39" t="n">
        <v>506.43</v>
      </c>
      <c r="K1929" s="37" t="s">
        <v>322</v>
      </c>
      <c r="L1929" s="39" t="n">
        <v>109.6</v>
      </c>
      <c r="M1929" s="39" t="n">
        <v>76.5</v>
      </c>
      <c r="N1929" s="39" t="n">
        <f aca="false">J1929*Resumo!$C$7</f>
        <v>1.01286</v>
      </c>
      <c r="O1929" s="39" t="n">
        <f aca="false">J1929*Resumo!$C$8</f>
        <v>1.01286</v>
      </c>
      <c r="P1929" s="39" t="n">
        <f aca="false">Resumo!$C$10*CEILING(I1929/100,1)</f>
        <v>1</v>
      </c>
      <c r="Q1929" s="39" t="n">
        <f aca="false">Resumo!$C$9</f>
        <v>11.9</v>
      </c>
      <c r="R1929" s="39" t="n">
        <f aca="false">SUM(M1929:Q1929)*Resumo!$C$11</f>
        <v>5.0284146</v>
      </c>
      <c r="S1929" s="39" t="n">
        <f aca="false">SUM(M1929:R1929)</f>
        <v>96.4541346</v>
      </c>
      <c r="T1929" s="39" t="n">
        <f aca="false">S1929/(1-Resumo!$C$5)</f>
        <v>109.606971136364</v>
      </c>
      <c r="U1929" s="39" t="n">
        <v>100.58</v>
      </c>
      <c r="V1929" s="39" t="n">
        <f aca="false">J1929*Resumo!$B$6</f>
        <v>0.50643</v>
      </c>
      <c r="W1929" s="39" t="n">
        <f aca="false">J1929*Resumo!$B$7</f>
        <v>1.01286</v>
      </c>
      <c r="X1929" s="39" t="n">
        <f aca="false">Resumo!$B$9</f>
        <v>1</v>
      </c>
      <c r="Y1929" s="39" t="n">
        <f aca="false">Resumo!$B$10*CEILING(I1929/100,1)</f>
        <v>4.5</v>
      </c>
      <c r="Z1929" s="39" t="n">
        <f aca="false">Resumo!$B$12*CEILING(I1929,1)</f>
        <v>1.44</v>
      </c>
      <c r="AA1929" s="39" t="n">
        <f aca="false">Resumo!$B$13*CEILING(I1929,1)</f>
        <v>10.8</v>
      </c>
      <c r="AB1929" s="39" t="n">
        <f aca="false">SUM(U1929:AA1929)</f>
        <v>119.83929</v>
      </c>
      <c r="AC1929" s="39" t="n">
        <f aca="false">AB1929/(1-Resumo!$B$5)</f>
        <v>136.181011363636</v>
      </c>
      <c r="AD1929" s="39" t="n">
        <f aca="false">(AB1929-AA1929)/(1-Resumo!$B$5)</f>
        <v>123.908284090909</v>
      </c>
      <c r="AE1929" s="39" t="n">
        <f aca="false">AC1929-T1929</f>
        <v>26.5740402272727</v>
      </c>
      <c r="AF1929" s="40" t="n">
        <f aca="false">AC1929/T1929-1</f>
        <v>0.242448449690408</v>
      </c>
      <c r="AG1929" s="37" t="str">
        <f aca="false">IF(AC1929&lt;T1929,"SIM","NÃO")</f>
        <v>NÃO</v>
      </c>
      <c r="AH1929" s="37" t="n">
        <v>13</v>
      </c>
      <c r="AI1929" s="37" t="n">
        <v>7</v>
      </c>
      <c r="AJ1929" s="37" t="s">
        <v>323</v>
      </c>
    </row>
    <row r="1930" customFormat="false" ht="15" hidden="false" customHeight="false" outlineLevel="0" collapsed="false">
      <c r="A1930" s="37" t="n">
        <v>396807678</v>
      </c>
      <c r="B1930" s="38" t="n">
        <v>46284.6320601852</v>
      </c>
      <c r="C1930" s="37" t="s">
        <v>359</v>
      </c>
      <c r="D1930" s="37" t="s">
        <v>2060</v>
      </c>
      <c r="E1930" s="37" t="n">
        <v>27256005</v>
      </c>
      <c r="F1930" s="37" t="s">
        <v>148</v>
      </c>
      <c r="G1930" s="37" t="s">
        <v>201</v>
      </c>
      <c r="H1930" s="37" t="s">
        <v>174</v>
      </c>
      <c r="I1930" s="37" t="n">
        <v>97.2</v>
      </c>
      <c r="J1930" s="39" t="n">
        <v>1399.99</v>
      </c>
      <c r="K1930" s="37" t="s">
        <v>322</v>
      </c>
      <c r="L1930" s="39" t="n">
        <v>195.31</v>
      </c>
      <c r="M1930" s="39" t="n">
        <v>144.41</v>
      </c>
      <c r="N1930" s="39" t="n">
        <f aca="false">J1930*Resumo!$C$7</f>
        <v>2.79998</v>
      </c>
      <c r="O1930" s="39" t="n">
        <f aca="false">J1930*Resumo!$C$8</f>
        <v>2.79998</v>
      </c>
      <c r="P1930" s="39" t="n">
        <f aca="false">Resumo!$C$10*CEILING(I1930/100,1)</f>
        <v>1</v>
      </c>
      <c r="Q1930" s="39" t="n">
        <f aca="false">Resumo!$C$9</f>
        <v>11.9</v>
      </c>
      <c r="R1930" s="39" t="n">
        <f aca="false">SUM(M1930:Q1930)*Resumo!$C$11</f>
        <v>8.9600478</v>
      </c>
      <c r="S1930" s="39" t="n">
        <f aca="false">SUM(M1930:R1930)</f>
        <v>171.8700078</v>
      </c>
      <c r="T1930" s="39" t="n">
        <f aca="false">S1930/(1-Resumo!$C$5)</f>
        <v>195.306827045455</v>
      </c>
      <c r="U1930" s="39" t="n">
        <v>197.35</v>
      </c>
      <c r="V1930" s="39" t="n">
        <f aca="false">J1930*Resumo!$B$6</f>
        <v>1.39999</v>
      </c>
      <c r="W1930" s="39" t="n">
        <f aca="false">J1930*Resumo!$B$7</f>
        <v>2.79998</v>
      </c>
      <c r="X1930" s="39" t="n">
        <f aca="false">Resumo!$B$9</f>
        <v>1</v>
      </c>
      <c r="Y1930" s="39" t="n">
        <f aca="false">Resumo!$B$10*CEILING(I1930/100,1)</f>
        <v>4.5</v>
      </c>
      <c r="Z1930" s="39" t="n">
        <f aca="false">Resumo!$B$12*CEILING(I1930,1)</f>
        <v>5.88</v>
      </c>
      <c r="AA1930" s="39" t="n">
        <f aca="false">Resumo!$B$13*CEILING(I1930,1)</f>
        <v>44.1</v>
      </c>
      <c r="AB1930" s="39" t="n">
        <f aca="false">SUM(U1930:AA1930)</f>
        <v>257.02997</v>
      </c>
      <c r="AC1930" s="39" t="n">
        <f aca="false">AB1930/(1-Resumo!$B$5)</f>
        <v>292.079511363636</v>
      </c>
      <c r="AD1930" s="39" t="n">
        <f aca="false">(AB1930-AA1930)/(1-Resumo!$B$5)</f>
        <v>241.965875</v>
      </c>
      <c r="AE1930" s="39" t="n">
        <f aca="false">AC1930-T1930</f>
        <v>96.7726843181818</v>
      </c>
      <c r="AF1930" s="40" t="n">
        <f aca="false">AC1930/T1930-1</f>
        <v>0.495490535492953</v>
      </c>
      <c r="AG1930" s="37" t="str">
        <f aca="false">IF(AC1930&lt;T1930,"SIM","NÃO")</f>
        <v>NÃO</v>
      </c>
      <c r="AH1930" s="37" t="n">
        <v>13</v>
      </c>
      <c r="AI1930" s="37" t="n">
        <v>10</v>
      </c>
      <c r="AJ1930" s="37" t="s">
        <v>323</v>
      </c>
    </row>
    <row r="1931" customFormat="false" ht="15" hidden="false" customHeight="false" outlineLevel="0" collapsed="false">
      <c r="A1931" s="37" t="n">
        <v>396818595</v>
      </c>
      <c r="B1931" s="38" t="n">
        <v>46284.6461689815</v>
      </c>
      <c r="C1931" s="37" t="s">
        <v>320</v>
      </c>
      <c r="D1931" s="37" t="s">
        <v>2061</v>
      </c>
      <c r="E1931" s="37" t="n">
        <v>25730204</v>
      </c>
      <c r="F1931" s="37" t="s">
        <v>150</v>
      </c>
      <c r="G1931" s="37" t="s">
        <v>201</v>
      </c>
      <c r="H1931" s="37" t="s">
        <v>168</v>
      </c>
      <c r="I1931" s="37" t="n">
        <v>34.4</v>
      </c>
      <c r="J1931" s="39" t="n">
        <v>499.98</v>
      </c>
      <c r="K1931" s="37" t="s">
        <v>322</v>
      </c>
      <c r="L1931" s="39" t="n">
        <v>109.58</v>
      </c>
      <c r="M1931" s="39" t="n">
        <v>76.5</v>
      </c>
      <c r="N1931" s="39" t="n">
        <f aca="false">J1931*Resumo!$C$7</f>
        <v>0.99996</v>
      </c>
      <c r="O1931" s="39" t="n">
        <f aca="false">J1931*Resumo!$C$8</f>
        <v>0.99996</v>
      </c>
      <c r="P1931" s="39" t="n">
        <f aca="false">Resumo!$C$10*CEILING(I1931/100,1)</f>
        <v>1</v>
      </c>
      <c r="Q1931" s="39" t="n">
        <f aca="false">Resumo!$C$9</f>
        <v>11.9</v>
      </c>
      <c r="R1931" s="39" t="n">
        <f aca="false">SUM(M1931:Q1931)*Resumo!$C$11</f>
        <v>5.0269956</v>
      </c>
      <c r="S1931" s="39" t="n">
        <f aca="false">SUM(M1931:R1931)</f>
        <v>96.4269156</v>
      </c>
      <c r="T1931" s="39" t="n">
        <f aca="false">S1931/(1-Resumo!$C$5)</f>
        <v>109.576040454545</v>
      </c>
      <c r="U1931" s="39" t="n">
        <v>108.83</v>
      </c>
      <c r="V1931" s="39" t="n">
        <f aca="false">J1931*Resumo!$B$6</f>
        <v>0.49998</v>
      </c>
      <c r="W1931" s="39" t="n">
        <f aca="false">J1931*Resumo!$B$7</f>
        <v>0.99996</v>
      </c>
      <c r="X1931" s="39" t="n">
        <f aca="false">Resumo!$B$9</f>
        <v>1</v>
      </c>
      <c r="Y1931" s="39" t="n">
        <f aca="false">Resumo!$B$10*CEILING(I1931/100,1)</f>
        <v>4.5</v>
      </c>
      <c r="Z1931" s="39" t="n">
        <f aca="false">Resumo!$B$12*CEILING(I1931,1)</f>
        <v>2.1</v>
      </c>
      <c r="AA1931" s="39" t="n">
        <f aca="false">Resumo!$B$13*CEILING(I1931,1)</f>
        <v>15.75</v>
      </c>
      <c r="AB1931" s="39" t="n">
        <f aca="false">SUM(U1931:AA1931)</f>
        <v>133.67994</v>
      </c>
      <c r="AC1931" s="39" t="n">
        <f aca="false">AB1931/(1-Resumo!$B$5)</f>
        <v>151.909022727273</v>
      </c>
      <c r="AD1931" s="39" t="n">
        <f aca="false">(AB1931-AA1931)/(1-Resumo!$B$5)</f>
        <v>134.011295454545</v>
      </c>
      <c r="AE1931" s="39" t="n">
        <f aca="false">AC1931-T1931</f>
        <v>42.3329822727273</v>
      </c>
      <c r="AF1931" s="40" t="n">
        <f aca="false">AC1931/T1931-1</f>
        <v>0.386334294405244</v>
      </c>
      <c r="AG1931" s="37" t="str">
        <f aca="false">IF(AC1931&lt;T1931,"SIM","NÃO")</f>
        <v>NÃO</v>
      </c>
      <c r="AH1931" s="37" t="n">
        <v>13</v>
      </c>
      <c r="AI1931" s="37" t="n">
        <v>8</v>
      </c>
      <c r="AJ1931" s="37" t="s">
        <v>323</v>
      </c>
    </row>
    <row r="1932" customFormat="false" ht="15" hidden="false" customHeight="false" outlineLevel="0" collapsed="false">
      <c r="A1932" s="37" t="n">
        <v>396833311</v>
      </c>
      <c r="B1932" s="38" t="n">
        <v>46284.6650115741</v>
      </c>
      <c r="C1932" s="37" t="s">
        <v>325</v>
      </c>
      <c r="D1932" s="37" t="s">
        <v>521</v>
      </c>
      <c r="E1932" s="37" t="n">
        <v>21911310</v>
      </c>
      <c r="F1932" s="37" t="s">
        <v>139</v>
      </c>
      <c r="G1932" s="37" t="s">
        <v>198</v>
      </c>
      <c r="H1932" s="37" t="s">
        <v>170</v>
      </c>
      <c r="I1932" s="37" t="n">
        <v>48</v>
      </c>
      <c r="J1932" s="39" t="n">
        <v>828.99</v>
      </c>
      <c r="K1932" s="37" t="s">
        <v>322</v>
      </c>
      <c r="L1932" s="39" t="n">
        <v>104.57</v>
      </c>
      <c r="M1932" s="39" t="n">
        <v>71</v>
      </c>
      <c r="N1932" s="39" t="n">
        <f aca="false">J1932*Resumo!$C$7</f>
        <v>1.65798</v>
      </c>
      <c r="O1932" s="39" t="n">
        <f aca="false">J1932*Resumo!$C$8</f>
        <v>1.65798</v>
      </c>
      <c r="P1932" s="39" t="n">
        <f aca="false">Resumo!$C$10*CEILING(I1932/100,1)</f>
        <v>1</v>
      </c>
      <c r="Q1932" s="39" t="n">
        <f aca="false">Resumo!$C$9</f>
        <v>11.9</v>
      </c>
      <c r="R1932" s="39" t="n">
        <f aca="false">SUM(M1932:Q1932)*Resumo!$C$11</f>
        <v>4.7968778</v>
      </c>
      <c r="S1932" s="39" t="n">
        <f aca="false">SUM(M1932:R1932)</f>
        <v>92.0128378</v>
      </c>
      <c r="T1932" s="39" t="n">
        <f aca="false">S1932/(1-Resumo!$C$5)</f>
        <v>104.560042954545</v>
      </c>
      <c r="U1932" s="39" t="n">
        <v>93.97</v>
      </c>
      <c r="V1932" s="39" t="n">
        <f aca="false">J1932*Resumo!$B$6</f>
        <v>0.82899</v>
      </c>
      <c r="W1932" s="39" t="n">
        <f aca="false">J1932*Resumo!$B$7</f>
        <v>1.65798</v>
      </c>
      <c r="X1932" s="39" t="n">
        <f aca="false">Resumo!$B$9</f>
        <v>1</v>
      </c>
      <c r="Y1932" s="39" t="n">
        <f aca="false">Resumo!$B$10*CEILING(I1932/100,1)</f>
        <v>4.5</v>
      </c>
      <c r="Z1932" s="39" t="n">
        <f aca="false">Resumo!$B$12*CEILING(I1932,1)</f>
        <v>2.88</v>
      </c>
      <c r="AA1932" s="39" t="n">
        <f aca="false">Resumo!$B$13*CEILING(I1932,1)</f>
        <v>21.6</v>
      </c>
      <c r="AB1932" s="39" t="n">
        <f aca="false">SUM(U1932:AA1932)</f>
        <v>126.43697</v>
      </c>
      <c r="AC1932" s="39" t="n">
        <f aca="false">AB1932/(1-Resumo!$B$5)</f>
        <v>143.678375</v>
      </c>
      <c r="AD1932" s="39" t="n">
        <f aca="false">(AB1932-AA1932)/(1-Resumo!$B$5)</f>
        <v>119.132920454545</v>
      </c>
      <c r="AE1932" s="39" t="n">
        <f aca="false">AC1932-T1932</f>
        <v>39.1183320454545</v>
      </c>
      <c r="AF1932" s="40" t="n">
        <f aca="false">AC1932/T1932-1</f>
        <v>0.374123144368448</v>
      </c>
      <c r="AG1932" s="37" t="str">
        <f aca="false">IF(AC1932&lt;T1932,"SIM","NÃO")</f>
        <v>NÃO</v>
      </c>
      <c r="AH1932" s="37" t="n">
        <v>8</v>
      </c>
      <c r="AI1932" s="37" t="n">
        <v>5</v>
      </c>
      <c r="AJ1932" s="37" t="s">
        <v>323</v>
      </c>
    </row>
    <row r="1933" customFormat="false" ht="15" hidden="false" customHeight="false" outlineLevel="0" collapsed="false">
      <c r="A1933" s="37" t="n">
        <v>396859541</v>
      </c>
      <c r="B1933" s="38" t="n">
        <v>46284.6867708333</v>
      </c>
      <c r="C1933" s="37" t="s">
        <v>517</v>
      </c>
      <c r="D1933" s="37" t="s">
        <v>2062</v>
      </c>
      <c r="E1933" s="37" t="n">
        <v>21320080</v>
      </c>
      <c r="F1933" s="37" t="s">
        <v>139</v>
      </c>
      <c r="G1933" s="37" t="s">
        <v>198</v>
      </c>
      <c r="H1933" s="37" t="s">
        <v>169</v>
      </c>
      <c r="I1933" s="37" t="n">
        <v>37.2</v>
      </c>
      <c r="J1933" s="39" t="n">
        <v>419.99</v>
      </c>
      <c r="K1933" s="37" t="s">
        <v>322</v>
      </c>
      <c r="L1933" s="39" t="n">
        <v>91.86</v>
      </c>
      <c r="M1933" s="39" t="n">
        <v>62.05</v>
      </c>
      <c r="N1933" s="39" t="n">
        <f aca="false">J1933*Resumo!$C$7</f>
        <v>0.83998</v>
      </c>
      <c r="O1933" s="39" t="n">
        <f aca="false">J1933*Resumo!$C$8</f>
        <v>0.83998</v>
      </c>
      <c r="P1933" s="39" t="n">
        <f aca="false">Resumo!$C$10*CEILING(I1933/100,1)</f>
        <v>1</v>
      </c>
      <c r="Q1933" s="39" t="n">
        <f aca="false">Resumo!$C$9</f>
        <v>11.9</v>
      </c>
      <c r="R1933" s="39" t="n">
        <f aca="false">SUM(M1933:Q1933)*Resumo!$C$11</f>
        <v>4.2146478</v>
      </c>
      <c r="S1933" s="39" t="n">
        <f aca="false">SUM(M1933:R1933)</f>
        <v>80.8446078</v>
      </c>
      <c r="T1933" s="39" t="n">
        <f aca="false">S1933/(1-Resumo!$C$5)</f>
        <v>91.8688725</v>
      </c>
      <c r="U1933" s="39" t="n">
        <v>93.97</v>
      </c>
      <c r="V1933" s="39" t="n">
        <f aca="false">J1933*Resumo!$B$6</f>
        <v>0.41999</v>
      </c>
      <c r="W1933" s="39" t="n">
        <f aca="false">J1933*Resumo!$B$7</f>
        <v>0.83998</v>
      </c>
      <c r="X1933" s="39" t="n">
        <f aca="false">Resumo!$B$9</f>
        <v>1</v>
      </c>
      <c r="Y1933" s="39" t="n">
        <f aca="false">Resumo!$B$10*CEILING(I1933/100,1)</f>
        <v>4.5</v>
      </c>
      <c r="Z1933" s="39" t="n">
        <f aca="false">Resumo!$B$12*CEILING(I1933,1)</f>
        <v>2.28</v>
      </c>
      <c r="AA1933" s="39" t="n">
        <f aca="false">Resumo!$B$13*CEILING(I1933,1)</f>
        <v>17.1</v>
      </c>
      <c r="AB1933" s="39" t="n">
        <f aca="false">SUM(U1933:AA1933)</f>
        <v>120.10997</v>
      </c>
      <c r="AC1933" s="39" t="n">
        <f aca="false">AB1933/(1-Resumo!$B$5)</f>
        <v>136.488602272727</v>
      </c>
      <c r="AD1933" s="39" t="n">
        <f aca="false">(AB1933-AA1933)/(1-Resumo!$B$5)</f>
        <v>117.056784090909</v>
      </c>
      <c r="AE1933" s="39" t="n">
        <f aca="false">AC1933-T1933</f>
        <v>44.6197297727273</v>
      </c>
      <c r="AF1933" s="40" t="n">
        <f aca="false">AC1933/T1933-1</f>
        <v>0.485689315200067</v>
      </c>
      <c r="AG1933" s="37" t="str">
        <f aca="false">IF(AC1933&lt;T1933,"SIM","NÃO")</f>
        <v>NÃO</v>
      </c>
      <c r="AH1933" s="37" t="n">
        <v>8</v>
      </c>
      <c r="AI1933" s="37" t="n">
        <v>5</v>
      </c>
      <c r="AJ1933" s="37" t="s">
        <v>323</v>
      </c>
    </row>
    <row r="1934" customFormat="false" ht="15" hidden="false" customHeight="false" outlineLevel="0" collapsed="false">
      <c r="A1934" s="37" t="n">
        <v>396849252</v>
      </c>
      <c r="B1934" s="38" t="n">
        <v>46284.6896412037</v>
      </c>
      <c r="C1934" s="37" t="s">
        <v>325</v>
      </c>
      <c r="D1934" s="37" t="s">
        <v>1461</v>
      </c>
      <c r="E1934" s="37" t="n">
        <v>21815340</v>
      </c>
      <c r="F1934" s="37" t="s">
        <v>139</v>
      </c>
      <c r="G1934" s="37" t="s">
        <v>198</v>
      </c>
      <c r="H1934" s="37" t="s">
        <v>168</v>
      </c>
      <c r="I1934" s="37" t="n">
        <v>21.75</v>
      </c>
      <c r="J1934" s="39" t="n">
        <v>285</v>
      </c>
      <c r="K1934" s="37" t="s">
        <v>322</v>
      </c>
      <c r="L1934" s="39" t="n">
        <v>81.69</v>
      </c>
      <c r="M1934" s="39" t="n">
        <v>54.1</v>
      </c>
      <c r="N1934" s="39" t="n">
        <f aca="false">J1934*Resumo!$C$7</f>
        <v>0.57</v>
      </c>
      <c r="O1934" s="39" t="n">
        <f aca="false">J1934*Resumo!$C$8</f>
        <v>0.57</v>
      </c>
      <c r="P1934" s="39" t="n">
        <f aca="false">Resumo!$C$10*CEILING(I1934/100,1)</f>
        <v>1</v>
      </c>
      <c r="Q1934" s="39" t="n">
        <f aca="false">Resumo!$C$9</f>
        <v>11.9</v>
      </c>
      <c r="R1934" s="39" t="n">
        <f aca="false">SUM(M1934:Q1934)*Resumo!$C$11</f>
        <v>3.7477</v>
      </c>
      <c r="S1934" s="39" t="n">
        <f aca="false">SUM(M1934:R1934)</f>
        <v>71.8877</v>
      </c>
      <c r="T1934" s="39" t="n">
        <f aca="false">S1934/(1-Resumo!$C$5)</f>
        <v>81.6905681818182</v>
      </c>
      <c r="U1934" s="39" t="n">
        <v>82.21</v>
      </c>
      <c r="V1934" s="39" t="n">
        <f aca="false">J1934*Resumo!$B$6</f>
        <v>0.285</v>
      </c>
      <c r="W1934" s="39" t="n">
        <f aca="false">J1934*Resumo!$B$7</f>
        <v>0.57</v>
      </c>
      <c r="X1934" s="39" t="n">
        <f aca="false">Resumo!$B$9</f>
        <v>1</v>
      </c>
      <c r="Y1934" s="39" t="n">
        <f aca="false">Resumo!$B$10*CEILING(I1934/100,1)</f>
        <v>4.5</v>
      </c>
      <c r="Z1934" s="39" t="n">
        <f aca="false">Resumo!$B$12*CEILING(I1934,1)</f>
        <v>1.32</v>
      </c>
      <c r="AA1934" s="39" t="n">
        <f aca="false">Resumo!$B$13*CEILING(I1934,1)</f>
        <v>9.9</v>
      </c>
      <c r="AB1934" s="39" t="n">
        <f aca="false">SUM(U1934:AA1934)</f>
        <v>99.785</v>
      </c>
      <c r="AC1934" s="39" t="n">
        <f aca="false">AB1934/(1-Resumo!$B$5)</f>
        <v>113.392045454545</v>
      </c>
      <c r="AD1934" s="39" t="n">
        <f aca="false">(AB1934-AA1934)/(1-Resumo!$B$5)</f>
        <v>102.142045454545</v>
      </c>
      <c r="AE1934" s="39" t="n">
        <f aca="false">AC1934-T1934</f>
        <v>31.7014772727273</v>
      </c>
      <c r="AF1934" s="40" t="n">
        <f aca="false">AC1934/T1934-1</f>
        <v>0.388067777936977</v>
      </c>
      <c r="AG1934" s="37" t="str">
        <f aca="false">IF(AC1934&lt;T1934,"SIM","NÃO")</f>
        <v>NÃO</v>
      </c>
      <c r="AH1934" s="37" t="n">
        <v>8</v>
      </c>
      <c r="AI1934" s="37" t="n">
        <v>5</v>
      </c>
      <c r="AJ1934" s="37" t="s">
        <v>323</v>
      </c>
    </row>
    <row r="1935" customFormat="false" ht="15" hidden="false" customHeight="false" outlineLevel="0" collapsed="false">
      <c r="A1935" s="37" t="n">
        <v>396854941</v>
      </c>
      <c r="B1935" s="38" t="n">
        <v>46284.6992939815</v>
      </c>
      <c r="C1935" s="37" t="s">
        <v>325</v>
      </c>
      <c r="D1935" s="37" t="s">
        <v>2063</v>
      </c>
      <c r="E1935" s="37" t="n">
        <v>24736050</v>
      </c>
      <c r="F1935" s="37" t="s">
        <v>140</v>
      </c>
      <c r="G1935" s="37" t="s">
        <v>207</v>
      </c>
      <c r="H1935" s="37" t="s">
        <v>176</v>
      </c>
      <c r="I1935" s="37" t="n">
        <v>124.2</v>
      </c>
      <c r="J1935" s="39" t="n">
        <v>1526.91</v>
      </c>
      <c r="K1935" s="37" t="s">
        <v>322</v>
      </c>
      <c r="L1935" s="39" t="n">
        <v>243.91</v>
      </c>
      <c r="M1935" s="39" t="n">
        <v>183.45</v>
      </c>
      <c r="N1935" s="39" t="n">
        <f aca="false">J1935*Resumo!$C$7</f>
        <v>3.05382</v>
      </c>
      <c r="O1935" s="39" t="n">
        <f aca="false">J1935*Resumo!$C$8</f>
        <v>3.05382</v>
      </c>
      <c r="P1935" s="39" t="n">
        <f aca="false">Resumo!$C$10*CEILING(I1935/100,1)</f>
        <v>2</v>
      </c>
      <c r="Q1935" s="39" t="n">
        <f aca="false">Resumo!$C$9</f>
        <v>11.9</v>
      </c>
      <c r="R1935" s="39" t="n">
        <f aca="false">SUM(M1935:Q1935)*Resumo!$C$11</f>
        <v>11.1901702</v>
      </c>
      <c r="S1935" s="39" t="n">
        <f aca="false">SUM(M1935:R1935)</f>
        <v>214.6478102</v>
      </c>
      <c r="T1935" s="39" t="n">
        <f aca="false">S1935/(1-Resumo!$C$5)</f>
        <v>243.917966136364</v>
      </c>
      <c r="U1935" s="39" t="n">
        <v>249.03</v>
      </c>
      <c r="V1935" s="39" t="n">
        <f aca="false">J1935*Resumo!$B$6</f>
        <v>1.52691</v>
      </c>
      <c r="W1935" s="39" t="n">
        <f aca="false">J1935*Resumo!$B$7</f>
        <v>3.05382</v>
      </c>
      <c r="X1935" s="39" t="n">
        <f aca="false">Resumo!$B$9</f>
        <v>1</v>
      </c>
      <c r="Y1935" s="39" t="n">
        <f aca="false">Resumo!$B$10*CEILING(I1935/100,1)</f>
        <v>9</v>
      </c>
      <c r="Z1935" s="39" t="n">
        <f aca="false">Resumo!$B$12*CEILING(I1935,1)</f>
        <v>7.5</v>
      </c>
      <c r="AA1935" s="39" t="n">
        <f aca="false">Resumo!$B$13*CEILING(I1935,1)</f>
        <v>56.25</v>
      </c>
      <c r="AB1935" s="39" t="n">
        <f aca="false">SUM(U1935:AA1935)</f>
        <v>327.36073</v>
      </c>
      <c r="AC1935" s="39" t="n">
        <f aca="false">AB1935/(1-Resumo!$B$5)</f>
        <v>372.000829545455</v>
      </c>
      <c r="AD1935" s="39" t="n">
        <f aca="false">(AB1935-AA1935)/(1-Resumo!$B$5)</f>
        <v>308.080375</v>
      </c>
      <c r="AE1935" s="39" t="n">
        <f aca="false">AC1935-T1935</f>
        <v>128.082863409091</v>
      </c>
      <c r="AF1935" s="40" t="n">
        <f aca="false">AC1935/T1935-1</f>
        <v>0.525106311100862</v>
      </c>
      <c r="AG1935" s="37" t="str">
        <f aca="false">IF(AC1935&lt;T1935,"SIM","NÃO")</f>
        <v>NÃO</v>
      </c>
      <c r="AH1935" s="37" t="n">
        <v>10</v>
      </c>
      <c r="AI1935" s="37" t="n">
        <v>7</v>
      </c>
      <c r="AJ1935" s="37" t="s">
        <v>323</v>
      </c>
    </row>
    <row r="1936" customFormat="false" ht="15" hidden="false" customHeight="false" outlineLevel="0" collapsed="false">
      <c r="A1936" s="37" t="n">
        <v>396884792</v>
      </c>
      <c r="B1936" s="38" t="n">
        <v>46284.753900463</v>
      </c>
      <c r="C1936" s="37" t="s">
        <v>320</v>
      </c>
      <c r="D1936" s="37" t="s">
        <v>2064</v>
      </c>
      <c r="E1936" s="37" t="n">
        <v>21853470</v>
      </c>
      <c r="F1936" s="37" t="s">
        <v>139</v>
      </c>
      <c r="G1936" s="37" t="s">
        <v>198</v>
      </c>
      <c r="H1936" s="37" t="s">
        <v>172</v>
      </c>
      <c r="I1936" s="37" t="n">
        <v>66.8</v>
      </c>
      <c r="J1936" s="39" t="n">
        <v>719.99</v>
      </c>
      <c r="K1936" s="37" t="s">
        <v>322</v>
      </c>
      <c r="L1936" s="39" t="n">
        <v>124.66</v>
      </c>
      <c r="M1936" s="39" t="n">
        <v>88.2</v>
      </c>
      <c r="N1936" s="39" t="n">
        <f aca="false">J1936*Resumo!$C$7</f>
        <v>1.43998</v>
      </c>
      <c r="O1936" s="39" t="n">
        <f aca="false">J1936*Resumo!$C$8</f>
        <v>1.43998</v>
      </c>
      <c r="P1936" s="39" t="n">
        <f aca="false">Resumo!$C$10*CEILING(I1936/100,1)</f>
        <v>1</v>
      </c>
      <c r="Q1936" s="39" t="n">
        <f aca="false">Resumo!$C$9</f>
        <v>11.9</v>
      </c>
      <c r="R1936" s="39" t="n">
        <f aca="false">SUM(M1936:Q1936)*Resumo!$C$11</f>
        <v>5.7188978</v>
      </c>
      <c r="S1936" s="39" t="n">
        <f aca="false">SUM(M1936:R1936)</f>
        <v>109.6988578</v>
      </c>
      <c r="T1936" s="39" t="n">
        <f aca="false">S1936/(1-Resumo!$C$5)</f>
        <v>124.657792954545</v>
      </c>
      <c r="U1936" s="39" t="n">
        <v>131.02</v>
      </c>
      <c r="V1936" s="39" t="n">
        <f aca="false">J1936*Resumo!$B$6</f>
        <v>0.71999</v>
      </c>
      <c r="W1936" s="39" t="n">
        <f aca="false">J1936*Resumo!$B$7</f>
        <v>1.43998</v>
      </c>
      <c r="X1936" s="39" t="n">
        <f aca="false">Resumo!$B$9</f>
        <v>1</v>
      </c>
      <c r="Y1936" s="39" t="n">
        <f aca="false">Resumo!$B$10*CEILING(I1936/100,1)</f>
        <v>4.5</v>
      </c>
      <c r="Z1936" s="39" t="n">
        <f aca="false">Resumo!$B$12*CEILING(I1936,1)</f>
        <v>4.02</v>
      </c>
      <c r="AA1936" s="39" t="n">
        <f aca="false">Resumo!$B$13*CEILING(I1936,1)</f>
        <v>30.15</v>
      </c>
      <c r="AB1936" s="39" t="n">
        <f aca="false">SUM(U1936:AA1936)</f>
        <v>172.84997</v>
      </c>
      <c r="AC1936" s="39" t="n">
        <f aca="false">AB1936/(1-Resumo!$B$5)</f>
        <v>196.420420454545</v>
      </c>
      <c r="AD1936" s="39" t="n">
        <f aca="false">(AB1936-AA1936)/(1-Resumo!$B$5)</f>
        <v>162.159056818182</v>
      </c>
      <c r="AE1936" s="39" t="n">
        <f aca="false">AC1936-T1936</f>
        <v>71.7626275</v>
      </c>
      <c r="AF1936" s="40" t="n">
        <f aca="false">AC1936/T1936-1</f>
        <v>0.575677025873281</v>
      </c>
      <c r="AG1936" s="37" t="str">
        <f aca="false">IF(AC1936&lt;T1936,"SIM","NÃO")</f>
        <v>NÃO</v>
      </c>
      <c r="AH1936" s="37" t="n">
        <v>8</v>
      </c>
      <c r="AI1936" s="37" t="n">
        <v>5</v>
      </c>
      <c r="AJ1936" s="37" t="s">
        <v>323</v>
      </c>
    </row>
    <row r="1937" customFormat="false" ht="15" hidden="false" customHeight="false" outlineLevel="0" collapsed="false">
      <c r="A1937" s="37" t="n">
        <v>396908178</v>
      </c>
      <c r="B1937" s="38" t="n">
        <v>46284.7961226852</v>
      </c>
      <c r="C1937" s="37" t="s">
        <v>320</v>
      </c>
      <c r="D1937" s="37" t="s">
        <v>2065</v>
      </c>
      <c r="E1937" s="37" t="n">
        <v>20745220</v>
      </c>
      <c r="F1937" s="37" t="s">
        <v>139</v>
      </c>
      <c r="G1937" s="37" t="s">
        <v>198</v>
      </c>
      <c r="H1937" s="37" t="s">
        <v>172</v>
      </c>
      <c r="I1937" s="37" t="n">
        <v>68.7</v>
      </c>
      <c r="J1937" s="39" t="n">
        <v>749.99</v>
      </c>
      <c r="K1937" s="37" t="s">
        <v>322</v>
      </c>
      <c r="L1937" s="39" t="n">
        <v>124.81</v>
      </c>
      <c r="M1937" s="39" t="n">
        <v>88.2</v>
      </c>
      <c r="N1937" s="39" t="n">
        <f aca="false">J1937*Resumo!$C$7</f>
        <v>1.49998</v>
      </c>
      <c r="O1937" s="39" t="n">
        <f aca="false">J1937*Resumo!$C$8</f>
        <v>1.49998</v>
      </c>
      <c r="P1937" s="39" t="n">
        <f aca="false">Resumo!$C$10*CEILING(I1937/100,1)</f>
        <v>1</v>
      </c>
      <c r="Q1937" s="39" t="n">
        <f aca="false">Resumo!$C$9</f>
        <v>11.9</v>
      </c>
      <c r="R1937" s="39" t="n">
        <f aca="false">SUM(M1937:Q1937)*Resumo!$C$11</f>
        <v>5.7254978</v>
      </c>
      <c r="S1937" s="39" t="n">
        <f aca="false">SUM(M1937:R1937)</f>
        <v>109.8254578</v>
      </c>
      <c r="T1937" s="39" t="n">
        <f aca="false">S1937/(1-Resumo!$C$5)</f>
        <v>124.801656590909</v>
      </c>
      <c r="U1937" s="39" t="n">
        <v>131.02</v>
      </c>
      <c r="V1937" s="39" t="n">
        <f aca="false">J1937*Resumo!$B$6</f>
        <v>0.74999</v>
      </c>
      <c r="W1937" s="39" t="n">
        <f aca="false">J1937*Resumo!$B$7</f>
        <v>1.49998</v>
      </c>
      <c r="X1937" s="39" t="n">
        <f aca="false">Resumo!$B$9</f>
        <v>1</v>
      </c>
      <c r="Y1937" s="39" t="n">
        <f aca="false">Resumo!$B$10*CEILING(I1937/100,1)</f>
        <v>4.5</v>
      </c>
      <c r="Z1937" s="39" t="n">
        <f aca="false">Resumo!$B$12*CEILING(I1937,1)</f>
        <v>4.14</v>
      </c>
      <c r="AA1937" s="39" t="n">
        <f aca="false">Resumo!$B$13*CEILING(I1937,1)</f>
        <v>31.05</v>
      </c>
      <c r="AB1937" s="39" t="n">
        <f aca="false">SUM(U1937:AA1937)</f>
        <v>173.95997</v>
      </c>
      <c r="AC1937" s="39" t="n">
        <f aca="false">AB1937/(1-Resumo!$B$5)</f>
        <v>197.681784090909</v>
      </c>
      <c r="AD1937" s="39" t="n">
        <f aca="false">(AB1937-AA1937)/(1-Resumo!$B$5)</f>
        <v>162.397693181818</v>
      </c>
      <c r="AE1937" s="39" t="n">
        <f aca="false">AC1937-T1937</f>
        <v>72.8801275</v>
      </c>
      <c r="AF1937" s="40" t="n">
        <f aca="false">AC1937/T1937-1</f>
        <v>0.583967629042745</v>
      </c>
      <c r="AG1937" s="37" t="str">
        <f aca="false">IF(AC1937&lt;T1937,"SIM","NÃO")</f>
        <v>NÃO</v>
      </c>
      <c r="AH1937" s="37" t="n">
        <v>8</v>
      </c>
      <c r="AI1937" s="37" t="n">
        <v>5</v>
      </c>
      <c r="AJ1937" s="37" t="s">
        <v>323</v>
      </c>
    </row>
    <row r="1938" customFormat="false" ht="15" hidden="false" customHeight="false" outlineLevel="0" collapsed="false">
      <c r="A1938" s="37" t="n">
        <v>396923130</v>
      </c>
      <c r="B1938" s="38" t="n">
        <v>46284.8237152778</v>
      </c>
      <c r="C1938" s="37" t="s">
        <v>325</v>
      </c>
      <c r="D1938" s="37" t="s">
        <v>2066</v>
      </c>
      <c r="E1938" s="37" t="n">
        <v>24900798</v>
      </c>
      <c r="F1938" s="37" t="s">
        <v>151</v>
      </c>
      <c r="G1938" s="37" t="s">
        <v>201</v>
      </c>
      <c r="H1938" s="37" t="s">
        <v>168</v>
      </c>
      <c r="I1938" s="37" t="n">
        <v>33</v>
      </c>
      <c r="J1938" s="39" t="n">
        <v>458.3</v>
      </c>
      <c r="K1938" s="37" t="s">
        <v>322</v>
      </c>
      <c r="L1938" s="39" t="n">
        <v>109.39</v>
      </c>
      <c r="M1938" s="39" t="n">
        <v>76.5</v>
      </c>
      <c r="N1938" s="39" t="n">
        <f aca="false">J1938*Resumo!$C$7</f>
        <v>0.9166</v>
      </c>
      <c r="O1938" s="39" t="n">
        <f aca="false">J1938*Resumo!$C$8</f>
        <v>0.9166</v>
      </c>
      <c r="P1938" s="39" t="n">
        <f aca="false">Resumo!$C$10*CEILING(I1938/100,1)</f>
        <v>1</v>
      </c>
      <c r="Q1938" s="39" t="n">
        <f aca="false">Resumo!$C$9</f>
        <v>11.9</v>
      </c>
      <c r="R1938" s="39" t="n">
        <f aca="false">SUM(M1938:Q1938)*Resumo!$C$11</f>
        <v>5.017826</v>
      </c>
      <c r="S1938" s="39" t="n">
        <f aca="false">SUM(M1938:R1938)</f>
        <v>96.251026</v>
      </c>
      <c r="T1938" s="39" t="n">
        <f aca="false">S1938/(1-Resumo!$C$5)</f>
        <v>109.376165909091</v>
      </c>
      <c r="U1938" s="39" t="n">
        <v>100.58</v>
      </c>
      <c r="V1938" s="39" t="n">
        <f aca="false">J1938*Resumo!$B$6</f>
        <v>0.4583</v>
      </c>
      <c r="W1938" s="39" t="n">
        <f aca="false">J1938*Resumo!$B$7</f>
        <v>0.9166</v>
      </c>
      <c r="X1938" s="39" t="n">
        <f aca="false">Resumo!$B$9</f>
        <v>1</v>
      </c>
      <c r="Y1938" s="39" t="n">
        <f aca="false">Resumo!$B$10*CEILING(I1938/100,1)</f>
        <v>4.5</v>
      </c>
      <c r="Z1938" s="39" t="n">
        <f aca="false">Resumo!$B$12*CEILING(I1938,1)</f>
        <v>1.98</v>
      </c>
      <c r="AA1938" s="39" t="n">
        <f aca="false">Resumo!$B$13*CEILING(I1938,1)</f>
        <v>14.85</v>
      </c>
      <c r="AB1938" s="39" t="n">
        <f aca="false">SUM(U1938:AA1938)</f>
        <v>124.2849</v>
      </c>
      <c r="AC1938" s="39" t="n">
        <f aca="false">AB1938/(1-Resumo!$B$5)</f>
        <v>141.232840909091</v>
      </c>
      <c r="AD1938" s="39" t="n">
        <f aca="false">(AB1938-AA1938)/(1-Resumo!$B$5)</f>
        <v>124.357840909091</v>
      </c>
      <c r="AE1938" s="39" t="n">
        <f aca="false">AC1938-T1938</f>
        <v>31.856675</v>
      </c>
      <c r="AF1938" s="40" t="n">
        <f aca="false">AC1938/T1938-1</f>
        <v>0.291257923837612</v>
      </c>
      <c r="AG1938" s="37" t="str">
        <f aca="false">IF(AC1938&lt;T1938,"SIM","NÃO")</f>
        <v>NÃO</v>
      </c>
      <c r="AH1938" s="37" t="n">
        <v>13</v>
      </c>
      <c r="AI1938" s="37" t="n">
        <v>7</v>
      </c>
      <c r="AJ1938" s="37" t="s">
        <v>323</v>
      </c>
    </row>
    <row r="1939" customFormat="false" ht="15" hidden="false" customHeight="false" outlineLevel="0" collapsed="false">
      <c r="A1939" s="37" t="n">
        <v>396929050</v>
      </c>
      <c r="B1939" s="38" t="n">
        <v>46284.834837963</v>
      </c>
      <c r="C1939" s="37" t="s">
        <v>320</v>
      </c>
      <c r="D1939" s="37" t="s">
        <v>2067</v>
      </c>
      <c r="E1939" s="37" t="n">
        <v>28143000</v>
      </c>
      <c r="F1939" s="37" t="s">
        <v>144</v>
      </c>
      <c r="G1939" s="37" t="s">
        <v>201</v>
      </c>
      <c r="H1939" s="37" t="s">
        <v>172</v>
      </c>
      <c r="I1939" s="37" t="n">
        <v>61.4</v>
      </c>
      <c r="J1939" s="39" t="n">
        <v>999.99</v>
      </c>
      <c r="K1939" s="37" t="s">
        <v>322</v>
      </c>
      <c r="L1939" s="39" t="n">
        <v>156.81</v>
      </c>
      <c r="M1939" s="39" t="n">
        <v>113.9</v>
      </c>
      <c r="N1939" s="39" t="n">
        <f aca="false">J1939*Resumo!$C$7</f>
        <v>1.99998</v>
      </c>
      <c r="O1939" s="39" t="n">
        <f aca="false">J1939*Resumo!$C$8</f>
        <v>1.99998</v>
      </c>
      <c r="P1939" s="39" t="n">
        <f aca="false">Resumo!$C$10*CEILING(I1939/100,1)</f>
        <v>1</v>
      </c>
      <c r="Q1939" s="39" t="n">
        <f aca="false">Resumo!$C$9</f>
        <v>11.9</v>
      </c>
      <c r="R1939" s="39" t="n">
        <f aca="false">SUM(M1939:Q1939)*Resumo!$C$11</f>
        <v>7.1939978</v>
      </c>
      <c r="S1939" s="39" t="n">
        <f aca="false">SUM(M1939:R1939)</f>
        <v>137.9939578</v>
      </c>
      <c r="T1939" s="39" t="n">
        <f aca="false">S1939/(1-Resumo!$C$5)</f>
        <v>156.811315681818</v>
      </c>
      <c r="U1939" s="39" t="n">
        <v>171.54</v>
      </c>
      <c r="V1939" s="39" t="n">
        <f aca="false">J1939*Resumo!$B$6</f>
        <v>0.99999</v>
      </c>
      <c r="W1939" s="39" t="n">
        <f aca="false">J1939*Resumo!$B$7</f>
        <v>1.99998</v>
      </c>
      <c r="X1939" s="39" t="n">
        <f aca="false">Resumo!$B$9</f>
        <v>1</v>
      </c>
      <c r="Y1939" s="39" t="n">
        <f aca="false">Resumo!$B$10*CEILING(I1939/100,1)</f>
        <v>4.5</v>
      </c>
      <c r="Z1939" s="39" t="n">
        <f aca="false">Resumo!$B$12*CEILING(I1939,1)</f>
        <v>3.72</v>
      </c>
      <c r="AA1939" s="39" t="n">
        <f aca="false">Resumo!$B$13*CEILING(I1939,1)</f>
        <v>27.9</v>
      </c>
      <c r="AB1939" s="39" t="n">
        <f aca="false">SUM(U1939:AA1939)</f>
        <v>211.65997</v>
      </c>
      <c r="AC1939" s="39" t="n">
        <f aca="false">AB1939/(1-Resumo!$B$5)</f>
        <v>240.522693181818</v>
      </c>
      <c r="AD1939" s="39" t="n">
        <f aca="false">(AB1939-AA1939)/(1-Resumo!$B$5)</f>
        <v>208.818147727273</v>
      </c>
      <c r="AE1939" s="39" t="n">
        <f aca="false">AC1939-T1939</f>
        <v>83.7113775</v>
      </c>
      <c r="AF1939" s="40" t="n">
        <f aca="false">AC1939/T1939-1</f>
        <v>0.533835056073738</v>
      </c>
      <c r="AG1939" s="37" t="str">
        <f aca="false">IF(AC1939&lt;T1939,"SIM","NÃO")</f>
        <v>NÃO</v>
      </c>
      <c r="AH1939" s="37" t="n">
        <v>13</v>
      </c>
      <c r="AI1939" s="37" t="n">
        <v>11</v>
      </c>
      <c r="AJ1939" s="37" t="s">
        <v>323</v>
      </c>
    </row>
    <row r="1940" customFormat="false" ht="15" hidden="false" customHeight="false" outlineLevel="0" collapsed="false">
      <c r="A1940" s="37" t="n">
        <v>396944457</v>
      </c>
      <c r="B1940" s="38" t="n">
        <v>46284.8609953704</v>
      </c>
      <c r="C1940" s="37" t="s">
        <v>352</v>
      </c>
      <c r="D1940" s="37" t="s">
        <v>2068</v>
      </c>
      <c r="E1940" s="37" t="n">
        <v>23050200</v>
      </c>
      <c r="F1940" s="37" t="s">
        <v>139</v>
      </c>
      <c r="G1940" s="37" t="s">
        <v>198</v>
      </c>
      <c r="H1940" s="37" t="s">
        <v>169</v>
      </c>
      <c r="I1940" s="37" t="n">
        <v>36.8</v>
      </c>
      <c r="J1940" s="39" t="n">
        <v>467.49</v>
      </c>
      <c r="K1940" s="37" t="s">
        <v>322</v>
      </c>
      <c r="L1940" s="39" t="n">
        <v>92.08</v>
      </c>
      <c r="M1940" s="39" t="n">
        <v>62.05</v>
      </c>
      <c r="N1940" s="39" t="n">
        <f aca="false">J1940*Resumo!$C$7</f>
        <v>0.93498</v>
      </c>
      <c r="O1940" s="39" t="n">
        <f aca="false">J1940*Resumo!$C$8</f>
        <v>0.93498</v>
      </c>
      <c r="P1940" s="39" t="n">
        <f aca="false">Resumo!$C$10*CEILING(I1940/100,1)</f>
        <v>1</v>
      </c>
      <c r="Q1940" s="39" t="n">
        <f aca="false">Resumo!$C$9</f>
        <v>11.9</v>
      </c>
      <c r="R1940" s="39" t="n">
        <f aca="false">SUM(M1940:Q1940)*Resumo!$C$11</f>
        <v>4.2250978</v>
      </c>
      <c r="S1940" s="39" t="n">
        <f aca="false">SUM(M1940:R1940)</f>
        <v>81.0450578</v>
      </c>
      <c r="T1940" s="39" t="n">
        <f aca="false">S1940/(1-Resumo!$C$5)</f>
        <v>92.0966565909091</v>
      </c>
      <c r="U1940" s="39" t="n">
        <v>93.97</v>
      </c>
      <c r="V1940" s="39" t="n">
        <f aca="false">J1940*Resumo!$B$6</f>
        <v>0.46749</v>
      </c>
      <c r="W1940" s="39" t="n">
        <f aca="false">J1940*Resumo!$B$7</f>
        <v>0.93498</v>
      </c>
      <c r="X1940" s="39" t="n">
        <f aca="false">Resumo!$B$9</f>
        <v>1</v>
      </c>
      <c r="Y1940" s="39" t="n">
        <f aca="false">Resumo!$B$10*CEILING(I1940/100,1)</f>
        <v>4.5</v>
      </c>
      <c r="Z1940" s="39" t="n">
        <f aca="false">Resumo!$B$12*CEILING(I1940,1)</f>
        <v>2.22</v>
      </c>
      <c r="AA1940" s="39" t="n">
        <f aca="false">Resumo!$B$13*CEILING(I1940,1)</f>
        <v>16.65</v>
      </c>
      <c r="AB1940" s="39" t="n">
        <f aca="false">SUM(U1940:AA1940)</f>
        <v>119.74247</v>
      </c>
      <c r="AC1940" s="39" t="n">
        <f aca="false">AB1940/(1-Resumo!$B$5)</f>
        <v>136.070988636364</v>
      </c>
      <c r="AD1940" s="39" t="n">
        <f aca="false">(AB1940-AA1940)/(1-Resumo!$B$5)</f>
        <v>117.150534090909</v>
      </c>
      <c r="AE1940" s="39" t="n">
        <f aca="false">AC1940-T1940</f>
        <v>43.9743320454545</v>
      </c>
      <c r="AF1940" s="40" t="n">
        <f aca="false">AC1940/T1940-1</f>
        <v>0.477480222119109</v>
      </c>
      <c r="AG1940" s="37" t="str">
        <f aca="false">IF(AC1940&lt;T1940,"SIM","NÃO")</f>
        <v>NÃO</v>
      </c>
      <c r="AH1940" s="37" t="n">
        <v>8</v>
      </c>
      <c r="AI1940" s="37" t="n">
        <v>5</v>
      </c>
      <c r="AJ1940" s="37" t="s">
        <v>323</v>
      </c>
    </row>
    <row r="1941" customFormat="false" ht="15" hidden="false" customHeight="false" outlineLevel="0" collapsed="false">
      <c r="A1941" s="37" t="n">
        <v>396951842</v>
      </c>
      <c r="B1941" s="38" t="n">
        <v>46284.8726736111</v>
      </c>
      <c r="C1941" s="37" t="s">
        <v>320</v>
      </c>
      <c r="D1941" s="37" t="s">
        <v>765</v>
      </c>
      <c r="E1941" s="37" t="n">
        <v>23520286</v>
      </c>
      <c r="F1941" s="37" t="s">
        <v>139</v>
      </c>
      <c r="G1941" s="37" t="s">
        <v>198</v>
      </c>
      <c r="H1941" s="37" t="s">
        <v>169</v>
      </c>
      <c r="I1941" s="37" t="n">
        <v>37.6</v>
      </c>
      <c r="J1941" s="39" t="n">
        <v>459.99</v>
      </c>
      <c r="K1941" s="37" t="s">
        <v>322</v>
      </c>
      <c r="L1941" s="39" t="n">
        <v>92.06</v>
      </c>
      <c r="M1941" s="39" t="n">
        <v>62.05</v>
      </c>
      <c r="N1941" s="39" t="n">
        <f aca="false">J1941*Resumo!$C$7</f>
        <v>0.91998</v>
      </c>
      <c r="O1941" s="39" t="n">
        <f aca="false">J1941*Resumo!$C$8</f>
        <v>0.91998</v>
      </c>
      <c r="P1941" s="39" t="n">
        <f aca="false">Resumo!$C$10*CEILING(I1941/100,1)</f>
        <v>1</v>
      </c>
      <c r="Q1941" s="39" t="n">
        <f aca="false">Resumo!$C$9</f>
        <v>11.9</v>
      </c>
      <c r="R1941" s="39" t="n">
        <f aca="false">SUM(M1941:Q1941)*Resumo!$C$11</f>
        <v>4.2234478</v>
      </c>
      <c r="S1941" s="39" t="n">
        <f aca="false">SUM(M1941:R1941)</f>
        <v>81.0134078</v>
      </c>
      <c r="T1941" s="39" t="n">
        <f aca="false">S1941/(1-Resumo!$C$5)</f>
        <v>92.0606906818182</v>
      </c>
      <c r="U1941" s="39" t="n">
        <v>93.97</v>
      </c>
      <c r="V1941" s="39" t="n">
        <f aca="false">J1941*Resumo!$B$6</f>
        <v>0.45999</v>
      </c>
      <c r="W1941" s="39" t="n">
        <f aca="false">J1941*Resumo!$B$7</f>
        <v>0.91998</v>
      </c>
      <c r="X1941" s="39" t="n">
        <f aca="false">Resumo!$B$9</f>
        <v>1</v>
      </c>
      <c r="Y1941" s="39" t="n">
        <f aca="false">Resumo!$B$10*CEILING(I1941/100,1)</f>
        <v>4.5</v>
      </c>
      <c r="Z1941" s="39" t="n">
        <f aca="false">Resumo!$B$12*CEILING(I1941,1)</f>
        <v>2.28</v>
      </c>
      <c r="AA1941" s="39" t="n">
        <f aca="false">Resumo!$B$13*CEILING(I1941,1)</f>
        <v>17.1</v>
      </c>
      <c r="AB1941" s="39" t="n">
        <f aca="false">SUM(U1941:AA1941)</f>
        <v>120.22997</v>
      </c>
      <c r="AC1941" s="39" t="n">
        <f aca="false">AB1941/(1-Resumo!$B$5)</f>
        <v>136.624965909091</v>
      </c>
      <c r="AD1941" s="39" t="n">
        <f aca="false">(AB1941-AA1941)/(1-Resumo!$B$5)</f>
        <v>117.193147727273</v>
      </c>
      <c r="AE1941" s="39" t="n">
        <f aca="false">AC1941-T1941</f>
        <v>44.5642752272727</v>
      </c>
      <c r="AF1941" s="40" t="n">
        <f aca="false">AC1941/T1941-1</f>
        <v>0.484074960737549</v>
      </c>
      <c r="AG1941" s="37" t="str">
        <f aca="false">IF(AC1941&lt;T1941,"SIM","NÃO")</f>
        <v>NÃO</v>
      </c>
      <c r="AH1941" s="37" t="n">
        <v>8</v>
      </c>
      <c r="AI1941" s="37" t="n">
        <v>5</v>
      </c>
      <c r="AJ1941" s="37" t="s">
        <v>323</v>
      </c>
    </row>
    <row r="1942" customFormat="false" ht="15" hidden="false" customHeight="false" outlineLevel="0" collapsed="false">
      <c r="A1942" s="37" t="n">
        <v>396951868</v>
      </c>
      <c r="B1942" s="38" t="n">
        <v>46284.8726736111</v>
      </c>
      <c r="C1942" s="37" t="s">
        <v>320</v>
      </c>
      <c r="D1942" s="37" t="s">
        <v>765</v>
      </c>
      <c r="E1942" s="37" t="n">
        <v>23520286</v>
      </c>
      <c r="F1942" s="37" t="s">
        <v>139</v>
      </c>
      <c r="G1942" s="37" t="s">
        <v>198</v>
      </c>
      <c r="H1942" s="37" t="s">
        <v>168</v>
      </c>
      <c r="I1942" s="37" t="n">
        <v>31.4</v>
      </c>
      <c r="J1942" s="39" t="n">
        <v>399.95</v>
      </c>
      <c r="K1942" s="37" t="s">
        <v>322</v>
      </c>
      <c r="L1942" s="39" t="n">
        <v>82.24</v>
      </c>
      <c r="M1942" s="39" t="n">
        <v>54.1</v>
      </c>
      <c r="N1942" s="39" t="n">
        <f aca="false">J1942*Resumo!$C$7</f>
        <v>0.7999</v>
      </c>
      <c r="O1942" s="39" t="n">
        <f aca="false">J1942*Resumo!$C$8</f>
        <v>0.7999</v>
      </c>
      <c r="P1942" s="39" t="n">
        <f aca="false">Resumo!$C$10*CEILING(I1942/100,1)</f>
        <v>1</v>
      </c>
      <c r="Q1942" s="39" t="n">
        <f aca="false">Resumo!$C$9</f>
        <v>11.9</v>
      </c>
      <c r="R1942" s="39" t="n">
        <f aca="false">SUM(M1942:Q1942)*Resumo!$C$11</f>
        <v>3.772989</v>
      </c>
      <c r="S1942" s="39" t="n">
        <f aca="false">SUM(M1942:R1942)</f>
        <v>72.372789</v>
      </c>
      <c r="T1942" s="39" t="n">
        <f aca="false">S1942/(1-Resumo!$C$5)</f>
        <v>82.2418056818182</v>
      </c>
      <c r="U1942" s="39" t="n">
        <v>82.21</v>
      </c>
      <c r="V1942" s="39" t="n">
        <f aca="false">J1942*Resumo!$B$6</f>
        <v>0.39995</v>
      </c>
      <c r="W1942" s="39" t="n">
        <f aca="false">J1942*Resumo!$B$7</f>
        <v>0.7999</v>
      </c>
      <c r="X1942" s="39" t="n">
        <f aca="false">Resumo!$B$9</f>
        <v>1</v>
      </c>
      <c r="Y1942" s="39" t="n">
        <f aca="false">Resumo!$B$10*CEILING(I1942/100,1)</f>
        <v>4.5</v>
      </c>
      <c r="Z1942" s="39" t="n">
        <f aca="false">Resumo!$B$12*CEILING(I1942,1)</f>
        <v>1.92</v>
      </c>
      <c r="AA1942" s="39" t="n">
        <f aca="false">Resumo!$B$13*CEILING(I1942,1)</f>
        <v>14.4</v>
      </c>
      <c r="AB1942" s="39" t="n">
        <f aca="false">SUM(U1942:AA1942)</f>
        <v>105.22985</v>
      </c>
      <c r="AC1942" s="39" t="n">
        <f aca="false">AB1942/(1-Resumo!$B$5)</f>
        <v>119.579375</v>
      </c>
      <c r="AD1942" s="39" t="n">
        <f aca="false">(AB1942-AA1942)/(1-Resumo!$B$5)</f>
        <v>103.215738636364</v>
      </c>
      <c r="AE1942" s="39" t="n">
        <f aca="false">AC1942-T1942</f>
        <v>37.3375693181818</v>
      </c>
      <c r="AF1942" s="40" t="n">
        <f aca="false">AC1942/T1942-1</f>
        <v>0.453997440944275</v>
      </c>
      <c r="AG1942" s="37" t="str">
        <f aca="false">IF(AC1942&lt;T1942,"SIM","NÃO")</f>
        <v>NÃO</v>
      </c>
      <c r="AH1942" s="37" t="n">
        <v>8</v>
      </c>
      <c r="AI1942" s="37" t="n">
        <v>5</v>
      </c>
      <c r="AJ1942" s="37" t="s">
        <v>323</v>
      </c>
    </row>
    <row r="1943" customFormat="false" ht="15" hidden="false" customHeight="false" outlineLevel="0" collapsed="false">
      <c r="A1943" s="37" t="n">
        <v>396965036</v>
      </c>
      <c r="B1943" s="38" t="n">
        <v>46284.8932523148</v>
      </c>
      <c r="C1943" s="37" t="s">
        <v>320</v>
      </c>
      <c r="D1943" s="37" t="s">
        <v>2069</v>
      </c>
      <c r="E1943" s="37" t="n">
        <v>25808360</v>
      </c>
      <c r="F1943" s="37" t="s">
        <v>214</v>
      </c>
      <c r="G1943" s="37" t="s">
        <v>201</v>
      </c>
      <c r="H1943" s="37" t="s">
        <v>169</v>
      </c>
      <c r="I1943" s="37" t="n">
        <v>37.2</v>
      </c>
      <c r="J1943" s="39" t="n">
        <v>366.5</v>
      </c>
      <c r="K1943" s="37" t="s">
        <v>322</v>
      </c>
      <c r="L1943" s="39" t="n">
        <v>122</v>
      </c>
      <c r="M1943" s="39" t="n">
        <v>87.4</v>
      </c>
      <c r="N1943" s="39" t="n">
        <f aca="false">J1943*Resumo!$C$7</f>
        <v>0.733</v>
      </c>
      <c r="O1943" s="39" t="n">
        <f aca="false">J1943*Resumo!$C$8</f>
        <v>0.733</v>
      </c>
      <c r="P1943" s="39" t="n">
        <f aca="false">Resumo!$C$10*CEILING(I1943/100,1)</f>
        <v>1</v>
      </c>
      <c r="Q1943" s="39" t="n">
        <f aca="false">Resumo!$C$9</f>
        <v>11.9</v>
      </c>
      <c r="R1943" s="39" t="n">
        <f aca="false">SUM(M1943:Q1943)*Resumo!$C$11</f>
        <v>5.59713</v>
      </c>
      <c r="S1943" s="39" t="n">
        <f aca="false">SUM(M1943:R1943)</f>
        <v>107.36313</v>
      </c>
      <c r="T1943" s="39" t="n">
        <f aca="false">S1943/(1-Resumo!$C$5)</f>
        <v>122.003556818182</v>
      </c>
      <c r="U1943" s="39" t="n">
        <v>124.38</v>
      </c>
      <c r="V1943" s="39" t="n">
        <f aca="false">J1943*Resumo!$B$6</f>
        <v>0.3665</v>
      </c>
      <c r="W1943" s="39" t="n">
        <f aca="false">J1943*Resumo!$B$7</f>
        <v>0.733</v>
      </c>
      <c r="X1943" s="39" t="n">
        <f aca="false">Resumo!$B$9</f>
        <v>1</v>
      </c>
      <c r="Y1943" s="39" t="n">
        <f aca="false">Resumo!$B$10*CEILING(I1943/100,1)</f>
        <v>4.5</v>
      </c>
      <c r="Z1943" s="39" t="n">
        <f aca="false">Resumo!$B$12*CEILING(I1943,1)</f>
        <v>2.28</v>
      </c>
      <c r="AA1943" s="39" t="n">
        <f aca="false">Resumo!$B$13*CEILING(I1943,1)</f>
        <v>17.1</v>
      </c>
      <c r="AB1943" s="39" t="n">
        <f aca="false">SUM(U1943:AA1943)</f>
        <v>150.3595</v>
      </c>
      <c r="AC1943" s="39" t="n">
        <f aca="false">AB1943/(1-Resumo!$B$5)</f>
        <v>170.863068181818</v>
      </c>
      <c r="AD1943" s="39" t="n">
        <f aca="false">(AB1943-AA1943)/(1-Resumo!$B$5)</f>
        <v>151.43125</v>
      </c>
      <c r="AE1943" s="39" t="n">
        <f aca="false">AC1943-T1943</f>
        <v>48.8595113636363</v>
      </c>
      <c r="AF1943" s="40" t="n">
        <f aca="false">AC1943/T1943-1</f>
        <v>0.400476122482643</v>
      </c>
      <c r="AG1943" s="37" t="str">
        <f aca="false">IF(AC1943&lt;T1943,"SIM","NÃO")</f>
        <v>NÃO</v>
      </c>
      <c r="AH1943" s="37" t="n">
        <v>13</v>
      </c>
      <c r="AI1943" s="37" t="n">
        <v>8</v>
      </c>
      <c r="AJ1943" s="37" t="s">
        <v>327</v>
      </c>
    </row>
    <row r="1944" customFormat="false" ht="15" hidden="false" customHeight="false" outlineLevel="0" collapsed="false">
      <c r="A1944" s="37" t="n">
        <v>396972606</v>
      </c>
      <c r="B1944" s="38" t="n">
        <v>46284.9047569444</v>
      </c>
      <c r="C1944" s="37" t="s">
        <v>320</v>
      </c>
      <c r="D1944" s="37" t="s">
        <v>2070</v>
      </c>
      <c r="E1944" s="37" t="n">
        <v>23570020</v>
      </c>
      <c r="F1944" s="37" t="s">
        <v>139</v>
      </c>
      <c r="G1944" s="37" t="s">
        <v>198</v>
      </c>
      <c r="H1944" s="37" t="s">
        <v>170</v>
      </c>
      <c r="I1944" s="37" t="n">
        <v>49.6</v>
      </c>
      <c r="J1944" s="39" t="n">
        <v>769.99</v>
      </c>
      <c r="K1944" s="37" t="s">
        <v>322</v>
      </c>
      <c r="L1944" s="39" t="n">
        <v>104.27</v>
      </c>
      <c r="M1944" s="39" t="n">
        <v>71</v>
      </c>
      <c r="N1944" s="39" t="n">
        <f aca="false">J1944*Resumo!$C$7</f>
        <v>1.53998</v>
      </c>
      <c r="O1944" s="39" t="n">
        <f aca="false">J1944*Resumo!$C$8</f>
        <v>1.53998</v>
      </c>
      <c r="P1944" s="39" t="n">
        <f aca="false">Resumo!$C$10*CEILING(I1944/100,1)</f>
        <v>1</v>
      </c>
      <c r="Q1944" s="39" t="n">
        <f aca="false">Resumo!$C$9</f>
        <v>11.9</v>
      </c>
      <c r="R1944" s="39" t="n">
        <f aca="false">SUM(M1944:Q1944)*Resumo!$C$11</f>
        <v>4.7838978</v>
      </c>
      <c r="S1944" s="39" t="n">
        <f aca="false">SUM(M1944:R1944)</f>
        <v>91.7638578</v>
      </c>
      <c r="T1944" s="39" t="n">
        <f aca="false">S1944/(1-Resumo!$C$5)</f>
        <v>104.277111136364</v>
      </c>
      <c r="U1944" s="39" t="n">
        <v>93.97</v>
      </c>
      <c r="V1944" s="39" t="n">
        <f aca="false">J1944*Resumo!$B$6</f>
        <v>0.76999</v>
      </c>
      <c r="W1944" s="39" t="n">
        <f aca="false">J1944*Resumo!$B$7</f>
        <v>1.53998</v>
      </c>
      <c r="X1944" s="39" t="n">
        <f aca="false">Resumo!$B$9</f>
        <v>1</v>
      </c>
      <c r="Y1944" s="39" t="n">
        <f aca="false">Resumo!$B$10*CEILING(I1944/100,1)</f>
        <v>4.5</v>
      </c>
      <c r="Z1944" s="39" t="n">
        <f aca="false">Resumo!$B$12*CEILING(I1944,1)</f>
        <v>3</v>
      </c>
      <c r="AA1944" s="39" t="n">
        <f aca="false">Resumo!$B$13*CEILING(I1944,1)</f>
        <v>22.5</v>
      </c>
      <c r="AB1944" s="39" t="n">
        <f aca="false">SUM(U1944:AA1944)</f>
        <v>127.27997</v>
      </c>
      <c r="AC1944" s="39" t="n">
        <f aca="false">AB1944/(1-Resumo!$B$5)</f>
        <v>144.636329545455</v>
      </c>
      <c r="AD1944" s="39" t="n">
        <f aca="false">(AB1944-AA1944)/(1-Resumo!$B$5)</f>
        <v>119.068147727273</v>
      </c>
      <c r="AE1944" s="39" t="n">
        <f aca="false">AC1944-T1944</f>
        <v>40.3592184090909</v>
      </c>
      <c r="AF1944" s="40" t="n">
        <f aca="false">AC1944/T1944-1</f>
        <v>0.387038133002294</v>
      </c>
      <c r="AG1944" s="37" t="str">
        <f aca="false">IF(AC1944&lt;T1944,"SIM","NÃO")</f>
        <v>NÃO</v>
      </c>
      <c r="AH1944" s="37" t="n">
        <v>8</v>
      </c>
      <c r="AI1944" s="37" t="n">
        <v>5</v>
      </c>
      <c r="AJ1944" s="37" t="s">
        <v>323</v>
      </c>
    </row>
    <row r="1945" customFormat="false" ht="15" hidden="false" customHeight="false" outlineLevel="0" collapsed="false">
      <c r="A1945" s="37" t="n">
        <v>397035999</v>
      </c>
      <c r="B1945" s="38" t="n">
        <v>46285.0417476852</v>
      </c>
      <c r="C1945" s="37" t="s">
        <v>320</v>
      </c>
      <c r="D1945" s="37" t="s">
        <v>1875</v>
      </c>
      <c r="E1945" s="37" t="n">
        <v>21645521</v>
      </c>
      <c r="F1945" s="37" t="s">
        <v>139</v>
      </c>
      <c r="G1945" s="37" t="s">
        <v>198</v>
      </c>
      <c r="H1945" s="37" t="s">
        <v>169</v>
      </c>
      <c r="I1945" s="37" t="n">
        <v>37.2</v>
      </c>
      <c r="J1945" s="39" t="n">
        <v>366.5</v>
      </c>
      <c r="K1945" s="37" t="s">
        <v>322</v>
      </c>
      <c r="L1945" s="39" t="n">
        <v>91.6</v>
      </c>
      <c r="M1945" s="39" t="n">
        <v>62.05</v>
      </c>
      <c r="N1945" s="39" t="n">
        <f aca="false">J1945*Resumo!$C$7</f>
        <v>0.733</v>
      </c>
      <c r="O1945" s="39" t="n">
        <f aca="false">J1945*Resumo!$C$8</f>
        <v>0.733</v>
      </c>
      <c r="P1945" s="39" t="n">
        <f aca="false">Resumo!$C$10*CEILING(I1945/100,1)</f>
        <v>1</v>
      </c>
      <c r="Q1945" s="39" t="n">
        <f aca="false">Resumo!$C$9</f>
        <v>11.9</v>
      </c>
      <c r="R1945" s="39" t="n">
        <f aca="false">SUM(M1945:Q1945)*Resumo!$C$11</f>
        <v>4.20288</v>
      </c>
      <c r="S1945" s="39" t="n">
        <f aca="false">SUM(M1945:R1945)</f>
        <v>80.61888</v>
      </c>
      <c r="T1945" s="39" t="n">
        <f aca="false">S1945/(1-Resumo!$C$5)</f>
        <v>91.6123636363636</v>
      </c>
      <c r="U1945" s="39" t="n">
        <v>93.97</v>
      </c>
      <c r="V1945" s="39" t="n">
        <f aca="false">J1945*Resumo!$B$6</f>
        <v>0.3665</v>
      </c>
      <c r="W1945" s="39" t="n">
        <f aca="false">J1945*Resumo!$B$7</f>
        <v>0.733</v>
      </c>
      <c r="X1945" s="39" t="n">
        <f aca="false">Resumo!$B$9</f>
        <v>1</v>
      </c>
      <c r="Y1945" s="39" t="n">
        <f aca="false">Resumo!$B$10*CEILING(I1945/100,1)</f>
        <v>4.5</v>
      </c>
      <c r="Z1945" s="39" t="n">
        <f aca="false">Resumo!$B$12*CEILING(I1945,1)</f>
        <v>2.28</v>
      </c>
      <c r="AA1945" s="39" t="n">
        <f aca="false">Resumo!$B$13*CEILING(I1945,1)</f>
        <v>17.1</v>
      </c>
      <c r="AB1945" s="39" t="n">
        <f aca="false">SUM(U1945:AA1945)</f>
        <v>119.9495</v>
      </c>
      <c r="AC1945" s="39" t="n">
        <f aca="false">AB1945/(1-Resumo!$B$5)</f>
        <v>136.30625</v>
      </c>
      <c r="AD1945" s="39" t="n">
        <f aca="false">(AB1945-AA1945)/(1-Resumo!$B$5)</f>
        <v>116.874431818182</v>
      </c>
      <c r="AE1945" s="39" t="n">
        <f aca="false">AC1945-T1945</f>
        <v>44.6938863636364</v>
      </c>
      <c r="AF1945" s="40" t="n">
        <f aca="false">AC1945/T1945-1</f>
        <v>0.487858675287973</v>
      </c>
      <c r="AG1945" s="37" t="str">
        <f aca="false">IF(AC1945&lt;T1945,"SIM","NÃO")</f>
        <v>NÃO</v>
      </c>
      <c r="AH1945" s="37" t="n">
        <v>8</v>
      </c>
      <c r="AI1945" s="37" t="n">
        <v>5</v>
      </c>
      <c r="AJ1945" s="37" t="s">
        <v>323</v>
      </c>
    </row>
    <row r="1946" customFormat="false" ht="15" hidden="false" customHeight="false" outlineLevel="0" collapsed="false">
      <c r="A1946" s="37" t="n">
        <v>397085866</v>
      </c>
      <c r="B1946" s="38" t="n">
        <v>46285.1699768519</v>
      </c>
      <c r="C1946" s="37" t="s">
        <v>320</v>
      </c>
      <c r="D1946" s="37" t="s">
        <v>2071</v>
      </c>
      <c r="E1946" s="37" t="n">
        <v>25086540</v>
      </c>
      <c r="F1946" s="37" t="s">
        <v>141</v>
      </c>
      <c r="G1946" s="37" t="s">
        <v>207</v>
      </c>
      <c r="H1946" s="37" t="s">
        <v>170</v>
      </c>
      <c r="I1946" s="37" t="n">
        <v>43.5</v>
      </c>
      <c r="J1946" s="39" t="n">
        <v>662.38</v>
      </c>
      <c r="K1946" s="37" t="s">
        <v>322</v>
      </c>
      <c r="L1946" s="39" t="n">
        <v>117.24</v>
      </c>
      <c r="M1946" s="39" t="n">
        <v>82.25</v>
      </c>
      <c r="N1946" s="39" t="n">
        <f aca="false">J1946*Resumo!$C$7</f>
        <v>1.32476</v>
      </c>
      <c r="O1946" s="39" t="n">
        <f aca="false">J1946*Resumo!$C$8</f>
        <v>1.32476</v>
      </c>
      <c r="P1946" s="39" t="n">
        <f aca="false">Resumo!$C$10*CEILING(I1946/100,1)</f>
        <v>1</v>
      </c>
      <c r="Q1946" s="39" t="n">
        <f aca="false">Resumo!$C$9</f>
        <v>11.9</v>
      </c>
      <c r="R1946" s="39" t="n">
        <f aca="false">SUM(M1946:Q1946)*Resumo!$C$11</f>
        <v>5.3789736</v>
      </c>
      <c r="S1946" s="39" t="n">
        <f aca="false">SUM(M1946:R1946)</f>
        <v>103.1784936</v>
      </c>
      <c r="T1946" s="39" t="n">
        <f aca="false">S1946/(1-Resumo!$C$5)</f>
        <v>117.248288181818</v>
      </c>
      <c r="U1946" s="39" t="n">
        <v>93.97</v>
      </c>
      <c r="V1946" s="39" t="n">
        <f aca="false">J1946*Resumo!$B$6</f>
        <v>0.66238</v>
      </c>
      <c r="W1946" s="39" t="n">
        <f aca="false">J1946*Resumo!$B$7</f>
        <v>1.32476</v>
      </c>
      <c r="X1946" s="39" t="n">
        <f aca="false">Resumo!$B$9</f>
        <v>1</v>
      </c>
      <c r="Y1946" s="39" t="n">
        <f aca="false">Resumo!$B$10*CEILING(I1946/100,1)</f>
        <v>4.5</v>
      </c>
      <c r="Z1946" s="39" t="n">
        <f aca="false">Resumo!$B$12*CEILING(I1946,1)</f>
        <v>2.64</v>
      </c>
      <c r="AA1946" s="39" t="n">
        <f aca="false">Resumo!$B$13*CEILING(I1946,1)</f>
        <v>19.8</v>
      </c>
      <c r="AB1946" s="39" t="n">
        <f aca="false">SUM(U1946:AA1946)</f>
        <v>123.89714</v>
      </c>
      <c r="AC1946" s="39" t="n">
        <f aca="false">AB1946/(1-Resumo!$B$5)</f>
        <v>140.792204545455</v>
      </c>
      <c r="AD1946" s="39" t="n">
        <f aca="false">(AB1946-AA1946)/(1-Resumo!$B$5)</f>
        <v>118.292204545455</v>
      </c>
      <c r="AE1946" s="39" t="n">
        <f aca="false">AC1946-T1946</f>
        <v>23.5439163636363</v>
      </c>
      <c r="AF1946" s="40" t="n">
        <f aca="false">AC1946/T1946-1</f>
        <v>0.200803924123195</v>
      </c>
      <c r="AG1946" s="37" t="str">
        <f aca="false">IF(AC1946&lt;T1946,"SIM","NÃO")</f>
        <v>NÃO</v>
      </c>
      <c r="AH1946" s="37" t="n">
        <v>10</v>
      </c>
      <c r="AI1946" s="37" t="n">
        <v>5</v>
      </c>
      <c r="AJ1946" s="37" t="s">
        <v>323</v>
      </c>
    </row>
    <row r="1947" customFormat="false" ht="15" hidden="false" customHeight="false" outlineLevel="0" collapsed="false">
      <c r="A1947" s="37" t="n">
        <v>397135916</v>
      </c>
      <c r="B1947" s="38" t="n">
        <v>46285.3014583333</v>
      </c>
      <c r="C1947" s="37" t="s">
        <v>325</v>
      </c>
      <c r="D1947" s="37" t="s">
        <v>2072</v>
      </c>
      <c r="E1947" s="37" t="n">
        <v>20550160</v>
      </c>
      <c r="F1947" s="37" t="s">
        <v>139</v>
      </c>
      <c r="G1947" s="37" t="s">
        <v>198</v>
      </c>
      <c r="H1947" s="37" t="s">
        <v>171</v>
      </c>
      <c r="I1947" s="37" t="n">
        <v>58.5</v>
      </c>
      <c r="J1947" s="39" t="n">
        <v>855.88</v>
      </c>
      <c r="K1947" s="37" t="s">
        <v>322</v>
      </c>
      <c r="L1947" s="39" t="n">
        <v>115.25</v>
      </c>
      <c r="M1947" s="39" t="n">
        <v>79.81</v>
      </c>
      <c r="N1947" s="39" t="n">
        <f aca="false">J1947*Resumo!$C$7</f>
        <v>1.71176</v>
      </c>
      <c r="O1947" s="39" t="n">
        <f aca="false">J1947*Resumo!$C$8</f>
        <v>1.71176</v>
      </c>
      <c r="P1947" s="39" t="n">
        <f aca="false">Resumo!$C$10*CEILING(I1947/100,1)</f>
        <v>1</v>
      </c>
      <c r="Q1947" s="39" t="n">
        <f aca="false">Resumo!$C$9</f>
        <v>11.9</v>
      </c>
      <c r="R1947" s="39" t="n">
        <f aca="false">SUM(M1947:Q1947)*Resumo!$C$11</f>
        <v>5.2873436</v>
      </c>
      <c r="S1947" s="39" t="n">
        <f aca="false">SUM(M1947:R1947)</f>
        <v>101.4208636</v>
      </c>
      <c r="T1947" s="39" t="n">
        <f aca="false">S1947/(1-Resumo!$C$5)</f>
        <v>115.250981363636</v>
      </c>
      <c r="U1947" s="39" t="n">
        <v>112.3</v>
      </c>
      <c r="V1947" s="39" t="n">
        <f aca="false">J1947*Resumo!$B$6</f>
        <v>0.85588</v>
      </c>
      <c r="W1947" s="39" t="n">
        <f aca="false">J1947*Resumo!$B$7</f>
        <v>1.71176</v>
      </c>
      <c r="X1947" s="39" t="n">
        <f aca="false">Resumo!$B$9</f>
        <v>1</v>
      </c>
      <c r="Y1947" s="39" t="n">
        <f aca="false">Resumo!$B$10*CEILING(I1947/100,1)</f>
        <v>4.5</v>
      </c>
      <c r="Z1947" s="39" t="n">
        <f aca="false">Resumo!$B$12*CEILING(I1947,1)</f>
        <v>3.54</v>
      </c>
      <c r="AA1947" s="39" t="n">
        <f aca="false">Resumo!$B$13*CEILING(I1947,1)</f>
        <v>26.55</v>
      </c>
      <c r="AB1947" s="39" t="n">
        <f aca="false">SUM(U1947:AA1947)</f>
        <v>150.45764</v>
      </c>
      <c r="AC1947" s="39" t="n">
        <f aca="false">AB1947/(1-Resumo!$B$5)</f>
        <v>170.974590909091</v>
      </c>
      <c r="AD1947" s="39" t="n">
        <f aca="false">(AB1947-AA1947)/(1-Resumo!$B$5)</f>
        <v>140.804136363636</v>
      </c>
      <c r="AE1947" s="39" t="n">
        <f aca="false">AC1947-T1947</f>
        <v>55.7236095454545</v>
      </c>
      <c r="AF1947" s="40" t="n">
        <f aca="false">AC1947/T1947-1</f>
        <v>0.48349791807531</v>
      </c>
      <c r="AG1947" s="37" t="str">
        <f aca="false">IF(AC1947&lt;T1947,"SIM","NÃO")</f>
        <v>NÃO</v>
      </c>
      <c r="AH1947" s="37" t="n">
        <v>8</v>
      </c>
      <c r="AI1947" s="37" t="n">
        <v>5</v>
      </c>
      <c r="AJ1947" s="37" t="s">
        <v>323</v>
      </c>
    </row>
    <row r="1948" customFormat="false" ht="15" hidden="false" customHeight="false" outlineLevel="0" collapsed="false">
      <c r="A1948" s="37" t="n">
        <v>397171543</v>
      </c>
      <c r="B1948" s="38" t="n">
        <v>46285.3826851852</v>
      </c>
      <c r="C1948" s="37" t="s">
        <v>325</v>
      </c>
      <c r="D1948" s="37" t="s">
        <v>2073</v>
      </c>
      <c r="E1948" s="37" t="n">
        <v>24431580</v>
      </c>
      <c r="F1948" s="37" t="s">
        <v>140</v>
      </c>
      <c r="G1948" s="37" t="s">
        <v>207</v>
      </c>
      <c r="H1948" s="37" t="s">
        <v>172</v>
      </c>
      <c r="I1948" s="37" t="n">
        <v>66.8</v>
      </c>
      <c r="J1948" s="39" t="n">
        <v>691.9</v>
      </c>
      <c r="K1948" s="37" t="s">
        <v>322</v>
      </c>
      <c r="L1948" s="39" t="n">
        <v>139.74</v>
      </c>
      <c r="M1948" s="39" t="n">
        <v>100.9</v>
      </c>
      <c r="N1948" s="39" t="n">
        <f aca="false">J1948*Resumo!$C$7</f>
        <v>1.3838</v>
      </c>
      <c r="O1948" s="39" t="n">
        <f aca="false">J1948*Resumo!$C$8</f>
        <v>1.3838</v>
      </c>
      <c r="P1948" s="39" t="n">
        <f aca="false">Resumo!$C$10*CEILING(I1948/100,1)</f>
        <v>1</v>
      </c>
      <c r="Q1948" s="39" t="n">
        <f aca="false">Resumo!$C$9</f>
        <v>11.9</v>
      </c>
      <c r="R1948" s="39" t="n">
        <f aca="false">SUM(M1948:Q1948)*Resumo!$C$11</f>
        <v>6.411218</v>
      </c>
      <c r="S1948" s="39" t="n">
        <f aca="false">SUM(M1948:R1948)</f>
        <v>122.978818</v>
      </c>
      <c r="T1948" s="39" t="n">
        <f aca="false">S1948/(1-Resumo!$C$5)</f>
        <v>139.748656818182</v>
      </c>
      <c r="U1948" s="39" t="n">
        <v>149.5</v>
      </c>
      <c r="V1948" s="39" t="n">
        <f aca="false">J1948*Resumo!$B$6</f>
        <v>0.6919</v>
      </c>
      <c r="W1948" s="39" t="n">
        <f aca="false">J1948*Resumo!$B$7</f>
        <v>1.3838</v>
      </c>
      <c r="X1948" s="39" t="n">
        <f aca="false">Resumo!$B$9</f>
        <v>1</v>
      </c>
      <c r="Y1948" s="39" t="n">
        <f aca="false">Resumo!$B$10*CEILING(I1948/100,1)</f>
        <v>4.5</v>
      </c>
      <c r="Z1948" s="39" t="n">
        <f aca="false">Resumo!$B$12*CEILING(I1948,1)</f>
        <v>4.02</v>
      </c>
      <c r="AA1948" s="39" t="n">
        <f aca="false">Resumo!$B$13*CEILING(I1948,1)</f>
        <v>30.15</v>
      </c>
      <c r="AB1948" s="39" t="n">
        <f aca="false">SUM(U1948:AA1948)</f>
        <v>191.2457</v>
      </c>
      <c r="AC1948" s="39" t="n">
        <f aca="false">AB1948/(1-Resumo!$B$5)</f>
        <v>217.324659090909</v>
      </c>
      <c r="AD1948" s="39" t="n">
        <f aca="false">(AB1948-AA1948)/(1-Resumo!$B$5)</f>
        <v>183.063295454545</v>
      </c>
      <c r="AE1948" s="39" t="n">
        <f aca="false">AC1948-T1948</f>
        <v>77.5760022727273</v>
      </c>
      <c r="AF1948" s="40" t="n">
        <f aca="false">AC1948/T1948-1</f>
        <v>0.555110897227846</v>
      </c>
      <c r="AG1948" s="37" t="str">
        <f aca="false">IF(AC1948&lt;T1948,"SIM","NÃO")</f>
        <v>NÃO</v>
      </c>
      <c r="AH1948" s="37" t="n">
        <v>10</v>
      </c>
      <c r="AI1948" s="37" t="n">
        <v>7</v>
      </c>
      <c r="AJ1948" s="37" t="s">
        <v>323</v>
      </c>
    </row>
    <row r="1949" customFormat="false" ht="15" hidden="false" customHeight="false" outlineLevel="0" collapsed="false">
      <c r="A1949" s="37" t="n">
        <v>397204517</v>
      </c>
      <c r="B1949" s="38" t="n">
        <v>46285.442650463</v>
      </c>
      <c r="C1949" s="37" t="s">
        <v>325</v>
      </c>
      <c r="D1949" s="37" t="s">
        <v>1950</v>
      </c>
      <c r="E1949" s="37" t="n">
        <v>23020715</v>
      </c>
      <c r="F1949" s="37" t="s">
        <v>139</v>
      </c>
      <c r="G1949" s="37" t="s">
        <v>198</v>
      </c>
      <c r="H1949" s="37" t="s">
        <v>172</v>
      </c>
      <c r="I1949" s="37" t="n">
        <v>69.15</v>
      </c>
      <c r="J1949" s="39" t="n">
        <v>742.64</v>
      </c>
      <c r="K1949" s="37" t="s">
        <v>322</v>
      </c>
      <c r="L1949" s="39" t="n">
        <v>124.77</v>
      </c>
      <c r="M1949" s="39" t="n">
        <v>88.2</v>
      </c>
      <c r="N1949" s="39" t="n">
        <f aca="false">J1949*Resumo!$C$7</f>
        <v>1.48528</v>
      </c>
      <c r="O1949" s="39" t="n">
        <f aca="false">J1949*Resumo!$C$8</f>
        <v>1.48528</v>
      </c>
      <c r="P1949" s="39" t="n">
        <f aca="false">Resumo!$C$10*CEILING(I1949/100,1)</f>
        <v>1</v>
      </c>
      <c r="Q1949" s="39" t="n">
        <f aca="false">Resumo!$C$9</f>
        <v>11.9</v>
      </c>
      <c r="R1949" s="39" t="n">
        <f aca="false">SUM(M1949:Q1949)*Resumo!$C$11</f>
        <v>5.7238808</v>
      </c>
      <c r="S1949" s="39" t="n">
        <f aca="false">SUM(M1949:R1949)</f>
        <v>109.7944408</v>
      </c>
      <c r="T1949" s="39" t="n">
        <f aca="false">S1949/(1-Resumo!$C$5)</f>
        <v>124.76641</v>
      </c>
      <c r="U1949" s="39" t="n">
        <v>131.02</v>
      </c>
      <c r="V1949" s="39" t="n">
        <f aca="false">J1949*Resumo!$B$6</f>
        <v>0.74264</v>
      </c>
      <c r="W1949" s="39" t="n">
        <f aca="false">J1949*Resumo!$B$7</f>
        <v>1.48528</v>
      </c>
      <c r="X1949" s="39" t="n">
        <f aca="false">Resumo!$B$9</f>
        <v>1</v>
      </c>
      <c r="Y1949" s="39" t="n">
        <f aca="false">Resumo!$B$10*CEILING(I1949/100,1)</f>
        <v>4.5</v>
      </c>
      <c r="Z1949" s="39" t="n">
        <f aca="false">Resumo!$B$12*CEILING(I1949,1)</f>
        <v>4.2</v>
      </c>
      <c r="AA1949" s="39" t="n">
        <f aca="false">Resumo!$B$13*CEILING(I1949,1)</f>
        <v>31.5</v>
      </c>
      <c r="AB1949" s="39" t="n">
        <f aca="false">SUM(U1949:AA1949)</f>
        <v>174.44792</v>
      </c>
      <c r="AC1949" s="39" t="n">
        <f aca="false">AB1949/(1-Resumo!$B$5)</f>
        <v>198.236272727273</v>
      </c>
      <c r="AD1949" s="39" t="n">
        <f aca="false">(AB1949-AA1949)/(1-Resumo!$B$5)</f>
        <v>162.440818181818</v>
      </c>
      <c r="AE1949" s="39" t="n">
        <f aca="false">AC1949-T1949</f>
        <v>73.4698627272727</v>
      </c>
      <c r="AF1949" s="40" t="n">
        <f aca="false">AC1949/T1949-1</f>
        <v>0.588859314997304</v>
      </c>
      <c r="AG1949" s="37" t="str">
        <f aca="false">IF(AC1949&lt;T1949,"SIM","NÃO")</f>
        <v>NÃO</v>
      </c>
      <c r="AH1949" s="37" t="n">
        <v>8</v>
      </c>
      <c r="AI1949" s="37" t="n">
        <v>5</v>
      </c>
      <c r="AJ1949" s="37" t="s">
        <v>323</v>
      </c>
    </row>
    <row r="1950" customFormat="false" ht="15" hidden="false" customHeight="false" outlineLevel="0" collapsed="false">
      <c r="A1950" s="37" t="n">
        <v>397214834</v>
      </c>
      <c r="B1950" s="38" t="n">
        <v>46285.4590972222</v>
      </c>
      <c r="C1950" s="37" t="s">
        <v>320</v>
      </c>
      <c r="D1950" s="37" t="s">
        <v>2074</v>
      </c>
      <c r="E1950" s="37" t="n">
        <v>24472090</v>
      </c>
      <c r="F1950" s="37" t="s">
        <v>140</v>
      </c>
      <c r="G1950" s="37" t="s">
        <v>207</v>
      </c>
      <c r="H1950" s="37" t="s">
        <v>171</v>
      </c>
      <c r="I1950" s="37" t="n">
        <v>60</v>
      </c>
      <c r="J1950" s="39" t="n">
        <v>762.34</v>
      </c>
      <c r="K1950" s="37" t="s">
        <v>322</v>
      </c>
      <c r="L1950" s="39" t="n">
        <v>128.92</v>
      </c>
      <c r="M1950" s="39" t="n">
        <v>91.6</v>
      </c>
      <c r="N1950" s="39" t="n">
        <f aca="false">J1950*Resumo!$C$7</f>
        <v>1.52468</v>
      </c>
      <c r="O1950" s="39" t="n">
        <f aca="false">J1950*Resumo!$C$8</f>
        <v>1.52468</v>
      </c>
      <c r="P1950" s="39" t="n">
        <f aca="false">Resumo!$C$10*CEILING(I1950/100,1)</f>
        <v>1</v>
      </c>
      <c r="Q1950" s="39" t="n">
        <f aca="false">Resumo!$C$9</f>
        <v>11.9</v>
      </c>
      <c r="R1950" s="39" t="n">
        <f aca="false">SUM(M1950:Q1950)*Resumo!$C$11</f>
        <v>5.9152148</v>
      </c>
      <c r="S1950" s="39" t="n">
        <f aca="false">SUM(M1950:R1950)</f>
        <v>113.4645748</v>
      </c>
      <c r="T1950" s="39" t="n">
        <f aca="false">S1950/(1-Resumo!$C$5)</f>
        <v>128.937016818182</v>
      </c>
      <c r="U1950" s="39" t="n">
        <v>128.14</v>
      </c>
      <c r="V1950" s="39" t="n">
        <f aca="false">J1950*Resumo!$B$6</f>
        <v>0.76234</v>
      </c>
      <c r="W1950" s="39" t="n">
        <f aca="false">J1950*Resumo!$B$7</f>
        <v>1.52468</v>
      </c>
      <c r="X1950" s="39" t="n">
        <f aca="false">Resumo!$B$9</f>
        <v>1</v>
      </c>
      <c r="Y1950" s="39" t="n">
        <f aca="false">Resumo!$B$10*CEILING(I1950/100,1)</f>
        <v>4.5</v>
      </c>
      <c r="Z1950" s="39" t="n">
        <f aca="false">Resumo!$B$12*CEILING(I1950,1)</f>
        <v>3.6</v>
      </c>
      <c r="AA1950" s="39" t="n">
        <f aca="false">Resumo!$B$13*CEILING(I1950,1)</f>
        <v>27</v>
      </c>
      <c r="AB1950" s="39" t="n">
        <f aca="false">SUM(U1950:AA1950)</f>
        <v>166.52702</v>
      </c>
      <c r="AC1950" s="39" t="n">
        <f aca="false">AB1950/(1-Resumo!$B$5)</f>
        <v>189.23525</v>
      </c>
      <c r="AD1950" s="39" t="n">
        <f aca="false">(AB1950-AA1950)/(1-Resumo!$B$5)</f>
        <v>158.553431818182</v>
      </c>
      <c r="AE1950" s="39" t="n">
        <f aca="false">AC1950-T1950</f>
        <v>60.2982331818182</v>
      </c>
      <c r="AF1950" s="40" t="n">
        <f aca="false">AC1950/T1950-1</f>
        <v>0.467656493610727</v>
      </c>
      <c r="AG1950" s="37" t="str">
        <f aca="false">IF(AC1950&lt;T1950,"SIM","NÃO")</f>
        <v>NÃO</v>
      </c>
      <c r="AH1950" s="37" t="n">
        <v>10</v>
      </c>
      <c r="AI1950" s="37" t="n">
        <v>7</v>
      </c>
      <c r="AJ1950" s="37" t="s">
        <v>323</v>
      </c>
    </row>
    <row r="1951" customFormat="false" ht="15" hidden="false" customHeight="false" outlineLevel="0" collapsed="false">
      <c r="A1951" s="37" t="n">
        <v>397277866</v>
      </c>
      <c r="B1951" s="38" t="n">
        <v>46285.5565046296</v>
      </c>
      <c r="C1951" s="37" t="s">
        <v>320</v>
      </c>
      <c r="D1951" s="37" t="s">
        <v>2075</v>
      </c>
      <c r="E1951" s="37" t="n">
        <v>27258180</v>
      </c>
      <c r="F1951" s="37" t="s">
        <v>148</v>
      </c>
      <c r="G1951" s="37" t="s">
        <v>201</v>
      </c>
      <c r="H1951" s="37" t="s">
        <v>169</v>
      </c>
      <c r="I1951" s="37" t="n">
        <v>40</v>
      </c>
      <c r="J1951" s="39" t="n">
        <v>569.99</v>
      </c>
      <c r="K1951" s="37" t="s">
        <v>322</v>
      </c>
      <c r="L1951" s="39" t="n">
        <v>122.98</v>
      </c>
      <c r="M1951" s="39" t="n">
        <v>87.4</v>
      </c>
      <c r="N1951" s="39" t="n">
        <f aca="false">J1951*Resumo!$C$7</f>
        <v>1.13998</v>
      </c>
      <c r="O1951" s="39" t="n">
        <f aca="false">J1951*Resumo!$C$8</f>
        <v>1.13998</v>
      </c>
      <c r="P1951" s="39" t="n">
        <f aca="false">Resumo!$C$10*CEILING(I1951/100,1)</f>
        <v>1</v>
      </c>
      <c r="Q1951" s="39" t="n">
        <f aca="false">Resumo!$C$9</f>
        <v>11.9</v>
      </c>
      <c r="R1951" s="39" t="n">
        <f aca="false">SUM(M1951:Q1951)*Resumo!$C$11</f>
        <v>5.6418978</v>
      </c>
      <c r="S1951" s="39" t="n">
        <f aca="false">SUM(M1951:R1951)</f>
        <v>108.2218578</v>
      </c>
      <c r="T1951" s="39" t="n">
        <f aca="false">S1951/(1-Resumo!$C$5)</f>
        <v>122.979383863636</v>
      </c>
      <c r="U1951" s="39" t="n">
        <v>124.38</v>
      </c>
      <c r="V1951" s="39" t="n">
        <f aca="false">J1951*Resumo!$B$6</f>
        <v>0.56999</v>
      </c>
      <c r="W1951" s="39" t="n">
        <f aca="false">J1951*Resumo!$B$7</f>
        <v>1.13998</v>
      </c>
      <c r="X1951" s="39" t="n">
        <f aca="false">Resumo!$B$9</f>
        <v>1</v>
      </c>
      <c r="Y1951" s="39" t="n">
        <f aca="false">Resumo!$B$10*CEILING(I1951/100,1)</f>
        <v>4.5</v>
      </c>
      <c r="Z1951" s="39" t="n">
        <f aca="false">Resumo!$B$12*CEILING(I1951,1)</f>
        <v>2.4</v>
      </c>
      <c r="AA1951" s="39" t="n">
        <f aca="false">Resumo!$B$13*CEILING(I1951,1)</f>
        <v>18</v>
      </c>
      <c r="AB1951" s="39" t="n">
        <f aca="false">SUM(U1951:AA1951)</f>
        <v>151.98997</v>
      </c>
      <c r="AC1951" s="39" t="n">
        <f aca="false">AB1951/(1-Resumo!$B$5)</f>
        <v>172.715875</v>
      </c>
      <c r="AD1951" s="39" t="n">
        <f aca="false">(AB1951-AA1951)/(1-Resumo!$B$5)</f>
        <v>152.261329545455</v>
      </c>
      <c r="AE1951" s="39" t="n">
        <f aca="false">AC1951-T1951</f>
        <v>49.7364911363637</v>
      </c>
      <c r="AF1951" s="40" t="n">
        <f aca="false">AC1951/T1951-1</f>
        <v>0.404429503334584</v>
      </c>
      <c r="AG1951" s="37" t="str">
        <f aca="false">IF(AC1951&lt;T1951,"SIM","NÃO")</f>
        <v>NÃO</v>
      </c>
      <c r="AH1951" s="37" t="n">
        <v>13</v>
      </c>
      <c r="AI1951" s="37" t="n">
        <v>10</v>
      </c>
      <c r="AJ1951" s="37" t="s">
        <v>323</v>
      </c>
    </row>
    <row r="1952" customFormat="false" ht="15" hidden="false" customHeight="false" outlineLevel="0" collapsed="false">
      <c r="A1952" s="37" t="n">
        <v>397313251</v>
      </c>
      <c r="B1952" s="38" t="n">
        <v>46285.589375</v>
      </c>
      <c r="C1952" s="37" t="s">
        <v>517</v>
      </c>
      <c r="D1952" s="37" t="s">
        <v>2076</v>
      </c>
      <c r="E1952" s="37" t="n">
        <v>25821060</v>
      </c>
      <c r="F1952" s="37" t="s">
        <v>214</v>
      </c>
      <c r="G1952" s="37" t="s">
        <v>201</v>
      </c>
      <c r="H1952" s="37" t="s">
        <v>173</v>
      </c>
      <c r="I1952" s="37" t="n">
        <v>80</v>
      </c>
      <c r="J1952" s="39" t="n">
        <v>989.98</v>
      </c>
      <c r="K1952" s="37" t="s">
        <v>322</v>
      </c>
      <c r="L1952" s="39" t="n">
        <v>169.07</v>
      </c>
      <c r="M1952" s="39" t="n">
        <v>124.16</v>
      </c>
      <c r="N1952" s="39" t="n">
        <f aca="false">J1952*Resumo!$C$7</f>
        <v>1.97996</v>
      </c>
      <c r="O1952" s="39" t="n">
        <f aca="false">J1952*Resumo!$C$8</f>
        <v>1.97996</v>
      </c>
      <c r="P1952" s="39" t="n">
        <f aca="false">Resumo!$C$10*CEILING(I1952/100,1)</f>
        <v>1</v>
      </c>
      <c r="Q1952" s="39" t="n">
        <f aca="false">Resumo!$C$9</f>
        <v>11.9</v>
      </c>
      <c r="R1952" s="39" t="n">
        <f aca="false">SUM(M1952:Q1952)*Resumo!$C$11</f>
        <v>7.7560956</v>
      </c>
      <c r="S1952" s="39" t="n">
        <f aca="false">SUM(M1952:R1952)</f>
        <v>148.7760156</v>
      </c>
      <c r="T1952" s="39" t="n">
        <f aca="false">S1952/(1-Resumo!$C$5)</f>
        <v>169.063654090909</v>
      </c>
      <c r="U1952" s="39" t="n">
        <v>166.05</v>
      </c>
      <c r="V1952" s="39" t="n">
        <f aca="false">J1952*Resumo!$B$6</f>
        <v>0.98998</v>
      </c>
      <c r="W1952" s="39" t="n">
        <f aca="false">J1952*Resumo!$B$7</f>
        <v>1.97996</v>
      </c>
      <c r="X1952" s="39" t="n">
        <f aca="false">Resumo!$B$9</f>
        <v>1</v>
      </c>
      <c r="Y1952" s="39" t="n">
        <f aca="false">Resumo!$B$10*CEILING(I1952/100,1)</f>
        <v>4.5</v>
      </c>
      <c r="Z1952" s="39" t="n">
        <f aca="false">Resumo!$B$12*CEILING(I1952,1)</f>
        <v>4.8</v>
      </c>
      <c r="AA1952" s="39" t="n">
        <f aca="false">Resumo!$B$13*CEILING(I1952,1)</f>
        <v>36</v>
      </c>
      <c r="AB1952" s="39" t="n">
        <f aca="false">SUM(U1952:AA1952)</f>
        <v>215.31994</v>
      </c>
      <c r="AC1952" s="39" t="n">
        <f aca="false">AB1952/(1-Resumo!$B$5)</f>
        <v>244.68175</v>
      </c>
      <c r="AD1952" s="39" t="n">
        <f aca="false">(AB1952-AA1952)/(1-Resumo!$B$5)</f>
        <v>203.772659090909</v>
      </c>
      <c r="AE1952" s="39" t="n">
        <f aca="false">AC1952-T1952</f>
        <v>75.6180959090909</v>
      </c>
      <c r="AF1952" s="40" t="n">
        <f aca="false">AC1952/T1952-1</f>
        <v>0.447275887391086</v>
      </c>
      <c r="AG1952" s="37" t="str">
        <f aca="false">IF(AC1952&lt;T1952,"SIM","NÃO")</f>
        <v>NÃO</v>
      </c>
      <c r="AH1952" s="37" t="n">
        <v>13</v>
      </c>
      <c r="AI1952" s="37" t="n">
        <v>8</v>
      </c>
      <c r="AJ1952" s="37" t="s">
        <v>327</v>
      </c>
    </row>
    <row r="1953" customFormat="false" ht="15" hidden="false" customHeight="false" outlineLevel="0" collapsed="false">
      <c r="A1953" s="37" t="n">
        <v>397323725</v>
      </c>
      <c r="B1953" s="38" t="n">
        <v>46285.629837963</v>
      </c>
      <c r="C1953" s="37" t="s">
        <v>320</v>
      </c>
      <c r="D1953" s="37" t="s">
        <v>2077</v>
      </c>
      <c r="E1953" s="37" t="n">
        <v>25565071</v>
      </c>
      <c r="F1953" s="37" t="s">
        <v>147</v>
      </c>
      <c r="G1953" s="37" t="s">
        <v>207</v>
      </c>
      <c r="H1953" s="37" t="s">
        <v>170</v>
      </c>
      <c r="I1953" s="37" t="n">
        <v>46.8</v>
      </c>
      <c r="J1953" s="39" t="n">
        <v>492.2</v>
      </c>
      <c r="K1953" s="37" t="s">
        <v>322</v>
      </c>
      <c r="L1953" s="39" t="n">
        <v>116.42</v>
      </c>
      <c r="M1953" s="39" t="n">
        <v>82.25</v>
      </c>
      <c r="N1953" s="39" t="n">
        <f aca="false">J1953*Resumo!$C$7</f>
        <v>0.9844</v>
      </c>
      <c r="O1953" s="39" t="n">
        <f aca="false">J1953*Resumo!$C$8</f>
        <v>0.9844</v>
      </c>
      <c r="P1953" s="39" t="n">
        <f aca="false">Resumo!$C$10*CEILING(I1953/100,1)</f>
        <v>1</v>
      </c>
      <c r="Q1953" s="39" t="n">
        <f aca="false">Resumo!$C$9</f>
        <v>11.9</v>
      </c>
      <c r="R1953" s="39" t="n">
        <f aca="false">SUM(M1953:Q1953)*Resumo!$C$11</f>
        <v>5.341534</v>
      </c>
      <c r="S1953" s="39" t="n">
        <f aca="false">SUM(M1953:R1953)</f>
        <v>102.460334</v>
      </c>
      <c r="T1953" s="39" t="n">
        <f aca="false">S1953/(1-Resumo!$C$5)</f>
        <v>116.432197727273</v>
      </c>
      <c r="U1953" s="39" t="n">
        <v>93.97</v>
      </c>
      <c r="V1953" s="39" t="n">
        <f aca="false">J1953*Resumo!$B$6</f>
        <v>0.4922</v>
      </c>
      <c r="W1953" s="39" t="n">
        <f aca="false">J1953*Resumo!$B$7</f>
        <v>0.9844</v>
      </c>
      <c r="X1953" s="39" t="n">
        <f aca="false">Resumo!$B$9</f>
        <v>1</v>
      </c>
      <c r="Y1953" s="39" t="n">
        <f aca="false">Resumo!$B$10*CEILING(I1953/100,1)</f>
        <v>4.5</v>
      </c>
      <c r="Z1953" s="39" t="n">
        <f aca="false">Resumo!$B$12*CEILING(I1953,1)</f>
        <v>2.82</v>
      </c>
      <c r="AA1953" s="39" t="n">
        <f aca="false">Resumo!$B$13*CEILING(I1953,1)</f>
        <v>21.15</v>
      </c>
      <c r="AB1953" s="39" t="n">
        <f aca="false">SUM(U1953:AA1953)</f>
        <v>124.9166</v>
      </c>
      <c r="AC1953" s="39" t="n">
        <f aca="false">AB1953/(1-Resumo!$B$5)</f>
        <v>141.950681818182</v>
      </c>
      <c r="AD1953" s="39" t="n">
        <f aca="false">(AB1953-AA1953)/(1-Resumo!$B$5)</f>
        <v>117.916590909091</v>
      </c>
      <c r="AE1953" s="39" t="n">
        <f aca="false">AC1953-T1953</f>
        <v>25.5184840909091</v>
      </c>
      <c r="AF1953" s="40" t="n">
        <f aca="false">AC1953/T1953-1</f>
        <v>0.219170337664525</v>
      </c>
      <c r="AG1953" s="37" t="str">
        <f aca="false">IF(AC1953&lt;T1953,"SIM","NÃO")</f>
        <v>NÃO</v>
      </c>
      <c r="AH1953" s="37" t="n">
        <v>10</v>
      </c>
      <c r="AI1953" s="37" t="n">
        <v>5</v>
      </c>
      <c r="AJ1953" s="37" t="s">
        <v>323</v>
      </c>
    </row>
    <row r="1954" customFormat="false" ht="15" hidden="false" customHeight="false" outlineLevel="0" collapsed="false">
      <c r="A1954" s="37" t="n">
        <v>397330956</v>
      </c>
      <c r="B1954" s="38" t="n">
        <v>46285.6419560185</v>
      </c>
      <c r="C1954" s="37" t="s">
        <v>320</v>
      </c>
      <c r="D1954" s="37" t="s">
        <v>465</v>
      </c>
      <c r="E1954" s="37" t="n">
        <v>28660000</v>
      </c>
      <c r="F1954" s="37" t="s">
        <v>268</v>
      </c>
      <c r="G1954" s="37" t="s">
        <v>201</v>
      </c>
      <c r="H1954" s="37" t="s">
        <v>171</v>
      </c>
      <c r="I1954" s="37" t="n">
        <v>52.3</v>
      </c>
      <c r="J1954" s="39" t="n">
        <v>699.99</v>
      </c>
      <c r="K1954" s="37" t="s">
        <v>322</v>
      </c>
      <c r="L1954" s="39" t="n">
        <v>143.02</v>
      </c>
      <c r="M1954" s="39" t="n">
        <v>103.6</v>
      </c>
      <c r="N1954" s="39" t="n">
        <f aca="false">J1954*Resumo!$C$7</f>
        <v>1.39998</v>
      </c>
      <c r="O1954" s="39" t="n">
        <f aca="false">J1954*Resumo!$C$8</f>
        <v>1.39998</v>
      </c>
      <c r="P1954" s="39" t="n">
        <f aca="false">Resumo!$C$10*CEILING(I1954/100,1)</f>
        <v>1</v>
      </c>
      <c r="Q1954" s="39" t="n">
        <f aca="false">Resumo!$C$9</f>
        <v>11.9</v>
      </c>
      <c r="R1954" s="39" t="n">
        <f aca="false">SUM(M1954:Q1954)*Resumo!$C$11</f>
        <v>6.5614978</v>
      </c>
      <c r="S1954" s="39" t="n">
        <f aca="false">SUM(M1954:R1954)</f>
        <v>125.8614578</v>
      </c>
      <c r="T1954" s="39" t="n">
        <f aca="false">S1954/(1-Resumo!$C$5)</f>
        <v>143.024383863636</v>
      </c>
      <c r="U1954" s="39" t="n">
        <v>144.53</v>
      </c>
      <c r="V1954" s="39" t="n">
        <f aca="false">J1954*Resumo!$B$6</f>
        <v>0.69999</v>
      </c>
      <c r="W1954" s="39" t="n">
        <f aca="false">J1954*Resumo!$B$7</f>
        <v>1.39998</v>
      </c>
      <c r="X1954" s="39" t="n">
        <f aca="false">Resumo!$B$9</f>
        <v>1</v>
      </c>
      <c r="Y1954" s="39" t="n">
        <f aca="false">Resumo!$B$10*CEILING(I1954/100,1)</f>
        <v>4.5</v>
      </c>
      <c r="Z1954" s="39" t="n">
        <f aca="false">Resumo!$B$12*CEILING(I1954,1)</f>
        <v>3.18</v>
      </c>
      <c r="AA1954" s="39" t="n">
        <f aca="false">Resumo!$B$13*CEILING(I1954,1)</f>
        <v>23.85</v>
      </c>
      <c r="AB1954" s="39" t="n">
        <f aca="false">SUM(U1954:AA1954)</f>
        <v>179.15997</v>
      </c>
      <c r="AC1954" s="39" t="n">
        <f aca="false">AB1954/(1-Resumo!$B$5)</f>
        <v>203.590875</v>
      </c>
      <c r="AD1954" s="39" t="n">
        <f aca="false">(AB1954-AA1954)/(1-Resumo!$B$5)</f>
        <v>176.488602272727</v>
      </c>
      <c r="AE1954" s="39" t="n">
        <f aca="false">AC1954-T1954</f>
        <v>60.5664911363636</v>
      </c>
      <c r="AF1954" s="40" t="n">
        <f aca="false">AC1954/T1954-1</f>
        <v>0.423469687477273</v>
      </c>
      <c r="AG1954" s="37" t="str">
        <f aca="false">IF(AC1954&lt;T1954,"SIM","NÃO")</f>
        <v>NÃO</v>
      </c>
      <c r="AH1954" s="37" t="n">
        <v>13</v>
      </c>
      <c r="AI1954" s="37" t="n">
        <v>10</v>
      </c>
      <c r="AJ1954" s="37" t="s">
        <v>327</v>
      </c>
    </row>
    <row r="1955" customFormat="false" ht="15" hidden="false" customHeight="false" outlineLevel="0" collapsed="false">
      <c r="A1955" s="37" t="n">
        <v>397333682</v>
      </c>
      <c r="B1955" s="38" t="n">
        <v>46285.6464814815</v>
      </c>
      <c r="C1955" s="37" t="s">
        <v>325</v>
      </c>
      <c r="D1955" s="37" t="s">
        <v>2078</v>
      </c>
      <c r="E1955" s="37" t="n">
        <v>27288450</v>
      </c>
      <c r="F1955" s="37" t="s">
        <v>148</v>
      </c>
      <c r="G1955" s="37" t="s">
        <v>201</v>
      </c>
      <c r="H1955" s="37" t="s">
        <v>172</v>
      </c>
      <c r="I1955" s="37" t="n">
        <v>66.8</v>
      </c>
      <c r="J1955" s="39" t="n">
        <v>679.99</v>
      </c>
      <c r="K1955" s="37" t="s">
        <v>322</v>
      </c>
      <c r="L1955" s="39" t="n">
        <v>155.27</v>
      </c>
      <c r="M1955" s="39" t="n">
        <v>113.9</v>
      </c>
      <c r="N1955" s="39" t="n">
        <f aca="false">J1955*Resumo!$C$7</f>
        <v>1.35998</v>
      </c>
      <c r="O1955" s="39" t="n">
        <f aca="false">J1955*Resumo!$C$8</f>
        <v>1.35998</v>
      </c>
      <c r="P1955" s="39" t="n">
        <f aca="false">Resumo!$C$10*CEILING(I1955/100,1)</f>
        <v>1</v>
      </c>
      <c r="Q1955" s="39" t="n">
        <f aca="false">Resumo!$C$9</f>
        <v>11.9</v>
      </c>
      <c r="R1955" s="39" t="n">
        <f aca="false">SUM(M1955:Q1955)*Resumo!$C$11</f>
        <v>7.1235978</v>
      </c>
      <c r="S1955" s="39" t="n">
        <f aca="false">SUM(M1955:R1955)</f>
        <v>136.6435578</v>
      </c>
      <c r="T1955" s="39" t="n">
        <f aca="false">S1955/(1-Resumo!$C$5)</f>
        <v>155.276770227273</v>
      </c>
      <c r="U1955" s="39" t="n">
        <v>166.05</v>
      </c>
      <c r="V1955" s="39" t="n">
        <f aca="false">J1955*Resumo!$B$6</f>
        <v>0.67999</v>
      </c>
      <c r="W1955" s="39" t="n">
        <f aca="false">J1955*Resumo!$B$7</f>
        <v>1.35998</v>
      </c>
      <c r="X1955" s="39" t="n">
        <f aca="false">Resumo!$B$9</f>
        <v>1</v>
      </c>
      <c r="Y1955" s="39" t="n">
        <f aca="false">Resumo!$B$10*CEILING(I1955/100,1)</f>
        <v>4.5</v>
      </c>
      <c r="Z1955" s="39" t="n">
        <f aca="false">Resumo!$B$12*CEILING(I1955,1)</f>
        <v>4.02</v>
      </c>
      <c r="AA1955" s="39" t="n">
        <f aca="false">Resumo!$B$13*CEILING(I1955,1)</f>
        <v>30.15</v>
      </c>
      <c r="AB1955" s="39" t="n">
        <f aca="false">SUM(U1955:AA1955)</f>
        <v>207.75997</v>
      </c>
      <c r="AC1955" s="39" t="n">
        <f aca="false">AB1955/(1-Resumo!$B$5)</f>
        <v>236.090875</v>
      </c>
      <c r="AD1955" s="39" t="n">
        <f aca="false">(AB1955-AA1955)/(1-Resumo!$B$5)</f>
        <v>201.829511363636</v>
      </c>
      <c r="AE1955" s="39" t="n">
        <f aca="false">AC1955-T1955</f>
        <v>80.8141047727273</v>
      </c>
      <c r="AF1955" s="40" t="n">
        <f aca="false">AC1955/T1955-1</f>
        <v>0.520451994554258</v>
      </c>
      <c r="AG1955" s="37" t="str">
        <f aca="false">IF(AC1955&lt;T1955,"SIM","NÃO")</f>
        <v>NÃO</v>
      </c>
      <c r="AH1955" s="37" t="n">
        <v>13</v>
      </c>
      <c r="AI1955" s="37" t="n">
        <v>10</v>
      </c>
      <c r="AJ1955" s="37" t="s">
        <v>323</v>
      </c>
    </row>
    <row r="1956" customFormat="false" ht="15" hidden="false" customHeight="false" outlineLevel="0" collapsed="false">
      <c r="A1956" s="37" t="n">
        <v>397335570</v>
      </c>
      <c r="B1956" s="38" t="n">
        <v>46285.6499305556</v>
      </c>
      <c r="C1956" s="37" t="s">
        <v>320</v>
      </c>
      <c r="D1956" s="37" t="s">
        <v>2056</v>
      </c>
      <c r="E1956" s="37" t="n">
        <v>20250460</v>
      </c>
      <c r="F1956" s="37" t="s">
        <v>139</v>
      </c>
      <c r="G1956" s="37" t="s">
        <v>198</v>
      </c>
      <c r="H1956" s="37" t="s">
        <v>168</v>
      </c>
      <c r="I1956" s="37" t="n">
        <v>30.5</v>
      </c>
      <c r="J1956" s="39" t="n">
        <v>406.6</v>
      </c>
      <c r="K1956" s="37" t="s">
        <v>322</v>
      </c>
      <c r="L1956" s="39" t="n">
        <v>82.26</v>
      </c>
      <c r="M1956" s="39" t="n">
        <v>54.1</v>
      </c>
      <c r="N1956" s="39" t="n">
        <f aca="false">J1956*Resumo!$C$7</f>
        <v>0.8132</v>
      </c>
      <c r="O1956" s="39" t="n">
        <f aca="false">J1956*Resumo!$C$8</f>
        <v>0.8132</v>
      </c>
      <c r="P1956" s="39" t="n">
        <f aca="false">Resumo!$C$10*CEILING(I1956/100,1)</f>
        <v>1</v>
      </c>
      <c r="Q1956" s="39" t="n">
        <f aca="false">Resumo!$C$9</f>
        <v>11.9</v>
      </c>
      <c r="R1956" s="39" t="n">
        <f aca="false">SUM(M1956:Q1956)*Resumo!$C$11</f>
        <v>3.774452</v>
      </c>
      <c r="S1956" s="39" t="n">
        <f aca="false">SUM(M1956:R1956)</f>
        <v>72.400852</v>
      </c>
      <c r="T1956" s="39" t="n">
        <f aca="false">S1956/(1-Resumo!$C$5)</f>
        <v>82.2736954545455</v>
      </c>
      <c r="U1956" s="39" t="n">
        <v>82.21</v>
      </c>
      <c r="V1956" s="39" t="n">
        <f aca="false">J1956*Resumo!$B$6</f>
        <v>0.4066</v>
      </c>
      <c r="W1956" s="39" t="n">
        <f aca="false">J1956*Resumo!$B$7</f>
        <v>0.8132</v>
      </c>
      <c r="X1956" s="39" t="n">
        <f aca="false">Resumo!$B$9</f>
        <v>1</v>
      </c>
      <c r="Y1956" s="39" t="n">
        <f aca="false">Resumo!$B$10*CEILING(I1956/100,1)</f>
        <v>4.5</v>
      </c>
      <c r="Z1956" s="39" t="n">
        <f aca="false">Resumo!$B$12*CEILING(I1956,1)</f>
        <v>1.86</v>
      </c>
      <c r="AA1956" s="39" t="n">
        <f aca="false">Resumo!$B$13*CEILING(I1956,1)</f>
        <v>13.95</v>
      </c>
      <c r="AB1956" s="39" t="n">
        <f aca="false">SUM(U1956:AA1956)</f>
        <v>104.7398</v>
      </c>
      <c r="AC1956" s="39" t="n">
        <f aca="false">AB1956/(1-Resumo!$B$5)</f>
        <v>119.0225</v>
      </c>
      <c r="AD1956" s="39" t="n">
        <f aca="false">(AB1956-AA1956)/(1-Resumo!$B$5)</f>
        <v>103.170227272727</v>
      </c>
      <c r="AE1956" s="39" t="n">
        <f aca="false">AC1956-T1956</f>
        <v>36.7488045454546</v>
      </c>
      <c r="AF1956" s="40" t="n">
        <f aca="false">AC1956/T1956-1</f>
        <v>0.446665296148725</v>
      </c>
      <c r="AG1956" s="37" t="str">
        <f aca="false">IF(AC1956&lt;T1956,"SIM","NÃO")</f>
        <v>NÃO</v>
      </c>
      <c r="AH1956" s="37" t="n">
        <v>8</v>
      </c>
      <c r="AI1956" s="37" t="n">
        <v>5</v>
      </c>
      <c r="AJ1956" s="37" t="s">
        <v>323</v>
      </c>
    </row>
    <row r="1957" customFormat="false" ht="15" hidden="false" customHeight="false" outlineLevel="0" collapsed="false">
      <c r="A1957" s="37" t="n">
        <v>397351950</v>
      </c>
      <c r="B1957" s="38" t="n">
        <v>46285.6872337963</v>
      </c>
      <c r="C1957" s="37" t="s">
        <v>341</v>
      </c>
      <c r="D1957" s="37" t="s">
        <v>2079</v>
      </c>
      <c r="E1957" s="37" t="n">
        <v>22780510</v>
      </c>
      <c r="F1957" s="37" t="s">
        <v>139</v>
      </c>
      <c r="G1957" s="37" t="s">
        <v>198</v>
      </c>
      <c r="H1957" s="37" t="s">
        <v>171</v>
      </c>
      <c r="I1957" s="37" t="n">
        <v>60</v>
      </c>
      <c r="J1957" s="39" t="n">
        <v>999.99</v>
      </c>
      <c r="K1957" s="37" t="s">
        <v>322</v>
      </c>
      <c r="L1957" s="39" t="n">
        <v>115.94</v>
      </c>
      <c r="M1957" s="39" t="n">
        <v>79.81</v>
      </c>
      <c r="N1957" s="39" t="n">
        <f aca="false">J1957*Resumo!$C$7</f>
        <v>1.99998</v>
      </c>
      <c r="O1957" s="39" t="n">
        <f aca="false">J1957*Resumo!$C$8</f>
        <v>1.99998</v>
      </c>
      <c r="P1957" s="39" t="n">
        <f aca="false">Resumo!$C$10*CEILING(I1957/100,1)</f>
        <v>1</v>
      </c>
      <c r="Q1957" s="39" t="n">
        <f aca="false">Resumo!$C$9</f>
        <v>11.9</v>
      </c>
      <c r="R1957" s="39" t="n">
        <f aca="false">SUM(M1957:Q1957)*Resumo!$C$11</f>
        <v>5.3190478</v>
      </c>
      <c r="S1957" s="39" t="n">
        <f aca="false">SUM(M1957:R1957)</f>
        <v>102.0290078</v>
      </c>
      <c r="T1957" s="39" t="n">
        <f aca="false">S1957/(1-Resumo!$C$5)</f>
        <v>115.942054318182</v>
      </c>
      <c r="U1957" s="39" t="n">
        <v>112.3</v>
      </c>
      <c r="V1957" s="39" t="n">
        <f aca="false">J1957*Resumo!$B$6</f>
        <v>0.99999</v>
      </c>
      <c r="W1957" s="39" t="n">
        <f aca="false">J1957*Resumo!$B$7</f>
        <v>1.99998</v>
      </c>
      <c r="X1957" s="39" t="n">
        <f aca="false">Resumo!$B$9</f>
        <v>1</v>
      </c>
      <c r="Y1957" s="39" t="n">
        <f aca="false">Resumo!$B$10*CEILING(I1957/100,1)</f>
        <v>4.5</v>
      </c>
      <c r="Z1957" s="39" t="n">
        <f aca="false">Resumo!$B$12*CEILING(I1957,1)</f>
        <v>3.6</v>
      </c>
      <c r="AA1957" s="39" t="n">
        <f aca="false">Resumo!$B$13*CEILING(I1957,1)</f>
        <v>27</v>
      </c>
      <c r="AB1957" s="39" t="n">
        <f aca="false">SUM(U1957:AA1957)</f>
        <v>151.39997</v>
      </c>
      <c r="AC1957" s="39" t="n">
        <f aca="false">AB1957/(1-Resumo!$B$5)</f>
        <v>172.045420454545</v>
      </c>
      <c r="AD1957" s="39" t="n">
        <f aca="false">(AB1957-AA1957)/(1-Resumo!$B$5)</f>
        <v>141.363602272727</v>
      </c>
      <c r="AE1957" s="39" t="n">
        <f aca="false">AC1957-T1957</f>
        <v>56.1033661363636</v>
      </c>
      <c r="AF1957" s="40" t="n">
        <f aca="false">AC1957/T1957-1</f>
        <v>0.483891427198609</v>
      </c>
      <c r="AG1957" s="37" t="str">
        <f aca="false">IF(AC1957&lt;T1957,"SIM","NÃO")</f>
        <v>NÃO</v>
      </c>
      <c r="AH1957" s="37" t="n">
        <v>8</v>
      </c>
      <c r="AI1957" s="37" t="n">
        <v>5</v>
      </c>
      <c r="AJ1957" s="37" t="s">
        <v>323</v>
      </c>
    </row>
    <row r="1958" customFormat="false" ht="15" hidden="false" customHeight="false" outlineLevel="0" collapsed="false">
      <c r="A1958" s="37" t="n">
        <v>397394424</v>
      </c>
      <c r="B1958" s="38" t="n">
        <v>46285.7225578704</v>
      </c>
      <c r="C1958" s="37" t="s">
        <v>517</v>
      </c>
      <c r="D1958" s="37" t="s">
        <v>2080</v>
      </c>
      <c r="E1958" s="37" t="n">
        <v>24346040</v>
      </c>
      <c r="F1958" s="37" t="s">
        <v>143</v>
      </c>
      <c r="G1958" s="37" t="s">
        <v>207</v>
      </c>
      <c r="H1958" s="37" t="s">
        <v>170</v>
      </c>
      <c r="I1958" s="37" t="n">
        <v>49.6</v>
      </c>
      <c r="J1958" s="39" t="n">
        <v>799.99</v>
      </c>
      <c r="K1958" s="37" t="s">
        <v>322</v>
      </c>
      <c r="L1958" s="39" t="n">
        <v>117.91</v>
      </c>
      <c r="M1958" s="39" t="n">
        <v>82.25</v>
      </c>
      <c r="N1958" s="39" t="n">
        <f aca="false">J1958*Resumo!$C$7</f>
        <v>1.59998</v>
      </c>
      <c r="O1958" s="39" t="n">
        <f aca="false">J1958*Resumo!$C$8</f>
        <v>1.59998</v>
      </c>
      <c r="P1958" s="39" t="n">
        <f aca="false">Resumo!$C$10*CEILING(I1958/100,1)</f>
        <v>1</v>
      </c>
      <c r="Q1958" s="39" t="n">
        <f aca="false">Resumo!$C$9</f>
        <v>11.9</v>
      </c>
      <c r="R1958" s="39" t="n">
        <f aca="false">SUM(M1958:Q1958)*Resumo!$C$11</f>
        <v>5.4092478</v>
      </c>
      <c r="S1958" s="39" t="n">
        <f aca="false">SUM(M1958:R1958)</f>
        <v>103.7592078</v>
      </c>
      <c r="T1958" s="39" t="n">
        <f aca="false">S1958/(1-Resumo!$C$5)</f>
        <v>117.908190681818</v>
      </c>
      <c r="U1958" s="39" t="n">
        <v>114.95</v>
      </c>
      <c r="V1958" s="39" t="n">
        <f aca="false">J1958*Resumo!$B$6</f>
        <v>0.79999</v>
      </c>
      <c r="W1958" s="39" t="n">
        <f aca="false">J1958*Resumo!$B$7</f>
        <v>1.59998</v>
      </c>
      <c r="X1958" s="39" t="n">
        <f aca="false">Resumo!$B$9</f>
        <v>1</v>
      </c>
      <c r="Y1958" s="39" t="n">
        <f aca="false">Resumo!$B$10*CEILING(I1958/100,1)</f>
        <v>4.5</v>
      </c>
      <c r="Z1958" s="39" t="n">
        <f aca="false">Resumo!$B$12*CEILING(I1958,1)</f>
        <v>3</v>
      </c>
      <c r="AA1958" s="39" t="n">
        <f aca="false">Resumo!$B$13*CEILING(I1958,1)</f>
        <v>22.5</v>
      </c>
      <c r="AB1958" s="39" t="n">
        <f aca="false">SUM(U1958:AA1958)</f>
        <v>148.34997</v>
      </c>
      <c r="AC1958" s="39" t="n">
        <f aca="false">AB1958/(1-Resumo!$B$5)</f>
        <v>168.579511363636</v>
      </c>
      <c r="AD1958" s="39" t="n">
        <f aca="false">(AB1958-AA1958)/(1-Resumo!$B$5)</f>
        <v>143.011329545455</v>
      </c>
      <c r="AE1958" s="39" t="n">
        <f aca="false">AC1958-T1958</f>
        <v>50.6713206818182</v>
      </c>
      <c r="AF1958" s="40" t="n">
        <f aca="false">AC1958/T1958-1</f>
        <v>0.429752338567874</v>
      </c>
      <c r="AG1958" s="37" t="str">
        <f aca="false">IF(AC1958&lt;T1958,"SIM","NÃO")</f>
        <v>NÃO</v>
      </c>
      <c r="AH1958" s="37" t="n">
        <v>10</v>
      </c>
      <c r="AI1958" s="37" t="n">
        <v>7</v>
      </c>
      <c r="AJ1958" s="37" t="s">
        <v>323</v>
      </c>
    </row>
    <row r="1959" customFormat="false" ht="15" hidden="false" customHeight="false" outlineLevel="0" collapsed="false">
      <c r="A1959" s="37" t="n">
        <v>397400600</v>
      </c>
      <c r="B1959" s="38" t="n">
        <v>46285.7355555556</v>
      </c>
      <c r="C1959" s="37" t="s">
        <v>517</v>
      </c>
      <c r="D1959" s="37" t="s">
        <v>2081</v>
      </c>
      <c r="E1959" s="37" t="n">
        <v>28977010</v>
      </c>
      <c r="F1959" s="37" t="s">
        <v>153</v>
      </c>
      <c r="G1959" s="37" t="s">
        <v>201</v>
      </c>
      <c r="H1959" s="37" t="s">
        <v>171</v>
      </c>
      <c r="I1959" s="37" t="n">
        <v>54.1</v>
      </c>
      <c r="J1959" s="39" t="n">
        <v>1199.99</v>
      </c>
      <c r="K1959" s="37" t="s">
        <v>322</v>
      </c>
      <c r="L1959" s="39" t="n">
        <v>145.42</v>
      </c>
      <c r="M1959" s="39" t="n">
        <v>103.6</v>
      </c>
      <c r="N1959" s="39" t="n">
        <f aca="false">J1959*Resumo!$C$7</f>
        <v>2.39998</v>
      </c>
      <c r="O1959" s="39" t="n">
        <f aca="false">J1959*Resumo!$C$8</f>
        <v>2.39998</v>
      </c>
      <c r="P1959" s="39" t="n">
        <f aca="false">Resumo!$C$10*CEILING(I1959/100,1)</f>
        <v>1</v>
      </c>
      <c r="Q1959" s="39" t="n">
        <f aca="false">Resumo!$C$9</f>
        <v>11.9</v>
      </c>
      <c r="R1959" s="39" t="n">
        <f aca="false">SUM(M1959:Q1959)*Resumo!$C$11</f>
        <v>6.6714978</v>
      </c>
      <c r="S1959" s="39" t="n">
        <f aca="false">SUM(M1959:R1959)</f>
        <v>127.9714578</v>
      </c>
      <c r="T1959" s="39" t="n">
        <f aca="false">S1959/(1-Resumo!$C$5)</f>
        <v>145.422111136364</v>
      </c>
      <c r="U1959" s="39" t="n">
        <v>142.32</v>
      </c>
      <c r="V1959" s="39" t="n">
        <f aca="false">J1959*Resumo!$B$6</f>
        <v>1.19999</v>
      </c>
      <c r="W1959" s="39" t="n">
        <f aca="false">J1959*Resumo!$B$7</f>
        <v>2.39998</v>
      </c>
      <c r="X1959" s="39" t="n">
        <f aca="false">Resumo!$B$9</f>
        <v>1</v>
      </c>
      <c r="Y1959" s="39" t="n">
        <f aca="false">Resumo!$B$10*CEILING(I1959/100,1)</f>
        <v>4.5</v>
      </c>
      <c r="Z1959" s="39" t="n">
        <f aca="false">Resumo!$B$12*CEILING(I1959,1)</f>
        <v>3.3</v>
      </c>
      <c r="AA1959" s="39" t="n">
        <f aca="false">Resumo!$B$13*CEILING(I1959,1)</f>
        <v>24.75</v>
      </c>
      <c r="AB1959" s="39" t="n">
        <f aca="false">SUM(U1959:AA1959)</f>
        <v>179.46997</v>
      </c>
      <c r="AC1959" s="39" t="n">
        <f aca="false">AB1959/(1-Resumo!$B$5)</f>
        <v>203.943147727273</v>
      </c>
      <c r="AD1959" s="39" t="n">
        <f aca="false">(AB1959-AA1959)/(1-Resumo!$B$5)</f>
        <v>175.818147727273</v>
      </c>
      <c r="AE1959" s="39" t="n">
        <f aca="false">AC1959-T1959</f>
        <v>58.5210365909091</v>
      </c>
      <c r="AF1959" s="40" t="n">
        <f aca="false">AC1959/T1959-1</f>
        <v>0.40242186097844</v>
      </c>
      <c r="AG1959" s="37" t="str">
        <f aca="false">IF(AC1959&lt;T1959,"SIM","NÃO")</f>
        <v>NÃO</v>
      </c>
      <c r="AH1959" s="37" t="n">
        <v>13</v>
      </c>
      <c r="AI1959" s="37" t="n">
        <v>10</v>
      </c>
      <c r="AJ1959" s="37" t="s">
        <v>323</v>
      </c>
    </row>
    <row r="1960" customFormat="false" ht="15" hidden="false" customHeight="false" outlineLevel="0" collapsed="false">
      <c r="A1960" s="37" t="n">
        <v>397392267</v>
      </c>
      <c r="B1960" s="38" t="n">
        <v>46285.7389814815</v>
      </c>
      <c r="C1960" s="37" t="s">
        <v>320</v>
      </c>
      <c r="D1960" s="37" t="s">
        <v>2082</v>
      </c>
      <c r="E1960" s="37" t="n">
        <v>25919279</v>
      </c>
      <c r="F1960" s="37" t="s">
        <v>156</v>
      </c>
      <c r="G1960" s="37" t="s">
        <v>201</v>
      </c>
      <c r="H1960" s="37" t="s">
        <v>168</v>
      </c>
      <c r="I1960" s="37" t="n">
        <v>30.5</v>
      </c>
      <c r="J1960" s="39" t="n">
        <v>406.6</v>
      </c>
      <c r="K1960" s="37" t="s">
        <v>322</v>
      </c>
      <c r="L1960" s="39" t="n">
        <v>109.13</v>
      </c>
      <c r="M1960" s="39" t="n">
        <v>76.5</v>
      </c>
      <c r="N1960" s="39" t="n">
        <f aca="false">J1960*Resumo!$C$7</f>
        <v>0.8132</v>
      </c>
      <c r="O1960" s="39" t="n">
        <f aca="false">J1960*Resumo!$C$8</f>
        <v>0.8132</v>
      </c>
      <c r="P1960" s="39" t="n">
        <f aca="false">Resumo!$C$10*CEILING(I1960/100,1)</f>
        <v>1</v>
      </c>
      <c r="Q1960" s="39" t="n">
        <f aca="false">Resumo!$C$9</f>
        <v>11.9</v>
      </c>
      <c r="R1960" s="39" t="n">
        <f aca="false">SUM(M1960:Q1960)*Resumo!$C$11</f>
        <v>5.006452</v>
      </c>
      <c r="S1960" s="39" t="n">
        <f aca="false">SUM(M1960:R1960)</f>
        <v>96.032852</v>
      </c>
      <c r="T1960" s="39" t="n">
        <f aca="false">S1960/(1-Resumo!$C$5)</f>
        <v>109.128240909091</v>
      </c>
      <c r="U1960" s="39" t="n">
        <v>103.28</v>
      </c>
      <c r="V1960" s="39" t="n">
        <f aca="false">J1960*Resumo!$B$6</f>
        <v>0.4066</v>
      </c>
      <c r="W1960" s="39" t="n">
        <f aca="false">J1960*Resumo!$B$7</f>
        <v>0.8132</v>
      </c>
      <c r="X1960" s="39" t="n">
        <f aca="false">Resumo!$B$9</f>
        <v>1</v>
      </c>
      <c r="Y1960" s="39" t="n">
        <f aca="false">Resumo!$B$10*CEILING(I1960/100,1)</f>
        <v>4.5</v>
      </c>
      <c r="Z1960" s="39" t="n">
        <f aca="false">Resumo!$B$12*CEILING(I1960,1)</f>
        <v>1.86</v>
      </c>
      <c r="AA1960" s="39" t="n">
        <f aca="false">Resumo!$B$13*CEILING(I1960,1)</f>
        <v>13.95</v>
      </c>
      <c r="AB1960" s="39" t="n">
        <f aca="false">SUM(U1960:AA1960)</f>
        <v>125.8098</v>
      </c>
      <c r="AC1960" s="39" t="n">
        <f aca="false">AB1960/(1-Resumo!$B$5)</f>
        <v>142.965681818182</v>
      </c>
      <c r="AD1960" s="39" t="n">
        <f aca="false">(AB1960-AA1960)/(1-Resumo!$B$5)</f>
        <v>127.113409090909</v>
      </c>
      <c r="AE1960" s="39" t="n">
        <f aca="false">AC1960-T1960</f>
        <v>33.8374409090909</v>
      </c>
      <c r="AF1960" s="40" t="n">
        <f aca="false">AC1960/T1960-1</f>
        <v>0.310070432980581</v>
      </c>
      <c r="AG1960" s="37" t="str">
        <f aca="false">IF(AC1960&lt;T1960,"SIM","NÃO")</f>
        <v>NÃO</v>
      </c>
      <c r="AH1960" s="37" t="n">
        <v>13</v>
      </c>
      <c r="AI1960" s="37" t="n">
        <v>6</v>
      </c>
      <c r="AJ1960" s="37" t="s">
        <v>323</v>
      </c>
    </row>
    <row r="1961" customFormat="false" ht="15" hidden="false" customHeight="false" outlineLevel="0" collapsed="false">
      <c r="A1961" s="37" t="n">
        <v>397416258</v>
      </c>
      <c r="B1961" s="38" t="n">
        <v>46285.7740972222</v>
      </c>
      <c r="C1961" s="37" t="s">
        <v>359</v>
      </c>
      <c r="D1961" s="37" t="s">
        <v>635</v>
      </c>
      <c r="E1961" s="37" t="n">
        <v>24241002</v>
      </c>
      <c r="F1961" s="37" t="s">
        <v>143</v>
      </c>
      <c r="G1961" s="37" t="s">
        <v>207</v>
      </c>
      <c r="H1961" s="37" t="s">
        <v>169</v>
      </c>
      <c r="I1961" s="37" t="n">
        <v>40</v>
      </c>
      <c r="J1961" s="39" t="n">
        <v>539.99</v>
      </c>
      <c r="K1961" s="37" t="s">
        <v>322</v>
      </c>
      <c r="L1961" s="39" t="n">
        <v>113.55</v>
      </c>
      <c r="M1961" s="39" t="n">
        <v>79.65</v>
      </c>
      <c r="N1961" s="39" t="n">
        <f aca="false">J1961*Resumo!$C$7</f>
        <v>1.07998</v>
      </c>
      <c r="O1961" s="39" t="n">
        <f aca="false">J1961*Resumo!$C$8</f>
        <v>1.07998</v>
      </c>
      <c r="P1961" s="39" t="n">
        <f aca="false">Resumo!$C$10*CEILING(I1961/100,1)</f>
        <v>1</v>
      </c>
      <c r="Q1961" s="39" t="n">
        <f aca="false">Resumo!$C$9</f>
        <v>11.9</v>
      </c>
      <c r="R1961" s="39" t="n">
        <f aca="false">SUM(M1961:Q1961)*Resumo!$C$11</f>
        <v>5.2090478</v>
      </c>
      <c r="S1961" s="39" t="n">
        <f aca="false">SUM(M1961:R1961)</f>
        <v>99.9190078</v>
      </c>
      <c r="T1961" s="39" t="n">
        <f aca="false">S1961/(1-Resumo!$C$5)</f>
        <v>113.544327045455</v>
      </c>
      <c r="U1961" s="39" t="n">
        <v>114.95</v>
      </c>
      <c r="V1961" s="39" t="n">
        <f aca="false">J1961*Resumo!$B$6</f>
        <v>0.53999</v>
      </c>
      <c r="W1961" s="39" t="n">
        <f aca="false">J1961*Resumo!$B$7</f>
        <v>1.07998</v>
      </c>
      <c r="X1961" s="39" t="n">
        <f aca="false">Resumo!$B$9</f>
        <v>1</v>
      </c>
      <c r="Y1961" s="39" t="n">
        <f aca="false">Resumo!$B$10*CEILING(I1961/100,1)</f>
        <v>4.5</v>
      </c>
      <c r="Z1961" s="39" t="n">
        <f aca="false">Resumo!$B$12*CEILING(I1961,1)</f>
        <v>2.4</v>
      </c>
      <c r="AA1961" s="39" t="n">
        <f aca="false">Resumo!$B$13*CEILING(I1961,1)</f>
        <v>18</v>
      </c>
      <c r="AB1961" s="39" t="n">
        <f aca="false">SUM(U1961:AA1961)</f>
        <v>142.46997</v>
      </c>
      <c r="AC1961" s="39" t="n">
        <f aca="false">AB1961/(1-Resumo!$B$5)</f>
        <v>161.897693181818</v>
      </c>
      <c r="AD1961" s="39" t="n">
        <f aca="false">(AB1961-AA1961)/(1-Resumo!$B$5)</f>
        <v>141.443147727273</v>
      </c>
      <c r="AE1961" s="39" t="n">
        <f aca="false">AC1961-T1961</f>
        <v>48.3533661363636</v>
      </c>
      <c r="AF1961" s="40" t="n">
        <f aca="false">AC1961/T1961-1</f>
        <v>0.425854530953419</v>
      </c>
      <c r="AG1961" s="37" t="str">
        <f aca="false">IF(AC1961&lt;T1961,"SIM","NÃO")</f>
        <v>NÃO</v>
      </c>
      <c r="AH1961" s="37" t="n">
        <v>10</v>
      </c>
      <c r="AI1961" s="37" t="n">
        <v>7</v>
      </c>
      <c r="AJ1961" s="37" t="s">
        <v>323</v>
      </c>
    </row>
    <row r="1962" customFormat="false" ht="15" hidden="false" customHeight="false" outlineLevel="0" collapsed="false">
      <c r="A1962" s="37" t="n">
        <v>397431770</v>
      </c>
      <c r="B1962" s="38" t="n">
        <v>46285.8024305556</v>
      </c>
      <c r="C1962" s="37" t="s">
        <v>320</v>
      </c>
      <c r="D1962" s="37" t="s">
        <v>409</v>
      </c>
      <c r="E1962" s="37" t="n">
        <v>28880000</v>
      </c>
      <c r="F1962" s="37" t="s">
        <v>276</v>
      </c>
      <c r="G1962" s="37" t="s">
        <v>201</v>
      </c>
      <c r="H1962" s="37" t="s">
        <v>172</v>
      </c>
      <c r="I1962" s="37" t="n">
        <v>67.3</v>
      </c>
      <c r="J1962" s="39" t="n">
        <v>694.72</v>
      </c>
      <c r="K1962" s="37" t="s">
        <v>322</v>
      </c>
      <c r="L1962" s="39" t="n">
        <v>155.35</v>
      </c>
      <c r="M1962" s="39" t="n">
        <v>113.9</v>
      </c>
      <c r="N1962" s="39" t="n">
        <f aca="false">J1962*Resumo!$C$7</f>
        <v>1.38944</v>
      </c>
      <c r="O1962" s="39" t="n">
        <f aca="false">J1962*Resumo!$C$8</f>
        <v>1.38944</v>
      </c>
      <c r="P1962" s="39" t="n">
        <f aca="false">Resumo!$C$10*CEILING(I1962/100,1)</f>
        <v>1</v>
      </c>
      <c r="Q1962" s="39" t="n">
        <f aca="false">Resumo!$C$9</f>
        <v>11.9</v>
      </c>
      <c r="R1962" s="39" t="n">
        <f aca="false">SUM(M1962:Q1962)*Resumo!$C$11</f>
        <v>7.1268384</v>
      </c>
      <c r="S1962" s="39" t="n">
        <f aca="false">SUM(M1962:R1962)</f>
        <v>136.7057184</v>
      </c>
      <c r="T1962" s="39" t="n">
        <f aca="false">S1962/(1-Resumo!$C$5)</f>
        <v>155.347407272727</v>
      </c>
      <c r="U1962" s="39" t="n">
        <v>166.05</v>
      </c>
      <c r="V1962" s="39" t="n">
        <f aca="false">J1962*Resumo!$B$6</f>
        <v>0.69472</v>
      </c>
      <c r="W1962" s="39" t="n">
        <f aca="false">J1962*Resumo!$B$7</f>
        <v>1.38944</v>
      </c>
      <c r="X1962" s="39" t="n">
        <f aca="false">Resumo!$B$9</f>
        <v>1</v>
      </c>
      <c r="Y1962" s="39" t="n">
        <f aca="false">Resumo!$B$10*CEILING(I1962/100,1)</f>
        <v>4.5</v>
      </c>
      <c r="Z1962" s="39" t="n">
        <f aca="false">Resumo!$B$12*CEILING(I1962,1)</f>
        <v>4.08</v>
      </c>
      <c r="AA1962" s="39" t="n">
        <f aca="false">Resumo!$B$13*CEILING(I1962,1)</f>
        <v>30.6</v>
      </c>
      <c r="AB1962" s="39" t="n">
        <f aca="false">SUM(U1962:AA1962)</f>
        <v>208.31416</v>
      </c>
      <c r="AC1962" s="39" t="n">
        <f aca="false">AB1962/(1-Resumo!$B$5)</f>
        <v>236.720636363636</v>
      </c>
      <c r="AD1962" s="39" t="n">
        <f aca="false">(AB1962-AA1962)/(1-Resumo!$B$5)</f>
        <v>201.947909090909</v>
      </c>
      <c r="AE1962" s="39" t="n">
        <f aca="false">AC1962-T1962</f>
        <v>81.3732290909091</v>
      </c>
      <c r="AF1962" s="40" t="n">
        <f aca="false">AC1962/T1962-1</f>
        <v>0.52381452976586</v>
      </c>
      <c r="AG1962" s="37" t="str">
        <f aca="false">IF(AC1962&lt;T1962,"SIM","NÃO")</f>
        <v>NÃO</v>
      </c>
      <c r="AH1962" s="37" t="n">
        <v>13</v>
      </c>
      <c r="AI1962" s="37" t="n">
        <v>10</v>
      </c>
      <c r="AJ1962" s="37" t="s">
        <v>327</v>
      </c>
    </row>
    <row r="1963" customFormat="false" ht="15" hidden="false" customHeight="false" outlineLevel="0" collapsed="false">
      <c r="A1963" s="37" t="n">
        <v>397438445</v>
      </c>
      <c r="B1963" s="38" t="n">
        <v>46285.8144560185</v>
      </c>
      <c r="C1963" s="37" t="s">
        <v>320</v>
      </c>
      <c r="D1963" s="37" t="s">
        <v>2083</v>
      </c>
      <c r="E1963" s="37" t="n">
        <v>21511200</v>
      </c>
      <c r="F1963" s="37" t="s">
        <v>139</v>
      </c>
      <c r="G1963" s="37" t="s">
        <v>198</v>
      </c>
      <c r="H1963" s="37" t="s">
        <v>170</v>
      </c>
      <c r="I1963" s="37" t="n">
        <v>49.6</v>
      </c>
      <c r="J1963" s="39" t="n">
        <v>769.99</v>
      </c>
      <c r="K1963" s="37" t="s">
        <v>322</v>
      </c>
      <c r="L1963" s="39" t="n">
        <v>104.27</v>
      </c>
      <c r="M1963" s="39" t="n">
        <v>71</v>
      </c>
      <c r="N1963" s="39" t="n">
        <f aca="false">J1963*Resumo!$C$7</f>
        <v>1.53998</v>
      </c>
      <c r="O1963" s="39" t="n">
        <f aca="false">J1963*Resumo!$C$8</f>
        <v>1.53998</v>
      </c>
      <c r="P1963" s="39" t="n">
        <f aca="false">Resumo!$C$10*CEILING(I1963/100,1)</f>
        <v>1</v>
      </c>
      <c r="Q1963" s="39" t="n">
        <f aca="false">Resumo!$C$9</f>
        <v>11.9</v>
      </c>
      <c r="R1963" s="39" t="n">
        <f aca="false">SUM(M1963:Q1963)*Resumo!$C$11</f>
        <v>4.7838978</v>
      </c>
      <c r="S1963" s="39" t="n">
        <f aca="false">SUM(M1963:R1963)</f>
        <v>91.7638578</v>
      </c>
      <c r="T1963" s="39" t="n">
        <f aca="false">S1963/(1-Resumo!$C$5)</f>
        <v>104.277111136364</v>
      </c>
      <c r="U1963" s="39" t="n">
        <v>93.97</v>
      </c>
      <c r="V1963" s="39" t="n">
        <f aca="false">J1963*Resumo!$B$6</f>
        <v>0.76999</v>
      </c>
      <c r="W1963" s="39" t="n">
        <f aca="false">J1963*Resumo!$B$7</f>
        <v>1.53998</v>
      </c>
      <c r="X1963" s="39" t="n">
        <f aca="false">Resumo!$B$9</f>
        <v>1</v>
      </c>
      <c r="Y1963" s="39" t="n">
        <f aca="false">Resumo!$B$10*CEILING(I1963/100,1)</f>
        <v>4.5</v>
      </c>
      <c r="Z1963" s="39" t="n">
        <f aca="false">Resumo!$B$12*CEILING(I1963,1)</f>
        <v>3</v>
      </c>
      <c r="AA1963" s="39" t="n">
        <f aca="false">Resumo!$B$13*CEILING(I1963,1)</f>
        <v>22.5</v>
      </c>
      <c r="AB1963" s="39" t="n">
        <f aca="false">SUM(U1963:AA1963)</f>
        <v>127.27997</v>
      </c>
      <c r="AC1963" s="39" t="n">
        <f aca="false">AB1963/(1-Resumo!$B$5)</f>
        <v>144.636329545455</v>
      </c>
      <c r="AD1963" s="39" t="n">
        <f aca="false">(AB1963-AA1963)/(1-Resumo!$B$5)</f>
        <v>119.068147727273</v>
      </c>
      <c r="AE1963" s="39" t="n">
        <f aca="false">AC1963-T1963</f>
        <v>40.3592184090909</v>
      </c>
      <c r="AF1963" s="40" t="n">
        <f aca="false">AC1963/T1963-1</f>
        <v>0.387038133002294</v>
      </c>
      <c r="AG1963" s="37" t="str">
        <f aca="false">IF(AC1963&lt;T1963,"SIM","NÃO")</f>
        <v>NÃO</v>
      </c>
      <c r="AH1963" s="37" t="n">
        <v>8</v>
      </c>
      <c r="AI1963" s="37" t="n">
        <v>5</v>
      </c>
      <c r="AJ1963" s="37" t="s">
        <v>323</v>
      </c>
    </row>
    <row r="1964" customFormat="false" ht="15" hidden="false" customHeight="false" outlineLevel="0" collapsed="false">
      <c r="A1964" s="37" t="n">
        <v>397457365</v>
      </c>
      <c r="B1964" s="38" t="n">
        <v>46285.8472222222</v>
      </c>
      <c r="C1964" s="37" t="s">
        <v>320</v>
      </c>
      <c r="D1964" s="37" t="s">
        <v>2084</v>
      </c>
      <c r="E1964" s="37" t="n">
        <v>21361640</v>
      </c>
      <c r="F1964" s="37" t="s">
        <v>139</v>
      </c>
      <c r="G1964" s="37" t="s">
        <v>198</v>
      </c>
      <c r="H1964" s="37" t="s">
        <v>170</v>
      </c>
      <c r="I1964" s="37" t="n">
        <v>48.3</v>
      </c>
      <c r="J1964" s="39" t="n">
        <v>449.35</v>
      </c>
      <c r="K1964" s="37" t="s">
        <v>322</v>
      </c>
      <c r="L1964" s="39" t="n">
        <v>102.74</v>
      </c>
      <c r="M1964" s="39" t="n">
        <v>71</v>
      </c>
      <c r="N1964" s="39" t="n">
        <f aca="false">J1964*Resumo!$C$7</f>
        <v>0.8987</v>
      </c>
      <c r="O1964" s="39" t="n">
        <f aca="false">J1964*Resumo!$C$8</f>
        <v>0.8987</v>
      </c>
      <c r="P1964" s="39" t="n">
        <f aca="false">Resumo!$C$10*CEILING(I1964/100,1)</f>
        <v>1</v>
      </c>
      <c r="Q1964" s="39" t="n">
        <f aca="false">Resumo!$C$9</f>
        <v>11.9</v>
      </c>
      <c r="R1964" s="39" t="n">
        <f aca="false">SUM(M1964:Q1964)*Resumo!$C$11</f>
        <v>4.713357</v>
      </c>
      <c r="S1964" s="39" t="n">
        <f aca="false">SUM(M1964:R1964)</f>
        <v>90.410757</v>
      </c>
      <c r="T1964" s="39" t="n">
        <f aca="false">S1964/(1-Resumo!$C$5)</f>
        <v>102.739496590909</v>
      </c>
      <c r="U1964" s="39" t="n">
        <v>93.97</v>
      </c>
      <c r="V1964" s="39" t="n">
        <f aca="false">J1964*Resumo!$B$6</f>
        <v>0.44935</v>
      </c>
      <c r="W1964" s="39" t="n">
        <f aca="false">J1964*Resumo!$B$7</f>
        <v>0.8987</v>
      </c>
      <c r="X1964" s="39" t="n">
        <f aca="false">Resumo!$B$9</f>
        <v>1</v>
      </c>
      <c r="Y1964" s="39" t="n">
        <f aca="false">Resumo!$B$10*CEILING(I1964/100,1)</f>
        <v>4.5</v>
      </c>
      <c r="Z1964" s="39" t="n">
        <f aca="false">Resumo!$B$12*CEILING(I1964,1)</f>
        <v>2.94</v>
      </c>
      <c r="AA1964" s="39" t="n">
        <f aca="false">Resumo!$B$13*CEILING(I1964,1)</f>
        <v>22.05</v>
      </c>
      <c r="AB1964" s="39" t="n">
        <f aca="false">SUM(U1964:AA1964)</f>
        <v>125.80805</v>
      </c>
      <c r="AC1964" s="39" t="n">
        <f aca="false">AB1964/(1-Resumo!$B$5)</f>
        <v>142.963693181818</v>
      </c>
      <c r="AD1964" s="39" t="n">
        <f aca="false">(AB1964-AA1964)/(1-Resumo!$B$5)</f>
        <v>117.906875</v>
      </c>
      <c r="AE1964" s="39" t="n">
        <f aca="false">AC1964-T1964</f>
        <v>40.2241965909091</v>
      </c>
      <c r="AF1964" s="40" t="n">
        <f aca="false">AC1964/T1964-1</f>
        <v>0.391516387812127</v>
      </c>
      <c r="AG1964" s="37" t="str">
        <f aca="false">IF(AC1964&lt;T1964,"SIM","NÃO")</f>
        <v>NÃO</v>
      </c>
      <c r="AH1964" s="37" t="n">
        <v>8</v>
      </c>
      <c r="AI1964" s="37" t="n">
        <v>5</v>
      </c>
      <c r="AJ1964" s="37" t="s">
        <v>323</v>
      </c>
    </row>
    <row r="1965" customFormat="false" ht="15" hidden="false" customHeight="false" outlineLevel="0" collapsed="false">
      <c r="A1965" s="37" t="n">
        <v>397508987</v>
      </c>
      <c r="B1965" s="38" t="n">
        <v>46285.9374884259</v>
      </c>
      <c r="C1965" s="37" t="s">
        <v>320</v>
      </c>
      <c r="D1965" s="37" t="s">
        <v>2085</v>
      </c>
      <c r="E1965" s="37" t="n">
        <v>22713460</v>
      </c>
      <c r="F1965" s="37" t="s">
        <v>139</v>
      </c>
      <c r="G1965" s="37" t="s">
        <v>198</v>
      </c>
      <c r="H1965" s="37" t="s">
        <v>168</v>
      </c>
      <c r="I1965" s="37" t="n">
        <v>31</v>
      </c>
      <c r="J1965" s="39" t="n">
        <v>323.94</v>
      </c>
      <c r="K1965" s="37" t="s">
        <v>322</v>
      </c>
      <c r="L1965" s="39" t="n">
        <v>81.89</v>
      </c>
      <c r="M1965" s="39" t="n">
        <v>54.1</v>
      </c>
      <c r="N1965" s="39" t="n">
        <f aca="false">J1965*Resumo!$C$7</f>
        <v>0.64788</v>
      </c>
      <c r="O1965" s="39" t="n">
        <f aca="false">J1965*Resumo!$C$8</f>
        <v>0.64788</v>
      </c>
      <c r="P1965" s="39" t="n">
        <f aca="false">Resumo!$C$10*CEILING(I1965/100,1)</f>
        <v>1</v>
      </c>
      <c r="Q1965" s="39" t="n">
        <f aca="false">Resumo!$C$9</f>
        <v>11.9</v>
      </c>
      <c r="R1965" s="39" t="n">
        <f aca="false">SUM(M1965:Q1965)*Resumo!$C$11</f>
        <v>3.7562668</v>
      </c>
      <c r="S1965" s="39" t="n">
        <f aca="false">SUM(M1965:R1965)</f>
        <v>72.0520268</v>
      </c>
      <c r="T1965" s="39" t="n">
        <f aca="false">S1965/(1-Resumo!$C$5)</f>
        <v>81.8773031818182</v>
      </c>
      <c r="U1965" s="39" t="n">
        <v>82.21</v>
      </c>
      <c r="V1965" s="39" t="n">
        <f aca="false">J1965*Resumo!$B$6</f>
        <v>0.32394</v>
      </c>
      <c r="W1965" s="39" t="n">
        <f aca="false">J1965*Resumo!$B$7</f>
        <v>0.64788</v>
      </c>
      <c r="X1965" s="39" t="n">
        <f aca="false">Resumo!$B$9</f>
        <v>1</v>
      </c>
      <c r="Y1965" s="39" t="n">
        <f aca="false">Resumo!$B$10*CEILING(I1965/100,1)</f>
        <v>4.5</v>
      </c>
      <c r="Z1965" s="39" t="n">
        <f aca="false">Resumo!$B$12*CEILING(I1965,1)</f>
        <v>1.86</v>
      </c>
      <c r="AA1965" s="39" t="n">
        <f aca="false">Resumo!$B$13*CEILING(I1965,1)</f>
        <v>13.95</v>
      </c>
      <c r="AB1965" s="39" t="n">
        <f aca="false">SUM(U1965:AA1965)</f>
        <v>104.49182</v>
      </c>
      <c r="AC1965" s="39" t="n">
        <f aca="false">AB1965/(1-Resumo!$B$5)</f>
        <v>118.740704545455</v>
      </c>
      <c r="AD1965" s="39" t="n">
        <f aca="false">(AB1965-AA1965)/(1-Resumo!$B$5)</f>
        <v>102.888431818182</v>
      </c>
      <c r="AE1965" s="39" t="n">
        <f aca="false">AC1965-T1965</f>
        <v>36.8634013636363</v>
      </c>
      <c r="AF1965" s="40" t="n">
        <f aca="false">AC1965/T1965-1</f>
        <v>0.450227351550366</v>
      </c>
      <c r="AG1965" s="37" t="str">
        <f aca="false">IF(AC1965&lt;T1965,"SIM","NÃO")</f>
        <v>NÃO</v>
      </c>
      <c r="AH1965" s="37" t="n">
        <v>8</v>
      </c>
      <c r="AI1965" s="37" t="n">
        <v>5</v>
      </c>
      <c r="AJ1965" s="37" t="s">
        <v>323</v>
      </c>
    </row>
    <row r="1966" customFormat="false" ht="15" hidden="false" customHeight="false" outlineLevel="0" collapsed="false">
      <c r="A1966" s="37" t="n">
        <v>397608636</v>
      </c>
      <c r="B1966" s="38" t="n">
        <v>46286.2935185185</v>
      </c>
      <c r="C1966" s="37" t="s">
        <v>320</v>
      </c>
      <c r="D1966" s="37" t="s">
        <v>2086</v>
      </c>
      <c r="E1966" s="37" t="n">
        <v>27264520</v>
      </c>
      <c r="F1966" s="37" t="s">
        <v>148</v>
      </c>
      <c r="G1966" s="37" t="s">
        <v>201</v>
      </c>
      <c r="H1966" s="37" t="s">
        <v>172</v>
      </c>
      <c r="I1966" s="37" t="n">
        <v>69</v>
      </c>
      <c r="J1966" s="39" t="n">
        <v>702.39</v>
      </c>
      <c r="K1966" s="37" t="s">
        <v>322</v>
      </c>
      <c r="L1966" s="39" t="n">
        <v>155.38</v>
      </c>
      <c r="M1966" s="39" t="n">
        <v>113.9</v>
      </c>
      <c r="N1966" s="39" t="n">
        <f aca="false">J1966*Resumo!$C$7</f>
        <v>1.40478</v>
      </c>
      <c r="O1966" s="39" t="n">
        <f aca="false">J1966*Resumo!$C$8</f>
        <v>1.40478</v>
      </c>
      <c r="P1966" s="39" t="n">
        <f aca="false">Resumo!$C$10*CEILING(I1966/100,1)</f>
        <v>1</v>
      </c>
      <c r="Q1966" s="39" t="n">
        <f aca="false">Resumo!$C$9</f>
        <v>11.9</v>
      </c>
      <c r="R1966" s="39" t="n">
        <f aca="false">SUM(M1966:Q1966)*Resumo!$C$11</f>
        <v>7.1285258</v>
      </c>
      <c r="S1966" s="39" t="n">
        <f aca="false">SUM(M1966:R1966)</f>
        <v>136.7380858</v>
      </c>
      <c r="T1966" s="39" t="n">
        <f aca="false">S1966/(1-Resumo!$C$5)</f>
        <v>155.384188409091</v>
      </c>
      <c r="U1966" s="39" t="n">
        <v>166.05</v>
      </c>
      <c r="V1966" s="39" t="n">
        <f aca="false">J1966*Resumo!$B$6</f>
        <v>0.70239</v>
      </c>
      <c r="W1966" s="39" t="n">
        <f aca="false">J1966*Resumo!$B$7</f>
        <v>1.40478</v>
      </c>
      <c r="X1966" s="39" t="n">
        <f aca="false">Resumo!$B$9</f>
        <v>1</v>
      </c>
      <c r="Y1966" s="39" t="n">
        <f aca="false">Resumo!$B$10*CEILING(I1966/100,1)</f>
        <v>4.5</v>
      </c>
      <c r="Z1966" s="39" t="n">
        <f aca="false">Resumo!$B$12*CEILING(I1966,1)</f>
        <v>4.14</v>
      </c>
      <c r="AA1966" s="39" t="n">
        <f aca="false">Resumo!$B$13*CEILING(I1966,1)</f>
        <v>31.05</v>
      </c>
      <c r="AB1966" s="39" t="n">
        <f aca="false">SUM(U1966:AA1966)</f>
        <v>208.84717</v>
      </c>
      <c r="AC1966" s="39" t="n">
        <f aca="false">AB1966/(1-Resumo!$B$5)</f>
        <v>237.326329545455</v>
      </c>
      <c r="AD1966" s="39" t="n">
        <f aca="false">(AB1966-AA1966)/(1-Resumo!$B$5)</f>
        <v>202.042238636364</v>
      </c>
      <c r="AE1966" s="39" t="n">
        <f aca="false">AC1966-T1966</f>
        <v>81.9421411363636</v>
      </c>
      <c r="AF1966" s="40" t="n">
        <f aca="false">AC1966/T1966-1</f>
        <v>0.527351862344119</v>
      </c>
      <c r="AG1966" s="37" t="str">
        <f aca="false">IF(AC1966&lt;T1966,"SIM","NÃO")</f>
        <v>NÃO</v>
      </c>
      <c r="AH1966" s="37" t="n">
        <v>13</v>
      </c>
      <c r="AI1966" s="37" t="n">
        <v>10</v>
      </c>
      <c r="AJ1966" s="37" t="s">
        <v>323</v>
      </c>
    </row>
    <row r="1967" customFormat="false" ht="15" hidden="false" customHeight="false" outlineLevel="0" collapsed="false">
      <c r="A1967" s="37" t="n">
        <v>397626794</v>
      </c>
      <c r="B1967" s="38" t="n">
        <v>46286.3524768519</v>
      </c>
      <c r="C1967" s="37" t="s">
        <v>320</v>
      </c>
      <c r="D1967" s="37" t="s">
        <v>2080</v>
      </c>
      <c r="E1967" s="37" t="n">
        <v>24346040</v>
      </c>
      <c r="F1967" s="37" t="s">
        <v>143</v>
      </c>
      <c r="G1967" s="37" t="s">
        <v>207</v>
      </c>
      <c r="H1967" s="37" t="s">
        <v>169</v>
      </c>
      <c r="I1967" s="37" t="n">
        <v>35.3</v>
      </c>
      <c r="J1967" s="39" t="n">
        <v>434.97</v>
      </c>
      <c r="K1967" s="37" t="s">
        <v>322</v>
      </c>
      <c r="L1967" s="39" t="n">
        <v>113.05</v>
      </c>
      <c r="M1967" s="39" t="n">
        <v>79.65</v>
      </c>
      <c r="N1967" s="39" t="n">
        <f aca="false">J1967*Resumo!$C$7</f>
        <v>0.86994</v>
      </c>
      <c r="O1967" s="39" t="n">
        <f aca="false">J1967*Resumo!$C$8</f>
        <v>0.86994</v>
      </c>
      <c r="P1967" s="39" t="n">
        <f aca="false">Resumo!$C$10*CEILING(I1967/100,1)</f>
        <v>1</v>
      </c>
      <c r="Q1967" s="39" t="n">
        <f aca="false">Resumo!$C$9</f>
        <v>11.9</v>
      </c>
      <c r="R1967" s="39" t="n">
        <f aca="false">SUM(M1967:Q1967)*Resumo!$C$11</f>
        <v>5.1859434</v>
      </c>
      <c r="S1967" s="39" t="n">
        <f aca="false">SUM(M1967:R1967)</f>
        <v>99.4758234</v>
      </c>
      <c r="T1967" s="39" t="n">
        <f aca="false">S1967/(1-Resumo!$C$5)</f>
        <v>113.040708409091</v>
      </c>
      <c r="U1967" s="39" t="n">
        <v>114.95</v>
      </c>
      <c r="V1967" s="39" t="n">
        <f aca="false">J1967*Resumo!$B$6</f>
        <v>0.43497</v>
      </c>
      <c r="W1967" s="39" t="n">
        <f aca="false">J1967*Resumo!$B$7</f>
        <v>0.86994</v>
      </c>
      <c r="X1967" s="39" t="n">
        <f aca="false">Resumo!$B$9</f>
        <v>1</v>
      </c>
      <c r="Y1967" s="39" t="n">
        <f aca="false">Resumo!$B$10*CEILING(I1967/100,1)</f>
        <v>4.5</v>
      </c>
      <c r="Z1967" s="39" t="n">
        <f aca="false">Resumo!$B$12*CEILING(I1967,1)</f>
        <v>2.16</v>
      </c>
      <c r="AA1967" s="39" t="n">
        <f aca="false">Resumo!$B$13*CEILING(I1967,1)</f>
        <v>16.2</v>
      </c>
      <c r="AB1967" s="39" t="n">
        <f aca="false">SUM(U1967:AA1967)</f>
        <v>140.11491</v>
      </c>
      <c r="AC1967" s="39" t="n">
        <f aca="false">AB1967/(1-Resumo!$B$5)</f>
        <v>159.221488636364</v>
      </c>
      <c r="AD1967" s="39" t="n">
        <f aca="false">(AB1967-AA1967)/(1-Resumo!$B$5)</f>
        <v>140.812397727273</v>
      </c>
      <c r="AE1967" s="39" t="n">
        <f aca="false">AC1967-T1967</f>
        <v>46.1807802272727</v>
      </c>
      <c r="AF1967" s="40" t="n">
        <f aca="false">AC1967/T1967-1</f>
        <v>0.408532296702759</v>
      </c>
      <c r="AG1967" s="37" t="str">
        <f aca="false">IF(AC1967&lt;T1967,"SIM","NÃO")</f>
        <v>NÃO</v>
      </c>
      <c r="AH1967" s="37" t="n">
        <v>10</v>
      </c>
      <c r="AI1967" s="37" t="n">
        <v>7</v>
      </c>
      <c r="AJ1967" s="37" t="s">
        <v>323</v>
      </c>
    </row>
    <row r="1968" customFormat="false" ht="15" hidden="false" customHeight="false" outlineLevel="0" collapsed="false">
      <c r="A1968" s="37" t="n">
        <v>397638991</v>
      </c>
      <c r="B1968" s="38" t="n">
        <v>46286.3742708333</v>
      </c>
      <c r="C1968" s="37" t="s">
        <v>2087</v>
      </c>
      <c r="D1968" s="37" t="s">
        <v>2088</v>
      </c>
      <c r="E1968" s="37" t="n">
        <v>22240005</v>
      </c>
      <c r="F1968" s="37" t="s">
        <v>139</v>
      </c>
      <c r="G1968" s="37" t="s">
        <v>198</v>
      </c>
      <c r="H1968" s="37" t="s">
        <v>168</v>
      </c>
      <c r="I1968" s="37" t="n">
        <v>31.6</v>
      </c>
      <c r="J1968" s="39" t="n">
        <v>2439.99</v>
      </c>
      <c r="K1968" s="37" t="s">
        <v>322</v>
      </c>
      <c r="L1968" s="39" t="n">
        <v>92.02</v>
      </c>
      <c r="M1968" s="39" t="n">
        <v>54.1</v>
      </c>
      <c r="N1968" s="39" t="n">
        <f aca="false">J1968*Resumo!$C$7</f>
        <v>4.87998</v>
      </c>
      <c r="O1968" s="39" t="n">
        <f aca="false">J1968*Resumo!$C$8</f>
        <v>4.87998</v>
      </c>
      <c r="P1968" s="39" t="n">
        <f aca="false">Resumo!$C$10*CEILING(I1968/100,1)</f>
        <v>1</v>
      </c>
      <c r="Q1968" s="39" t="n">
        <f aca="false">Resumo!$C$9</f>
        <v>11.9</v>
      </c>
      <c r="R1968" s="39" t="n">
        <f aca="false">SUM(M1968:Q1968)*Resumo!$C$11</f>
        <v>4.2217978</v>
      </c>
      <c r="S1968" s="39" t="n">
        <f aca="false">SUM(M1968:R1968)</f>
        <v>80.9817578</v>
      </c>
      <c r="T1968" s="39" t="n">
        <f aca="false">S1968/(1-Resumo!$C$5)</f>
        <v>92.0247247727273</v>
      </c>
      <c r="U1968" s="39" t="n">
        <v>82.21</v>
      </c>
      <c r="V1968" s="39" t="n">
        <f aca="false">J1968*Resumo!$B$6</f>
        <v>2.43999</v>
      </c>
      <c r="W1968" s="39" t="n">
        <f aca="false">J1968*Resumo!$B$7</f>
        <v>4.87998</v>
      </c>
      <c r="X1968" s="39" t="n">
        <f aca="false">Resumo!$B$9</f>
        <v>1</v>
      </c>
      <c r="Y1968" s="39" t="n">
        <f aca="false">Resumo!$B$10*CEILING(I1968/100,1)</f>
        <v>4.5</v>
      </c>
      <c r="Z1968" s="39" t="n">
        <f aca="false">Resumo!$B$12*CEILING(I1968,1)</f>
        <v>1.92</v>
      </c>
      <c r="AA1968" s="39" t="n">
        <f aca="false">Resumo!$B$13*CEILING(I1968,1)</f>
        <v>14.4</v>
      </c>
      <c r="AB1968" s="39" t="n">
        <f aca="false">SUM(U1968:AA1968)</f>
        <v>111.34997</v>
      </c>
      <c r="AC1968" s="39" t="n">
        <f aca="false">AB1968/(1-Resumo!$B$5)</f>
        <v>126.534056818182</v>
      </c>
      <c r="AD1968" s="39" t="n">
        <f aca="false">(AB1968-AA1968)/(1-Resumo!$B$5)</f>
        <v>110.170420454545</v>
      </c>
      <c r="AE1968" s="39" t="n">
        <f aca="false">AC1968-T1968</f>
        <v>34.5093320454545</v>
      </c>
      <c r="AF1968" s="40" t="n">
        <f aca="false">AC1968/T1968-1</f>
        <v>0.375000654777093</v>
      </c>
      <c r="AG1968" s="37" t="str">
        <f aca="false">IF(AC1968&lt;T1968,"SIM","NÃO")</f>
        <v>NÃO</v>
      </c>
      <c r="AH1968" s="37" t="n">
        <v>8</v>
      </c>
      <c r="AI1968" s="37" t="n">
        <v>5</v>
      </c>
      <c r="AJ1968" s="37" t="s">
        <v>323</v>
      </c>
    </row>
    <row r="1969" customFormat="false" ht="15" hidden="false" customHeight="false" outlineLevel="0" collapsed="false">
      <c r="A1969" s="37" t="n">
        <v>397640246</v>
      </c>
      <c r="B1969" s="38" t="n">
        <v>46286.3870023148</v>
      </c>
      <c r="C1969" s="37" t="s">
        <v>352</v>
      </c>
      <c r="D1969" s="37" t="s">
        <v>2089</v>
      </c>
      <c r="E1969" s="37" t="n">
        <v>22723000</v>
      </c>
      <c r="F1969" s="37" t="s">
        <v>139</v>
      </c>
      <c r="G1969" s="37" t="s">
        <v>198</v>
      </c>
      <c r="H1969" s="37" t="s">
        <v>168</v>
      </c>
      <c r="I1969" s="37" t="n">
        <v>29.2</v>
      </c>
      <c r="J1969" s="39" t="n">
        <v>469.99</v>
      </c>
      <c r="K1969" s="37" t="s">
        <v>322</v>
      </c>
      <c r="L1969" s="39" t="n">
        <v>82.58</v>
      </c>
      <c r="M1969" s="39" t="n">
        <v>54.1</v>
      </c>
      <c r="N1969" s="39" t="n">
        <f aca="false">J1969*Resumo!$C$7</f>
        <v>0.93998</v>
      </c>
      <c r="O1969" s="39" t="n">
        <f aca="false">J1969*Resumo!$C$8</f>
        <v>0.93998</v>
      </c>
      <c r="P1969" s="39" t="n">
        <f aca="false">Resumo!$C$10*CEILING(I1969/100,1)</f>
        <v>1</v>
      </c>
      <c r="Q1969" s="39" t="n">
        <f aca="false">Resumo!$C$9</f>
        <v>11.9</v>
      </c>
      <c r="R1969" s="39" t="n">
        <f aca="false">SUM(M1969:Q1969)*Resumo!$C$11</f>
        <v>3.7883978</v>
      </c>
      <c r="S1969" s="39" t="n">
        <f aca="false">SUM(M1969:R1969)</f>
        <v>72.6683578</v>
      </c>
      <c r="T1969" s="39" t="n">
        <f aca="false">S1969/(1-Resumo!$C$5)</f>
        <v>82.5776793181818</v>
      </c>
      <c r="U1969" s="39" t="n">
        <v>82.21</v>
      </c>
      <c r="V1969" s="39" t="n">
        <f aca="false">J1969*Resumo!$B$6</f>
        <v>0.46999</v>
      </c>
      <c r="W1969" s="39" t="n">
        <f aca="false">J1969*Resumo!$B$7</f>
        <v>0.93998</v>
      </c>
      <c r="X1969" s="39" t="n">
        <f aca="false">Resumo!$B$9</f>
        <v>1</v>
      </c>
      <c r="Y1969" s="39" t="n">
        <f aca="false">Resumo!$B$10*CEILING(I1969/100,1)</f>
        <v>4.5</v>
      </c>
      <c r="Z1969" s="39" t="n">
        <f aca="false">Resumo!$B$12*CEILING(I1969,1)</f>
        <v>1.8</v>
      </c>
      <c r="AA1969" s="39" t="n">
        <f aca="false">Resumo!$B$13*CEILING(I1969,1)</f>
        <v>13.5</v>
      </c>
      <c r="AB1969" s="39" t="n">
        <f aca="false">SUM(U1969:AA1969)</f>
        <v>104.41997</v>
      </c>
      <c r="AC1969" s="39" t="n">
        <f aca="false">AB1969/(1-Resumo!$B$5)</f>
        <v>118.659056818182</v>
      </c>
      <c r="AD1969" s="39" t="n">
        <f aca="false">(AB1969-AA1969)/(1-Resumo!$B$5)</f>
        <v>103.318147727273</v>
      </c>
      <c r="AE1969" s="39" t="n">
        <f aca="false">AC1969-T1969</f>
        <v>36.0813775</v>
      </c>
      <c r="AF1969" s="40" t="n">
        <f aca="false">AC1969/T1969-1</f>
        <v>0.436938623099035</v>
      </c>
      <c r="AG1969" s="37" t="str">
        <f aca="false">IF(AC1969&lt;T1969,"SIM","NÃO")</f>
        <v>NÃO</v>
      </c>
      <c r="AH1969" s="37" t="n">
        <v>8</v>
      </c>
      <c r="AI1969" s="37" t="n">
        <v>5</v>
      </c>
      <c r="AJ1969" s="37" t="s">
        <v>323</v>
      </c>
    </row>
    <row r="1970" customFormat="false" ht="15" hidden="false" customHeight="false" outlineLevel="0" collapsed="false">
      <c r="A1970" s="37" t="n">
        <v>397644715</v>
      </c>
      <c r="B1970" s="38" t="n">
        <v>46286.3931944444</v>
      </c>
      <c r="C1970" s="37" t="s">
        <v>320</v>
      </c>
      <c r="D1970" s="37" t="s">
        <v>1060</v>
      </c>
      <c r="E1970" s="37" t="n">
        <v>28770000</v>
      </c>
      <c r="F1970" s="37" t="s">
        <v>273</v>
      </c>
      <c r="G1970" s="37" t="s">
        <v>201</v>
      </c>
      <c r="H1970" s="37" t="s">
        <v>169</v>
      </c>
      <c r="I1970" s="37" t="n">
        <v>37.2</v>
      </c>
      <c r="J1970" s="39" t="n">
        <v>366.5</v>
      </c>
      <c r="K1970" s="37" t="s">
        <v>322</v>
      </c>
      <c r="L1970" s="39" t="n">
        <v>122</v>
      </c>
      <c r="M1970" s="39" t="n">
        <v>87.4</v>
      </c>
      <c r="N1970" s="39" t="n">
        <f aca="false">J1970*Resumo!$C$7</f>
        <v>0.733</v>
      </c>
      <c r="O1970" s="39" t="n">
        <f aca="false">J1970*Resumo!$C$8</f>
        <v>0.733</v>
      </c>
      <c r="P1970" s="39" t="n">
        <f aca="false">Resumo!$C$10*CEILING(I1970/100,1)</f>
        <v>1</v>
      </c>
      <c r="Q1970" s="39" t="n">
        <f aca="false">Resumo!$C$9</f>
        <v>11.9</v>
      </c>
      <c r="R1970" s="39" t="n">
        <f aca="false">SUM(M1970:Q1970)*Resumo!$C$11</f>
        <v>5.59713</v>
      </c>
      <c r="S1970" s="39" t="n">
        <f aca="false">SUM(M1970:R1970)</f>
        <v>107.36313</v>
      </c>
      <c r="T1970" s="39" t="n">
        <f aca="false">S1970/(1-Resumo!$C$5)</f>
        <v>122.003556818182</v>
      </c>
      <c r="U1970" s="39" t="n">
        <v>143.04</v>
      </c>
      <c r="V1970" s="39" t="n">
        <f aca="false">J1970*Resumo!$B$6</f>
        <v>0.3665</v>
      </c>
      <c r="W1970" s="39" t="n">
        <f aca="false">J1970*Resumo!$B$7</f>
        <v>0.733</v>
      </c>
      <c r="X1970" s="39" t="n">
        <f aca="false">Resumo!$B$9</f>
        <v>1</v>
      </c>
      <c r="Y1970" s="39" t="n">
        <f aca="false">Resumo!$B$10*CEILING(I1970/100,1)</f>
        <v>4.5</v>
      </c>
      <c r="Z1970" s="39" t="n">
        <f aca="false">Resumo!$B$12*CEILING(I1970,1)</f>
        <v>2.28</v>
      </c>
      <c r="AA1970" s="39" t="n">
        <f aca="false">Resumo!$B$13*CEILING(I1970,1)</f>
        <v>17.1</v>
      </c>
      <c r="AB1970" s="39" t="n">
        <f aca="false">SUM(U1970:AA1970)</f>
        <v>169.0195</v>
      </c>
      <c r="AC1970" s="39" t="n">
        <f aca="false">AB1970/(1-Resumo!$B$5)</f>
        <v>192.067613636364</v>
      </c>
      <c r="AD1970" s="39" t="n">
        <f aca="false">(AB1970-AA1970)/(1-Resumo!$B$5)</f>
        <v>172.635795454545</v>
      </c>
      <c r="AE1970" s="39" t="n">
        <f aca="false">AC1970-T1970</f>
        <v>70.0640568181818</v>
      </c>
      <c r="AF1970" s="40" t="n">
        <f aca="false">AC1970/T1970-1</f>
        <v>0.574278805023661</v>
      </c>
      <c r="AG1970" s="37" t="str">
        <f aca="false">IF(AC1970&lt;T1970,"SIM","NÃO")</f>
        <v>NÃO</v>
      </c>
      <c r="AH1970" s="37" t="n">
        <v>13</v>
      </c>
      <c r="AI1970" s="37" t="n">
        <v>11</v>
      </c>
      <c r="AJ1970" s="37" t="s">
        <v>327</v>
      </c>
    </row>
    <row r="1971" customFormat="false" ht="15" hidden="false" customHeight="false" outlineLevel="0" collapsed="false">
      <c r="A1971" s="37" t="n">
        <v>397675588</v>
      </c>
      <c r="B1971" s="38" t="n">
        <v>46286.4452314815</v>
      </c>
      <c r="C1971" s="37" t="s">
        <v>325</v>
      </c>
      <c r="D1971" s="37" t="s">
        <v>577</v>
      </c>
      <c r="E1971" s="37" t="n">
        <v>23970000</v>
      </c>
      <c r="F1971" s="37" t="s">
        <v>206</v>
      </c>
      <c r="G1971" s="37" t="s">
        <v>201</v>
      </c>
      <c r="H1971" s="37" t="s">
        <v>172</v>
      </c>
      <c r="I1971" s="37" t="n">
        <v>66.8</v>
      </c>
      <c r="J1971" s="39" t="n">
        <v>691.9</v>
      </c>
      <c r="K1971" s="37" t="s">
        <v>322</v>
      </c>
      <c r="L1971" s="39" t="n">
        <v>155.33</v>
      </c>
      <c r="M1971" s="39" t="n">
        <v>113.9</v>
      </c>
      <c r="N1971" s="39" t="n">
        <f aca="false">J1971*Resumo!$C$7</f>
        <v>1.3838</v>
      </c>
      <c r="O1971" s="39" t="n">
        <f aca="false">J1971*Resumo!$C$8</f>
        <v>1.3838</v>
      </c>
      <c r="P1971" s="39" t="n">
        <f aca="false">Resumo!$C$10*CEILING(I1971/100,1)</f>
        <v>1</v>
      </c>
      <c r="Q1971" s="39" t="n">
        <f aca="false">Resumo!$C$9</f>
        <v>11.9</v>
      </c>
      <c r="R1971" s="39" t="n">
        <f aca="false">SUM(M1971:Q1971)*Resumo!$C$11</f>
        <v>7.126218</v>
      </c>
      <c r="S1971" s="39" t="n">
        <f aca="false">SUM(M1971:R1971)</f>
        <v>136.693818</v>
      </c>
      <c r="T1971" s="39" t="n">
        <f aca="false">S1971/(1-Resumo!$C$5)</f>
        <v>155.333884090909</v>
      </c>
      <c r="U1971" s="39" t="n">
        <v>166.05</v>
      </c>
      <c r="V1971" s="39" t="n">
        <f aca="false">J1971*Resumo!$B$6</f>
        <v>0.6919</v>
      </c>
      <c r="W1971" s="39" t="n">
        <f aca="false">J1971*Resumo!$B$7</f>
        <v>1.3838</v>
      </c>
      <c r="X1971" s="39" t="n">
        <f aca="false">Resumo!$B$9</f>
        <v>1</v>
      </c>
      <c r="Y1971" s="39" t="n">
        <f aca="false">Resumo!$B$10*CEILING(I1971/100,1)</f>
        <v>4.5</v>
      </c>
      <c r="Z1971" s="39" t="n">
        <f aca="false">Resumo!$B$12*CEILING(I1971,1)</f>
        <v>4.02</v>
      </c>
      <c r="AA1971" s="39" t="n">
        <f aca="false">Resumo!$B$13*CEILING(I1971,1)</f>
        <v>30.15</v>
      </c>
      <c r="AB1971" s="39" t="n">
        <f aca="false">SUM(U1971:AA1971)</f>
        <v>207.7957</v>
      </c>
      <c r="AC1971" s="39" t="n">
        <f aca="false">AB1971/(1-Resumo!$B$5)</f>
        <v>236.131477272727</v>
      </c>
      <c r="AD1971" s="39" t="n">
        <f aca="false">(AB1971-AA1971)/(1-Resumo!$B$5)</f>
        <v>201.870113636364</v>
      </c>
      <c r="AE1971" s="39" t="n">
        <f aca="false">AC1971-T1971</f>
        <v>80.7975931818182</v>
      </c>
      <c r="AF1971" s="40" t="n">
        <f aca="false">AC1971/T1971-1</f>
        <v>0.520154334997066</v>
      </c>
      <c r="AG1971" s="37" t="str">
        <f aca="false">IF(AC1971&lt;T1971,"SIM","NÃO")</f>
        <v>NÃO</v>
      </c>
      <c r="AH1971" s="37" t="n">
        <v>13</v>
      </c>
      <c r="AI1971" s="37" t="n">
        <v>10</v>
      </c>
      <c r="AJ1971" s="37" t="s">
        <v>327</v>
      </c>
    </row>
    <row r="1972" customFormat="false" ht="15" hidden="false" customHeight="false" outlineLevel="0" collapsed="false">
      <c r="A1972" s="37" t="n">
        <v>397678943</v>
      </c>
      <c r="B1972" s="38" t="n">
        <v>46286.4523726852</v>
      </c>
      <c r="C1972" s="37" t="s">
        <v>320</v>
      </c>
      <c r="D1972" s="37" t="s">
        <v>2090</v>
      </c>
      <c r="E1972" s="37" t="n">
        <v>20931003</v>
      </c>
      <c r="F1972" s="37" t="s">
        <v>139</v>
      </c>
      <c r="G1972" s="37" t="s">
        <v>198</v>
      </c>
      <c r="H1972" s="37" t="s">
        <v>169</v>
      </c>
      <c r="I1972" s="37" t="n">
        <v>40</v>
      </c>
      <c r="J1972" s="39" t="n">
        <v>599.99</v>
      </c>
      <c r="K1972" s="37" t="s">
        <v>322</v>
      </c>
      <c r="L1972" s="39" t="n">
        <v>92.73</v>
      </c>
      <c r="M1972" s="39" t="n">
        <v>62.05</v>
      </c>
      <c r="N1972" s="39" t="n">
        <f aca="false">J1972*Resumo!$C$7</f>
        <v>1.19998</v>
      </c>
      <c r="O1972" s="39" t="n">
        <f aca="false">J1972*Resumo!$C$8</f>
        <v>1.19998</v>
      </c>
      <c r="P1972" s="39" t="n">
        <f aca="false">Resumo!$C$10*CEILING(I1972/100,1)</f>
        <v>1</v>
      </c>
      <c r="Q1972" s="39" t="n">
        <f aca="false">Resumo!$C$9</f>
        <v>11.9</v>
      </c>
      <c r="R1972" s="39" t="n">
        <f aca="false">SUM(M1972:Q1972)*Resumo!$C$11</f>
        <v>4.2542478</v>
      </c>
      <c r="S1972" s="39" t="n">
        <f aca="false">SUM(M1972:R1972)</f>
        <v>81.6042078</v>
      </c>
      <c r="T1972" s="39" t="n">
        <f aca="false">S1972/(1-Resumo!$C$5)</f>
        <v>92.7320543181818</v>
      </c>
      <c r="U1972" s="39" t="n">
        <v>93.97</v>
      </c>
      <c r="V1972" s="39" t="n">
        <f aca="false">J1972*Resumo!$B$6</f>
        <v>0.59999</v>
      </c>
      <c r="W1972" s="39" t="n">
        <f aca="false">J1972*Resumo!$B$7</f>
        <v>1.19998</v>
      </c>
      <c r="X1972" s="39" t="n">
        <f aca="false">Resumo!$B$9</f>
        <v>1</v>
      </c>
      <c r="Y1972" s="39" t="n">
        <f aca="false">Resumo!$B$10*CEILING(I1972/100,1)</f>
        <v>4.5</v>
      </c>
      <c r="Z1972" s="39" t="n">
        <f aca="false">Resumo!$B$12*CEILING(I1972,1)</f>
        <v>2.4</v>
      </c>
      <c r="AA1972" s="39" t="n">
        <f aca="false">Resumo!$B$13*CEILING(I1972,1)</f>
        <v>18</v>
      </c>
      <c r="AB1972" s="39" t="n">
        <f aca="false">SUM(U1972:AA1972)</f>
        <v>121.66997</v>
      </c>
      <c r="AC1972" s="39" t="n">
        <f aca="false">AB1972/(1-Resumo!$B$5)</f>
        <v>138.261329545455</v>
      </c>
      <c r="AD1972" s="39" t="n">
        <f aca="false">(AB1972-AA1972)/(1-Resumo!$B$5)</f>
        <v>117.806784090909</v>
      </c>
      <c r="AE1972" s="39" t="n">
        <f aca="false">AC1972-T1972</f>
        <v>45.5292752272727</v>
      </c>
      <c r="AF1972" s="40" t="n">
        <f aca="false">AC1972/T1972-1</f>
        <v>0.490976669955492</v>
      </c>
      <c r="AG1972" s="37" t="str">
        <f aca="false">IF(AC1972&lt;T1972,"SIM","NÃO")</f>
        <v>NÃO</v>
      </c>
      <c r="AH1972" s="37" t="n">
        <v>8</v>
      </c>
      <c r="AI1972" s="37" t="n">
        <v>5</v>
      </c>
      <c r="AJ1972" s="37" t="s">
        <v>323</v>
      </c>
    </row>
    <row r="1973" customFormat="false" ht="15" hidden="false" customHeight="false" outlineLevel="0" collapsed="false">
      <c r="A1973" s="37" t="n">
        <v>397684057</v>
      </c>
      <c r="B1973" s="38" t="n">
        <v>46286.4631944444</v>
      </c>
      <c r="C1973" s="37" t="s">
        <v>320</v>
      </c>
      <c r="D1973" s="37" t="s">
        <v>1843</v>
      </c>
      <c r="E1973" s="37" t="n">
        <v>27963795</v>
      </c>
      <c r="F1973" s="37" t="s">
        <v>146</v>
      </c>
      <c r="G1973" s="37" t="s">
        <v>201</v>
      </c>
      <c r="H1973" s="37" t="s">
        <v>168</v>
      </c>
      <c r="I1973" s="37" t="n">
        <v>33</v>
      </c>
      <c r="J1973" s="39" t="n">
        <v>438.93</v>
      </c>
      <c r="K1973" s="37" t="s">
        <v>322</v>
      </c>
      <c r="L1973" s="39" t="n">
        <v>109.28</v>
      </c>
      <c r="M1973" s="39" t="n">
        <v>76.5</v>
      </c>
      <c r="N1973" s="39" t="n">
        <f aca="false">J1973*Resumo!$C$7</f>
        <v>0.87786</v>
      </c>
      <c r="O1973" s="39" t="n">
        <f aca="false">J1973*Resumo!$C$8</f>
        <v>0.87786</v>
      </c>
      <c r="P1973" s="39" t="n">
        <f aca="false">Resumo!$C$10*CEILING(I1973/100,1)</f>
        <v>1</v>
      </c>
      <c r="Q1973" s="39" t="n">
        <f aca="false">Resumo!$C$9</f>
        <v>11.9</v>
      </c>
      <c r="R1973" s="39" t="n">
        <f aca="false">SUM(M1973:Q1973)*Resumo!$C$11</f>
        <v>5.0135646</v>
      </c>
      <c r="S1973" s="39" t="n">
        <f aca="false">SUM(M1973:R1973)</f>
        <v>96.1692846</v>
      </c>
      <c r="T1973" s="39" t="n">
        <f aca="false">S1973/(1-Resumo!$C$5)</f>
        <v>109.283277954545</v>
      </c>
      <c r="U1973" s="39" t="n">
        <v>138.29</v>
      </c>
      <c r="V1973" s="39" t="n">
        <f aca="false">J1973*Resumo!$B$6</f>
        <v>0.43893</v>
      </c>
      <c r="W1973" s="39" t="n">
        <f aca="false">J1973*Resumo!$B$7</f>
        <v>0.87786</v>
      </c>
      <c r="X1973" s="39" t="n">
        <f aca="false">Resumo!$B$9</f>
        <v>1</v>
      </c>
      <c r="Y1973" s="39" t="n">
        <f aca="false">Resumo!$B$10*CEILING(I1973/100,1)</f>
        <v>4.5</v>
      </c>
      <c r="Z1973" s="39" t="n">
        <f aca="false">Resumo!$B$12*CEILING(I1973,1)</f>
        <v>1.98</v>
      </c>
      <c r="AA1973" s="39" t="n">
        <f aca="false">Resumo!$B$13*CEILING(I1973,1)</f>
        <v>14.85</v>
      </c>
      <c r="AB1973" s="39" t="n">
        <f aca="false">SUM(U1973:AA1973)</f>
        <v>161.93679</v>
      </c>
      <c r="AC1973" s="39" t="n">
        <f aca="false">AB1973/(1-Resumo!$B$5)</f>
        <v>184.019079545455</v>
      </c>
      <c r="AD1973" s="39" t="n">
        <f aca="false">(AB1973-AA1973)/(1-Resumo!$B$5)</f>
        <v>167.144079545455</v>
      </c>
      <c r="AE1973" s="39" t="n">
        <f aca="false">AC1973-T1973</f>
        <v>74.7358015909091</v>
      </c>
      <c r="AF1973" s="40" t="n">
        <f aca="false">AC1973/T1973-1</f>
        <v>0.683872253740359</v>
      </c>
      <c r="AG1973" s="37" t="str">
        <f aca="false">IF(AC1973&lt;T1973,"SIM","NÃO")</f>
        <v>NÃO</v>
      </c>
      <c r="AH1973" s="37" t="n">
        <v>13</v>
      </c>
      <c r="AI1973" s="37" t="n">
        <v>11</v>
      </c>
      <c r="AJ1973" s="37" t="s">
        <v>323</v>
      </c>
    </row>
    <row r="1974" customFormat="false" ht="15" hidden="false" customHeight="false" outlineLevel="0" collapsed="false">
      <c r="A1974" s="37" t="n">
        <v>397749148</v>
      </c>
      <c r="B1974" s="38" t="n">
        <v>46286.5816782407</v>
      </c>
      <c r="C1974" s="37" t="s">
        <v>517</v>
      </c>
      <c r="D1974" s="37" t="s">
        <v>2091</v>
      </c>
      <c r="E1974" s="37" t="n">
        <v>22750006</v>
      </c>
      <c r="F1974" s="37" t="s">
        <v>139</v>
      </c>
      <c r="G1974" s="37" t="s">
        <v>198</v>
      </c>
      <c r="H1974" s="37" t="s">
        <v>171</v>
      </c>
      <c r="I1974" s="37" t="n">
        <v>52.3</v>
      </c>
      <c r="J1974" s="39" t="n">
        <v>699.99</v>
      </c>
      <c r="K1974" s="37" t="s">
        <v>322</v>
      </c>
      <c r="L1974" s="39" t="n">
        <v>114.5</v>
      </c>
      <c r="M1974" s="39" t="n">
        <v>79.81</v>
      </c>
      <c r="N1974" s="39" t="n">
        <f aca="false">J1974*Resumo!$C$7</f>
        <v>1.39998</v>
      </c>
      <c r="O1974" s="39" t="n">
        <f aca="false">J1974*Resumo!$C$8</f>
        <v>1.39998</v>
      </c>
      <c r="P1974" s="39" t="n">
        <f aca="false">Resumo!$C$10*CEILING(I1974/100,1)</f>
        <v>1</v>
      </c>
      <c r="Q1974" s="39" t="n">
        <f aca="false">Resumo!$C$9</f>
        <v>11.9</v>
      </c>
      <c r="R1974" s="39" t="n">
        <f aca="false">SUM(M1974:Q1974)*Resumo!$C$11</f>
        <v>5.2530478</v>
      </c>
      <c r="S1974" s="39" t="n">
        <f aca="false">SUM(M1974:R1974)</f>
        <v>100.7630078</v>
      </c>
      <c r="T1974" s="39" t="n">
        <f aca="false">S1974/(1-Resumo!$C$5)</f>
        <v>114.503417954545</v>
      </c>
      <c r="U1974" s="39" t="n">
        <v>112.3</v>
      </c>
      <c r="V1974" s="39" t="n">
        <f aca="false">J1974*Resumo!$B$6</f>
        <v>0.69999</v>
      </c>
      <c r="W1974" s="39" t="n">
        <f aca="false">J1974*Resumo!$B$7</f>
        <v>1.39998</v>
      </c>
      <c r="X1974" s="39" t="n">
        <f aca="false">Resumo!$B$9</f>
        <v>1</v>
      </c>
      <c r="Y1974" s="39" t="n">
        <f aca="false">Resumo!$B$10*CEILING(I1974/100,1)</f>
        <v>4.5</v>
      </c>
      <c r="Z1974" s="39" t="n">
        <f aca="false">Resumo!$B$12*CEILING(I1974,1)</f>
        <v>3.18</v>
      </c>
      <c r="AA1974" s="39" t="n">
        <f aca="false">Resumo!$B$13*CEILING(I1974,1)</f>
        <v>23.85</v>
      </c>
      <c r="AB1974" s="39" t="n">
        <f aca="false">SUM(U1974:AA1974)</f>
        <v>146.92997</v>
      </c>
      <c r="AC1974" s="39" t="n">
        <f aca="false">AB1974/(1-Resumo!$B$5)</f>
        <v>166.965875</v>
      </c>
      <c r="AD1974" s="39" t="n">
        <f aca="false">(AB1974-AA1974)/(1-Resumo!$B$5)</f>
        <v>139.863602272727</v>
      </c>
      <c r="AE1974" s="39" t="n">
        <f aca="false">AC1974-T1974</f>
        <v>52.4624570454545</v>
      </c>
      <c r="AF1974" s="40" t="n">
        <f aca="false">AC1974/T1974-1</f>
        <v>0.458173720772952</v>
      </c>
      <c r="AG1974" s="37" t="str">
        <f aca="false">IF(AC1974&lt;T1974,"SIM","NÃO")</f>
        <v>NÃO</v>
      </c>
      <c r="AH1974" s="37" t="n">
        <v>8</v>
      </c>
      <c r="AI1974" s="37" t="n">
        <v>5</v>
      </c>
      <c r="AJ1974" s="37" t="s">
        <v>323</v>
      </c>
    </row>
    <row r="1975" customFormat="false" ht="15" hidden="false" customHeight="false" outlineLevel="0" collapsed="false">
      <c r="A1975" s="37" t="n">
        <v>397748218</v>
      </c>
      <c r="B1975" s="38" t="n">
        <v>46286.599212963</v>
      </c>
      <c r="C1975" s="37" t="s">
        <v>325</v>
      </c>
      <c r="D1975" s="37" t="s">
        <v>2092</v>
      </c>
      <c r="E1975" s="37" t="n">
        <v>23575080</v>
      </c>
      <c r="F1975" s="37" t="s">
        <v>139</v>
      </c>
      <c r="G1975" s="37" t="s">
        <v>198</v>
      </c>
      <c r="H1975" s="37" t="s">
        <v>171</v>
      </c>
      <c r="I1975" s="37" t="n">
        <v>50.6</v>
      </c>
      <c r="J1975" s="39" t="n">
        <v>563.75</v>
      </c>
      <c r="K1975" s="37" t="s">
        <v>322</v>
      </c>
      <c r="L1975" s="39" t="n">
        <v>113.85</v>
      </c>
      <c r="M1975" s="39" t="n">
        <v>79.81</v>
      </c>
      <c r="N1975" s="39" t="n">
        <f aca="false">J1975*Resumo!$C$7</f>
        <v>1.1275</v>
      </c>
      <c r="O1975" s="39" t="n">
        <f aca="false">J1975*Resumo!$C$8</f>
        <v>1.1275</v>
      </c>
      <c r="P1975" s="39" t="n">
        <f aca="false">Resumo!$C$10*CEILING(I1975/100,1)</f>
        <v>1</v>
      </c>
      <c r="Q1975" s="39" t="n">
        <f aca="false">Resumo!$C$9</f>
        <v>11.9</v>
      </c>
      <c r="R1975" s="39" t="n">
        <f aca="false">SUM(M1975:Q1975)*Resumo!$C$11</f>
        <v>5.223075</v>
      </c>
      <c r="S1975" s="39" t="n">
        <f aca="false">SUM(M1975:R1975)</f>
        <v>100.188075</v>
      </c>
      <c r="T1975" s="39" t="n">
        <f aca="false">S1975/(1-Resumo!$C$5)</f>
        <v>113.850085227273</v>
      </c>
      <c r="U1975" s="39" t="n">
        <v>112.3</v>
      </c>
      <c r="V1975" s="39" t="n">
        <f aca="false">J1975*Resumo!$B$6</f>
        <v>0.56375</v>
      </c>
      <c r="W1975" s="39" t="n">
        <f aca="false">J1975*Resumo!$B$7</f>
        <v>1.1275</v>
      </c>
      <c r="X1975" s="39" t="n">
        <f aca="false">Resumo!$B$9</f>
        <v>1</v>
      </c>
      <c r="Y1975" s="39" t="n">
        <f aca="false">Resumo!$B$10*CEILING(I1975/100,1)</f>
        <v>4.5</v>
      </c>
      <c r="Z1975" s="39" t="n">
        <f aca="false">Resumo!$B$12*CEILING(I1975,1)</f>
        <v>3.06</v>
      </c>
      <c r="AA1975" s="39" t="n">
        <f aca="false">Resumo!$B$13*CEILING(I1975,1)</f>
        <v>22.95</v>
      </c>
      <c r="AB1975" s="39" t="n">
        <f aca="false">SUM(U1975:AA1975)</f>
        <v>145.50125</v>
      </c>
      <c r="AC1975" s="39" t="n">
        <f aca="false">AB1975/(1-Resumo!$B$5)</f>
        <v>165.342329545455</v>
      </c>
      <c r="AD1975" s="39" t="n">
        <f aca="false">(AB1975-AA1975)/(1-Resumo!$B$5)</f>
        <v>139.262784090909</v>
      </c>
      <c r="AE1975" s="39" t="n">
        <f aca="false">AC1975-T1975</f>
        <v>51.4922443181818</v>
      </c>
      <c r="AF1975" s="40" t="n">
        <f aca="false">AC1975/T1975-1</f>
        <v>0.452281122279273</v>
      </c>
      <c r="AG1975" s="37" t="str">
        <f aca="false">IF(AC1975&lt;T1975,"SIM","NÃO")</f>
        <v>NÃO</v>
      </c>
      <c r="AH1975" s="37" t="n">
        <v>8</v>
      </c>
      <c r="AI1975" s="37" t="n">
        <v>5</v>
      </c>
      <c r="AJ1975" s="37" t="s">
        <v>323</v>
      </c>
    </row>
    <row r="1976" customFormat="false" ht="15" hidden="false" customHeight="false" outlineLevel="0" collapsed="false">
      <c r="A1976" s="37" t="n">
        <v>397769065</v>
      </c>
      <c r="B1976" s="38" t="n">
        <v>46286.6438425926</v>
      </c>
      <c r="C1976" s="37" t="s">
        <v>325</v>
      </c>
      <c r="D1976" s="37" t="s">
        <v>2093</v>
      </c>
      <c r="E1976" s="37" t="n">
        <v>26050803</v>
      </c>
      <c r="F1976" s="37" t="s">
        <v>142</v>
      </c>
      <c r="G1976" s="37" t="s">
        <v>207</v>
      </c>
      <c r="H1976" s="37" t="s">
        <v>172</v>
      </c>
      <c r="I1976" s="37" t="n">
        <v>66.8</v>
      </c>
      <c r="J1976" s="39" t="n">
        <v>675.54</v>
      </c>
      <c r="K1976" s="37" t="s">
        <v>322</v>
      </c>
      <c r="L1976" s="39" t="n">
        <v>139.67</v>
      </c>
      <c r="M1976" s="39" t="n">
        <v>100.9</v>
      </c>
      <c r="N1976" s="39" t="n">
        <f aca="false">J1976*Resumo!$C$7</f>
        <v>1.35108</v>
      </c>
      <c r="O1976" s="39" t="n">
        <f aca="false">J1976*Resumo!$C$8</f>
        <v>1.35108</v>
      </c>
      <c r="P1976" s="39" t="n">
        <f aca="false">Resumo!$C$10*CEILING(I1976/100,1)</f>
        <v>1</v>
      </c>
      <c r="Q1976" s="39" t="n">
        <f aca="false">Resumo!$C$9</f>
        <v>11.9</v>
      </c>
      <c r="R1976" s="39" t="n">
        <f aca="false">SUM(M1976:Q1976)*Resumo!$C$11</f>
        <v>6.4076188</v>
      </c>
      <c r="S1976" s="39" t="n">
        <f aca="false">SUM(M1976:R1976)</f>
        <v>122.9097788</v>
      </c>
      <c r="T1976" s="39" t="n">
        <f aca="false">S1976/(1-Resumo!$C$5)</f>
        <v>139.670203181818</v>
      </c>
      <c r="U1976" s="39" t="n">
        <v>131.02</v>
      </c>
      <c r="V1976" s="39" t="n">
        <f aca="false">J1976*Resumo!$B$6</f>
        <v>0.67554</v>
      </c>
      <c r="W1976" s="39" t="n">
        <f aca="false">J1976*Resumo!$B$7</f>
        <v>1.35108</v>
      </c>
      <c r="X1976" s="39" t="n">
        <f aca="false">Resumo!$B$9</f>
        <v>1</v>
      </c>
      <c r="Y1976" s="39" t="n">
        <f aca="false">Resumo!$B$10*CEILING(I1976/100,1)</f>
        <v>4.5</v>
      </c>
      <c r="Z1976" s="39" t="n">
        <f aca="false">Resumo!$B$12*CEILING(I1976,1)</f>
        <v>4.02</v>
      </c>
      <c r="AA1976" s="39" t="n">
        <f aca="false">Resumo!$B$13*CEILING(I1976,1)</f>
        <v>30.15</v>
      </c>
      <c r="AB1976" s="39" t="n">
        <f aca="false">SUM(U1976:AA1976)</f>
        <v>172.71662</v>
      </c>
      <c r="AC1976" s="39" t="n">
        <f aca="false">AB1976/(1-Resumo!$B$5)</f>
        <v>196.268886363636</v>
      </c>
      <c r="AD1976" s="39" t="n">
        <f aca="false">(AB1976-AA1976)/(1-Resumo!$B$5)</f>
        <v>162.007522727273</v>
      </c>
      <c r="AE1976" s="39" t="n">
        <f aca="false">AC1976-T1976</f>
        <v>56.5986831818182</v>
      </c>
      <c r="AF1976" s="40" t="n">
        <f aca="false">AC1976/T1976-1</f>
        <v>0.405230907469504</v>
      </c>
      <c r="AG1976" s="37" t="str">
        <f aca="false">IF(AC1976&lt;T1976,"SIM","NÃO")</f>
        <v>NÃO</v>
      </c>
      <c r="AH1976" s="37" t="n">
        <v>10</v>
      </c>
      <c r="AI1976" s="37" t="n">
        <v>5</v>
      </c>
      <c r="AJ1976" s="37" t="s">
        <v>323</v>
      </c>
    </row>
    <row r="1977" customFormat="false" ht="15" hidden="false" customHeight="false" outlineLevel="0" collapsed="false">
      <c r="A1977" s="37" t="n">
        <v>397769222</v>
      </c>
      <c r="B1977" s="38" t="n">
        <v>46286.6440509259</v>
      </c>
      <c r="C1977" s="37" t="s">
        <v>320</v>
      </c>
      <c r="D1977" s="37" t="s">
        <v>2094</v>
      </c>
      <c r="E1977" s="37" t="n">
        <v>21842340</v>
      </c>
      <c r="F1977" s="37" t="s">
        <v>139</v>
      </c>
      <c r="G1977" s="37" t="s">
        <v>198</v>
      </c>
      <c r="H1977" s="37" t="s">
        <v>168</v>
      </c>
      <c r="I1977" s="37" t="n">
        <v>21.5</v>
      </c>
      <c r="J1977" s="39" t="n">
        <v>299.99</v>
      </c>
      <c r="K1977" s="37" t="s">
        <v>322</v>
      </c>
      <c r="L1977" s="39" t="n">
        <v>81.76</v>
      </c>
      <c r="M1977" s="39" t="n">
        <v>54.1</v>
      </c>
      <c r="N1977" s="39" t="n">
        <f aca="false">J1977*Resumo!$C$7</f>
        <v>0.59998</v>
      </c>
      <c r="O1977" s="39" t="n">
        <f aca="false">J1977*Resumo!$C$8</f>
        <v>0.59998</v>
      </c>
      <c r="P1977" s="39" t="n">
        <f aca="false">Resumo!$C$10*CEILING(I1977/100,1)</f>
        <v>1</v>
      </c>
      <c r="Q1977" s="39" t="n">
        <f aca="false">Resumo!$C$9</f>
        <v>11.9</v>
      </c>
      <c r="R1977" s="39" t="n">
        <f aca="false">SUM(M1977:Q1977)*Resumo!$C$11</f>
        <v>3.7509978</v>
      </c>
      <c r="S1977" s="39" t="n">
        <f aca="false">SUM(M1977:R1977)</f>
        <v>71.9509578</v>
      </c>
      <c r="T1977" s="39" t="n">
        <f aca="false">S1977/(1-Resumo!$C$5)</f>
        <v>81.7624520454545</v>
      </c>
      <c r="U1977" s="39" t="n">
        <v>82.21</v>
      </c>
      <c r="V1977" s="39" t="n">
        <f aca="false">J1977*Resumo!$B$6</f>
        <v>0.29999</v>
      </c>
      <c r="W1977" s="39" t="n">
        <f aca="false">J1977*Resumo!$B$7</f>
        <v>0.59998</v>
      </c>
      <c r="X1977" s="39" t="n">
        <f aca="false">Resumo!$B$9</f>
        <v>1</v>
      </c>
      <c r="Y1977" s="39" t="n">
        <f aca="false">Resumo!$B$10*CEILING(I1977/100,1)</f>
        <v>4.5</v>
      </c>
      <c r="Z1977" s="39" t="n">
        <f aca="false">Resumo!$B$12*CEILING(I1977,1)</f>
        <v>1.32</v>
      </c>
      <c r="AA1977" s="39" t="n">
        <f aca="false">Resumo!$B$13*CEILING(I1977,1)</f>
        <v>9.9</v>
      </c>
      <c r="AB1977" s="39" t="n">
        <f aca="false">SUM(U1977:AA1977)</f>
        <v>99.82997</v>
      </c>
      <c r="AC1977" s="39" t="n">
        <f aca="false">AB1977/(1-Resumo!$B$5)</f>
        <v>113.443147727273</v>
      </c>
      <c r="AD1977" s="39" t="n">
        <f aca="false">(AB1977-AA1977)/(1-Resumo!$B$5)</f>
        <v>102.193147727273</v>
      </c>
      <c r="AE1977" s="39" t="n">
        <f aca="false">AC1977-T1977</f>
        <v>31.6806956818182</v>
      </c>
      <c r="AF1977" s="40" t="n">
        <f aca="false">AC1977/T1977-1</f>
        <v>0.387472426392078</v>
      </c>
      <c r="AG1977" s="37" t="str">
        <f aca="false">IF(AC1977&lt;T1977,"SIM","NÃO")</f>
        <v>NÃO</v>
      </c>
      <c r="AH1977" s="37" t="n">
        <v>8</v>
      </c>
      <c r="AI1977" s="37" t="n">
        <v>5</v>
      </c>
      <c r="AJ1977" s="37" t="s">
        <v>323</v>
      </c>
    </row>
    <row r="1978" customFormat="false" ht="15" hidden="false" customHeight="false" outlineLevel="0" collapsed="false">
      <c r="A1978" s="37" t="n">
        <v>397804460</v>
      </c>
      <c r="B1978" s="38" t="n">
        <v>46286.7103125</v>
      </c>
      <c r="C1978" s="37" t="s">
        <v>320</v>
      </c>
      <c r="D1978" s="37" t="s">
        <v>2095</v>
      </c>
      <c r="E1978" s="37" t="n">
        <v>21046425</v>
      </c>
      <c r="F1978" s="37" t="s">
        <v>139</v>
      </c>
      <c r="G1978" s="37" t="s">
        <v>198</v>
      </c>
      <c r="H1978" s="37" t="s">
        <v>168</v>
      </c>
      <c r="I1978" s="37" t="n">
        <v>22.9</v>
      </c>
      <c r="J1978" s="39" t="n">
        <v>349.99</v>
      </c>
      <c r="K1978" s="37" t="s">
        <v>322</v>
      </c>
      <c r="L1978" s="39" t="n">
        <v>82</v>
      </c>
      <c r="M1978" s="39" t="n">
        <v>54.1</v>
      </c>
      <c r="N1978" s="39" t="n">
        <f aca="false">J1978*Resumo!$C$7</f>
        <v>0.69998</v>
      </c>
      <c r="O1978" s="39" t="n">
        <f aca="false">J1978*Resumo!$C$8</f>
        <v>0.69998</v>
      </c>
      <c r="P1978" s="39" t="n">
        <f aca="false">Resumo!$C$10*CEILING(I1978/100,1)</f>
        <v>1</v>
      </c>
      <c r="Q1978" s="39" t="n">
        <f aca="false">Resumo!$C$9</f>
        <v>11.9</v>
      </c>
      <c r="R1978" s="39" t="n">
        <f aca="false">SUM(M1978:Q1978)*Resumo!$C$11</f>
        <v>3.7619978</v>
      </c>
      <c r="S1978" s="39" t="n">
        <f aca="false">SUM(M1978:R1978)</f>
        <v>72.1619578</v>
      </c>
      <c r="T1978" s="39" t="n">
        <f aca="false">S1978/(1-Resumo!$C$5)</f>
        <v>82.0022247727273</v>
      </c>
      <c r="U1978" s="39" t="n">
        <v>82.21</v>
      </c>
      <c r="V1978" s="39" t="n">
        <f aca="false">J1978*Resumo!$B$6</f>
        <v>0.34999</v>
      </c>
      <c r="W1978" s="39" t="n">
        <f aca="false">J1978*Resumo!$B$7</f>
        <v>0.69998</v>
      </c>
      <c r="X1978" s="39" t="n">
        <f aca="false">Resumo!$B$9</f>
        <v>1</v>
      </c>
      <c r="Y1978" s="39" t="n">
        <f aca="false">Resumo!$B$10*CEILING(I1978/100,1)</f>
        <v>4.5</v>
      </c>
      <c r="Z1978" s="39" t="n">
        <f aca="false">Resumo!$B$12*CEILING(I1978,1)</f>
        <v>1.38</v>
      </c>
      <c r="AA1978" s="39" t="n">
        <f aca="false">Resumo!$B$13*CEILING(I1978,1)</f>
        <v>10.35</v>
      </c>
      <c r="AB1978" s="39" t="n">
        <f aca="false">SUM(U1978:AA1978)</f>
        <v>100.48997</v>
      </c>
      <c r="AC1978" s="39" t="n">
        <f aca="false">AB1978/(1-Resumo!$B$5)</f>
        <v>114.193147727273</v>
      </c>
      <c r="AD1978" s="39" t="n">
        <f aca="false">(AB1978-AA1978)/(1-Resumo!$B$5)</f>
        <v>102.431784090909</v>
      </c>
      <c r="AE1978" s="39" t="n">
        <f aca="false">AC1978-T1978</f>
        <v>32.1909229545454</v>
      </c>
      <c r="AF1978" s="40" t="n">
        <f aca="false">AC1978/T1978-1</f>
        <v>0.392561580417653</v>
      </c>
      <c r="AG1978" s="37" t="str">
        <f aca="false">IF(AC1978&lt;T1978,"SIM","NÃO")</f>
        <v>NÃO</v>
      </c>
      <c r="AH1978" s="37" t="n">
        <v>8</v>
      </c>
      <c r="AI1978" s="37" t="n">
        <v>5</v>
      </c>
      <c r="AJ1978" s="37" t="s">
        <v>323</v>
      </c>
    </row>
    <row r="1979" customFormat="false" ht="15" hidden="false" customHeight="false" outlineLevel="0" collapsed="false">
      <c r="A1979" s="37" t="n">
        <v>397807096</v>
      </c>
      <c r="B1979" s="38" t="n">
        <v>46286.7157060185</v>
      </c>
      <c r="C1979" s="37" t="s">
        <v>320</v>
      </c>
      <c r="D1979" s="37" t="s">
        <v>1987</v>
      </c>
      <c r="E1979" s="37" t="n">
        <v>28860000</v>
      </c>
      <c r="F1979" s="37" t="s">
        <v>276</v>
      </c>
      <c r="G1979" s="37" t="s">
        <v>201</v>
      </c>
      <c r="H1979" s="37" t="s">
        <v>168</v>
      </c>
      <c r="I1979" s="37" t="n">
        <v>30.5</v>
      </c>
      <c r="J1979" s="39" t="n">
        <v>406.6</v>
      </c>
      <c r="K1979" s="37" t="s">
        <v>322</v>
      </c>
      <c r="L1979" s="39" t="n">
        <v>109.13</v>
      </c>
      <c r="M1979" s="39" t="n">
        <v>76.5</v>
      </c>
      <c r="N1979" s="39" t="n">
        <f aca="false">J1979*Resumo!$C$7</f>
        <v>0.8132</v>
      </c>
      <c r="O1979" s="39" t="n">
        <f aca="false">J1979*Resumo!$C$8</f>
        <v>0.8132</v>
      </c>
      <c r="P1979" s="39" t="n">
        <f aca="false">Resumo!$C$10*CEILING(I1979/100,1)</f>
        <v>1</v>
      </c>
      <c r="Q1979" s="39" t="n">
        <f aca="false">Resumo!$C$9</f>
        <v>11.9</v>
      </c>
      <c r="R1979" s="39" t="n">
        <f aca="false">SUM(M1979:Q1979)*Resumo!$C$11</f>
        <v>5.006452</v>
      </c>
      <c r="S1979" s="39" t="n">
        <f aca="false">SUM(M1979:R1979)</f>
        <v>96.032852</v>
      </c>
      <c r="T1979" s="39" t="n">
        <f aca="false">S1979/(1-Resumo!$C$5)</f>
        <v>109.128240909091</v>
      </c>
      <c r="U1979" s="39" t="n">
        <v>114.95</v>
      </c>
      <c r="V1979" s="39" t="n">
        <f aca="false">J1979*Resumo!$B$6</f>
        <v>0.4066</v>
      </c>
      <c r="W1979" s="39" t="n">
        <f aca="false">J1979*Resumo!$B$7</f>
        <v>0.8132</v>
      </c>
      <c r="X1979" s="39" t="n">
        <f aca="false">Resumo!$B$9</f>
        <v>1</v>
      </c>
      <c r="Y1979" s="39" t="n">
        <f aca="false">Resumo!$B$10*CEILING(I1979/100,1)</f>
        <v>4.5</v>
      </c>
      <c r="Z1979" s="39" t="n">
        <f aca="false">Resumo!$B$12*CEILING(I1979,1)</f>
        <v>1.86</v>
      </c>
      <c r="AA1979" s="39" t="n">
        <f aca="false">Resumo!$B$13*CEILING(I1979,1)</f>
        <v>13.95</v>
      </c>
      <c r="AB1979" s="39" t="n">
        <f aca="false">SUM(U1979:AA1979)</f>
        <v>137.4798</v>
      </c>
      <c r="AC1979" s="39" t="n">
        <f aca="false">AB1979/(1-Resumo!$B$5)</f>
        <v>156.227045454545</v>
      </c>
      <c r="AD1979" s="39" t="n">
        <f aca="false">(AB1979-AA1979)/(1-Resumo!$B$5)</f>
        <v>140.374772727273</v>
      </c>
      <c r="AE1979" s="39" t="n">
        <f aca="false">AC1979-T1979</f>
        <v>47.0988045454546</v>
      </c>
      <c r="AF1979" s="40" t="n">
        <f aca="false">AC1979/T1979-1</f>
        <v>0.431591347510954</v>
      </c>
      <c r="AG1979" s="37" t="str">
        <f aca="false">IF(AC1979&lt;T1979,"SIM","NÃO")</f>
        <v>NÃO</v>
      </c>
      <c r="AH1979" s="37" t="n">
        <v>13</v>
      </c>
      <c r="AI1979" s="37" t="n">
        <v>10</v>
      </c>
      <c r="AJ1979" s="37" t="s">
        <v>327</v>
      </c>
    </row>
    <row r="1980" customFormat="false" ht="15" hidden="false" customHeight="false" outlineLevel="0" collapsed="false">
      <c r="A1980" s="37" t="n">
        <v>397821261</v>
      </c>
      <c r="B1980" s="38" t="n">
        <v>46286.7389930556</v>
      </c>
      <c r="C1980" s="37" t="s">
        <v>320</v>
      </c>
      <c r="D1980" s="37" t="s">
        <v>1538</v>
      </c>
      <c r="E1980" s="37" t="n">
        <v>21770190</v>
      </c>
      <c r="F1980" s="37" t="s">
        <v>139</v>
      </c>
      <c r="G1980" s="37" t="s">
        <v>198</v>
      </c>
      <c r="H1980" s="37" t="s">
        <v>169</v>
      </c>
      <c r="I1980" s="37" t="n">
        <v>35.3</v>
      </c>
      <c r="J1980" s="39" t="n">
        <v>434.97</v>
      </c>
      <c r="K1980" s="37" t="s">
        <v>322</v>
      </c>
      <c r="L1980" s="39" t="n">
        <v>91.94</v>
      </c>
      <c r="M1980" s="39" t="n">
        <v>62.05</v>
      </c>
      <c r="N1980" s="39" t="n">
        <f aca="false">J1980*Resumo!$C$7</f>
        <v>0.86994</v>
      </c>
      <c r="O1980" s="39" t="n">
        <f aca="false">J1980*Resumo!$C$8</f>
        <v>0.86994</v>
      </c>
      <c r="P1980" s="39" t="n">
        <f aca="false">Resumo!$C$10*CEILING(I1980/100,1)</f>
        <v>1</v>
      </c>
      <c r="Q1980" s="39" t="n">
        <f aca="false">Resumo!$C$9</f>
        <v>11.9</v>
      </c>
      <c r="R1980" s="39" t="n">
        <f aca="false">SUM(M1980:Q1980)*Resumo!$C$11</f>
        <v>4.2179434</v>
      </c>
      <c r="S1980" s="39" t="n">
        <f aca="false">SUM(M1980:R1980)</f>
        <v>80.9078234</v>
      </c>
      <c r="T1980" s="39" t="n">
        <f aca="false">S1980/(1-Resumo!$C$5)</f>
        <v>91.9407084090909</v>
      </c>
      <c r="U1980" s="39" t="n">
        <v>93.97</v>
      </c>
      <c r="V1980" s="39" t="n">
        <f aca="false">J1980*Resumo!$B$6</f>
        <v>0.43497</v>
      </c>
      <c r="W1980" s="39" t="n">
        <f aca="false">J1980*Resumo!$B$7</f>
        <v>0.86994</v>
      </c>
      <c r="X1980" s="39" t="n">
        <f aca="false">Resumo!$B$9</f>
        <v>1</v>
      </c>
      <c r="Y1980" s="39" t="n">
        <f aca="false">Resumo!$B$10*CEILING(I1980/100,1)</f>
        <v>4.5</v>
      </c>
      <c r="Z1980" s="39" t="n">
        <f aca="false">Resumo!$B$12*CEILING(I1980,1)</f>
        <v>2.16</v>
      </c>
      <c r="AA1980" s="39" t="n">
        <f aca="false">Resumo!$B$13*CEILING(I1980,1)</f>
        <v>16.2</v>
      </c>
      <c r="AB1980" s="39" t="n">
        <f aca="false">SUM(U1980:AA1980)</f>
        <v>119.13491</v>
      </c>
      <c r="AC1980" s="39" t="n">
        <f aca="false">AB1980/(1-Resumo!$B$5)</f>
        <v>135.380579545455</v>
      </c>
      <c r="AD1980" s="39" t="n">
        <f aca="false">(AB1980-AA1980)/(1-Resumo!$B$5)</f>
        <v>116.971488636364</v>
      </c>
      <c r="AE1980" s="39" t="n">
        <f aca="false">AC1980-T1980</f>
        <v>43.4398711363636</v>
      </c>
      <c r="AF1980" s="40" t="n">
        <f aca="false">AC1980/T1980-1</f>
        <v>0.47247701141346</v>
      </c>
      <c r="AG1980" s="37" t="str">
        <f aca="false">IF(AC1980&lt;T1980,"SIM","NÃO")</f>
        <v>NÃO</v>
      </c>
      <c r="AH1980" s="37" t="n">
        <v>8</v>
      </c>
      <c r="AI1980" s="37" t="n">
        <v>5</v>
      </c>
      <c r="AJ1980" s="37" t="s">
        <v>323</v>
      </c>
    </row>
    <row r="1981" customFormat="false" ht="15" hidden="false" customHeight="false" outlineLevel="0" collapsed="false">
      <c r="A1981" s="37" t="n">
        <v>397847078</v>
      </c>
      <c r="B1981" s="38" t="n">
        <v>46286.7621990741</v>
      </c>
      <c r="C1981" s="37" t="s">
        <v>517</v>
      </c>
      <c r="D1981" s="37" t="s">
        <v>2096</v>
      </c>
      <c r="E1981" s="37" t="n">
        <v>24725040</v>
      </c>
      <c r="F1981" s="37" t="s">
        <v>140</v>
      </c>
      <c r="G1981" s="37" t="s">
        <v>207</v>
      </c>
      <c r="H1981" s="37" t="s">
        <v>170</v>
      </c>
      <c r="I1981" s="37" t="n">
        <v>49.6</v>
      </c>
      <c r="J1981" s="39" t="n">
        <v>749.99</v>
      </c>
      <c r="K1981" s="37" t="s">
        <v>322</v>
      </c>
      <c r="L1981" s="39" t="n">
        <v>117.67</v>
      </c>
      <c r="M1981" s="39" t="n">
        <v>82.25</v>
      </c>
      <c r="N1981" s="39" t="n">
        <f aca="false">J1981*Resumo!$C$7</f>
        <v>1.49998</v>
      </c>
      <c r="O1981" s="39" t="n">
        <f aca="false">J1981*Resumo!$C$8</f>
        <v>1.49998</v>
      </c>
      <c r="P1981" s="39" t="n">
        <f aca="false">Resumo!$C$10*CEILING(I1981/100,1)</f>
        <v>1</v>
      </c>
      <c r="Q1981" s="39" t="n">
        <f aca="false">Resumo!$C$9</f>
        <v>11.9</v>
      </c>
      <c r="R1981" s="39" t="n">
        <f aca="false">SUM(M1981:Q1981)*Resumo!$C$11</f>
        <v>5.3982478</v>
      </c>
      <c r="S1981" s="39" t="n">
        <f aca="false">SUM(M1981:R1981)</f>
        <v>103.5482078</v>
      </c>
      <c r="T1981" s="39" t="n">
        <f aca="false">S1981/(1-Resumo!$C$5)</f>
        <v>117.668417954545</v>
      </c>
      <c r="U1981" s="39" t="n">
        <v>114.95</v>
      </c>
      <c r="V1981" s="39" t="n">
        <f aca="false">J1981*Resumo!$B$6</f>
        <v>0.74999</v>
      </c>
      <c r="W1981" s="39" t="n">
        <f aca="false">J1981*Resumo!$B$7</f>
        <v>1.49998</v>
      </c>
      <c r="X1981" s="39" t="n">
        <f aca="false">Resumo!$B$9</f>
        <v>1</v>
      </c>
      <c r="Y1981" s="39" t="n">
        <f aca="false">Resumo!$B$10*CEILING(I1981/100,1)</f>
        <v>4.5</v>
      </c>
      <c r="Z1981" s="39" t="n">
        <f aca="false">Resumo!$B$12*CEILING(I1981,1)</f>
        <v>3</v>
      </c>
      <c r="AA1981" s="39" t="n">
        <f aca="false">Resumo!$B$13*CEILING(I1981,1)</f>
        <v>22.5</v>
      </c>
      <c r="AB1981" s="39" t="n">
        <f aca="false">SUM(U1981:AA1981)</f>
        <v>148.19997</v>
      </c>
      <c r="AC1981" s="39" t="n">
        <f aca="false">AB1981/(1-Resumo!$B$5)</f>
        <v>168.409056818182</v>
      </c>
      <c r="AD1981" s="39" t="n">
        <f aca="false">(AB1981-AA1981)/(1-Resumo!$B$5)</f>
        <v>142.840875</v>
      </c>
      <c r="AE1981" s="39" t="n">
        <f aca="false">AC1981-T1981</f>
        <v>50.7406388636364</v>
      </c>
      <c r="AF1981" s="40" t="n">
        <f aca="false">AC1981/T1981-1</f>
        <v>0.431217141741781</v>
      </c>
      <c r="AG1981" s="37" t="str">
        <f aca="false">IF(AC1981&lt;T1981,"SIM","NÃO")</f>
        <v>NÃO</v>
      </c>
      <c r="AH1981" s="37" t="n">
        <v>10</v>
      </c>
      <c r="AI1981" s="37" t="n">
        <v>7</v>
      </c>
      <c r="AJ1981" s="37" t="s">
        <v>323</v>
      </c>
    </row>
    <row r="1982" customFormat="false" ht="15" hidden="false" customHeight="false" outlineLevel="0" collapsed="false">
      <c r="A1982" s="37" t="n">
        <v>397848628</v>
      </c>
      <c r="B1982" s="38" t="n">
        <v>46286.7919444444</v>
      </c>
      <c r="C1982" s="37" t="s">
        <v>320</v>
      </c>
      <c r="D1982" s="37" t="s">
        <v>2097</v>
      </c>
      <c r="E1982" s="37" t="n">
        <v>27966031</v>
      </c>
      <c r="F1982" s="37" t="s">
        <v>146</v>
      </c>
      <c r="G1982" s="37" t="s">
        <v>201</v>
      </c>
      <c r="H1982" s="37" t="s">
        <v>168</v>
      </c>
      <c r="I1982" s="37" t="n">
        <v>33</v>
      </c>
      <c r="J1982" s="39" t="n">
        <v>438.93</v>
      </c>
      <c r="K1982" s="37" t="s">
        <v>322</v>
      </c>
      <c r="L1982" s="39" t="n">
        <v>109.28</v>
      </c>
      <c r="M1982" s="39" t="n">
        <v>76.5</v>
      </c>
      <c r="N1982" s="39" t="n">
        <f aca="false">J1982*Resumo!$C$7</f>
        <v>0.87786</v>
      </c>
      <c r="O1982" s="39" t="n">
        <f aca="false">J1982*Resumo!$C$8</f>
        <v>0.87786</v>
      </c>
      <c r="P1982" s="39" t="n">
        <f aca="false">Resumo!$C$10*CEILING(I1982/100,1)</f>
        <v>1</v>
      </c>
      <c r="Q1982" s="39" t="n">
        <f aca="false">Resumo!$C$9</f>
        <v>11.9</v>
      </c>
      <c r="R1982" s="39" t="n">
        <f aca="false">SUM(M1982:Q1982)*Resumo!$C$11</f>
        <v>5.0135646</v>
      </c>
      <c r="S1982" s="39" t="n">
        <f aca="false">SUM(M1982:R1982)</f>
        <v>96.1692846</v>
      </c>
      <c r="T1982" s="39" t="n">
        <f aca="false">S1982/(1-Resumo!$C$5)</f>
        <v>109.283277954545</v>
      </c>
      <c r="U1982" s="39" t="n">
        <v>138.29</v>
      </c>
      <c r="V1982" s="39" t="n">
        <f aca="false">J1982*Resumo!$B$6</f>
        <v>0.43893</v>
      </c>
      <c r="W1982" s="39" t="n">
        <f aca="false">J1982*Resumo!$B$7</f>
        <v>0.87786</v>
      </c>
      <c r="X1982" s="39" t="n">
        <f aca="false">Resumo!$B$9</f>
        <v>1</v>
      </c>
      <c r="Y1982" s="39" t="n">
        <f aca="false">Resumo!$B$10*CEILING(I1982/100,1)</f>
        <v>4.5</v>
      </c>
      <c r="Z1982" s="39" t="n">
        <f aca="false">Resumo!$B$12*CEILING(I1982,1)</f>
        <v>1.98</v>
      </c>
      <c r="AA1982" s="39" t="n">
        <f aca="false">Resumo!$B$13*CEILING(I1982,1)</f>
        <v>14.85</v>
      </c>
      <c r="AB1982" s="39" t="n">
        <f aca="false">SUM(U1982:AA1982)</f>
        <v>161.93679</v>
      </c>
      <c r="AC1982" s="39" t="n">
        <f aca="false">AB1982/(1-Resumo!$B$5)</f>
        <v>184.019079545455</v>
      </c>
      <c r="AD1982" s="39" t="n">
        <f aca="false">(AB1982-AA1982)/(1-Resumo!$B$5)</f>
        <v>167.144079545455</v>
      </c>
      <c r="AE1982" s="39" t="n">
        <f aca="false">AC1982-T1982</f>
        <v>74.7358015909091</v>
      </c>
      <c r="AF1982" s="40" t="n">
        <f aca="false">AC1982/T1982-1</f>
        <v>0.683872253740359</v>
      </c>
      <c r="AG1982" s="37" t="str">
        <f aca="false">IF(AC1982&lt;T1982,"SIM","NÃO")</f>
        <v>NÃO</v>
      </c>
      <c r="AH1982" s="37" t="n">
        <v>13</v>
      </c>
      <c r="AI1982" s="37" t="n">
        <v>11</v>
      </c>
      <c r="AJ1982" s="37" t="s">
        <v>323</v>
      </c>
    </row>
    <row r="1983" customFormat="false" ht="15" hidden="false" customHeight="false" outlineLevel="0" collapsed="false">
      <c r="A1983" s="37" t="n">
        <v>397858201</v>
      </c>
      <c r="B1983" s="38" t="n">
        <v>46286.8105092593</v>
      </c>
      <c r="C1983" s="37" t="s">
        <v>325</v>
      </c>
      <c r="D1983" s="37" t="s">
        <v>2098</v>
      </c>
      <c r="E1983" s="37" t="n">
        <v>21381070</v>
      </c>
      <c r="F1983" s="37" t="s">
        <v>139</v>
      </c>
      <c r="G1983" s="37" t="s">
        <v>198</v>
      </c>
      <c r="H1983" s="37" t="s">
        <v>168</v>
      </c>
      <c r="I1983" s="37" t="n">
        <v>31.9</v>
      </c>
      <c r="J1983" s="39" t="n">
        <v>494.99</v>
      </c>
      <c r="K1983" s="37" t="s">
        <v>322</v>
      </c>
      <c r="L1983" s="39" t="n">
        <v>82.69</v>
      </c>
      <c r="M1983" s="39" t="n">
        <v>54.1</v>
      </c>
      <c r="N1983" s="39" t="n">
        <f aca="false">J1983*Resumo!$C$7</f>
        <v>0.98998</v>
      </c>
      <c r="O1983" s="39" t="n">
        <f aca="false">J1983*Resumo!$C$8</f>
        <v>0.98998</v>
      </c>
      <c r="P1983" s="39" t="n">
        <f aca="false">Resumo!$C$10*CEILING(I1983/100,1)</f>
        <v>1</v>
      </c>
      <c r="Q1983" s="39" t="n">
        <f aca="false">Resumo!$C$9</f>
        <v>11.9</v>
      </c>
      <c r="R1983" s="39" t="n">
        <f aca="false">SUM(M1983:Q1983)*Resumo!$C$11</f>
        <v>3.7938978</v>
      </c>
      <c r="S1983" s="39" t="n">
        <f aca="false">SUM(M1983:R1983)</f>
        <v>72.7738578</v>
      </c>
      <c r="T1983" s="39" t="n">
        <f aca="false">S1983/(1-Resumo!$C$5)</f>
        <v>82.6975656818182</v>
      </c>
      <c r="U1983" s="39" t="n">
        <v>82.21</v>
      </c>
      <c r="V1983" s="39" t="n">
        <f aca="false">J1983*Resumo!$B$6</f>
        <v>0.49499</v>
      </c>
      <c r="W1983" s="39" t="n">
        <f aca="false">J1983*Resumo!$B$7</f>
        <v>0.98998</v>
      </c>
      <c r="X1983" s="39" t="n">
        <f aca="false">Resumo!$B$9</f>
        <v>1</v>
      </c>
      <c r="Y1983" s="39" t="n">
        <f aca="false">Resumo!$B$10*CEILING(I1983/100,1)</f>
        <v>4.5</v>
      </c>
      <c r="Z1983" s="39" t="n">
        <f aca="false">Resumo!$B$12*CEILING(I1983,1)</f>
        <v>1.92</v>
      </c>
      <c r="AA1983" s="39" t="n">
        <f aca="false">Resumo!$B$13*CEILING(I1983,1)</f>
        <v>14.4</v>
      </c>
      <c r="AB1983" s="39" t="n">
        <f aca="false">SUM(U1983:AA1983)</f>
        <v>105.51497</v>
      </c>
      <c r="AC1983" s="39" t="n">
        <f aca="false">AB1983/(1-Resumo!$B$5)</f>
        <v>119.903375</v>
      </c>
      <c r="AD1983" s="39" t="n">
        <f aca="false">(AB1983-AA1983)/(1-Resumo!$B$5)</f>
        <v>103.539738636364</v>
      </c>
      <c r="AE1983" s="39" t="n">
        <f aca="false">AC1983-T1983</f>
        <v>37.2058093181818</v>
      </c>
      <c r="AF1983" s="40" t="n">
        <f aca="false">AC1983/T1983-1</f>
        <v>0.449902110315224</v>
      </c>
      <c r="AG1983" s="37" t="str">
        <f aca="false">IF(AC1983&lt;T1983,"SIM","NÃO")</f>
        <v>NÃO</v>
      </c>
      <c r="AH1983" s="37" t="n">
        <v>8</v>
      </c>
      <c r="AI1983" s="37" t="n">
        <v>5</v>
      </c>
      <c r="AJ1983" s="37" t="s">
        <v>323</v>
      </c>
    </row>
    <row r="1984" customFormat="false" ht="15" hidden="false" customHeight="false" outlineLevel="0" collapsed="false">
      <c r="A1984" s="37" t="n">
        <v>397875357</v>
      </c>
      <c r="B1984" s="38" t="n">
        <v>46286.8386458333</v>
      </c>
      <c r="C1984" s="37" t="s">
        <v>320</v>
      </c>
      <c r="D1984" s="37" t="s">
        <v>2099</v>
      </c>
      <c r="E1984" s="37" t="n">
        <v>23050170</v>
      </c>
      <c r="F1984" s="37" t="s">
        <v>139</v>
      </c>
      <c r="G1984" s="37" t="s">
        <v>198</v>
      </c>
      <c r="H1984" s="37" t="s">
        <v>170</v>
      </c>
      <c r="I1984" s="37" t="n">
        <v>43.5</v>
      </c>
      <c r="J1984" s="39" t="n">
        <v>662.38</v>
      </c>
      <c r="K1984" s="37" t="s">
        <v>322</v>
      </c>
      <c r="L1984" s="39" t="n">
        <v>103.75</v>
      </c>
      <c r="M1984" s="39" t="n">
        <v>71</v>
      </c>
      <c r="N1984" s="39" t="n">
        <f aca="false">J1984*Resumo!$C$7</f>
        <v>1.32476</v>
      </c>
      <c r="O1984" s="39" t="n">
        <f aca="false">J1984*Resumo!$C$8</f>
        <v>1.32476</v>
      </c>
      <c r="P1984" s="39" t="n">
        <f aca="false">Resumo!$C$10*CEILING(I1984/100,1)</f>
        <v>1</v>
      </c>
      <c r="Q1984" s="39" t="n">
        <f aca="false">Resumo!$C$9</f>
        <v>11.9</v>
      </c>
      <c r="R1984" s="39" t="n">
        <f aca="false">SUM(M1984:Q1984)*Resumo!$C$11</f>
        <v>4.7602236</v>
      </c>
      <c r="S1984" s="39" t="n">
        <f aca="false">SUM(M1984:R1984)</f>
        <v>91.3097436</v>
      </c>
      <c r="T1984" s="39" t="n">
        <f aca="false">S1984/(1-Resumo!$C$5)</f>
        <v>103.761072272727</v>
      </c>
      <c r="U1984" s="39" t="n">
        <v>93.97</v>
      </c>
      <c r="V1984" s="39" t="n">
        <f aca="false">J1984*Resumo!$B$6</f>
        <v>0.66238</v>
      </c>
      <c r="W1984" s="39" t="n">
        <f aca="false">J1984*Resumo!$B$7</f>
        <v>1.32476</v>
      </c>
      <c r="X1984" s="39" t="n">
        <f aca="false">Resumo!$B$9</f>
        <v>1</v>
      </c>
      <c r="Y1984" s="39" t="n">
        <f aca="false">Resumo!$B$10*CEILING(I1984/100,1)</f>
        <v>4.5</v>
      </c>
      <c r="Z1984" s="39" t="n">
        <f aca="false">Resumo!$B$12*CEILING(I1984,1)</f>
        <v>2.64</v>
      </c>
      <c r="AA1984" s="39" t="n">
        <f aca="false">Resumo!$B$13*CEILING(I1984,1)</f>
        <v>19.8</v>
      </c>
      <c r="AB1984" s="39" t="n">
        <f aca="false">SUM(U1984:AA1984)</f>
        <v>123.89714</v>
      </c>
      <c r="AC1984" s="39" t="n">
        <f aca="false">AB1984/(1-Resumo!$B$5)</f>
        <v>140.792204545455</v>
      </c>
      <c r="AD1984" s="39" t="n">
        <f aca="false">(AB1984-AA1984)/(1-Resumo!$B$5)</f>
        <v>118.292204545455</v>
      </c>
      <c r="AE1984" s="39" t="n">
        <f aca="false">AC1984-T1984</f>
        <v>37.0311322727273</v>
      </c>
      <c r="AF1984" s="40" t="n">
        <f aca="false">AC1984/T1984-1</f>
        <v>0.356888488732981</v>
      </c>
      <c r="AG1984" s="37" t="str">
        <f aca="false">IF(AC1984&lt;T1984,"SIM","NÃO")</f>
        <v>NÃO</v>
      </c>
      <c r="AH1984" s="37" t="n">
        <v>8</v>
      </c>
      <c r="AI1984" s="37" t="n">
        <v>5</v>
      </c>
      <c r="AJ1984" s="37" t="s">
        <v>323</v>
      </c>
    </row>
    <row r="1985" customFormat="false" ht="15" hidden="false" customHeight="false" outlineLevel="0" collapsed="false">
      <c r="A1985" s="37" t="n">
        <v>397888423</v>
      </c>
      <c r="B1985" s="38" t="n">
        <v>46286.860787037</v>
      </c>
      <c r="C1985" s="37" t="s">
        <v>320</v>
      </c>
      <c r="D1985" s="37" t="s">
        <v>2100</v>
      </c>
      <c r="E1985" s="37" t="n">
        <v>25051020</v>
      </c>
      <c r="F1985" s="37" t="s">
        <v>141</v>
      </c>
      <c r="G1985" s="37" t="s">
        <v>207</v>
      </c>
      <c r="H1985" s="37" t="s">
        <v>172</v>
      </c>
      <c r="I1985" s="37" t="n">
        <v>63.9</v>
      </c>
      <c r="J1985" s="39" t="n">
        <v>716.35</v>
      </c>
      <c r="K1985" s="37" t="s">
        <v>322</v>
      </c>
      <c r="L1985" s="39" t="n">
        <v>139.86</v>
      </c>
      <c r="M1985" s="39" t="n">
        <v>100.9</v>
      </c>
      <c r="N1985" s="39" t="n">
        <f aca="false">J1985*Resumo!$C$7</f>
        <v>1.4327</v>
      </c>
      <c r="O1985" s="39" t="n">
        <f aca="false">J1985*Resumo!$C$8</f>
        <v>1.4327</v>
      </c>
      <c r="P1985" s="39" t="n">
        <f aca="false">Resumo!$C$10*CEILING(I1985/100,1)</f>
        <v>1</v>
      </c>
      <c r="Q1985" s="39" t="n">
        <f aca="false">Resumo!$C$9</f>
        <v>11.9</v>
      </c>
      <c r="R1985" s="39" t="n">
        <f aca="false">SUM(M1985:Q1985)*Resumo!$C$11</f>
        <v>6.416597</v>
      </c>
      <c r="S1985" s="39" t="n">
        <f aca="false">SUM(M1985:R1985)</f>
        <v>123.081997</v>
      </c>
      <c r="T1985" s="39" t="n">
        <f aca="false">S1985/(1-Resumo!$C$5)</f>
        <v>139.865905681818</v>
      </c>
      <c r="U1985" s="39" t="n">
        <v>131.02</v>
      </c>
      <c r="V1985" s="39" t="n">
        <f aca="false">J1985*Resumo!$B$6</f>
        <v>0.71635</v>
      </c>
      <c r="W1985" s="39" t="n">
        <f aca="false">J1985*Resumo!$B$7</f>
        <v>1.4327</v>
      </c>
      <c r="X1985" s="39" t="n">
        <f aca="false">Resumo!$B$9</f>
        <v>1</v>
      </c>
      <c r="Y1985" s="39" t="n">
        <f aca="false">Resumo!$B$10*CEILING(I1985/100,1)</f>
        <v>4.5</v>
      </c>
      <c r="Z1985" s="39" t="n">
        <f aca="false">Resumo!$B$12*CEILING(I1985,1)</f>
        <v>3.84</v>
      </c>
      <c r="AA1985" s="39" t="n">
        <f aca="false">Resumo!$B$13*CEILING(I1985,1)</f>
        <v>28.8</v>
      </c>
      <c r="AB1985" s="39" t="n">
        <f aca="false">SUM(U1985:AA1985)</f>
        <v>171.30905</v>
      </c>
      <c r="AC1985" s="39" t="n">
        <f aca="false">AB1985/(1-Resumo!$B$5)</f>
        <v>194.669375</v>
      </c>
      <c r="AD1985" s="39" t="n">
        <f aca="false">(AB1985-AA1985)/(1-Resumo!$B$5)</f>
        <v>161.942102272727</v>
      </c>
      <c r="AE1985" s="39" t="n">
        <f aca="false">AC1985-T1985</f>
        <v>54.8034693181818</v>
      </c>
      <c r="AF1985" s="40" t="n">
        <f aca="false">AC1985/T1985-1</f>
        <v>0.391828652243918</v>
      </c>
      <c r="AG1985" s="37" t="str">
        <f aca="false">IF(AC1985&lt;T1985,"SIM","NÃO")</f>
        <v>NÃO</v>
      </c>
      <c r="AH1985" s="37" t="n">
        <v>10</v>
      </c>
      <c r="AI1985" s="37" t="n">
        <v>5</v>
      </c>
      <c r="AJ1985" s="37" t="s">
        <v>323</v>
      </c>
    </row>
    <row r="1986" customFormat="false" ht="15" hidden="false" customHeight="false" outlineLevel="0" collapsed="false">
      <c r="A1986" s="37" t="n">
        <v>397893504</v>
      </c>
      <c r="B1986" s="38" t="n">
        <v>46286.8660185185</v>
      </c>
      <c r="C1986" s="37" t="s">
        <v>325</v>
      </c>
      <c r="D1986" s="37" t="s">
        <v>2101</v>
      </c>
      <c r="E1986" s="37" t="n">
        <v>24715562</v>
      </c>
      <c r="F1986" s="37" t="s">
        <v>140</v>
      </c>
      <c r="G1986" s="37" t="s">
        <v>207</v>
      </c>
      <c r="H1986" s="37" t="s">
        <v>174</v>
      </c>
      <c r="I1986" s="37" t="n">
        <v>82.8</v>
      </c>
      <c r="J1986" s="39" t="n">
        <v>879.98</v>
      </c>
      <c r="K1986" s="37" t="s">
        <v>322</v>
      </c>
      <c r="L1986" s="39" t="n">
        <v>173.05</v>
      </c>
      <c r="M1986" s="39" t="n">
        <v>127.92</v>
      </c>
      <c r="N1986" s="39" t="n">
        <f aca="false">J1986*Resumo!$C$7</f>
        <v>1.75996</v>
      </c>
      <c r="O1986" s="39" t="n">
        <f aca="false">J1986*Resumo!$C$8</f>
        <v>1.75996</v>
      </c>
      <c r="P1986" s="39" t="n">
        <f aca="false">Resumo!$C$10*CEILING(I1986/100,1)</f>
        <v>1</v>
      </c>
      <c r="Q1986" s="39" t="n">
        <f aca="false">Resumo!$C$9</f>
        <v>11.9</v>
      </c>
      <c r="R1986" s="39" t="n">
        <f aca="false">SUM(M1986:Q1986)*Resumo!$C$11</f>
        <v>7.9386956</v>
      </c>
      <c r="S1986" s="39" t="n">
        <f aca="false">SUM(M1986:R1986)</f>
        <v>152.2786156</v>
      </c>
      <c r="T1986" s="39" t="n">
        <f aca="false">S1986/(1-Resumo!$C$5)</f>
        <v>173.043881363636</v>
      </c>
      <c r="U1986" s="39" t="n">
        <v>178.42</v>
      </c>
      <c r="V1986" s="39" t="n">
        <f aca="false">J1986*Resumo!$B$6</f>
        <v>0.87998</v>
      </c>
      <c r="W1986" s="39" t="n">
        <f aca="false">J1986*Resumo!$B$7</f>
        <v>1.75996</v>
      </c>
      <c r="X1986" s="39" t="n">
        <f aca="false">Resumo!$B$9</f>
        <v>1</v>
      </c>
      <c r="Y1986" s="39" t="n">
        <f aca="false">Resumo!$B$10*CEILING(I1986/100,1)</f>
        <v>4.5</v>
      </c>
      <c r="Z1986" s="39" t="n">
        <f aca="false">Resumo!$B$12*CEILING(I1986,1)</f>
        <v>4.98</v>
      </c>
      <c r="AA1986" s="39" t="n">
        <f aca="false">Resumo!$B$13*CEILING(I1986,1)</f>
        <v>37.35</v>
      </c>
      <c r="AB1986" s="39" t="n">
        <f aca="false">SUM(U1986:AA1986)</f>
        <v>228.88994</v>
      </c>
      <c r="AC1986" s="39" t="n">
        <f aca="false">AB1986/(1-Resumo!$B$5)</f>
        <v>260.102204545455</v>
      </c>
      <c r="AD1986" s="39" t="n">
        <f aca="false">(AB1986-AA1986)/(1-Resumo!$B$5)</f>
        <v>217.659022727273</v>
      </c>
      <c r="AE1986" s="39" t="n">
        <f aca="false">AC1986-T1986</f>
        <v>87.0583231818182</v>
      </c>
      <c r="AF1986" s="40" t="n">
        <f aca="false">AC1986/T1986-1</f>
        <v>0.503099690643628</v>
      </c>
      <c r="AG1986" s="37" t="str">
        <f aca="false">IF(AC1986&lt;T1986,"SIM","NÃO")</f>
        <v>NÃO</v>
      </c>
      <c r="AH1986" s="37" t="n">
        <v>10</v>
      </c>
      <c r="AI1986" s="37" t="n">
        <v>7</v>
      </c>
      <c r="AJ1986" s="37" t="s">
        <v>323</v>
      </c>
    </row>
    <row r="1987" customFormat="false" ht="15" hidden="false" customHeight="false" outlineLevel="0" collapsed="false">
      <c r="A1987" s="37" t="n">
        <v>397908065</v>
      </c>
      <c r="B1987" s="38" t="n">
        <v>46286.8812152778</v>
      </c>
      <c r="C1987" s="37" t="s">
        <v>325</v>
      </c>
      <c r="D1987" s="37" t="s">
        <v>1495</v>
      </c>
      <c r="E1987" s="37" t="n">
        <v>20540341</v>
      </c>
      <c r="F1987" s="37" t="s">
        <v>139</v>
      </c>
      <c r="G1987" s="37" t="s">
        <v>198</v>
      </c>
      <c r="H1987" s="37" t="s">
        <v>168</v>
      </c>
      <c r="I1987" s="37" t="n">
        <v>27.6</v>
      </c>
      <c r="J1987" s="39" t="n">
        <v>329.64</v>
      </c>
      <c r="K1987" s="37" t="s">
        <v>322</v>
      </c>
      <c r="L1987" s="39" t="n">
        <v>81.91</v>
      </c>
      <c r="M1987" s="39" t="n">
        <v>54.1</v>
      </c>
      <c r="N1987" s="39" t="n">
        <f aca="false">J1987*Resumo!$C$7</f>
        <v>0.65928</v>
      </c>
      <c r="O1987" s="39" t="n">
        <f aca="false">J1987*Resumo!$C$8</f>
        <v>0.65928</v>
      </c>
      <c r="P1987" s="39" t="n">
        <f aca="false">Resumo!$C$10*CEILING(I1987/100,1)</f>
        <v>1</v>
      </c>
      <c r="Q1987" s="39" t="n">
        <f aca="false">Resumo!$C$9</f>
        <v>11.9</v>
      </c>
      <c r="R1987" s="39" t="n">
        <f aca="false">SUM(M1987:Q1987)*Resumo!$C$11</f>
        <v>3.7575208</v>
      </c>
      <c r="S1987" s="39" t="n">
        <f aca="false">SUM(M1987:R1987)</f>
        <v>72.0760808</v>
      </c>
      <c r="T1987" s="39" t="n">
        <f aca="false">S1987/(1-Resumo!$C$5)</f>
        <v>81.9046372727273</v>
      </c>
      <c r="U1987" s="39" t="n">
        <v>82.21</v>
      </c>
      <c r="V1987" s="39" t="n">
        <f aca="false">J1987*Resumo!$B$6</f>
        <v>0.32964</v>
      </c>
      <c r="W1987" s="39" t="n">
        <f aca="false">J1987*Resumo!$B$7</f>
        <v>0.65928</v>
      </c>
      <c r="X1987" s="39" t="n">
        <f aca="false">Resumo!$B$9</f>
        <v>1</v>
      </c>
      <c r="Y1987" s="39" t="n">
        <f aca="false">Resumo!$B$10*CEILING(I1987/100,1)</f>
        <v>4.5</v>
      </c>
      <c r="Z1987" s="39" t="n">
        <f aca="false">Resumo!$B$12*CEILING(I1987,1)</f>
        <v>1.68</v>
      </c>
      <c r="AA1987" s="39" t="n">
        <f aca="false">Resumo!$B$13*CEILING(I1987,1)</f>
        <v>12.6</v>
      </c>
      <c r="AB1987" s="39" t="n">
        <f aca="false">SUM(U1987:AA1987)</f>
        <v>102.97892</v>
      </c>
      <c r="AC1987" s="39" t="n">
        <f aca="false">AB1987/(1-Resumo!$B$5)</f>
        <v>117.0215</v>
      </c>
      <c r="AD1987" s="39" t="n">
        <f aca="false">(AB1987-AA1987)/(1-Resumo!$B$5)</f>
        <v>102.703318181818</v>
      </c>
      <c r="AE1987" s="39" t="n">
        <f aca="false">AC1987-T1987</f>
        <v>35.1168627272727</v>
      </c>
      <c r="AF1987" s="40" t="n">
        <f aca="false">AC1987/T1987-1</f>
        <v>0.428753046183943</v>
      </c>
      <c r="AG1987" s="37" t="str">
        <f aca="false">IF(AC1987&lt;T1987,"SIM","NÃO")</f>
        <v>NÃO</v>
      </c>
      <c r="AH1987" s="37" t="n">
        <v>8</v>
      </c>
      <c r="AI1987" s="37" t="n">
        <v>5</v>
      </c>
      <c r="AJ1987" s="37" t="s">
        <v>323</v>
      </c>
    </row>
    <row r="1988" customFormat="false" ht="15" hidden="false" customHeight="false" outlineLevel="0" collapsed="false">
      <c r="A1988" s="37" t="n">
        <v>397918369</v>
      </c>
      <c r="B1988" s="38" t="n">
        <v>46286.8981018519</v>
      </c>
      <c r="C1988" s="37" t="s">
        <v>320</v>
      </c>
      <c r="D1988" s="37" t="s">
        <v>2102</v>
      </c>
      <c r="E1988" s="37" t="n">
        <v>27966843</v>
      </c>
      <c r="F1988" s="37" t="s">
        <v>146</v>
      </c>
      <c r="G1988" s="37" t="s">
        <v>201</v>
      </c>
      <c r="H1988" s="37" t="s">
        <v>170</v>
      </c>
      <c r="I1988" s="37" t="n">
        <v>41</v>
      </c>
      <c r="J1988" s="39" t="n">
        <v>519.99</v>
      </c>
      <c r="K1988" s="37" t="s">
        <v>322</v>
      </c>
      <c r="L1988" s="39" t="n">
        <v>130.65</v>
      </c>
      <c r="M1988" s="39" t="n">
        <v>94</v>
      </c>
      <c r="N1988" s="39" t="n">
        <f aca="false">J1988*Resumo!$C$7</f>
        <v>1.03998</v>
      </c>
      <c r="O1988" s="39" t="n">
        <f aca="false">J1988*Resumo!$C$8</f>
        <v>1.03998</v>
      </c>
      <c r="P1988" s="39" t="n">
        <f aca="false">Resumo!$C$10*CEILING(I1988/100,1)</f>
        <v>1</v>
      </c>
      <c r="Q1988" s="39" t="n">
        <f aca="false">Resumo!$C$9</f>
        <v>11.9</v>
      </c>
      <c r="R1988" s="39" t="n">
        <f aca="false">SUM(M1988:Q1988)*Resumo!$C$11</f>
        <v>5.9938978</v>
      </c>
      <c r="S1988" s="39" t="n">
        <f aca="false">SUM(M1988:R1988)</f>
        <v>114.9738578</v>
      </c>
      <c r="T1988" s="39" t="n">
        <f aca="false">S1988/(1-Resumo!$C$5)</f>
        <v>130.652111136364</v>
      </c>
      <c r="U1988" s="39" t="n">
        <v>152.54</v>
      </c>
      <c r="V1988" s="39" t="n">
        <f aca="false">J1988*Resumo!$B$6</f>
        <v>0.51999</v>
      </c>
      <c r="W1988" s="39" t="n">
        <f aca="false">J1988*Resumo!$B$7</f>
        <v>1.03998</v>
      </c>
      <c r="X1988" s="39" t="n">
        <f aca="false">Resumo!$B$9</f>
        <v>1</v>
      </c>
      <c r="Y1988" s="39" t="n">
        <f aca="false">Resumo!$B$10*CEILING(I1988/100,1)</f>
        <v>4.5</v>
      </c>
      <c r="Z1988" s="39" t="n">
        <f aca="false">Resumo!$B$12*CEILING(I1988,1)</f>
        <v>2.46</v>
      </c>
      <c r="AA1988" s="39" t="n">
        <f aca="false">Resumo!$B$13*CEILING(I1988,1)</f>
        <v>18.45</v>
      </c>
      <c r="AB1988" s="39" t="n">
        <f aca="false">SUM(U1988:AA1988)</f>
        <v>180.50997</v>
      </c>
      <c r="AC1988" s="39" t="n">
        <f aca="false">AB1988/(1-Resumo!$B$5)</f>
        <v>205.124965909091</v>
      </c>
      <c r="AD1988" s="39" t="n">
        <f aca="false">(AB1988-AA1988)/(1-Resumo!$B$5)</f>
        <v>184.159056818182</v>
      </c>
      <c r="AE1988" s="39" t="n">
        <f aca="false">AC1988-T1988</f>
        <v>74.4728547727273</v>
      </c>
      <c r="AF1988" s="40" t="n">
        <f aca="false">AC1988/T1988-1</f>
        <v>0.570008812907729</v>
      </c>
      <c r="AG1988" s="37" t="str">
        <f aca="false">IF(AC1988&lt;T1988,"SIM","NÃO")</f>
        <v>NÃO</v>
      </c>
      <c r="AH1988" s="37" t="n">
        <v>13</v>
      </c>
      <c r="AI1988" s="37" t="n">
        <v>11</v>
      </c>
      <c r="AJ1988" s="37" t="s">
        <v>323</v>
      </c>
    </row>
    <row r="1989" customFormat="false" ht="15" hidden="false" customHeight="false" outlineLevel="0" collapsed="false">
      <c r="A1989" s="37" t="n">
        <v>397925256</v>
      </c>
      <c r="B1989" s="38" t="n">
        <v>46286.912025463</v>
      </c>
      <c r="C1989" s="37" t="s">
        <v>320</v>
      </c>
      <c r="D1989" s="37" t="s">
        <v>2103</v>
      </c>
      <c r="E1989" s="37" t="n">
        <v>25908713</v>
      </c>
      <c r="F1989" s="37" t="s">
        <v>156</v>
      </c>
      <c r="G1989" s="37" t="s">
        <v>201</v>
      </c>
      <c r="H1989" s="37" t="s">
        <v>169</v>
      </c>
      <c r="I1989" s="37" t="n">
        <v>40</v>
      </c>
      <c r="J1989" s="39" t="n">
        <v>562.42</v>
      </c>
      <c r="K1989" s="37" t="s">
        <v>322</v>
      </c>
      <c r="L1989" s="39" t="n">
        <v>122.93</v>
      </c>
      <c r="M1989" s="39" t="n">
        <v>87.4</v>
      </c>
      <c r="N1989" s="39" t="n">
        <f aca="false">J1989*Resumo!$C$7</f>
        <v>1.12484</v>
      </c>
      <c r="O1989" s="39" t="n">
        <f aca="false">J1989*Resumo!$C$8</f>
        <v>1.12484</v>
      </c>
      <c r="P1989" s="39" t="n">
        <f aca="false">Resumo!$C$10*CEILING(I1989/100,1)</f>
        <v>1</v>
      </c>
      <c r="Q1989" s="39" t="n">
        <f aca="false">Resumo!$C$9</f>
        <v>11.9</v>
      </c>
      <c r="R1989" s="39" t="n">
        <f aca="false">SUM(M1989:Q1989)*Resumo!$C$11</f>
        <v>5.6402324</v>
      </c>
      <c r="S1989" s="39" t="n">
        <f aca="false">SUM(M1989:R1989)</f>
        <v>108.1899124</v>
      </c>
      <c r="T1989" s="39" t="n">
        <f aca="false">S1989/(1-Resumo!$C$5)</f>
        <v>122.943082272727</v>
      </c>
      <c r="U1989" s="39" t="n">
        <v>108.03</v>
      </c>
      <c r="V1989" s="39" t="n">
        <f aca="false">J1989*Resumo!$B$6</f>
        <v>0.56242</v>
      </c>
      <c r="W1989" s="39" t="n">
        <f aca="false">J1989*Resumo!$B$7</f>
        <v>1.12484</v>
      </c>
      <c r="X1989" s="39" t="n">
        <f aca="false">Resumo!$B$9</f>
        <v>1</v>
      </c>
      <c r="Y1989" s="39" t="n">
        <f aca="false">Resumo!$B$10*CEILING(I1989/100,1)</f>
        <v>4.5</v>
      </c>
      <c r="Z1989" s="39" t="n">
        <f aca="false">Resumo!$B$12*CEILING(I1989,1)</f>
        <v>2.4</v>
      </c>
      <c r="AA1989" s="39" t="n">
        <f aca="false">Resumo!$B$13*CEILING(I1989,1)</f>
        <v>18</v>
      </c>
      <c r="AB1989" s="39" t="n">
        <f aca="false">SUM(U1989:AA1989)</f>
        <v>135.61726</v>
      </c>
      <c r="AC1989" s="39" t="n">
        <f aca="false">AB1989/(1-Resumo!$B$5)</f>
        <v>154.110522727273</v>
      </c>
      <c r="AD1989" s="39" t="n">
        <f aca="false">(AB1989-AA1989)/(1-Resumo!$B$5)</f>
        <v>133.655977272727</v>
      </c>
      <c r="AE1989" s="39" t="n">
        <f aca="false">AC1989-T1989</f>
        <v>31.1674404545454</v>
      </c>
      <c r="AF1989" s="40" t="n">
        <f aca="false">AC1989/T1989-1</f>
        <v>0.253511136034527</v>
      </c>
      <c r="AG1989" s="37" t="str">
        <f aca="false">IF(AC1989&lt;T1989,"SIM","NÃO")</f>
        <v>NÃO</v>
      </c>
      <c r="AH1989" s="37" t="n">
        <v>13</v>
      </c>
      <c r="AI1989" s="37" t="n">
        <v>6</v>
      </c>
      <c r="AJ1989" s="37" t="s">
        <v>323</v>
      </c>
    </row>
    <row r="1990" customFormat="false" ht="15" hidden="false" customHeight="false" outlineLevel="0" collapsed="false">
      <c r="A1990" s="37" t="n">
        <v>397927909</v>
      </c>
      <c r="B1990" s="38" t="n">
        <v>46286.9173842593</v>
      </c>
      <c r="C1990" s="37" t="s">
        <v>325</v>
      </c>
      <c r="D1990" s="37" t="s">
        <v>2104</v>
      </c>
      <c r="E1990" s="37" t="n">
        <v>20766200</v>
      </c>
      <c r="F1990" s="37" t="s">
        <v>139</v>
      </c>
      <c r="G1990" s="37" t="s">
        <v>198</v>
      </c>
      <c r="H1990" s="37" t="s">
        <v>168</v>
      </c>
      <c r="I1990" s="37" t="n">
        <v>33.11</v>
      </c>
      <c r="J1990" s="39" t="n">
        <v>403.53</v>
      </c>
      <c r="K1990" s="37" t="s">
        <v>322</v>
      </c>
      <c r="L1990" s="39" t="n">
        <v>82.26</v>
      </c>
      <c r="M1990" s="39" t="n">
        <v>54.1</v>
      </c>
      <c r="N1990" s="39" t="n">
        <f aca="false">J1990*Resumo!$C$7</f>
        <v>0.80706</v>
      </c>
      <c r="O1990" s="39" t="n">
        <f aca="false">J1990*Resumo!$C$8</f>
        <v>0.80706</v>
      </c>
      <c r="P1990" s="39" t="n">
        <f aca="false">Resumo!$C$10*CEILING(I1990/100,1)</f>
        <v>1</v>
      </c>
      <c r="Q1990" s="39" t="n">
        <f aca="false">Resumo!$C$9</f>
        <v>11.9</v>
      </c>
      <c r="R1990" s="39" t="n">
        <f aca="false">SUM(M1990:Q1990)*Resumo!$C$11</f>
        <v>3.7737766</v>
      </c>
      <c r="S1990" s="39" t="n">
        <f aca="false">SUM(M1990:R1990)</f>
        <v>72.3878966</v>
      </c>
      <c r="T1990" s="39" t="n">
        <f aca="false">S1990/(1-Resumo!$C$5)</f>
        <v>82.2589734090909</v>
      </c>
      <c r="U1990" s="39" t="n">
        <v>82.21</v>
      </c>
      <c r="V1990" s="39" t="n">
        <f aca="false">J1990*Resumo!$B$6</f>
        <v>0.40353</v>
      </c>
      <c r="W1990" s="39" t="n">
        <f aca="false">J1990*Resumo!$B$7</f>
        <v>0.80706</v>
      </c>
      <c r="X1990" s="39" t="n">
        <f aca="false">Resumo!$B$9</f>
        <v>1</v>
      </c>
      <c r="Y1990" s="39" t="n">
        <f aca="false">Resumo!$B$10*CEILING(I1990/100,1)</f>
        <v>4.5</v>
      </c>
      <c r="Z1990" s="39" t="n">
        <f aca="false">Resumo!$B$12*CEILING(I1990,1)</f>
        <v>2.04</v>
      </c>
      <c r="AA1990" s="39" t="n">
        <f aca="false">Resumo!$B$13*CEILING(I1990,1)</f>
        <v>15.3</v>
      </c>
      <c r="AB1990" s="39" t="n">
        <f aca="false">SUM(U1990:AA1990)</f>
        <v>106.26059</v>
      </c>
      <c r="AC1990" s="39" t="n">
        <f aca="false">AB1990/(1-Resumo!$B$5)</f>
        <v>120.750670454545</v>
      </c>
      <c r="AD1990" s="39" t="n">
        <f aca="false">(AB1990-AA1990)/(1-Resumo!$B$5)</f>
        <v>103.364306818182</v>
      </c>
      <c r="AE1990" s="39" t="n">
        <f aca="false">AC1990-T1990</f>
        <v>38.4916970454545</v>
      </c>
      <c r="AF1990" s="40" t="n">
        <f aca="false">AC1990/T1990-1</f>
        <v>0.467933107480291</v>
      </c>
      <c r="AG1990" s="37" t="str">
        <f aca="false">IF(AC1990&lt;T1990,"SIM","NÃO")</f>
        <v>NÃO</v>
      </c>
      <c r="AH1990" s="37" t="n">
        <v>8</v>
      </c>
      <c r="AI1990" s="37" t="n">
        <v>5</v>
      </c>
      <c r="AJ1990" s="37" t="s">
        <v>323</v>
      </c>
    </row>
    <row r="1991" customFormat="false" ht="15" hidden="false" customHeight="false" outlineLevel="0" collapsed="false">
      <c r="A1991" s="37" t="n">
        <v>397947883</v>
      </c>
      <c r="B1991" s="38" t="n">
        <v>46286.9613773148</v>
      </c>
      <c r="C1991" s="37" t="s">
        <v>320</v>
      </c>
      <c r="D1991" s="37" t="s">
        <v>2105</v>
      </c>
      <c r="E1991" s="37" t="n">
        <v>28620075</v>
      </c>
      <c r="F1991" s="37" t="s">
        <v>157</v>
      </c>
      <c r="G1991" s="37" t="s">
        <v>201</v>
      </c>
      <c r="H1991" s="37" t="s">
        <v>170</v>
      </c>
      <c r="I1991" s="37" t="n">
        <v>41</v>
      </c>
      <c r="J1991" s="39" t="n">
        <v>559.99</v>
      </c>
      <c r="K1991" s="37" t="s">
        <v>322</v>
      </c>
      <c r="L1991" s="39" t="n">
        <v>130.84</v>
      </c>
      <c r="M1991" s="39" t="n">
        <v>94</v>
      </c>
      <c r="N1991" s="39" t="n">
        <f aca="false">J1991*Resumo!$C$7</f>
        <v>1.11998</v>
      </c>
      <c r="O1991" s="39" t="n">
        <f aca="false">J1991*Resumo!$C$8</f>
        <v>1.11998</v>
      </c>
      <c r="P1991" s="39" t="n">
        <f aca="false">Resumo!$C$10*CEILING(I1991/100,1)</f>
        <v>1</v>
      </c>
      <c r="Q1991" s="39" t="n">
        <f aca="false">Resumo!$C$9</f>
        <v>11.9</v>
      </c>
      <c r="R1991" s="39" t="n">
        <f aca="false">SUM(M1991:Q1991)*Resumo!$C$11</f>
        <v>6.0026978</v>
      </c>
      <c r="S1991" s="39" t="n">
        <f aca="false">SUM(M1991:R1991)</f>
        <v>115.1426578</v>
      </c>
      <c r="T1991" s="39" t="n">
        <f aca="false">S1991/(1-Resumo!$C$5)</f>
        <v>130.843929318182</v>
      </c>
      <c r="U1991" s="39" t="n">
        <v>135.03</v>
      </c>
      <c r="V1991" s="39" t="n">
        <f aca="false">J1991*Resumo!$B$6</f>
        <v>0.55999</v>
      </c>
      <c r="W1991" s="39" t="n">
        <f aca="false">J1991*Resumo!$B$7</f>
        <v>1.11998</v>
      </c>
      <c r="X1991" s="39" t="n">
        <f aca="false">Resumo!$B$9</f>
        <v>1</v>
      </c>
      <c r="Y1991" s="39" t="n">
        <f aca="false">Resumo!$B$10*CEILING(I1991/100,1)</f>
        <v>4.5</v>
      </c>
      <c r="Z1991" s="39" t="n">
        <f aca="false">Resumo!$B$12*CEILING(I1991,1)</f>
        <v>2.46</v>
      </c>
      <c r="AA1991" s="39" t="n">
        <f aca="false">Resumo!$B$13*CEILING(I1991,1)</f>
        <v>18.45</v>
      </c>
      <c r="AB1991" s="39" t="n">
        <f aca="false">SUM(U1991:AA1991)</f>
        <v>163.11997</v>
      </c>
      <c r="AC1991" s="39" t="n">
        <f aca="false">AB1991/(1-Resumo!$B$5)</f>
        <v>185.363602272727</v>
      </c>
      <c r="AD1991" s="39" t="n">
        <f aca="false">(AB1991-AA1991)/(1-Resumo!$B$5)</f>
        <v>164.397693181818</v>
      </c>
      <c r="AE1991" s="39" t="n">
        <f aca="false">AC1991-T1991</f>
        <v>54.5196729545455</v>
      </c>
      <c r="AF1991" s="40" t="n">
        <f aca="false">AC1991/T1991-1</f>
        <v>0.416677130063607</v>
      </c>
      <c r="AG1991" s="37" t="str">
        <f aca="false">IF(AC1991&lt;T1991,"SIM","NÃO")</f>
        <v>NÃO</v>
      </c>
      <c r="AH1991" s="37" t="n">
        <v>13</v>
      </c>
      <c r="AI1991" s="37" t="n">
        <v>10</v>
      </c>
      <c r="AJ1991" s="37" t="s">
        <v>323</v>
      </c>
    </row>
    <row r="1992" customFormat="false" ht="15" hidden="false" customHeight="false" outlineLevel="0" collapsed="false">
      <c r="A1992" s="37" t="n">
        <v>397949491</v>
      </c>
      <c r="B1992" s="38" t="n">
        <v>46286.9655092593</v>
      </c>
      <c r="C1992" s="37" t="s">
        <v>325</v>
      </c>
      <c r="D1992" s="37" t="s">
        <v>1693</v>
      </c>
      <c r="E1992" s="37" t="n">
        <v>23075006</v>
      </c>
      <c r="F1992" s="37" t="s">
        <v>139</v>
      </c>
      <c r="G1992" s="37" t="s">
        <v>198</v>
      </c>
      <c r="H1992" s="37" t="s">
        <v>172</v>
      </c>
      <c r="I1992" s="37" t="n">
        <v>68.1</v>
      </c>
      <c r="J1992" s="39" t="n">
        <v>899.99</v>
      </c>
      <c r="K1992" s="37" t="s">
        <v>322</v>
      </c>
      <c r="L1992" s="39" t="n">
        <v>125.52</v>
      </c>
      <c r="M1992" s="39" t="n">
        <v>88.2</v>
      </c>
      <c r="N1992" s="39" t="n">
        <f aca="false">J1992*Resumo!$C$7</f>
        <v>1.79998</v>
      </c>
      <c r="O1992" s="39" t="n">
        <f aca="false">J1992*Resumo!$C$8</f>
        <v>1.79998</v>
      </c>
      <c r="P1992" s="39" t="n">
        <f aca="false">Resumo!$C$10*CEILING(I1992/100,1)</f>
        <v>1</v>
      </c>
      <c r="Q1992" s="39" t="n">
        <f aca="false">Resumo!$C$9</f>
        <v>11.9</v>
      </c>
      <c r="R1992" s="39" t="n">
        <f aca="false">SUM(M1992:Q1992)*Resumo!$C$11</f>
        <v>5.7584978</v>
      </c>
      <c r="S1992" s="39" t="n">
        <f aca="false">SUM(M1992:R1992)</f>
        <v>110.4584578</v>
      </c>
      <c r="T1992" s="39" t="n">
        <f aca="false">S1992/(1-Resumo!$C$5)</f>
        <v>125.520974772727</v>
      </c>
      <c r="U1992" s="39" t="n">
        <v>131.02</v>
      </c>
      <c r="V1992" s="39" t="n">
        <f aca="false">J1992*Resumo!$B$6</f>
        <v>0.89999</v>
      </c>
      <c r="W1992" s="39" t="n">
        <f aca="false">J1992*Resumo!$B$7</f>
        <v>1.79998</v>
      </c>
      <c r="X1992" s="39" t="n">
        <f aca="false">Resumo!$B$9</f>
        <v>1</v>
      </c>
      <c r="Y1992" s="39" t="n">
        <f aca="false">Resumo!$B$10*CEILING(I1992/100,1)</f>
        <v>4.5</v>
      </c>
      <c r="Z1992" s="39" t="n">
        <f aca="false">Resumo!$B$12*CEILING(I1992,1)</f>
        <v>4.14</v>
      </c>
      <c r="AA1992" s="39" t="n">
        <f aca="false">Resumo!$B$13*CEILING(I1992,1)</f>
        <v>31.05</v>
      </c>
      <c r="AB1992" s="39" t="n">
        <f aca="false">SUM(U1992:AA1992)</f>
        <v>174.40997</v>
      </c>
      <c r="AC1992" s="39" t="n">
        <f aca="false">AB1992/(1-Resumo!$B$5)</f>
        <v>198.193147727273</v>
      </c>
      <c r="AD1992" s="39" t="n">
        <f aca="false">(AB1992-AA1992)/(1-Resumo!$B$5)</f>
        <v>162.909056818182</v>
      </c>
      <c r="AE1992" s="39" t="n">
        <f aca="false">AC1992-T1992</f>
        <v>72.6721729545455</v>
      </c>
      <c r="AF1992" s="40" t="n">
        <f aca="false">AC1992/T1992-1</f>
        <v>0.578964376958738</v>
      </c>
      <c r="AG1992" s="37" t="str">
        <f aca="false">IF(AC1992&lt;T1992,"SIM","NÃO")</f>
        <v>NÃO</v>
      </c>
      <c r="AH1992" s="37" t="n">
        <v>8</v>
      </c>
      <c r="AI1992" s="37" t="n">
        <v>5</v>
      </c>
      <c r="AJ1992" s="37" t="s">
        <v>323</v>
      </c>
    </row>
    <row r="1993" customFormat="false" ht="15" hidden="false" customHeight="false" outlineLevel="0" collapsed="false">
      <c r="A1993" s="37" t="n">
        <v>397976273</v>
      </c>
      <c r="B1993" s="38" t="n">
        <v>46287.0436342593</v>
      </c>
      <c r="C1993" s="37" t="s">
        <v>320</v>
      </c>
      <c r="D1993" s="37" t="s">
        <v>2106</v>
      </c>
      <c r="E1993" s="37" t="n">
        <v>28010801</v>
      </c>
      <c r="F1993" s="37" t="s">
        <v>144</v>
      </c>
      <c r="G1993" s="37" t="s">
        <v>201</v>
      </c>
      <c r="H1993" s="37" t="s">
        <v>169</v>
      </c>
      <c r="I1993" s="37" t="n">
        <v>40</v>
      </c>
      <c r="J1993" s="39" t="n">
        <v>562.42</v>
      </c>
      <c r="K1993" s="37" t="s">
        <v>322</v>
      </c>
      <c r="L1993" s="39" t="n">
        <v>122.93</v>
      </c>
      <c r="M1993" s="39" t="n">
        <v>87.4</v>
      </c>
      <c r="N1993" s="39" t="n">
        <f aca="false">J1993*Resumo!$C$7</f>
        <v>1.12484</v>
      </c>
      <c r="O1993" s="39" t="n">
        <f aca="false">J1993*Resumo!$C$8</f>
        <v>1.12484</v>
      </c>
      <c r="P1993" s="39" t="n">
        <f aca="false">Resumo!$C$10*CEILING(I1993/100,1)</f>
        <v>1</v>
      </c>
      <c r="Q1993" s="39" t="n">
        <f aca="false">Resumo!$C$9</f>
        <v>11.9</v>
      </c>
      <c r="R1993" s="39" t="n">
        <f aca="false">SUM(M1993:Q1993)*Resumo!$C$11</f>
        <v>5.6402324</v>
      </c>
      <c r="S1993" s="39" t="n">
        <f aca="false">SUM(M1993:R1993)</f>
        <v>108.1899124</v>
      </c>
      <c r="T1993" s="39" t="n">
        <f aca="false">S1993/(1-Resumo!$C$5)</f>
        <v>122.943082272727</v>
      </c>
      <c r="U1993" s="39" t="n">
        <v>143.04</v>
      </c>
      <c r="V1993" s="39" t="n">
        <f aca="false">J1993*Resumo!$B$6</f>
        <v>0.56242</v>
      </c>
      <c r="W1993" s="39" t="n">
        <f aca="false">J1993*Resumo!$B$7</f>
        <v>1.12484</v>
      </c>
      <c r="X1993" s="39" t="n">
        <f aca="false">Resumo!$B$9</f>
        <v>1</v>
      </c>
      <c r="Y1993" s="39" t="n">
        <f aca="false">Resumo!$B$10*CEILING(I1993/100,1)</f>
        <v>4.5</v>
      </c>
      <c r="Z1993" s="39" t="n">
        <f aca="false">Resumo!$B$12*CEILING(I1993,1)</f>
        <v>2.4</v>
      </c>
      <c r="AA1993" s="39" t="n">
        <f aca="false">Resumo!$B$13*CEILING(I1993,1)</f>
        <v>18</v>
      </c>
      <c r="AB1993" s="39" t="n">
        <f aca="false">SUM(U1993:AA1993)</f>
        <v>170.62726</v>
      </c>
      <c r="AC1993" s="39" t="n">
        <f aca="false">AB1993/(1-Resumo!$B$5)</f>
        <v>193.894613636364</v>
      </c>
      <c r="AD1993" s="39" t="n">
        <f aca="false">(AB1993-AA1993)/(1-Resumo!$B$5)</f>
        <v>173.440068181818</v>
      </c>
      <c r="AE1993" s="39" t="n">
        <f aca="false">AC1993-T1993</f>
        <v>70.9515313636363</v>
      </c>
      <c r="AF1993" s="40" t="n">
        <f aca="false">AC1993/T1993-1</f>
        <v>0.577108773035664</v>
      </c>
      <c r="AG1993" s="37" t="str">
        <f aca="false">IF(AC1993&lt;T1993,"SIM","NÃO")</f>
        <v>NÃO</v>
      </c>
      <c r="AH1993" s="37" t="n">
        <v>13</v>
      </c>
      <c r="AI1993" s="37" t="n">
        <v>11</v>
      </c>
      <c r="AJ1993" s="37" t="s">
        <v>323</v>
      </c>
    </row>
    <row r="1994" customFormat="false" ht="15" hidden="false" customHeight="false" outlineLevel="0" collapsed="false">
      <c r="A1994" s="37" t="n">
        <v>398001716</v>
      </c>
      <c r="B1994" s="38" t="n">
        <v>46287.1474768519</v>
      </c>
      <c r="C1994" s="37" t="s">
        <v>320</v>
      </c>
      <c r="D1994" s="37" t="s">
        <v>2107</v>
      </c>
      <c r="E1994" s="37" t="n">
        <v>28894330</v>
      </c>
      <c r="F1994" s="37" t="s">
        <v>158</v>
      </c>
      <c r="G1994" s="37" t="s">
        <v>201</v>
      </c>
      <c r="H1994" s="37" t="s">
        <v>168</v>
      </c>
      <c r="I1994" s="37" t="n">
        <v>30.5</v>
      </c>
      <c r="J1994" s="39" t="n">
        <v>406.6</v>
      </c>
      <c r="K1994" s="37" t="s">
        <v>322</v>
      </c>
      <c r="L1994" s="39" t="n">
        <v>109.13</v>
      </c>
      <c r="M1994" s="39" t="n">
        <v>76.5</v>
      </c>
      <c r="N1994" s="39" t="n">
        <f aca="false">J1994*Resumo!$C$7</f>
        <v>0.8132</v>
      </c>
      <c r="O1994" s="39" t="n">
        <f aca="false">J1994*Resumo!$C$8</f>
        <v>0.8132</v>
      </c>
      <c r="P1994" s="39" t="n">
        <f aca="false">Resumo!$C$10*CEILING(I1994/100,1)</f>
        <v>1</v>
      </c>
      <c r="Q1994" s="39" t="n">
        <f aca="false">Resumo!$C$9</f>
        <v>11.9</v>
      </c>
      <c r="R1994" s="39" t="n">
        <f aca="false">SUM(M1994:Q1994)*Resumo!$C$11</f>
        <v>5.006452</v>
      </c>
      <c r="S1994" s="39" t="n">
        <f aca="false">SUM(M1994:R1994)</f>
        <v>96.032852</v>
      </c>
      <c r="T1994" s="39" t="n">
        <f aca="false">S1994/(1-Resumo!$C$5)</f>
        <v>109.128240909091</v>
      </c>
      <c r="U1994" s="39" t="n">
        <v>114.95</v>
      </c>
      <c r="V1994" s="39" t="n">
        <f aca="false">J1994*Resumo!$B$6</f>
        <v>0.4066</v>
      </c>
      <c r="W1994" s="39" t="n">
        <f aca="false">J1994*Resumo!$B$7</f>
        <v>0.8132</v>
      </c>
      <c r="X1994" s="39" t="n">
        <f aca="false">Resumo!$B$9</f>
        <v>1</v>
      </c>
      <c r="Y1994" s="39" t="n">
        <f aca="false">Resumo!$B$10*CEILING(I1994/100,1)</f>
        <v>4.5</v>
      </c>
      <c r="Z1994" s="39" t="n">
        <f aca="false">Resumo!$B$12*CEILING(I1994,1)</f>
        <v>1.86</v>
      </c>
      <c r="AA1994" s="39" t="n">
        <f aca="false">Resumo!$B$13*CEILING(I1994,1)</f>
        <v>13.95</v>
      </c>
      <c r="AB1994" s="39" t="n">
        <f aca="false">SUM(U1994:AA1994)</f>
        <v>137.4798</v>
      </c>
      <c r="AC1994" s="39" t="n">
        <f aca="false">AB1994/(1-Resumo!$B$5)</f>
        <v>156.227045454545</v>
      </c>
      <c r="AD1994" s="39" t="n">
        <f aca="false">(AB1994-AA1994)/(1-Resumo!$B$5)</f>
        <v>140.374772727273</v>
      </c>
      <c r="AE1994" s="39" t="n">
        <f aca="false">AC1994-T1994</f>
        <v>47.0988045454546</v>
      </c>
      <c r="AF1994" s="40" t="n">
        <f aca="false">AC1994/T1994-1</f>
        <v>0.431591347510954</v>
      </c>
      <c r="AG1994" s="37" t="str">
        <f aca="false">IF(AC1994&lt;T1994,"SIM","NÃO")</f>
        <v>NÃO</v>
      </c>
      <c r="AH1994" s="37" t="n">
        <v>13</v>
      </c>
      <c r="AI1994" s="37" t="n">
        <v>10</v>
      </c>
      <c r="AJ1994" s="37" t="s">
        <v>323</v>
      </c>
    </row>
    <row r="1995" customFormat="false" ht="15" hidden="false" customHeight="false" outlineLevel="0" collapsed="false">
      <c r="A1995" s="37" t="n">
        <v>398015680</v>
      </c>
      <c r="B1995" s="38" t="n">
        <v>46287.2041435185</v>
      </c>
      <c r="C1995" s="37" t="s">
        <v>325</v>
      </c>
      <c r="D1995" s="37" t="s">
        <v>2108</v>
      </c>
      <c r="E1995" s="37" t="n">
        <v>25685050</v>
      </c>
      <c r="F1995" s="37" t="s">
        <v>150</v>
      </c>
      <c r="G1995" s="37" t="s">
        <v>201</v>
      </c>
      <c r="H1995" s="37" t="s">
        <v>168</v>
      </c>
      <c r="I1995" s="37" t="n">
        <v>29.7</v>
      </c>
      <c r="J1995" s="39" t="n">
        <v>450.44</v>
      </c>
      <c r="K1995" s="37" t="s">
        <v>322</v>
      </c>
      <c r="L1995" s="39" t="n">
        <v>109.34</v>
      </c>
      <c r="M1995" s="39" t="n">
        <v>76.5</v>
      </c>
      <c r="N1995" s="39" t="n">
        <f aca="false">J1995*Resumo!$C$7</f>
        <v>0.90088</v>
      </c>
      <c r="O1995" s="39" t="n">
        <f aca="false">J1995*Resumo!$C$8</f>
        <v>0.90088</v>
      </c>
      <c r="P1995" s="39" t="n">
        <f aca="false">Resumo!$C$10*CEILING(I1995/100,1)</f>
        <v>1</v>
      </c>
      <c r="Q1995" s="39" t="n">
        <f aca="false">Resumo!$C$9</f>
        <v>11.9</v>
      </c>
      <c r="R1995" s="39" t="n">
        <f aca="false">SUM(M1995:Q1995)*Resumo!$C$11</f>
        <v>5.0160968</v>
      </c>
      <c r="S1995" s="39" t="n">
        <f aca="false">SUM(M1995:R1995)</f>
        <v>96.2178568</v>
      </c>
      <c r="T1995" s="39" t="n">
        <f aca="false">S1995/(1-Resumo!$C$5)</f>
        <v>109.338473636364</v>
      </c>
      <c r="U1995" s="39" t="n">
        <v>108.83</v>
      </c>
      <c r="V1995" s="39" t="n">
        <f aca="false">J1995*Resumo!$B$6</f>
        <v>0.45044</v>
      </c>
      <c r="W1995" s="39" t="n">
        <f aca="false">J1995*Resumo!$B$7</f>
        <v>0.90088</v>
      </c>
      <c r="X1995" s="39" t="n">
        <f aca="false">Resumo!$B$9</f>
        <v>1</v>
      </c>
      <c r="Y1995" s="39" t="n">
        <f aca="false">Resumo!$B$10*CEILING(I1995/100,1)</f>
        <v>4.5</v>
      </c>
      <c r="Z1995" s="39" t="n">
        <f aca="false">Resumo!$B$12*CEILING(I1995,1)</f>
        <v>1.8</v>
      </c>
      <c r="AA1995" s="39" t="n">
        <f aca="false">Resumo!$B$13*CEILING(I1995,1)</f>
        <v>13.5</v>
      </c>
      <c r="AB1995" s="39" t="n">
        <f aca="false">SUM(U1995:AA1995)</f>
        <v>130.98132</v>
      </c>
      <c r="AC1995" s="39" t="n">
        <f aca="false">AB1995/(1-Resumo!$B$5)</f>
        <v>148.842409090909</v>
      </c>
      <c r="AD1995" s="39" t="n">
        <f aca="false">(AB1995-AA1995)/(1-Resumo!$B$5)</f>
        <v>133.5015</v>
      </c>
      <c r="AE1995" s="39" t="n">
        <f aca="false">AC1995-T1995</f>
        <v>39.5039354545454</v>
      </c>
      <c r="AF1995" s="40" t="n">
        <f aca="false">AC1995/T1995-1</f>
        <v>0.361299496332161</v>
      </c>
      <c r="AG1995" s="37" t="str">
        <f aca="false">IF(AC1995&lt;T1995,"SIM","NÃO")</f>
        <v>NÃO</v>
      </c>
      <c r="AH1995" s="37" t="n">
        <v>13</v>
      </c>
      <c r="AI1995" s="37" t="n">
        <v>8</v>
      </c>
      <c r="AJ1995" s="37" t="s">
        <v>323</v>
      </c>
    </row>
    <row r="1996" customFormat="false" ht="15" hidden="false" customHeight="false" outlineLevel="0" collapsed="false">
      <c r="A1996" s="37" t="n">
        <v>396294947</v>
      </c>
      <c r="B1996" s="38" t="n">
        <v>46287.2049421296</v>
      </c>
      <c r="C1996" s="37" t="s">
        <v>355</v>
      </c>
      <c r="D1996" s="37" t="s">
        <v>2109</v>
      </c>
      <c r="E1996" s="37" t="n">
        <v>20040001</v>
      </c>
      <c r="F1996" s="37" t="s">
        <v>139</v>
      </c>
      <c r="G1996" s="37" t="s">
        <v>198</v>
      </c>
      <c r="H1996" s="37" t="s">
        <v>168</v>
      </c>
      <c r="I1996" s="37" t="n">
        <v>27.5</v>
      </c>
      <c r="J1996" s="39" t="n">
        <v>429.99</v>
      </c>
      <c r="K1996" s="37" t="s">
        <v>322</v>
      </c>
      <c r="L1996" s="39" t="n">
        <v>82.39</v>
      </c>
      <c r="M1996" s="39" t="n">
        <v>54.1</v>
      </c>
      <c r="N1996" s="39" t="n">
        <f aca="false">J1996*Resumo!$C$7</f>
        <v>0.85998</v>
      </c>
      <c r="O1996" s="39" t="n">
        <f aca="false">J1996*Resumo!$C$8</f>
        <v>0.85998</v>
      </c>
      <c r="P1996" s="39" t="n">
        <f aca="false">Resumo!$C$10*CEILING(I1996/100,1)</f>
        <v>1</v>
      </c>
      <c r="Q1996" s="39" t="n">
        <f aca="false">Resumo!$C$9</f>
        <v>11.9</v>
      </c>
      <c r="R1996" s="39" t="n">
        <f aca="false">SUM(M1996:Q1996)*Resumo!$C$11</f>
        <v>3.7795978</v>
      </c>
      <c r="S1996" s="39" t="n">
        <f aca="false">SUM(M1996:R1996)</f>
        <v>72.4995578</v>
      </c>
      <c r="T1996" s="39" t="n">
        <f aca="false">S1996/(1-Resumo!$C$5)</f>
        <v>82.3858611363636</v>
      </c>
      <c r="U1996" s="39" t="n">
        <v>82.21</v>
      </c>
      <c r="V1996" s="39" t="n">
        <f aca="false">J1996*Resumo!$B$6</f>
        <v>0.42999</v>
      </c>
      <c r="W1996" s="39" t="n">
        <f aca="false">J1996*Resumo!$B$7</f>
        <v>0.85998</v>
      </c>
      <c r="X1996" s="39" t="n">
        <f aca="false">Resumo!$B$9</f>
        <v>1</v>
      </c>
      <c r="Y1996" s="39" t="n">
        <f aca="false">Resumo!$B$10*CEILING(I1996/100,1)</f>
        <v>4.5</v>
      </c>
      <c r="Z1996" s="39" t="n">
        <f aca="false">Resumo!$B$12*CEILING(I1996,1)</f>
        <v>1.68</v>
      </c>
      <c r="AA1996" s="39" t="n">
        <f aca="false">Resumo!$B$13*CEILING(I1996,1)</f>
        <v>12.6</v>
      </c>
      <c r="AB1996" s="39" t="n">
        <f aca="false">SUM(U1996:AA1996)</f>
        <v>103.27997</v>
      </c>
      <c r="AC1996" s="39" t="n">
        <f aca="false">AB1996/(1-Resumo!$B$5)</f>
        <v>117.363602272727</v>
      </c>
      <c r="AD1996" s="39" t="n">
        <f aca="false">(AB1996-AA1996)/(1-Resumo!$B$5)</f>
        <v>103.045420454545</v>
      </c>
      <c r="AE1996" s="39" t="n">
        <f aca="false">AC1996-T1996</f>
        <v>34.9777411363636</v>
      </c>
      <c r="AF1996" s="40" t="n">
        <f aca="false">AC1996/T1996-1</f>
        <v>0.424559999178367</v>
      </c>
      <c r="AG1996" s="37" t="str">
        <f aca="false">IF(AC1996&lt;T1996,"SIM","NÃO")</f>
        <v>NÃO</v>
      </c>
      <c r="AH1996" s="37" t="n">
        <v>8</v>
      </c>
      <c r="AI1996" s="37" t="n">
        <v>5</v>
      </c>
      <c r="AJ1996" s="37" t="s">
        <v>323</v>
      </c>
    </row>
    <row r="1997" customFormat="false" ht="15" hidden="false" customHeight="false" outlineLevel="0" collapsed="false">
      <c r="A1997" s="37" t="n">
        <v>398042093</v>
      </c>
      <c r="B1997" s="38" t="n">
        <v>46287.2930787037</v>
      </c>
      <c r="C1997" s="37" t="s">
        <v>325</v>
      </c>
      <c r="D1997" s="37" t="s">
        <v>2110</v>
      </c>
      <c r="E1997" s="37" t="n">
        <v>22641005</v>
      </c>
      <c r="F1997" s="37" t="s">
        <v>139</v>
      </c>
      <c r="G1997" s="37" t="s">
        <v>198</v>
      </c>
      <c r="H1997" s="37" t="s">
        <v>168</v>
      </c>
      <c r="I1997" s="37" t="n">
        <v>34.8</v>
      </c>
      <c r="J1997" s="39" t="n">
        <v>425</v>
      </c>
      <c r="K1997" s="37" t="s">
        <v>322</v>
      </c>
      <c r="L1997" s="39" t="n">
        <v>82.36</v>
      </c>
      <c r="M1997" s="39" t="n">
        <v>54.1</v>
      </c>
      <c r="N1997" s="39" t="n">
        <f aca="false">J1997*Resumo!$C$7</f>
        <v>0.85</v>
      </c>
      <c r="O1997" s="39" t="n">
        <f aca="false">J1997*Resumo!$C$8</f>
        <v>0.85</v>
      </c>
      <c r="P1997" s="39" t="n">
        <f aca="false">Resumo!$C$10*CEILING(I1997/100,1)</f>
        <v>1</v>
      </c>
      <c r="Q1997" s="39" t="n">
        <f aca="false">Resumo!$C$9</f>
        <v>11.9</v>
      </c>
      <c r="R1997" s="39" t="n">
        <f aca="false">SUM(M1997:Q1997)*Resumo!$C$11</f>
        <v>3.7785</v>
      </c>
      <c r="S1997" s="39" t="n">
        <f aca="false">SUM(M1997:R1997)</f>
        <v>72.4785</v>
      </c>
      <c r="T1997" s="39" t="n">
        <f aca="false">S1997/(1-Resumo!$C$5)</f>
        <v>82.3619318181818</v>
      </c>
      <c r="U1997" s="39" t="n">
        <v>82.21</v>
      </c>
      <c r="V1997" s="39" t="n">
        <f aca="false">J1997*Resumo!$B$6</f>
        <v>0.425</v>
      </c>
      <c r="W1997" s="39" t="n">
        <f aca="false">J1997*Resumo!$B$7</f>
        <v>0.85</v>
      </c>
      <c r="X1997" s="39" t="n">
        <f aca="false">Resumo!$B$9</f>
        <v>1</v>
      </c>
      <c r="Y1997" s="39" t="n">
        <f aca="false">Resumo!$B$10*CEILING(I1997/100,1)</f>
        <v>4.5</v>
      </c>
      <c r="Z1997" s="39" t="n">
        <f aca="false">Resumo!$B$12*CEILING(I1997,1)</f>
        <v>2.1</v>
      </c>
      <c r="AA1997" s="39" t="n">
        <f aca="false">Resumo!$B$13*CEILING(I1997,1)</f>
        <v>15.75</v>
      </c>
      <c r="AB1997" s="39" t="n">
        <f aca="false">SUM(U1997:AA1997)</f>
        <v>106.835</v>
      </c>
      <c r="AC1997" s="39" t="n">
        <f aca="false">AB1997/(1-Resumo!$B$5)</f>
        <v>121.403409090909</v>
      </c>
      <c r="AD1997" s="39" t="n">
        <f aca="false">(AB1997-AA1997)/(1-Resumo!$B$5)</f>
        <v>103.505681818182</v>
      </c>
      <c r="AE1997" s="39" t="n">
        <f aca="false">AC1997-T1997</f>
        <v>39.0414772727273</v>
      </c>
      <c r="AF1997" s="40" t="n">
        <f aca="false">AC1997/T1997-1</f>
        <v>0.474023331056796</v>
      </c>
      <c r="AG1997" s="37" t="str">
        <f aca="false">IF(AC1997&lt;T1997,"SIM","NÃO")</f>
        <v>NÃO</v>
      </c>
      <c r="AH1997" s="37" t="n">
        <v>8</v>
      </c>
      <c r="AI1997" s="37" t="n">
        <v>5</v>
      </c>
      <c r="AJ1997" s="37" t="s">
        <v>323</v>
      </c>
    </row>
    <row r="1998" customFormat="false" ht="15" hidden="false" customHeight="false" outlineLevel="0" collapsed="false">
      <c r="A1998" s="37" t="n">
        <v>398060736</v>
      </c>
      <c r="B1998" s="38" t="n">
        <v>46287.3405208333</v>
      </c>
      <c r="C1998" s="37" t="s">
        <v>320</v>
      </c>
      <c r="D1998" s="37" t="s">
        <v>2111</v>
      </c>
      <c r="E1998" s="37" t="n">
        <v>28020822</v>
      </c>
      <c r="F1998" s="37" t="s">
        <v>144</v>
      </c>
      <c r="G1998" s="37" t="s">
        <v>201</v>
      </c>
      <c r="H1998" s="37" t="s">
        <v>168</v>
      </c>
      <c r="I1998" s="37" t="n">
        <v>30.5</v>
      </c>
      <c r="J1998" s="39" t="n">
        <v>406.6</v>
      </c>
      <c r="K1998" s="37" t="s">
        <v>322</v>
      </c>
      <c r="L1998" s="39" t="n">
        <v>109.13</v>
      </c>
      <c r="M1998" s="39" t="n">
        <v>76.5</v>
      </c>
      <c r="N1998" s="39" t="n">
        <f aca="false">J1998*Resumo!$C$7</f>
        <v>0.8132</v>
      </c>
      <c r="O1998" s="39" t="n">
        <f aca="false">J1998*Resumo!$C$8</f>
        <v>0.8132</v>
      </c>
      <c r="P1998" s="39" t="n">
        <f aca="false">Resumo!$C$10*CEILING(I1998/100,1)</f>
        <v>1</v>
      </c>
      <c r="Q1998" s="39" t="n">
        <f aca="false">Resumo!$C$9</f>
        <v>11.9</v>
      </c>
      <c r="R1998" s="39" t="n">
        <f aca="false">SUM(M1998:Q1998)*Resumo!$C$11</f>
        <v>5.006452</v>
      </c>
      <c r="S1998" s="39" t="n">
        <f aca="false">SUM(M1998:R1998)</f>
        <v>96.032852</v>
      </c>
      <c r="T1998" s="39" t="n">
        <f aca="false">S1998/(1-Resumo!$C$5)</f>
        <v>109.128240909091</v>
      </c>
      <c r="U1998" s="39" t="n">
        <v>138.29</v>
      </c>
      <c r="V1998" s="39" t="n">
        <f aca="false">J1998*Resumo!$B$6</f>
        <v>0.4066</v>
      </c>
      <c r="W1998" s="39" t="n">
        <f aca="false">J1998*Resumo!$B$7</f>
        <v>0.8132</v>
      </c>
      <c r="X1998" s="39" t="n">
        <f aca="false">Resumo!$B$9</f>
        <v>1</v>
      </c>
      <c r="Y1998" s="39" t="n">
        <f aca="false">Resumo!$B$10*CEILING(I1998/100,1)</f>
        <v>4.5</v>
      </c>
      <c r="Z1998" s="39" t="n">
        <f aca="false">Resumo!$B$12*CEILING(I1998,1)</f>
        <v>1.86</v>
      </c>
      <c r="AA1998" s="39" t="n">
        <f aca="false">Resumo!$B$13*CEILING(I1998,1)</f>
        <v>13.95</v>
      </c>
      <c r="AB1998" s="39" t="n">
        <f aca="false">SUM(U1998:AA1998)</f>
        <v>160.8198</v>
      </c>
      <c r="AC1998" s="39" t="n">
        <f aca="false">AB1998/(1-Resumo!$B$5)</f>
        <v>182.749772727273</v>
      </c>
      <c r="AD1998" s="39" t="n">
        <f aca="false">(AB1998-AA1998)/(1-Resumo!$B$5)</f>
        <v>166.8975</v>
      </c>
      <c r="AE1998" s="39" t="n">
        <f aca="false">AC1998-T1998</f>
        <v>73.6215318181818</v>
      </c>
      <c r="AF1998" s="40" t="n">
        <f aca="false">AC1998/T1998-1</f>
        <v>0.6746331765717</v>
      </c>
      <c r="AG1998" s="37" t="str">
        <f aca="false">IF(AC1998&lt;T1998,"SIM","NÃO")</f>
        <v>NÃO</v>
      </c>
      <c r="AH1998" s="37" t="n">
        <v>13</v>
      </c>
      <c r="AI1998" s="37" t="n">
        <v>11</v>
      </c>
      <c r="AJ1998" s="37" t="s">
        <v>323</v>
      </c>
    </row>
    <row r="1999" customFormat="false" ht="15" hidden="false" customHeight="false" outlineLevel="0" collapsed="false">
      <c r="A1999" s="37" t="n">
        <v>398066522</v>
      </c>
      <c r="B1999" s="38" t="n">
        <v>46287.3566666667</v>
      </c>
      <c r="C1999" s="37" t="s">
        <v>320</v>
      </c>
      <c r="D1999" s="37" t="s">
        <v>591</v>
      </c>
      <c r="E1999" s="37" t="n">
        <v>24736220</v>
      </c>
      <c r="F1999" s="37" t="s">
        <v>140</v>
      </c>
      <c r="G1999" s="37" t="s">
        <v>207</v>
      </c>
      <c r="H1999" s="37" t="s">
        <v>170</v>
      </c>
      <c r="I1999" s="37" t="n">
        <v>41</v>
      </c>
      <c r="J1999" s="39" t="n">
        <v>487.99</v>
      </c>
      <c r="K1999" s="37" t="s">
        <v>322</v>
      </c>
      <c r="L1999" s="39" t="n">
        <v>116.42</v>
      </c>
      <c r="M1999" s="39" t="n">
        <v>82.25</v>
      </c>
      <c r="N1999" s="39" t="n">
        <f aca="false">J1999*Resumo!$C$7</f>
        <v>0.97598</v>
      </c>
      <c r="O1999" s="39" t="n">
        <f aca="false">J1999*Resumo!$C$8</f>
        <v>0.97598</v>
      </c>
      <c r="P1999" s="39" t="n">
        <f aca="false">Resumo!$C$10*CEILING(I1999/100,1)</f>
        <v>1</v>
      </c>
      <c r="Q1999" s="39" t="n">
        <f aca="false">Resumo!$C$9</f>
        <v>11.9</v>
      </c>
      <c r="R1999" s="39" t="n">
        <f aca="false">SUM(M1999:Q1999)*Resumo!$C$11</f>
        <v>5.3406078</v>
      </c>
      <c r="S1999" s="39" t="n">
        <f aca="false">SUM(M1999:R1999)</f>
        <v>102.4425678</v>
      </c>
      <c r="T1999" s="39" t="n">
        <f aca="false">S1999/(1-Resumo!$C$5)</f>
        <v>116.412008863636</v>
      </c>
      <c r="U1999" s="39" t="n">
        <v>114.95</v>
      </c>
      <c r="V1999" s="39" t="n">
        <f aca="false">J1999*Resumo!$B$6</f>
        <v>0.48799</v>
      </c>
      <c r="W1999" s="39" t="n">
        <f aca="false">J1999*Resumo!$B$7</f>
        <v>0.97598</v>
      </c>
      <c r="X1999" s="39" t="n">
        <f aca="false">Resumo!$B$9</f>
        <v>1</v>
      </c>
      <c r="Y1999" s="39" t="n">
        <f aca="false">Resumo!$B$10*CEILING(I1999/100,1)</f>
        <v>4.5</v>
      </c>
      <c r="Z1999" s="39" t="n">
        <f aca="false">Resumo!$B$12*CEILING(I1999,1)</f>
        <v>2.46</v>
      </c>
      <c r="AA1999" s="39" t="n">
        <f aca="false">Resumo!$B$13*CEILING(I1999,1)</f>
        <v>18.45</v>
      </c>
      <c r="AB1999" s="39" t="n">
        <f aca="false">SUM(U1999:AA1999)</f>
        <v>142.82397</v>
      </c>
      <c r="AC1999" s="39" t="n">
        <f aca="false">AB1999/(1-Resumo!$B$5)</f>
        <v>162.299965909091</v>
      </c>
      <c r="AD1999" s="39" t="n">
        <f aca="false">(AB1999-AA1999)/(1-Resumo!$B$5)</f>
        <v>141.334056818182</v>
      </c>
      <c r="AE1999" s="39" t="n">
        <f aca="false">AC1999-T1999</f>
        <v>45.8879570454545</v>
      </c>
      <c r="AF1999" s="40" t="n">
        <f aca="false">AC1999/T1999-1</f>
        <v>0.394185767373941</v>
      </c>
      <c r="AG1999" s="37" t="str">
        <f aca="false">IF(AC1999&lt;T1999,"SIM","NÃO")</f>
        <v>NÃO</v>
      </c>
      <c r="AH1999" s="37" t="n">
        <v>10</v>
      </c>
      <c r="AI1999" s="37" t="n">
        <v>7</v>
      </c>
      <c r="AJ1999" s="37" t="s">
        <v>323</v>
      </c>
    </row>
    <row r="2000" customFormat="false" ht="15" hidden="false" customHeight="false" outlineLevel="0" collapsed="false">
      <c r="A2000" s="37" t="n">
        <v>398099099</v>
      </c>
      <c r="B2000" s="38" t="n">
        <v>46287.4282175926</v>
      </c>
      <c r="C2000" s="37" t="s">
        <v>320</v>
      </c>
      <c r="D2000" s="37" t="s">
        <v>587</v>
      </c>
      <c r="E2000" s="37" t="n">
        <v>23092093</v>
      </c>
      <c r="F2000" s="37" t="s">
        <v>139</v>
      </c>
      <c r="G2000" s="37" t="s">
        <v>198</v>
      </c>
      <c r="H2000" s="37" t="s">
        <v>169</v>
      </c>
      <c r="I2000" s="37" t="n">
        <v>40</v>
      </c>
      <c r="J2000" s="39" t="n">
        <v>562.42</v>
      </c>
      <c r="K2000" s="37" t="s">
        <v>322</v>
      </c>
      <c r="L2000" s="39" t="n">
        <v>92.55</v>
      </c>
      <c r="M2000" s="39" t="n">
        <v>62.05</v>
      </c>
      <c r="N2000" s="39" t="n">
        <f aca="false">J2000*Resumo!$C$7</f>
        <v>1.12484</v>
      </c>
      <c r="O2000" s="39" t="n">
        <f aca="false">J2000*Resumo!$C$8</f>
        <v>1.12484</v>
      </c>
      <c r="P2000" s="39" t="n">
        <f aca="false">Resumo!$C$10*CEILING(I2000/100,1)</f>
        <v>1</v>
      </c>
      <c r="Q2000" s="39" t="n">
        <f aca="false">Resumo!$C$9</f>
        <v>11.9</v>
      </c>
      <c r="R2000" s="39" t="n">
        <f aca="false">SUM(M2000:Q2000)*Resumo!$C$11</f>
        <v>4.2459824</v>
      </c>
      <c r="S2000" s="39" t="n">
        <f aca="false">SUM(M2000:R2000)</f>
        <v>81.4456624</v>
      </c>
      <c r="T2000" s="39" t="n">
        <f aca="false">S2000/(1-Resumo!$C$5)</f>
        <v>92.5518890909091</v>
      </c>
      <c r="U2000" s="39" t="n">
        <v>93.97</v>
      </c>
      <c r="V2000" s="39" t="n">
        <f aca="false">J2000*Resumo!$B$6</f>
        <v>0.56242</v>
      </c>
      <c r="W2000" s="39" t="n">
        <f aca="false">J2000*Resumo!$B$7</f>
        <v>1.12484</v>
      </c>
      <c r="X2000" s="39" t="n">
        <f aca="false">Resumo!$B$9</f>
        <v>1</v>
      </c>
      <c r="Y2000" s="39" t="n">
        <f aca="false">Resumo!$B$10*CEILING(I2000/100,1)</f>
        <v>4.5</v>
      </c>
      <c r="Z2000" s="39" t="n">
        <f aca="false">Resumo!$B$12*CEILING(I2000,1)</f>
        <v>2.4</v>
      </c>
      <c r="AA2000" s="39" t="n">
        <f aca="false">Resumo!$B$13*CEILING(I2000,1)</f>
        <v>18</v>
      </c>
      <c r="AB2000" s="39" t="n">
        <f aca="false">SUM(U2000:AA2000)</f>
        <v>121.55726</v>
      </c>
      <c r="AC2000" s="39" t="n">
        <f aca="false">AB2000/(1-Resumo!$B$5)</f>
        <v>138.13325</v>
      </c>
      <c r="AD2000" s="39" t="n">
        <f aca="false">(AB2000-AA2000)/(1-Resumo!$B$5)</f>
        <v>117.678704545455</v>
      </c>
      <c r="AE2000" s="39" t="n">
        <f aca="false">AC2000-T2000</f>
        <v>45.5813609090909</v>
      </c>
      <c r="AF2000" s="40" t="n">
        <f aca="false">AC2000/T2000-1</f>
        <v>0.492495197632526</v>
      </c>
      <c r="AG2000" s="37" t="str">
        <f aca="false">IF(AC2000&lt;T2000,"SIM","NÃO")</f>
        <v>NÃO</v>
      </c>
      <c r="AH2000" s="37" t="n">
        <v>8</v>
      </c>
      <c r="AI2000" s="37" t="n">
        <v>5</v>
      </c>
      <c r="AJ2000" s="37" t="s">
        <v>323</v>
      </c>
    </row>
    <row r="2001" customFormat="false" ht="15" hidden="false" customHeight="false" outlineLevel="0" collapsed="false">
      <c r="A2001" s="37" t="n">
        <v>398109227</v>
      </c>
      <c r="B2001" s="38" t="n">
        <v>46287.4486574074</v>
      </c>
      <c r="C2001" s="37" t="s">
        <v>320</v>
      </c>
      <c r="D2001" s="37" t="s">
        <v>2112</v>
      </c>
      <c r="E2001" s="37" t="n">
        <v>21381140</v>
      </c>
      <c r="F2001" s="37" t="s">
        <v>139</v>
      </c>
      <c r="G2001" s="37" t="s">
        <v>198</v>
      </c>
      <c r="H2001" s="37" t="s">
        <v>172</v>
      </c>
      <c r="I2001" s="37" t="n">
        <v>63</v>
      </c>
      <c r="J2001" s="39" t="n">
        <v>702.57</v>
      </c>
      <c r="K2001" s="37" t="s">
        <v>322</v>
      </c>
      <c r="L2001" s="39" t="n">
        <v>124.59</v>
      </c>
      <c r="M2001" s="39" t="n">
        <v>88.2</v>
      </c>
      <c r="N2001" s="39" t="n">
        <f aca="false">J2001*Resumo!$C$7</f>
        <v>1.40514</v>
      </c>
      <c r="O2001" s="39" t="n">
        <f aca="false">J2001*Resumo!$C$8</f>
        <v>1.40514</v>
      </c>
      <c r="P2001" s="39" t="n">
        <f aca="false">Resumo!$C$10*CEILING(I2001/100,1)</f>
        <v>1</v>
      </c>
      <c r="Q2001" s="39" t="n">
        <f aca="false">Resumo!$C$9</f>
        <v>11.9</v>
      </c>
      <c r="R2001" s="39" t="n">
        <f aca="false">SUM(M2001:Q2001)*Resumo!$C$11</f>
        <v>5.7150654</v>
      </c>
      <c r="S2001" s="39" t="n">
        <f aca="false">SUM(M2001:R2001)</f>
        <v>109.6253454</v>
      </c>
      <c r="T2001" s="39" t="n">
        <f aca="false">S2001/(1-Resumo!$C$5)</f>
        <v>124.574256136364</v>
      </c>
      <c r="U2001" s="39" t="n">
        <v>131.02</v>
      </c>
      <c r="V2001" s="39" t="n">
        <f aca="false">J2001*Resumo!$B$6</f>
        <v>0.70257</v>
      </c>
      <c r="W2001" s="39" t="n">
        <f aca="false">J2001*Resumo!$B$7</f>
        <v>1.40514</v>
      </c>
      <c r="X2001" s="39" t="n">
        <f aca="false">Resumo!$B$9</f>
        <v>1</v>
      </c>
      <c r="Y2001" s="39" t="n">
        <f aca="false">Resumo!$B$10*CEILING(I2001/100,1)</f>
        <v>4.5</v>
      </c>
      <c r="Z2001" s="39" t="n">
        <f aca="false">Resumo!$B$12*CEILING(I2001,1)</f>
        <v>3.78</v>
      </c>
      <c r="AA2001" s="39" t="n">
        <f aca="false">Resumo!$B$13*CEILING(I2001,1)</f>
        <v>28.35</v>
      </c>
      <c r="AB2001" s="39" t="n">
        <f aca="false">SUM(U2001:AA2001)</f>
        <v>170.75771</v>
      </c>
      <c r="AC2001" s="39" t="n">
        <f aca="false">AB2001/(1-Resumo!$B$5)</f>
        <v>194.042852272727</v>
      </c>
      <c r="AD2001" s="39" t="n">
        <f aca="false">(AB2001-AA2001)/(1-Resumo!$B$5)</f>
        <v>161.826943181818</v>
      </c>
      <c r="AE2001" s="39" t="n">
        <f aca="false">AC2001-T2001</f>
        <v>69.4685961363637</v>
      </c>
      <c r="AF2001" s="40" t="n">
        <f aca="false">AC2001/T2001-1</f>
        <v>0.557648091113791</v>
      </c>
      <c r="AG2001" s="37" t="str">
        <f aca="false">IF(AC2001&lt;T2001,"SIM","NÃO")</f>
        <v>NÃO</v>
      </c>
      <c r="AH2001" s="37" t="n">
        <v>8</v>
      </c>
      <c r="AI2001" s="37" t="n">
        <v>5</v>
      </c>
      <c r="AJ2001" s="37" t="s">
        <v>323</v>
      </c>
    </row>
    <row r="2002" customFormat="false" ht="15" hidden="false" customHeight="false" outlineLevel="0" collapsed="false">
      <c r="A2002" s="37" t="n">
        <v>398126916</v>
      </c>
      <c r="B2002" s="38" t="n">
        <v>46287.4854282407</v>
      </c>
      <c r="C2002" s="37" t="s">
        <v>320</v>
      </c>
      <c r="D2002" s="37" t="s">
        <v>2113</v>
      </c>
      <c r="E2002" s="37" t="n">
        <v>20720230</v>
      </c>
      <c r="F2002" s="37" t="s">
        <v>139</v>
      </c>
      <c r="G2002" s="37" t="s">
        <v>198</v>
      </c>
      <c r="H2002" s="37" t="s">
        <v>169</v>
      </c>
      <c r="I2002" s="37" t="n">
        <v>40</v>
      </c>
      <c r="J2002" s="39" t="n">
        <v>562.42</v>
      </c>
      <c r="K2002" s="37" t="s">
        <v>322</v>
      </c>
      <c r="L2002" s="39" t="n">
        <v>92.55</v>
      </c>
      <c r="M2002" s="39" t="n">
        <v>62.05</v>
      </c>
      <c r="N2002" s="39" t="n">
        <f aca="false">J2002*Resumo!$C$7</f>
        <v>1.12484</v>
      </c>
      <c r="O2002" s="39" t="n">
        <f aca="false">J2002*Resumo!$C$8</f>
        <v>1.12484</v>
      </c>
      <c r="P2002" s="39" t="n">
        <f aca="false">Resumo!$C$10*CEILING(I2002/100,1)</f>
        <v>1</v>
      </c>
      <c r="Q2002" s="39" t="n">
        <f aca="false">Resumo!$C$9</f>
        <v>11.9</v>
      </c>
      <c r="R2002" s="39" t="n">
        <f aca="false">SUM(M2002:Q2002)*Resumo!$C$11</f>
        <v>4.2459824</v>
      </c>
      <c r="S2002" s="39" t="n">
        <f aca="false">SUM(M2002:R2002)</f>
        <v>81.4456624</v>
      </c>
      <c r="T2002" s="39" t="n">
        <f aca="false">S2002/(1-Resumo!$C$5)</f>
        <v>92.5518890909091</v>
      </c>
      <c r="U2002" s="39" t="n">
        <v>93.97</v>
      </c>
      <c r="V2002" s="39" t="n">
        <f aca="false">J2002*Resumo!$B$6</f>
        <v>0.56242</v>
      </c>
      <c r="W2002" s="39" t="n">
        <f aca="false">J2002*Resumo!$B$7</f>
        <v>1.12484</v>
      </c>
      <c r="X2002" s="39" t="n">
        <f aca="false">Resumo!$B$9</f>
        <v>1</v>
      </c>
      <c r="Y2002" s="39" t="n">
        <f aca="false">Resumo!$B$10*CEILING(I2002/100,1)</f>
        <v>4.5</v>
      </c>
      <c r="Z2002" s="39" t="n">
        <f aca="false">Resumo!$B$12*CEILING(I2002,1)</f>
        <v>2.4</v>
      </c>
      <c r="AA2002" s="39" t="n">
        <f aca="false">Resumo!$B$13*CEILING(I2002,1)</f>
        <v>18</v>
      </c>
      <c r="AB2002" s="39" t="n">
        <f aca="false">SUM(U2002:AA2002)</f>
        <v>121.55726</v>
      </c>
      <c r="AC2002" s="39" t="n">
        <f aca="false">AB2002/(1-Resumo!$B$5)</f>
        <v>138.13325</v>
      </c>
      <c r="AD2002" s="39" t="n">
        <f aca="false">(AB2002-AA2002)/(1-Resumo!$B$5)</f>
        <v>117.678704545455</v>
      </c>
      <c r="AE2002" s="39" t="n">
        <f aca="false">AC2002-T2002</f>
        <v>45.5813609090909</v>
      </c>
      <c r="AF2002" s="40" t="n">
        <f aca="false">AC2002/T2002-1</f>
        <v>0.492495197632526</v>
      </c>
      <c r="AG2002" s="37" t="str">
        <f aca="false">IF(AC2002&lt;T2002,"SIM","NÃO")</f>
        <v>NÃO</v>
      </c>
      <c r="AH2002" s="37" t="n">
        <v>8</v>
      </c>
      <c r="AI2002" s="37" t="n">
        <v>5</v>
      </c>
      <c r="AJ2002" s="37" t="s">
        <v>323</v>
      </c>
    </row>
    <row r="2003" customFormat="false" ht="15" hidden="false" customHeight="false" outlineLevel="0" collapsed="false">
      <c r="A2003" s="37" t="n">
        <v>398141863</v>
      </c>
      <c r="B2003" s="38" t="n">
        <v>46287.517337963</v>
      </c>
      <c r="C2003" s="37" t="s">
        <v>320</v>
      </c>
      <c r="D2003" s="37" t="s">
        <v>2114</v>
      </c>
      <c r="E2003" s="37" t="n">
        <v>28963050</v>
      </c>
      <c r="F2003" s="37" t="s">
        <v>280</v>
      </c>
      <c r="G2003" s="37" t="s">
        <v>201</v>
      </c>
      <c r="H2003" s="37" t="s">
        <v>169</v>
      </c>
      <c r="I2003" s="37" t="n">
        <v>35.3</v>
      </c>
      <c r="J2003" s="39" t="n">
        <v>432.99</v>
      </c>
      <c r="K2003" s="37" t="s">
        <v>322</v>
      </c>
      <c r="L2003" s="39" t="n">
        <v>122.33</v>
      </c>
      <c r="M2003" s="39" t="n">
        <v>87.4</v>
      </c>
      <c r="N2003" s="39" t="n">
        <f aca="false">J2003*Resumo!$C$7</f>
        <v>0.86598</v>
      </c>
      <c r="O2003" s="39" t="n">
        <f aca="false">J2003*Resumo!$C$8</f>
        <v>0.86598</v>
      </c>
      <c r="P2003" s="39" t="n">
        <f aca="false">Resumo!$C$10*CEILING(I2003/100,1)</f>
        <v>1</v>
      </c>
      <c r="Q2003" s="39" t="n">
        <f aca="false">Resumo!$C$9</f>
        <v>11.9</v>
      </c>
      <c r="R2003" s="39" t="n">
        <f aca="false">SUM(M2003:Q2003)*Resumo!$C$11</f>
        <v>5.6117578</v>
      </c>
      <c r="S2003" s="39" t="n">
        <f aca="false">SUM(M2003:R2003)</f>
        <v>107.6437178</v>
      </c>
      <c r="T2003" s="39" t="n">
        <f aca="false">S2003/(1-Resumo!$C$5)</f>
        <v>122.322406590909</v>
      </c>
      <c r="U2003" s="39" t="n">
        <v>124.38</v>
      </c>
      <c r="V2003" s="39" t="n">
        <f aca="false">J2003*Resumo!$B$6</f>
        <v>0.43299</v>
      </c>
      <c r="W2003" s="39" t="n">
        <f aca="false">J2003*Resumo!$B$7</f>
        <v>0.86598</v>
      </c>
      <c r="X2003" s="39" t="n">
        <f aca="false">Resumo!$B$9</f>
        <v>1</v>
      </c>
      <c r="Y2003" s="39" t="n">
        <f aca="false">Resumo!$B$10*CEILING(I2003/100,1)</f>
        <v>4.5</v>
      </c>
      <c r="Z2003" s="39" t="n">
        <f aca="false">Resumo!$B$12*CEILING(I2003,1)</f>
        <v>2.16</v>
      </c>
      <c r="AA2003" s="39" t="n">
        <f aca="false">Resumo!$B$13*CEILING(I2003,1)</f>
        <v>16.2</v>
      </c>
      <c r="AB2003" s="39" t="n">
        <f aca="false">SUM(U2003:AA2003)</f>
        <v>149.53897</v>
      </c>
      <c r="AC2003" s="39" t="n">
        <f aca="false">AB2003/(1-Resumo!$B$5)</f>
        <v>169.930647727273</v>
      </c>
      <c r="AD2003" s="39" t="n">
        <f aca="false">(AB2003-AA2003)/(1-Resumo!$B$5)</f>
        <v>151.521556818182</v>
      </c>
      <c r="AE2003" s="39" t="n">
        <f aca="false">AC2003-T2003</f>
        <v>47.6082411363636</v>
      </c>
      <c r="AF2003" s="40" t="n">
        <f aca="false">AC2003/T2003-1</f>
        <v>0.389202947057631</v>
      </c>
      <c r="AG2003" s="37" t="str">
        <f aca="false">IF(AC2003&lt;T2003,"SIM","NÃO")</f>
        <v>NÃO</v>
      </c>
      <c r="AH2003" s="37" t="n">
        <v>13</v>
      </c>
      <c r="AI2003" s="37" t="n">
        <v>10</v>
      </c>
      <c r="AJ2003" s="37" t="s">
        <v>327</v>
      </c>
    </row>
    <row r="2004" customFormat="false" ht="15" hidden="false" customHeight="false" outlineLevel="0" collapsed="false">
      <c r="A2004" s="37" t="n">
        <v>398169007</v>
      </c>
      <c r="B2004" s="38" t="n">
        <v>46287.5759953704</v>
      </c>
      <c r="C2004" s="37" t="s">
        <v>325</v>
      </c>
      <c r="D2004" s="37" t="s">
        <v>2115</v>
      </c>
      <c r="E2004" s="37" t="n">
        <v>28140000</v>
      </c>
      <c r="F2004" s="37" t="s">
        <v>144</v>
      </c>
      <c r="G2004" s="37" t="s">
        <v>201</v>
      </c>
      <c r="H2004" s="37" t="s">
        <v>168</v>
      </c>
      <c r="I2004" s="37" t="n">
        <v>31.9</v>
      </c>
      <c r="J2004" s="39" t="n">
        <v>559.99</v>
      </c>
      <c r="K2004" s="37" t="s">
        <v>322</v>
      </c>
      <c r="L2004" s="39" t="n">
        <v>109.86</v>
      </c>
      <c r="M2004" s="39" t="n">
        <v>76.5</v>
      </c>
      <c r="N2004" s="39" t="n">
        <f aca="false">J2004*Resumo!$C$7</f>
        <v>1.11998</v>
      </c>
      <c r="O2004" s="39" t="n">
        <f aca="false">J2004*Resumo!$C$8</f>
        <v>1.11998</v>
      </c>
      <c r="P2004" s="39" t="n">
        <f aca="false">Resumo!$C$10*CEILING(I2004/100,1)</f>
        <v>1</v>
      </c>
      <c r="Q2004" s="39" t="n">
        <f aca="false">Resumo!$C$9</f>
        <v>11.9</v>
      </c>
      <c r="R2004" s="39" t="n">
        <f aca="false">SUM(M2004:Q2004)*Resumo!$C$11</f>
        <v>5.0401978</v>
      </c>
      <c r="S2004" s="39" t="n">
        <f aca="false">SUM(M2004:R2004)</f>
        <v>96.6801578</v>
      </c>
      <c r="T2004" s="39" t="n">
        <f aca="false">S2004/(1-Resumo!$C$5)</f>
        <v>109.863815681818</v>
      </c>
      <c r="U2004" s="39" t="n">
        <v>138.29</v>
      </c>
      <c r="V2004" s="39" t="n">
        <f aca="false">J2004*Resumo!$B$6</f>
        <v>0.55999</v>
      </c>
      <c r="W2004" s="39" t="n">
        <f aca="false">J2004*Resumo!$B$7</f>
        <v>1.11998</v>
      </c>
      <c r="X2004" s="39" t="n">
        <f aca="false">Resumo!$B$9</f>
        <v>1</v>
      </c>
      <c r="Y2004" s="39" t="n">
        <f aca="false">Resumo!$B$10*CEILING(I2004/100,1)</f>
        <v>4.5</v>
      </c>
      <c r="Z2004" s="39" t="n">
        <f aca="false">Resumo!$B$12*CEILING(I2004,1)</f>
        <v>1.92</v>
      </c>
      <c r="AA2004" s="39" t="n">
        <f aca="false">Resumo!$B$13*CEILING(I2004,1)</f>
        <v>14.4</v>
      </c>
      <c r="AB2004" s="39" t="n">
        <f aca="false">SUM(U2004:AA2004)</f>
        <v>161.78997</v>
      </c>
      <c r="AC2004" s="39" t="n">
        <f aca="false">AB2004/(1-Resumo!$B$5)</f>
        <v>183.852238636364</v>
      </c>
      <c r="AD2004" s="39" t="n">
        <f aca="false">(AB2004-AA2004)/(1-Resumo!$B$5)</f>
        <v>167.488602272727</v>
      </c>
      <c r="AE2004" s="39" t="n">
        <f aca="false">AC2004-T2004</f>
        <v>73.9884229545455</v>
      </c>
      <c r="AF2004" s="40" t="n">
        <f aca="false">AC2004/T2004-1</f>
        <v>0.673455791566778</v>
      </c>
      <c r="AG2004" s="37" t="str">
        <f aca="false">IF(AC2004&lt;T2004,"SIM","NÃO")</f>
        <v>NÃO</v>
      </c>
      <c r="AH2004" s="37" t="n">
        <v>13</v>
      </c>
      <c r="AI2004" s="37" t="n">
        <v>11</v>
      </c>
      <c r="AJ2004" s="37" t="s">
        <v>323</v>
      </c>
    </row>
    <row r="2005" customFormat="false" ht="15" hidden="false" customHeight="false" outlineLevel="0" collapsed="false">
      <c r="A2005" s="37" t="n">
        <v>398177624</v>
      </c>
      <c r="B2005" s="38" t="n">
        <v>46287.5958101852</v>
      </c>
      <c r="C2005" s="37" t="s">
        <v>320</v>
      </c>
      <c r="D2005" s="37" t="s">
        <v>2116</v>
      </c>
      <c r="E2005" s="37" t="n">
        <v>27143460</v>
      </c>
      <c r="F2005" s="37" t="s">
        <v>230</v>
      </c>
      <c r="G2005" s="37" t="s">
        <v>201</v>
      </c>
      <c r="H2005" s="37" t="s">
        <v>169</v>
      </c>
      <c r="I2005" s="37" t="n">
        <v>36.9</v>
      </c>
      <c r="J2005" s="39" t="n">
        <v>389.99</v>
      </c>
      <c r="K2005" s="37" t="s">
        <v>322</v>
      </c>
      <c r="L2005" s="39" t="n">
        <v>122.11</v>
      </c>
      <c r="M2005" s="39" t="n">
        <v>87.4</v>
      </c>
      <c r="N2005" s="39" t="n">
        <f aca="false">J2005*Resumo!$C$7</f>
        <v>0.77998</v>
      </c>
      <c r="O2005" s="39" t="n">
        <f aca="false">J2005*Resumo!$C$8</f>
        <v>0.77998</v>
      </c>
      <c r="P2005" s="39" t="n">
        <f aca="false">Resumo!$C$10*CEILING(I2005/100,1)</f>
        <v>1</v>
      </c>
      <c r="Q2005" s="39" t="n">
        <f aca="false">Resumo!$C$9</f>
        <v>11.9</v>
      </c>
      <c r="R2005" s="39" t="n">
        <f aca="false">SUM(M2005:Q2005)*Resumo!$C$11</f>
        <v>5.6022978</v>
      </c>
      <c r="S2005" s="39" t="n">
        <f aca="false">SUM(M2005:R2005)</f>
        <v>107.4622578</v>
      </c>
      <c r="T2005" s="39" t="n">
        <f aca="false">S2005/(1-Resumo!$C$5)</f>
        <v>122.116202045455</v>
      </c>
      <c r="U2005" s="39" t="n">
        <v>124.38</v>
      </c>
      <c r="V2005" s="39" t="n">
        <f aca="false">J2005*Resumo!$B$6</f>
        <v>0.38999</v>
      </c>
      <c r="W2005" s="39" t="n">
        <f aca="false">J2005*Resumo!$B$7</f>
        <v>0.77998</v>
      </c>
      <c r="X2005" s="39" t="n">
        <f aca="false">Resumo!$B$9</f>
        <v>1</v>
      </c>
      <c r="Y2005" s="39" t="n">
        <f aca="false">Resumo!$B$10*CEILING(I2005/100,1)</f>
        <v>4.5</v>
      </c>
      <c r="Z2005" s="39" t="n">
        <f aca="false">Resumo!$B$12*CEILING(I2005,1)</f>
        <v>2.22</v>
      </c>
      <c r="AA2005" s="39" t="n">
        <f aca="false">Resumo!$B$13*CEILING(I2005,1)</f>
        <v>16.65</v>
      </c>
      <c r="AB2005" s="39" t="n">
        <f aca="false">SUM(U2005:AA2005)</f>
        <v>149.91997</v>
      </c>
      <c r="AC2005" s="39" t="n">
        <f aca="false">AB2005/(1-Resumo!$B$5)</f>
        <v>170.363602272727</v>
      </c>
      <c r="AD2005" s="39" t="n">
        <f aca="false">(AB2005-AA2005)/(1-Resumo!$B$5)</f>
        <v>151.443147727273</v>
      </c>
      <c r="AE2005" s="39" t="n">
        <f aca="false">AC2005-T2005</f>
        <v>48.2474002272728</v>
      </c>
      <c r="AF2005" s="40" t="n">
        <f aca="false">AC2005/T2005-1</f>
        <v>0.395094176031727</v>
      </c>
      <c r="AG2005" s="37" t="str">
        <f aca="false">IF(AC2005&lt;T2005,"SIM","NÃO")</f>
        <v>NÃO</v>
      </c>
      <c r="AH2005" s="37" t="n">
        <v>13</v>
      </c>
      <c r="AI2005" s="37" t="n">
        <v>10</v>
      </c>
      <c r="AJ2005" s="37" t="s">
        <v>327</v>
      </c>
    </row>
    <row r="2006" customFormat="false" ht="15" hidden="false" customHeight="false" outlineLevel="0" collapsed="false">
      <c r="A2006" s="37" t="n">
        <v>398189600</v>
      </c>
      <c r="B2006" s="38" t="n">
        <v>46287.6212615741</v>
      </c>
      <c r="C2006" s="37" t="s">
        <v>325</v>
      </c>
      <c r="D2006" s="37" t="s">
        <v>2117</v>
      </c>
      <c r="E2006" s="37" t="n">
        <v>28175000</v>
      </c>
      <c r="F2006" s="37" t="s">
        <v>144</v>
      </c>
      <c r="G2006" s="37" t="s">
        <v>201</v>
      </c>
      <c r="H2006" s="37" t="s">
        <v>168</v>
      </c>
      <c r="I2006" s="37" t="n">
        <v>27.6</v>
      </c>
      <c r="J2006" s="39" t="n">
        <v>599.99</v>
      </c>
      <c r="K2006" s="37" t="s">
        <v>322</v>
      </c>
      <c r="L2006" s="39" t="n">
        <v>110.06</v>
      </c>
      <c r="M2006" s="39" t="n">
        <v>76.5</v>
      </c>
      <c r="N2006" s="39" t="n">
        <f aca="false">J2006*Resumo!$C$7</f>
        <v>1.19998</v>
      </c>
      <c r="O2006" s="39" t="n">
        <f aca="false">J2006*Resumo!$C$8</f>
        <v>1.19998</v>
      </c>
      <c r="P2006" s="39" t="n">
        <f aca="false">Resumo!$C$10*CEILING(I2006/100,1)</f>
        <v>1</v>
      </c>
      <c r="Q2006" s="39" t="n">
        <f aca="false">Resumo!$C$9</f>
        <v>11.9</v>
      </c>
      <c r="R2006" s="39" t="n">
        <f aca="false">SUM(M2006:Q2006)*Resumo!$C$11</f>
        <v>5.0489978</v>
      </c>
      <c r="S2006" s="39" t="n">
        <f aca="false">SUM(M2006:R2006)</f>
        <v>96.8489578</v>
      </c>
      <c r="T2006" s="39" t="n">
        <f aca="false">S2006/(1-Resumo!$C$5)</f>
        <v>110.055633863636</v>
      </c>
      <c r="U2006" s="39" t="n">
        <v>138.29</v>
      </c>
      <c r="V2006" s="39" t="n">
        <f aca="false">J2006*Resumo!$B$6</f>
        <v>0.59999</v>
      </c>
      <c r="W2006" s="39" t="n">
        <f aca="false">J2006*Resumo!$B$7</f>
        <v>1.19998</v>
      </c>
      <c r="X2006" s="39" t="n">
        <f aca="false">Resumo!$B$9</f>
        <v>1</v>
      </c>
      <c r="Y2006" s="39" t="n">
        <f aca="false">Resumo!$B$10*CEILING(I2006/100,1)</f>
        <v>4.5</v>
      </c>
      <c r="Z2006" s="39" t="n">
        <f aca="false">Resumo!$B$12*CEILING(I2006,1)</f>
        <v>1.68</v>
      </c>
      <c r="AA2006" s="39" t="n">
        <f aca="false">Resumo!$B$13*CEILING(I2006,1)</f>
        <v>12.6</v>
      </c>
      <c r="AB2006" s="39" t="n">
        <f aca="false">SUM(U2006:AA2006)</f>
        <v>159.86997</v>
      </c>
      <c r="AC2006" s="39" t="n">
        <f aca="false">AB2006/(1-Resumo!$B$5)</f>
        <v>181.670420454545</v>
      </c>
      <c r="AD2006" s="39" t="n">
        <f aca="false">(AB2006-AA2006)/(1-Resumo!$B$5)</f>
        <v>167.352238636364</v>
      </c>
      <c r="AE2006" s="39" t="n">
        <f aca="false">AC2006-T2006</f>
        <v>71.6147865909091</v>
      </c>
      <c r="AF2006" s="40" t="n">
        <f aca="false">AC2006/T2006-1</f>
        <v>0.650714407584467</v>
      </c>
      <c r="AG2006" s="37" t="str">
        <f aca="false">IF(AC2006&lt;T2006,"SIM","NÃO")</f>
        <v>NÃO</v>
      </c>
      <c r="AH2006" s="37" t="n">
        <v>13</v>
      </c>
      <c r="AI2006" s="37" t="n">
        <v>11</v>
      </c>
      <c r="AJ2006" s="37" t="s">
        <v>323</v>
      </c>
    </row>
    <row r="2007" customFormat="false" ht="15" hidden="false" customHeight="false" outlineLevel="0" collapsed="false">
      <c r="A2007" s="37" t="n">
        <v>398198221</v>
      </c>
      <c r="B2007" s="38" t="n">
        <v>46287.640150463</v>
      </c>
      <c r="C2007" s="37" t="s">
        <v>325</v>
      </c>
      <c r="D2007" s="37" t="s">
        <v>2118</v>
      </c>
      <c r="E2007" s="37" t="n">
        <v>25635142</v>
      </c>
      <c r="F2007" s="37" t="s">
        <v>150</v>
      </c>
      <c r="G2007" s="37" t="s">
        <v>201</v>
      </c>
      <c r="H2007" s="37" t="s">
        <v>172</v>
      </c>
      <c r="I2007" s="37" t="n">
        <v>68.1</v>
      </c>
      <c r="J2007" s="39" t="n">
        <v>768.92</v>
      </c>
      <c r="K2007" s="37" t="s">
        <v>322</v>
      </c>
      <c r="L2007" s="39" t="n">
        <v>155.7</v>
      </c>
      <c r="M2007" s="39" t="n">
        <v>113.9</v>
      </c>
      <c r="N2007" s="39" t="n">
        <f aca="false">J2007*Resumo!$C$7</f>
        <v>1.53784</v>
      </c>
      <c r="O2007" s="39" t="n">
        <f aca="false">J2007*Resumo!$C$8</f>
        <v>1.53784</v>
      </c>
      <c r="P2007" s="39" t="n">
        <f aca="false">Resumo!$C$10*CEILING(I2007/100,1)</f>
        <v>1</v>
      </c>
      <c r="Q2007" s="39" t="n">
        <f aca="false">Resumo!$C$9</f>
        <v>11.9</v>
      </c>
      <c r="R2007" s="39" t="n">
        <f aca="false">SUM(M2007:Q2007)*Resumo!$C$11</f>
        <v>7.1431624</v>
      </c>
      <c r="S2007" s="39" t="n">
        <f aca="false">SUM(M2007:R2007)</f>
        <v>137.0188424</v>
      </c>
      <c r="T2007" s="39" t="n">
        <f aca="false">S2007/(1-Resumo!$C$5)</f>
        <v>155.70323</v>
      </c>
      <c r="U2007" s="39" t="n">
        <v>166.05</v>
      </c>
      <c r="V2007" s="39" t="n">
        <f aca="false">J2007*Resumo!$B$6</f>
        <v>0.76892</v>
      </c>
      <c r="W2007" s="39" t="n">
        <f aca="false">J2007*Resumo!$B$7</f>
        <v>1.53784</v>
      </c>
      <c r="X2007" s="39" t="n">
        <f aca="false">Resumo!$B$9</f>
        <v>1</v>
      </c>
      <c r="Y2007" s="39" t="n">
        <f aca="false">Resumo!$B$10*CEILING(I2007/100,1)</f>
        <v>4.5</v>
      </c>
      <c r="Z2007" s="39" t="n">
        <f aca="false">Resumo!$B$12*CEILING(I2007,1)</f>
        <v>4.14</v>
      </c>
      <c r="AA2007" s="39" t="n">
        <f aca="false">Resumo!$B$13*CEILING(I2007,1)</f>
        <v>31.05</v>
      </c>
      <c r="AB2007" s="39" t="n">
        <f aca="false">SUM(U2007:AA2007)</f>
        <v>209.04676</v>
      </c>
      <c r="AC2007" s="39" t="n">
        <f aca="false">AB2007/(1-Resumo!$B$5)</f>
        <v>237.553136363636</v>
      </c>
      <c r="AD2007" s="39" t="n">
        <f aca="false">(AB2007-AA2007)/(1-Resumo!$B$5)</f>
        <v>202.269045454545</v>
      </c>
      <c r="AE2007" s="39" t="n">
        <f aca="false">AC2007-T2007</f>
        <v>81.8499063636364</v>
      </c>
      <c r="AF2007" s="40" t="n">
        <f aca="false">AC2007/T2007-1</f>
        <v>0.525678923704</v>
      </c>
      <c r="AG2007" s="37" t="str">
        <f aca="false">IF(AC2007&lt;T2007,"SIM","NÃO")</f>
        <v>NÃO</v>
      </c>
      <c r="AH2007" s="37" t="n">
        <v>13</v>
      </c>
      <c r="AI2007" s="37" t="n">
        <v>8</v>
      </c>
      <c r="AJ2007" s="37" t="s">
        <v>323</v>
      </c>
    </row>
    <row r="2008" customFormat="false" ht="15" hidden="false" customHeight="false" outlineLevel="0" collapsed="false">
      <c r="A2008" s="37" t="n">
        <v>398203855</v>
      </c>
      <c r="B2008" s="38" t="n">
        <v>46287.6526736111</v>
      </c>
      <c r="C2008" s="37" t="s">
        <v>325</v>
      </c>
      <c r="D2008" s="37" t="s">
        <v>2119</v>
      </c>
      <c r="E2008" s="37" t="n">
        <v>21745291</v>
      </c>
      <c r="F2008" s="37" t="s">
        <v>139</v>
      </c>
      <c r="G2008" s="37" t="s">
        <v>198</v>
      </c>
      <c r="H2008" s="37" t="s">
        <v>174</v>
      </c>
      <c r="I2008" s="37" t="n">
        <v>89</v>
      </c>
      <c r="J2008" s="39" t="n">
        <v>1371.8</v>
      </c>
      <c r="K2008" s="37" t="s">
        <v>322</v>
      </c>
      <c r="L2008" s="39" t="n">
        <v>165.66</v>
      </c>
      <c r="M2008" s="39" t="n">
        <v>119.8</v>
      </c>
      <c r="N2008" s="39" t="n">
        <f aca="false">J2008*Resumo!$C$7</f>
        <v>2.7436</v>
      </c>
      <c r="O2008" s="39" t="n">
        <f aca="false">J2008*Resumo!$C$8</f>
        <v>2.7436</v>
      </c>
      <c r="P2008" s="39" t="n">
        <f aca="false">Resumo!$C$10*CEILING(I2008/100,1)</f>
        <v>1</v>
      </c>
      <c r="Q2008" s="39" t="n">
        <f aca="false">Resumo!$C$9</f>
        <v>11.9</v>
      </c>
      <c r="R2008" s="39" t="n">
        <f aca="false">SUM(M2008:Q2008)*Resumo!$C$11</f>
        <v>7.600296</v>
      </c>
      <c r="S2008" s="39" t="n">
        <f aca="false">SUM(M2008:R2008)</f>
        <v>145.787496</v>
      </c>
      <c r="T2008" s="39" t="n">
        <f aca="false">S2008/(1-Resumo!$C$5)</f>
        <v>165.667609090909</v>
      </c>
      <c r="U2008" s="39" t="n">
        <v>167.99</v>
      </c>
      <c r="V2008" s="39" t="n">
        <f aca="false">J2008*Resumo!$B$6</f>
        <v>1.3718</v>
      </c>
      <c r="W2008" s="39" t="n">
        <f aca="false">J2008*Resumo!$B$7</f>
        <v>2.7436</v>
      </c>
      <c r="X2008" s="39" t="n">
        <f aca="false">Resumo!$B$9</f>
        <v>1</v>
      </c>
      <c r="Y2008" s="39" t="n">
        <f aca="false">Resumo!$B$10*CEILING(I2008/100,1)</f>
        <v>4.5</v>
      </c>
      <c r="Z2008" s="39" t="n">
        <f aca="false">Resumo!$B$12*CEILING(I2008,1)</f>
        <v>5.34</v>
      </c>
      <c r="AA2008" s="39" t="n">
        <f aca="false">Resumo!$B$13*CEILING(I2008,1)</f>
        <v>40.05</v>
      </c>
      <c r="AB2008" s="39" t="n">
        <f aca="false">SUM(U2008:AA2008)</f>
        <v>222.9954</v>
      </c>
      <c r="AC2008" s="39" t="n">
        <f aca="false">AB2008/(1-Resumo!$B$5)</f>
        <v>253.403863636364</v>
      </c>
      <c r="AD2008" s="39" t="n">
        <f aca="false">(AB2008-AA2008)/(1-Resumo!$B$5)</f>
        <v>207.8925</v>
      </c>
      <c r="AE2008" s="39" t="n">
        <f aca="false">AC2008-T2008</f>
        <v>87.7362545454546</v>
      </c>
      <c r="AF2008" s="40" t="n">
        <f aca="false">AC2008/T2008-1</f>
        <v>0.529592085181298</v>
      </c>
      <c r="AG2008" s="37" t="str">
        <f aca="false">IF(AC2008&lt;T2008,"SIM","NÃO")</f>
        <v>NÃO</v>
      </c>
      <c r="AH2008" s="37" t="n">
        <v>8</v>
      </c>
      <c r="AI2008" s="37" t="n">
        <v>5</v>
      </c>
      <c r="AJ2008" s="37" t="s">
        <v>323</v>
      </c>
    </row>
    <row r="2009" customFormat="false" ht="15" hidden="false" customHeight="false" outlineLevel="0" collapsed="false">
      <c r="A2009" s="37" t="n">
        <v>398206751</v>
      </c>
      <c r="B2009" s="38" t="n">
        <v>46287.6598958333</v>
      </c>
      <c r="C2009" s="37" t="s">
        <v>320</v>
      </c>
      <c r="D2009" s="37" t="s">
        <v>2120</v>
      </c>
      <c r="E2009" s="37" t="n">
        <v>28894030</v>
      </c>
      <c r="F2009" s="37" t="s">
        <v>158</v>
      </c>
      <c r="G2009" s="37" t="s">
        <v>201</v>
      </c>
      <c r="H2009" s="37" t="s">
        <v>170</v>
      </c>
      <c r="I2009" s="37" t="n">
        <v>45</v>
      </c>
      <c r="J2009" s="39" t="n">
        <v>639.93</v>
      </c>
      <c r="K2009" s="37" t="s">
        <v>322</v>
      </c>
      <c r="L2009" s="39" t="n">
        <v>131.23</v>
      </c>
      <c r="M2009" s="39" t="n">
        <v>94</v>
      </c>
      <c r="N2009" s="39" t="n">
        <f aca="false">J2009*Resumo!$C$7</f>
        <v>1.27986</v>
      </c>
      <c r="O2009" s="39" t="n">
        <f aca="false">J2009*Resumo!$C$8</f>
        <v>1.27986</v>
      </c>
      <c r="P2009" s="39" t="n">
        <f aca="false">Resumo!$C$10*CEILING(I2009/100,1)</f>
        <v>1</v>
      </c>
      <c r="Q2009" s="39" t="n">
        <f aca="false">Resumo!$C$9</f>
        <v>11.9</v>
      </c>
      <c r="R2009" s="39" t="n">
        <f aca="false">SUM(M2009:Q2009)*Resumo!$C$11</f>
        <v>6.0202846</v>
      </c>
      <c r="S2009" s="39" t="n">
        <f aca="false">SUM(M2009:R2009)</f>
        <v>115.4800046</v>
      </c>
      <c r="T2009" s="39" t="n">
        <f aca="false">S2009/(1-Resumo!$C$5)</f>
        <v>131.227277954545</v>
      </c>
      <c r="U2009" s="39" t="n">
        <v>129.29</v>
      </c>
      <c r="V2009" s="39" t="n">
        <f aca="false">J2009*Resumo!$B$6</f>
        <v>0.63993</v>
      </c>
      <c r="W2009" s="39" t="n">
        <f aca="false">J2009*Resumo!$B$7</f>
        <v>1.27986</v>
      </c>
      <c r="X2009" s="39" t="n">
        <f aca="false">Resumo!$B$9</f>
        <v>1</v>
      </c>
      <c r="Y2009" s="39" t="n">
        <f aca="false">Resumo!$B$10*CEILING(I2009/100,1)</f>
        <v>4.5</v>
      </c>
      <c r="Z2009" s="39" t="n">
        <f aca="false">Resumo!$B$12*CEILING(I2009,1)</f>
        <v>2.7</v>
      </c>
      <c r="AA2009" s="39" t="n">
        <f aca="false">Resumo!$B$13*CEILING(I2009,1)</f>
        <v>20.25</v>
      </c>
      <c r="AB2009" s="39" t="n">
        <f aca="false">SUM(U2009:AA2009)</f>
        <v>159.65979</v>
      </c>
      <c r="AC2009" s="39" t="n">
        <f aca="false">AB2009/(1-Resumo!$B$5)</f>
        <v>181.431579545455</v>
      </c>
      <c r="AD2009" s="39" t="n">
        <f aca="false">(AB2009-AA2009)/(1-Resumo!$B$5)</f>
        <v>158.420215909091</v>
      </c>
      <c r="AE2009" s="39" t="n">
        <f aca="false">AC2009-T2009</f>
        <v>50.2043015909091</v>
      </c>
      <c r="AF2009" s="40" t="n">
        <f aca="false">AC2009/T2009-1</f>
        <v>0.382575196052599</v>
      </c>
      <c r="AG2009" s="37" t="str">
        <f aca="false">IF(AC2009&lt;T2009,"SIM","NÃO")</f>
        <v>NÃO</v>
      </c>
      <c r="AH2009" s="37" t="n">
        <v>13</v>
      </c>
      <c r="AI2009" s="37" t="n">
        <v>10</v>
      </c>
      <c r="AJ2009" s="37" t="s">
        <v>323</v>
      </c>
    </row>
    <row r="2010" customFormat="false" ht="15" hidden="false" customHeight="false" outlineLevel="0" collapsed="false">
      <c r="A2010" s="37" t="n">
        <v>398211169</v>
      </c>
      <c r="B2010" s="38" t="n">
        <v>46287.6690740741</v>
      </c>
      <c r="C2010" s="37" t="s">
        <v>320</v>
      </c>
      <c r="D2010" s="37" t="s">
        <v>2121</v>
      </c>
      <c r="E2010" s="37" t="n">
        <v>20755010</v>
      </c>
      <c r="F2010" s="37" t="s">
        <v>139</v>
      </c>
      <c r="G2010" s="37" t="s">
        <v>198</v>
      </c>
      <c r="H2010" s="37" t="s">
        <v>171</v>
      </c>
      <c r="I2010" s="37" t="n">
        <v>52.3</v>
      </c>
      <c r="J2010" s="39" t="n">
        <v>699.99</v>
      </c>
      <c r="K2010" s="37" t="s">
        <v>322</v>
      </c>
      <c r="L2010" s="39" t="n">
        <v>114.5</v>
      </c>
      <c r="M2010" s="39" t="n">
        <v>79.81</v>
      </c>
      <c r="N2010" s="39" t="n">
        <f aca="false">J2010*Resumo!$C$7</f>
        <v>1.39998</v>
      </c>
      <c r="O2010" s="39" t="n">
        <f aca="false">J2010*Resumo!$C$8</f>
        <v>1.39998</v>
      </c>
      <c r="P2010" s="39" t="n">
        <f aca="false">Resumo!$C$10*CEILING(I2010/100,1)</f>
        <v>1</v>
      </c>
      <c r="Q2010" s="39" t="n">
        <f aca="false">Resumo!$C$9</f>
        <v>11.9</v>
      </c>
      <c r="R2010" s="39" t="n">
        <f aca="false">SUM(M2010:Q2010)*Resumo!$C$11</f>
        <v>5.2530478</v>
      </c>
      <c r="S2010" s="39" t="n">
        <f aca="false">SUM(M2010:R2010)</f>
        <v>100.7630078</v>
      </c>
      <c r="T2010" s="39" t="n">
        <f aca="false">S2010/(1-Resumo!$C$5)</f>
        <v>114.503417954545</v>
      </c>
      <c r="U2010" s="39" t="n">
        <v>112.3</v>
      </c>
      <c r="V2010" s="39" t="n">
        <f aca="false">J2010*Resumo!$B$6</f>
        <v>0.69999</v>
      </c>
      <c r="W2010" s="39" t="n">
        <f aca="false">J2010*Resumo!$B$7</f>
        <v>1.39998</v>
      </c>
      <c r="X2010" s="39" t="n">
        <f aca="false">Resumo!$B$9</f>
        <v>1</v>
      </c>
      <c r="Y2010" s="39" t="n">
        <f aca="false">Resumo!$B$10*CEILING(I2010/100,1)</f>
        <v>4.5</v>
      </c>
      <c r="Z2010" s="39" t="n">
        <f aca="false">Resumo!$B$12*CEILING(I2010,1)</f>
        <v>3.18</v>
      </c>
      <c r="AA2010" s="39" t="n">
        <f aca="false">Resumo!$B$13*CEILING(I2010,1)</f>
        <v>23.85</v>
      </c>
      <c r="AB2010" s="39" t="n">
        <f aca="false">SUM(U2010:AA2010)</f>
        <v>146.92997</v>
      </c>
      <c r="AC2010" s="39" t="n">
        <f aca="false">AB2010/(1-Resumo!$B$5)</f>
        <v>166.965875</v>
      </c>
      <c r="AD2010" s="39" t="n">
        <f aca="false">(AB2010-AA2010)/(1-Resumo!$B$5)</f>
        <v>139.863602272727</v>
      </c>
      <c r="AE2010" s="39" t="n">
        <f aca="false">AC2010-T2010</f>
        <v>52.4624570454545</v>
      </c>
      <c r="AF2010" s="40" t="n">
        <f aca="false">AC2010/T2010-1</f>
        <v>0.458173720772952</v>
      </c>
      <c r="AG2010" s="37" t="str">
        <f aca="false">IF(AC2010&lt;T2010,"SIM","NÃO")</f>
        <v>NÃO</v>
      </c>
      <c r="AH2010" s="37" t="n">
        <v>8</v>
      </c>
      <c r="AI2010" s="37" t="n">
        <v>5</v>
      </c>
      <c r="AJ2010" s="37" t="s">
        <v>323</v>
      </c>
    </row>
    <row r="2011" customFormat="false" ht="15" hidden="false" customHeight="false" outlineLevel="0" collapsed="false">
      <c r="A2011" s="37" t="n">
        <v>398217769</v>
      </c>
      <c r="B2011" s="38" t="n">
        <v>46287.6822569444</v>
      </c>
      <c r="C2011" s="37" t="s">
        <v>320</v>
      </c>
      <c r="D2011" s="37" t="s">
        <v>985</v>
      </c>
      <c r="E2011" s="37" t="n">
        <v>24425290</v>
      </c>
      <c r="F2011" s="37" t="s">
        <v>140</v>
      </c>
      <c r="G2011" s="37" t="s">
        <v>207</v>
      </c>
      <c r="H2011" s="37" t="s">
        <v>168</v>
      </c>
      <c r="I2011" s="37" t="n">
        <v>31</v>
      </c>
      <c r="J2011" s="39" t="n">
        <v>297.99</v>
      </c>
      <c r="K2011" s="37" t="s">
        <v>322</v>
      </c>
      <c r="L2011" s="39" t="n">
        <v>100.83</v>
      </c>
      <c r="M2011" s="39" t="n">
        <v>70</v>
      </c>
      <c r="N2011" s="39" t="n">
        <f aca="false">J2011*Resumo!$C$7</f>
        <v>0.59598</v>
      </c>
      <c r="O2011" s="39" t="n">
        <f aca="false">J2011*Resumo!$C$8</f>
        <v>0.59598</v>
      </c>
      <c r="P2011" s="39" t="n">
        <f aca="false">Resumo!$C$10*CEILING(I2011/100,1)</f>
        <v>1</v>
      </c>
      <c r="Q2011" s="39" t="n">
        <f aca="false">Resumo!$C$9</f>
        <v>11.9</v>
      </c>
      <c r="R2011" s="39" t="n">
        <f aca="false">SUM(M2011:Q2011)*Resumo!$C$11</f>
        <v>4.6250578</v>
      </c>
      <c r="S2011" s="39" t="n">
        <f aca="false">SUM(M2011:R2011)</f>
        <v>88.7170178</v>
      </c>
      <c r="T2011" s="39" t="n">
        <f aca="false">S2011/(1-Resumo!$C$5)</f>
        <v>100.814792954545</v>
      </c>
      <c r="U2011" s="39" t="n">
        <v>100.58</v>
      </c>
      <c r="V2011" s="39" t="n">
        <f aca="false">J2011*Resumo!$B$6</f>
        <v>0.29799</v>
      </c>
      <c r="W2011" s="39" t="n">
        <f aca="false">J2011*Resumo!$B$7</f>
        <v>0.59598</v>
      </c>
      <c r="X2011" s="39" t="n">
        <f aca="false">Resumo!$B$9</f>
        <v>1</v>
      </c>
      <c r="Y2011" s="39" t="n">
        <f aca="false">Resumo!$B$10*CEILING(I2011/100,1)</f>
        <v>4.5</v>
      </c>
      <c r="Z2011" s="39" t="n">
        <f aca="false">Resumo!$B$12*CEILING(I2011,1)</f>
        <v>1.86</v>
      </c>
      <c r="AA2011" s="39" t="n">
        <f aca="false">Resumo!$B$13*CEILING(I2011,1)</f>
        <v>13.95</v>
      </c>
      <c r="AB2011" s="39" t="n">
        <f aca="false">SUM(U2011:AA2011)</f>
        <v>122.78397</v>
      </c>
      <c r="AC2011" s="39" t="n">
        <f aca="false">AB2011/(1-Resumo!$B$5)</f>
        <v>139.527238636364</v>
      </c>
      <c r="AD2011" s="39" t="n">
        <f aca="false">(AB2011-AA2011)/(1-Resumo!$B$5)</f>
        <v>123.674965909091</v>
      </c>
      <c r="AE2011" s="39" t="n">
        <f aca="false">AC2011-T2011</f>
        <v>38.7124456818182</v>
      </c>
      <c r="AF2011" s="40" t="n">
        <f aca="false">AC2011/T2011-1</f>
        <v>0.383995687014628</v>
      </c>
      <c r="AG2011" s="37" t="str">
        <f aca="false">IF(AC2011&lt;T2011,"SIM","NÃO")</f>
        <v>NÃO</v>
      </c>
      <c r="AH2011" s="37" t="n">
        <v>10</v>
      </c>
      <c r="AI2011" s="37" t="n">
        <v>7</v>
      </c>
      <c r="AJ2011" s="37" t="s">
        <v>323</v>
      </c>
    </row>
    <row r="2012" customFormat="false" ht="15" hidden="false" customHeight="false" outlineLevel="0" collapsed="false">
      <c r="A2012" s="37" t="n">
        <v>398236163</v>
      </c>
      <c r="B2012" s="38" t="n">
        <v>46287.7195833333</v>
      </c>
      <c r="C2012" s="37" t="s">
        <v>320</v>
      </c>
      <c r="D2012" s="37" t="s">
        <v>2122</v>
      </c>
      <c r="E2012" s="37" t="n">
        <v>26086195</v>
      </c>
      <c r="F2012" s="37" t="s">
        <v>142</v>
      </c>
      <c r="G2012" s="37" t="s">
        <v>207</v>
      </c>
      <c r="H2012" s="37" t="s">
        <v>169</v>
      </c>
      <c r="I2012" s="37" t="n">
        <v>37.5</v>
      </c>
      <c r="J2012" s="39" t="n">
        <v>399.99</v>
      </c>
      <c r="K2012" s="37" t="s">
        <v>322</v>
      </c>
      <c r="L2012" s="39" t="n">
        <v>112.88</v>
      </c>
      <c r="M2012" s="39" t="n">
        <v>79.65</v>
      </c>
      <c r="N2012" s="39" t="n">
        <f aca="false">J2012*Resumo!$C$7</f>
        <v>0.79998</v>
      </c>
      <c r="O2012" s="39" t="n">
        <f aca="false">J2012*Resumo!$C$8</f>
        <v>0.79998</v>
      </c>
      <c r="P2012" s="39" t="n">
        <f aca="false">Resumo!$C$10*CEILING(I2012/100,1)</f>
        <v>1</v>
      </c>
      <c r="Q2012" s="39" t="n">
        <f aca="false">Resumo!$C$9</f>
        <v>11.9</v>
      </c>
      <c r="R2012" s="39" t="n">
        <f aca="false">SUM(M2012:Q2012)*Resumo!$C$11</f>
        <v>5.1782478</v>
      </c>
      <c r="S2012" s="39" t="n">
        <f aca="false">SUM(M2012:R2012)</f>
        <v>99.3282078</v>
      </c>
      <c r="T2012" s="39" t="n">
        <f aca="false">S2012/(1-Resumo!$C$5)</f>
        <v>112.872963409091</v>
      </c>
      <c r="U2012" s="39" t="n">
        <v>93.97</v>
      </c>
      <c r="V2012" s="39" t="n">
        <f aca="false">J2012*Resumo!$B$6</f>
        <v>0.39999</v>
      </c>
      <c r="W2012" s="39" t="n">
        <f aca="false">J2012*Resumo!$B$7</f>
        <v>0.79998</v>
      </c>
      <c r="X2012" s="39" t="n">
        <f aca="false">Resumo!$B$9</f>
        <v>1</v>
      </c>
      <c r="Y2012" s="39" t="n">
        <f aca="false">Resumo!$B$10*CEILING(I2012/100,1)</f>
        <v>4.5</v>
      </c>
      <c r="Z2012" s="39" t="n">
        <f aca="false">Resumo!$B$12*CEILING(I2012,1)</f>
        <v>2.28</v>
      </c>
      <c r="AA2012" s="39" t="n">
        <f aca="false">Resumo!$B$13*CEILING(I2012,1)</f>
        <v>17.1</v>
      </c>
      <c r="AB2012" s="39" t="n">
        <f aca="false">SUM(U2012:AA2012)</f>
        <v>120.04997</v>
      </c>
      <c r="AC2012" s="39" t="n">
        <f aca="false">AB2012/(1-Resumo!$B$5)</f>
        <v>136.420420454545</v>
      </c>
      <c r="AD2012" s="39" t="n">
        <f aca="false">(AB2012-AA2012)/(1-Resumo!$B$5)</f>
        <v>116.988602272727</v>
      </c>
      <c r="AE2012" s="39" t="n">
        <f aca="false">AC2012-T2012</f>
        <v>23.5474570454545</v>
      </c>
      <c r="AF2012" s="40" t="n">
        <f aca="false">AC2012/T2012-1</f>
        <v>0.208619108901308</v>
      </c>
      <c r="AG2012" s="37" t="str">
        <f aca="false">IF(AC2012&lt;T2012,"SIM","NÃO")</f>
        <v>NÃO</v>
      </c>
      <c r="AH2012" s="37" t="n">
        <v>10</v>
      </c>
      <c r="AI2012" s="37" t="n">
        <v>5</v>
      </c>
      <c r="AJ2012" s="37" t="s">
        <v>323</v>
      </c>
    </row>
    <row r="2013" customFormat="false" ht="15" hidden="false" customHeight="false" outlineLevel="0" collapsed="false">
      <c r="A2013" s="37" t="n">
        <v>398238291</v>
      </c>
      <c r="B2013" s="38" t="n">
        <v>46287.7236226852</v>
      </c>
      <c r="C2013" s="37" t="s">
        <v>325</v>
      </c>
      <c r="D2013" s="37" t="s">
        <v>2123</v>
      </c>
      <c r="E2013" s="37" t="n">
        <v>28804254</v>
      </c>
      <c r="F2013" s="37" t="s">
        <v>274</v>
      </c>
      <c r="G2013" s="37" t="s">
        <v>201</v>
      </c>
      <c r="H2013" s="37" t="s">
        <v>168</v>
      </c>
      <c r="I2013" s="37" t="n">
        <v>22.04</v>
      </c>
      <c r="J2013" s="39" t="n">
        <v>272.33</v>
      </c>
      <c r="K2013" s="37" t="s">
        <v>322</v>
      </c>
      <c r="L2013" s="39" t="n">
        <v>108.48</v>
      </c>
      <c r="M2013" s="39" t="n">
        <v>76.5</v>
      </c>
      <c r="N2013" s="39" t="n">
        <f aca="false">J2013*Resumo!$C$7</f>
        <v>0.54466</v>
      </c>
      <c r="O2013" s="39" t="n">
        <f aca="false">J2013*Resumo!$C$8</f>
        <v>0.54466</v>
      </c>
      <c r="P2013" s="39" t="n">
        <f aca="false">Resumo!$C$10*CEILING(I2013/100,1)</f>
        <v>1</v>
      </c>
      <c r="Q2013" s="39" t="n">
        <f aca="false">Resumo!$C$9</f>
        <v>11.9</v>
      </c>
      <c r="R2013" s="39" t="n">
        <f aca="false">SUM(M2013:Q2013)*Resumo!$C$11</f>
        <v>4.9769126</v>
      </c>
      <c r="S2013" s="39" t="n">
        <f aca="false">SUM(M2013:R2013)</f>
        <v>95.4662326</v>
      </c>
      <c r="T2013" s="39" t="n">
        <f aca="false">S2013/(1-Resumo!$C$5)</f>
        <v>108.484355227273</v>
      </c>
      <c r="U2013" s="39" t="n">
        <v>100.58</v>
      </c>
      <c r="V2013" s="39" t="n">
        <f aca="false">J2013*Resumo!$B$6</f>
        <v>0.27233</v>
      </c>
      <c r="W2013" s="39" t="n">
        <f aca="false">J2013*Resumo!$B$7</f>
        <v>0.54466</v>
      </c>
      <c r="X2013" s="39" t="n">
        <f aca="false">Resumo!$B$9</f>
        <v>1</v>
      </c>
      <c r="Y2013" s="39" t="n">
        <f aca="false">Resumo!$B$10*CEILING(I2013/100,1)</f>
        <v>4.5</v>
      </c>
      <c r="Z2013" s="39" t="n">
        <f aca="false">Resumo!$B$12*CEILING(I2013,1)</f>
        <v>1.38</v>
      </c>
      <c r="AA2013" s="39" t="n">
        <f aca="false">Resumo!$B$13*CEILING(I2013,1)</f>
        <v>10.35</v>
      </c>
      <c r="AB2013" s="39" t="n">
        <f aca="false">SUM(U2013:AA2013)</f>
        <v>118.62699</v>
      </c>
      <c r="AC2013" s="39" t="n">
        <f aca="false">AB2013/(1-Resumo!$B$5)</f>
        <v>134.803397727273</v>
      </c>
      <c r="AD2013" s="39" t="n">
        <f aca="false">(AB2013-AA2013)/(1-Resumo!$B$5)</f>
        <v>123.042034090909</v>
      </c>
      <c r="AE2013" s="39" t="n">
        <f aca="false">AC2013-T2013</f>
        <v>26.3190425</v>
      </c>
      <c r="AF2013" s="40" t="n">
        <f aca="false">AC2013/T2013-1</f>
        <v>0.242606802103972</v>
      </c>
      <c r="AG2013" s="37" t="str">
        <f aca="false">IF(AC2013&lt;T2013,"SIM","NÃO")</f>
        <v>NÃO</v>
      </c>
      <c r="AH2013" s="37" t="n">
        <v>13</v>
      </c>
      <c r="AI2013" s="37" t="n">
        <v>7</v>
      </c>
      <c r="AJ2013" s="37" t="s">
        <v>327</v>
      </c>
    </row>
    <row r="2014" customFormat="false" ht="15" hidden="false" customHeight="false" outlineLevel="0" collapsed="false">
      <c r="A2014" s="37" t="n">
        <v>398253167</v>
      </c>
      <c r="B2014" s="38" t="n">
        <v>46287.7556828704</v>
      </c>
      <c r="C2014" s="37" t="s">
        <v>320</v>
      </c>
      <c r="D2014" s="37" t="s">
        <v>868</v>
      </c>
      <c r="E2014" s="37" t="n">
        <v>28360000</v>
      </c>
      <c r="F2014" s="37" t="s">
        <v>250</v>
      </c>
      <c r="G2014" s="37" t="s">
        <v>201</v>
      </c>
      <c r="H2014" s="37" t="s">
        <v>169</v>
      </c>
      <c r="I2014" s="37" t="n">
        <v>40</v>
      </c>
      <c r="J2014" s="39" t="n">
        <v>487.99</v>
      </c>
      <c r="K2014" s="37" t="s">
        <v>322</v>
      </c>
      <c r="L2014" s="39" t="n">
        <v>122.59</v>
      </c>
      <c r="M2014" s="39" t="n">
        <v>87.4</v>
      </c>
      <c r="N2014" s="39" t="n">
        <f aca="false">J2014*Resumo!$C$7</f>
        <v>0.97598</v>
      </c>
      <c r="O2014" s="39" t="n">
        <f aca="false">J2014*Resumo!$C$8</f>
        <v>0.97598</v>
      </c>
      <c r="P2014" s="39" t="n">
        <f aca="false">Resumo!$C$10*CEILING(I2014/100,1)</f>
        <v>1</v>
      </c>
      <c r="Q2014" s="39" t="n">
        <f aca="false">Resumo!$C$9</f>
        <v>11.9</v>
      </c>
      <c r="R2014" s="39" t="n">
        <f aca="false">SUM(M2014:Q2014)*Resumo!$C$11</f>
        <v>5.6238578</v>
      </c>
      <c r="S2014" s="39" t="n">
        <f aca="false">SUM(M2014:R2014)</f>
        <v>107.8758178</v>
      </c>
      <c r="T2014" s="39" t="n">
        <f aca="false">S2014/(1-Resumo!$C$5)</f>
        <v>122.586156590909</v>
      </c>
      <c r="U2014" s="39" t="n">
        <v>143.04</v>
      </c>
      <c r="V2014" s="39" t="n">
        <f aca="false">J2014*Resumo!$B$6</f>
        <v>0.48799</v>
      </c>
      <c r="W2014" s="39" t="n">
        <f aca="false">J2014*Resumo!$B$7</f>
        <v>0.97598</v>
      </c>
      <c r="X2014" s="39" t="n">
        <f aca="false">Resumo!$B$9</f>
        <v>1</v>
      </c>
      <c r="Y2014" s="39" t="n">
        <f aca="false">Resumo!$B$10*CEILING(I2014/100,1)</f>
        <v>4.5</v>
      </c>
      <c r="Z2014" s="39" t="n">
        <f aca="false">Resumo!$B$12*CEILING(I2014,1)</f>
        <v>2.4</v>
      </c>
      <c r="AA2014" s="39" t="n">
        <f aca="false">Resumo!$B$13*CEILING(I2014,1)</f>
        <v>18</v>
      </c>
      <c r="AB2014" s="39" t="n">
        <f aca="false">SUM(U2014:AA2014)</f>
        <v>170.40397</v>
      </c>
      <c r="AC2014" s="39" t="n">
        <f aca="false">AB2014/(1-Resumo!$B$5)</f>
        <v>193.640875</v>
      </c>
      <c r="AD2014" s="39" t="n">
        <f aca="false">(AB2014-AA2014)/(1-Resumo!$B$5)</f>
        <v>173.186329545455</v>
      </c>
      <c r="AE2014" s="39" t="n">
        <f aca="false">AC2014-T2014</f>
        <v>71.0547184090909</v>
      </c>
      <c r="AF2014" s="40" t="n">
        <f aca="false">AC2014/T2014-1</f>
        <v>0.579630852170467</v>
      </c>
      <c r="AG2014" s="37" t="str">
        <f aca="false">IF(AC2014&lt;T2014,"SIM","NÃO")</f>
        <v>NÃO</v>
      </c>
      <c r="AH2014" s="37" t="n">
        <v>13</v>
      </c>
      <c r="AI2014" s="37" t="n">
        <v>11</v>
      </c>
      <c r="AJ2014" s="37" t="s">
        <v>327</v>
      </c>
    </row>
    <row r="2015" customFormat="false" ht="15" hidden="false" customHeight="false" outlineLevel="0" collapsed="false">
      <c r="A2015" s="37" t="n">
        <v>398288231</v>
      </c>
      <c r="B2015" s="38" t="n">
        <v>46287.8164583333</v>
      </c>
      <c r="C2015" s="37" t="s">
        <v>325</v>
      </c>
      <c r="D2015" s="37" t="s">
        <v>1963</v>
      </c>
      <c r="E2015" s="37" t="n">
        <v>21755380</v>
      </c>
      <c r="F2015" s="37" t="s">
        <v>139</v>
      </c>
      <c r="G2015" s="37" t="s">
        <v>198</v>
      </c>
      <c r="H2015" s="37" t="s">
        <v>168</v>
      </c>
      <c r="I2015" s="37" t="n">
        <v>27.5</v>
      </c>
      <c r="J2015" s="39" t="n">
        <v>343.52</v>
      </c>
      <c r="K2015" s="37" t="s">
        <v>322</v>
      </c>
      <c r="L2015" s="39" t="n">
        <v>81.98</v>
      </c>
      <c r="M2015" s="39" t="n">
        <v>54.1</v>
      </c>
      <c r="N2015" s="39" t="n">
        <f aca="false">J2015*Resumo!$C$7</f>
        <v>0.68704</v>
      </c>
      <c r="O2015" s="39" t="n">
        <f aca="false">J2015*Resumo!$C$8</f>
        <v>0.68704</v>
      </c>
      <c r="P2015" s="39" t="n">
        <f aca="false">Resumo!$C$10*CEILING(I2015/100,1)</f>
        <v>1</v>
      </c>
      <c r="Q2015" s="39" t="n">
        <f aca="false">Resumo!$C$9</f>
        <v>11.9</v>
      </c>
      <c r="R2015" s="39" t="n">
        <f aca="false">SUM(M2015:Q2015)*Resumo!$C$11</f>
        <v>3.7605744</v>
      </c>
      <c r="S2015" s="39" t="n">
        <f aca="false">SUM(M2015:R2015)</f>
        <v>72.1346544</v>
      </c>
      <c r="T2015" s="39" t="n">
        <f aca="false">S2015/(1-Resumo!$C$5)</f>
        <v>81.9711981818182</v>
      </c>
      <c r="U2015" s="39" t="n">
        <v>82.21</v>
      </c>
      <c r="V2015" s="39" t="n">
        <f aca="false">J2015*Resumo!$B$6</f>
        <v>0.34352</v>
      </c>
      <c r="W2015" s="39" t="n">
        <f aca="false">J2015*Resumo!$B$7</f>
        <v>0.68704</v>
      </c>
      <c r="X2015" s="39" t="n">
        <f aca="false">Resumo!$B$9</f>
        <v>1</v>
      </c>
      <c r="Y2015" s="39" t="n">
        <f aca="false">Resumo!$B$10*CEILING(I2015/100,1)</f>
        <v>4.5</v>
      </c>
      <c r="Z2015" s="39" t="n">
        <f aca="false">Resumo!$B$12*CEILING(I2015,1)</f>
        <v>1.68</v>
      </c>
      <c r="AA2015" s="39" t="n">
        <f aca="false">Resumo!$B$13*CEILING(I2015,1)</f>
        <v>12.6</v>
      </c>
      <c r="AB2015" s="39" t="n">
        <f aca="false">SUM(U2015:AA2015)</f>
        <v>103.02056</v>
      </c>
      <c r="AC2015" s="39" t="n">
        <f aca="false">AB2015/(1-Resumo!$B$5)</f>
        <v>117.068818181818</v>
      </c>
      <c r="AD2015" s="39" t="n">
        <f aca="false">(AB2015-AA2015)/(1-Resumo!$B$5)</f>
        <v>102.750636363636</v>
      </c>
      <c r="AE2015" s="39" t="n">
        <f aca="false">AC2015-T2015</f>
        <v>35.09762</v>
      </c>
      <c r="AF2015" s="40" t="n">
        <f aca="false">AC2015/T2015-1</f>
        <v>0.428170147301628</v>
      </c>
      <c r="AG2015" s="37" t="str">
        <f aca="false">IF(AC2015&lt;T2015,"SIM","NÃO")</f>
        <v>NÃO</v>
      </c>
      <c r="AH2015" s="37" t="n">
        <v>8</v>
      </c>
      <c r="AI2015" s="37" t="n">
        <v>5</v>
      </c>
      <c r="AJ2015" s="37" t="s">
        <v>323</v>
      </c>
    </row>
    <row r="2016" customFormat="false" ht="15" hidden="false" customHeight="false" outlineLevel="0" collapsed="false">
      <c r="A2016" s="37" t="n">
        <v>398296492</v>
      </c>
      <c r="B2016" s="38" t="n">
        <v>46287.8327199074</v>
      </c>
      <c r="C2016" s="37" t="s">
        <v>320</v>
      </c>
      <c r="D2016" s="37" t="s">
        <v>2124</v>
      </c>
      <c r="E2016" s="37" t="n">
        <v>23057700</v>
      </c>
      <c r="F2016" s="37" t="s">
        <v>139</v>
      </c>
      <c r="G2016" s="37" t="s">
        <v>198</v>
      </c>
      <c r="H2016" s="37" t="s">
        <v>168</v>
      </c>
      <c r="I2016" s="37" t="n">
        <v>30.5</v>
      </c>
      <c r="J2016" s="39" t="n">
        <v>406.6</v>
      </c>
      <c r="K2016" s="37" t="s">
        <v>322</v>
      </c>
      <c r="L2016" s="39" t="n">
        <v>82.26</v>
      </c>
      <c r="M2016" s="39" t="n">
        <v>54.1</v>
      </c>
      <c r="N2016" s="39" t="n">
        <f aca="false">J2016*Resumo!$C$7</f>
        <v>0.8132</v>
      </c>
      <c r="O2016" s="39" t="n">
        <f aca="false">J2016*Resumo!$C$8</f>
        <v>0.8132</v>
      </c>
      <c r="P2016" s="39" t="n">
        <f aca="false">Resumo!$C$10*CEILING(I2016/100,1)</f>
        <v>1</v>
      </c>
      <c r="Q2016" s="39" t="n">
        <f aca="false">Resumo!$C$9</f>
        <v>11.9</v>
      </c>
      <c r="R2016" s="39" t="n">
        <f aca="false">SUM(M2016:Q2016)*Resumo!$C$11</f>
        <v>3.774452</v>
      </c>
      <c r="S2016" s="39" t="n">
        <f aca="false">SUM(M2016:R2016)</f>
        <v>72.400852</v>
      </c>
      <c r="T2016" s="39" t="n">
        <f aca="false">S2016/(1-Resumo!$C$5)</f>
        <v>82.2736954545455</v>
      </c>
      <c r="U2016" s="39" t="n">
        <v>82.21</v>
      </c>
      <c r="V2016" s="39" t="n">
        <f aca="false">J2016*Resumo!$B$6</f>
        <v>0.4066</v>
      </c>
      <c r="W2016" s="39" t="n">
        <f aca="false">J2016*Resumo!$B$7</f>
        <v>0.8132</v>
      </c>
      <c r="X2016" s="39" t="n">
        <f aca="false">Resumo!$B$9</f>
        <v>1</v>
      </c>
      <c r="Y2016" s="39" t="n">
        <f aca="false">Resumo!$B$10*CEILING(I2016/100,1)</f>
        <v>4.5</v>
      </c>
      <c r="Z2016" s="39" t="n">
        <f aca="false">Resumo!$B$12*CEILING(I2016,1)</f>
        <v>1.86</v>
      </c>
      <c r="AA2016" s="39" t="n">
        <f aca="false">Resumo!$B$13*CEILING(I2016,1)</f>
        <v>13.95</v>
      </c>
      <c r="AB2016" s="39" t="n">
        <f aca="false">SUM(U2016:AA2016)</f>
        <v>104.7398</v>
      </c>
      <c r="AC2016" s="39" t="n">
        <f aca="false">AB2016/(1-Resumo!$B$5)</f>
        <v>119.0225</v>
      </c>
      <c r="AD2016" s="39" t="n">
        <f aca="false">(AB2016-AA2016)/(1-Resumo!$B$5)</f>
        <v>103.170227272727</v>
      </c>
      <c r="AE2016" s="39" t="n">
        <f aca="false">AC2016-T2016</f>
        <v>36.7488045454546</v>
      </c>
      <c r="AF2016" s="40" t="n">
        <f aca="false">AC2016/T2016-1</f>
        <v>0.446665296148725</v>
      </c>
      <c r="AG2016" s="37" t="str">
        <f aca="false">IF(AC2016&lt;T2016,"SIM","NÃO")</f>
        <v>NÃO</v>
      </c>
      <c r="AH2016" s="37" t="n">
        <v>8</v>
      </c>
      <c r="AI2016" s="37" t="n">
        <v>5</v>
      </c>
      <c r="AJ2016" s="37" t="s">
        <v>323</v>
      </c>
    </row>
    <row r="2017" customFormat="false" ht="15" hidden="false" customHeight="false" outlineLevel="0" collapsed="false">
      <c r="A2017" s="37" t="n">
        <v>398306012</v>
      </c>
      <c r="B2017" s="38" t="n">
        <v>46287.8519675926</v>
      </c>
      <c r="C2017" s="37" t="s">
        <v>325</v>
      </c>
      <c r="D2017" s="37" t="s">
        <v>2125</v>
      </c>
      <c r="E2017" s="37" t="n">
        <v>23082350</v>
      </c>
      <c r="F2017" s="37" t="s">
        <v>139</v>
      </c>
      <c r="G2017" s="37" t="s">
        <v>198</v>
      </c>
      <c r="H2017" s="37" t="s">
        <v>169</v>
      </c>
      <c r="I2017" s="37" t="n">
        <v>36.8</v>
      </c>
      <c r="J2017" s="39" t="n">
        <v>469.99</v>
      </c>
      <c r="K2017" s="37" t="s">
        <v>322</v>
      </c>
      <c r="L2017" s="39" t="n">
        <v>92.11</v>
      </c>
      <c r="M2017" s="39" t="n">
        <v>62.05</v>
      </c>
      <c r="N2017" s="39" t="n">
        <f aca="false">J2017*Resumo!$C$7</f>
        <v>0.93998</v>
      </c>
      <c r="O2017" s="39" t="n">
        <f aca="false">J2017*Resumo!$C$8</f>
        <v>0.93998</v>
      </c>
      <c r="P2017" s="39" t="n">
        <f aca="false">Resumo!$C$10*CEILING(I2017/100,1)</f>
        <v>1</v>
      </c>
      <c r="Q2017" s="39" t="n">
        <f aca="false">Resumo!$C$9</f>
        <v>11.9</v>
      </c>
      <c r="R2017" s="39" t="n">
        <f aca="false">SUM(M2017:Q2017)*Resumo!$C$11</f>
        <v>4.2256478</v>
      </c>
      <c r="S2017" s="39" t="n">
        <f aca="false">SUM(M2017:R2017)</f>
        <v>81.0556078</v>
      </c>
      <c r="T2017" s="39" t="n">
        <f aca="false">S2017/(1-Resumo!$C$5)</f>
        <v>92.1086452272727</v>
      </c>
      <c r="U2017" s="39" t="n">
        <v>93.97</v>
      </c>
      <c r="V2017" s="39" t="n">
        <f aca="false">J2017*Resumo!$B$6</f>
        <v>0.46999</v>
      </c>
      <c r="W2017" s="39" t="n">
        <f aca="false">J2017*Resumo!$B$7</f>
        <v>0.93998</v>
      </c>
      <c r="X2017" s="39" t="n">
        <f aca="false">Resumo!$B$9</f>
        <v>1</v>
      </c>
      <c r="Y2017" s="39" t="n">
        <f aca="false">Resumo!$B$10*CEILING(I2017/100,1)</f>
        <v>4.5</v>
      </c>
      <c r="Z2017" s="39" t="n">
        <f aca="false">Resumo!$B$12*CEILING(I2017,1)</f>
        <v>2.22</v>
      </c>
      <c r="AA2017" s="39" t="n">
        <f aca="false">Resumo!$B$13*CEILING(I2017,1)</f>
        <v>16.65</v>
      </c>
      <c r="AB2017" s="39" t="n">
        <f aca="false">SUM(U2017:AA2017)</f>
        <v>119.74997</v>
      </c>
      <c r="AC2017" s="39" t="n">
        <f aca="false">AB2017/(1-Resumo!$B$5)</f>
        <v>136.079511363636</v>
      </c>
      <c r="AD2017" s="39" t="n">
        <f aca="false">(AB2017-AA2017)/(1-Resumo!$B$5)</f>
        <v>117.159056818182</v>
      </c>
      <c r="AE2017" s="39" t="n">
        <f aca="false">AC2017-T2017</f>
        <v>43.9708661363636</v>
      </c>
      <c r="AF2017" s="40" t="n">
        <f aca="false">AC2017/T2017-1</f>
        <v>0.477380445970821</v>
      </c>
      <c r="AG2017" s="37" t="str">
        <f aca="false">IF(AC2017&lt;T2017,"SIM","NÃO")</f>
        <v>NÃO</v>
      </c>
      <c r="AH2017" s="37" t="n">
        <v>8</v>
      </c>
      <c r="AI2017" s="37" t="n">
        <v>5</v>
      </c>
      <c r="AJ2017" s="37" t="s">
        <v>323</v>
      </c>
    </row>
    <row r="2018" customFormat="false" ht="15" hidden="false" customHeight="false" outlineLevel="0" collapsed="false">
      <c r="A2018" s="37" t="n">
        <v>398309939</v>
      </c>
      <c r="B2018" s="38" t="n">
        <v>46287.8618634259</v>
      </c>
      <c r="C2018" s="37" t="s">
        <v>355</v>
      </c>
      <c r="D2018" s="37" t="s">
        <v>466</v>
      </c>
      <c r="E2018" s="37" t="n">
        <v>22765240</v>
      </c>
      <c r="F2018" s="37" t="s">
        <v>139</v>
      </c>
      <c r="G2018" s="37" t="s">
        <v>198</v>
      </c>
      <c r="H2018" s="37" t="s">
        <v>169</v>
      </c>
      <c r="I2018" s="37" t="n">
        <v>35.4</v>
      </c>
      <c r="J2018" s="39" t="n">
        <v>539.99</v>
      </c>
      <c r="K2018" s="37" t="s">
        <v>322</v>
      </c>
      <c r="L2018" s="39" t="n">
        <v>92.44</v>
      </c>
      <c r="M2018" s="39" t="n">
        <v>62.05</v>
      </c>
      <c r="N2018" s="39" t="n">
        <f aca="false">J2018*Resumo!$C$7</f>
        <v>1.07998</v>
      </c>
      <c r="O2018" s="39" t="n">
        <f aca="false">J2018*Resumo!$C$8</f>
        <v>1.07998</v>
      </c>
      <c r="P2018" s="39" t="n">
        <f aca="false">Resumo!$C$10*CEILING(I2018/100,1)</f>
        <v>1</v>
      </c>
      <c r="Q2018" s="39" t="n">
        <f aca="false">Resumo!$C$9</f>
        <v>11.9</v>
      </c>
      <c r="R2018" s="39" t="n">
        <f aca="false">SUM(M2018:Q2018)*Resumo!$C$11</f>
        <v>4.2410478</v>
      </c>
      <c r="S2018" s="39" t="n">
        <f aca="false">SUM(M2018:R2018)</f>
        <v>81.3510078</v>
      </c>
      <c r="T2018" s="39" t="n">
        <f aca="false">S2018/(1-Resumo!$C$5)</f>
        <v>92.4443270454546</v>
      </c>
      <c r="U2018" s="39" t="n">
        <v>93.97</v>
      </c>
      <c r="V2018" s="39" t="n">
        <f aca="false">J2018*Resumo!$B$6</f>
        <v>0.53999</v>
      </c>
      <c r="W2018" s="39" t="n">
        <f aca="false">J2018*Resumo!$B$7</f>
        <v>1.07998</v>
      </c>
      <c r="X2018" s="39" t="n">
        <f aca="false">Resumo!$B$9</f>
        <v>1</v>
      </c>
      <c r="Y2018" s="39" t="n">
        <f aca="false">Resumo!$B$10*CEILING(I2018/100,1)</f>
        <v>4.5</v>
      </c>
      <c r="Z2018" s="39" t="n">
        <f aca="false">Resumo!$B$12*CEILING(I2018,1)</f>
        <v>2.16</v>
      </c>
      <c r="AA2018" s="39" t="n">
        <f aca="false">Resumo!$B$13*CEILING(I2018,1)</f>
        <v>16.2</v>
      </c>
      <c r="AB2018" s="39" t="n">
        <f aca="false">SUM(U2018:AA2018)</f>
        <v>119.44997</v>
      </c>
      <c r="AC2018" s="39" t="n">
        <f aca="false">AB2018/(1-Resumo!$B$5)</f>
        <v>135.738602272727</v>
      </c>
      <c r="AD2018" s="39" t="n">
        <f aca="false">(AB2018-AA2018)/(1-Resumo!$B$5)</f>
        <v>117.329511363636</v>
      </c>
      <c r="AE2018" s="39" t="n">
        <f aca="false">AC2018-T2018</f>
        <v>43.2942752272727</v>
      </c>
      <c r="AF2018" s="40" t="n">
        <f aca="false">AC2018/T2018-1</f>
        <v>0.468328091197906</v>
      </c>
      <c r="AG2018" s="37" t="str">
        <f aca="false">IF(AC2018&lt;T2018,"SIM","NÃO")</f>
        <v>NÃO</v>
      </c>
      <c r="AH2018" s="37" t="n">
        <v>8</v>
      </c>
      <c r="AI2018" s="37" t="n">
        <v>5</v>
      </c>
      <c r="AJ2018" s="37" t="s">
        <v>323</v>
      </c>
    </row>
    <row r="2019" customFormat="false" ht="15" hidden="false" customHeight="false" outlineLevel="0" collapsed="false">
      <c r="A2019" s="37" t="n">
        <v>398317590</v>
      </c>
      <c r="B2019" s="38" t="n">
        <v>46287.8776736111</v>
      </c>
      <c r="C2019" s="37" t="s">
        <v>320</v>
      </c>
      <c r="D2019" s="37" t="s">
        <v>2126</v>
      </c>
      <c r="E2019" s="37" t="n">
        <v>21843780</v>
      </c>
      <c r="F2019" s="37" t="s">
        <v>139</v>
      </c>
      <c r="G2019" s="37" t="s">
        <v>198</v>
      </c>
      <c r="H2019" s="37" t="s">
        <v>168</v>
      </c>
      <c r="I2019" s="37" t="n">
        <v>33.3</v>
      </c>
      <c r="J2019" s="39" t="n">
        <v>389.99</v>
      </c>
      <c r="K2019" s="37" t="s">
        <v>322</v>
      </c>
      <c r="L2019" s="39" t="n">
        <v>82.19</v>
      </c>
      <c r="M2019" s="39" t="n">
        <v>54.1</v>
      </c>
      <c r="N2019" s="39" t="n">
        <f aca="false">J2019*Resumo!$C$7</f>
        <v>0.77998</v>
      </c>
      <c r="O2019" s="39" t="n">
        <f aca="false">J2019*Resumo!$C$8</f>
        <v>0.77998</v>
      </c>
      <c r="P2019" s="39" t="n">
        <f aca="false">Resumo!$C$10*CEILING(I2019/100,1)</f>
        <v>1</v>
      </c>
      <c r="Q2019" s="39" t="n">
        <f aca="false">Resumo!$C$9</f>
        <v>11.9</v>
      </c>
      <c r="R2019" s="39" t="n">
        <f aca="false">SUM(M2019:Q2019)*Resumo!$C$11</f>
        <v>3.7707978</v>
      </c>
      <c r="S2019" s="39" t="n">
        <f aca="false">SUM(M2019:R2019)</f>
        <v>72.3307578</v>
      </c>
      <c r="T2019" s="39" t="n">
        <f aca="false">S2019/(1-Resumo!$C$5)</f>
        <v>82.1940429545455</v>
      </c>
      <c r="U2019" s="39" t="n">
        <v>82.21</v>
      </c>
      <c r="V2019" s="39" t="n">
        <f aca="false">J2019*Resumo!$B$6</f>
        <v>0.38999</v>
      </c>
      <c r="W2019" s="39" t="n">
        <f aca="false">J2019*Resumo!$B$7</f>
        <v>0.77998</v>
      </c>
      <c r="X2019" s="39" t="n">
        <f aca="false">Resumo!$B$9</f>
        <v>1</v>
      </c>
      <c r="Y2019" s="39" t="n">
        <f aca="false">Resumo!$B$10*CEILING(I2019/100,1)</f>
        <v>4.5</v>
      </c>
      <c r="Z2019" s="39" t="n">
        <f aca="false">Resumo!$B$12*CEILING(I2019,1)</f>
        <v>2.04</v>
      </c>
      <c r="AA2019" s="39" t="n">
        <f aca="false">Resumo!$B$13*CEILING(I2019,1)</f>
        <v>15.3</v>
      </c>
      <c r="AB2019" s="39" t="n">
        <f aca="false">SUM(U2019:AA2019)</f>
        <v>106.21997</v>
      </c>
      <c r="AC2019" s="39" t="n">
        <f aca="false">AB2019/(1-Resumo!$B$5)</f>
        <v>120.704511363636</v>
      </c>
      <c r="AD2019" s="39" t="n">
        <f aca="false">(AB2019-AA2019)/(1-Resumo!$B$5)</f>
        <v>103.318147727273</v>
      </c>
      <c r="AE2019" s="39" t="n">
        <f aca="false">AC2019-T2019</f>
        <v>38.5104684090909</v>
      </c>
      <c r="AF2019" s="40" t="n">
        <f aca="false">AC2019/T2019-1</f>
        <v>0.468531137109143</v>
      </c>
      <c r="AG2019" s="37" t="str">
        <f aca="false">IF(AC2019&lt;T2019,"SIM","NÃO")</f>
        <v>NÃO</v>
      </c>
      <c r="AH2019" s="37" t="n">
        <v>8</v>
      </c>
      <c r="AI2019" s="37" t="n">
        <v>5</v>
      </c>
      <c r="AJ2019" s="37" t="s">
        <v>323</v>
      </c>
    </row>
    <row r="2020" customFormat="false" ht="15" hidden="false" customHeight="false" outlineLevel="0" collapsed="false">
      <c r="A2020" s="37" t="n">
        <v>398323895</v>
      </c>
      <c r="B2020" s="38" t="n">
        <v>46287.8911458333</v>
      </c>
      <c r="C2020" s="37" t="s">
        <v>325</v>
      </c>
      <c r="D2020" s="37" t="s">
        <v>2127</v>
      </c>
      <c r="E2020" s="37" t="n">
        <v>22620172</v>
      </c>
      <c r="F2020" s="37" t="s">
        <v>139</v>
      </c>
      <c r="G2020" s="37" t="s">
        <v>198</v>
      </c>
      <c r="H2020" s="37" t="s">
        <v>168</v>
      </c>
      <c r="I2020" s="37" t="n">
        <v>22.6</v>
      </c>
      <c r="J2020" s="39" t="n">
        <v>460</v>
      </c>
      <c r="K2020" s="37" t="s">
        <v>322</v>
      </c>
      <c r="L2020" s="39" t="n">
        <v>82.53</v>
      </c>
      <c r="M2020" s="39" t="n">
        <v>54.1</v>
      </c>
      <c r="N2020" s="39" t="n">
        <f aca="false">J2020*Resumo!$C$7</f>
        <v>0.92</v>
      </c>
      <c r="O2020" s="39" t="n">
        <f aca="false">J2020*Resumo!$C$8</f>
        <v>0.92</v>
      </c>
      <c r="P2020" s="39" t="n">
        <f aca="false">Resumo!$C$10*CEILING(I2020/100,1)</f>
        <v>1</v>
      </c>
      <c r="Q2020" s="39" t="n">
        <f aca="false">Resumo!$C$9</f>
        <v>11.9</v>
      </c>
      <c r="R2020" s="39" t="n">
        <f aca="false">SUM(M2020:Q2020)*Resumo!$C$11</f>
        <v>3.7862</v>
      </c>
      <c r="S2020" s="39" t="n">
        <f aca="false">SUM(M2020:R2020)</f>
        <v>72.6262</v>
      </c>
      <c r="T2020" s="39" t="n">
        <f aca="false">S2020/(1-Resumo!$C$5)</f>
        <v>82.5297727272727</v>
      </c>
      <c r="U2020" s="39" t="n">
        <v>82.21</v>
      </c>
      <c r="V2020" s="39" t="n">
        <f aca="false">J2020*Resumo!$B$6</f>
        <v>0.46</v>
      </c>
      <c r="W2020" s="39" t="n">
        <f aca="false">J2020*Resumo!$B$7</f>
        <v>0.92</v>
      </c>
      <c r="X2020" s="39" t="n">
        <f aca="false">Resumo!$B$9</f>
        <v>1</v>
      </c>
      <c r="Y2020" s="39" t="n">
        <f aca="false">Resumo!$B$10*CEILING(I2020/100,1)</f>
        <v>4.5</v>
      </c>
      <c r="Z2020" s="39" t="n">
        <f aca="false">Resumo!$B$12*CEILING(I2020,1)</f>
        <v>1.38</v>
      </c>
      <c r="AA2020" s="39" t="n">
        <f aca="false">Resumo!$B$13*CEILING(I2020,1)</f>
        <v>10.35</v>
      </c>
      <c r="AB2020" s="39" t="n">
        <f aca="false">SUM(U2020:AA2020)</f>
        <v>100.82</v>
      </c>
      <c r="AC2020" s="39" t="n">
        <f aca="false">AB2020/(1-Resumo!$B$5)</f>
        <v>114.568181818182</v>
      </c>
      <c r="AD2020" s="39" t="n">
        <f aca="false">(AB2020-AA2020)/(1-Resumo!$B$5)</f>
        <v>102.806818181818</v>
      </c>
      <c r="AE2020" s="39" t="n">
        <f aca="false">AC2020-T2020</f>
        <v>32.0384090909091</v>
      </c>
      <c r="AF2020" s="40" t="n">
        <f aca="false">AC2020/T2020-1</f>
        <v>0.388204256865979</v>
      </c>
      <c r="AG2020" s="37" t="str">
        <f aca="false">IF(AC2020&lt;T2020,"SIM","NÃO")</f>
        <v>NÃO</v>
      </c>
      <c r="AH2020" s="37" t="n">
        <v>8</v>
      </c>
      <c r="AI2020" s="37" t="n">
        <v>5</v>
      </c>
      <c r="AJ2020" s="37" t="s">
        <v>323</v>
      </c>
    </row>
    <row r="2021" customFormat="false" ht="15" hidden="false" customHeight="false" outlineLevel="0" collapsed="false">
      <c r="A2021" s="37" t="n">
        <v>398328489</v>
      </c>
      <c r="B2021" s="38" t="n">
        <v>46287.9007175926</v>
      </c>
      <c r="C2021" s="37" t="s">
        <v>320</v>
      </c>
      <c r="D2021" s="37" t="s">
        <v>2128</v>
      </c>
      <c r="E2021" s="37" t="n">
        <v>28956048</v>
      </c>
      <c r="F2021" s="37" t="s">
        <v>279</v>
      </c>
      <c r="G2021" s="37" t="s">
        <v>201</v>
      </c>
      <c r="H2021" s="37" t="s">
        <v>168</v>
      </c>
      <c r="I2021" s="37" t="n">
        <v>33</v>
      </c>
      <c r="J2021" s="39" t="n">
        <v>438.93</v>
      </c>
      <c r="K2021" s="37" t="s">
        <v>322</v>
      </c>
      <c r="L2021" s="39" t="n">
        <v>109.28</v>
      </c>
      <c r="M2021" s="39" t="n">
        <v>76.5</v>
      </c>
      <c r="N2021" s="39" t="n">
        <f aca="false">J2021*Resumo!$C$7</f>
        <v>0.87786</v>
      </c>
      <c r="O2021" s="39" t="n">
        <f aca="false">J2021*Resumo!$C$8</f>
        <v>0.87786</v>
      </c>
      <c r="P2021" s="39" t="n">
        <f aca="false">Resumo!$C$10*CEILING(I2021/100,1)</f>
        <v>1</v>
      </c>
      <c r="Q2021" s="39" t="n">
        <f aca="false">Resumo!$C$9</f>
        <v>11.9</v>
      </c>
      <c r="R2021" s="39" t="n">
        <f aca="false">SUM(M2021:Q2021)*Resumo!$C$11</f>
        <v>5.0135646</v>
      </c>
      <c r="S2021" s="39" t="n">
        <f aca="false">SUM(M2021:R2021)</f>
        <v>96.1692846</v>
      </c>
      <c r="T2021" s="39" t="n">
        <f aca="false">S2021/(1-Resumo!$C$5)</f>
        <v>109.283277954545</v>
      </c>
      <c r="U2021" s="39" t="n">
        <v>114.95</v>
      </c>
      <c r="V2021" s="39" t="n">
        <f aca="false">J2021*Resumo!$B$6</f>
        <v>0.43893</v>
      </c>
      <c r="W2021" s="39" t="n">
        <f aca="false">J2021*Resumo!$B$7</f>
        <v>0.87786</v>
      </c>
      <c r="X2021" s="39" t="n">
        <f aca="false">Resumo!$B$9</f>
        <v>1</v>
      </c>
      <c r="Y2021" s="39" t="n">
        <f aca="false">Resumo!$B$10*CEILING(I2021/100,1)</f>
        <v>4.5</v>
      </c>
      <c r="Z2021" s="39" t="n">
        <f aca="false">Resumo!$B$12*CEILING(I2021,1)</f>
        <v>1.98</v>
      </c>
      <c r="AA2021" s="39" t="n">
        <f aca="false">Resumo!$B$13*CEILING(I2021,1)</f>
        <v>14.85</v>
      </c>
      <c r="AB2021" s="39" t="n">
        <f aca="false">SUM(U2021:AA2021)</f>
        <v>138.59679</v>
      </c>
      <c r="AC2021" s="39" t="n">
        <f aca="false">AB2021/(1-Resumo!$B$5)</f>
        <v>157.496352272727</v>
      </c>
      <c r="AD2021" s="39" t="n">
        <f aca="false">(AB2021-AA2021)/(1-Resumo!$B$5)</f>
        <v>140.621352272727</v>
      </c>
      <c r="AE2021" s="39" t="n">
        <f aca="false">AC2021-T2021</f>
        <v>48.2130743181818</v>
      </c>
      <c r="AF2021" s="40" t="n">
        <f aca="false">AC2021/T2021-1</f>
        <v>0.441175221137082</v>
      </c>
      <c r="AG2021" s="37" t="str">
        <f aca="false">IF(AC2021&lt;T2021,"SIM","NÃO")</f>
        <v>NÃO</v>
      </c>
      <c r="AH2021" s="37" t="n">
        <v>13</v>
      </c>
      <c r="AI2021" s="37" t="n">
        <v>10</v>
      </c>
      <c r="AJ2021" s="37" t="s">
        <v>327</v>
      </c>
    </row>
    <row r="2022" customFormat="false" ht="15" hidden="false" customHeight="false" outlineLevel="0" collapsed="false">
      <c r="A2022" s="37" t="n">
        <v>398339007</v>
      </c>
      <c r="B2022" s="38" t="n">
        <v>46287.9239814815</v>
      </c>
      <c r="C2022" s="37" t="s">
        <v>320</v>
      </c>
      <c r="D2022" s="37" t="s">
        <v>2129</v>
      </c>
      <c r="E2022" s="37" t="n">
        <v>22631004</v>
      </c>
      <c r="F2022" s="37" t="s">
        <v>139</v>
      </c>
      <c r="G2022" s="37" t="s">
        <v>198</v>
      </c>
      <c r="H2022" s="37" t="s">
        <v>168</v>
      </c>
      <c r="I2022" s="37" t="n">
        <v>22.4</v>
      </c>
      <c r="J2022" s="39" t="n">
        <v>508.23</v>
      </c>
      <c r="K2022" s="37" t="s">
        <v>322</v>
      </c>
      <c r="L2022" s="39" t="n">
        <v>82.77</v>
      </c>
      <c r="M2022" s="39" t="n">
        <v>54.1</v>
      </c>
      <c r="N2022" s="39" t="n">
        <f aca="false">J2022*Resumo!$C$7</f>
        <v>1.01646</v>
      </c>
      <c r="O2022" s="39" t="n">
        <f aca="false">J2022*Resumo!$C$8</f>
        <v>1.01646</v>
      </c>
      <c r="P2022" s="39" t="n">
        <f aca="false">Resumo!$C$10*CEILING(I2022/100,1)</f>
        <v>1</v>
      </c>
      <c r="Q2022" s="39" t="n">
        <f aca="false">Resumo!$C$9</f>
        <v>11.9</v>
      </c>
      <c r="R2022" s="39" t="n">
        <f aca="false">SUM(M2022:Q2022)*Resumo!$C$11</f>
        <v>3.7968106</v>
      </c>
      <c r="S2022" s="39" t="n">
        <f aca="false">SUM(M2022:R2022)</f>
        <v>72.8297306</v>
      </c>
      <c r="T2022" s="39" t="n">
        <f aca="false">S2022/(1-Resumo!$C$5)</f>
        <v>82.7610575</v>
      </c>
      <c r="U2022" s="39" t="n">
        <v>82.21</v>
      </c>
      <c r="V2022" s="39" t="n">
        <f aca="false">J2022*Resumo!$B$6</f>
        <v>0.50823</v>
      </c>
      <c r="W2022" s="39" t="n">
        <f aca="false">J2022*Resumo!$B$7</f>
        <v>1.01646</v>
      </c>
      <c r="X2022" s="39" t="n">
        <f aca="false">Resumo!$B$9</f>
        <v>1</v>
      </c>
      <c r="Y2022" s="39" t="n">
        <f aca="false">Resumo!$B$10*CEILING(I2022/100,1)</f>
        <v>4.5</v>
      </c>
      <c r="Z2022" s="39" t="n">
        <f aca="false">Resumo!$B$12*CEILING(I2022,1)</f>
        <v>1.38</v>
      </c>
      <c r="AA2022" s="39" t="n">
        <f aca="false">Resumo!$B$13*CEILING(I2022,1)</f>
        <v>10.35</v>
      </c>
      <c r="AB2022" s="39" t="n">
        <f aca="false">SUM(U2022:AA2022)</f>
        <v>100.96469</v>
      </c>
      <c r="AC2022" s="39" t="n">
        <f aca="false">AB2022/(1-Resumo!$B$5)</f>
        <v>114.732602272727</v>
      </c>
      <c r="AD2022" s="39" t="n">
        <f aca="false">(AB2022-AA2022)/(1-Resumo!$B$5)</f>
        <v>102.971238636364</v>
      </c>
      <c r="AE2022" s="39" t="n">
        <f aca="false">AC2022-T2022</f>
        <v>31.9715447727273</v>
      </c>
      <c r="AF2022" s="40" t="n">
        <f aca="false">AC2022/T2022-1</f>
        <v>0.386311457810061</v>
      </c>
      <c r="AG2022" s="37" t="str">
        <f aca="false">IF(AC2022&lt;T2022,"SIM","NÃO")</f>
        <v>NÃO</v>
      </c>
      <c r="AH2022" s="37" t="n">
        <v>8</v>
      </c>
      <c r="AI2022" s="37" t="n">
        <v>5</v>
      </c>
      <c r="AJ2022" s="37" t="s">
        <v>323</v>
      </c>
    </row>
    <row r="2023" customFormat="false" ht="15" hidden="false" customHeight="false" outlineLevel="0" collapsed="false">
      <c r="A2023" s="37" t="n">
        <v>398353086</v>
      </c>
      <c r="B2023" s="38" t="n">
        <v>46287.9556365741</v>
      </c>
      <c r="C2023" s="37" t="s">
        <v>359</v>
      </c>
      <c r="D2023" s="37" t="s">
        <v>2130</v>
      </c>
      <c r="E2023" s="37" t="n">
        <v>28895620</v>
      </c>
      <c r="F2023" s="37" t="s">
        <v>158</v>
      </c>
      <c r="G2023" s="37" t="s">
        <v>201</v>
      </c>
      <c r="H2023" s="37" t="s">
        <v>170</v>
      </c>
      <c r="I2023" s="37" t="n">
        <v>49.6</v>
      </c>
      <c r="J2023" s="39" t="n">
        <v>719.99</v>
      </c>
      <c r="K2023" s="37" t="s">
        <v>322</v>
      </c>
      <c r="L2023" s="39" t="n">
        <v>131.61</v>
      </c>
      <c r="M2023" s="39" t="n">
        <v>94</v>
      </c>
      <c r="N2023" s="39" t="n">
        <f aca="false">J2023*Resumo!$C$7</f>
        <v>1.43998</v>
      </c>
      <c r="O2023" s="39" t="n">
        <f aca="false">J2023*Resumo!$C$8</f>
        <v>1.43998</v>
      </c>
      <c r="P2023" s="39" t="n">
        <f aca="false">Resumo!$C$10*CEILING(I2023/100,1)</f>
        <v>1</v>
      </c>
      <c r="Q2023" s="39" t="n">
        <f aca="false">Resumo!$C$9</f>
        <v>11.9</v>
      </c>
      <c r="R2023" s="39" t="n">
        <f aca="false">SUM(M2023:Q2023)*Resumo!$C$11</f>
        <v>6.0378978</v>
      </c>
      <c r="S2023" s="39" t="n">
        <f aca="false">SUM(M2023:R2023)</f>
        <v>115.8178578</v>
      </c>
      <c r="T2023" s="39" t="n">
        <f aca="false">S2023/(1-Resumo!$C$5)</f>
        <v>131.611202045455</v>
      </c>
      <c r="U2023" s="39" t="n">
        <v>129.29</v>
      </c>
      <c r="V2023" s="39" t="n">
        <f aca="false">J2023*Resumo!$B$6</f>
        <v>0.71999</v>
      </c>
      <c r="W2023" s="39" t="n">
        <f aca="false">J2023*Resumo!$B$7</f>
        <v>1.43998</v>
      </c>
      <c r="X2023" s="39" t="n">
        <f aca="false">Resumo!$B$9</f>
        <v>1</v>
      </c>
      <c r="Y2023" s="39" t="n">
        <f aca="false">Resumo!$B$10*CEILING(I2023/100,1)</f>
        <v>4.5</v>
      </c>
      <c r="Z2023" s="39" t="n">
        <f aca="false">Resumo!$B$12*CEILING(I2023,1)</f>
        <v>3</v>
      </c>
      <c r="AA2023" s="39" t="n">
        <f aca="false">Resumo!$B$13*CEILING(I2023,1)</f>
        <v>22.5</v>
      </c>
      <c r="AB2023" s="39" t="n">
        <f aca="false">SUM(U2023:AA2023)</f>
        <v>162.44997</v>
      </c>
      <c r="AC2023" s="39" t="n">
        <f aca="false">AB2023/(1-Resumo!$B$5)</f>
        <v>184.602238636364</v>
      </c>
      <c r="AD2023" s="39" t="n">
        <f aca="false">(AB2023-AA2023)/(1-Resumo!$B$5)</f>
        <v>159.034056818182</v>
      </c>
      <c r="AE2023" s="39" t="n">
        <f aca="false">AC2023-T2023</f>
        <v>52.9910365909091</v>
      </c>
      <c r="AF2023" s="40" t="n">
        <f aca="false">AC2023/T2023-1</f>
        <v>0.402633178387107</v>
      </c>
      <c r="AG2023" s="37" t="str">
        <f aca="false">IF(AC2023&lt;T2023,"SIM","NÃO")</f>
        <v>NÃO</v>
      </c>
      <c r="AH2023" s="37" t="n">
        <v>13</v>
      </c>
      <c r="AI2023" s="37" t="n">
        <v>10</v>
      </c>
      <c r="AJ2023" s="37" t="s">
        <v>323</v>
      </c>
    </row>
    <row r="2024" customFormat="false" ht="15" hidden="false" customHeight="false" outlineLevel="0" collapsed="false">
      <c r="A2024" s="37" t="n">
        <v>398373246</v>
      </c>
      <c r="B2024" s="38" t="n">
        <v>46288.0153703704</v>
      </c>
      <c r="C2024" s="37" t="s">
        <v>352</v>
      </c>
      <c r="D2024" s="37" t="s">
        <v>2131</v>
      </c>
      <c r="E2024" s="37" t="n">
        <v>22783117</v>
      </c>
      <c r="F2024" s="37" t="s">
        <v>139</v>
      </c>
      <c r="G2024" s="37" t="s">
        <v>198</v>
      </c>
      <c r="H2024" s="37" t="s">
        <v>169</v>
      </c>
      <c r="I2024" s="37" t="n">
        <v>37.2</v>
      </c>
      <c r="J2024" s="39" t="n">
        <v>419.99</v>
      </c>
      <c r="K2024" s="37" t="s">
        <v>322</v>
      </c>
      <c r="L2024" s="39" t="n">
        <v>91.86</v>
      </c>
      <c r="M2024" s="39" t="n">
        <v>62.05</v>
      </c>
      <c r="N2024" s="39" t="n">
        <f aca="false">J2024*Resumo!$C$7</f>
        <v>0.83998</v>
      </c>
      <c r="O2024" s="39" t="n">
        <f aca="false">J2024*Resumo!$C$8</f>
        <v>0.83998</v>
      </c>
      <c r="P2024" s="39" t="n">
        <f aca="false">Resumo!$C$10*CEILING(I2024/100,1)</f>
        <v>1</v>
      </c>
      <c r="Q2024" s="39" t="n">
        <f aca="false">Resumo!$C$9</f>
        <v>11.9</v>
      </c>
      <c r="R2024" s="39" t="n">
        <f aca="false">SUM(M2024:Q2024)*Resumo!$C$11</f>
        <v>4.2146478</v>
      </c>
      <c r="S2024" s="39" t="n">
        <f aca="false">SUM(M2024:R2024)</f>
        <v>80.8446078</v>
      </c>
      <c r="T2024" s="39" t="n">
        <f aca="false">S2024/(1-Resumo!$C$5)</f>
        <v>91.8688725</v>
      </c>
      <c r="U2024" s="39" t="n">
        <v>93.97</v>
      </c>
      <c r="V2024" s="39" t="n">
        <f aca="false">J2024*Resumo!$B$6</f>
        <v>0.41999</v>
      </c>
      <c r="W2024" s="39" t="n">
        <f aca="false">J2024*Resumo!$B$7</f>
        <v>0.83998</v>
      </c>
      <c r="X2024" s="39" t="n">
        <f aca="false">Resumo!$B$9</f>
        <v>1</v>
      </c>
      <c r="Y2024" s="39" t="n">
        <f aca="false">Resumo!$B$10*CEILING(I2024/100,1)</f>
        <v>4.5</v>
      </c>
      <c r="Z2024" s="39" t="n">
        <f aca="false">Resumo!$B$12*CEILING(I2024,1)</f>
        <v>2.28</v>
      </c>
      <c r="AA2024" s="39" t="n">
        <f aca="false">Resumo!$B$13*CEILING(I2024,1)</f>
        <v>17.1</v>
      </c>
      <c r="AB2024" s="39" t="n">
        <f aca="false">SUM(U2024:AA2024)</f>
        <v>120.10997</v>
      </c>
      <c r="AC2024" s="39" t="n">
        <f aca="false">AB2024/(1-Resumo!$B$5)</f>
        <v>136.488602272727</v>
      </c>
      <c r="AD2024" s="39" t="n">
        <f aca="false">(AB2024-AA2024)/(1-Resumo!$B$5)</f>
        <v>117.056784090909</v>
      </c>
      <c r="AE2024" s="39" t="n">
        <f aca="false">AC2024-T2024</f>
        <v>44.6197297727273</v>
      </c>
      <c r="AF2024" s="40" t="n">
        <f aca="false">AC2024/T2024-1</f>
        <v>0.485689315200067</v>
      </c>
      <c r="AG2024" s="37" t="str">
        <f aca="false">IF(AC2024&lt;T2024,"SIM","NÃO")</f>
        <v>NÃO</v>
      </c>
      <c r="AH2024" s="37" t="n">
        <v>8</v>
      </c>
      <c r="AI2024" s="37" t="n">
        <v>5</v>
      </c>
      <c r="AJ2024" s="37" t="s">
        <v>323</v>
      </c>
    </row>
    <row r="2025" customFormat="false" ht="15" hidden="false" customHeight="false" outlineLevel="0" collapsed="false">
      <c r="A2025" s="37" t="n">
        <v>398380093</v>
      </c>
      <c r="B2025" s="38" t="n">
        <v>46288.0337384259</v>
      </c>
      <c r="C2025" s="37" t="s">
        <v>320</v>
      </c>
      <c r="D2025" s="37" t="s">
        <v>2132</v>
      </c>
      <c r="E2025" s="37" t="n">
        <v>25685132</v>
      </c>
      <c r="F2025" s="37" t="s">
        <v>150</v>
      </c>
      <c r="G2025" s="37" t="s">
        <v>201</v>
      </c>
      <c r="H2025" s="37" t="s">
        <v>169</v>
      </c>
      <c r="I2025" s="37" t="n">
        <v>37.2</v>
      </c>
      <c r="J2025" s="39" t="n">
        <v>387.95</v>
      </c>
      <c r="K2025" s="37" t="s">
        <v>322</v>
      </c>
      <c r="L2025" s="39" t="n">
        <v>122.11</v>
      </c>
      <c r="M2025" s="39" t="n">
        <v>87.4</v>
      </c>
      <c r="N2025" s="39" t="n">
        <f aca="false">J2025*Resumo!$C$7</f>
        <v>0.7759</v>
      </c>
      <c r="O2025" s="39" t="n">
        <f aca="false">J2025*Resumo!$C$8</f>
        <v>0.7759</v>
      </c>
      <c r="P2025" s="39" t="n">
        <f aca="false">Resumo!$C$10*CEILING(I2025/100,1)</f>
        <v>1</v>
      </c>
      <c r="Q2025" s="39" t="n">
        <f aca="false">Resumo!$C$9</f>
        <v>11.9</v>
      </c>
      <c r="R2025" s="39" t="n">
        <f aca="false">SUM(M2025:Q2025)*Resumo!$C$11</f>
        <v>5.601849</v>
      </c>
      <c r="S2025" s="39" t="n">
        <f aca="false">SUM(M2025:R2025)</f>
        <v>107.453649</v>
      </c>
      <c r="T2025" s="39" t="n">
        <f aca="false">S2025/(1-Resumo!$C$5)</f>
        <v>122.106419318182</v>
      </c>
      <c r="U2025" s="39" t="n">
        <v>124.38</v>
      </c>
      <c r="V2025" s="39" t="n">
        <f aca="false">J2025*Resumo!$B$6</f>
        <v>0.38795</v>
      </c>
      <c r="W2025" s="39" t="n">
        <f aca="false">J2025*Resumo!$B$7</f>
        <v>0.7759</v>
      </c>
      <c r="X2025" s="39" t="n">
        <f aca="false">Resumo!$B$9</f>
        <v>1</v>
      </c>
      <c r="Y2025" s="39" t="n">
        <f aca="false">Resumo!$B$10*CEILING(I2025/100,1)</f>
        <v>4.5</v>
      </c>
      <c r="Z2025" s="39" t="n">
        <f aca="false">Resumo!$B$12*CEILING(I2025,1)</f>
        <v>2.28</v>
      </c>
      <c r="AA2025" s="39" t="n">
        <f aca="false">Resumo!$B$13*CEILING(I2025,1)</f>
        <v>17.1</v>
      </c>
      <c r="AB2025" s="39" t="n">
        <f aca="false">SUM(U2025:AA2025)</f>
        <v>150.42385</v>
      </c>
      <c r="AC2025" s="39" t="n">
        <f aca="false">AB2025/(1-Resumo!$B$5)</f>
        <v>170.936193181818</v>
      </c>
      <c r="AD2025" s="39" t="n">
        <f aca="false">(AB2025-AA2025)/(1-Resumo!$B$5)</f>
        <v>151.504375</v>
      </c>
      <c r="AE2025" s="39" t="n">
        <f aca="false">AC2025-T2025</f>
        <v>48.8297738636363</v>
      </c>
      <c r="AF2025" s="40" t="n">
        <f aca="false">AC2025/T2025-1</f>
        <v>0.399895223660576</v>
      </c>
      <c r="AG2025" s="37" t="str">
        <f aca="false">IF(AC2025&lt;T2025,"SIM","NÃO")</f>
        <v>NÃO</v>
      </c>
      <c r="AH2025" s="37" t="n">
        <v>13</v>
      </c>
      <c r="AI2025" s="37" t="n">
        <v>8</v>
      </c>
      <c r="AJ2025" s="37" t="s">
        <v>323</v>
      </c>
    </row>
    <row r="2026" customFormat="false" ht="15" hidden="false" customHeight="false" outlineLevel="0" collapsed="false">
      <c r="A2026" s="37" t="n">
        <v>398453641</v>
      </c>
      <c r="B2026" s="38" t="n">
        <v>46288.3158680556</v>
      </c>
      <c r="C2026" s="37" t="s">
        <v>320</v>
      </c>
      <c r="D2026" s="37" t="s">
        <v>2133</v>
      </c>
      <c r="E2026" s="37" t="n">
        <v>22770235</v>
      </c>
      <c r="F2026" s="37" t="s">
        <v>139</v>
      </c>
      <c r="G2026" s="37" t="s">
        <v>198</v>
      </c>
      <c r="H2026" s="37" t="s">
        <v>169</v>
      </c>
      <c r="I2026" s="37" t="n">
        <v>37.2</v>
      </c>
      <c r="J2026" s="39" t="n">
        <v>366.5</v>
      </c>
      <c r="K2026" s="37" t="s">
        <v>322</v>
      </c>
      <c r="L2026" s="39" t="n">
        <v>91.6</v>
      </c>
      <c r="M2026" s="39" t="n">
        <v>62.05</v>
      </c>
      <c r="N2026" s="39" t="n">
        <f aca="false">J2026*Resumo!$C$7</f>
        <v>0.733</v>
      </c>
      <c r="O2026" s="39" t="n">
        <f aca="false">J2026*Resumo!$C$8</f>
        <v>0.733</v>
      </c>
      <c r="P2026" s="39" t="n">
        <f aca="false">Resumo!$C$10*CEILING(I2026/100,1)</f>
        <v>1</v>
      </c>
      <c r="Q2026" s="39" t="n">
        <f aca="false">Resumo!$C$9</f>
        <v>11.9</v>
      </c>
      <c r="R2026" s="39" t="n">
        <f aca="false">SUM(M2026:Q2026)*Resumo!$C$11</f>
        <v>4.20288</v>
      </c>
      <c r="S2026" s="39" t="n">
        <f aca="false">SUM(M2026:R2026)</f>
        <v>80.61888</v>
      </c>
      <c r="T2026" s="39" t="n">
        <f aca="false">S2026/(1-Resumo!$C$5)</f>
        <v>91.6123636363636</v>
      </c>
      <c r="U2026" s="39" t="n">
        <v>93.97</v>
      </c>
      <c r="V2026" s="39" t="n">
        <f aca="false">J2026*Resumo!$B$6</f>
        <v>0.3665</v>
      </c>
      <c r="W2026" s="39" t="n">
        <f aca="false">J2026*Resumo!$B$7</f>
        <v>0.733</v>
      </c>
      <c r="X2026" s="39" t="n">
        <f aca="false">Resumo!$B$9</f>
        <v>1</v>
      </c>
      <c r="Y2026" s="39" t="n">
        <f aca="false">Resumo!$B$10*CEILING(I2026/100,1)</f>
        <v>4.5</v>
      </c>
      <c r="Z2026" s="39" t="n">
        <f aca="false">Resumo!$B$12*CEILING(I2026,1)</f>
        <v>2.28</v>
      </c>
      <c r="AA2026" s="39" t="n">
        <f aca="false">Resumo!$B$13*CEILING(I2026,1)</f>
        <v>17.1</v>
      </c>
      <c r="AB2026" s="39" t="n">
        <f aca="false">SUM(U2026:AA2026)</f>
        <v>119.9495</v>
      </c>
      <c r="AC2026" s="39" t="n">
        <f aca="false">AB2026/(1-Resumo!$B$5)</f>
        <v>136.30625</v>
      </c>
      <c r="AD2026" s="39" t="n">
        <f aca="false">(AB2026-AA2026)/(1-Resumo!$B$5)</f>
        <v>116.874431818182</v>
      </c>
      <c r="AE2026" s="39" t="n">
        <f aca="false">AC2026-T2026</f>
        <v>44.6938863636364</v>
      </c>
      <c r="AF2026" s="40" t="n">
        <f aca="false">AC2026/T2026-1</f>
        <v>0.487858675287973</v>
      </c>
      <c r="AG2026" s="37" t="str">
        <f aca="false">IF(AC2026&lt;T2026,"SIM","NÃO")</f>
        <v>NÃO</v>
      </c>
      <c r="AH2026" s="37" t="n">
        <v>8</v>
      </c>
      <c r="AI2026" s="37" t="n">
        <v>5</v>
      </c>
      <c r="AJ2026" s="37" t="s">
        <v>323</v>
      </c>
    </row>
    <row r="2027" customFormat="false" ht="15" hidden="false" customHeight="false" outlineLevel="0" collapsed="false">
      <c r="A2027" s="37" t="n">
        <v>398481770</v>
      </c>
      <c r="B2027" s="38" t="n">
        <v>46288.3858101852</v>
      </c>
      <c r="C2027" s="37" t="s">
        <v>320</v>
      </c>
      <c r="D2027" s="37" t="s">
        <v>663</v>
      </c>
      <c r="E2027" s="37" t="n">
        <v>28300000</v>
      </c>
      <c r="F2027" s="37" t="s">
        <v>248</v>
      </c>
      <c r="G2027" s="37" t="s">
        <v>201</v>
      </c>
      <c r="H2027" s="37" t="s">
        <v>168</v>
      </c>
      <c r="I2027" s="37" t="n">
        <v>33</v>
      </c>
      <c r="J2027" s="39" t="n">
        <v>438.93</v>
      </c>
      <c r="K2027" s="37" t="s">
        <v>322</v>
      </c>
      <c r="L2027" s="39" t="n">
        <v>109.28</v>
      </c>
      <c r="M2027" s="39" t="n">
        <v>76.5</v>
      </c>
      <c r="N2027" s="39" t="n">
        <f aca="false">J2027*Resumo!$C$7</f>
        <v>0.87786</v>
      </c>
      <c r="O2027" s="39" t="n">
        <f aca="false">J2027*Resumo!$C$8</f>
        <v>0.87786</v>
      </c>
      <c r="P2027" s="39" t="n">
        <f aca="false">Resumo!$C$10*CEILING(I2027/100,1)</f>
        <v>1</v>
      </c>
      <c r="Q2027" s="39" t="n">
        <f aca="false">Resumo!$C$9</f>
        <v>11.9</v>
      </c>
      <c r="R2027" s="39" t="n">
        <f aca="false">SUM(M2027:Q2027)*Resumo!$C$11</f>
        <v>5.0135646</v>
      </c>
      <c r="S2027" s="39" t="n">
        <f aca="false">SUM(M2027:R2027)</f>
        <v>96.1692846</v>
      </c>
      <c r="T2027" s="39" t="n">
        <f aca="false">S2027/(1-Resumo!$C$5)</f>
        <v>109.283277954545</v>
      </c>
      <c r="U2027" s="39" t="n">
        <v>138.29</v>
      </c>
      <c r="V2027" s="39" t="n">
        <f aca="false">J2027*Resumo!$B$6</f>
        <v>0.43893</v>
      </c>
      <c r="W2027" s="39" t="n">
        <f aca="false">J2027*Resumo!$B$7</f>
        <v>0.87786</v>
      </c>
      <c r="X2027" s="39" t="n">
        <f aca="false">Resumo!$B$9</f>
        <v>1</v>
      </c>
      <c r="Y2027" s="39" t="n">
        <f aca="false">Resumo!$B$10*CEILING(I2027/100,1)</f>
        <v>4.5</v>
      </c>
      <c r="Z2027" s="39" t="n">
        <f aca="false">Resumo!$B$12*CEILING(I2027,1)</f>
        <v>1.98</v>
      </c>
      <c r="AA2027" s="39" t="n">
        <f aca="false">Resumo!$B$13*CEILING(I2027,1)</f>
        <v>14.85</v>
      </c>
      <c r="AB2027" s="39" t="n">
        <f aca="false">SUM(U2027:AA2027)</f>
        <v>161.93679</v>
      </c>
      <c r="AC2027" s="39" t="n">
        <f aca="false">AB2027/(1-Resumo!$B$5)</f>
        <v>184.019079545455</v>
      </c>
      <c r="AD2027" s="39" t="n">
        <f aca="false">(AB2027-AA2027)/(1-Resumo!$B$5)</f>
        <v>167.144079545455</v>
      </c>
      <c r="AE2027" s="39" t="n">
        <f aca="false">AC2027-T2027</f>
        <v>74.7358015909091</v>
      </c>
      <c r="AF2027" s="40" t="n">
        <f aca="false">AC2027/T2027-1</f>
        <v>0.683872253740359</v>
      </c>
      <c r="AG2027" s="37" t="str">
        <f aca="false">IF(AC2027&lt;T2027,"SIM","NÃO")</f>
        <v>NÃO</v>
      </c>
      <c r="AH2027" s="37" t="n">
        <v>13</v>
      </c>
      <c r="AI2027" s="37" t="n">
        <v>11</v>
      </c>
      <c r="AJ2027" s="37" t="s">
        <v>327</v>
      </c>
    </row>
    <row r="2028" customFormat="false" ht="15" hidden="false" customHeight="false" outlineLevel="0" collapsed="false">
      <c r="A2028" s="37" t="n">
        <v>398486155</v>
      </c>
      <c r="B2028" s="38" t="n">
        <v>46288.3939351852</v>
      </c>
      <c r="C2028" s="37" t="s">
        <v>320</v>
      </c>
      <c r="D2028" s="37" t="s">
        <v>1048</v>
      </c>
      <c r="E2028" s="37" t="n">
        <v>22775060</v>
      </c>
      <c r="F2028" s="37" t="s">
        <v>139</v>
      </c>
      <c r="G2028" s="37" t="s">
        <v>198</v>
      </c>
      <c r="H2028" s="37" t="s">
        <v>170</v>
      </c>
      <c r="I2028" s="37" t="n">
        <v>41.4</v>
      </c>
      <c r="J2028" s="39" t="n">
        <v>413.47</v>
      </c>
      <c r="K2028" s="37" t="s">
        <v>322</v>
      </c>
      <c r="L2028" s="39" t="n">
        <v>102.58</v>
      </c>
      <c r="M2028" s="39" t="n">
        <v>71</v>
      </c>
      <c r="N2028" s="39" t="n">
        <f aca="false">J2028*Resumo!$C$7</f>
        <v>0.82694</v>
      </c>
      <c r="O2028" s="39" t="n">
        <f aca="false">J2028*Resumo!$C$8</f>
        <v>0.82694</v>
      </c>
      <c r="P2028" s="39" t="n">
        <f aca="false">Resumo!$C$10*CEILING(I2028/100,1)</f>
        <v>1</v>
      </c>
      <c r="Q2028" s="39" t="n">
        <f aca="false">Resumo!$C$9</f>
        <v>11.9</v>
      </c>
      <c r="R2028" s="39" t="n">
        <f aca="false">SUM(M2028:Q2028)*Resumo!$C$11</f>
        <v>4.7054634</v>
      </c>
      <c r="S2028" s="39" t="n">
        <f aca="false">SUM(M2028:R2028)</f>
        <v>90.2593434</v>
      </c>
      <c r="T2028" s="39" t="n">
        <f aca="false">S2028/(1-Resumo!$C$5)</f>
        <v>102.567435681818</v>
      </c>
      <c r="U2028" s="39" t="n">
        <v>93.97</v>
      </c>
      <c r="V2028" s="39" t="n">
        <f aca="false">J2028*Resumo!$B$6</f>
        <v>0.41347</v>
      </c>
      <c r="W2028" s="39" t="n">
        <f aca="false">J2028*Resumo!$B$7</f>
        <v>0.82694</v>
      </c>
      <c r="X2028" s="39" t="n">
        <f aca="false">Resumo!$B$9</f>
        <v>1</v>
      </c>
      <c r="Y2028" s="39" t="n">
        <f aca="false">Resumo!$B$10*CEILING(I2028/100,1)</f>
        <v>4.5</v>
      </c>
      <c r="Z2028" s="39" t="n">
        <f aca="false">Resumo!$B$12*CEILING(I2028,1)</f>
        <v>2.52</v>
      </c>
      <c r="AA2028" s="39" t="n">
        <f aca="false">Resumo!$B$13*CEILING(I2028,1)</f>
        <v>18.9</v>
      </c>
      <c r="AB2028" s="39" t="n">
        <f aca="false">SUM(U2028:AA2028)</f>
        <v>122.13041</v>
      </c>
      <c r="AC2028" s="39" t="n">
        <f aca="false">AB2028/(1-Resumo!$B$5)</f>
        <v>138.784556818182</v>
      </c>
      <c r="AD2028" s="39" t="n">
        <f aca="false">(AB2028-AA2028)/(1-Resumo!$B$5)</f>
        <v>117.307284090909</v>
      </c>
      <c r="AE2028" s="39" t="n">
        <f aca="false">AC2028-T2028</f>
        <v>36.2171211363636</v>
      </c>
      <c r="AF2028" s="40" t="n">
        <f aca="false">AC2028/T2028-1</f>
        <v>0.353105455894553</v>
      </c>
      <c r="AG2028" s="37" t="str">
        <f aca="false">IF(AC2028&lt;T2028,"SIM","NÃO")</f>
        <v>NÃO</v>
      </c>
      <c r="AH2028" s="37" t="n">
        <v>8</v>
      </c>
      <c r="AI2028" s="37" t="n">
        <v>5</v>
      </c>
      <c r="AJ2028" s="37" t="s">
        <v>323</v>
      </c>
    </row>
    <row r="2029" customFormat="false" ht="15" hidden="false" customHeight="false" outlineLevel="0" collapsed="false">
      <c r="A2029" s="37" t="n">
        <v>398486807</v>
      </c>
      <c r="B2029" s="38" t="n">
        <v>46288.3951967593</v>
      </c>
      <c r="C2029" s="37" t="s">
        <v>320</v>
      </c>
      <c r="D2029" s="37" t="s">
        <v>2134</v>
      </c>
      <c r="E2029" s="37" t="n">
        <v>28664000</v>
      </c>
      <c r="F2029" s="37" t="s">
        <v>268</v>
      </c>
      <c r="G2029" s="37" t="s">
        <v>201</v>
      </c>
      <c r="H2029" s="37" t="s">
        <v>169</v>
      </c>
      <c r="I2029" s="37" t="n">
        <v>37.5</v>
      </c>
      <c r="J2029" s="39" t="n">
        <v>399.99</v>
      </c>
      <c r="K2029" s="37" t="s">
        <v>322</v>
      </c>
      <c r="L2029" s="39" t="n">
        <v>122.16</v>
      </c>
      <c r="M2029" s="39" t="n">
        <v>87.4</v>
      </c>
      <c r="N2029" s="39" t="n">
        <f aca="false">J2029*Resumo!$C$7</f>
        <v>0.79998</v>
      </c>
      <c r="O2029" s="39" t="n">
        <f aca="false">J2029*Resumo!$C$8</f>
        <v>0.79998</v>
      </c>
      <c r="P2029" s="39" t="n">
        <f aca="false">Resumo!$C$10*CEILING(I2029/100,1)</f>
        <v>1</v>
      </c>
      <c r="Q2029" s="39" t="n">
        <f aca="false">Resumo!$C$9</f>
        <v>11.9</v>
      </c>
      <c r="R2029" s="39" t="n">
        <f aca="false">SUM(M2029:Q2029)*Resumo!$C$11</f>
        <v>5.6044978</v>
      </c>
      <c r="S2029" s="39" t="n">
        <f aca="false">SUM(M2029:R2029)</f>
        <v>107.5044578</v>
      </c>
      <c r="T2029" s="39" t="n">
        <f aca="false">S2029/(1-Resumo!$C$5)</f>
        <v>122.164156590909</v>
      </c>
      <c r="U2029" s="39" t="n">
        <v>125.63</v>
      </c>
      <c r="V2029" s="39" t="n">
        <f aca="false">J2029*Resumo!$B$6</f>
        <v>0.39999</v>
      </c>
      <c r="W2029" s="39" t="n">
        <f aca="false">J2029*Resumo!$B$7</f>
        <v>0.79998</v>
      </c>
      <c r="X2029" s="39" t="n">
        <f aca="false">Resumo!$B$9</f>
        <v>1</v>
      </c>
      <c r="Y2029" s="39" t="n">
        <f aca="false">Resumo!$B$10*CEILING(I2029/100,1)</f>
        <v>4.5</v>
      </c>
      <c r="Z2029" s="39" t="n">
        <f aca="false">Resumo!$B$12*CEILING(I2029,1)</f>
        <v>2.28</v>
      </c>
      <c r="AA2029" s="39" t="n">
        <f aca="false">Resumo!$B$13*CEILING(I2029,1)</f>
        <v>17.1</v>
      </c>
      <c r="AB2029" s="39" t="n">
        <f aca="false">SUM(U2029:AA2029)</f>
        <v>151.70997</v>
      </c>
      <c r="AC2029" s="39" t="n">
        <f aca="false">AB2029/(1-Resumo!$B$5)</f>
        <v>172.397693181818</v>
      </c>
      <c r="AD2029" s="39" t="n">
        <f aca="false">(AB2029-AA2029)/(1-Resumo!$B$5)</f>
        <v>152.965875</v>
      </c>
      <c r="AE2029" s="39" t="n">
        <f aca="false">AC2029-T2029</f>
        <v>50.2335365909091</v>
      </c>
      <c r="AF2029" s="40" t="n">
        <f aca="false">AC2029/T2029-1</f>
        <v>0.411197015497156</v>
      </c>
      <c r="AG2029" s="37" t="str">
        <f aca="false">IF(AC2029&lt;T2029,"SIM","NÃO")</f>
        <v>NÃO</v>
      </c>
      <c r="AH2029" s="37" t="n">
        <v>13</v>
      </c>
      <c r="AI2029" s="37" t="n">
        <v>10</v>
      </c>
      <c r="AJ2029" s="37" t="s">
        <v>327</v>
      </c>
    </row>
    <row r="2030" customFormat="false" ht="15" hidden="false" customHeight="false" outlineLevel="0" collapsed="false">
      <c r="A2030" s="37" t="n">
        <v>398530057</v>
      </c>
      <c r="B2030" s="38" t="n">
        <v>46288.4775925926</v>
      </c>
      <c r="C2030" s="37" t="s">
        <v>320</v>
      </c>
      <c r="D2030" s="37" t="s">
        <v>2135</v>
      </c>
      <c r="E2030" s="37" t="n">
        <v>25560581</v>
      </c>
      <c r="F2030" s="37" t="s">
        <v>147</v>
      </c>
      <c r="G2030" s="37" t="s">
        <v>207</v>
      </c>
      <c r="H2030" s="37" t="s">
        <v>171</v>
      </c>
      <c r="I2030" s="37" t="n">
        <v>52.3</v>
      </c>
      <c r="J2030" s="39" t="n">
        <v>699.99</v>
      </c>
      <c r="K2030" s="37" t="s">
        <v>322</v>
      </c>
      <c r="L2030" s="39" t="n">
        <v>128.64</v>
      </c>
      <c r="M2030" s="39" t="n">
        <v>91.6</v>
      </c>
      <c r="N2030" s="39" t="n">
        <f aca="false">J2030*Resumo!$C$7</f>
        <v>1.39998</v>
      </c>
      <c r="O2030" s="39" t="n">
        <f aca="false">J2030*Resumo!$C$8</f>
        <v>1.39998</v>
      </c>
      <c r="P2030" s="39" t="n">
        <f aca="false">Resumo!$C$10*CEILING(I2030/100,1)</f>
        <v>1</v>
      </c>
      <c r="Q2030" s="39" t="n">
        <f aca="false">Resumo!$C$9</f>
        <v>11.9</v>
      </c>
      <c r="R2030" s="39" t="n">
        <f aca="false">SUM(M2030:Q2030)*Resumo!$C$11</f>
        <v>5.9014978</v>
      </c>
      <c r="S2030" s="39" t="n">
        <f aca="false">SUM(M2030:R2030)</f>
        <v>113.2014578</v>
      </c>
      <c r="T2030" s="39" t="n">
        <f aca="false">S2030/(1-Resumo!$C$5)</f>
        <v>128.638020227273</v>
      </c>
      <c r="U2030" s="39" t="n">
        <v>112.3</v>
      </c>
      <c r="V2030" s="39" t="n">
        <f aca="false">J2030*Resumo!$B$6</f>
        <v>0.69999</v>
      </c>
      <c r="W2030" s="39" t="n">
        <f aca="false">J2030*Resumo!$B$7</f>
        <v>1.39998</v>
      </c>
      <c r="X2030" s="39" t="n">
        <f aca="false">Resumo!$B$9</f>
        <v>1</v>
      </c>
      <c r="Y2030" s="39" t="n">
        <f aca="false">Resumo!$B$10*CEILING(I2030/100,1)</f>
        <v>4.5</v>
      </c>
      <c r="Z2030" s="39" t="n">
        <f aca="false">Resumo!$B$12*CEILING(I2030,1)</f>
        <v>3.18</v>
      </c>
      <c r="AA2030" s="39" t="n">
        <f aca="false">Resumo!$B$13*CEILING(I2030,1)</f>
        <v>23.85</v>
      </c>
      <c r="AB2030" s="39" t="n">
        <f aca="false">SUM(U2030:AA2030)</f>
        <v>146.92997</v>
      </c>
      <c r="AC2030" s="39" t="n">
        <f aca="false">AB2030/(1-Resumo!$B$5)</f>
        <v>166.965875</v>
      </c>
      <c r="AD2030" s="39" t="n">
        <f aca="false">(AB2030-AA2030)/(1-Resumo!$B$5)</f>
        <v>139.863602272727</v>
      </c>
      <c r="AE2030" s="39" t="n">
        <f aca="false">AC2030-T2030</f>
        <v>38.3278547727273</v>
      </c>
      <c r="AF2030" s="40" t="n">
        <f aca="false">AC2030/T2030-1</f>
        <v>0.297951217727162</v>
      </c>
      <c r="AG2030" s="37" t="str">
        <f aca="false">IF(AC2030&lt;T2030,"SIM","NÃO")</f>
        <v>NÃO</v>
      </c>
      <c r="AH2030" s="37" t="n">
        <v>10</v>
      </c>
      <c r="AI2030" s="37" t="n">
        <v>5</v>
      </c>
      <c r="AJ2030" s="37" t="s">
        <v>323</v>
      </c>
    </row>
    <row r="2031" customFormat="false" ht="15" hidden="false" customHeight="false" outlineLevel="0" collapsed="false">
      <c r="A2031" s="37" t="n">
        <v>398544094</v>
      </c>
      <c r="B2031" s="38" t="n">
        <v>46288.4872916667</v>
      </c>
      <c r="C2031" s="37" t="s">
        <v>517</v>
      </c>
      <c r="D2031" s="37" t="s">
        <v>2136</v>
      </c>
      <c r="E2031" s="37" t="n">
        <v>20540140</v>
      </c>
      <c r="F2031" s="37" t="s">
        <v>139</v>
      </c>
      <c r="G2031" s="37" t="s">
        <v>198</v>
      </c>
      <c r="H2031" s="37" t="s">
        <v>168</v>
      </c>
      <c r="I2031" s="37" t="n">
        <v>27</v>
      </c>
      <c r="J2031" s="39" t="n">
        <v>349.99</v>
      </c>
      <c r="K2031" s="37" t="s">
        <v>322</v>
      </c>
      <c r="L2031" s="39" t="n">
        <v>82</v>
      </c>
      <c r="M2031" s="39" t="n">
        <v>54.1</v>
      </c>
      <c r="N2031" s="39" t="n">
        <f aca="false">J2031*Resumo!$C$7</f>
        <v>0.69998</v>
      </c>
      <c r="O2031" s="39" t="n">
        <f aca="false">J2031*Resumo!$C$8</f>
        <v>0.69998</v>
      </c>
      <c r="P2031" s="39" t="n">
        <f aca="false">Resumo!$C$10*CEILING(I2031/100,1)</f>
        <v>1</v>
      </c>
      <c r="Q2031" s="39" t="n">
        <f aca="false">Resumo!$C$9</f>
        <v>11.9</v>
      </c>
      <c r="R2031" s="39" t="n">
        <f aca="false">SUM(M2031:Q2031)*Resumo!$C$11</f>
        <v>3.7619978</v>
      </c>
      <c r="S2031" s="39" t="n">
        <f aca="false">SUM(M2031:R2031)</f>
        <v>72.1619578</v>
      </c>
      <c r="T2031" s="39" t="n">
        <f aca="false">S2031/(1-Resumo!$C$5)</f>
        <v>82.0022247727273</v>
      </c>
      <c r="U2031" s="39" t="n">
        <v>82.21</v>
      </c>
      <c r="V2031" s="39" t="n">
        <f aca="false">J2031*Resumo!$B$6</f>
        <v>0.34999</v>
      </c>
      <c r="W2031" s="39" t="n">
        <f aca="false">J2031*Resumo!$B$7</f>
        <v>0.69998</v>
      </c>
      <c r="X2031" s="39" t="n">
        <f aca="false">Resumo!$B$9</f>
        <v>1</v>
      </c>
      <c r="Y2031" s="39" t="n">
        <f aca="false">Resumo!$B$10*CEILING(I2031/100,1)</f>
        <v>4.5</v>
      </c>
      <c r="Z2031" s="39" t="n">
        <f aca="false">Resumo!$B$12*CEILING(I2031,1)</f>
        <v>1.62</v>
      </c>
      <c r="AA2031" s="39" t="n">
        <f aca="false">Resumo!$B$13*CEILING(I2031,1)</f>
        <v>12.15</v>
      </c>
      <c r="AB2031" s="39" t="n">
        <f aca="false">SUM(U2031:AA2031)</f>
        <v>102.52997</v>
      </c>
      <c r="AC2031" s="39" t="n">
        <f aca="false">AB2031/(1-Resumo!$B$5)</f>
        <v>116.511329545455</v>
      </c>
      <c r="AD2031" s="39" t="n">
        <f aca="false">(AB2031-AA2031)/(1-Resumo!$B$5)</f>
        <v>102.704511363636</v>
      </c>
      <c r="AE2031" s="39" t="n">
        <f aca="false">AC2031-T2031</f>
        <v>34.5091047727273</v>
      </c>
      <c r="AF2031" s="40" t="n">
        <f aca="false">AC2031/T2031-1</f>
        <v>0.42083132339849</v>
      </c>
      <c r="AG2031" s="37" t="str">
        <f aca="false">IF(AC2031&lt;T2031,"SIM","NÃO")</f>
        <v>NÃO</v>
      </c>
      <c r="AH2031" s="37" t="n">
        <v>8</v>
      </c>
      <c r="AI2031" s="37" t="n">
        <v>5</v>
      </c>
      <c r="AJ2031" s="37" t="s">
        <v>323</v>
      </c>
    </row>
    <row r="2032" customFormat="false" ht="15" hidden="false" customHeight="false" outlineLevel="0" collapsed="false">
      <c r="A2032" s="37" t="n">
        <v>398538779</v>
      </c>
      <c r="B2032" s="38" t="n">
        <v>46288.4946180556</v>
      </c>
      <c r="C2032" s="37" t="s">
        <v>320</v>
      </c>
      <c r="D2032" s="37" t="s">
        <v>2137</v>
      </c>
      <c r="E2032" s="37" t="n">
        <v>26291212</v>
      </c>
      <c r="F2032" s="37" t="s">
        <v>142</v>
      </c>
      <c r="G2032" s="37" t="s">
        <v>207</v>
      </c>
      <c r="H2032" s="37" t="s">
        <v>171</v>
      </c>
      <c r="I2032" s="37" t="n">
        <v>59.3</v>
      </c>
      <c r="J2032" s="39" t="n">
        <v>859.99</v>
      </c>
      <c r="K2032" s="37" t="s">
        <v>322</v>
      </c>
      <c r="L2032" s="39" t="n">
        <v>129.41</v>
      </c>
      <c r="M2032" s="39" t="n">
        <v>91.6</v>
      </c>
      <c r="N2032" s="39" t="n">
        <f aca="false">J2032*Resumo!$C$7</f>
        <v>1.71998</v>
      </c>
      <c r="O2032" s="39" t="n">
        <f aca="false">J2032*Resumo!$C$8</f>
        <v>1.71998</v>
      </c>
      <c r="P2032" s="39" t="n">
        <f aca="false">Resumo!$C$10*CEILING(I2032/100,1)</f>
        <v>1</v>
      </c>
      <c r="Q2032" s="39" t="n">
        <f aca="false">Resumo!$C$9</f>
        <v>11.9</v>
      </c>
      <c r="R2032" s="39" t="n">
        <f aca="false">SUM(M2032:Q2032)*Resumo!$C$11</f>
        <v>5.9366978</v>
      </c>
      <c r="S2032" s="39" t="n">
        <f aca="false">SUM(M2032:R2032)</f>
        <v>113.8766578</v>
      </c>
      <c r="T2032" s="39" t="n">
        <f aca="false">S2032/(1-Resumo!$C$5)</f>
        <v>129.405292954545</v>
      </c>
      <c r="U2032" s="39" t="n">
        <v>112.3</v>
      </c>
      <c r="V2032" s="39" t="n">
        <f aca="false">J2032*Resumo!$B$6</f>
        <v>0.85999</v>
      </c>
      <c r="W2032" s="39" t="n">
        <f aca="false">J2032*Resumo!$B$7</f>
        <v>1.71998</v>
      </c>
      <c r="X2032" s="39" t="n">
        <f aca="false">Resumo!$B$9</f>
        <v>1</v>
      </c>
      <c r="Y2032" s="39" t="n">
        <f aca="false">Resumo!$B$10*CEILING(I2032/100,1)</f>
        <v>4.5</v>
      </c>
      <c r="Z2032" s="39" t="n">
        <f aca="false">Resumo!$B$12*CEILING(I2032,1)</f>
        <v>3.6</v>
      </c>
      <c r="AA2032" s="39" t="n">
        <f aca="false">Resumo!$B$13*CEILING(I2032,1)</f>
        <v>27</v>
      </c>
      <c r="AB2032" s="39" t="n">
        <f aca="false">SUM(U2032:AA2032)</f>
        <v>150.97997</v>
      </c>
      <c r="AC2032" s="39" t="n">
        <f aca="false">AB2032/(1-Resumo!$B$5)</f>
        <v>171.568147727273</v>
      </c>
      <c r="AD2032" s="39" t="n">
        <f aca="false">(AB2032-AA2032)/(1-Resumo!$B$5)</f>
        <v>140.886329545455</v>
      </c>
      <c r="AE2032" s="39" t="n">
        <f aca="false">AC2032-T2032</f>
        <v>42.1628547727273</v>
      </c>
      <c r="AF2032" s="40" t="n">
        <f aca="false">AC2032/T2032-1</f>
        <v>0.325820171726185</v>
      </c>
      <c r="AG2032" s="37" t="str">
        <f aca="false">IF(AC2032&lt;T2032,"SIM","NÃO")</f>
        <v>NÃO</v>
      </c>
      <c r="AH2032" s="37" t="n">
        <v>10</v>
      </c>
      <c r="AI2032" s="37" t="n">
        <v>5</v>
      </c>
      <c r="AJ2032" s="37" t="s">
        <v>323</v>
      </c>
    </row>
    <row r="2033" customFormat="false" ht="15" hidden="false" customHeight="false" outlineLevel="0" collapsed="false">
      <c r="A2033" s="37" t="n">
        <v>398549710</v>
      </c>
      <c r="B2033" s="38" t="n">
        <v>46288.5146990741</v>
      </c>
      <c r="C2033" s="37" t="s">
        <v>325</v>
      </c>
      <c r="D2033" s="37" t="s">
        <v>2138</v>
      </c>
      <c r="E2033" s="37" t="n">
        <v>27520270</v>
      </c>
      <c r="F2033" s="37" t="s">
        <v>236</v>
      </c>
      <c r="G2033" s="37" t="s">
        <v>201</v>
      </c>
      <c r="H2033" s="37" t="s">
        <v>169</v>
      </c>
      <c r="I2033" s="37" t="n">
        <v>36.8</v>
      </c>
      <c r="J2033" s="39" t="n">
        <v>422.64</v>
      </c>
      <c r="K2033" s="37" t="s">
        <v>322</v>
      </c>
      <c r="L2033" s="39" t="n">
        <v>122.28</v>
      </c>
      <c r="M2033" s="39" t="n">
        <v>87.4</v>
      </c>
      <c r="N2033" s="39" t="n">
        <f aca="false">J2033*Resumo!$C$7</f>
        <v>0.84528</v>
      </c>
      <c r="O2033" s="39" t="n">
        <f aca="false">J2033*Resumo!$C$8</f>
        <v>0.84528</v>
      </c>
      <c r="P2033" s="39" t="n">
        <f aca="false">Resumo!$C$10*CEILING(I2033/100,1)</f>
        <v>1</v>
      </c>
      <c r="Q2033" s="39" t="n">
        <f aca="false">Resumo!$C$9</f>
        <v>11.9</v>
      </c>
      <c r="R2033" s="39" t="n">
        <f aca="false">SUM(M2033:Q2033)*Resumo!$C$11</f>
        <v>5.6094808</v>
      </c>
      <c r="S2033" s="39" t="n">
        <f aca="false">SUM(M2033:R2033)</f>
        <v>107.6000408</v>
      </c>
      <c r="T2033" s="39" t="n">
        <f aca="false">S2033/(1-Resumo!$C$5)</f>
        <v>122.272773636364</v>
      </c>
      <c r="U2033" s="39" t="n">
        <v>124.38</v>
      </c>
      <c r="V2033" s="39" t="n">
        <f aca="false">J2033*Resumo!$B$6</f>
        <v>0.42264</v>
      </c>
      <c r="W2033" s="39" t="n">
        <f aca="false">J2033*Resumo!$B$7</f>
        <v>0.84528</v>
      </c>
      <c r="X2033" s="39" t="n">
        <f aca="false">Resumo!$B$9</f>
        <v>1</v>
      </c>
      <c r="Y2033" s="39" t="n">
        <f aca="false">Resumo!$B$10*CEILING(I2033/100,1)</f>
        <v>4.5</v>
      </c>
      <c r="Z2033" s="39" t="n">
        <f aca="false">Resumo!$B$12*CEILING(I2033,1)</f>
        <v>2.22</v>
      </c>
      <c r="AA2033" s="39" t="n">
        <f aca="false">Resumo!$B$13*CEILING(I2033,1)</f>
        <v>16.65</v>
      </c>
      <c r="AB2033" s="39" t="n">
        <f aca="false">SUM(U2033:AA2033)</f>
        <v>150.01792</v>
      </c>
      <c r="AC2033" s="39" t="n">
        <f aca="false">AB2033/(1-Resumo!$B$5)</f>
        <v>170.474909090909</v>
      </c>
      <c r="AD2033" s="39" t="n">
        <f aca="false">(AB2033-AA2033)/(1-Resumo!$B$5)</f>
        <v>151.554454545455</v>
      </c>
      <c r="AE2033" s="39" t="n">
        <f aca="false">AC2033-T2033</f>
        <v>48.2021354545455</v>
      </c>
      <c r="AF2033" s="40" t="n">
        <f aca="false">AC2033/T2033-1</f>
        <v>0.394218058697985</v>
      </c>
      <c r="AG2033" s="37" t="str">
        <f aca="false">IF(AC2033&lt;T2033,"SIM","NÃO")</f>
        <v>NÃO</v>
      </c>
      <c r="AH2033" s="37" t="n">
        <v>13</v>
      </c>
      <c r="AI2033" s="37" t="n">
        <v>10</v>
      </c>
      <c r="AJ2033" s="37" t="s">
        <v>327</v>
      </c>
    </row>
    <row r="2034" customFormat="false" ht="15" hidden="false" customHeight="false" outlineLevel="0" collapsed="false">
      <c r="A2034" s="37" t="n">
        <v>398556399</v>
      </c>
      <c r="B2034" s="38" t="n">
        <v>46288.5267361111</v>
      </c>
      <c r="C2034" s="37" t="s">
        <v>320</v>
      </c>
      <c r="D2034" s="37" t="s">
        <v>2139</v>
      </c>
      <c r="E2034" s="37" t="n">
        <v>20921260</v>
      </c>
      <c r="F2034" s="37" t="s">
        <v>139</v>
      </c>
      <c r="G2034" s="37" t="s">
        <v>198</v>
      </c>
      <c r="H2034" s="37" t="s">
        <v>172</v>
      </c>
      <c r="I2034" s="37" t="n">
        <v>66.8</v>
      </c>
      <c r="J2034" s="39" t="n">
        <v>719.99</v>
      </c>
      <c r="K2034" s="37" t="s">
        <v>322</v>
      </c>
      <c r="L2034" s="39" t="n">
        <v>124.66</v>
      </c>
      <c r="M2034" s="39" t="n">
        <v>88.2</v>
      </c>
      <c r="N2034" s="39" t="n">
        <f aca="false">J2034*Resumo!$C$7</f>
        <v>1.43998</v>
      </c>
      <c r="O2034" s="39" t="n">
        <f aca="false">J2034*Resumo!$C$8</f>
        <v>1.43998</v>
      </c>
      <c r="P2034" s="39" t="n">
        <f aca="false">Resumo!$C$10*CEILING(I2034/100,1)</f>
        <v>1</v>
      </c>
      <c r="Q2034" s="39" t="n">
        <f aca="false">Resumo!$C$9</f>
        <v>11.9</v>
      </c>
      <c r="R2034" s="39" t="n">
        <f aca="false">SUM(M2034:Q2034)*Resumo!$C$11</f>
        <v>5.7188978</v>
      </c>
      <c r="S2034" s="39" t="n">
        <f aca="false">SUM(M2034:R2034)</f>
        <v>109.6988578</v>
      </c>
      <c r="T2034" s="39" t="n">
        <f aca="false">S2034/(1-Resumo!$C$5)</f>
        <v>124.657792954545</v>
      </c>
      <c r="U2034" s="39" t="n">
        <v>131.02</v>
      </c>
      <c r="V2034" s="39" t="n">
        <f aca="false">J2034*Resumo!$B$6</f>
        <v>0.71999</v>
      </c>
      <c r="W2034" s="39" t="n">
        <f aca="false">J2034*Resumo!$B$7</f>
        <v>1.43998</v>
      </c>
      <c r="X2034" s="39" t="n">
        <f aca="false">Resumo!$B$9</f>
        <v>1</v>
      </c>
      <c r="Y2034" s="39" t="n">
        <f aca="false">Resumo!$B$10*CEILING(I2034/100,1)</f>
        <v>4.5</v>
      </c>
      <c r="Z2034" s="39" t="n">
        <f aca="false">Resumo!$B$12*CEILING(I2034,1)</f>
        <v>4.02</v>
      </c>
      <c r="AA2034" s="39" t="n">
        <f aca="false">Resumo!$B$13*CEILING(I2034,1)</f>
        <v>30.15</v>
      </c>
      <c r="AB2034" s="39" t="n">
        <f aca="false">SUM(U2034:AA2034)</f>
        <v>172.84997</v>
      </c>
      <c r="AC2034" s="39" t="n">
        <f aca="false">AB2034/(1-Resumo!$B$5)</f>
        <v>196.420420454545</v>
      </c>
      <c r="AD2034" s="39" t="n">
        <f aca="false">(AB2034-AA2034)/(1-Resumo!$B$5)</f>
        <v>162.159056818182</v>
      </c>
      <c r="AE2034" s="39" t="n">
        <f aca="false">AC2034-T2034</f>
        <v>71.7626275</v>
      </c>
      <c r="AF2034" s="40" t="n">
        <f aca="false">AC2034/T2034-1</f>
        <v>0.575677025873281</v>
      </c>
      <c r="AG2034" s="37" t="str">
        <f aca="false">IF(AC2034&lt;T2034,"SIM","NÃO")</f>
        <v>NÃO</v>
      </c>
      <c r="AH2034" s="37" t="n">
        <v>8</v>
      </c>
      <c r="AI2034" s="37" t="n">
        <v>5</v>
      </c>
      <c r="AJ2034" s="37" t="s">
        <v>323</v>
      </c>
    </row>
    <row r="2035" customFormat="false" ht="15" hidden="false" customHeight="false" outlineLevel="0" collapsed="false">
      <c r="A2035" s="37" t="n">
        <v>398560371</v>
      </c>
      <c r="B2035" s="38" t="n">
        <v>46288.5336111111</v>
      </c>
      <c r="C2035" s="37" t="s">
        <v>325</v>
      </c>
      <c r="D2035" s="37" t="s">
        <v>2140</v>
      </c>
      <c r="E2035" s="37" t="n">
        <v>25911279</v>
      </c>
      <c r="F2035" s="37" t="s">
        <v>156</v>
      </c>
      <c r="G2035" s="37" t="s">
        <v>201</v>
      </c>
      <c r="H2035" s="37" t="s">
        <v>172</v>
      </c>
      <c r="I2035" s="37" t="n">
        <v>64.7</v>
      </c>
      <c r="J2035" s="39" t="n">
        <v>767</v>
      </c>
      <c r="K2035" s="37" t="s">
        <v>322</v>
      </c>
      <c r="L2035" s="39" t="n">
        <v>155.68</v>
      </c>
      <c r="M2035" s="39" t="n">
        <v>113.9</v>
      </c>
      <c r="N2035" s="39" t="n">
        <f aca="false">J2035*Resumo!$C$7</f>
        <v>1.534</v>
      </c>
      <c r="O2035" s="39" t="n">
        <f aca="false">J2035*Resumo!$C$8</f>
        <v>1.534</v>
      </c>
      <c r="P2035" s="39" t="n">
        <f aca="false">Resumo!$C$10*CEILING(I2035/100,1)</f>
        <v>1</v>
      </c>
      <c r="Q2035" s="39" t="n">
        <f aca="false">Resumo!$C$9</f>
        <v>11.9</v>
      </c>
      <c r="R2035" s="39" t="n">
        <f aca="false">SUM(M2035:Q2035)*Resumo!$C$11</f>
        <v>7.14274</v>
      </c>
      <c r="S2035" s="39" t="n">
        <f aca="false">SUM(M2035:R2035)</f>
        <v>137.01074</v>
      </c>
      <c r="T2035" s="39" t="n">
        <f aca="false">S2035/(1-Resumo!$C$5)</f>
        <v>155.694022727273</v>
      </c>
      <c r="U2035" s="39" t="n">
        <v>136.53</v>
      </c>
      <c r="V2035" s="39" t="n">
        <f aca="false">J2035*Resumo!$B$6</f>
        <v>0.767</v>
      </c>
      <c r="W2035" s="39" t="n">
        <f aca="false">J2035*Resumo!$B$7</f>
        <v>1.534</v>
      </c>
      <c r="X2035" s="39" t="n">
        <f aca="false">Resumo!$B$9</f>
        <v>1</v>
      </c>
      <c r="Y2035" s="39" t="n">
        <f aca="false">Resumo!$B$10*CEILING(I2035/100,1)</f>
        <v>4.5</v>
      </c>
      <c r="Z2035" s="39" t="n">
        <f aca="false">Resumo!$B$12*CEILING(I2035,1)</f>
        <v>3.9</v>
      </c>
      <c r="AA2035" s="39" t="n">
        <f aca="false">Resumo!$B$13*CEILING(I2035,1)</f>
        <v>29.25</v>
      </c>
      <c r="AB2035" s="39" t="n">
        <f aca="false">SUM(U2035:AA2035)</f>
        <v>177.481</v>
      </c>
      <c r="AC2035" s="39" t="n">
        <f aca="false">AB2035/(1-Resumo!$B$5)</f>
        <v>201.682954545455</v>
      </c>
      <c r="AD2035" s="39" t="n">
        <f aca="false">(AB2035-AA2035)/(1-Resumo!$B$5)</f>
        <v>168.444318181818</v>
      </c>
      <c r="AE2035" s="39" t="n">
        <f aca="false">AC2035-T2035</f>
        <v>45.9889318181818</v>
      </c>
      <c r="AF2035" s="40" t="n">
        <f aca="false">AC2035/T2035-1</f>
        <v>0.295380201581277</v>
      </c>
      <c r="AG2035" s="37" t="str">
        <f aca="false">IF(AC2035&lt;T2035,"SIM","NÃO")</f>
        <v>NÃO</v>
      </c>
      <c r="AH2035" s="37" t="n">
        <v>13</v>
      </c>
      <c r="AI2035" s="37" t="n">
        <v>6</v>
      </c>
      <c r="AJ2035" s="37" t="s">
        <v>323</v>
      </c>
    </row>
    <row r="2036" customFormat="false" ht="15" hidden="false" customHeight="false" outlineLevel="0" collapsed="false">
      <c r="A2036" s="37" t="n">
        <v>398561244</v>
      </c>
      <c r="B2036" s="38" t="n">
        <v>46288.535150463</v>
      </c>
      <c r="C2036" s="37" t="s">
        <v>325</v>
      </c>
      <c r="D2036" s="37" t="s">
        <v>2141</v>
      </c>
      <c r="E2036" s="37" t="n">
        <v>21921420</v>
      </c>
      <c r="F2036" s="37" t="s">
        <v>139</v>
      </c>
      <c r="G2036" s="37" t="s">
        <v>198</v>
      </c>
      <c r="H2036" s="37" t="s">
        <v>168</v>
      </c>
      <c r="I2036" s="37" t="n">
        <v>22.4</v>
      </c>
      <c r="J2036" s="39" t="n">
        <v>480.58</v>
      </c>
      <c r="K2036" s="37" t="s">
        <v>322</v>
      </c>
      <c r="L2036" s="39" t="n">
        <v>82.62</v>
      </c>
      <c r="M2036" s="39" t="n">
        <v>54.1</v>
      </c>
      <c r="N2036" s="39" t="n">
        <f aca="false">J2036*Resumo!$C$7</f>
        <v>0.96116</v>
      </c>
      <c r="O2036" s="39" t="n">
        <f aca="false">J2036*Resumo!$C$8</f>
        <v>0.96116</v>
      </c>
      <c r="P2036" s="39" t="n">
        <f aca="false">Resumo!$C$10*CEILING(I2036/100,1)</f>
        <v>1</v>
      </c>
      <c r="Q2036" s="39" t="n">
        <f aca="false">Resumo!$C$9</f>
        <v>11.9</v>
      </c>
      <c r="R2036" s="39" t="n">
        <f aca="false">SUM(M2036:Q2036)*Resumo!$C$11</f>
        <v>3.7907276</v>
      </c>
      <c r="S2036" s="39" t="n">
        <f aca="false">SUM(M2036:R2036)</f>
        <v>72.7130476</v>
      </c>
      <c r="T2036" s="39" t="n">
        <f aca="false">S2036/(1-Resumo!$C$5)</f>
        <v>82.6284631818182</v>
      </c>
      <c r="U2036" s="39" t="n">
        <v>82.21</v>
      </c>
      <c r="V2036" s="39" t="n">
        <f aca="false">J2036*Resumo!$B$6</f>
        <v>0.48058</v>
      </c>
      <c r="W2036" s="39" t="n">
        <f aca="false">J2036*Resumo!$B$7</f>
        <v>0.96116</v>
      </c>
      <c r="X2036" s="39" t="n">
        <f aca="false">Resumo!$B$9</f>
        <v>1</v>
      </c>
      <c r="Y2036" s="39" t="n">
        <f aca="false">Resumo!$B$10*CEILING(I2036/100,1)</f>
        <v>4.5</v>
      </c>
      <c r="Z2036" s="39" t="n">
        <f aca="false">Resumo!$B$12*CEILING(I2036,1)</f>
        <v>1.38</v>
      </c>
      <c r="AA2036" s="39" t="n">
        <f aca="false">Resumo!$B$13*CEILING(I2036,1)</f>
        <v>10.35</v>
      </c>
      <c r="AB2036" s="39" t="n">
        <f aca="false">SUM(U2036:AA2036)</f>
        <v>100.88174</v>
      </c>
      <c r="AC2036" s="39" t="n">
        <f aca="false">AB2036/(1-Resumo!$B$5)</f>
        <v>114.638340909091</v>
      </c>
      <c r="AD2036" s="39" t="n">
        <f aca="false">(AB2036-AA2036)/(1-Resumo!$B$5)</f>
        <v>102.876977272727</v>
      </c>
      <c r="AE2036" s="39" t="n">
        <f aca="false">AC2036-T2036</f>
        <v>32.0098777272727</v>
      </c>
      <c r="AF2036" s="40" t="n">
        <f aca="false">AC2036/T2036-1</f>
        <v>0.387395293276086</v>
      </c>
      <c r="AG2036" s="37" t="str">
        <f aca="false">IF(AC2036&lt;T2036,"SIM","NÃO")</f>
        <v>NÃO</v>
      </c>
      <c r="AH2036" s="37" t="n">
        <v>8</v>
      </c>
      <c r="AI2036" s="37" t="n">
        <v>5</v>
      </c>
      <c r="AJ2036" s="37" t="s">
        <v>323</v>
      </c>
    </row>
    <row r="2037" customFormat="false" ht="15" hidden="false" customHeight="false" outlineLevel="0" collapsed="false">
      <c r="A2037" s="37" t="n">
        <v>398567585</v>
      </c>
      <c r="B2037" s="38" t="n">
        <v>46288.5474537037</v>
      </c>
      <c r="C2037" s="37" t="s">
        <v>320</v>
      </c>
      <c r="D2037" s="37" t="s">
        <v>1897</v>
      </c>
      <c r="E2037" s="37" t="n">
        <v>28148000</v>
      </c>
      <c r="F2037" s="37" t="s">
        <v>144</v>
      </c>
      <c r="G2037" s="37" t="s">
        <v>201</v>
      </c>
      <c r="H2037" s="37" t="s">
        <v>169</v>
      </c>
      <c r="I2037" s="37" t="n">
        <v>37.59</v>
      </c>
      <c r="J2037" s="39" t="n">
        <v>469.95</v>
      </c>
      <c r="K2037" s="37" t="s">
        <v>322</v>
      </c>
      <c r="L2037" s="39" t="n">
        <v>122.5</v>
      </c>
      <c r="M2037" s="39" t="n">
        <v>87.4</v>
      </c>
      <c r="N2037" s="39" t="n">
        <f aca="false">J2037*Resumo!$C$7</f>
        <v>0.9399</v>
      </c>
      <c r="O2037" s="39" t="n">
        <f aca="false">J2037*Resumo!$C$8</f>
        <v>0.9399</v>
      </c>
      <c r="P2037" s="39" t="n">
        <f aca="false">Resumo!$C$10*CEILING(I2037/100,1)</f>
        <v>1</v>
      </c>
      <c r="Q2037" s="39" t="n">
        <f aca="false">Resumo!$C$9</f>
        <v>11.9</v>
      </c>
      <c r="R2037" s="39" t="n">
        <f aca="false">SUM(M2037:Q2037)*Resumo!$C$11</f>
        <v>5.619889</v>
      </c>
      <c r="S2037" s="39" t="n">
        <f aca="false">SUM(M2037:R2037)</f>
        <v>107.799689</v>
      </c>
      <c r="T2037" s="39" t="n">
        <f aca="false">S2037/(1-Resumo!$C$5)</f>
        <v>122.499646590909</v>
      </c>
      <c r="U2037" s="39" t="n">
        <v>143.04</v>
      </c>
      <c r="V2037" s="39" t="n">
        <f aca="false">J2037*Resumo!$B$6</f>
        <v>0.46995</v>
      </c>
      <c r="W2037" s="39" t="n">
        <f aca="false">J2037*Resumo!$B$7</f>
        <v>0.9399</v>
      </c>
      <c r="X2037" s="39" t="n">
        <f aca="false">Resumo!$B$9</f>
        <v>1</v>
      </c>
      <c r="Y2037" s="39" t="n">
        <f aca="false">Resumo!$B$10*CEILING(I2037/100,1)</f>
        <v>4.5</v>
      </c>
      <c r="Z2037" s="39" t="n">
        <f aca="false">Resumo!$B$12*CEILING(I2037,1)</f>
        <v>2.28</v>
      </c>
      <c r="AA2037" s="39" t="n">
        <f aca="false">Resumo!$B$13*CEILING(I2037,1)</f>
        <v>17.1</v>
      </c>
      <c r="AB2037" s="39" t="n">
        <f aca="false">SUM(U2037:AA2037)</f>
        <v>169.32985</v>
      </c>
      <c r="AC2037" s="39" t="n">
        <f aca="false">AB2037/(1-Resumo!$B$5)</f>
        <v>192.420284090909</v>
      </c>
      <c r="AD2037" s="39" t="n">
        <f aca="false">(AB2037-AA2037)/(1-Resumo!$B$5)</f>
        <v>172.988465909091</v>
      </c>
      <c r="AE2037" s="39" t="n">
        <f aca="false">AC2037-T2037</f>
        <v>69.9206375</v>
      </c>
      <c r="AF2037" s="40" t="n">
        <f aca="false">AC2037/T2037-1</f>
        <v>0.570782360976941</v>
      </c>
      <c r="AG2037" s="37" t="str">
        <f aca="false">IF(AC2037&lt;T2037,"SIM","NÃO")</f>
        <v>NÃO</v>
      </c>
      <c r="AH2037" s="37" t="n">
        <v>13</v>
      </c>
      <c r="AI2037" s="37" t="n">
        <v>11</v>
      </c>
      <c r="AJ2037" s="37" t="s">
        <v>323</v>
      </c>
    </row>
    <row r="2038" customFormat="false" ht="15" hidden="false" customHeight="false" outlineLevel="0" collapsed="false">
      <c r="A2038" s="37" t="n">
        <v>398569588</v>
      </c>
      <c r="B2038" s="38" t="n">
        <v>46288.557974537</v>
      </c>
      <c r="C2038" s="37" t="s">
        <v>341</v>
      </c>
      <c r="D2038" s="37" t="s">
        <v>2142</v>
      </c>
      <c r="E2038" s="37" t="n">
        <v>23895160</v>
      </c>
      <c r="F2038" s="37" t="s">
        <v>205</v>
      </c>
      <c r="G2038" s="37" t="s">
        <v>201</v>
      </c>
      <c r="H2038" s="37" t="s">
        <v>174</v>
      </c>
      <c r="I2038" s="37" t="n">
        <v>85</v>
      </c>
      <c r="J2038" s="39" t="n">
        <v>1329.99</v>
      </c>
      <c r="K2038" s="37" t="s">
        <v>322</v>
      </c>
      <c r="L2038" s="39" t="n">
        <v>194.97</v>
      </c>
      <c r="M2038" s="39" t="n">
        <v>144.41</v>
      </c>
      <c r="N2038" s="39" t="n">
        <f aca="false">J2038*Resumo!$C$7</f>
        <v>2.65998</v>
      </c>
      <c r="O2038" s="39" t="n">
        <f aca="false">J2038*Resumo!$C$8</f>
        <v>2.65998</v>
      </c>
      <c r="P2038" s="39" t="n">
        <f aca="false">Resumo!$C$10*CEILING(I2038/100,1)</f>
        <v>1</v>
      </c>
      <c r="Q2038" s="39" t="n">
        <f aca="false">Resumo!$C$9</f>
        <v>11.9</v>
      </c>
      <c r="R2038" s="39" t="n">
        <f aca="false">SUM(M2038:Q2038)*Resumo!$C$11</f>
        <v>8.9446478</v>
      </c>
      <c r="S2038" s="39" t="n">
        <f aca="false">SUM(M2038:R2038)</f>
        <v>171.5746078</v>
      </c>
      <c r="T2038" s="39" t="n">
        <f aca="false">S2038/(1-Resumo!$C$5)</f>
        <v>194.971145227273</v>
      </c>
      <c r="U2038" s="39" t="n">
        <v>177.99</v>
      </c>
      <c r="V2038" s="39" t="n">
        <f aca="false">J2038*Resumo!$B$6</f>
        <v>1.32999</v>
      </c>
      <c r="W2038" s="39" t="n">
        <f aca="false">J2038*Resumo!$B$7</f>
        <v>2.65998</v>
      </c>
      <c r="X2038" s="39" t="n">
        <f aca="false">Resumo!$B$9</f>
        <v>1</v>
      </c>
      <c r="Y2038" s="39" t="n">
        <f aca="false">Resumo!$B$10*CEILING(I2038/100,1)</f>
        <v>4.5</v>
      </c>
      <c r="Z2038" s="39" t="n">
        <f aca="false">Resumo!$B$12*CEILING(I2038,1)</f>
        <v>5.1</v>
      </c>
      <c r="AA2038" s="39" t="n">
        <f aca="false">Resumo!$B$13*CEILING(I2038,1)</f>
        <v>38.25</v>
      </c>
      <c r="AB2038" s="39" t="n">
        <f aca="false">SUM(U2038:AA2038)</f>
        <v>230.82997</v>
      </c>
      <c r="AC2038" s="39" t="n">
        <f aca="false">AB2038/(1-Resumo!$B$5)</f>
        <v>262.306784090909</v>
      </c>
      <c r="AD2038" s="39" t="n">
        <f aca="false">(AB2038-AA2038)/(1-Resumo!$B$5)</f>
        <v>218.840875</v>
      </c>
      <c r="AE2038" s="39" t="n">
        <f aca="false">AC2038-T2038</f>
        <v>67.3356388636364</v>
      </c>
      <c r="AF2038" s="40" t="n">
        <f aca="false">AC2038/T2038-1</f>
        <v>0.345362072860294</v>
      </c>
      <c r="AG2038" s="37" t="str">
        <f aca="false">IF(AC2038&lt;T2038,"SIM","NÃO")</f>
        <v>NÃO</v>
      </c>
      <c r="AH2038" s="37" t="n">
        <v>13</v>
      </c>
      <c r="AI2038" s="37" t="n">
        <v>5</v>
      </c>
      <c r="AJ2038" s="37" t="s">
        <v>327</v>
      </c>
    </row>
    <row r="2039" customFormat="false" ht="15" hidden="false" customHeight="false" outlineLevel="0" collapsed="false">
      <c r="A2039" s="37" t="n">
        <v>398575266</v>
      </c>
      <c r="B2039" s="38" t="n">
        <v>46288.5615277778</v>
      </c>
      <c r="C2039" s="37" t="s">
        <v>320</v>
      </c>
      <c r="D2039" s="37" t="s">
        <v>2143</v>
      </c>
      <c r="E2039" s="37" t="n">
        <v>25233289</v>
      </c>
      <c r="F2039" s="37" t="s">
        <v>141</v>
      </c>
      <c r="G2039" s="37" t="s">
        <v>207</v>
      </c>
      <c r="H2039" s="37" t="s">
        <v>169</v>
      </c>
      <c r="I2039" s="37" t="n">
        <v>37.2</v>
      </c>
      <c r="J2039" s="39" t="n">
        <v>366.5</v>
      </c>
      <c r="K2039" s="37" t="s">
        <v>322</v>
      </c>
      <c r="L2039" s="39" t="n">
        <v>112.7</v>
      </c>
      <c r="M2039" s="39" t="n">
        <v>79.65</v>
      </c>
      <c r="N2039" s="39" t="n">
        <f aca="false">J2039*Resumo!$C$7</f>
        <v>0.733</v>
      </c>
      <c r="O2039" s="39" t="n">
        <f aca="false">J2039*Resumo!$C$8</f>
        <v>0.733</v>
      </c>
      <c r="P2039" s="39" t="n">
        <f aca="false">Resumo!$C$10*CEILING(I2039/100,1)</f>
        <v>1</v>
      </c>
      <c r="Q2039" s="39" t="n">
        <f aca="false">Resumo!$C$9</f>
        <v>11.9</v>
      </c>
      <c r="R2039" s="39" t="n">
        <f aca="false">SUM(M2039:Q2039)*Resumo!$C$11</f>
        <v>5.17088</v>
      </c>
      <c r="S2039" s="39" t="n">
        <f aca="false">SUM(M2039:R2039)</f>
        <v>99.18688</v>
      </c>
      <c r="T2039" s="39" t="n">
        <f aca="false">S2039/(1-Resumo!$C$5)</f>
        <v>112.712363636364</v>
      </c>
      <c r="U2039" s="39" t="n">
        <v>93.97</v>
      </c>
      <c r="V2039" s="39" t="n">
        <f aca="false">J2039*Resumo!$B$6</f>
        <v>0.3665</v>
      </c>
      <c r="W2039" s="39" t="n">
        <f aca="false">J2039*Resumo!$B$7</f>
        <v>0.733</v>
      </c>
      <c r="X2039" s="39" t="n">
        <f aca="false">Resumo!$B$9</f>
        <v>1</v>
      </c>
      <c r="Y2039" s="39" t="n">
        <f aca="false">Resumo!$B$10*CEILING(I2039/100,1)</f>
        <v>4.5</v>
      </c>
      <c r="Z2039" s="39" t="n">
        <f aca="false">Resumo!$B$12*CEILING(I2039,1)</f>
        <v>2.28</v>
      </c>
      <c r="AA2039" s="39" t="n">
        <f aca="false">Resumo!$B$13*CEILING(I2039,1)</f>
        <v>17.1</v>
      </c>
      <c r="AB2039" s="39" t="n">
        <f aca="false">SUM(U2039:AA2039)</f>
        <v>119.9495</v>
      </c>
      <c r="AC2039" s="39" t="n">
        <f aca="false">AB2039/(1-Resumo!$B$5)</f>
        <v>136.30625</v>
      </c>
      <c r="AD2039" s="39" t="n">
        <f aca="false">(AB2039-AA2039)/(1-Resumo!$B$5)</f>
        <v>116.874431818182</v>
      </c>
      <c r="AE2039" s="39" t="n">
        <f aca="false">AC2039-T2039</f>
        <v>23.5938863636364</v>
      </c>
      <c r="AF2039" s="40" t="n">
        <f aca="false">AC2039/T2039-1</f>
        <v>0.209328290193219</v>
      </c>
      <c r="AG2039" s="37" t="str">
        <f aca="false">IF(AC2039&lt;T2039,"SIM","NÃO")</f>
        <v>NÃO</v>
      </c>
      <c r="AH2039" s="37" t="n">
        <v>10</v>
      </c>
      <c r="AI2039" s="37" t="n">
        <v>5</v>
      </c>
      <c r="AJ2039" s="37" t="s">
        <v>323</v>
      </c>
    </row>
    <row r="2040" customFormat="false" ht="15" hidden="false" customHeight="false" outlineLevel="0" collapsed="false">
      <c r="A2040" s="37" t="n">
        <v>398587464</v>
      </c>
      <c r="B2040" s="38" t="n">
        <v>46288.5857638889</v>
      </c>
      <c r="C2040" s="37" t="s">
        <v>320</v>
      </c>
      <c r="D2040" s="37" t="s">
        <v>2144</v>
      </c>
      <c r="E2040" s="37" t="n">
        <v>20910063</v>
      </c>
      <c r="F2040" s="37" t="s">
        <v>139</v>
      </c>
      <c r="G2040" s="37" t="s">
        <v>198</v>
      </c>
      <c r="H2040" s="37" t="s">
        <v>170</v>
      </c>
      <c r="I2040" s="37" t="n">
        <v>47.1</v>
      </c>
      <c r="J2040" s="39" t="n">
        <v>619.99</v>
      </c>
      <c r="K2040" s="37" t="s">
        <v>322</v>
      </c>
      <c r="L2040" s="39" t="n">
        <v>103.56</v>
      </c>
      <c r="M2040" s="39" t="n">
        <v>71</v>
      </c>
      <c r="N2040" s="39" t="n">
        <f aca="false">J2040*Resumo!$C$7</f>
        <v>1.23998</v>
      </c>
      <c r="O2040" s="39" t="n">
        <f aca="false">J2040*Resumo!$C$8</f>
        <v>1.23998</v>
      </c>
      <c r="P2040" s="39" t="n">
        <f aca="false">Resumo!$C$10*CEILING(I2040/100,1)</f>
        <v>1</v>
      </c>
      <c r="Q2040" s="39" t="n">
        <f aca="false">Resumo!$C$9</f>
        <v>11.9</v>
      </c>
      <c r="R2040" s="39" t="n">
        <f aca="false">SUM(M2040:Q2040)*Resumo!$C$11</f>
        <v>4.7508978</v>
      </c>
      <c r="S2040" s="39" t="n">
        <f aca="false">SUM(M2040:R2040)</f>
        <v>91.1308578</v>
      </c>
      <c r="T2040" s="39" t="n">
        <f aca="false">S2040/(1-Resumo!$C$5)</f>
        <v>103.557792954545</v>
      </c>
      <c r="U2040" s="39" t="n">
        <v>93.97</v>
      </c>
      <c r="V2040" s="39" t="n">
        <f aca="false">J2040*Resumo!$B$6</f>
        <v>0.61999</v>
      </c>
      <c r="W2040" s="39" t="n">
        <f aca="false">J2040*Resumo!$B$7</f>
        <v>1.23998</v>
      </c>
      <c r="X2040" s="39" t="n">
        <f aca="false">Resumo!$B$9</f>
        <v>1</v>
      </c>
      <c r="Y2040" s="39" t="n">
        <f aca="false">Resumo!$B$10*CEILING(I2040/100,1)</f>
        <v>4.5</v>
      </c>
      <c r="Z2040" s="39" t="n">
        <f aca="false">Resumo!$B$12*CEILING(I2040,1)</f>
        <v>2.88</v>
      </c>
      <c r="AA2040" s="39" t="n">
        <f aca="false">Resumo!$B$13*CEILING(I2040,1)</f>
        <v>21.6</v>
      </c>
      <c r="AB2040" s="39" t="n">
        <f aca="false">SUM(U2040:AA2040)</f>
        <v>125.80997</v>
      </c>
      <c r="AC2040" s="39" t="n">
        <f aca="false">AB2040/(1-Resumo!$B$5)</f>
        <v>142.965875</v>
      </c>
      <c r="AD2040" s="39" t="n">
        <f aca="false">(AB2040-AA2040)/(1-Resumo!$B$5)</f>
        <v>118.420420454545</v>
      </c>
      <c r="AE2040" s="39" t="n">
        <f aca="false">AC2040-T2040</f>
        <v>39.4080820454545</v>
      </c>
      <c r="AF2040" s="40" t="n">
        <f aca="false">AC2040/T2040-1</f>
        <v>0.380541926600849</v>
      </c>
      <c r="AG2040" s="37" t="str">
        <f aca="false">IF(AC2040&lt;T2040,"SIM","NÃO")</f>
        <v>NÃO</v>
      </c>
      <c r="AH2040" s="37" t="n">
        <v>8</v>
      </c>
      <c r="AI2040" s="37" t="n">
        <v>5</v>
      </c>
      <c r="AJ2040" s="37" t="s">
        <v>323</v>
      </c>
    </row>
    <row r="2041" customFormat="false" ht="15" hidden="false" customHeight="false" outlineLevel="0" collapsed="false">
      <c r="A2041" s="37" t="n">
        <v>398588702</v>
      </c>
      <c r="B2041" s="38" t="n">
        <v>46288.5884953704</v>
      </c>
      <c r="C2041" s="37" t="s">
        <v>325</v>
      </c>
      <c r="D2041" s="37" t="s">
        <v>2145</v>
      </c>
      <c r="E2041" s="37" t="n">
        <v>21931574</v>
      </c>
      <c r="F2041" s="37" t="s">
        <v>139</v>
      </c>
      <c r="G2041" s="37" t="s">
        <v>198</v>
      </c>
      <c r="H2041" s="37" t="s">
        <v>170</v>
      </c>
      <c r="I2041" s="37" t="n">
        <v>46.8</v>
      </c>
      <c r="J2041" s="39" t="n">
        <v>522.49</v>
      </c>
      <c r="K2041" s="37" t="s">
        <v>322</v>
      </c>
      <c r="L2041" s="39" t="n">
        <v>103.08</v>
      </c>
      <c r="M2041" s="39" t="n">
        <v>71</v>
      </c>
      <c r="N2041" s="39" t="n">
        <f aca="false">J2041*Resumo!$C$7</f>
        <v>1.04498</v>
      </c>
      <c r="O2041" s="39" t="n">
        <f aca="false">J2041*Resumo!$C$8</f>
        <v>1.04498</v>
      </c>
      <c r="P2041" s="39" t="n">
        <f aca="false">Resumo!$C$10*CEILING(I2041/100,1)</f>
        <v>1</v>
      </c>
      <c r="Q2041" s="39" t="n">
        <f aca="false">Resumo!$C$9</f>
        <v>11.9</v>
      </c>
      <c r="R2041" s="39" t="n">
        <f aca="false">SUM(M2041:Q2041)*Resumo!$C$11</f>
        <v>4.7294478</v>
      </c>
      <c r="S2041" s="39" t="n">
        <f aca="false">SUM(M2041:R2041)</f>
        <v>90.7194078</v>
      </c>
      <c r="T2041" s="39" t="n">
        <f aca="false">S2041/(1-Resumo!$C$5)</f>
        <v>103.090236136364</v>
      </c>
      <c r="U2041" s="39" t="n">
        <v>93.97</v>
      </c>
      <c r="V2041" s="39" t="n">
        <f aca="false">J2041*Resumo!$B$6</f>
        <v>0.52249</v>
      </c>
      <c r="W2041" s="39" t="n">
        <f aca="false">J2041*Resumo!$B$7</f>
        <v>1.04498</v>
      </c>
      <c r="X2041" s="39" t="n">
        <f aca="false">Resumo!$B$9</f>
        <v>1</v>
      </c>
      <c r="Y2041" s="39" t="n">
        <f aca="false">Resumo!$B$10*CEILING(I2041/100,1)</f>
        <v>4.5</v>
      </c>
      <c r="Z2041" s="39" t="n">
        <f aca="false">Resumo!$B$12*CEILING(I2041,1)</f>
        <v>2.82</v>
      </c>
      <c r="AA2041" s="39" t="n">
        <f aca="false">Resumo!$B$13*CEILING(I2041,1)</f>
        <v>21.15</v>
      </c>
      <c r="AB2041" s="39" t="n">
        <f aca="false">SUM(U2041:AA2041)</f>
        <v>125.00747</v>
      </c>
      <c r="AC2041" s="39" t="n">
        <f aca="false">AB2041/(1-Resumo!$B$5)</f>
        <v>142.053943181818</v>
      </c>
      <c r="AD2041" s="39" t="n">
        <f aca="false">(AB2041-AA2041)/(1-Resumo!$B$5)</f>
        <v>118.019852272727</v>
      </c>
      <c r="AE2041" s="39" t="n">
        <f aca="false">AC2041-T2041</f>
        <v>38.9637070454545</v>
      </c>
      <c r="AF2041" s="40" t="n">
        <f aca="false">AC2041/T2041-1</f>
        <v>0.377957297468161</v>
      </c>
      <c r="AG2041" s="37" t="str">
        <f aca="false">IF(AC2041&lt;T2041,"SIM","NÃO")</f>
        <v>NÃO</v>
      </c>
      <c r="AH2041" s="37" t="n">
        <v>8</v>
      </c>
      <c r="AI2041" s="37" t="n">
        <v>5</v>
      </c>
      <c r="AJ2041" s="37" t="s">
        <v>323</v>
      </c>
    </row>
    <row r="2042" customFormat="false" ht="15" hidden="false" customHeight="false" outlineLevel="0" collapsed="false">
      <c r="A2042" s="37" t="n">
        <v>398589505</v>
      </c>
      <c r="B2042" s="38" t="n">
        <v>46288.5903125</v>
      </c>
      <c r="C2042" s="37" t="s">
        <v>325</v>
      </c>
      <c r="D2042" s="37" t="s">
        <v>907</v>
      </c>
      <c r="E2042" s="37" t="n">
        <v>22753501</v>
      </c>
      <c r="F2042" s="37" t="s">
        <v>139</v>
      </c>
      <c r="G2042" s="37" t="s">
        <v>198</v>
      </c>
      <c r="H2042" s="37" t="s">
        <v>168</v>
      </c>
      <c r="I2042" s="37" t="n">
        <v>29.2</v>
      </c>
      <c r="J2042" s="39" t="n">
        <v>474.99</v>
      </c>
      <c r="K2042" s="37" t="s">
        <v>322</v>
      </c>
      <c r="L2042" s="39" t="n">
        <v>82.6</v>
      </c>
      <c r="M2042" s="39" t="n">
        <v>54.1</v>
      </c>
      <c r="N2042" s="39" t="n">
        <f aca="false">J2042*Resumo!$C$7</f>
        <v>0.94998</v>
      </c>
      <c r="O2042" s="39" t="n">
        <f aca="false">J2042*Resumo!$C$8</f>
        <v>0.94998</v>
      </c>
      <c r="P2042" s="39" t="n">
        <f aca="false">Resumo!$C$10*CEILING(I2042/100,1)</f>
        <v>1</v>
      </c>
      <c r="Q2042" s="39" t="n">
        <f aca="false">Resumo!$C$9</f>
        <v>11.9</v>
      </c>
      <c r="R2042" s="39" t="n">
        <f aca="false">SUM(M2042:Q2042)*Resumo!$C$11</f>
        <v>3.7894978</v>
      </c>
      <c r="S2042" s="39" t="n">
        <f aca="false">SUM(M2042:R2042)</f>
        <v>72.6894578</v>
      </c>
      <c r="T2042" s="39" t="n">
        <f aca="false">S2042/(1-Resumo!$C$5)</f>
        <v>82.6016565909091</v>
      </c>
      <c r="U2042" s="39" t="n">
        <v>82.21</v>
      </c>
      <c r="V2042" s="39" t="n">
        <f aca="false">J2042*Resumo!$B$6</f>
        <v>0.47499</v>
      </c>
      <c r="W2042" s="39" t="n">
        <f aca="false">J2042*Resumo!$B$7</f>
        <v>0.94998</v>
      </c>
      <c r="X2042" s="39" t="n">
        <f aca="false">Resumo!$B$9</f>
        <v>1</v>
      </c>
      <c r="Y2042" s="39" t="n">
        <f aca="false">Resumo!$B$10*CEILING(I2042/100,1)</f>
        <v>4.5</v>
      </c>
      <c r="Z2042" s="39" t="n">
        <f aca="false">Resumo!$B$12*CEILING(I2042,1)</f>
        <v>1.8</v>
      </c>
      <c r="AA2042" s="39" t="n">
        <f aca="false">Resumo!$B$13*CEILING(I2042,1)</f>
        <v>13.5</v>
      </c>
      <c r="AB2042" s="39" t="n">
        <f aca="false">SUM(U2042:AA2042)</f>
        <v>104.43497</v>
      </c>
      <c r="AC2042" s="39" t="n">
        <f aca="false">AB2042/(1-Resumo!$B$5)</f>
        <v>118.676102272727</v>
      </c>
      <c r="AD2042" s="39" t="n">
        <f aca="false">(AB2042-AA2042)/(1-Resumo!$B$5)</f>
        <v>103.335193181818</v>
      </c>
      <c r="AE2042" s="39" t="n">
        <f aca="false">AC2042-T2042</f>
        <v>36.0744456818182</v>
      </c>
      <c r="AF2042" s="40" t="n">
        <f aca="false">AC2042/T2042-1</f>
        <v>0.436727871699711</v>
      </c>
      <c r="AG2042" s="37" t="str">
        <f aca="false">IF(AC2042&lt;T2042,"SIM","NÃO")</f>
        <v>NÃO</v>
      </c>
      <c r="AH2042" s="37" t="n">
        <v>8</v>
      </c>
      <c r="AI2042" s="37" t="n">
        <v>5</v>
      </c>
      <c r="AJ2042" s="37" t="s">
        <v>323</v>
      </c>
    </row>
    <row r="2043" customFormat="false" ht="15" hidden="false" customHeight="false" outlineLevel="0" collapsed="false">
      <c r="A2043" s="37" t="n">
        <v>398602283</v>
      </c>
      <c r="B2043" s="38" t="n">
        <v>46288.6174305556</v>
      </c>
      <c r="C2043" s="37" t="s">
        <v>325</v>
      </c>
      <c r="D2043" s="37" t="s">
        <v>2146</v>
      </c>
      <c r="E2043" s="37" t="n">
        <v>27770000</v>
      </c>
      <c r="F2043" s="37" t="s">
        <v>241</v>
      </c>
      <c r="G2043" s="37" t="s">
        <v>201</v>
      </c>
      <c r="H2043" s="37" t="s">
        <v>172</v>
      </c>
      <c r="I2043" s="37" t="n">
        <v>66.8</v>
      </c>
      <c r="J2043" s="39" t="n">
        <v>691.9</v>
      </c>
      <c r="K2043" s="37" t="s">
        <v>322</v>
      </c>
      <c r="L2043" s="39" t="n">
        <v>155.33</v>
      </c>
      <c r="M2043" s="39" t="n">
        <v>113.9</v>
      </c>
      <c r="N2043" s="39" t="n">
        <f aca="false">J2043*Resumo!$C$7</f>
        <v>1.3838</v>
      </c>
      <c r="O2043" s="39" t="n">
        <f aca="false">J2043*Resumo!$C$8</f>
        <v>1.3838</v>
      </c>
      <c r="P2043" s="39" t="n">
        <f aca="false">Resumo!$C$10*CEILING(I2043/100,1)</f>
        <v>1</v>
      </c>
      <c r="Q2043" s="39" t="n">
        <f aca="false">Resumo!$C$9</f>
        <v>11.9</v>
      </c>
      <c r="R2043" s="39" t="n">
        <f aca="false">SUM(M2043:Q2043)*Resumo!$C$11</f>
        <v>7.126218</v>
      </c>
      <c r="S2043" s="39" t="n">
        <f aca="false">SUM(M2043:R2043)</f>
        <v>136.693818</v>
      </c>
      <c r="T2043" s="39" t="n">
        <f aca="false">S2043/(1-Resumo!$C$5)</f>
        <v>155.333884090909</v>
      </c>
      <c r="U2043" s="39" t="n">
        <v>166.05</v>
      </c>
      <c r="V2043" s="39" t="n">
        <f aca="false">J2043*Resumo!$B$6</f>
        <v>0.6919</v>
      </c>
      <c r="W2043" s="39" t="n">
        <f aca="false">J2043*Resumo!$B$7</f>
        <v>1.3838</v>
      </c>
      <c r="X2043" s="39" t="n">
        <f aca="false">Resumo!$B$9</f>
        <v>1</v>
      </c>
      <c r="Y2043" s="39" t="n">
        <f aca="false">Resumo!$B$10*CEILING(I2043/100,1)</f>
        <v>4.5</v>
      </c>
      <c r="Z2043" s="39" t="n">
        <f aca="false">Resumo!$B$12*CEILING(I2043,1)</f>
        <v>4.02</v>
      </c>
      <c r="AA2043" s="39" t="n">
        <f aca="false">Resumo!$B$13*CEILING(I2043,1)</f>
        <v>30.15</v>
      </c>
      <c r="AB2043" s="39" t="n">
        <f aca="false">SUM(U2043:AA2043)</f>
        <v>207.7957</v>
      </c>
      <c r="AC2043" s="39" t="n">
        <f aca="false">AB2043/(1-Resumo!$B$5)</f>
        <v>236.131477272727</v>
      </c>
      <c r="AD2043" s="39" t="n">
        <f aca="false">(AB2043-AA2043)/(1-Resumo!$B$5)</f>
        <v>201.870113636364</v>
      </c>
      <c r="AE2043" s="39" t="n">
        <f aca="false">AC2043-T2043</f>
        <v>80.7975931818182</v>
      </c>
      <c r="AF2043" s="40" t="n">
        <f aca="false">AC2043/T2043-1</f>
        <v>0.520154334997066</v>
      </c>
      <c r="AG2043" s="37" t="str">
        <f aca="false">IF(AC2043&lt;T2043,"SIM","NÃO")</f>
        <v>NÃO</v>
      </c>
      <c r="AH2043" s="37" t="n">
        <v>13</v>
      </c>
      <c r="AI2043" s="37" t="n">
        <v>10</v>
      </c>
      <c r="AJ2043" s="37" t="s">
        <v>327</v>
      </c>
    </row>
    <row r="2044" customFormat="false" ht="15" hidden="false" customHeight="false" outlineLevel="0" collapsed="false">
      <c r="A2044" s="37" t="n">
        <v>398604606</v>
      </c>
      <c r="B2044" s="38" t="n">
        <v>46288.6230555556</v>
      </c>
      <c r="C2044" s="37" t="s">
        <v>355</v>
      </c>
      <c r="D2044" s="37" t="s">
        <v>2147</v>
      </c>
      <c r="E2044" s="37" t="n">
        <v>27966780</v>
      </c>
      <c r="F2044" s="37" t="s">
        <v>146</v>
      </c>
      <c r="G2044" s="37" t="s">
        <v>201</v>
      </c>
      <c r="H2044" s="37" t="s">
        <v>168</v>
      </c>
      <c r="I2044" s="37" t="n">
        <v>31.4</v>
      </c>
      <c r="J2044" s="39" t="n">
        <v>419.99</v>
      </c>
      <c r="K2044" s="37" t="s">
        <v>322</v>
      </c>
      <c r="L2044" s="39" t="n">
        <v>109.19</v>
      </c>
      <c r="M2044" s="39" t="n">
        <v>76.5</v>
      </c>
      <c r="N2044" s="39" t="n">
        <f aca="false">J2044*Resumo!$C$7</f>
        <v>0.83998</v>
      </c>
      <c r="O2044" s="39" t="n">
        <f aca="false">J2044*Resumo!$C$8</f>
        <v>0.83998</v>
      </c>
      <c r="P2044" s="39" t="n">
        <f aca="false">Resumo!$C$10*CEILING(I2044/100,1)</f>
        <v>1</v>
      </c>
      <c r="Q2044" s="39" t="n">
        <f aca="false">Resumo!$C$9</f>
        <v>11.9</v>
      </c>
      <c r="R2044" s="39" t="n">
        <f aca="false">SUM(M2044:Q2044)*Resumo!$C$11</f>
        <v>5.0093978</v>
      </c>
      <c r="S2044" s="39" t="n">
        <f aca="false">SUM(M2044:R2044)</f>
        <v>96.0893578</v>
      </c>
      <c r="T2044" s="39" t="n">
        <f aca="false">S2044/(1-Resumo!$C$5)</f>
        <v>109.192452045455</v>
      </c>
      <c r="U2044" s="39" t="n">
        <v>138.29</v>
      </c>
      <c r="V2044" s="39" t="n">
        <f aca="false">J2044*Resumo!$B$6</f>
        <v>0.41999</v>
      </c>
      <c r="W2044" s="39" t="n">
        <f aca="false">J2044*Resumo!$B$7</f>
        <v>0.83998</v>
      </c>
      <c r="X2044" s="39" t="n">
        <f aca="false">Resumo!$B$9</f>
        <v>1</v>
      </c>
      <c r="Y2044" s="39" t="n">
        <f aca="false">Resumo!$B$10*CEILING(I2044/100,1)</f>
        <v>4.5</v>
      </c>
      <c r="Z2044" s="39" t="n">
        <f aca="false">Resumo!$B$12*CEILING(I2044,1)</f>
        <v>1.92</v>
      </c>
      <c r="AA2044" s="39" t="n">
        <f aca="false">Resumo!$B$13*CEILING(I2044,1)</f>
        <v>14.4</v>
      </c>
      <c r="AB2044" s="39" t="n">
        <f aca="false">SUM(U2044:AA2044)</f>
        <v>161.36997</v>
      </c>
      <c r="AC2044" s="39" t="n">
        <f aca="false">AB2044/(1-Resumo!$B$5)</f>
        <v>183.374965909091</v>
      </c>
      <c r="AD2044" s="39" t="n">
        <f aca="false">(AB2044-AA2044)/(1-Resumo!$B$5)</f>
        <v>167.011329545455</v>
      </c>
      <c r="AE2044" s="39" t="n">
        <f aca="false">AC2044-T2044</f>
        <v>74.1825138636363</v>
      </c>
      <c r="AF2044" s="40" t="n">
        <f aca="false">AC2044/T2044-1</f>
        <v>0.679374008679242</v>
      </c>
      <c r="AG2044" s="37" t="str">
        <f aca="false">IF(AC2044&lt;T2044,"SIM","NÃO")</f>
        <v>NÃO</v>
      </c>
      <c r="AH2044" s="37" t="n">
        <v>13</v>
      </c>
      <c r="AI2044" s="37" t="n">
        <v>11</v>
      </c>
      <c r="AJ2044" s="37" t="s">
        <v>323</v>
      </c>
    </row>
    <row r="2045" customFormat="false" ht="15" hidden="false" customHeight="false" outlineLevel="0" collapsed="false">
      <c r="A2045" s="37" t="n">
        <v>398607745</v>
      </c>
      <c r="B2045" s="38" t="n">
        <v>46288.6290046296</v>
      </c>
      <c r="C2045" s="37" t="s">
        <v>320</v>
      </c>
      <c r="D2045" s="37" t="s">
        <v>2148</v>
      </c>
      <c r="E2045" s="37" t="n">
        <v>21321250</v>
      </c>
      <c r="F2045" s="37" t="s">
        <v>139</v>
      </c>
      <c r="G2045" s="37" t="s">
        <v>198</v>
      </c>
      <c r="H2045" s="37" t="s">
        <v>169</v>
      </c>
      <c r="I2045" s="37" t="n">
        <v>36.9</v>
      </c>
      <c r="J2045" s="39" t="n">
        <v>439.99</v>
      </c>
      <c r="K2045" s="37" t="s">
        <v>322</v>
      </c>
      <c r="L2045" s="39" t="n">
        <v>91.97</v>
      </c>
      <c r="M2045" s="39" t="n">
        <v>62.05</v>
      </c>
      <c r="N2045" s="39" t="n">
        <f aca="false">J2045*Resumo!$C$7</f>
        <v>0.87998</v>
      </c>
      <c r="O2045" s="39" t="n">
        <f aca="false">J2045*Resumo!$C$8</f>
        <v>0.87998</v>
      </c>
      <c r="P2045" s="39" t="n">
        <f aca="false">Resumo!$C$10*CEILING(I2045/100,1)</f>
        <v>1</v>
      </c>
      <c r="Q2045" s="39" t="n">
        <f aca="false">Resumo!$C$9</f>
        <v>11.9</v>
      </c>
      <c r="R2045" s="39" t="n">
        <f aca="false">SUM(M2045:Q2045)*Resumo!$C$11</f>
        <v>4.2190478</v>
      </c>
      <c r="S2045" s="39" t="n">
        <f aca="false">SUM(M2045:R2045)</f>
        <v>80.9290078</v>
      </c>
      <c r="T2045" s="39" t="n">
        <f aca="false">S2045/(1-Resumo!$C$5)</f>
        <v>91.9647815909091</v>
      </c>
      <c r="U2045" s="39" t="n">
        <v>93.97</v>
      </c>
      <c r="V2045" s="39" t="n">
        <f aca="false">J2045*Resumo!$B$6</f>
        <v>0.43999</v>
      </c>
      <c r="W2045" s="39" t="n">
        <f aca="false">J2045*Resumo!$B$7</f>
        <v>0.87998</v>
      </c>
      <c r="X2045" s="39" t="n">
        <f aca="false">Resumo!$B$9</f>
        <v>1</v>
      </c>
      <c r="Y2045" s="39" t="n">
        <f aca="false">Resumo!$B$10*CEILING(I2045/100,1)</f>
        <v>4.5</v>
      </c>
      <c r="Z2045" s="39" t="n">
        <f aca="false">Resumo!$B$12*CEILING(I2045,1)</f>
        <v>2.22</v>
      </c>
      <c r="AA2045" s="39" t="n">
        <f aca="false">Resumo!$B$13*CEILING(I2045,1)</f>
        <v>16.65</v>
      </c>
      <c r="AB2045" s="39" t="n">
        <f aca="false">SUM(U2045:AA2045)</f>
        <v>119.65997</v>
      </c>
      <c r="AC2045" s="39" t="n">
        <f aca="false">AB2045/(1-Resumo!$B$5)</f>
        <v>135.977238636364</v>
      </c>
      <c r="AD2045" s="39" t="n">
        <f aca="false">(AB2045-AA2045)/(1-Resumo!$B$5)</f>
        <v>117.056784090909</v>
      </c>
      <c r="AE2045" s="39" t="n">
        <f aca="false">AC2045-T2045</f>
        <v>44.0124570454546</v>
      </c>
      <c r="AF2045" s="40" t="n">
        <f aca="false">AC2045/T2045-1</f>
        <v>0.478579476665721</v>
      </c>
      <c r="AG2045" s="37" t="str">
        <f aca="false">IF(AC2045&lt;T2045,"SIM","NÃO")</f>
        <v>NÃO</v>
      </c>
      <c r="AH2045" s="37" t="n">
        <v>8</v>
      </c>
      <c r="AI2045" s="37" t="n">
        <v>5</v>
      </c>
      <c r="AJ2045" s="37" t="s">
        <v>323</v>
      </c>
    </row>
    <row r="2046" customFormat="false" ht="15" hidden="false" customHeight="false" outlineLevel="0" collapsed="false">
      <c r="A2046" s="37" t="n">
        <v>398611702</v>
      </c>
      <c r="B2046" s="38" t="n">
        <v>46288.6371759259</v>
      </c>
      <c r="C2046" s="37" t="s">
        <v>320</v>
      </c>
      <c r="D2046" s="37" t="s">
        <v>2149</v>
      </c>
      <c r="E2046" s="37" t="n">
        <v>25520430</v>
      </c>
      <c r="F2046" s="37" t="s">
        <v>147</v>
      </c>
      <c r="G2046" s="37" t="s">
        <v>207</v>
      </c>
      <c r="H2046" s="37" t="s">
        <v>172</v>
      </c>
      <c r="I2046" s="37" t="n">
        <v>66.8</v>
      </c>
      <c r="J2046" s="39" t="n">
        <v>666.23</v>
      </c>
      <c r="K2046" s="37" t="s">
        <v>322</v>
      </c>
      <c r="L2046" s="39" t="n">
        <v>139.62</v>
      </c>
      <c r="M2046" s="39" t="n">
        <v>100.9</v>
      </c>
      <c r="N2046" s="39" t="n">
        <f aca="false">J2046*Resumo!$C$7</f>
        <v>1.33246</v>
      </c>
      <c r="O2046" s="39" t="n">
        <f aca="false">J2046*Resumo!$C$8</f>
        <v>1.33246</v>
      </c>
      <c r="P2046" s="39" t="n">
        <f aca="false">Resumo!$C$10*CEILING(I2046/100,1)</f>
        <v>1</v>
      </c>
      <c r="Q2046" s="39" t="n">
        <f aca="false">Resumo!$C$9</f>
        <v>11.9</v>
      </c>
      <c r="R2046" s="39" t="n">
        <f aca="false">SUM(M2046:Q2046)*Resumo!$C$11</f>
        <v>6.4055706</v>
      </c>
      <c r="S2046" s="39" t="n">
        <f aca="false">SUM(M2046:R2046)</f>
        <v>122.8704906</v>
      </c>
      <c r="T2046" s="39" t="n">
        <f aca="false">S2046/(1-Resumo!$C$5)</f>
        <v>139.6255575</v>
      </c>
      <c r="U2046" s="39" t="n">
        <v>131.02</v>
      </c>
      <c r="V2046" s="39" t="n">
        <f aca="false">J2046*Resumo!$B$6</f>
        <v>0.66623</v>
      </c>
      <c r="W2046" s="39" t="n">
        <f aca="false">J2046*Resumo!$B$7</f>
        <v>1.33246</v>
      </c>
      <c r="X2046" s="39" t="n">
        <f aca="false">Resumo!$B$9</f>
        <v>1</v>
      </c>
      <c r="Y2046" s="39" t="n">
        <f aca="false">Resumo!$B$10*CEILING(I2046/100,1)</f>
        <v>4.5</v>
      </c>
      <c r="Z2046" s="39" t="n">
        <f aca="false">Resumo!$B$12*CEILING(I2046,1)</f>
        <v>4.02</v>
      </c>
      <c r="AA2046" s="39" t="n">
        <f aca="false">Resumo!$B$13*CEILING(I2046,1)</f>
        <v>30.15</v>
      </c>
      <c r="AB2046" s="39" t="n">
        <f aca="false">SUM(U2046:AA2046)</f>
        <v>172.68869</v>
      </c>
      <c r="AC2046" s="39" t="n">
        <f aca="false">AB2046/(1-Resumo!$B$5)</f>
        <v>196.237147727273</v>
      </c>
      <c r="AD2046" s="39" t="n">
        <f aca="false">(AB2046-AA2046)/(1-Resumo!$B$5)</f>
        <v>161.975784090909</v>
      </c>
      <c r="AE2046" s="39" t="n">
        <f aca="false">AC2046-T2046</f>
        <v>56.6115902272727</v>
      </c>
      <c r="AF2046" s="40" t="n">
        <f aca="false">AC2046/T2046-1</f>
        <v>0.405452921663519</v>
      </c>
      <c r="AG2046" s="37" t="str">
        <f aca="false">IF(AC2046&lt;T2046,"SIM","NÃO")</f>
        <v>NÃO</v>
      </c>
      <c r="AH2046" s="37" t="n">
        <v>10</v>
      </c>
      <c r="AI2046" s="37" t="n">
        <v>5</v>
      </c>
      <c r="AJ2046" s="37" t="s">
        <v>323</v>
      </c>
    </row>
    <row r="2047" customFormat="false" ht="15" hidden="false" customHeight="false" outlineLevel="0" collapsed="false">
      <c r="A2047" s="37" t="n">
        <v>398628166</v>
      </c>
      <c r="B2047" s="38" t="n">
        <v>46288.6532523148</v>
      </c>
      <c r="C2047" s="37" t="s">
        <v>517</v>
      </c>
      <c r="D2047" s="37" t="s">
        <v>2150</v>
      </c>
      <c r="E2047" s="37" t="n">
        <v>22630010</v>
      </c>
      <c r="F2047" s="37" t="s">
        <v>139</v>
      </c>
      <c r="G2047" s="37" t="s">
        <v>198</v>
      </c>
      <c r="H2047" s="37" t="s">
        <v>168</v>
      </c>
      <c r="I2047" s="37" t="n">
        <v>21.3</v>
      </c>
      <c r="J2047" s="39" t="n">
        <v>218.02</v>
      </c>
      <c r="K2047" s="37" t="s">
        <v>322</v>
      </c>
      <c r="L2047" s="39" t="n">
        <v>81.38</v>
      </c>
      <c r="M2047" s="39" t="n">
        <v>54.1</v>
      </c>
      <c r="N2047" s="39" t="n">
        <f aca="false">J2047*Resumo!$C$7</f>
        <v>0.43604</v>
      </c>
      <c r="O2047" s="39" t="n">
        <f aca="false">J2047*Resumo!$C$8</f>
        <v>0.43604</v>
      </c>
      <c r="P2047" s="39" t="n">
        <f aca="false">Resumo!$C$10*CEILING(I2047/100,1)</f>
        <v>1</v>
      </c>
      <c r="Q2047" s="39" t="n">
        <f aca="false">Resumo!$C$9</f>
        <v>11.9</v>
      </c>
      <c r="R2047" s="39" t="n">
        <f aca="false">SUM(M2047:Q2047)*Resumo!$C$11</f>
        <v>3.7329644</v>
      </c>
      <c r="S2047" s="39" t="n">
        <f aca="false">SUM(M2047:R2047)</f>
        <v>71.6050444</v>
      </c>
      <c r="T2047" s="39" t="n">
        <f aca="false">S2047/(1-Resumo!$C$5)</f>
        <v>81.3693686363636</v>
      </c>
      <c r="U2047" s="39" t="n">
        <v>82.21</v>
      </c>
      <c r="V2047" s="39" t="n">
        <f aca="false">J2047*Resumo!$B$6</f>
        <v>0.21802</v>
      </c>
      <c r="W2047" s="39" t="n">
        <f aca="false">J2047*Resumo!$B$7</f>
        <v>0.43604</v>
      </c>
      <c r="X2047" s="39" t="n">
        <f aca="false">Resumo!$B$9</f>
        <v>1</v>
      </c>
      <c r="Y2047" s="39" t="n">
        <f aca="false">Resumo!$B$10*CEILING(I2047/100,1)</f>
        <v>4.5</v>
      </c>
      <c r="Z2047" s="39" t="n">
        <f aca="false">Resumo!$B$12*CEILING(I2047,1)</f>
        <v>1.32</v>
      </c>
      <c r="AA2047" s="39" t="n">
        <f aca="false">Resumo!$B$13*CEILING(I2047,1)</f>
        <v>9.9</v>
      </c>
      <c r="AB2047" s="39" t="n">
        <f aca="false">SUM(U2047:AA2047)</f>
        <v>99.58406</v>
      </c>
      <c r="AC2047" s="39" t="n">
        <f aca="false">AB2047/(1-Resumo!$B$5)</f>
        <v>113.163704545455</v>
      </c>
      <c r="AD2047" s="39" t="n">
        <f aca="false">(AB2047-AA2047)/(1-Resumo!$B$5)</f>
        <v>101.913704545455</v>
      </c>
      <c r="AE2047" s="39" t="n">
        <f aca="false">AC2047-T2047</f>
        <v>31.7943359090909</v>
      </c>
      <c r="AF2047" s="40" t="n">
        <f aca="false">AC2047/T2047-1</f>
        <v>0.390740845626792</v>
      </c>
      <c r="AG2047" s="37" t="str">
        <f aca="false">IF(AC2047&lt;T2047,"SIM","NÃO")</f>
        <v>NÃO</v>
      </c>
      <c r="AH2047" s="37" t="n">
        <v>8</v>
      </c>
      <c r="AI2047" s="37" t="n">
        <v>5</v>
      </c>
      <c r="AJ2047" s="37" t="s">
        <v>323</v>
      </c>
    </row>
    <row r="2048" customFormat="false" ht="15" hidden="false" customHeight="false" outlineLevel="0" collapsed="false">
      <c r="A2048" s="37" t="n">
        <v>398638838</v>
      </c>
      <c r="B2048" s="38" t="n">
        <v>46288.6967592593</v>
      </c>
      <c r="C2048" s="37" t="s">
        <v>320</v>
      </c>
      <c r="D2048" s="37" t="s">
        <v>2151</v>
      </c>
      <c r="E2048" s="37" t="n">
        <v>21310310</v>
      </c>
      <c r="F2048" s="37" t="s">
        <v>139</v>
      </c>
      <c r="G2048" s="37" t="s">
        <v>198</v>
      </c>
      <c r="H2048" s="37" t="s">
        <v>171</v>
      </c>
      <c r="I2048" s="37" t="n">
        <v>52.3</v>
      </c>
      <c r="J2048" s="39" t="n">
        <v>592.37</v>
      </c>
      <c r="K2048" s="37" t="s">
        <v>322</v>
      </c>
      <c r="L2048" s="39" t="n">
        <v>113.98</v>
      </c>
      <c r="M2048" s="39" t="n">
        <v>79.81</v>
      </c>
      <c r="N2048" s="39" t="n">
        <f aca="false">J2048*Resumo!$C$7</f>
        <v>1.18474</v>
      </c>
      <c r="O2048" s="39" t="n">
        <f aca="false">J2048*Resumo!$C$8</f>
        <v>1.18474</v>
      </c>
      <c r="P2048" s="39" t="n">
        <f aca="false">Resumo!$C$10*CEILING(I2048/100,1)</f>
        <v>1</v>
      </c>
      <c r="Q2048" s="39" t="n">
        <f aca="false">Resumo!$C$9</f>
        <v>11.9</v>
      </c>
      <c r="R2048" s="39" t="n">
        <f aca="false">SUM(M2048:Q2048)*Resumo!$C$11</f>
        <v>5.2293714</v>
      </c>
      <c r="S2048" s="39" t="n">
        <f aca="false">SUM(M2048:R2048)</f>
        <v>100.3088514</v>
      </c>
      <c r="T2048" s="39" t="n">
        <f aca="false">S2048/(1-Resumo!$C$5)</f>
        <v>113.987331136364</v>
      </c>
      <c r="U2048" s="39" t="n">
        <v>112.3</v>
      </c>
      <c r="V2048" s="39" t="n">
        <f aca="false">J2048*Resumo!$B$6</f>
        <v>0.59237</v>
      </c>
      <c r="W2048" s="39" t="n">
        <f aca="false">J2048*Resumo!$B$7</f>
        <v>1.18474</v>
      </c>
      <c r="X2048" s="39" t="n">
        <f aca="false">Resumo!$B$9</f>
        <v>1</v>
      </c>
      <c r="Y2048" s="39" t="n">
        <f aca="false">Resumo!$B$10*CEILING(I2048/100,1)</f>
        <v>4.5</v>
      </c>
      <c r="Z2048" s="39" t="n">
        <f aca="false">Resumo!$B$12*CEILING(I2048,1)</f>
        <v>3.18</v>
      </c>
      <c r="AA2048" s="39" t="n">
        <f aca="false">Resumo!$B$13*CEILING(I2048,1)</f>
        <v>23.85</v>
      </c>
      <c r="AB2048" s="39" t="n">
        <f aca="false">SUM(U2048:AA2048)</f>
        <v>146.60711</v>
      </c>
      <c r="AC2048" s="39" t="n">
        <f aca="false">AB2048/(1-Resumo!$B$5)</f>
        <v>166.598988636364</v>
      </c>
      <c r="AD2048" s="39" t="n">
        <f aca="false">(AB2048-AA2048)/(1-Resumo!$B$5)</f>
        <v>139.496715909091</v>
      </c>
      <c r="AE2048" s="39" t="n">
        <f aca="false">AC2048-T2048</f>
        <v>52.6116575</v>
      </c>
      <c r="AF2048" s="40" t="n">
        <f aca="false">AC2048/T2048-1</f>
        <v>0.461557060556672</v>
      </c>
      <c r="AG2048" s="37" t="str">
        <f aca="false">IF(AC2048&lt;T2048,"SIM","NÃO")</f>
        <v>NÃO</v>
      </c>
      <c r="AH2048" s="37" t="n">
        <v>8</v>
      </c>
      <c r="AI2048" s="37" t="n">
        <v>5</v>
      </c>
      <c r="AJ2048" s="37" t="s">
        <v>323</v>
      </c>
    </row>
    <row r="2049" customFormat="false" ht="15" hidden="false" customHeight="false" outlineLevel="0" collapsed="false">
      <c r="A2049" s="37" t="n">
        <v>398643005</v>
      </c>
      <c r="B2049" s="38" t="n">
        <v>46288.7064467593</v>
      </c>
      <c r="C2049" s="37" t="s">
        <v>320</v>
      </c>
      <c r="D2049" s="37" t="s">
        <v>2152</v>
      </c>
      <c r="E2049" s="37" t="n">
        <v>27281422</v>
      </c>
      <c r="F2049" s="37" t="s">
        <v>148</v>
      </c>
      <c r="G2049" s="37" t="s">
        <v>201</v>
      </c>
      <c r="H2049" s="37" t="s">
        <v>168</v>
      </c>
      <c r="I2049" s="37" t="n">
        <v>27.4</v>
      </c>
      <c r="J2049" s="39" t="n">
        <v>369.99</v>
      </c>
      <c r="K2049" s="37" t="s">
        <v>322</v>
      </c>
      <c r="L2049" s="39" t="n">
        <v>108.95</v>
      </c>
      <c r="M2049" s="39" t="n">
        <v>76.5</v>
      </c>
      <c r="N2049" s="39" t="n">
        <f aca="false">J2049*Resumo!$C$7</f>
        <v>0.73998</v>
      </c>
      <c r="O2049" s="39" t="n">
        <f aca="false">J2049*Resumo!$C$8</f>
        <v>0.73998</v>
      </c>
      <c r="P2049" s="39" t="n">
        <f aca="false">Resumo!$C$10*CEILING(I2049/100,1)</f>
        <v>1</v>
      </c>
      <c r="Q2049" s="39" t="n">
        <f aca="false">Resumo!$C$9</f>
        <v>11.9</v>
      </c>
      <c r="R2049" s="39" t="n">
        <f aca="false">SUM(M2049:Q2049)*Resumo!$C$11</f>
        <v>4.9983978</v>
      </c>
      <c r="S2049" s="39" t="n">
        <f aca="false">SUM(M2049:R2049)</f>
        <v>95.8783578</v>
      </c>
      <c r="T2049" s="39" t="n">
        <f aca="false">S2049/(1-Resumo!$C$5)</f>
        <v>108.952679318182</v>
      </c>
      <c r="U2049" s="39" t="n">
        <v>108.83</v>
      </c>
      <c r="V2049" s="39" t="n">
        <f aca="false">J2049*Resumo!$B$6</f>
        <v>0.36999</v>
      </c>
      <c r="W2049" s="39" t="n">
        <f aca="false">J2049*Resumo!$B$7</f>
        <v>0.73998</v>
      </c>
      <c r="X2049" s="39" t="n">
        <f aca="false">Resumo!$B$9</f>
        <v>1</v>
      </c>
      <c r="Y2049" s="39" t="n">
        <f aca="false">Resumo!$B$10*CEILING(I2049/100,1)</f>
        <v>4.5</v>
      </c>
      <c r="Z2049" s="39" t="n">
        <f aca="false">Resumo!$B$12*CEILING(I2049,1)</f>
        <v>1.68</v>
      </c>
      <c r="AA2049" s="39" t="n">
        <f aca="false">Resumo!$B$13*CEILING(I2049,1)</f>
        <v>12.6</v>
      </c>
      <c r="AB2049" s="39" t="n">
        <f aca="false">SUM(U2049:AA2049)</f>
        <v>129.71997</v>
      </c>
      <c r="AC2049" s="39" t="n">
        <f aca="false">AB2049/(1-Resumo!$B$5)</f>
        <v>147.409056818182</v>
      </c>
      <c r="AD2049" s="39" t="n">
        <f aca="false">(AB2049-AA2049)/(1-Resumo!$B$5)</f>
        <v>133.090875</v>
      </c>
      <c r="AE2049" s="39" t="n">
        <f aca="false">AC2049-T2049</f>
        <v>38.4563775</v>
      </c>
      <c r="AF2049" s="40" t="n">
        <f aca="false">AC2049/T2049-1</f>
        <v>0.352964036686911</v>
      </c>
      <c r="AG2049" s="37" t="str">
        <f aca="false">IF(AC2049&lt;T2049,"SIM","NÃO")</f>
        <v>NÃO</v>
      </c>
      <c r="AH2049" s="37" t="n">
        <v>13</v>
      </c>
      <c r="AI2049" s="37" t="n">
        <v>10</v>
      </c>
      <c r="AJ2049" s="37" t="s">
        <v>323</v>
      </c>
    </row>
    <row r="2050" customFormat="false" ht="15" hidden="false" customHeight="false" outlineLevel="0" collapsed="false">
      <c r="A2050" s="37" t="n">
        <v>398642492</v>
      </c>
      <c r="B2050" s="38" t="n">
        <v>46288.7096296296</v>
      </c>
      <c r="C2050" s="37" t="s">
        <v>341</v>
      </c>
      <c r="D2050" s="37" t="s">
        <v>2153</v>
      </c>
      <c r="E2050" s="37" t="n">
        <v>24731070</v>
      </c>
      <c r="F2050" s="37" t="s">
        <v>140</v>
      </c>
      <c r="G2050" s="37" t="s">
        <v>207</v>
      </c>
      <c r="H2050" s="37" t="s">
        <v>168</v>
      </c>
      <c r="I2050" s="37" t="n">
        <v>22.4</v>
      </c>
      <c r="J2050" s="39" t="n">
        <v>559.99</v>
      </c>
      <c r="K2050" s="37" t="s">
        <v>322</v>
      </c>
      <c r="L2050" s="39" t="n">
        <v>102.07</v>
      </c>
      <c r="M2050" s="39" t="n">
        <v>70</v>
      </c>
      <c r="N2050" s="39" t="n">
        <f aca="false">J2050*Resumo!$C$7</f>
        <v>1.11998</v>
      </c>
      <c r="O2050" s="39" t="n">
        <f aca="false">J2050*Resumo!$C$8</f>
        <v>1.11998</v>
      </c>
      <c r="P2050" s="39" t="n">
        <f aca="false">Resumo!$C$10*CEILING(I2050/100,1)</f>
        <v>1</v>
      </c>
      <c r="Q2050" s="39" t="n">
        <f aca="false">Resumo!$C$9</f>
        <v>11.9</v>
      </c>
      <c r="R2050" s="39" t="n">
        <f aca="false">SUM(M2050:Q2050)*Resumo!$C$11</f>
        <v>4.6826978</v>
      </c>
      <c r="S2050" s="39" t="n">
        <f aca="false">SUM(M2050:R2050)</f>
        <v>89.8226578</v>
      </c>
      <c r="T2050" s="39" t="n">
        <f aca="false">S2050/(1-Resumo!$C$5)</f>
        <v>102.071202045455</v>
      </c>
      <c r="U2050" s="39" t="n">
        <v>100.58</v>
      </c>
      <c r="V2050" s="39" t="n">
        <f aca="false">J2050*Resumo!$B$6</f>
        <v>0.55999</v>
      </c>
      <c r="W2050" s="39" t="n">
        <f aca="false">J2050*Resumo!$B$7</f>
        <v>1.11998</v>
      </c>
      <c r="X2050" s="39" t="n">
        <f aca="false">Resumo!$B$9</f>
        <v>1</v>
      </c>
      <c r="Y2050" s="39" t="n">
        <f aca="false">Resumo!$B$10*CEILING(I2050/100,1)</f>
        <v>4.5</v>
      </c>
      <c r="Z2050" s="39" t="n">
        <f aca="false">Resumo!$B$12*CEILING(I2050,1)</f>
        <v>1.38</v>
      </c>
      <c r="AA2050" s="39" t="n">
        <f aca="false">Resumo!$B$13*CEILING(I2050,1)</f>
        <v>10.35</v>
      </c>
      <c r="AB2050" s="39" t="n">
        <f aca="false">SUM(U2050:AA2050)</f>
        <v>119.48997</v>
      </c>
      <c r="AC2050" s="39" t="n">
        <f aca="false">AB2050/(1-Resumo!$B$5)</f>
        <v>135.784056818182</v>
      </c>
      <c r="AD2050" s="39" t="n">
        <f aca="false">(AB2050-AA2050)/(1-Resumo!$B$5)</f>
        <v>124.022693181818</v>
      </c>
      <c r="AE2050" s="39" t="n">
        <f aca="false">AC2050-T2050</f>
        <v>33.7128547727273</v>
      </c>
      <c r="AF2050" s="40" t="n">
        <f aca="false">AC2050/T2050-1</f>
        <v>0.330287623709126</v>
      </c>
      <c r="AG2050" s="37" t="str">
        <f aca="false">IF(AC2050&lt;T2050,"SIM","NÃO")</f>
        <v>NÃO</v>
      </c>
      <c r="AH2050" s="37" t="n">
        <v>10</v>
      </c>
      <c r="AI2050" s="37" t="n">
        <v>7</v>
      </c>
      <c r="AJ2050" s="37" t="s">
        <v>323</v>
      </c>
    </row>
    <row r="2051" customFormat="false" ht="15" hidden="false" customHeight="false" outlineLevel="0" collapsed="false">
      <c r="A2051" s="37" t="n">
        <v>398645942</v>
      </c>
      <c r="B2051" s="38" t="n">
        <v>46288.7116319445</v>
      </c>
      <c r="C2051" s="37" t="s">
        <v>325</v>
      </c>
      <c r="D2051" s="37" t="s">
        <v>2154</v>
      </c>
      <c r="E2051" s="37" t="n">
        <v>23028255</v>
      </c>
      <c r="F2051" s="37" t="s">
        <v>139</v>
      </c>
      <c r="G2051" s="37" t="s">
        <v>198</v>
      </c>
      <c r="H2051" s="37" t="s">
        <v>170</v>
      </c>
      <c r="I2051" s="37" t="n">
        <v>48</v>
      </c>
      <c r="J2051" s="39" t="n">
        <v>829.99</v>
      </c>
      <c r="K2051" s="37" t="s">
        <v>322</v>
      </c>
      <c r="L2051" s="39" t="n">
        <v>104.57</v>
      </c>
      <c r="M2051" s="39" t="n">
        <v>71</v>
      </c>
      <c r="N2051" s="39" t="n">
        <f aca="false">J2051*Resumo!$C$7</f>
        <v>1.65998</v>
      </c>
      <c r="O2051" s="39" t="n">
        <f aca="false">J2051*Resumo!$C$8</f>
        <v>1.65998</v>
      </c>
      <c r="P2051" s="39" t="n">
        <f aca="false">Resumo!$C$10*CEILING(I2051/100,1)</f>
        <v>1</v>
      </c>
      <c r="Q2051" s="39" t="n">
        <f aca="false">Resumo!$C$9</f>
        <v>11.9</v>
      </c>
      <c r="R2051" s="39" t="n">
        <f aca="false">SUM(M2051:Q2051)*Resumo!$C$11</f>
        <v>4.7970978</v>
      </c>
      <c r="S2051" s="39" t="n">
        <f aca="false">SUM(M2051:R2051)</f>
        <v>92.0170578</v>
      </c>
      <c r="T2051" s="39" t="n">
        <f aca="false">S2051/(1-Resumo!$C$5)</f>
        <v>104.564838409091</v>
      </c>
      <c r="U2051" s="39" t="n">
        <v>93.97</v>
      </c>
      <c r="V2051" s="39" t="n">
        <f aca="false">J2051*Resumo!$B$6</f>
        <v>0.82999</v>
      </c>
      <c r="W2051" s="39" t="n">
        <f aca="false">J2051*Resumo!$B$7</f>
        <v>1.65998</v>
      </c>
      <c r="X2051" s="39" t="n">
        <f aca="false">Resumo!$B$9</f>
        <v>1</v>
      </c>
      <c r="Y2051" s="39" t="n">
        <f aca="false">Resumo!$B$10*CEILING(I2051/100,1)</f>
        <v>4.5</v>
      </c>
      <c r="Z2051" s="39" t="n">
        <f aca="false">Resumo!$B$12*CEILING(I2051,1)</f>
        <v>2.88</v>
      </c>
      <c r="AA2051" s="39" t="n">
        <f aca="false">Resumo!$B$13*CEILING(I2051,1)</f>
        <v>21.6</v>
      </c>
      <c r="AB2051" s="39" t="n">
        <f aca="false">SUM(U2051:AA2051)</f>
        <v>126.43997</v>
      </c>
      <c r="AC2051" s="39" t="n">
        <f aca="false">AB2051/(1-Resumo!$B$5)</f>
        <v>143.681784090909</v>
      </c>
      <c r="AD2051" s="39" t="n">
        <f aca="false">(AB2051-AA2051)/(1-Resumo!$B$5)</f>
        <v>119.136329545455</v>
      </c>
      <c r="AE2051" s="39" t="n">
        <f aca="false">AC2051-T2051</f>
        <v>39.1169456818182</v>
      </c>
      <c r="AF2051" s="40" t="n">
        <f aca="false">AC2051/T2051-1</f>
        <v>0.374092728272388</v>
      </c>
      <c r="AG2051" s="37" t="str">
        <f aca="false">IF(AC2051&lt;T2051,"SIM","NÃO")</f>
        <v>NÃO</v>
      </c>
      <c r="AH2051" s="37" t="n">
        <v>8</v>
      </c>
      <c r="AI2051" s="37" t="n">
        <v>5</v>
      </c>
      <c r="AJ2051" s="37" t="s">
        <v>323</v>
      </c>
    </row>
    <row r="2052" customFormat="false" ht="15" hidden="false" customHeight="false" outlineLevel="0" collapsed="false">
      <c r="A2052" s="37" t="n">
        <v>398661449</v>
      </c>
      <c r="B2052" s="38" t="n">
        <v>46288.7463657407</v>
      </c>
      <c r="C2052" s="37" t="s">
        <v>325</v>
      </c>
      <c r="D2052" s="37" t="s">
        <v>2155</v>
      </c>
      <c r="E2052" s="37" t="n">
        <v>28375000</v>
      </c>
      <c r="F2052" s="37" t="s">
        <v>251</v>
      </c>
      <c r="G2052" s="37" t="s">
        <v>201</v>
      </c>
      <c r="H2052" s="37" t="s">
        <v>168</v>
      </c>
      <c r="I2052" s="37" t="n">
        <v>31.9</v>
      </c>
      <c r="J2052" s="39" t="n">
        <v>494.99</v>
      </c>
      <c r="K2052" s="37" t="s">
        <v>322</v>
      </c>
      <c r="L2052" s="39" t="n">
        <v>109.56</v>
      </c>
      <c r="M2052" s="39" t="n">
        <v>76.5</v>
      </c>
      <c r="N2052" s="39" t="n">
        <f aca="false">J2052*Resumo!$C$7</f>
        <v>0.98998</v>
      </c>
      <c r="O2052" s="39" t="n">
        <f aca="false">J2052*Resumo!$C$8</f>
        <v>0.98998</v>
      </c>
      <c r="P2052" s="39" t="n">
        <f aca="false">Resumo!$C$10*CEILING(I2052/100,1)</f>
        <v>1</v>
      </c>
      <c r="Q2052" s="39" t="n">
        <f aca="false">Resumo!$C$9</f>
        <v>11.9</v>
      </c>
      <c r="R2052" s="39" t="n">
        <f aca="false">SUM(M2052:Q2052)*Resumo!$C$11</f>
        <v>5.0258978</v>
      </c>
      <c r="S2052" s="39" t="n">
        <f aca="false">SUM(M2052:R2052)</f>
        <v>96.4058578</v>
      </c>
      <c r="T2052" s="39" t="n">
        <f aca="false">S2052/(1-Resumo!$C$5)</f>
        <v>109.552111136364</v>
      </c>
      <c r="U2052" s="39" t="n">
        <v>138.29</v>
      </c>
      <c r="V2052" s="39" t="n">
        <f aca="false">J2052*Resumo!$B$6</f>
        <v>0.49499</v>
      </c>
      <c r="W2052" s="39" t="n">
        <f aca="false">J2052*Resumo!$B$7</f>
        <v>0.98998</v>
      </c>
      <c r="X2052" s="39" t="n">
        <f aca="false">Resumo!$B$9</f>
        <v>1</v>
      </c>
      <c r="Y2052" s="39" t="n">
        <f aca="false">Resumo!$B$10*CEILING(I2052/100,1)</f>
        <v>4.5</v>
      </c>
      <c r="Z2052" s="39" t="n">
        <f aca="false">Resumo!$B$12*CEILING(I2052,1)</f>
        <v>1.92</v>
      </c>
      <c r="AA2052" s="39" t="n">
        <f aca="false">Resumo!$B$13*CEILING(I2052,1)</f>
        <v>14.4</v>
      </c>
      <c r="AB2052" s="39" t="n">
        <f aca="false">SUM(U2052:AA2052)</f>
        <v>161.59497</v>
      </c>
      <c r="AC2052" s="39" t="n">
        <f aca="false">AB2052/(1-Resumo!$B$5)</f>
        <v>183.630647727273</v>
      </c>
      <c r="AD2052" s="39" t="n">
        <f aca="false">(AB2052-AA2052)/(1-Resumo!$B$5)</f>
        <v>167.267011363636</v>
      </c>
      <c r="AE2052" s="39" t="n">
        <f aca="false">AC2052-T2052</f>
        <v>74.0785365909091</v>
      </c>
      <c r="AF2052" s="40" t="n">
        <f aca="false">AC2052/T2052-1</f>
        <v>0.676194514395991</v>
      </c>
      <c r="AG2052" s="37" t="str">
        <f aca="false">IF(AC2052&lt;T2052,"SIM","NÃO")</f>
        <v>NÃO</v>
      </c>
      <c r="AH2052" s="37" t="n">
        <v>13</v>
      </c>
      <c r="AI2052" s="37" t="n">
        <v>11</v>
      </c>
      <c r="AJ2052" s="37" t="s">
        <v>327</v>
      </c>
    </row>
    <row r="2053" customFormat="false" ht="15" hidden="false" customHeight="false" outlineLevel="0" collapsed="false">
      <c r="A2053" s="37" t="n">
        <v>398671721</v>
      </c>
      <c r="B2053" s="38" t="n">
        <v>46288.7692939815</v>
      </c>
      <c r="C2053" s="37" t="s">
        <v>320</v>
      </c>
      <c r="D2053" s="37" t="s">
        <v>920</v>
      </c>
      <c r="E2053" s="37" t="n">
        <v>22753050</v>
      </c>
      <c r="F2053" s="37" t="s">
        <v>139</v>
      </c>
      <c r="G2053" s="37" t="s">
        <v>198</v>
      </c>
      <c r="H2053" s="37" t="s">
        <v>172</v>
      </c>
      <c r="I2053" s="37" t="n">
        <v>66.8</v>
      </c>
      <c r="J2053" s="39" t="n">
        <v>666.23</v>
      </c>
      <c r="K2053" s="37" t="s">
        <v>322</v>
      </c>
      <c r="L2053" s="39" t="n">
        <v>124.4</v>
      </c>
      <c r="M2053" s="39" t="n">
        <v>88.2</v>
      </c>
      <c r="N2053" s="39" t="n">
        <f aca="false">J2053*Resumo!$C$7</f>
        <v>1.33246</v>
      </c>
      <c r="O2053" s="39" t="n">
        <f aca="false">J2053*Resumo!$C$8</f>
        <v>1.33246</v>
      </c>
      <c r="P2053" s="39" t="n">
        <f aca="false">Resumo!$C$10*CEILING(I2053/100,1)</f>
        <v>1</v>
      </c>
      <c r="Q2053" s="39" t="n">
        <f aca="false">Resumo!$C$9</f>
        <v>11.9</v>
      </c>
      <c r="R2053" s="39" t="n">
        <f aca="false">SUM(M2053:Q2053)*Resumo!$C$11</f>
        <v>5.7070706</v>
      </c>
      <c r="S2053" s="39" t="n">
        <f aca="false">SUM(M2053:R2053)</f>
        <v>109.4719906</v>
      </c>
      <c r="T2053" s="39" t="n">
        <f aca="false">S2053/(1-Resumo!$C$5)</f>
        <v>124.399989318182</v>
      </c>
      <c r="U2053" s="39" t="n">
        <v>131.02</v>
      </c>
      <c r="V2053" s="39" t="n">
        <f aca="false">J2053*Resumo!$B$6</f>
        <v>0.66623</v>
      </c>
      <c r="W2053" s="39" t="n">
        <f aca="false">J2053*Resumo!$B$7</f>
        <v>1.33246</v>
      </c>
      <c r="X2053" s="39" t="n">
        <f aca="false">Resumo!$B$9</f>
        <v>1</v>
      </c>
      <c r="Y2053" s="39" t="n">
        <f aca="false">Resumo!$B$10*CEILING(I2053/100,1)</f>
        <v>4.5</v>
      </c>
      <c r="Z2053" s="39" t="n">
        <f aca="false">Resumo!$B$12*CEILING(I2053,1)</f>
        <v>4.02</v>
      </c>
      <c r="AA2053" s="39" t="n">
        <f aca="false">Resumo!$B$13*CEILING(I2053,1)</f>
        <v>30.15</v>
      </c>
      <c r="AB2053" s="39" t="n">
        <f aca="false">SUM(U2053:AA2053)</f>
        <v>172.68869</v>
      </c>
      <c r="AC2053" s="39" t="n">
        <f aca="false">AB2053/(1-Resumo!$B$5)</f>
        <v>196.237147727273</v>
      </c>
      <c r="AD2053" s="39" t="n">
        <f aca="false">(AB2053-AA2053)/(1-Resumo!$B$5)</f>
        <v>161.975784090909</v>
      </c>
      <c r="AE2053" s="39" t="n">
        <f aca="false">AC2053-T2053</f>
        <v>71.8371584090909</v>
      </c>
      <c r="AF2053" s="40" t="n">
        <f aca="false">AC2053/T2053-1</f>
        <v>0.577469168629515</v>
      </c>
      <c r="AG2053" s="37" t="str">
        <f aca="false">IF(AC2053&lt;T2053,"SIM","NÃO")</f>
        <v>NÃO</v>
      </c>
      <c r="AH2053" s="37" t="n">
        <v>8</v>
      </c>
      <c r="AI2053" s="37" t="n">
        <v>5</v>
      </c>
      <c r="AJ2053" s="37" t="s">
        <v>323</v>
      </c>
    </row>
    <row r="2054" customFormat="false" ht="15" hidden="false" customHeight="false" outlineLevel="0" collapsed="false">
      <c r="A2054" s="37" t="n">
        <v>398676857</v>
      </c>
      <c r="B2054" s="38" t="n">
        <v>46288.7808333333</v>
      </c>
      <c r="C2054" s="37" t="s">
        <v>325</v>
      </c>
      <c r="D2054" s="37" t="s">
        <v>2156</v>
      </c>
      <c r="E2054" s="37" t="n">
        <v>22765595</v>
      </c>
      <c r="F2054" s="37" t="s">
        <v>139</v>
      </c>
      <c r="G2054" s="37" t="s">
        <v>198</v>
      </c>
      <c r="H2054" s="37" t="s">
        <v>170</v>
      </c>
      <c r="I2054" s="37" t="n">
        <v>46.8</v>
      </c>
      <c r="J2054" s="39" t="n">
        <v>503.49</v>
      </c>
      <c r="K2054" s="37" t="s">
        <v>322</v>
      </c>
      <c r="L2054" s="39" t="n">
        <v>103.01</v>
      </c>
      <c r="M2054" s="39" t="n">
        <v>71</v>
      </c>
      <c r="N2054" s="39" t="n">
        <f aca="false">J2054*Resumo!$C$7</f>
        <v>1.00698</v>
      </c>
      <c r="O2054" s="39" t="n">
        <f aca="false">J2054*Resumo!$C$8</f>
        <v>1.00698</v>
      </c>
      <c r="P2054" s="39" t="n">
        <f aca="false">Resumo!$C$10*CEILING(I2054/100,1)</f>
        <v>1</v>
      </c>
      <c r="Q2054" s="39" t="n">
        <f aca="false">Resumo!$C$9</f>
        <v>11.9</v>
      </c>
      <c r="R2054" s="39" t="n">
        <f aca="false">SUM(M2054:Q2054)*Resumo!$C$11</f>
        <v>4.7252678</v>
      </c>
      <c r="S2054" s="39" t="n">
        <f aca="false">SUM(M2054:R2054)</f>
        <v>90.6392278</v>
      </c>
      <c r="T2054" s="39" t="n">
        <f aca="false">S2054/(1-Resumo!$C$5)</f>
        <v>102.9991225</v>
      </c>
      <c r="U2054" s="39" t="n">
        <v>93.97</v>
      </c>
      <c r="V2054" s="39" t="n">
        <f aca="false">J2054*Resumo!$B$6</f>
        <v>0.50349</v>
      </c>
      <c r="W2054" s="39" t="n">
        <f aca="false">J2054*Resumo!$B$7</f>
        <v>1.00698</v>
      </c>
      <c r="X2054" s="39" t="n">
        <f aca="false">Resumo!$B$9</f>
        <v>1</v>
      </c>
      <c r="Y2054" s="39" t="n">
        <f aca="false">Resumo!$B$10*CEILING(I2054/100,1)</f>
        <v>4.5</v>
      </c>
      <c r="Z2054" s="39" t="n">
        <f aca="false">Resumo!$B$12*CEILING(I2054,1)</f>
        <v>2.82</v>
      </c>
      <c r="AA2054" s="39" t="n">
        <f aca="false">Resumo!$B$13*CEILING(I2054,1)</f>
        <v>21.15</v>
      </c>
      <c r="AB2054" s="39" t="n">
        <f aca="false">SUM(U2054:AA2054)</f>
        <v>124.95047</v>
      </c>
      <c r="AC2054" s="39" t="n">
        <f aca="false">AB2054/(1-Resumo!$B$5)</f>
        <v>141.989170454545</v>
      </c>
      <c r="AD2054" s="39" t="n">
        <f aca="false">(AB2054-AA2054)/(1-Resumo!$B$5)</f>
        <v>117.955079545455</v>
      </c>
      <c r="AE2054" s="39" t="n">
        <f aca="false">AC2054-T2054</f>
        <v>38.9900479545455</v>
      </c>
      <c r="AF2054" s="40" t="n">
        <f aca="false">AC2054/T2054-1</f>
        <v>0.378547379901663</v>
      </c>
      <c r="AG2054" s="37" t="str">
        <f aca="false">IF(AC2054&lt;T2054,"SIM","NÃO")</f>
        <v>NÃO</v>
      </c>
      <c r="AH2054" s="37" t="n">
        <v>8</v>
      </c>
      <c r="AI2054" s="37" t="n">
        <v>5</v>
      </c>
      <c r="AJ2054" s="37" t="s">
        <v>323</v>
      </c>
    </row>
    <row r="2055" customFormat="false" ht="15" hidden="false" customHeight="false" outlineLevel="0" collapsed="false">
      <c r="A2055" s="37" t="n">
        <v>398680742</v>
      </c>
      <c r="B2055" s="38" t="n">
        <v>46288.7902662037</v>
      </c>
      <c r="C2055" s="37" t="s">
        <v>320</v>
      </c>
      <c r="D2055" s="37" t="s">
        <v>663</v>
      </c>
      <c r="E2055" s="37" t="n">
        <v>28300000</v>
      </c>
      <c r="F2055" s="37" t="s">
        <v>248</v>
      </c>
      <c r="G2055" s="37" t="s">
        <v>201</v>
      </c>
      <c r="H2055" s="37" t="s">
        <v>172</v>
      </c>
      <c r="I2055" s="37" t="n">
        <v>66.8</v>
      </c>
      <c r="J2055" s="39" t="n">
        <v>666.23</v>
      </c>
      <c r="K2055" s="37" t="s">
        <v>322</v>
      </c>
      <c r="L2055" s="39" t="n">
        <v>155.2</v>
      </c>
      <c r="M2055" s="39" t="n">
        <v>113.9</v>
      </c>
      <c r="N2055" s="39" t="n">
        <f aca="false">J2055*Resumo!$C$7</f>
        <v>1.33246</v>
      </c>
      <c r="O2055" s="39" t="n">
        <f aca="false">J2055*Resumo!$C$8</f>
        <v>1.33246</v>
      </c>
      <c r="P2055" s="39" t="n">
        <f aca="false">Resumo!$C$10*CEILING(I2055/100,1)</f>
        <v>1</v>
      </c>
      <c r="Q2055" s="39" t="n">
        <f aca="false">Resumo!$C$9</f>
        <v>11.9</v>
      </c>
      <c r="R2055" s="39" t="n">
        <f aca="false">SUM(M2055:Q2055)*Resumo!$C$11</f>
        <v>7.1205706</v>
      </c>
      <c r="S2055" s="39" t="n">
        <f aca="false">SUM(M2055:R2055)</f>
        <v>136.5854906</v>
      </c>
      <c r="T2055" s="39" t="n">
        <f aca="false">S2055/(1-Resumo!$C$5)</f>
        <v>155.210784772727</v>
      </c>
      <c r="U2055" s="39" t="n">
        <v>171.54</v>
      </c>
      <c r="V2055" s="39" t="n">
        <f aca="false">J2055*Resumo!$B$6</f>
        <v>0.66623</v>
      </c>
      <c r="W2055" s="39" t="n">
        <f aca="false">J2055*Resumo!$B$7</f>
        <v>1.33246</v>
      </c>
      <c r="X2055" s="39" t="n">
        <f aca="false">Resumo!$B$9</f>
        <v>1</v>
      </c>
      <c r="Y2055" s="39" t="n">
        <f aca="false">Resumo!$B$10*CEILING(I2055/100,1)</f>
        <v>4.5</v>
      </c>
      <c r="Z2055" s="39" t="n">
        <f aca="false">Resumo!$B$12*CEILING(I2055,1)</f>
        <v>4.02</v>
      </c>
      <c r="AA2055" s="39" t="n">
        <f aca="false">Resumo!$B$13*CEILING(I2055,1)</f>
        <v>30.15</v>
      </c>
      <c r="AB2055" s="39" t="n">
        <f aca="false">SUM(U2055:AA2055)</f>
        <v>213.20869</v>
      </c>
      <c r="AC2055" s="39" t="n">
        <f aca="false">AB2055/(1-Resumo!$B$5)</f>
        <v>242.282602272727</v>
      </c>
      <c r="AD2055" s="39" t="n">
        <f aca="false">(AB2055-AA2055)/(1-Resumo!$B$5)</f>
        <v>208.021238636364</v>
      </c>
      <c r="AE2055" s="39" t="n">
        <f aca="false">AC2055-T2055</f>
        <v>87.0718175</v>
      </c>
      <c r="AF2055" s="40" t="n">
        <f aca="false">AC2055/T2055-1</f>
        <v>0.560990768956538</v>
      </c>
      <c r="AG2055" s="37" t="str">
        <f aca="false">IF(AC2055&lt;T2055,"SIM","NÃO")</f>
        <v>NÃO</v>
      </c>
      <c r="AH2055" s="37" t="n">
        <v>13</v>
      </c>
      <c r="AI2055" s="37" t="n">
        <v>11</v>
      </c>
      <c r="AJ2055" s="37" t="s">
        <v>327</v>
      </c>
    </row>
    <row r="2056" customFormat="false" ht="15" hidden="false" customHeight="false" outlineLevel="0" collapsed="false">
      <c r="A2056" s="37" t="n">
        <v>398691486</v>
      </c>
      <c r="B2056" s="38" t="n">
        <v>46288.8142013889</v>
      </c>
      <c r="C2056" s="37" t="s">
        <v>325</v>
      </c>
      <c r="D2056" s="37" t="s">
        <v>2157</v>
      </c>
      <c r="E2056" s="37" t="n">
        <v>20230011</v>
      </c>
      <c r="F2056" s="37" t="s">
        <v>139</v>
      </c>
      <c r="G2056" s="37" t="s">
        <v>198</v>
      </c>
      <c r="H2056" s="37" t="s">
        <v>169</v>
      </c>
      <c r="I2056" s="37" t="n">
        <v>40</v>
      </c>
      <c r="J2056" s="39" t="n">
        <v>554.4</v>
      </c>
      <c r="K2056" s="37" t="s">
        <v>322</v>
      </c>
      <c r="L2056" s="39" t="n">
        <v>92.51</v>
      </c>
      <c r="M2056" s="39" t="n">
        <v>62.05</v>
      </c>
      <c r="N2056" s="39" t="n">
        <f aca="false">J2056*Resumo!$C$7</f>
        <v>1.1088</v>
      </c>
      <c r="O2056" s="39" t="n">
        <f aca="false">J2056*Resumo!$C$8</f>
        <v>1.1088</v>
      </c>
      <c r="P2056" s="39" t="n">
        <f aca="false">Resumo!$C$10*CEILING(I2056/100,1)</f>
        <v>1</v>
      </c>
      <c r="Q2056" s="39" t="n">
        <f aca="false">Resumo!$C$9</f>
        <v>11.9</v>
      </c>
      <c r="R2056" s="39" t="n">
        <f aca="false">SUM(M2056:Q2056)*Resumo!$C$11</f>
        <v>4.244218</v>
      </c>
      <c r="S2056" s="39" t="n">
        <f aca="false">SUM(M2056:R2056)</f>
        <v>81.411818</v>
      </c>
      <c r="T2056" s="39" t="n">
        <f aca="false">S2056/(1-Resumo!$C$5)</f>
        <v>92.5134295454545</v>
      </c>
      <c r="U2056" s="39" t="n">
        <v>93.97</v>
      </c>
      <c r="V2056" s="39" t="n">
        <f aca="false">J2056*Resumo!$B$6</f>
        <v>0.5544</v>
      </c>
      <c r="W2056" s="39" t="n">
        <f aca="false">J2056*Resumo!$B$7</f>
        <v>1.1088</v>
      </c>
      <c r="X2056" s="39" t="n">
        <f aca="false">Resumo!$B$9</f>
        <v>1</v>
      </c>
      <c r="Y2056" s="39" t="n">
        <f aca="false">Resumo!$B$10*CEILING(I2056/100,1)</f>
        <v>4.5</v>
      </c>
      <c r="Z2056" s="39" t="n">
        <f aca="false">Resumo!$B$12*CEILING(I2056,1)</f>
        <v>2.4</v>
      </c>
      <c r="AA2056" s="39" t="n">
        <f aca="false">Resumo!$B$13*CEILING(I2056,1)</f>
        <v>18</v>
      </c>
      <c r="AB2056" s="39" t="n">
        <f aca="false">SUM(U2056:AA2056)</f>
        <v>121.5332</v>
      </c>
      <c r="AC2056" s="39" t="n">
        <f aca="false">AB2056/(1-Resumo!$B$5)</f>
        <v>138.105909090909</v>
      </c>
      <c r="AD2056" s="39" t="n">
        <f aca="false">(AB2056-AA2056)/(1-Resumo!$B$5)</f>
        <v>117.651363636364</v>
      </c>
      <c r="AE2056" s="39" t="n">
        <f aca="false">AC2056-T2056</f>
        <v>45.5924795454545</v>
      </c>
      <c r="AF2056" s="40" t="n">
        <f aca="false">AC2056/T2056-1</f>
        <v>0.492820121029603</v>
      </c>
      <c r="AG2056" s="37" t="str">
        <f aca="false">IF(AC2056&lt;T2056,"SIM","NÃO")</f>
        <v>NÃO</v>
      </c>
      <c r="AH2056" s="37" t="n">
        <v>8</v>
      </c>
      <c r="AI2056" s="37" t="n">
        <v>5</v>
      </c>
      <c r="AJ2056" s="37" t="s">
        <v>323</v>
      </c>
    </row>
    <row r="2057" customFormat="false" ht="15" hidden="false" customHeight="false" outlineLevel="0" collapsed="false">
      <c r="A2057" s="37" t="n">
        <v>398708162</v>
      </c>
      <c r="B2057" s="38" t="n">
        <v>46288.8500347222</v>
      </c>
      <c r="C2057" s="37" t="s">
        <v>325</v>
      </c>
      <c r="D2057" s="37" t="s">
        <v>1427</v>
      </c>
      <c r="E2057" s="37" t="n">
        <v>22451264</v>
      </c>
      <c r="F2057" s="37" t="s">
        <v>139</v>
      </c>
      <c r="G2057" s="37" t="s">
        <v>198</v>
      </c>
      <c r="H2057" s="37" t="s">
        <v>168</v>
      </c>
      <c r="I2057" s="37" t="n">
        <v>33</v>
      </c>
      <c r="J2057" s="39" t="n">
        <v>355.44</v>
      </c>
      <c r="K2057" s="37" t="s">
        <v>322</v>
      </c>
      <c r="L2057" s="39" t="n">
        <v>82.02</v>
      </c>
      <c r="M2057" s="39" t="n">
        <v>54.1</v>
      </c>
      <c r="N2057" s="39" t="n">
        <f aca="false">J2057*Resumo!$C$7</f>
        <v>0.71088</v>
      </c>
      <c r="O2057" s="39" t="n">
        <f aca="false">J2057*Resumo!$C$8</f>
        <v>0.71088</v>
      </c>
      <c r="P2057" s="39" t="n">
        <f aca="false">Resumo!$C$10*CEILING(I2057/100,1)</f>
        <v>1</v>
      </c>
      <c r="Q2057" s="39" t="n">
        <f aca="false">Resumo!$C$9</f>
        <v>11.9</v>
      </c>
      <c r="R2057" s="39" t="n">
        <f aca="false">SUM(M2057:Q2057)*Resumo!$C$11</f>
        <v>3.7631968</v>
      </c>
      <c r="S2057" s="39" t="n">
        <f aca="false">SUM(M2057:R2057)</f>
        <v>72.1849568</v>
      </c>
      <c r="T2057" s="39" t="n">
        <f aca="false">S2057/(1-Resumo!$C$5)</f>
        <v>82.02836</v>
      </c>
      <c r="U2057" s="39" t="n">
        <v>82.21</v>
      </c>
      <c r="V2057" s="39" t="n">
        <f aca="false">J2057*Resumo!$B$6</f>
        <v>0.35544</v>
      </c>
      <c r="W2057" s="39" t="n">
        <f aca="false">J2057*Resumo!$B$7</f>
        <v>0.71088</v>
      </c>
      <c r="X2057" s="39" t="n">
        <f aca="false">Resumo!$B$9</f>
        <v>1</v>
      </c>
      <c r="Y2057" s="39" t="n">
        <f aca="false">Resumo!$B$10*CEILING(I2057/100,1)</f>
        <v>4.5</v>
      </c>
      <c r="Z2057" s="39" t="n">
        <f aca="false">Resumo!$B$12*CEILING(I2057,1)</f>
        <v>1.98</v>
      </c>
      <c r="AA2057" s="39" t="n">
        <f aca="false">Resumo!$B$13*CEILING(I2057,1)</f>
        <v>14.85</v>
      </c>
      <c r="AB2057" s="39" t="n">
        <f aca="false">SUM(U2057:AA2057)</f>
        <v>105.60632</v>
      </c>
      <c r="AC2057" s="39" t="n">
        <f aca="false">AB2057/(1-Resumo!$B$5)</f>
        <v>120.007181818182</v>
      </c>
      <c r="AD2057" s="39" t="n">
        <f aca="false">(AB2057-AA2057)/(1-Resumo!$B$5)</f>
        <v>103.132181818182</v>
      </c>
      <c r="AE2057" s="39" t="n">
        <f aca="false">AC2057-T2057</f>
        <v>37.9788218181818</v>
      </c>
      <c r="AF2057" s="40" t="n">
        <f aca="false">AC2057/T2057-1</f>
        <v>0.462996234694705</v>
      </c>
      <c r="AG2057" s="37" t="str">
        <f aca="false">IF(AC2057&lt;T2057,"SIM","NÃO")</f>
        <v>NÃO</v>
      </c>
      <c r="AH2057" s="37" t="n">
        <v>8</v>
      </c>
      <c r="AI2057" s="37" t="n">
        <v>5</v>
      </c>
      <c r="AJ2057" s="37" t="s">
        <v>323</v>
      </c>
    </row>
    <row r="2058" customFormat="false" ht="15" hidden="false" customHeight="false" outlineLevel="0" collapsed="false">
      <c r="A2058" s="37" t="n">
        <v>398713488</v>
      </c>
      <c r="B2058" s="38" t="n">
        <v>46288.8611689815</v>
      </c>
      <c r="C2058" s="37" t="s">
        <v>325</v>
      </c>
      <c r="D2058" s="37" t="s">
        <v>2158</v>
      </c>
      <c r="E2058" s="37" t="n">
        <v>25040080</v>
      </c>
      <c r="F2058" s="37" t="s">
        <v>141</v>
      </c>
      <c r="G2058" s="37" t="s">
        <v>207</v>
      </c>
      <c r="H2058" s="37" t="s">
        <v>169</v>
      </c>
      <c r="I2058" s="37" t="n">
        <v>37.5</v>
      </c>
      <c r="J2058" s="39" t="n">
        <v>379.19</v>
      </c>
      <c r="K2058" s="37" t="s">
        <v>322</v>
      </c>
      <c r="L2058" s="39" t="n">
        <v>112.77</v>
      </c>
      <c r="M2058" s="39" t="n">
        <v>79.65</v>
      </c>
      <c r="N2058" s="39" t="n">
        <f aca="false">J2058*Resumo!$C$7</f>
        <v>0.75838</v>
      </c>
      <c r="O2058" s="39" t="n">
        <f aca="false">J2058*Resumo!$C$8</f>
        <v>0.75838</v>
      </c>
      <c r="P2058" s="39" t="n">
        <f aca="false">Resumo!$C$10*CEILING(I2058/100,1)</f>
        <v>1</v>
      </c>
      <c r="Q2058" s="39" t="n">
        <f aca="false">Resumo!$C$9</f>
        <v>11.9</v>
      </c>
      <c r="R2058" s="39" t="n">
        <f aca="false">SUM(M2058:Q2058)*Resumo!$C$11</f>
        <v>5.1736718</v>
      </c>
      <c r="S2058" s="39" t="n">
        <f aca="false">SUM(M2058:R2058)</f>
        <v>99.2404318</v>
      </c>
      <c r="T2058" s="39" t="n">
        <f aca="false">S2058/(1-Resumo!$C$5)</f>
        <v>112.773217954545</v>
      </c>
      <c r="U2058" s="39" t="n">
        <v>93.97</v>
      </c>
      <c r="V2058" s="39" t="n">
        <f aca="false">J2058*Resumo!$B$6</f>
        <v>0.37919</v>
      </c>
      <c r="W2058" s="39" t="n">
        <f aca="false">J2058*Resumo!$B$7</f>
        <v>0.75838</v>
      </c>
      <c r="X2058" s="39" t="n">
        <f aca="false">Resumo!$B$9</f>
        <v>1</v>
      </c>
      <c r="Y2058" s="39" t="n">
        <f aca="false">Resumo!$B$10*CEILING(I2058/100,1)</f>
        <v>4.5</v>
      </c>
      <c r="Z2058" s="39" t="n">
        <f aca="false">Resumo!$B$12*CEILING(I2058,1)</f>
        <v>2.28</v>
      </c>
      <c r="AA2058" s="39" t="n">
        <f aca="false">Resumo!$B$13*CEILING(I2058,1)</f>
        <v>17.1</v>
      </c>
      <c r="AB2058" s="39" t="n">
        <f aca="false">SUM(U2058:AA2058)</f>
        <v>119.98757</v>
      </c>
      <c r="AC2058" s="39" t="n">
        <f aca="false">AB2058/(1-Resumo!$B$5)</f>
        <v>136.349511363636</v>
      </c>
      <c r="AD2058" s="39" t="n">
        <f aca="false">(AB2058-AA2058)/(1-Resumo!$B$5)</f>
        <v>116.917693181818</v>
      </c>
      <c r="AE2058" s="39" t="n">
        <f aca="false">AC2058-T2058</f>
        <v>23.5762934090909</v>
      </c>
      <c r="AF2058" s="40" t="n">
        <f aca="false">AC2058/T2058-1</f>
        <v>0.209059330191266</v>
      </c>
      <c r="AG2058" s="37" t="str">
        <f aca="false">IF(AC2058&lt;T2058,"SIM","NÃO")</f>
        <v>NÃO</v>
      </c>
      <c r="AH2058" s="37" t="n">
        <v>10</v>
      </c>
      <c r="AI2058" s="37" t="n">
        <v>5</v>
      </c>
      <c r="AJ2058" s="37" t="s">
        <v>323</v>
      </c>
    </row>
    <row r="2059" customFormat="false" ht="15" hidden="false" customHeight="false" outlineLevel="0" collapsed="false">
      <c r="A2059" s="37" t="n">
        <v>398721258</v>
      </c>
      <c r="B2059" s="38" t="n">
        <v>46288.8773148148</v>
      </c>
      <c r="C2059" s="37" t="s">
        <v>320</v>
      </c>
      <c r="D2059" s="37" t="s">
        <v>1919</v>
      </c>
      <c r="E2059" s="37" t="n">
        <v>28800000</v>
      </c>
      <c r="F2059" s="37" t="s">
        <v>274</v>
      </c>
      <c r="G2059" s="37" t="s">
        <v>201</v>
      </c>
      <c r="H2059" s="37" t="s">
        <v>171</v>
      </c>
      <c r="I2059" s="37" t="n">
        <v>52.3</v>
      </c>
      <c r="J2059" s="39" t="n">
        <v>592.37</v>
      </c>
      <c r="K2059" s="37" t="s">
        <v>322</v>
      </c>
      <c r="L2059" s="39" t="n">
        <v>142.5</v>
      </c>
      <c r="M2059" s="39" t="n">
        <v>103.6</v>
      </c>
      <c r="N2059" s="39" t="n">
        <f aca="false">J2059*Resumo!$C$7</f>
        <v>1.18474</v>
      </c>
      <c r="O2059" s="39" t="n">
        <f aca="false">J2059*Resumo!$C$8</f>
        <v>1.18474</v>
      </c>
      <c r="P2059" s="39" t="n">
        <f aca="false">Resumo!$C$10*CEILING(I2059/100,1)</f>
        <v>1</v>
      </c>
      <c r="Q2059" s="39" t="n">
        <f aca="false">Resumo!$C$9</f>
        <v>11.9</v>
      </c>
      <c r="R2059" s="39" t="n">
        <f aca="false">SUM(M2059:Q2059)*Resumo!$C$11</f>
        <v>6.5378214</v>
      </c>
      <c r="S2059" s="39" t="n">
        <f aca="false">SUM(M2059:R2059)</f>
        <v>125.4073014</v>
      </c>
      <c r="T2059" s="39" t="n">
        <f aca="false">S2059/(1-Resumo!$C$5)</f>
        <v>142.508297045455</v>
      </c>
      <c r="U2059" s="39" t="n">
        <v>128.14</v>
      </c>
      <c r="V2059" s="39" t="n">
        <f aca="false">J2059*Resumo!$B$6</f>
        <v>0.59237</v>
      </c>
      <c r="W2059" s="39" t="n">
        <f aca="false">J2059*Resumo!$B$7</f>
        <v>1.18474</v>
      </c>
      <c r="X2059" s="39" t="n">
        <f aca="false">Resumo!$B$9</f>
        <v>1</v>
      </c>
      <c r="Y2059" s="39" t="n">
        <f aca="false">Resumo!$B$10*CEILING(I2059/100,1)</f>
        <v>4.5</v>
      </c>
      <c r="Z2059" s="39" t="n">
        <f aca="false">Resumo!$B$12*CEILING(I2059,1)</f>
        <v>3.18</v>
      </c>
      <c r="AA2059" s="39" t="n">
        <f aca="false">Resumo!$B$13*CEILING(I2059,1)</f>
        <v>23.85</v>
      </c>
      <c r="AB2059" s="39" t="n">
        <f aca="false">SUM(U2059:AA2059)</f>
        <v>162.44711</v>
      </c>
      <c r="AC2059" s="39" t="n">
        <f aca="false">AB2059/(1-Resumo!$B$5)</f>
        <v>184.598988636364</v>
      </c>
      <c r="AD2059" s="39" t="n">
        <f aca="false">(AB2059-AA2059)/(1-Resumo!$B$5)</f>
        <v>157.496715909091</v>
      </c>
      <c r="AE2059" s="39" t="n">
        <f aca="false">AC2059-T2059</f>
        <v>42.0906915909091</v>
      </c>
      <c r="AF2059" s="40" t="n">
        <f aca="false">AC2059/T2059-1</f>
        <v>0.295356077249901</v>
      </c>
      <c r="AG2059" s="37" t="str">
        <f aca="false">IF(AC2059&lt;T2059,"SIM","NÃO")</f>
        <v>NÃO</v>
      </c>
      <c r="AH2059" s="37" t="n">
        <v>13</v>
      </c>
      <c r="AI2059" s="37" t="n">
        <v>7</v>
      </c>
      <c r="AJ2059" s="37" t="s">
        <v>327</v>
      </c>
    </row>
    <row r="2060" customFormat="false" ht="15" hidden="false" customHeight="false" outlineLevel="0" collapsed="false">
      <c r="A2060" s="37" t="n">
        <v>398734139</v>
      </c>
      <c r="B2060" s="38" t="n">
        <v>46288.9042476852</v>
      </c>
      <c r="C2060" s="37" t="s">
        <v>320</v>
      </c>
      <c r="D2060" s="37" t="s">
        <v>2159</v>
      </c>
      <c r="E2060" s="37" t="n">
        <v>26195020</v>
      </c>
      <c r="F2060" s="37" t="s">
        <v>145</v>
      </c>
      <c r="G2060" s="37" t="s">
        <v>207</v>
      </c>
      <c r="H2060" s="37" t="s">
        <v>170</v>
      </c>
      <c r="I2060" s="37" t="n">
        <v>47.1</v>
      </c>
      <c r="J2060" s="39" t="n">
        <v>619.99</v>
      </c>
      <c r="K2060" s="37" t="s">
        <v>322</v>
      </c>
      <c r="L2060" s="39" t="n">
        <v>117.05</v>
      </c>
      <c r="M2060" s="39" t="n">
        <v>82.25</v>
      </c>
      <c r="N2060" s="39" t="n">
        <f aca="false">J2060*Resumo!$C$7</f>
        <v>1.23998</v>
      </c>
      <c r="O2060" s="39" t="n">
        <f aca="false">J2060*Resumo!$C$8</f>
        <v>1.23998</v>
      </c>
      <c r="P2060" s="39" t="n">
        <f aca="false">Resumo!$C$10*CEILING(I2060/100,1)</f>
        <v>1</v>
      </c>
      <c r="Q2060" s="39" t="n">
        <f aca="false">Resumo!$C$9</f>
        <v>11.9</v>
      </c>
      <c r="R2060" s="39" t="n">
        <f aca="false">SUM(M2060:Q2060)*Resumo!$C$11</f>
        <v>5.3696478</v>
      </c>
      <c r="S2060" s="39" t="n">
        <f aca="false">SUM(M2060:R2060)</f>
        <v>102.9996078</v>
      </c>
      <c r="T2060" s="39" t="n">
        <f aca="false">S2060/(1-Resumo!$C$5)</f>
        <v>117.045008863636</v>
      </c>
      <c r="U2060" s="39" t="n">
        <v>93.97</v>
      </c>
      <c r="V2060" s="39" t="n">
        <f aca="false">J2060*Resumo!$B$6</f>
        <v>0.61999</v>
      </c>
      <c r="W2060" s="39" t="n">
        <f aca="false">J2060*Resumo!$B$7</f>
        <v>1.23998</v>
      </c>
      <c r="X2060" s="39" t="n">
        <f aca="false">Resumo!$B$9</f>
        <v>1</v>
      </c>
      <c r="Y2060" s="39" t="n">
        <f aca="false">Resumo!$B$10*CEILING(I2060/100,1)</f>
        <v>4.5</v>
      </c>
      <c r="Z2060" s="39" t="n">
        <f aca="false">Resumo!$B$12*CEILING(I2060,1)</f>
        <v>2.88</v>
      </c>
      <c r="AA2060" s="39" t="n">
        <f aca="false">Resumo!$B$13*CEILING(I2060,1)</f>
        <v>21.6</v>
      </c>
      <c r="AB2060" s="39" t="n">
        <f aca="false">SUM(U2060:AA2060)</f>
        <v>125.80997</v>
      </c>
      <c r="AC2060" s="39" t="n">
        <f aca="false">AB2060/(1-Resumo!$B$5)</f>
        <v>142.965875</v>
      </c>
      <c r="AD2060" s="39" t="n">
        <f aca="false">(AB2060-AA2060)/(1-Resumo!$B$5)</f>
        <v>118.420420454545</v>
      </c>
      <c r="AE2060" s="39" t="n">
        <f aca="false">AC2060-T2060</f>
        <v>25.9208661363636</v>
      </c>
      <c r="AF2060" s="40" t="n">
        <f aca="false">AC2060/T2060-1</f>
        <v>0.221460670455097</v>
      </c>
      <c r="AG2060" s="37" t="str">
        <f aca="false">IF(AC2060&lt;T2060,"SIM","NÃO")</f>
        <v>NÃO</v>
      </c>
      <c r="AH2060" s="37" t="n">
        <v>10</v>
      </c>
      <c r="AI2060" s="37" t="n">
        <v>5</v>
      </c>
      <c r="AJ2060" s="37" t="s">
        <v>323</v>
      </c>
    </row>
    <row r="2061" customFormat="false" ht="15" hidden="false" customHeight="false" outlineLevel="0" collapsed="false">
      <c r="A2061" s="37" t="n">
        <v>398742768</v>
      </c>
      <c r="B2061" s="38" t="n">
        <v>46288.9232523148</v>
      </c>
      <c r="C2061" s="37" t="s">
        <v>325</v>
      </c>
      <c r="D2061" s="37" t="s">
        <v>2160</v>
      </c>
      <c r="E2061" s="37" t="n">
        <v>26582020</v>
      </c>
      <c r="F2061" s="37" t="s">
        <v>155</v>
      </c>
      <c r="G2061" s="37" t="s">
        <v>207</v>
      </c>
      <c r="H2061" s="37" t="s">
        <v>169</v>
      </c>
      <c r="I2061" s="37" t="n">
        <v>40</v>
      </c>
      <c r="J2061" s="39" t="n">
        <v>636.49</v>
      </c>
      <c r="K2061" s="37" t="s">
        <v>322</v>
      </c>
      <c r="L2061" s="39" t="n">
        <v>114</v>
      </c>
      <c r="M2061" s="39" t="n">
        <v>79.65</v>
      </c>
      <c r="N2061" s="39" t="n">
        <f aca="false">J2061*Resumo!$C$7</f>
        <v>1.27298</v>
      </c>
      <c r="O2061" s="39" t="n">
        <f aca="false">J2061*Resumo!$C$8</f>
        <v>1.27298</v>
      </c>
      <c r="P2061" s="39" t="n">
        <f aca="false">Resumo!$C$10*CEILING(I2061/100,1)</f>
        <v>1</v>
      </c>
      <c r="Q2061" s="39" t="n">
        <f aca="false">Resumo!$C$9</f>
        <v>11.9</v>
      </c>
      <c r="R2061" s="39" t="n">
        <f aca="false">SUM(M2061:Q2061)*Resumo!$C$11</f>
        <v>5.2302778</v>
      </c>
      <c r="S2061" s="39" t="n">
        <f aca="false">SUM(M2061:R2061)</f>
        <v>100.3262378</v>
      </c>
      <c r="T2061" s="39" t="n">
        <f aca="false">S2061/(1-Resumo!$C$5)</f>
        <v>114.007088409091</v>
      </c>
      <c r="U2061" s="39" t="n">
        <v>93.97</v>
      </c>
      <c r="V2061" s="39" t="n">
        <f aca="false">J2061*Resumo!$B$6</f>
        <v>0.63649</v>
      </c>
      <c r="W2061" s="39" t="n">
        <f aca="false">J2061*Resumo!$B$7</f>
        <v>1.27298</v>
      </c>
      <c r="X2061" s="39" t="n">
        <f aca="false">Resumo!$B$9</f>
        <v>1</v>
      </c>
      <c r="Y2061" s="39" t="n">
        <f aca="false">Resumo!$B$10*CEILING(I2061/100,1)</f>
        <v>4.5</v>
      </c>
      <c r="Z2061" s="39" t="n">
        <f aca="false">Resumo!$B$12*CEILING(I2061,1)</f>
        <v>2.4</v>
      </c>
      <c r="AA2061" s="39" t="n">
        <f aca="false">Resumo!$B$13*CEILING(I2061,1)</f>
        <v>18</v>
      </c>
      <c r="AB2061" s="39" t="n">
        <f aca="false">SUM(U2061:AA2061)</f>
        <v>121.77947</v>
      </c>
      <c r="AC2061" s="39" t="n">
        <f aca="false">AB2061/(1-Resumo!$B$5)</f>
        <v>138.385761363636</v>
      </c>
      <c r="AD2061" s="39" t="n">
        <f aca="false">(AB2061-AA2061)/(1-Resumo!$B$5)</f>
        <v>117.931215909091</v>
      </c>
      <c r="AE2061" s="39" t="n">
        <f aca="false">AC2061-T2061</f>
        <v>24.3786729545455</v>
      </c>
      <c r="AF2061" s="40" t="n">
        <f aca="false">AC2061/T2061-1</f>
        <v>0.213834712338829</v>
      </c>
      <c r="AG2061" s="37" t="str">
        <f aca="false">IF(AC2061&lt;T2061,"SIM","NÃO")</f>
        <v>NÃO</v>
      </c>
      <c r="AH2061" s="37" t="n">
        <v>10</v>
      </c>
      <c r="AI2061" s="37" t="n">
        <v>5</v>
      </c>
      <c r="AJ2061" s="37" t="s">
        <v>323</v>
      </c>
    </row>
    <row r="2062" customFormat="false" ht="15" hidden="false" customHeight="false" outlineLevel="0" collapsed="false">
      <c r="A2062" s="37" t="n">
        <v>398751117</v>
      </c>
      <c r="B2062" s="38" t="n">
        <v>46288.9422916667</v>
      </c>
      <c r="C2062" s="37" t="s">
        <v>320</v>
      </c>
      <c r="D2062" s="37" t="s">
        <v>2161</v>
      </c>
      <c r="E2062" s="37" t="n">
        <v>25040005</v>
      </c>
      <c r="F2062" s="37" t="s">
        <v>141</v>
      </c>
      <c r="G2062" s="37" t="s">
        <v>207</v>
      </c>
      <c r="H2062" s="37" t="s">
        <v>171</v>
      </c>
      <c r="I2062" s="37" t="n">
        <v>52.3</v>
      </c>
      <c r="J2062" s="39" t="n">
        <v>592.37</v>
      </c>
      <c r="K2062" s="37" t="s">
        <v>322</v>
      </c>
      <c r="L2062" s="39" t="n">
        <v>128.11</v>
      </c>
      <c r="M2062" s="39" t="n">
        <v>91.6</v>
      </c>
      <c r="N2062" s="39" t="n">
        <f aca="false">J2062*Resumo!$C$7</f>
        <v>1.18474</v>
      </c>
      <c r="O2062" s="39" t="n">
        <f aca="false">J2062*Resumo!$C$8</f>
        <v>1.18474</v>
      </c>
      <c r="P2062" s="39" t="n">
        <f aca="false">Resumo!$C$10*CEILING(I2062/100,1)</f>
        <v>1</v>
      </c>
      <c r="Q2062" s="39" t="n">
        <f aca="false">Resumo!$C$9</f>
        <v>11.9</v>
      </c>
      <c r="R2062" s="39" t="n">
        <f aca="false">SUM(M2062:Q2062)*Resumo!$C$11</f>
        <v>5.8778214</v>
      </c>
      <c r="S2062" s="39" t="n">
        <f aca="false">SUM(M2062:R2062)</f>
        <v>112.7473014</v>
      </c>
      <c r="T2062" s="39" t="n">
        <f aca="false">S2062/(1-Resumo!$C$5)</f>
        <v>128.121933409091</v>
      </c>
      <c r="U2062" s="39" t="n">
        <v>112.3</v>
      </c>
      <c r="V2062" s="39" t="n">
        <f aca="false">J2062*Resumo!$B$6</f>
        <v>0.59237</v>
      </c>
      <c r="W2062" s="39" t="n">
        <f aca="false">J2062*Resumo!$B$7</f>
        <v>1.18474</v>
      </c>
      <c r="X2062" s="39" t="n">
        <f aca="false">Resumo!$B$9</f>
        <v>1</v>
      </c>
      <c r="Y2062" s="39" t="n">
        <f aca="false">Resumo!$B$10*CEILING(I2062/100,1)</f>
        <v>4.5</v>
      </c>
      <c r="Z2062" s="39" t="n">
        <f aca="false">Resumo!$B$12*CEILING(I2062,1)</f>
        <v>3.18</v>
      </c>
      <c r="AA2062" s="39" t="n">
        <f aca="false">Resumo!$B$13*CEILING(I2062,1)</f>
        <v>23.85</v>
      </c>
      <c r="AB2062" s="39" t="n">
        <f aca="false">SUM(U2062:AA2062)</f>
        <v>146.60711</v>
      </c>
      <c r="AC2062" s="39" t="n">
        <f aca="false">AB2062/(1-Resumo!$B$5)</f>
        <v>166.598988636364</v>
      </c>
      <c r="AD2062" s="39" t="n">
        <f aca="false">(AB2062-AA2062)/(1-Resumo!$B$5)</f>
        <v>139.496715909091</v>
      </c>
      <c r="AE2062" s="39" t="n">
        <f aca="false">AC2062-T2062</f>
        <v>38.4770552272727</v>
      </c>
      <c r="AF2062" s="40" t="n">
        <f aca="false">AC2062/T2062-1</f>
        <v>0.300315911596621</v>
      </c>
      <c r="AG2062" s="37" t="str">
        <f aca="false">IF(AC2062&lt;T2062,"SIM","NÃO")</f>
        <v>NÃO</v>
      </c>
      <c r="AH2062" s="37" t="n">
        <v>10</v>
      </c>
      <c r="AI2062" s="37" t="n">
        <v>5</v>
      </c>
      <c r="AJ2062" s="37" t="s">
        <v>323</v>
      </c>
    </row>
    <row r="2063" customFormat="false" ht="15" hidden="false" customHeight="false" outlineLevel="0" collapsed="false">
      <c r="A2063" s="37" t="n">
        <v>398752401</v>
      </c>
      <c r="B2063" s="38" t="n">
        <v>46288.9453703704</v>
      </c>
      <c r="C2063" s="37" t="s">
        <v>325</v>
      </c>
      <c r="D2063" s="37" t="s">
        <v>2162</v>
      </c>
      <c r="E2063" s="37" t="n">
        <v>28022670</v>
      </c>
      <c r="F2063" s="37" t="s">
        <v>144</v>
      </c>
      <c r="G2063" s="37" t="s">
        <v>201</v>
      </c>
      <c r="H2063" s="37" t="s">
        <v>174</v>
      </c>
      <c r="I2063" s="37" t="n">
        <v>99</v>
      </c>
      <c r="J2063" s="39" t="n">
        <v>1122.28</v>
      </c>
      <c r="K2063" s="37" t="s">
        <v>322</v>
      </c>
      <c r="L2063" s="39" t="n">
        <v>193.97</v>
      </c>
      <c r="M2063" s="39" t="n">
        <v>144.41</v>
      </c>
      <c r="N2063" s="39" t="n">
        <f aca="false">J2063*Resumo!$C$7</f>
        <v>2.24456</v>
      </c>
      <c r="O2063" s="39" t="n">
        <f aca="false">J2063*Resumo!$C$8</f>
        <v>2.24456</v>
      </c>
      <c r="P2063" s="39" t="n">
        <f aca="false">Resumo!$C$10*CEILING(I2063/100,1)</f>
        <v>1</v>
      </c>
      <c r="Q2063" s="39" t="n">
        <f aca="false">Resumo!$C$9</f>
        <v>11.9</v>
      </c>
      <c r="R2063" s="39" t="n">
        <f aca="false">SUM(M2063:Q2063)*Resumo!$C$11</f>
        <v>8.8989516</v>
      </c>
      <c r="S2063" s="39" t="n">
        <f aca="false">SUM(M2063:R2063)</f>
        <v>170.6980716</v>
      </c>
      <c r="T2063" s="39" t="n">
        <f aca="false">S2063/(1-Resumo!$C$5)</f>
        <v>193.975081363636</v>
      </c>
      <c r="U2063" s="39" t="n">
        <v>200.04</v>
      </c>
      <c r="V2063" s="39" t="n">
        <f aca="false">J2063*Resumo!$B$6</f>
        <v>1.12228</v>
      </c>
      <c r="W2063" s="39" t="n">
        <f aca="false">J2063*Resumo!$B$7</f>
        <v>2.24456</v>
      </c>
      <c r="X2063" s="39" t="n">
        <f aca="false">Resumo!$B$9</f>
        <v>1</v>
      </c>
      <c r="Y2063" s="39" t="n">
        <f aca="false">Resumo!$B$10*CEILING(I2063/100,1)</f>
        <v>4.5</v>
      </c>
      <c r="Z2063" s="39" t="n">
        <f aca="false">Resumo!$B$12*CEILING(I2063,1)</f>
        <v>5.94</v>
      </c>
      <c r="AA2063" s="39" t="n">
        <f aca="false">Resumo!$B$13*CEILING(I2063,1)</f>
        <v>44.55</v>
      </c>
      <c r="AB2063" s="39" t="n">
        <f aca="false">SUM(U2063:AA2063)</f>
        <v>259.39684</v>
      </c>
      <c r="AC2063" s="39" t="n">
        <f aca="false">AB2063/(1-Resumo!$B$5)</f>
        <v>294.769136363636</v>
      </c>
      <c r="AD2063" s="39" t="n">
        <f aca="false">(AB2063-AA2063)/(1-Resumo!$B$5)</f>
        <v>244.144136363636</v>
      </c>
      <c r="AE2063" s="39" t="n">
        <f aca="false">AC2063-T2063</f>
        <v>100.794055</v>
      </c>
      <c r="AF2063" s="40" t="n">
        <f aca="false">AC2063/T2063-1</f>
        <v>0.519623728426467</v>
      </c>
      <c r="AG2063" s="37" t="str">
        <f aca="false">IF(AC2063&lt;T2063,"SIM","NÃO")</f>
        <v>NÃO</v>
      </c>
      <c r="AH2063" s="37" t="n">
        <v>13</v>
      </c>
      <c r="AI2063" s="37" t="n">
        <v>11</v>
      </c>
      <c r="AJ2063" s="37" t="s">
        <v>323</v>
      </c>
    </row>
    <row r="2064" customFormat="false" ht="15" hidden="false" customHeight="false" outlineLevel="0" collapsed="false">
      <c r="A2064" s="37" t="n">
        <v>398754037</v>
      </c>
      <c r="B2064" s="38" t="n">
        <v>46288.9496875</v>
      </c>
      <c r="C2064" s="37" t="s">
        <v>320</v>
      </c>
      <c r="D2064" s="37" t="s">
        <v>391</v>
      </c>
      <c r="E2064" s="37" t="n">
        <v>22795135</v>
      </c>
      <c r="F2064" s="37" t="s">
        <v>139</v>
      </c>
      <c r="G2064" s="37" t="s">
        <v>198</v>
      </c>
      <c r="H2064" s="37" t="s">
        <v>168</v>
      </c>
      <c r="I2064" s="37" t="n">
        <v>20.9</v>
      </c>
      <c r="J2064" s="39" t="n">
        <v>469.99</v>
      </c>
      <c r="K2064" s="37" t="s">
        <v>322</v>
      </c>
      <c r="L2064" s="39" t="n">
        <v>82.58</v>
      </c>
      <c r="M2064" s="39" t="n">
        <v>54.1</v>
      </c>
      <c r="N2064" s="39" t="n">
        <f aca="false">J2064*Resumo!$C$7</f>
        <v>0.93998</v>
      </c>
      <c r="O2064" s="39" t="n">
        <f aca="false">J2064*Resumo!$C$8</f>
        <v>0.93998</v>
      </c>
      <c r="P2064" s="39" t="n">
        <f aca="false">Resumo!$C$10*CEILING(I2064/100,1)</f>
        <v>1</v>
      </c>
      <c r="Q2064" s="39" t="n">
        <f aca="false">Resumo!$C$9</f>
        <v>11.9</v>
      </c>
      <c r="R2064" s="39" t="n">
        <f aca="false">SUM(M2064:Q2064)*Resumo!$C$11</f>
        <v>3.7883978</v>
      </c>
      <c r="S2064" s="39" t="n">
        <f aca="false">SUM(M2064:R2064)</f>
        <v>72.6683578</v>
      </c>
      <c r="T2064" s="39" t="n">
        <f aca="false">S2064/(1-Resumo!$C$5)</f>
        <v>82.5776793181818</v>
      </c>
      <c r="U2064" s="39" t="n">
        <v>82.21</v>
      </c>
      <c r="V2064" s="39" t="n">
        <f aca="false">J2064*Resumo!$B$6</f>
        <v>0.46999</v>
      </c>
      <c r="W2064" s="39" t="n">
        <f aca="false">J2064*Resumo!$B$7</f>
        <v>0.93998</v>
      </c>
      <c r="X2064" s="39" t="n">
        <f aca="false">Resumo!$B$9</f>
        <v>1</v>
      </c>
      <c r="Y2064" s="39" t="n">
        <f aca="false">Resumo!$B$10*CEILING(I2064/100,1)</f>
        <v>4.5</v>
      </c>
      <c r="Z2064" s="39" t="n">
        <f aca="false">Resumo!$B$12*CEILING(I2064,1)</f>
        <v>1.26</v>
      </c>
      <c r="AA2064" s="39" t="n">
        <f aca="false">Resumo!$B$13*CEILING(I2064,1)</f>
        <v>9.45</v>
      </c>
      <c r="AB2064" s="39" t="n">
        <f aca="false">SUM(U2064:AA2064)</f>
        <v>99.82997</v>
      </c>
      <c r="AC2064" s="39" t="n">
        <f aca="false">AB2064/(1-Resumo!$B$5)</f>
        <v>113.443147727273</v>
      </c>
      <c r="AD2064" s="39" t="n">
        <f aca="false">(AB2064-AA2064)/(1-Resumo!$B$5)</f>
        <v>102.704511363636</v>
      </c>
      <c r="AE2064" s="39" t="n">
        <f aca="false">AC2064-T2064</f>
        <v>30.8654684090909</v>
      </c>
      <c r="AF2064" s="40" t="n">
        <f aca="false">AC2064/T2064-1</f>
        <v>0.373774955459363</v>
      </c>
      <c r="AG2064" s="37" t="str">
        <f aca="false">IF(AC2064&lt;T2064,"SIM","NÃO")</f>
        <v>NÃO</v>
      </c>
      <c r="AH2064" s="37" t="n">
        <v>8</v>
      </c>
      <c r="AI2064" s="37" t="n">
        <v>5</v>
      </c>
      <c r="AJ2064" s="37" t="s">
        <v>323</v>
      </c>
    </row>
    <row r="2065" customFormat="false" ht="15" hidden="false" customHeight="false" outlineLevel="0" collapsed="false">
      <c r="A2065" s="37" t="n">
        <v>398763185</v>
      </c>
      <c r="B2065" s="38" t="n">
        <v>46288.9741203704</v>
      </c>
      <c r="C2065" s="37" t="s">
        <v>320</v>
      </c>
      <c r="D2065" s="37" t="s">
        <v>2163</v>
      </c>
      <c r="E2065" s="37" t="n">
        <v>22451510</v>
      </c>
      <c r="F2065" s="37" t="s">
        <v>139</v>
      </c>
      <c r="G2065" s="37" t="s">
        <v>198</v>
      </c>
      <c r="H2065" s="37" t="s">
        <v>171</v>
      </c>
      <c r="I2065" s="37" t="n">
        <v>52.3</v>
      </c>
      <c r="J2065" s="39" t="n">
        <v>592.37</v>
      </c>
      <c r="K2065" s="37" t="s">
        <v>322</v>
      </c>
      <c r="L2065" s="39" t="n">
        <v>113.98</v>
      </c>
      <c r="M2065" s="39" t="n">
        <v>79.81</v>
      </c>
      <c r="N2065" s="39" t="n">
        <f aca="false">J2065*Resumo!$C$7</f>
        <v>1.18474</v>
      </c>
      <c r="O2065" s="39" t="n">
        <f aca="false">J2065*Resumo!$C$8</f>
        <v>1.18474</v>
      </c>
      <c r="P2065" s="39" t="n">
        <f aca="false">Resumo!$C$10*CEILING(I2065/100,1)</f>
        <v>1</v>
      </c>
      <c r="Q2065" s="39" t="n">
        <f aca="false">Resumo!$C$9</f>
        <v>11.9</v>
      </c>
      <c r="R2065" s="39" t="n">
        <f aca="false">SUM(M2065:Q2065)*Resumo!$C$11</f>
        <v>5.2293714</v>
      </c>
      <c r="S2065" s="39" t="n">
        <f aca="false">SUM(M2065:R2065)</f>
        <v>100.3088514</v>
      </c>
      <c r="T2065" s="39" t="n">
        <f aca="false">S2065/(1-Resumo!$C$5)</f>
        <v>113.987331136364</v>
      </c>
      <c r="U2065" s="39" t="n">
        <v>112.3</v>
      </c>
      <c r="V2065" s="39" t="n">
        <f aca="false">J2065*Resumo!$B$6</f>
        <v>0.59237</v>
      </c>
      <c r="W2065" s="39" t="n">
        <f aca="false">J2065*Resumo!$B$7</f>
        <v>1.18474</v>
      </c>
      <c r="X2065" s="39" t="n">
        <f aca="false">Resumo!$B$9</f>
        <v>1</v>
      </c>
      <c r="Y2065" s="39" t="n">
        <f aca="false">Resumo!$B$10*CEILING(I2065/100,1)</f>
        <v>4.5</v>
      </c>
      <c r="Z2065" s="39" t="n">
        <f aca="false">Resumo!$B$12*CEILING(I2065,1)</f>
        <v>3.18</v>
      </c>
      <c r="AA2065" s="39" t="n">
        <f aca="false">Resumo!$B$13*CEILING(I2065,1)</f>
        <v>23.85</v>
      </c>
      <c r="AB2065" s="39" t="n">
        <f aca="false">SUM(U2065:AA2065)</f>
        <v>146.60711</v>
      </c>
      <c r="AC2065" s="39" t="n">
        <f aca="false">AB2065/(1-Resumo!$B$5)</f>
        <v>166.598988636364</v>
      </c>
      <c r="AD2065" s="39" t="n">
        <f aca="false">(AB2065-AA2065)/(1-Resumo!$B$5)</f>
        <v>139.496715909091</v>
      </c>
      <c r="AE2065" s="39" t="n">
        <f aca="false">AC2065-T2065</f>
        <v>52.6116575</v>
      </c>
      <c r="AF2065" s="40" t="n">
        <f aca="false">AC2065/T2065-1</f>
        <v>0.461557060556672</v>
      </c>
      <c r="AG2065" s="37" t="str">
        <f aca="false">IF(AC2065&lt;T2065,"SIM","NÃO")</f>
        <v>NÃO</v>
      </c>
      <c r="AH2065" s="37" t="n">
        <v>8</v>
      </c>
      <c r="AI2065" s="37" t="n">
        <v>5</v>
      </c>
      <c r="AJ2065" s="37" t="s">
        <v>323</v>
      </c>
    </row>
    <row r="2066" customFormat="false" ht="15" hidden="false" customHeight="false" outlineLevel="0" collapsed="false">
      <c r="A2066" s="37" t="n">
        <v>398771461</v>
      </c>
      <c r="B2066" s="38" t="n">
        <v>46288.9985532407</v>
      </c>
      <c r="C2066" s="37" t="s">
        <v>320</v>
      </c>
      <c r="D2066" s="37" t="s">
        <v>2164</v>
      </c>
      <c r="E2066" s="37" t="n">
        <v>20725220</v>
      </c>
      <c r="F2066" s="37" t="s">
        <v>139</v>
      </c>
      <c r="G2066" s="37" t="s">
        <v>198</v>
      </c>
      <c r="H2066" s="37" t="s">
        <v>168</v>
      </c>
      <c r="I2066" s="37" t="n">
        <v>34</v>
      </c>
      <c r="J2066" s="39" t="n">
        <v>539.98</v>
      </c>
      <c r="K2066" s="37" t="s">
        <v>322</v>
      </c>
      <c r="L2066" s="39" t="n">
        <v>82.91</v>
      </c>
      <c r="M2066" s="39" t="n">
        <v>54.1</v>
      </c>
      <c r="N2066" s="39" t="n">
        <f aca="false">J2066*Resumo!$C$7</f>
        <v>1.07996</v>
      </c>
      <c r="O2066" s="39" t="n">
        <f aca="false">J2066*Resumo!$C$8</f>
        <v>1.07996</v>
      </c>
      <c r="P2066" s="39" t="n">
        <f aca="false">Resumo!$C$10*CEILING(I2066/100,1)</f>
        <v>1</v>
      </c>
      <c r="Q2066" s="39" t="n">
        <f aca="false">Resumo!$C$9</f>
        <v>11.9</v>
      </c>
      <c r="R2066" s="39" t="n">
        <f aca="false">SUM(M2066:Q2066)*Resumo!$C$11</f>
        <v>3.8037956</v>
      </c>
      <c r="S2066" s="39" t="n">
        <f aca="false">SUM(M2066:R2066)</f>
        <v>72.9637156</v>
      </c>
      <c r="T2066" s="39" t="n">
        <f aca="false">S2066/(1-Resumo!$C$5)</f>
        <v>82.9133131818182</v>
      </c>
      <c r="U2066" s="39" t="n">
        <v>82.21</v>
      </c>
      <c r="V2066" s="39" t="n">
        <f aca="false">J2066*Resumo!$B$6</f>
        <v>0.53998</v>
      </c>
      <c r="W2066" s="39" t="n">
        <f aca="false">J2066*Resumo!$B$7</f>
        <v>1.07996</v>
      </c>
      <c r="X2066" s="39" t="n">
        <f aca="false">Resumo!$B$9</f>
        <v>1</v>
      </c>
      <c r="Y2066" s="39" t="n">
        <f aca="false">Resumo!$B$10*CEILING(I2066/100,1)</f>
        <v>4.5</v>
      </c>
      <c r="Z2066" s="39" t="n">
        <f aca="false">Resumo!$B$12*CEILING(I2066,1)</f>
        <v>2.04</v>
      </c>
      <c r="AA2066" s="39" t="n">
        <f aca="false">Resumo!$B$13*CEILING(I2066,1)</f>
        <v>15.3</v>
      </c>
      <c r="AB2066" s="39" t="n">
        <f aca="false">SUM(U2066:AA2066)</f>
        <v>106.66994</v>
      </c>
      <c r="AC2066" s="39" t="n">
        <f aca="false">AB2066/(1-Resumo!$B$5)</f>
        <v>121.215840909091</v>
      </c>
      <c r="AD2066" s="39" t="n">
        <f aca="false">(AB2066-AA2066)/(1-Resumo!$B$5)</f>
        <v>103.829477272727</v>
      </c>
      <c r="AE2066" s="39" t="n">
        <f aca="false">AC2066-T2066</f>
        <v>38.3025277272727</v>
      </c>
      <c r="AF2066" s="40" t="n">
        <f aca="false">AC2066/T2066-1</f>
        <v>0.461958716367783</v>
      </c>
      <c r="AG2066" s="37" t="str">
        <f aca="false">IF(AC2066&lt;T2066,"SIM","NÃO")</f>
        <v>NÃO</v>
      </c>
      <c r="AH2066" s="37" t="n">
        <v>8</v>
      </c>
      <c r="AI2066" s="37" t="n">
        <v>5</v>
      </c>
      <c r="AJ2066" s="37" t="s">
        <v>323</v>
      </c>
    </row>
    <row r="2067" customFormat="false" ht="15" hidden="false" customHeight="false" outlineLevel="0" collapsed="false">
      <c r="A2067" s="37" t="n">
        <v>398776795</v>
      </c>
      <c r="B2067" s="38" t="n">
        <v>46289.0162268519</v>
      </c>
      <c r="C2067" s="37" t="s">
        <v>325</v>
      </c>
      <c r="D2067" s="37" t="s">
        <v>2165</v>
      </c>
      <c r="E2067" s="37" t="n">
        <v>22080002</v>
      </c>
      <c r="F2067" s="37" t="s">
        <v>139</v>
      </c>
      <c r="G2067" s="37" t="s">
        <v>198</v>
      </c>
      <c r="H2067" s="37" t="s">
        <v>169</v>
      </c>
      <c r="I2067" s="37" t="n">
        <v>36.8</v>
      </c>
      <c r="J2067" s="39" t="n">
        <v>435.08</v>
      </c>
      <c r="K2067" s="37" t="s">
        <v>322</v>
      </c>
      <c r="L2067" s="39" t="n">
        <v>91.94</v>
      </c>
      <c r="M2067" s="39" t="n">
        <v>62.05</v>
      </c>
      <c r="N2067" s="39" t="n">
        <f aca="false">J2067*Resumo!$C$7</f>
        <v>0.87016</v>
      </c>
      <c r="O2067" s="39" t="n">
        <f aca="false">J2067*Resumo!$C$8</f>
        <v>0.87016</v>
      </c>
      <c r="P2067" s="39" t="n">
        <f aca="false">Resumo!$C$10*CEILING(I2067/100,1)</f>
        <v>1</v>
      </c>
      <c r="Q2067" s="39" t="n">
        <f aca="false">Resumo!$C$9</f>
        <v>11.9</v>
      </c>
      <c r="R2067" s="39" t="n">
        <f aca="false">SUM(M2067:Q2067)*Resumo!$C$11</f>
        <v>4.2179676</v>
      </c>
      <c r="S2067" s="39" t="n">
        <f aca="false">SUM(M2067:R2067)</f>
        <v>80.9082876</v>
      </c>
      <c r="T2067" s="39" t="n">
        <f aca="false">S2067/(1-Resumo!$C$5)</f>
        <v>91.9412359090909</v>
      </c>
      <c r="U2067" s="39" t="n">
        <v>93.97</v>
      </c>
      <c r="V2067" s="39" t="n">
        <f aca="false">J2067*Resumo!$B$6</f>
        <v>0.43508</v>
      </c>
      <c r="W2067" s="39" t="n">
        <f aca="false">J2067*Resumo!$B$7</f>
        <v>0.87016</v>
      </c>
      <c r="X2067" s="39" t="n">
        <f aca="false">Resumo!$B$9</f>
        <v>1</v>
      </c>
      <c r="Y2067" s="39" t="n">
        <f aca="false">Resumo!$B$10*CEILING(I2067/100,1)</f>
        <v>4.5</v>
      </c>
      <c r="Z2067" s="39" t="n">
        <f aca="false">Resumo!$B$12*CEILING(I2067,1)</f>
        <v>2.22</v>
      </c>
      <c r="AA2067" s="39" t="n">
        <f aca="false">Resumo!$B$13*CEILING(I2067,1)</f>
        <v>16.65</v>
      </c>
      <c r="AB2067" s="39" t="n">
        <f aca="false">SUM(U2067:AA2067)</f>
        <v>119.64524</v>
      </c>
      <c r="AC2067" s="39" t="n">
        <f aca="false">AB2067/(1-Resumo!$B$5)</f>
        <v>135.9605</v>
      </c>
      <c r="AD2067" s="39" t="n">
        <f aca="false">(AB2067-AA2067)/(1-Resumo!$B$5)</f>
        <v>117.040045454545</v>
      </c>
      <c r="AE2067" s="39" t="n">
        <f aca="false">AC2067-T2067</f>
        <v>44.0192640909091</v>
      </c>
      <c r="AF2067" s="40" t="n">
        <f aca="false">AC2067/T2067-1</f>
        <v>0.478776075344845</v>
      </c>
      <c r="AG2067" s="37" t="str">
        <f aca="false">IF(AC2067&lt;T2067,"SIM","NÃO")</f>
        <v>NÃO</v>
      </c>
      <c r="AH2067" s="37" t="n">
        <v>8</v>
      </c>
      <c r="AI2067" s="37" t="n">
        <v>5</v>
      </c>
      <c r="AJ2067" s="37" t="s">
        <v>323</v>
      </c>
    </row>
    <row r="2068" customFormat="false" ht="15" hidden="false" customHeight="false" outlineLevel="0" collapsed="false">
      <c r="A2068" s="37" t="n">
        <v>398798838</v>
      </c>
      <c r="B2068" s="38" t="n">
        <v>46289.1094675926</v>
      </c>
      <c r="C2068" s="37" t="s">
        <v>325</v>
      </c>
      <c r="D2068" s="37" t="s">
        <v>2166</v>
      </c>
      <c r="E2068" s="37" t="n">
        <v>25060000</v>
      </c>
      <c r="F2068" s="37" t="s">
        <v>141</v>
      </c>
      <c r="G2068" s="37" t="s">
        <v>207</v>
      </c>
      <c r="H2068" s="37" t="s">
        <v>169</v>
      </c>
      <c r="I2068" s="37" t="n">
        <v>40</v>
      </c>
      <c r="J2068" s="39" t="n">
        <v>629.99</v>
      </c>
      <c r="K2068" s="37" t="s">
        <v>322</v>
      </c>
      <c r="L2068" s="39" t="n">
        <v>113.98</v>
      </c>
      <c r="M2068" s="39" t="n">
        <v>79.65</v>
      </c>
      <c r="N2068" s="39" t="n">
        <f aca="false">J2068*Resumo!$C$7</f>
        <v>1.25998</v>
      </c>
      <c r="O2068" s="39" t="n">
        <f aca="false">J2068*Resumo!$C$8</f>
        <v>1.25998</v>
      </c>
      <c r="P2068" s="39" t="n">
        <f aca="false">Resumo!$C$10*CEILING(I2068/100,1)</f>
        <v>1</v>
      </c>
      <c r="Q2068" s="39" t="n">
        <f aca="false">Resumo!$C$9</f>
        <v>11.9</v>
      </c>
      <c r="R2068" s="39" t="n">
        <f aca="false">SUM(M2068:Q2068)*Resumo!$C$11</f>
        <v>5.2288478</v>
      </c>
      <c r="S2068" s="39" t="n">
        <f aca="false">SUM(M2068:R2068)</f>
        <v>100.2988078</v>
      </c>
      <c r="T2068" s="39" t="n">
        <f aca="false">S2068/(1-Resumo!$C$5)</f>
        <v>113.975917954545</v>
      </c>
      <c r="U2068" s="39" t="n">
        <v>93.97</v>
      </c>
      <c r="V2068" s="39" t="n">
        <f aca="false">J2068*Resumo!$B$6</f>
        <v>0.62999</v>
      </c>
      <c r="W2068" s="39" t="n">
        <f aca="false">J2068*Resumo!$B$7</f>
        <v>1.25998</v>
      </c>
      <c r="X2068" s="39" t="n">
        <f aca="false">Resumo!$B$9</f>
        <v>1</v>
      </c>
      <c r="Y2068" s="39" t="n">
        <f aca="false">Resumo!$B$10*CEILING(I2068/100,1)</f>
        <v>4.5</v>
      </c>
      <c r="Z2068" s="39" t="n">
        <f aca="false">Resumo!$B$12*CEILING(I2068,1)</f>
        <v>2.4</v>
      </c>
      <c r="AA2068" s="39" t="n">
        <f aca="false">Resumo!$B$13*CEILING(I2068,1)</f>
        <v>18</v>
      </c>
      <c r="AB2068" s="39" t="n">
        <f aca="false">SUM(U2068:AA2068)</f>
        <v>121.75997</v>
      </c>
      <c r="AC2068" s="39" t="n">
        <f aca="false">AB2068/(1-Resumo!$B$5)</f>
        <v>138.363602272727</v>
      </c>
      <c r="AD2068" s="39" t="n">
        <f aca="false">(AB2068-AA2068)/(1-Resumo!$B$5)</f>
        <v>117.909056818182</v>
      </c>
      <c r="AE2068" s="39" t="n">
        <f aca="false">AC2068-T2068</f>
        <v>24.3876843181818</v>
      </c>
      <c r="AF2068" s="40" t="n">
        <f aca="false">AC2068/T2068-1</f>
        <v>0.213972256208612</v>
      </c>
      <c r="AG2068" s="37" t="str">
        <f aca="false">IF(AC2068&lt;T2068,"SIM","NÃO")</f>
        <v>NÃO</v>
      </c>
      <c r="AH2068" s="37" t="n">
        <v>10</v>
      </c>
      <c r="AI2068" s="37" t="n">
        <v>5</v>
      </c>
      <c r="AJ2068" s="37" t="s">
        <v>323</v>
      </c>
    </row>
    <row r="2069" customFormat="false" ht="15" hidden="false" customHeight="false" outlineLevel="0" collapsed="false">
      <c r="A2069" s="37" t="n">
        <v>398818471</v>
      </c>
      <c r="B2069" s="38" t="n">
        <v>46289.2061458333</v>
      </c>
      <c r="C2069" s="37" t="s">
        <v>320</v>
      </c>
      <c r="D2069" s="37" t="s">
        <v>2167</v>
      </c>
      <c r="E2069" s="37" t="n">
        <v>25943518</v>
      </c>
      <c r="F2069" s="37" t="s">
        <v>220</v>
      </c>
      <c r="G2069" s="37" t="s">
        <v>201</v>
      </c>
      <c r="H2069" s="37" t="s">
        <v>170</v>
      </c>
      <c r="I2069" s="37" t="n">
        <v>48</v>
      </c>
      <c r="J2069" s="39" t="n">
        <v>828.99</v>
      </c>
      <c r="K2069" s="37" t="s">
        <v>322</v>
      </c>
      <c r="L2069" s="39" t="n">
        <v>132.14</v>
      </c>
      <c r="M2069" s="39" t="n">
        <v>94</v>
      </c>
      <c r="N2069" s="39" t="n">
        <f aca="false">J2069*Resumo!$C$7</f>
        <v>1.65798</v>
      </c>
      <c r="O2069" s="39" t="n">
        <f aca="false">J2069*Resumo!$C$8</f>
        <v>1.65798</v>
      </c>
      <c r="P2069" s="39" t="n">
        <f aca="false">Resumo!$C$10*CEILING(I2069/100,1)</f>
        <v>1</v>
      </c>
      <c r="Q2069" s="39" t="n">
        <f aca="false">Resumo!$C$9</f>
        <v>11.9</v>
      </c>
      <c r="R2069" s="39" t="n">
        <f aca="false">SUM(M2069:Q2069)*Resumo!$C$11</f>
        <v>6.0618778</v>
      </c>
      <c r="S2069" s="39" t="n">
        <f aca="false">SUM(M2069:R2069)</f>
        <v>116.2778378</v>
      </c>
      <c r="T2069" s="39" t="n">
        <f aca="false">S2069/(1-Resumo!$C$5)</f>
        <v>132.133906590909</v>
      </c>
      <c r="U2069" s="39" t="n">
        <v>117.23</v>
      </c>
      <c r="V2069" s="39" t="n">
        <f aca="false">J2069*Resumo!$B$6</f>
        <v>0.82899</v>
      </c>
      <c r="W2069" s="39" t="n">
        <f aca="false">J2069*Resumo!$B$7</f>
        <v>1.65798</v>
      </c>
      <c r="X2069" s="39" t="n">
        <f aca="false">Resumo!$B$9</f>
        <v>1</v>
      </c>
      <c r="Y2069" s="39" t="n">
        <f aca="false">Resumo!$B$10*CEILING(I2069/100,1)</f>
        <v>4.5</v>
      </c>
      <c r="Z2069" s="39" t="n">
        <f aca="false">Resumo!$B$12*CEILING(I2069,1)</f>
        <v>2.88</v>
      </c>
      <c r="AA2069" s="39" t="n">
        <f aca="false">Resumo!$B$13*CEILING(I2069,1)</f>
        <v>21.6</v>
      </c>
      <c r="AB2069" s="39" t="n">
        <f aca="false">SUM(U2069:AA2069)</f>
        <v>149.69697</v>
      </c>
      <c r="AC2069" s="39" t="n">
        <f aca="false">AB2069/(1-Resumo!$B$5)</f>
        <v>170.110193181818</v>
      </c>
      <c r="AD2069" s="39" t="n">
        <f aca="false">(AB2069-AA2069)/(1-Resumo!$B$5)</f>
        <v>145.564738636364</v>
      </c>
      <c r="AE2069" s="39" t="n">
        <f aca="false">AC2069-T2069</f>
        <v>37.9762865909091</v>
      </c>
      <c r="AF2069" s="40" t="n">
        <f aca="false">AC2069/T2069-1</f>
        <v>0.287407581980339</v>
      </c>
      <c r="AG2069" s="37" t="str">
        <f aca="false">IF(AC2069&lt;T2069,"SIM","NÃO")</f>
        <v>NÃO</v>
      </c>
      <c r="AH2069" s="37" t="n">
        <v>13</v>
      </c>
      <c r="AI2069" s="37" t="n">
        <v>6</v>
      </c>
      <c r="AJ2069" s="37" t="s">
        <v>327</v>
      </c>
    </row>
    <row r="2070" customFormat="false" ht="15" hidden="false" customHeight="false" outlineLevel="0" collapsed="false">
      <c r="A2070" s="37" t="n">
        <v>398821118</v>
      </c>
      <c r="B2070" s="38" t="n">
        <v>46289.2205439815</v>
      </c>
      <c r="C2070" s="37" t="s">
        <v>320</v>
      </c>
      <c r="D2070" s="37" t="s">
        <v>2168</v>
      </c>
      <c r="E2070" s="37" t="n">
        <v>20531420</v>
      </c>
      <c r="F2070" s="37" t="s">
        <v>139</v>
      </c>
      <c r="G2070" s="37" t="s">
        <v>198</v>
      </c>
      <c r="H2070" s="37" t="s">
        <v>169</v>
      </c>
      <c r="I2070" s="37" t="n">
        <v>36.8</v>
      </c>
      <c r="J2070" s="39" t="n">
        <v>371.8</v>
      </c>
      <c r="K2070" s="37" t="s">
        <v>322</v>
      </c>
      <c r="L2070" s="39" t="n">
        <v>91.63</v>
      </c>
      <c r="M2070" s="39" t="n">
        <v>62.05</v>
      </c>
      <c r="N2070" s="39" t="n">
        <f aca="false">J2070*Resumo!$C$7</f>
        <v>0.7436</v>
      </c>
      <c r="O2070" s="39" t="n">
        <f aca="false">J2070*Resumo!$C$8</f>
        <v>0.7436</v>
      </c>
      <c r="P2070" s="39" t="n">
        <f aca="false">Resumo!$C$10*CEILING(I2070/100,1)</f>
        <v>1</v>
      </c>
      <c r="Q2070" s="39" t="n">
        <f aca="false">Resumo!$C$9</f>
        <v>11.9</v>
      </c>
      <c r="R2070" s="39" t="n">
        <f aca="false">SUM(M2070:Q2070)*Resumo!$C$11</f>
        <v>4.204046</v>
      </c>
      <c r="S2070" s="39" t="n">
        <f aca="false">SUM(M2070:R2070)</f>
        <v>80.641246</v>
      </c>
      <c r="T2070" s="39" t="n">
        <f aca="false">S2070/(1-Resumo!$C$5)</f>
        <v>91.6377795454546</v>
      </c>
      <c r="U2070" s="39" t="n">
        <v>93.97</v>
      </c>
      <c r="V2070" s="39" t="n">
        <f aca="false">J2070*Resumo!$B$6</f>
        <v>0.3718</v>
      </c>
      <c r="W2070" s="39" t="n">
        <f aca="false">J2070*Resumo!$B$7</f>
        <v>0.7436</v>
      </c>
      <c r="X2070" s="39" t="n">
        <f aca="false">Resumo!$B$9</f>
        <v>1</v>
      </c>
      <c r="Y2070" s="39" t="n">
        <f aca="false">Resumo!$B$10*CEILING(I2070/100,1)</f>
        <v>4.5</v>
      </c>
      <c r="Z2070" s="39" t="n">
        <f aca="false">Resumo!$B$12*CEILING(I2070,1)</f>
        <v>2.22</v>
      </c>
      <c r="AA2070" s="39" t="n">
        <f aca="false">Resumo!$B$13*CEILING(I2070,1)</f>
        <v>16.65</v>
      </c>
      <c r="AB2070" s="39" t="n">
        <f aca="false">SUM(U2070:AA2070)</f>
        <v>119.4554</v>
      </c>
      <c r="AC2070" s="39" t="n">
        <f aca="false">AB2070/(1-Resumo!$B$5)</f>
        <v>135.744772727273</v>
      </c>
      <c r="AD2070" s="39" t="n">
        <f aca="false">(AB2070-AA2070)/(1-Resumo!$B$5)</f>
        <v>116.824318181818</v>
      </c>
      <c r="AE2070" s="39" t="n">
        <f aca="false">AC2070-T2070</f>
        <v>44.1069931818182</v>
      </c>
      <c r="AF2070" s="40" t="n">
        <f aca="false">AC2070/T2070-1</f>
        <v>0.481318877438972</v>
      </c>
      <c r="AG2070" s="37" t="str">
        <f aca="false">IF(AC2070&lt;T2070,"SIM","NÃO")</f>
        <v>NÃO</v>
      </c>
      <c r="AH2070" s="37" t="n">
        <v>8</v>
      </c>
      <c r="AI2070" s="37" t="n">
        <v>5</v>
      </c>
      <c r="AJ2070" s="37" t="s">
        <v>323</v>
      </c>
    </row>
    <row r="2071" customFormat="false" ht="15" hidden="false" customHeight="false" outlineLevel="0" collapsed="false">
      <c r="A2071" s="37" t="n">
        <v>398844891</v>
      </c>
      <c r="B2071" s="38" t="n">
        <v>46289.3199768519</v>
      </c>
      <c r="C2071" s="37" t="s">
        <v>320</v>
      </c>
      <c r="D2071" s="37" t="s">
        <v>2169</v>
      </c>
      <c r="E2071" s="37" t="n">
        <v>22795780</v>
      </c>
      <c r="F2071" s="37" t="s">
        <v>139</v>
      </c>
      <c r="G2071" s="37" t="s">
        <v>198</v>
      </c>
      <c r="H2071" s="37" t="s">
        <v>168</v>
      </c>
      <c r="I2071" s="37" t="n">
        <v>24.4</v>
      </c>
      <c r="J2071" s="39" t="n">
        <v>329.69</v>
      </c>
      <c r="K2071" s="37" t="s">
        <v>322</v>
      </c>
      <c r="L2071" s="39" t="n">
        <v>81.91</v>
      </c>
      <c r="M2071" s="39" t="n">
        <v>54.1</v>
      </c>
      <c r="N2071" s="39" t="n">
        <f aca="false">J2071*Resumo!$C$7</f>
        <v>0.65938</v>
      </c>
      <c r="O2071" s="39" t="n">
        <f aca="false">J2071*Resumo!$C$8</f>
        <v>0.65938</v>
      </c>
      <c r="P2071" s="39" t="n">
        <f aca="false">Resumo!$C$10*CEILING(I2071/100,1)</f>
        <v>1</v>
      </c>
      <c r="Q2071" s="39" t="n">
        <f aca="false">Resumo!$C$9</f>
        <v>11.9</v>
      </c>
      <c r="R2071" s="39" t="n">
        <f aca="false">SUM(M2071:Q2071)*Resumo!$C$11</f>
        <v>3.7575318</v>
      </c>
      <c r="S2071" s="39" t="n">
        <f aca="false">SUM(M2071:R2071)</f>
        <v>72.0762918</v>
      </c>
      <c r="T2071" s="39" t="n">
        <f aca="false">S2071/(1-Resumo!$C$5)</f>
        <v>81.9048770454545</v>
      </c>
      <c r="U2071" s="39" t="n">
        <v>82.21</v>
      </c>
      <c r="V2071" s="39" t="n">
        <f aca="false">J2071*Resumo!$B$6</f>
        <v>0.32969</v>
      </c>
      <c r="W2071" s="39" t="n">
        <f aca="false">J2071*Resumo!$B$7</f>
        <v>0.65938</v>
      </c>
      <c r="X2071" s="39" t="n">
        <f aca="false">Resumo!$B$9</f>
        <v>1</v>
      </c>
      <c r="Y2071" s="39" t="n">
        <f aca="false">Resumo!$B$10*CEILING(I2071/100,1)</f>
        <v>4.5</v>
      </c>
      <c r="Z2071" s="39" t="n">
        <f aca="false">Resumo!$B$12*CEILING(I2071,1)</f>
        <v>1.5</v>
      </c>
      <c r="AA2071" s="39" t="n">
        <f aca="false">Resumo!$B$13*CEILING(I2071,1)</f>
        <v>11.25</v>
      </c>
      <c r="AB2071" s="39" t="n">
        <f aca="false">SUM(U2071:AA2071)</f>
        <v>101.44907</v>
      </c>
      <c r="AC2071" s="39" t="n">
        <f aca="false">AB2071/(1-Resumo!$B$5)</f>
        <v>115.283034090909</v>
      </c>
      <c r="AD2071" s="39" t="n">
        <f aca="false">(AB2071-AA2071)/(1-Resumo!$B$5)</f>
        <v>102.498943181818</v>
      </c>
      <c r="AE2071" s="39" t="n">
        <f aca="false">AC2071-T2071</f>
        <v>33.3781570454545</v>
      </c>
      <c r="AF2071" s="40" t="n">
        <f aca="false">AC2071/T2071-1</f>
        <v>0.407523437547324</v>
      </c>
      <c r="AG2071" s="37" t="str">
        <f aca="false">IF(AC2071&lt;T2071,"SIM","NÃO")</f>
        <v>NÃO</v>
      </c>
      <c r="AH2071" s="37" t="n">
        <v>8</v>
      </c>
      <c r="AI2071" s="37" t="n">
        <v>5</v>
      </c>
      <c r="AJ2071" s="37" t="s">
        <v>323</v>
      </c>
    </row>
    <row r="2072" customFormat="false" ht="15" hidden="false" customHeight="false" outlineLevel="0" collapsed="false">
      <c r="A2072" s="37" t="n">
        <v>398855281</v>
      </c>
      <c r="B2072" s="38" t="n">
        <v>46289.3527546296</v>
      </c>
      <c r="C2072" s="37" t="s">
        <v>320</v>
      </c>
      <c r="D2072" s="37" t="s">
        <v>882</v>
      </c>
      <c r="E2072" s="37" t="n">
        <v>28930000</v>
      </c>
      <c r="F2072" s="37" t="s">
        <v>277</v>
      </c>
      <c r="G2072" s="37" t="s">
        <v>201</v>
      </c>
      <c r="H2072" s="37" t="s">
        <v>169</v>
      </c>
      <c r="I2072" s="37" t="n">
        <v>36.9</v>
      </c>
      <c r="J2072" s="39" t="n">
        <v>399.99</v>
      </c>
      <c r="K2072" s="37" t="s">
        <v>322</v>
      </c>
      <c r="L2072" s="39" t="n">
        <v>122.16</v>
      </c>
      <c r="M2072" s="39" t="n">
        <v>87.4</v>
      </c>
      <c r="N2072" s="39" t="n">
        <f aca="false">J2072*Resumo!$C$7</f>
        <v>0.79998</v>
      </c>
      <c r="O2072" s="39" t="n">
        <f aca="false">J2072*Resumo!$C$8</f>
        <v>0.79998</v>
      </c>
      <c r="P2072" s="39" t="n">
        <f aca="false">Resumo!$C$10*CEILING(I2072/100,1)</f>
        <v>1</v>
      </c>
      <c r="Q2072" s="39" t="n">
        <f aca="false">Resumo!$C$9</f>
        <v>11.9</v>
      </c>
      <c r="R2072" s="39" t="n">
        <f aca="false">SUM(M2072:Q2072)*Resumo!$C$11</f>
        <v>5.6044978</v>
      </c>
      <c r="S2072" s="39" t="n">
        <f aca="false">SUM(M2072:R2072)</f>
        <v>107.5044578</v>
      </c>
      <c r="T2072" s="39" t="n">
        <f aca="false">S2072/(1-Resumo!$C$5)</f>
        <v>122.164156590909</v>
      </c>
      <c r="U2072" s="39" t="n">
        <v>124.38</v>
      </c>
      <c r="V2072" s="39" t="n">
        <f aca="false">J2072*Resumo!$B$6</f>
        <v>0.39999</v>
      </c>
      <c r="W2072" s="39" t="n">
        <f aca="false">J2072*Resumo!$B$7</f>
        <v>0.79998</v>
      </c>
      <c r="X2072" s="39" t="n">
        <f aca="false">Resumo!$B$9</f>
        <v>1</v>
      </c>
      <c r="Y2072" s="39" t="n">
        <f aca="false">Resumo!$B$10*CEILING(I2072/100,1)</f>
        <v>4.5</v>
      </c>
      <c r="Z2072" s="39" t="n">
        <f aca="false">Resumo!$B$12*CEILING(I2072,1)</f>
        <v>2.22</v>
      </c>
      <c r="AA2072" s="39" t="n">
        <f aca="false">Resumo!$B$13*CEILING(I2072,1)</f>
        <v>16.65</v>
      </c>
      <c r="AB2072" s="39" t="n">
        <f aca="false">SUM(U2072:AA2072)</f>
        <v>149.94997</v>
      </c>
      <c r="AC2072" s="39" t="n">
        <f aca="false">AB2072/(1-Resumo!$B$5)</f>
        <v>170.397693181818</v>
      </c>
      <c r="AD2072" s="39" t="n">
        <f aca="false">(AB2072-AA2072)/(1-Resumo!$B$5)</f>
        <v>151.477238636364</v>
      </c>
      <c r="AE2072" s="39" t="n">
        <f aca="false">AC2072-T2072</f>
        <v>48.2335365909091</v>
      </c>
      <c r="AF2072" s="40" t="n">
        <f aca="false">AC2072/T2072-1</f>
        <v>0.394825601362179</v>
      </c>
      <c r="AG2072" s="37" t="str">
        <f aca="false">IF(AC2072&lt;T2072,"SIM","NÃO")</f>
        <v>NÃO</v>
      </c>
      <c r="AH2072" s="37" t="n">
        <v>13</v>
      </c>
      <c r="AI2072" s="37" t="n">
        <v>10</v>
      </c>
      <c r="AJ2072" s="37" t="s">
        <v>327</v>
      </c>
    </row>
    <row r="2073" customFormat="false" ht="15" hidden="false" customHeight="false" outlineLevel="0" collapsed="false">
      <c r="A2073" s="37" t="n">
        <v>398857073</v>
      </c>
      <c r="B2073" s="38" t="n">
        <v>46289.3577893519</v>
      </c>
      <c r="C2073" s="37" t="s">
        <v>320</v>
      </c>
      <c r="D2073" s="37" t="s">
        <v>2170</v>
      </c>
      <c r="E2073" s="37" t="n">
        <v>28994807</v>
      </c>
      <c r="F2073" s="37" t="s">
        <v>281</v>
      </c>
      <c r="G2073" s="37" t="s">
        <v>201</v>
      </c>
      <c r="H2073" s="37" t="s">
        <v>170</v>
      </c>
      <c r="I2073" s="37" t="n">
        <v>41</v>
      </c>
      <c r="J2073" s="39" t="n">
        <v>487.99</v>
      </c>
      <c r="K2073" s="37" t="s">
        <v>322</v>
      </c>
      <c r="L2073" s="39" t="n">
        <v>130.51</v>
      </c>
      <c r="M2073" s="39" t="n">
        <v>94</v>
      </c>
      <c r="N2073" s="39" t="n">
        <f aca="false">J2073*Resumo!$C$7</f>
        <v>0.97598</v>
      </c>
      <c r="O2073" s="39" t="n">
        <f aca="false">J2073*Resumo!$C$8</f>
        <v>0.97598</v>
      </c>
      <c r="P2073" s="39" t="n">
        <f aca="false">Resumo!$C$10*CEILING(I2073/100,1)</f>
        <v>1</v>
      </c>
      <c r="Q2073" s="39" t="n">
        <f aca="false">Resumo!$C$9</f>
        <v>11.9</v>
      </c>
      <c r="R2073" s="39" t="n">
        <f aca="false">SUM(M2073:Q2073)*Resumo!$C$11</f>
        <v>5.9868578</v>
      </c>
      <c r="S2073" s="39" t="n">
        <f aca="false">SUM(M2073:R2073)</f>
        <v>114.8388178</v>
      </c>
      <c r="T2073" s="39" t="n">
        <f aca="false">S2073/(1-Resumo!$C$5)</f>
        <v>130.498656590909</v>
      </c>
      <c r="U2073" s="39" t="n">
        <v>129.29</v>
      </c>
      <c r="V2073" s="39" t="n">
        <f aca="false">J2073*Resumo!$B$6</f>
        <v>0.48799</v>
      </c>
      <c r="W2073" s="39" t="n">
        <f aca="false">J2073*Resumo!$B$7</f>
        <v>0.97598</v>
      </c>
      <c r="X2073" s="39" t="n">
        <f aca="false">Resumo!$B$9</f>
        <v>1</v>
      </c>
      <c r="Y2073" s="39" t="n">
        <f aca="false">Resumo!$B$10*CEILING(I2073/100,1)</f>
        <v>4.5</v>
      </c>
      <c r="Z2073" s="39" t="n">
        <f aca="false">Resumo!$B$12*CEILING(I2073,1)</f>
        <v>2.46</v>
      </c>
      <c r="AA2073" s="39" t="n">
        <f aca="false">Resumo!$B$13*CEILING(I2073,1)</f>
        <v>18.45</v>
      </c>
      <c r="AB2073" s="39" t="n">
        <f aca="false">SUM(U2073:AA2073)</f>
        <v>157.16397</v>
      </c>
      <c r="AC2073" s="39" t="n">
        <f aca="false">AB2073/(1-Resumo!$B$5)</f>
        <v>178.595420454545</v>
      </c>
      <c r="AD2073" s="39" t="n">
        <f aca="false">(AB2073-AA2073)/(1-Resumo!$B$5)</f>
        <v>157.629511363636</v>
      </c>
      <c r="AE2073" s="39" t="n">
        <f aca="false">AC2073-T2073</f>
        <v>48.0967638636363</v>
      </c>
      <c r="AF2073" s="40" t="n">
        <f aca="false">AC2073/T2073-1</f>
        <v>0.368561371588762</v>
      </c>
      <c r="AG2073" s="37" t="str">
        <f aca="false">IF(AC2073&lt;T2073,"SIM","NÃO")</f>
        <v>NÃO</v>
      </c>
      <c r="AH2073" s="37" t="n">
        <v>13</v>
      </c>
      <c r="AI2073" s="37" t="n">
        <v>10</v>
      </c>
      <c r="AJ2073" s="37" t="s">
        <v>327</v>
      </c>
    </row>
    <row r="2074" customFormat="false" ht="15" hidden="false" customHeight="false" outlineLevel="0" collapsed="false">
      <c r="A2074" s="37" t="n">
        <v>398863457</v>
      </c>
      <c r="B2074" s="38" t="n">
        <v>46289.3761458333</v>
      </c>
      <c r="C2074" s="37" t="s">
        <v>320</v>
      </c>
      <c r="D2074" s="37" t="s">
        <v>2171</v>
      </c>
      <c r="E2074" s="37" t="n">
        <v>25545430</v>
      </c>
      <c r="F2074" s="37" t="s">
        <v>147</v>
      </c>
      <c r="G2074" s="37" t="s">
        <v>207</v>
      </c>
      <c r="H2074" s="37" t="s">
        <v>171</v>
      </c>
      <c r="I2074" s="37" t="n">
        <v>52.3</v>
      </c>
      <c r="J2074" s="39" t="n">
        <v>592.37</v>
      </c>
      <c r="K2074" s="37" t="s">
        <v>322</v>
      </c>
      <c r="L2074" s="39" t="n">
        <v>128.11</v>
      </c>
      <c r="M2074" s="39" t="n">
        <v>91.6</v>
      </c>
      <c r="N2074" s="39" t="n">
        <f aca="false">J2074*Resumo!$C$7</f>
        <v>1.18474</v>
      </c>
      <c r="O2074" s="39" t="n">
        <f aca="false">J2074*Resumo!$C$8</f>
        <v>1.18474</v>
      </c>
      <c r="P2074" s="39" t="n">
        <f aca="false">Resumo!$C$10*CEILING(I2074/100,1)</f>
        <v>1</v>
      </c>
      <c r="Q2074" s="39" t="n">
        <f aca="false">Resumo!$C$9</f>
        <v>11.9</v>
      </c>
      <c r="R2074" s="39" t="n">
        <f aca="false">SUM(M2074:Q2074)*Resumo!$C$11</f>
        <v>5.8778214</v>
      </c>
      <c r="S2074" s="39" t="n">
        <f aca="false">SUM(M2074:R2074)</f>
        <v>112.7473014</v>
      </c>
      <c r="T2074" s="39" t="n">
        <f aca="false">S2074/(1-Resumo!$C$5)</f>
        <v>128.121933409091</v>
      </c>
      <c r="U2074" s="39" t="n">
        <v>112.3</v>
      </c>
      <c r="V2074" s="39" t="n">
        <f aca="false">J2074*Resumo!$B$6</f>
        <v>0.59237</v>
      </c>
      <c r="W2074" s="39" t="n">
        <f aca="false">J2074*Resumo!$B$7</f>
        <v>1.18474</v>
      </c>
      <c r="X2074" s="39" t="n">
        <f aca="false">Resumo!$B$9</f>
        <v>1</v>
      </c>
      <c r="Y2074" s="39" t="n">
        <f aca="false">Resumo!$B$10*CEILING(I2074/100,1)</f>
        <v>4.5</v>
      </c>
      <c r="Z2074" s="39" t="n">
        <f aca="false">Resumo!$B$12*CEILING(I2074,1)</f>
        <v>3.18</v>
      </c>
      <c r="AA2074" s="39" t="n">
        <f aca="false">Resumo!$B$13*CEILING(I2074,1)</f>
        <v>23.85</v>
      </c>
      <c r="AB2074" s="39" t="n">
        <f aca="false">SUM(U2074:AA2074)</f>
        <v>146.60711</v>
      </c>
      <c r="AC2074" s="39" t="n">
        <f aca="false">AB2074/(1-Resumo!$B$5)</f>
        <v>166.598988636364</v>
      </c>
      <c r="AD2074" s="39" t="n">
        <f aca="false">(AB2074-AA2074)/(1-Resumo!$B$5)</f>
        <v>139.496715909091</v>
      </c>
      <c r="AE2074" s="39" t="n">
        <f aca="false">AC2074-T2074</f>
        <v>38.4770552272727</v>
      </c>
      <c r="AF2074" s="40" t="n">
        <f aca="false">AC2074/T2074-1</f>
        <v>0.300315911596621</v>
      </c>
      <c r="AG2074" s="37" t="str">
        <f aca="false">IF(AC2074&lt;T2074,"SIM","NÃO")</f>
        <v>NÃO</v>
      </c>
      <c r="AH2074" s="37" t="n">
        <v>10</v>
      </c>
      <c r="AI2074" s="37" t="n">
        <v>5</v>
      </c>
      <c r="AJ2074" s="37" t="s">
        <v>323</v>
      </c>
    </row>
    <row r="2075" customFormat="false" ht="15" hidden="false" customHeight="false" outlineLevel="0" collapsed="false">
      <c r="A2075" s="37" t="n">
        <v>398867853</v>
      </c>
      <c r="B2075" s="38" t="n">
        <v>46289.3873726852</v>
      </c>
      <c r="C2075" s="37" t="s">
        <v>320</v>
      </c>
      <c r="D2075" s="37" t="s">
        <v>2172</v>
      </c>
      <c r="E2075" s="37" t="n">
        <v>25821370</v>
      </c>
      <c r="F2075" s="37" t="s">
        <v>214</v>
      </c>
      <c r="G2075" s="37" t="s">
        <v>201</v>
      </c>
      <c r="H2075" s="37" t="s">
        <v>172</v>
      </c>
      <c r="I2075" s="37" t="n">
        <v>66.8</v>
      </c>
      <c r="J2075" s="39" t="n">
        <v>644.99</v>
      </c>
      <c r="K2075" s="37" t="s">
        <v>322</v>
      </c>
      <c r="L2075" s="39" t="n">
        <v>155.11</v>
      </c>
      <c r="M2075" s="39" t="n">
        <v>113.9</v>
      </c>
      <c r="N2075" s="39" t="n">
        <f aca="false">J2075*Resumo!$C$7</f>
        <v>1.28998</v>
      </c>
      <c r="O2075" s="39" t="n">
        <f aca="false">J2075*Resumo!$C$8</f>
        <v>1.28998</v>
      </c>
      <c r="P2075" s="39" t="n">
        <f aca="false">Resumo!$C$10*CEILING(I2075/100,1)</f>
        <v>1</v>
      </c>
      <c r="Q2075" s="39" t="n">
        <f aca="false">Resumo!$C$9</f>
        <v>11.9</v>
      </c>
      <c r="R2075" s="39" t="n">
        <f aca="false">SUM(M2075:Q2075)*Resumo!$C$11</f>
        <v>7.1158978</v>
      </c>
      <c r="S2075" s="39" t="n">
        <f aca="false">SUM(M2075:R2075)</f>
        <v>136.4958578</v>
      </c>
      <c r="T2075" s="39" t="n">
        <f aca="false">S2075/(1-Resumo!$C$5)</f>
        <v>155.108929318182</v>
      </c>
      <c r="U2075" s="39" t="n">
        <v>166.05</v>
      </c>
      <c r="V2075" s="39" t="n">
        <f aca="false">J2075*Resumo!$B$6</f>
        <v>0.64499</v>
      </c>
      <c r="W2075" s="39" t="n">
        <f aca="false">J2075*Resumo!$B$7</f>
        <v>1.28998</v>
      </c>
      <c r="X2075" s="39" t="n">
        <f aca="false">Resumo!$B$9</f>
        <v>1</v>
      </c>
      <c r="Y2075" s="39" t="n">
        <f aca="false">Resumo!$B$10*CEILING(I2075/100,1)</f>
        <v>4.5</v>
      </c>
      <c r="Z2075" s="39" t="n">
        <f aca="false">Resumo!$B$12*CEILING(I2075,1)</f>
        <v>4.02</v>
      </c>
      <c r="AA2075" s="39" t="n">
        <f aca="false">Resumo!$B$13*CEILING(I2075,1)</f>
        <v>30.15</v>
      </c>
      <c r="AB2075" s="39" t="n">
        <f aca="false">SUM(U2075:AA2075)</f>
        <v>207.65497</v>
      </c>
      <c r="AC2075" s="39" t="n">
        <f aca="false">AB2075/(1-Resumo!$B$5)</f>
        <v>235.971556818182</v>
      </c>
      <c r="AD2075" s="39" t="n">
        <f aca="false">(AB2075-AA2075)/(1-Resumo!$B$5)</f>
        <v>201.710193181818</v>
      </c>
      <c r="AE2075" s="39" t="n">
        <f aca="false">AC2075-T2075</f>
        <v>80.8626275</v>
      </c>
      <c r="AF2075" s="40" t="n">
        <f aca="false">AC2075/T2075-1</f>
        <v>0.521327997398028</v>
      </c>
      <c r="AG2075" s="37" t="str">
        <f aca="false">IF(AC2075&lt;T2075,"SIM","NÃO")</f>
        <v>NÃO</v>
      </c>
      <c r="AH2075" s="37" t="n">
        <v>13</v>
      </c>
      <c r="AI2075" s="37" t="n">
        <v>8</v>
      </c>
      <c r="AJ2075" s="37" t="s">
        <v>327</v>
      </c>
    </row>
    <row r="2076" customFormat="false" ht="15" hidden="false" customHeight="false" outlineLevel="0" collapsed="false">
      <c r="A2076" s="37" t="n">
        <v>398885024</v>
      </c>
      <c r="B2076" s="38" t="n">
        <v>46289.4271296296</v>
      </c>
      <c r="C2076" s="37" t="s">
        <v>320</v>
      </c>
      <c r="D2076" s="37" t="s">
        <v>2173</v>
      </c>
      <c r="E2076" s="37" t="n">
        <v>21230165</v>
      </c>
      <c r="F2076" s="37" t="s">
        <v>139</v>
      </c>
      <c r="G2076" s="37" t="s">
        <v>198</v>
      </c>
      <c r="H2076" s="37" t="s">
        <v>169</v>
      </c>
      <c r="I2076" s="37" t="n">
        <v>37.2</v>
      </c>
      <c r="J2076" s="39" t="n">
        <v>366.5</v>
      </c>
      <c r="K2076" s="37" t="s">
        <v>322</v>
      </c>
      <c r="L2076" s="39" t="n">
        <v>91.6</v>
      </c>
      <c r="M2076" s="39" t="n">
        <v>62.05</v>
      </c>
      <c r="N2076" s="39" t="n">
        <f aca="false">J2076*Resumo!$C$7</f>
        <v>0.733</v>
      </c>
      <c r="O2076" s="39" t="n">
        <f aca="false">J2076*Resumo!$C$8</f>
        <v>0.733</v>
      </c>
      <c r="P2076" s="39" t="n">
        <f aca="false">Resumo!$C$10*CEILING(I2076/100,1)</f>
        <v>1</v>
      </c>
      <c r="Q2076" s="39" t="n">
        <f aca="false">Resumo!$C$9</f>
        <v>11.9</v>
      </c>
      <c r="R2076" s="39" t="n">
        <f aca="false">SUM(M2076:Q2076)*Resumo!$C$11</f>
        <v>4.20288</v>
      </c>
      <c r="S2076" s="39" t="n">
        <f aca="false">SUM(M2076:R2076)</f>
        <v>80.61888</v>
      </c>
      <c r="T2076" s="39" t="n">
        <f aca="false">S2076/(1-Resumo!$C$5)</f>
        <v>91.6123636363636</v>
      </c>
      <c r="U2076" s="39" t="n">
        <v>93.97</v>
      </c>
      <c r="V2076" s="39" t="n">
        <f aca="false">J2076*Resumo!$B$6</f>
        <v>0.3665</v>
      </c>
      <c r="W2076" s="39" t="n">
        <f aca="false">J2076*Resumo!$B$7</f>
        <v>0.733</v>
      </c>
      <c r="X2076" s="39" t="n">
        <f aca="false">Resumo!$B$9</f>
        <v>1</v>
      </c>
      <c r="Y2076" s="39" t="n">
        <f aca="false">Resumo!$B$10*CEILING(I2076/100,1)</f>
        <v>4.5</v>
      </c>
      <c r="Z2076" s="39" t="n">
        <f aca="false">Resumo!$B$12*CEILING(I2076,1)</f>
        <v>2.28</v>
      </c>
      <c r="AA2076" s="39" t="n">
        <f aca="false">Resumo!$B$13*CEILING(I2076,1)</f>
        <v>17.1</v>
      </c>
      <c r="AB2076" s="39" t="n">
        <f aca="false">SUM(U2076:AA2076)</f>
        <v>119.9495</v>
      </c>
      <c r="AC2076" s="39" t="n">
        <f aca="false">AB2076/(1-Resumo!$B$5)</f>
        <v>136.30625</v>
      </c>
      <c r="AD2076" s="39" t="n">
        <f aca="false">(AB2076-AA2076)/(1-Resumo!$B$5)</f>
        <v>116.874431818182</v>
      </c>
      <c r="AE2076" s="39" t="n">
        <f aca="false">AC2076-T2076</f>
        <v>44.6938863636364</v>
      </c>
      <c r="AF2076" s="40" t="n">
        <f aca="false">AC2076/T2076-1</f>
        <v>0.487858675287973</v>
      </c>
      <c r="AG2076" s="37" t="str">
        <f aca="false">IF(AC2076&lt;T2076,"SIM","NÃO")</f>
        <v>NÃO</v>
      </c>
      <c r="AH2076" s="37" t="n">
        <v>8</v>
      </c>
      <c r="AI2076" s="37" t="n">
        <v>5</v>
      </c>
      <c r="AJ2076" s="37" t="s">
        <v>323</v>
      </c>
    </row>
    <row r="2077" customFormat="false" ht="15" hidden="false" customHeight="false" outlineLevel="0" collapsed="false">
      <c r="A2077" s="37" t="n">
        <v>398906762</v>
      </c>
      <c r="B2077" s="38" t="n">
        <v>46289.4741898148</v>
      </c>
      <c r="C2077" s="37" t="s">
        <v>325</v>
      </c>
      <c r="D2077" s="37" t="s">
        <v>2174</v>
      </c>
      <c r="E2077" s="37" t="n">
        <v>24710150</v>
      </c>
      <c r="F2077" s="37" t="s">
        <v>140</v>
      </c>
      <c r="G2077" s="37" t="s">
        <v>207</v>
      </c>
      <c r="H2077" s="37" t="s">
        <v>168</v>
      </c>
      <c r="I2077" s="37" t="n">
        <v>33</v>
      </c>
      <c r="J2077" s="39" t="n">
        <v>569.99</v>
      </c>
      <c r="K2077" s="37" t="s">
        <v>322</v>
      </c>
      <c r="L2077" s="39" t="n">
        <v>102.11</v>
      </c>
      <c r="M2077" s="39" t="n">
        <v>70</v>
      </c>
      <c r="N2077" s="39" t="n">
        <f aca="false">J2077*Resumo!$C$7</f>
        <v>1.13998</v>
      </c>
      <c r="O2077" s="39" t="n">
        <f aca="false">J2077*Resumo!$C$8</f>
        <v>1.13998</v>
      </c>
      <c r="P2077" s="39" t="n">
        <f aca="false">Resumo!$C$10*CEILING(I2077/100,1)</f>
        <v>1</v>
      </c>
      <c r="Q2077" s="39" t="n">
        <f aca="false">Resumo!$C$9</f>
        <v>11.9</v>
      </c>
      <c r="R2077" s="39" t="n">
        <f aca="false">SUM(M2077:Q2077)*Resumo!$C$11</f>
        <v>4.6848978</v>
      </c>
      <c r="S2077" s="39" t="n">
        <f aca="false">SUM(M2077:R2077)</f>
        <v>89.8648578</v>
      </c>
      <c r="T2077" s="39" t="n">
        <f aca="false">S2077/(1-Resumo!$C$5)</f>
        <v>102.119156590909</v>
      </c>
      <c r="U2077" s="39" t="n">
        <v>100.58</v>
      </c>
      <c r="V2077" s="39" t="n">
        <f aca="false">J2077*Resumo!$B$6</f>
        <v>0.56999</v>
      </c>
      <c r="W2077" s="39" t="n">
        <f aca="false">J2077*Resumo!$B$7</f>
        <v>1.13998</v>
      </c>
      <c r="X2077" s="39" t="n">
        <f aca="false">Resumo!$B$9</f>
        <v>1</v>
      </c>
      <c r="Y2077" s="39" t="n">
        <f aca="false">Resumo!$B$10*CEILING(I2077/100,1)</f>
        <v>4.5</v>
      </c>
      <c r="Z2077" s="39" t="n">
        <f aca="false">Resumo!$B$12*CEILING(I2077,1)</f>
        <v>1.98</v>
      </c>
      <c r="AA2077" s="39" t="n">
        <f aca="false">Resumo!$B$13*CEILING(I2077,1)</f>
        <v>14.85</v>
      </c>
      <c r="AB2077" s="39" t="n">
        <f aca="false">SUM(U2077:AA2077)</f>
        <v>124.61997</v>
      </c>
      <c r="AC2077" s="39" t="n">
        <f aca="false">AB2077/(1-Resumo!$B$5)</f>
        <v>141.613602272727</v>
      </c>
      <c r="AD2077" s="39" t="n">
        <f aca="false">(AB2077-AA2077)/(1-Resumo!$B$5)</f>
        <v>124.738602272727</v>
      </c>
      <c r="AE2077" s="39" t="n">
        <f aca="false">AC2077-T2077</f>
        <v>39.4944456818182</v>
      </c>
      <c r="AF2077" s="40" t="n">
        <f aca="false">AC2077/T2077-1</f>
        <v>0.386748647367247</v>
      </c>
      <c r="AG2077" s="37" t="str">
        <f aca="false">IF(AC2077&lt;T2077,"SIM","NÃO")</f>
        <v>NÃO</v>
      </c>
      <c r="AH2077" s="37" t="n">
        <v>10</v>
      </c>
      <c r="AI2077" s="37" t="n">
        <v>7</v>
      </c>
      <c r="AJ2077" s="37" t="s">
        <v>323</v>
      </c>
    </row>
    <row r="2078" customFormat="false" ht="15" hidden="false" customHeight="false" outlineLevel="0" collapsed="false">
      <c r="A2078" s="37" t="n">
        <v>398907017</v>
      </c>
      <c r="B2078" s="38" t="n">
        <v>46289.475162037</v>
      </c>
      <c r="C2078" s="37" t="s">
        <v>320</v>
      </c>
      <c r="D2078" s="37" t="s">
        <v>2175</v>
      </c>
      <c r="E2078" s="37" t="n">
        <v>28980014</v>
      </c>
      <c r="F2078" s="37" t="s">
        <v>153</v>
      </c>
      <c r="G2078" s="37" t="s">
        <v>201</v>
      </c>
      <c r="H2078" s="37" t="s">
        <v>169</v>
      </c>
      <c r="I2078" s="37" t="n">
        <v>37.2</v>
      </c>
      <c r="J2078" s="39" t="n">
        <v>366.5</v>
      </c>
      <c r="K2078" s="37" t="s">
        <v>322</v>
      </c>
      <c r="L2078" s="39" t="n">
        <v>122</v>
      </c>
      <c r="M2078" s="39" t="n">
        <v>87.4</v>
      </c>
      <c r="N2078" s="39" t="n">
        <f aca="false">J2078*Resumo!$C$7</f>
        <v>0.733</v>
      </c>
      <c r="O2078" s="39" t="n">
        <f aca="false">J2078*Resumo!$C$8</f>
        <v>0.733</v>
      </c>
      <c r="P2078" s="39" t="n">
        <f aca="false">Resumo!$C$10*CEILING(I2078/100,1)</f>
        <v>1</v>
      </c>
      <c r="Q2078" s="39" t="n">
        <f aca="false">Resumo!$C$9</f>
        <v>11.9</v>
      </c>
      <c r="R2078" s="39" t="n">
        <f aca="false">SUM(M2078:Q2078)*Resumo!$C$11</f>
        <v>5.59713</v>
      </c>
      <c r="S2078" s="39" t="n">
        <f aca="false">SUM(M2078:R2078)</f>
        <v>107.36313</v>
      </c>
      <c r="T2078" s="39" t="n">
        <f aca="false">S2078/(1-Resumo!$C$5)</f>
        <v>122.003556818182</v>
      </c>
      <c r="U2078" s="39" t="n">
        <v>124.38</v>
      </c>
      <c r="V2078" s="39" t="n">
        <f aca="false">J2078*Resumo!$B$6</f>
        <v>0.3665</v>
      </c>
      <c r="W2078" s="39" t="n">
        <f aca="false">J2078*Resumo!$B$7</f>
        <v>0.733</v>
      </c>
      <c r="X2078" s="39" t="n">
        <f aca="false">Resumo!$B$9</f>
        <v>1</v>
      </c>
      <c r="Y2078" s="39" t="n">
        <f aca="false">Resumo!$B$10*CEILING(I2078/100,1)</f>
        <v>4.5</v>
      </c>
      <c r="Z2078" s="39" t="n">
        <f aca="false">Resumo!$B$12*CEILING(I2078,1)</f>
        <v>2.28</v>
      </c>
      <c r="AA2078" s="39" t="n">
        <f aca="false">Resumo!$B$13*CEILING(I2078,1)</f>
        <v>17.1</v>
      </c>
      <c r="AB2078" s="39" t="n">
        <f aca="false">SUM(U2078:AA2078)</f>
        <v>150.3595</v>
      </c>
      <c r="AC2078" s="39" t="n">
        <f aca="false">AB2078/(1-Resumo!$B$5)</f>
        <v>170.863068181818</v>
      </c>
      <c r="AD2078" s="39" t="n">
        <f aca="false">(AB2078-AA2078)/(1-Resumo!$B$5)</f>
        <v>151.43125</v>
      </c>
      <c r="AE2078" s="39" t="n">
        <f aca="false">AC2078-T2078</f>
        <v>48.8595113636363</v>
      </c>
      <c r="AF2078" s="40" t="n">
        <f aca="false">AC2078/T2078-1</f>
        <v>0.400476122482643</v>
      </c>
      <c r="AG2078" s="37" t="str">
        <f aca="false">IF(AC2078&lt;T2078,"SIM","NÃO")</f>
        <v>NÃO</v>
      </c>
      <c r="AH2078" s="37" t="n">
        <v>13</v>
      </c>
      <c r="AI2078" s="37" t="n">
        <v>10</v>
      </c>
      <c r="AJ2078" s="37" t="s">
        <v>323</v>
      </c>
    </row>
    <row r="2079" customFormat="false" ht="15" hidden="false" customHeight="false" outlineLevel="0" collapsed="false">
      <c r="A2079" s="37" t="n">
        <v>398913104</v>
      </c>
      <c r="B2079" s="38" t="n">
        <v>46289.4859953704</v>
      </c>
      <c r="C2079" s="37" t="s">
        <v>320</v>
      </c>
      <c r="D2079" s="37" t="s">
        <v>2176</v>
      </c>
      <c r="E2079" s="37" t="n">
        <v>26700000</v>
      </c>
      <c r="F2079" s="37" t="s">
        <v>227</v>
      </c>
      <c r="G2079" s="37" t="s">
        <v>201</v>
      </c>
      <c r="H2079" s="37" t="s">
        <v>171</v>
      </c>
      <c r="I2079" s="37" t="n">
        <v>52.3</v>
      </c>
      <c r="J2079" s="39" t="n">
        <v>592.37</v>
      </c>
      <c r="K2079" s="37" t="s">
        <v>322</v>
      </c>
      <c r="L2079" s="39" t="n">
        <v>142.5</v>
      </c>
      <c r="M2079" s="39" t="n">
        <v>103.6</v>
      </c>
      <c r="N2079" s="39" t="n">
        <f aca="false">J2079*Resumo!$C$7</f>
        <v>1.18474</v>
      </c>
      <c r="O2079" s="39" t="n">
        <f aca="false">J2079*Resumo!$C$8</f>
        <v>1.18474</v>
      </c>
      <c r="P2079" s="39" t="n">
        <f aca="false">Resumo!$C$10*CEILING(I2079/100,1)</f>
        <v>1</v>
      </c>
      <c r="Q2079" s="39" t="n">
        <f aca="false">Resumo!$C$9</f>
        <v>11.9</v>
      </c>
      <c r="R2079" s="39" t="n">
        <f aca="false">SUM(M2079:Q2079)*Resumo!$C$11</f>
        <v>6.5378214</v>
      </c>
      <c r="S2079" s="39" t="n">
        <f aca="false">SUM(M2079:R2079)</f>
        <v>125.4073014</v>
      </c>
      <c r="T2079" s="39" t="n">
        <f aca="false">S2079/(1-Resumo!$C$5)</f>
        <v>142.508297045455</v>
      </c>
      <c r="U2079" s="39" t="n">
        <v>142.32</v>
      </c>
      <c r="V2079" s="39" t="n">
        <f aca="false">J2079*Resumo!$B$6</f>
        <v>0.59237</v>
      </c>
      <c r="W2079" s="39" t="n">
        <f aca="false">J2079*Resumo!$B$7</f>
        <v>1.18474</v>
      </c>
      <c r="X2079" s="39" t="n">
        <f aca="false">Resumo!$B$9</f>
        <v>1</v>
      </c>
      <c r="Y2079" s="39" t="n">
        <f aca="false">Resumo!$B$10*CEILING(I2079/100,1)</f>
        <v>4.5</v>
      </c>
      <c r="Z2079" s="39" t="n">
        <f aca="false">Resumo!$B$12*CEILING(I2079,1)</f>
        <v>3.18</v>
      </c>
      <c r="AA2079" s="39" t="n">
        <f aca="false">Resumo!$B$13*CEILING(I2079,1)</f>
        <v>23.85</v>
      </c>
      <c r="AB2079" s="39" t="n">
        <f aca="false">SUM(U2079:AA2079)</f>
        <v>176.62711</v>
      </c>
      <c r="AC2079" s="39" t="n">
        <f aca="false">AB2079/(1-Resumo!$B$5)</f>
        <v>200.712625</v>
      </c>
      <c r="AD2079" s="39" t="n">
        <f aca="false">(AB2079-AA2079)/(1-Resumo!$B$5)</f>
        <v>173.610352272727</v>
      </c>
      <c r="AE2079" s="39" t="n">
        <f aca="false">AC2079-T2079</f>
        <v>58.2043279545455</v>
      </c>
      <c r="AF2079" s="40" t="n">
        <f aca="false">AC2079/T2079-1</f>
        <v>0.408427643591731</v>
      </c>
      <c r="AG2079" s="37" t="str">
        <f aca="false">IF(AC2079&lt;T2079,"SIM","NÃO")</f>
        <v>NÃO</v>
      </c>
      <c r="AH2079" s="37" t="n">
        <v>13</v>
      </c>
      <c r="AI2079" s="37" t="n">
        <v>10</v>
      </c>
      <c r="AJ2079" s="37" t="s">
        <v>327</v>
      </c>
    </row>
    <row r="2080" customFormat="false" ht="15" hidden="false" customHeight="false" outlineLevel="0" collapsed="false">
      <c r="A2080" s="37" t="n">
        <v>398922896</v>
      </c>
      <c r="B2080" s="38" t="n">
        <v>46289.5053703704</v>
      </c>
      <c r="C2080" s="37" t="s">
        <v>320</v>
      </c>
      <c r="D2080" s="37" t="s">
        <v>2177</v>
      </c>
      <c r="E2080" s="37" t="n">
        <v>25963140</v>
      </c>
      <c r="F2080" s="37" t="s">
        <v>221</v>
      </c>
      <c r="G2080" s="37" t="s">
        <v>201</v>
      </c>
      <c r="H2080" s="37" t="s">
        <v>171</v>
      </c>
      <c r="I2080" s="37" t="n">
        <v>52.3</v>
      </c>
      <c r="J2080" s="39" t="n">
        <v>607.99</v>
      </c>
      <c r="K2080" s="37" t="s">
        <v>322</v>
      </c>
      <c r="L2080" s="39" t="n">
        <v>142.59</v>
      </c>
      <c r="M2080" s="39" t="n">
        <v>103.6</v>
      </c>
      <c r="N2080" s="39" t="n">
        <f aca="false">J2080*Resumo!$C$7</f>
        <v>1.21598</v>
      </c>
      <c r="O2080" s="39" t="n">
        <f aca="false">J2080*Resumo!$C$8</f>
        <v>1.21598</v>
      </c>
      <c r="P2080" s="39" t="n">
        <f aca="false">Resumo!$C$10*CEILING(I2080/100,1)</f>
        <v>1</v>
      </c>
      <c r="Q2080" s="39" t="n">
        <f aca="false">Resumo!$C$9</f>
        <v>11.9</v>
      </c>
      <c r="R2080" s="39" t="n">
        <f aca="false">SUM(M2080:Q2080)*Resumo!$C$11</f>
        <v>6.5412578</v>
      </c>
      <c r="S2080" s="39" t="n">
        <f aca="false">SUM(M2080:R2080)</f>
        <v>125.4732178</v>
      </c>
      <c r="T2080" s="39" t="n">
        <f aca="false">S2080/(1-Resumo!$C$5)</f>
        <v>142.583202045455</v>
      </c>
      <c r="U2080" s="39" t="n">
        <v>144.53</v>
      </c>
      <c r="V2080" s="39" t="n">
        <f aca="false">J2080*Resumo!$B$6</f>
        <v>0.60799</v>
      </c>
      <c r="W2080" s="39" t="n">
        <f aca="false">J2080*Resumo!$B$7</f>
        <v>1.21598</v>
      </c>
      <c r="X2080" s="39" t="n">
        <f aca="false">Resumo!$B$9</f>
        <v>1</v>
      </c>
      <c r="Y2080" s="39" t="n">
        <f aca="false">Resumo!$B$10*CEILING(I2080/100,1)</f>
        <v>4.5</v>
      </c>
      <c r="Z2080" s="39" t="n">
        <f aca="false">Resumo!$B$12*CEILING(I2080,1)</f>
        <v>3.18</v>
      </c>
      <c r="AA2080" s="39" t="n">
        <f aca="false">Resumo!$B$13*CEILING(I2080,1)</f>
        <v>23.85</v>
      </c>
      <c r="AB2080" s="39" t="n">
        <f aca="false">SUM(U2080:AA2080)</f>
        <v>178.88397</v>
      </c>
      <c r="AC2080" s="39" t="n">
        <f aca="false">AB2080/(1-Resumo!$B$5)</f>
        <v>203.277238636364</v>
      </c>
      <c r="AD2080" s="39" t="n">
        <f aca="false">(AB2080-AA2080)/(1-Resumo!$B$5)</f>
        <v>176.174965909091</v>
      </c>
      <c r="AE2080" s="39" t="n">
        <f aca="false">AC2080-T2080</f>
        <v>60.6940365909091</v>
      </c>
      <c r="AF2080" s="40" t="n">
        <f aca="false">AC2080/T2080-1</f>
        <v>0.425674523507757</v>
      </c>
      <c r="AG2080" s="37" t="str">
        <f aca="false">IF(AC2080&lt;T2080,"SIM","NÃO")</f>
        <v>NÃO</v>
      </c>
      <c r="AH2080" s="37" t="n">
        <v>13</v>
      </c>
      <c r="AI2080" s="37" t="n">
        <v>10</v>
      </c>
      <c r="AJ2080" s="37" t="s">
        <v>327</v>
      </c>
    </row>
    <row r="2081" customFormat="false" ht="15" hidden="false" customHeight="false" outlineLevel="0" collapsed="false">
      <c r="A2081" s="37" t="n">
        <v>398925214</v>
      </c>
      <c r="B2081" s="38" t="n">
        <v>46289.5105555556</v>
      </c>
      <c r="C2081" s="37" t="s">
        <v>320</v>
      </c>
      <c r="D2081" s="37" t="s">
        <v>2178</v>
      </c>
      <c r="E2081" s="37" t="n">
        <v>26290069</v>
      </c>
      <c r="F2081" s="37" t="s">
        <v>142</v>
      </c>
      <c r="G2081" s="37" t="s">
        <v>207</v>
      </c>
      <c r="H2081" s="37" t="s">
        <v>171</v>
      </c>
      <c r="I2081" s="37" t="n">
        <v>51.06</v>
      </c>
      <c r="J2081" s="39" t="n">
        <v>749.99</v>
      </c>
      <c r="K2081" s="37" t="s">
        <v>322</v>
      </c>
      <c r="L2081" s="39" t="n">
        <v>128.88</v>
      </c>
      <c r="M2081" s="39" t="n">
        <v>91.6</v>
      </c>
      <c r="N2081" s="39" t="n">
        <f aca="false">J2081*Resumo!$C$7</f>
        <v>1.49998</v>
      </c>
      <c r="O2081" s="39" t="n">
        <f aca="false">J2081*Resumo!$C$8</f>
        <v>1.49998</v>
      </c>
      <c r="P2081" s="39" t="n">
        <f aca="false">Resumo!$C$10*CEILING(I2081/100,1)</f>
        <v>1</v>
      </c>
      <c r="Q2081" s="39" t="n">
        <f aca="false">Resumo!$C$9</f>
        <v>11.9</v>
      </c>
      <c r="R2081" s="39" t="n">
        <f aca="false">SUM(M2081:Q2081)*Resumo!$C$11</f>
        <v>5.9124978</v>
      </c>
      <c r="S2081" s="39" t="n">
        <f aca="false">SUM(M2081:R2081)</f>
        <v>113.4124578</v>
      </c>
      <c r="T2081" s="39" t="n">
        <f aca="false">S2081/(1-Resumo!$C$5)</f>
        <v>128.877792954545</v>
      </c>
      <c r="U2081" s="39" t="n">
        <v>112.3</v>
      </c>
      <c r="V2081" s="39" t="n">
        <f aca="false">J2081*Resumo!$B$6</f>
        <v>0.74999</v>
      </c>
      <c r="W2081" s="39" t="n">
        <f aca="false">J2081*Resumo!$B$7</f>
        <v>1.49998</v>
      </c>
      <c r="X2081" s="39" t="n">
        <f aca="false">Resumo!$B$9</f>
        <v>1</v>
      </c>
      <c r="Y2081" s="39" t="n">
        <f aca="false">Resumo!$B$10*CEILING(I2081/100,1)</f>
        <v>4.5</v>
      </c>
      <c r="Z2081" s="39" t="n">
        <f aca="false">Resumo!$B$12*CEILING(I2081,1)</f>
        <v>3.12</v>
      </c>
      <c r="AA2081" s="39" t="n">
        <f aca="false">Resumo!$B$13*CEILING(I2081,1)</f>
        <v>23.4</v>
      </c>
      <c r="AB2081" s="39" t="n">
        <f aca="false">SUM(U2081:AA2081)</f>
        <v>146.56997</v>
      </c>
      <c r="AC2081" s="39" t="n">
        <f aca="false">AB2081/(1-Resumo!$B$5)</f>
        <v>166.556784090909</v>
      </c>
      <c r="AD2081" s="39" t="n">
        <f aca="false">(AB2081-AA2081)/(1-Resumo!$B$5)</f>
        <v>139.965875</v>
      </c>
      <c r="AE2081" s="39" t="n">
        <f aca="false">AC2081-T2081</f>
        <v>37.6789911363636</v>
      </c>
      <c r="AF2081" s="40" t="n">
        <f aca="false">AC2081/T2081-1</f>
        <v>0.292362169405344</v>
      </c>
      <c r="AG2081" s="37" t="str">
        <f aca="false">IF(AC2081&lt;T2081,"SIM","NÃO")</f>
        <v>NÃO</v>
      </c>
      <c r="AH2081" s="37" t="n">
        <v>10</v>
      </c>
      <c r="AI2081" s="37" t="n">
        <v>5</v>
      </c>
      <c r="AJ2081" s="37" t="s">
        <v>323</v>
      </c>
    </row>
    <row r="2082" customFormat="false" ht="15" hidden="false" customHeight="false" outlineLevel="0" collapsed="false">
      <c r="A2082" s="37" t="n">
        <v>398943915</v>
      </c>
      <c r="B2082" s="38" t="n">
        <v>46289.5506712963</v>
      </c>
      <c r="C2082" s="37" t="s">
        <v>320</v>
      </c>
      <c r="D2082" s="37" t="s">
        <v>2179</v>
      </c>
      <c r="E2082" s="37" t="n">
        <v>28907000</v>
      </c>
      <c r="F2082" s="37" t="s">
        <v>152</v>
      </c>
      <c r="G2082" s="37" t="s">
        <v>201</v>
      </c>
      <c r="H2082" s="37" t="s">
        <v>167</v>
      </c>
      <c r="I2082" s="37" t="n">
        <v>15</v>
      </c>
      <c r="J2082" s="39" t="n">
        <v>219.99</v>
      </c>
      <c r="K2082" s="37" t="s">
        <v>322</v>
      </c>
      <c r="L2082" s="39" t="n">
        <v>79.72</v>
      </c>
      <c r="M2082" s="39" t="n">
        <v>52.71</v>
      </c>
      <c r="N2082" s="39" t="n">
        <f aca="false">J2082*Resumo!$C$7</f>
        <v>0.43998</v>
      </c>
      <c r="O2082" s="39" t="n">
        <f aca="false">J2082*Resumo!$C$8</f>
        <v>0.43998</v>
      </c>
      <c r="P2082" s="39" t="n">
        <f aca="false">Resumo!$C$10*CEILING(I2082/100,1)</f>
        <v>1</v>
      </c>
      <c r="Q2082" s="39" t="n">
        <f aca="false">Resumo!$C$9</f>
        <v>11.9</v>
      </c>
      <c r="R2082" s="39" t="n">
        <f aca="false">SUM(M2082:Q2082)*Resumo!$C$11</f>
        <v>3.6569478</v>
      </c>
      <c r="S2082" s="39" t="n">
        <f aca="false">SUM(M2082:R2082)</f>
        <v>70.1469078</v>
      </c>
      <c r="T2082" s="39" t="n">
        <f aca="false">S2082/(1-Resumo!$C$5)</f>
        <v>79.7123952272727</v>
      </c>
      <c r="U2082" s="39" t="n">
        <v>100.7</v>
      </c>
      <c r="V2082" s="39" t="n">
        <f aca="false">J2082*Resumo!$B$6</f>
        <v>0.21999</v>
      </c>
      <c r="W2082" s="39" t="n">
        <f aca="false">J2082*Resumo!$B$7</f>
        <v>0.43998</v>
      </c>
      <c r="X2082" s="39" t="n">
        <f aca="false">Resumo!$B$9</f>
        <v>1</v>
      </c>
      <c r="Y2082" s="39" t="n">
        <f aca="false">Resumo!$B$10*CEILING(I2082/100,1)</f>
        <v>4.5</v>
      </c>
      <c r="Z2082" s="39" t="n">
        <f aca="false">Resumo!$B$12*CEILING(I2082,1)</f>
        <v>0.9</v>
      </c>
      <c r="AA2082" s="39" t="n">
        <f aca="false">Resumo!$B$13*CEILING(I2082,1)</f>
        <v>6.75</v>
      </c>
      <c r="AB2082" s="39" t="n">
        <f aca="false">SUM(U2082:AA2082)</f>
        <v>114.50997</v>
      </c>
      <c r="AC2082" s="39" t="n">
        <f aca="false">AB2082/(1-Resumo!$B$5)</f>
        <v>130.124965909091</v>
      </c>
      <c r="AD2082" s="39" t="n">
        <f aca="false">(AB2082-AA2082)/(1-Resumo!$B$5)</f>
        <v>122.454511363636</v>
      </c>
      <c r="AE2082" s="39" t="n">
        <f aca="false">AC2082-T2082</f>
        <v>50.4125706818182</v>
      </c>
      <c r="AF2082" s="40" t="n">
        <f aca="false">AC2082/T2082-1</f>
        <v>0.632430759834577</v>
      </c>
      <c r="AG2082" s="37" t="str">
        <f aca="false">IF(AC2082&lt;T2082,"SIM","NÃO")</f>
        <v>NÃO</v>
      </c>
      <c r="AH2082" s="37" t="n">
        <v>13</v>
      </c>
      <c r="AI2082" s="37" t="n">
        <v>10</v>
      </c>
      <c r="AJ2082" s="37" t="s">
        <v>323</v>
      </c>
    </row>
    <row r="2083" customFormat="false" ht="15" hidden="false" customHeight="false" outlineLevel="0" collapsed="false">
      <c r="A2083" s="37" t="n">
        <v>398953937</v>
      </c>
      <c r="B2083" s="38" t="n">
        <v>46289.5732407407</v>
      </c>
      <c r="C2083" s="37" t="s">
        <v>325</v>
      </c>
      <c r="D2083" s="37" t="s">
        <v>2180</v>
      </c>
      <c r="E2083" s="37" t="n">
        <v>27323540</v>
      </c>
      <c r="F2083" s="37" t="s">
        <v>233</v>
      </c>
      <c r="G2083" s="37" t="s">
        <v>201</v>
      </c>
      <c r="H2083" s="37" t="s">
        <v>169</v>
      </c>
      <c r="I2083" s="37" t="n">
        <v>40</v>
      </c>
      <c r="J2083" s="39" t="n">
        <v>629.99</v>
      </c>
      <c r="K2083" s="37" t="s">
        <v>322</v>
      </c>
      <c r="L2083" s="39" t="n">
        <v>123.27</v>
      </c>
      <c r="M2083" s="39" t="n">
        <v>87.4</v>
      </c>
      <c r="N2083" s="39" t="n">
        <f aca="false">J2083*Resumo!$C$7</f>
        <v>1.25998</v>
      </c>
      <c r="O2083" s="39" t="n">
        <f aca="false">J2083*Resumo!$C$8</f>
        <v>1.25998</v>
      </c>
      <c r="P2083" s="39" t="n">
        <f aca="false">Resumo!$C$10*CEILING(I2083/100,1)</f>
        <v>1</v>
      </c>
      <c r="Q2083" s="39" t="n">
        <f aca="false">Resumo!$C$9</f>
        <v>11.9</v>
      </c>
      <c r="R2083" s="39" t="n">
        <f aca="false">SUM(M2083:Q2083)*Resumo!$C$11</f>
        <v>5.6550978</v>
      </c>
      <c r="S2083" s="39" t="n">
        <f aca="false">SUM(M2083:R2083)</f>
        <v>108.4750578</v>
      </c>
      <c r="T2083" s="39" t="n">
        <f aca="false">S2083/(1-Resumo!$C$5)</f>
        <v>123.267111136364</v>
      </c>
      <c r="U2083" s="39" t="n">
        <v>124.38</v>
      </c>
      <c r="V2083" s="39" t="n">
        <f aca="false">J2083*Resumo!$B$6</f>
        <v>0.62999</v>
      </c>
      <c r="W2083" s="39" t="n">
        <f aca="false">J2083*Resumo!$B$7</f>
        <v>1.25998</v>
      </c>
      <c r="X2083" s="39" t="n">
        <f aca="false">Resumo!$B$9</f>
        <v>1</v>
      </c>
      <c r="Y2083" s="39" t="n">
        <f aca="false">Resumo!$B$10*CEILING(I2083/100,1)</f>
        <v>4.5</v>
      </c>
      <c r="Z2083" s="39" t="n">
        <f aca="false">Resumo!$B$12*CEILING(I2083,1)</f>
        <v>2.4</v>
      </c>
      <c r="AA2083" s="39" t="n">
        <f aca="false">Resumo!$B$13*CEILING(I2083,1)</f>
        <v>18</v>
      </c>
      <c r="AB2083" s="39" t="n">
        <f aca="false">SUM(U2083:AA2083)</f>
        <v>152.16997</v>
      </c>
      <c r="AC2083" s="39" t="n">
        <f aca="false">AB2083/(1-Resumo!$B$5)</f>
        <v>172.920420454545</v>
      </c>
      <c r="AD2083" s="39" t="n">
        <f aca="false">(AB2083-AA2083)/(1-Resumo!$B$5)</f>
        <v>152.465875</v>
      </c>
      <c r="AE2083" s="39" t="n">
        <f aca="false">AC2083-T2083</f>
        <v>49.6533093181818</v>
      </c>
      <c r="AF2083" s="40" t="n">
        <f aca="false">AC2083/T2083-1</f>
        <v>0.402810683729361</v>
      </c>
      <c r="AG2083" s="37" t="str">
        <f aca="false">IF(AC2083&lt;T2083,"SIM","NÃO")</f>
        <v>NÃO</v>
      </c>
      <c r="AH2083" s="37" t="n">
        <v>13</v>
      </c>
      <c r="AI2083" s="37" t="n">
        <v>10</v>
      </c>
      <c r="AJ2083" s="37" t="s">
        <v>327</v>
      </c>
    </row>
    <row r="2084" customFormat="false" ht="15" hidden="false" customHeight="false" outlineLevel="0" collapsed="false">
      <c r="A2084" s="37" t="n">
        <v>398971575</v>
      </c>
      <c r="B2084" s="38" t="n">
        <v>46289.6132407407</v>
      </c>
      <c r="C2084" s="37" t="s">
        <v>320</v>
      </c>
      <c r="D2084" s="37" t="s">
        <v>529</v>
      </c>
      <c r="E2084" s="37" t="n">
        <v>28470000</v>
      </c>
      <c r="F2084" s="37" t="s">
        <v>258</v>
      </c>
      <c r="G2084" s="37" t="s">
        <v>201</v>
      </c>
      <c r="H2084" s="37" t="s">
        <v>171</v>
      </c>
      <c r="I2084" s="37" t="n">
        <v>52.3</v>
      </c>
      <c r="J2084" s="39" t="n">
        <v>592.37</v>
      </c>
      <c r="K2084" s="37" t="s">
        <v>322</v>
      </c>
      <c r="L2084" s="39" t="n">
        <v>142.5</v>
      </c>
      <c r="M2084" s="39" t="n">
        <v>103.6</v>
      </c>
      <c r="N2084" s="39" t="n">
        <f aca="false">J2084*Resumo!$C$7</f>
        <v>1.18474</v>
      </c>
      <c r="O2084" s="39" t="n">
        <f aca="false">J2084*Resumo!$C$8</f>
        <v>1.18474</v>
      </c>
      <c r="P2084" s="39" t="n">
        <f aca="false">Resumo!$C$10*CEILING(I2084/100,1)</f>
        <v>1</v>
      </c>
      <c r="Q2084" s="39" t="n">
        <f aca="false">Resumo!$C$9</f>
        <v>11.9</v>
      </c>
      <c r="R2084" s="39" t="n">
        <f aca="false">SUM(M2084:Q2084)*Resumo!$C$11</f>
        <v>6.5378214</v>
      </c>
      <c r="S2084" s="39" t="n">
        <f aca="false">SUM(M2084:R2084)</f>
        <v>125.4073014</v>
      </c>
      <c r="T2084" s="39" t="n">
        <f aca="false">S2084/(1-Resumo!$C$5)</f>
        <v>142.508297045455</v>
      </c>
      <c r="U2084" s="39" t="n">
        <v>162.04</v>
      </c>
      <c r="V2084" s="39" t="n">
        <f aca="false">J2084*Resumo!$B$6</f>
        <v>0.59237</v>
      </c>
      <c r="W2084" s="39" t="n">
        <f aca="false">J2084*Resumo!$B$7</f>
        <v>1.18474</v>
      </c>
      <c r="X2084" s="39" t="n">
        <f aca="false">Resumo!$B$9</f>
        <v>1</v>
      </c>
      <c r="Y2084" s="39" t="n">
        <f aca="false">Resumo!$B$10*CEILING(I2084/100,1)</f>
        <v>4.5</v>
      </c>
      <c r="Z2084" s="39" t="n">
        <f aca="false">Resumo!$B$12*CEILING(I2084,1)</f>
        <v>3.18</v>
      </c>
      <c r="AA2084" s="39" t="n">
        <f aca="false">Resumo!$B$13*CEILING(I2084,1)</f>
        <v>23.85</v>
      </c>
      <c r="AB2084" s="39" t="n">
        <f aca="false">SUM(U2084:AA2084)</f>
        <v>196.34711</v>
      </c>
      <c r="AC2084" s="39" t="n">
        <f aca="false">AB2084/(1-Resumo!$B$5)</f>
        <v>223.121715909091</v>
      </c>
      <c r="AD2084" s="39" t="n">
        <f aca="false">(AB2084-AA2084)/(1-Resumo!$B$5)</f>
        <v>196.019443181818</v>
      </c>
      <c r="AE2084" s="39" t="n">
        <f aca="false">AC2084-T2084</f>
        <v>80.6134188636364</v>
      </c>
      <c r="AF2084" s="40" t="n">
        <f aca="false">AC2084/T2084-1</f>
        <v>0.565675266177125</v>
      </c>
      <c r="AG2084" s="37" t="str">
        <f aca="false">IF(AC2084&lt;T2084,"SIM","NÃO")</f>
        <v>NÃO</v>
      </c>
      <c r="AH2084" s="37" t="n">
        <v>13</v>
      </c>
      <c r="AI2084" s="37" t="n">
        <v>11</v>
      </c>
      <c r="AJ2084" s="37" t="s">
        <v>327</v>
      </c>
    </row>
    <row r="2085" customFormat="false" ht="15" hidden="false" customHeight="false" outlineLevel="0" collapsed="false">
      <c r="A2085" s="37" t="n">
        <v>398981534</v>
      </c>
      <c r="B2085" s="38" t="n">
        <v>46289.635787037</v>
      </c>
      <c r="C2085" s="37" t="s">
        <v>325</v>
      </c>
      <c r="D2085" s="37" t="s">
        <v>2181</v>
      </c>
      <c r="E2085" s="37" t="n">
        <v>25250530</v>
      </c>
      <c r="F2085" s="37" t="s">
        <v>141</v>
      </c>
      <c r="G2085" s="37" t="s">
        <v>207</v>
      </c>
      <c r="H2085" s="37" t="s">
        <v>170</v>
      </c>
      <c r="I2085" s="37" t="n">
        <v>46.8</v>
      </c>
      <c r="J2085" s="39" t="n">
        <v>569.99</v>
      </c>
      <c r="K2085" s="37" t="s">
        <v>322</v>
      </c>
      <c r="L2085" s="39" t="n">
        <v>116.81</v>
      </c>
      <c r="M2085" s="39" t="n">
        <v>82.25</v>
      </c>
      <c r="N2085" s="39" t="n">
        <f aca="false">J2085*Resumo!$C$7</f>
        <v>1.13998</v>
      </c>
      <c r="O2085" s="39" t="n">
        <f aca="false">J2085*Resumo!$C$8</f>
        <v>1.13998</v>
      </c>
      <c r="P2085" s="39" t="n">
        <f aca="false">Resumo!$C$10*CEILING(I2085/100,1)</f>
        <v>1</v>
      </c>
      <c r="Q2085" s="39" t="n">
        <f aca="false">Resumo!$C$9</f>
        <v>11.9</v>
      </c>
      <c r="R2085" s="39" t="n">
        <f aca="false">SUM(M2085:Q2085)*Resumo!$C$11</f>
        <v>5.3586478</v>
      </c>
      <c r="S2085" s="39" t="n">
        <f aca="false">SUM(M2085:R2085)</f>
        <v>102.7886078</v>
      </c>
      <c r="T2085" s="39" t="n">
        <f aca="false">S2085/(1-Resumo!$C$5)</f>
        <v>116.805236136364</v>
      </c>
      <c r="U2085" s="39" t="n">
        <v>93.97</v>
      </c>
      <c r="V2085" s="39" t="n">
        <f aca="false">J2085*Resumo!$B$6</f>
        <v>0.56999</v>
      </c>
      <c r="W2085" s="39" t="n">
        <f aca="false">J2085*Resumo!$B$7</f>
        <v>1.13998</v>
      </c>
      <c r="X2085" s="39" t="n">
        <f aca="false">Resumo!$B$9</f>
        <v>1</v>
      </c>
      <c r="Y2085" s="39" t="n">
        <f aca="false">Resumo!$B$10*CEILING(I2085/100,1)</f>
        <v>4.5</v>
      </c>
      <c r="Z2085" s="39" t="n">
        <f aca="false">Resumo!$B$12*CEILING(I2085,1)</f>
        <v>2.82</v>
      </c>
      <c r="AA2085" s="39" t="n">
        <f aca="false">Resumo!$B$13*CEILING(I2085,1)</f>
        <v>21.15</v>
      </c>
      <c r="AB2085" s="39" t="n">
        <f aca="false">SUM(U2085:AA2085)</f>
        <v>125.14997</v>
      </c>
      <c r="AC2085" s="39" t="n">
        <f aca="false">AB2085/(1-Resumo!$B$5)</f>
        <v>142.215875</v>
      </c>
      <c r="AD2085" s="39" t="n">
        <f aca="false">(AB2085-AA2085)/(1-Resumo!$B$5)</f>
        <v>118.181784090909</v>
      </c>
      <c r="AE2085" s="39" t="n">
        <f aca="false">AC2085-T2085</f>
        <v>25.4106388636364</v>
      </c>
      <c r="AF2085" s="40" t="n">
        <f aca="false">AC2085/T2085-1</f>
        <v>0.217547086964242</v>
      </c>
      <c r="AG2085" s="37" t="str">
        <f aca="false">IF(AC2085&lt;T2085,"SIM","NÃO")</f>
        <v>NÃO</v>
      </c>
      <c r="AH2085" s="37" t="n">
        <v>10</v>
      </c>
      <c r="AI2085" s="37" t="n">
        <v>5</v>
      </c>
      <c r="AJ2085" s="37" t="s">
        <v>323</v>
      </c>
    </row>
    <row r="2086" customFormat="false" ht="15" hidden="false" customHeight="false" outlineLevel="0" collapsed="false">
      <c r="A2086" s="37" t="n">
        <v>398993673</v>
      </c>
      <c r="B2086" s="38" t="n">
        <v>46289.662650463</v>
      </c>
      <c r="C2086" s="37" t="s">
        <v>325</v>
      </c>
      <c r="D2086" s="37" t="s">
        <v>2182</v>
      </c>
      <c r="E2086" s="37" t="n">
        <v>24355020</v>
      </c>
      <c r="F2086" s="37" t="s">
        <v>143</v>
      </c>
      <c r="G2086" s="37" t="s">
        <v>207</v>
      </c>
      <c r="H2086" s="37" t="s">
        <v>169</v>
      </c>
      <c r="I2086" s="37" t="n">
        <v>40</v>
      </c>
      <c r="J2086" s="39" t="n">
        <v>629.99</v>
      </c>
      <c r="K2086" s="37" t="s">
        <v>322</v>
      </c>
      <c r="L2086" s="39" t="n">
        <v>113.98</v>
      </c>
      <c r="M2086" s="39" t="n">
        <v>79.65</v>
      </c>
      <c r="N2086" s="39" t="n">
        <f aca="false">J2086*Resumo!$C$7</f>
        <v>1.25998</v>
      </c>
      <c r="O2086" s="39" t="n">
        <f aca="false">J2086*Resumo!$C$8</f>
        <v>1.25998</v>
      </c>
      <c r="P2086" s="39" t="n">
        <f aca="false">Resumo!$C$10*CEILING(I2086/100,1)</f>
        <v>1</v>
      </c>
      <c r="Q2086" s="39" t="n">
        <f aca="false">Resumo!$C$9</f>
        <v>11.9</v>
      </c>
      <c r="R2086" s="39" t="n">
        <f aca="false">SUM(M2086:Q2086)*Resumo!$C$11</f>
        <v>5.2288478</v>
      </c>
      <c r="S2086" s="39" t="n">
        <f aca="false">SUM(M2086:R2086)</f>
        <v>100.2988078</v>
      </c>
      <c r="T2086" s="39" t="n">
        <f aca="false">S2086/(1-Resumo!$C$5)</f>
        <v>113.975917954545</v>
      </c>
      <c r="U2086" s="39" t="n">
        <v>114.95</v>
      </c>
      <c r="V2086" s="39" t="n">
        <f aca="false">J2086*Resumo!$B$6</f>
        <v>0.62999</v>
      </c>
      <c r="W2086" s="39" t="n">
        <f aca="false">J2086*Resumo!$B$7</f>
        <v>1.25998</v>
      </c>
      <c r="X2086" s="39" t="n">
        <f aca="false">Resumo!$B$9</f>
        <v>1</v>
      </c>
      <c r="Y2086" s="39" t="n">
        <f aca="false">Resumo!$B$10*CEILING(I2086/100,1)</f>
        <v>4.5</v>
      </c>
      <c r="Z2086" s="39" t="n">
        <f aca="false">Resumo!$B$12*CEILING(I2086,1)</f>
        <v>2.4</v>
      </c>
      <c r="AA2086" s="39" t="n">
        <f aca="false">Resumo!$B$13*CEILING(I2086,1)</f>
        <v>18</v>
      </c>
      <c r="AB2086" s="39" t="n">
        <f aca="false">SUM(U2086:AA2086)</f>
        <v>142.73997</v>
      </c>
      <c r="AC2086" s="39" t="n">
        <f aca="false">AB2086/(1-Resumo!$B$5)</f>
        <v>162.204511363636</v>
      </c>
      <c r="AD2086" s="39" t="n">
        <f aca="false">(AB2086-AA2086)/(1-Resumo!$B$5)</f>
        <v>141.749965909091</v>
      </c>
      <c r="AE2086" s="39" t="n">
        <f aca="false">AC2086-T2086</f>
        <v>48.2285934090909</v>
      </c>
      <c r="AF2086" s="40" t="n">
        <f aca="false">AC2086/T2086-1</f>
        <v>0.423147225085959</v>
      </c>
      <c r="AG2086" s="37" t="str">
        <f aca="false">IF(AC2086&lt;T2086,"SIM","NÃO")</f>
        <v>NÃO</v>
      </c>
      <c r="AH2086" s="37" t="n">
        <v>10</v>
      </c>
      <c r="AI2086" s="37" t="n">
        <v>7</v>
      </c>
      <c r="AJ2086" s="37" t="s">
        <v>323</v>
      </c>
    </row>
    <row r="2087" customFormat="false" ht="15" hidden="false" customHeight="false" outlineLevel="0" collapsed="false">
      <c r="A2087" s="37" t="n">
        <v>399012793</v>
      </c>
      <c r="B2087" s="38" t="n">
        <v>46289.7067361111</v>
      </c>
      <c r="C2087" s="37" t="s">
        <v>320</v>
      </c>
      <c r="D2087" s="37" t="s">
        <v>2183</v>
      </c>
      <c r="E2087" s="37" t="n">
        <v>21044725</v>
      </c>
      <c r="F2087" s="37" t="s">
        <v>139</v>
      </c>
      <c r="G2087" s="37" t="s">
        <v>198</v>
      </c>
      <c r="H2087" s="37" t="s">
        <v>172</v>
      </c>
      <c r="I2087" s="37" t="n">
        <v>63.9</v>
      </c>
      <c r="J2087" s="39" t="n">
        <v>716.35</v>
      </c>
      <c r="K2087" s="37" t="s">
        <v>322</v>
      </c>
      <c r="L2087" s="39" t="n">
        <v>124.64</v>
      </c>
      <c r="M2087" s="39" t="n">
        <v>88.2</v>
      </c>
      <c r="N2087" s="39" t="n">
        <f aca="false">J2087*Resumo!$C$7</f>
        <v>1.4327</v>
      </c>
      <c r="O2087" s="39" t="n">
        <f aca="false">J2087*Resumo!$C$8</f>
        <v>1.4327</v>
      </c>
      <c r="P2087" s="39" t="n">
        <f aca="false">Resumo!$C$10*CEILING(I2087/100,1)</f>
        <v>1</v>
      </c>
      <c r="Q2087" s="39" t="n">
        <f aca="false">Resumo!$C$9</f>
        <v>11.9</v>
      </c>
      <c r="R2087" s="39" t="n">
        <f aca="false">SUM(M2087:Q2087)*Resumo!$C$11</f>
        <v>5.718097</v>
      </c>
      <c r="S2087" s="39" t="n">
        <f aca="false">SUM(M2087:R2087)</f>
        <v>109.683497</v>
      </c>
      <c r="T2087" s="39" t="n">
        <f aca="false">S2087/(1-Resumo!$C$5)</f>
        <v>124.6403375</v>
      </c>
      <c r="U2087" s="39" t="n">
        <v>131.02</v>
      </c>
      <c r="V2087" s="39" t="n">
        <f aca="false">J2087*Resumo!$B$6</f>
        <v>0.71635</v>
      </c>
      <c r="W2087" s="39" t="n">
        <f aca="false">J2087*Resumo!$B$7</f>
        <v>1.4327</v>
      </c>
      <c r="X2087" s="39" t="n">
        <f aca="false">Resumo!$B$9</f>
        <v>1</v>
      </c>
      <c r="Y2087" s="39" t="n">
        <f aca="false">Resumo!$B$10*CEILING(I2087/100,1)</f>
        <v>4.5</v>
      </c>
      <c r="Z2087" s="39" t="n">
        <f aca="false">Resumo!$B$12*CEILING(I2087,1)</f>
        <v>3.84</v>
      </c>
      <c r="AA2087" s="39" t="n">
        <f aca="false">Resumo!$B$13*CEILING(I2087,1)</f>
        <v>28.8</v>
      </c>
      <c r="AB2087" s="39" t="n">
        <f aca="false">SUM(U2087:AA2087)</f>
        <v>171.30905</v>
      </c>
      <c r="AC2087" s="39" t="n">
        <f aca="false">AB2087/(1-Resumo!$B$5)</f>
        <v>194.669375</v>
      </c>
      <c r="AD2087" s="39" t="n">
        <f aca="false">(AB2087-AA2087)/(1-Resumo!$B$5)</f>
        <v>161.942102272727</v>
      </c>
      <c r="AE2087" s="39" t="n">
        <f aca="false">AC2087-T2087</f>
        <v>70.0290375</v>
      </c>
      <c r="AF2087" s="40" t="n">
        <f aca="false">AC2087/T2087-1</f>
        <v>0.561848907862593</v>
      </c>
      <c r="AG2087" s="37" t="str">
        <f aca="false">IF(AC2087&lt;T2087,"SIM","NÃO")</f>
        <v>NÃO</v>
      </c>
      <c r="AH2087" s="37" t="n">
        <v>8</v>
      </c>
      <c r="AI2087" s="37" t="n">
        <v>5</v>
      </c>
      <c r="AJ2087" s="37" t="s">
        <v>323</v>
      </c>
    </row>
    <row r="2088" customFormat="false" ht="15" hidden="false" customHeight="false" outlineLevel="0" collapsed="false">
      <c r="A2088" s="37" t="n">
        <v>399013225</v>
      </c>
      <c r="B2088" s="38" t="n">
        <v>46289.708275463</v>
      </c>
      <c r="C2088" s="37" t="s">
        <v>320</v>
      </c>
      <c r="D2088" s="37" t="s">
        <v>2184</v>
      </c>
      <c r="E2088" s="37" t="n">
        <v>21831300</v>
      </c>
      <c r="F2088" s="37" t="s">
        <v>139</v>
      </c>
      <c r="G2088" s="37" t="s">
        <v>198</v>
      </c>
      <c r="H2088" s="37" t="s">
        <v>168</v>
      </c>
      <c r="I2088" s="37" t="n">
        <v>26</v>
      </c>
      <c r="J2088" s="39" t="n">
        <v>549.99</v>
      </c>
      <c r="K2088" s="37" t="s">
        <v>322</v>
      </c>
      <c r="L2088" s="39" t="n">
        <v>82.97</v>
      </c>
      <c r="M2088" s="39" t="n">
        <v>54.1</v>
      </c>
      <c r="N2088" s="39" t="n">
        <f aca="false">J2088*Resumo!$C$7</f>
        <v>1.09998</v>
      </c>
      <c r="O2088" s="39" t="n">
        <f aca="false">J2088*Resumo!$C$8</f>
        <v>1.09998</v>
      </c>
      <c r="P2088" s="39" t="n">
        <f aca="false">Resumo!$C$10*CEILING(I2088/100,1)</f>
        <v>1</v>
      </c>
      <c r="Q2088" s="39" t="n">
        <f aca="false">Resumo!$C$9</f>
        <v>11.9</v>
      </c>
      <c r="R2088" s="39" t="n">
        <f aca="false">SUM(M2088:Q2088)*Resumo!$C$11</f>
        <v>3.8059978</v>
      </c>
      <c r="S2088" s="39" t="n">
        <f aca="false">SUM(M2088:R2088)</f>
        <v>73.0059578</v>
      </c>
      <c r="T2088" s="39" t="n">
        <f aca="false">S2088/(1-Resumo!$C$5)</f>
        <v>82.9613156818182</v>
      </c>
      <c r="U2088" s="39" t="n">
        <v>82.21</v>
      </c>
      <c r="V2088" s="39" t="n">
        <f aca="false">J2088*Resumo!$B$6</f>
        <v>0.54999</v>
      </c>
      <c r="W2088" s="39" t="n">
        <f aca="false">J2088*Resumo!$B$7</f>
        <v>1.09998</v>
      </c>
      <c r="X2088" s="39" t="n">
        <f aca="false">Resumo!$B$9</f>
        <v>1</v>
      </c>
      <c r="Y2088" s="39" t="n">
        <f aca="false">Resumo!$B$10*CEILING(I2088/100,1)</f>
        <v>4.5</v>
      </c>
      <c r="Z2088" s="39" t="n">
        <f aca="false">Resumo!$B$12*CEILING(I2088,1)</f>
        <v>1.56</v>
      </c>
      <c r="AA2088" s="39" t="n">
        <f aca="false">Resumo!$B$13*CEILING(I2088,1)</f>
        <v>11.7</v>
      </c>
      <c r="AB2088" s="39" t="n">
        <f aca="false">SUM(U2088:AA2088)</f>
        <v>102.61997</v>
      </c>
      <c r="AC2088" s="39" t="n">
        <f aca="false">AB2088/(1-Resumo!$B$5)</f>
        <v>116.613602272727</v>
      </c>
      <c r="AD2088" s="39" t="n">
        <f aca="false">(AB2088-AA2088)/(1-Resumo!$B$5)</f>
        <v>103.318147727273</v>
      </c>
      <c r="AE2088" s="39" t="n">
        <f aca="false">AC2088-T2088</f>
        <v>33.6522865909091</v>
      </c>
      <c r="AF2088" s="40" t="n">
        <f aca="false">AC2088/T2088-1</f>
        <v>0.405638294358491</v>
      </c>
      <c r="AG2088" s="37" t="str">
        <f aca="false">IF(AC2088&lt;T2088,"SIM","NÃO")</f>
        <v>NÃO</v>
      </c>
      <c r="AH2088" s="37" t="n">
        <v>8</v>
      </c>
      <c r="AI2088" s="37" t="n">
        <v>5</v>
      </c>
      <c r="AJ2088" s="37" t="s">
        <v>323</v>
      </c>
    </row>
    <row r="2089" customFormat="false" ht="15" hidden="false" customHeight="false" outlineLevel="0" collapsed="false">
      <c r="A2089" s="37" t="n">
        <v>399020161</v>
      </c>
      <c r="B2089" s="38" t="n">
        <v>46289.7245717593</v>
      </c>
      <c r="C2089" s="37" t="s">
        <v>325</v>
      </c>
      <c r="D2089" s="37" t="s">
        <v>2185</v>
      </c>
      <c r="E2089" s="37" t="n">
        <v>22790851</v>
      </c>
      <c r="F2089" s="37" t="s">
        <v>139</v>
      </c>
      <c r="G2089" s="37" t="s">
        <v>198</v>
      </c>
      <c r="H2089" s="37" t="s">
        <v>169</v>
      </c>
      <c r="I2089" s="37" t="n">
        <v>40</v>
      </c>
      <c r="J2089" s="39" t="n">
        <v>629.99</v>
      </c>
      <c r="K2089" s="37" t="s">
        <v>322</v>
      </c>
      <c r="L2089" s="39" t="n">
        <v>92.87</v>
      </c>
      <c r="M2089" s="39" t="n">
        <v>62.05</v>
      </c>
      <c r="N2089" s="39" t="n">
        <f aca="false">J2089*Resumo!$C$7</f>
        <v>1.25998</v>
      </c>
      <c r="O2089" s="39" t="n">
        <f aca="false">J2089*Resumo!$C$8</f>
        <v>1.25998</v>
      </c>
      <c r="P2089" s="39" t="n">
        <f aca="false">Resumo!$C$10*CEILING(I2089/100,1)</f>
        <v>1</v>
      </c>
      <c r="Q2089" s="39" t="n">
        <f aca="false">Resumo!$C$9</f>
        <v>11.9</v>
      </c>
      <c r="R2089" s="39" t="n">
        <f aca="false">SUM(M2089:Q2089)*Resumo!$C$11</f>
        <v>4.2608478</v>
      </c>
      <c r="S2089" s="39" t="n">
        <f aca="false">SUM(M2089:R2089)</f>
        <v>81.7308078</v>
      </c>
      <c r="T2089" s="39" t="n">
        <f aca="false">S2089/(1-Resumo!$C$5)</f>
        <v>92.8759179545454</v>
      </c>
      <c r="U2089" s="39" t="n">
        <v>93.97</v>
      </c>
      <c r="V2089" s="39" t="n">
        <f aca="false">J2089*Resumo!$B$6</f>
        <v>0.62999</v>
      </c>
      <c r="W2089" s="39" t="n">
        <f aca="false">J2089*Resumo!$B$7</f>
        <v>1.25998</v>
      </c>
      <c r="X2089" s="39" t="n">
        <f aca="false">Resumo!$B$9</f>
        <v>1</v>
      </c>
      <c r="Y2089" s="39" t="n">
        <f aca="false">Resumo!$B$10*CEILING(I2089/100,1)</f>
        <v>4.5</v>
      </c>
      <c r="Z2089" s="39" t="n">
        <f aca="false">Resumo!$B$12*CEILING(I2089,1)</f>
        <v>2.4</v>
      </c>
      <c r="AA2089" s="39" t="n">
        <f aca="false">Resumo!$B$13*CEILING(I2089,1)</f>
        <v>18</v>
      </c>
      <c r="AB2089" s="39" t="n">
        <f aca="false">SUM(U2089:AA2089)</f>
        <v>121.75997</v>
      </c>
      <c r="AC2089" s="39" t="n">
        <f aca="false">AB2089/(1-Resumo!$B$5)</f>
        <v>138.363602272727</v>
      </c>
      <c r="AD2089" s="39" t="n">
        <f aca="false">(AB2089-AA2089)/(1-Resumo!$B$5)</f>
        <v>117.909056818182</v>
      </c>
      <c r="AE2089" s="39" t="n">
        <f aca="false">AC2089-T2089</f>
        <v>45.4876843181818</v>
      </c>
      <c r="AF2089" s="40" t="n">
        <f aca="false">AC2089/T2089-1</f>
        <v>0.489768341675439</v>
      </c>
      <c r="AG2089" s="37" t="str">
        <f aca="false">IF(AC2089&lt;T2089,"SIM","NÃO")</f>
        <v>NÃO</v>
      </c>
      <c r="AH2089" s="37" t="n">
        <v>8</v>
      </c>
      <c r="AI2089" s="37" t="n">
        <v>5</v>
      </c>
      <c r="AJ2089" s="37" t="s">
        <v>323</v>
      </c>
    </row>
    <row r="2090" customFormat="false" ht="15" hidden="false" customHeight="false" outlineLevel="0" collapsed="false">
      <c r="A2090" s="37" t="n">
        <v>399034475</v>
      </c>
      <c r="B2090" s="38" t="n">
        <v>46289.7589930556</v>
      </c>
      <c r="C2090" s="37" t="s">
        <v>325</v>
      </c>
      <c r="D2090" s="37" t="s">
        <v>2186</v>
      </c>
      <c r="E2090" s="37" t="n">
        <v>20241110</v>
      </c>
      <c r="F2090" s="37" t="s">
        <v>139</v>
      </c>
      <c r="G2090" s="37" t="s">
        <v>198</v>
      </c>
      <c r="H2090" s="37" t="s">
        <v>169</v>
      </c>
      <c r="I2090" s="37" t="n">
        <v>36.8</v>
      </c>
      <c r="J2090" s="39" t="n">
        <v>469.99</v>
      </c>
      <c r="K2090" s="37" t="s">
        <v>322</v>
      </c>
      <c r="L2090" s="39" t="n">
        <v>92.11</v>
      </c>
      <c r="M2090" s="39" t="n">
        <v>62.05</v>
      </c>
      <c r="N2090" s="39" t="n">
        <f aca="false">J2090*Resumo!$C$7</f>
        <v>0.93998</v>
      </c>
      <c r="O2090" s="39" t="n">
        <f aca="false">J2090*Resumo!$C$8</f>
        <v>0.93998</v>
      </c>
      <c r="P2090" s="39" t="n">
        <f aca="false">Resumo!$C$10*CEILING(I2090/100,1)</f>
        <v>1</v>
      </c>
      <c r="Q2090" s="39" t="n">
        <f aca="false">Resumo!$C$9</f>
        <v>11.9</v>
      </c>
      <c r="R2090" s="39" t="n">
        <f aca="false">SUM(M2090:Q2090)*Resumo!$C$11</f>
        <v>4.2256478</v>
      </c>
      <c r="S2090" s="39" t="n">
        <f aca="false">SUM(M2090:R2090)</f>
        <v>81.0556078</v>
      </c>
      <c r="T2090" s="39" t="n">
        <f aca="false">S2090/(1-Resumo!$C$5)</f>
        <v>92.1086452272727</v>
      </c>
      <c r="U2090" s="39" t="n">
        <v>93.97</v>
      </c>
      <c r="V2090" s="39" t="n">
        <f aca="false">J2090*Resumo!$B$6</f>
        <v>0.46999</v>
      </c>
      <c r="W2090" s="39" t="n">
        <f aca="false">J2090*Resumo!$B$7</f>
        <v>0.93998</v>
      </c>
      <c r="X2090" s="39" t="n">
        <f aca="false">Resumo!$B$9</f>
        <v>1</v>
      </c>
      <c r="Y2090" s="39" t="n">
        <f aca="false">Resumo!$B$10*CEILING(I2090/100,1)</f>
        <v>4.5</v>
      </c>
      <c r="Z2090" s="39" t="n">
        <f aca="false">Resumo!$B$12*CEILING(I2090,1)</f>
        <v>2.22</v>
      </c>
      <c r="AA2090" s="39" t="n">
        <f aca="false">Resumo!$B$13*CEILING(I2090,1)</f>
        <v>16.65</v>
      </c>
      <c r="AB2090" s="39" t="n">
        <f aca="false">SUM(U2090:AA2090)</f>
        <v>119.74997</v>
      </c>
      <c r="AC2090" s="39" t="n">
        <f aca="false">AB2090/(1-Resumo!$B$5)</f>
        <v>136.079511363636</v>
      </c>
      <c r="AD2090" s="39" t="n">
        <f aca="false">(AB2090-AA2090)/(1-Resumo!$B$5)</f>
        <v>117.159056818182</v>
      </c>
      <c r="AE2090" s="39" t="n">
        <f aca="false">AC2090-T2090</f>
        <v>43.9708661363636</v>
      </c>
      <c r="AF2090" s="40" t="n">
        <f aca="false">AC2090/T2090-1</f>
        <v>0.477380445970821</v>
      </c>
      <c r="AG2090" s="37" t="str">
        <f aca="false">IF(AC2090&lt;T2090,"SIM","NÃO")</f>
        <v>NÃO</v>
      </c>
      <c r="AH2090" s="37" t="n">
        <v>8</v>
      </c>
      <c r="AI2090" s="37" t="n">
        <v>5</v>
      </c>
      <c r="AJ2090" s="37" t="s">
        <v>323</v>
      </c>
    </row>
    <row r="2091" customFormat="false" ht="15" hidden="false" customHeight="false" outlineLevel="0" collapsed="false">
      <c r="A2091" s="37" t="n">
        <v>399035992</v>
      </c>
      <c r="B2091" s="38" t="n">
        <v>46289.7624421296</v>
      </c>
      <c r="C2091" s="37" t="s">
        <v>320</v>
      </c>
      <c r="D2091" s="37" t="s">
        <v>2187</v>
      </c>
      <c r="E2091" s="37" t="n">
        <v>21911270</v>
      </c>
      <c r="F2091" s="37" t="s">
        <v>139</v>
      </c>
      <c r="G2091" s="37" t="s">
        <v>198</v>
      </c>
      <c r="H2091" s="37" t="s">
        <v>171</v>
      </c>
      <c r="I2091" s="37" t="n">
        <v>58.6</v>
      </c>
      <c r="J2091" s="39" t="n">
        <v>729.92</v>
      </c>
      <c r="K2091" s="37" t="s">
        <v>322</v>
      </c>
      <c r="L2091" s="39" t="n">
        <v>114.65</v>
      </c>
      <c r="M2091" s="39" t="n">
        <v>79.81</v>
      </c>
      <c r="N2091" s="39" t="n">
        <f aca="false">J2091*Resumo!$C$7</f>
        <v>1.45984</v>
      </c>
      <c r="O2091" s="39" t="n">
        <f aca="false">J2091*Resumo!$C$8</f>
        <v>1.45984</v>
      </c>
      <c r="P2091" s="39" t="n">
        <f aca="false">Resumo!$C$10*CEILING(I2091/100,1)</f>
        <v>1</v>
      </c>
      <c r="Q2091" s="39" t="n">
        <f aca="false">Resumo!$C$9</f>
        <v>11.9</v>
      </c>
      <c r="R2091" s="39" t="n">
        <f aca="false">SUM(M2091:Q2091)*Resumo!$C$11</f>
        <v>5.2596324</v>
      </c>
      <c r="S2091" s="39" t="n">
        <f aca="false">SUM(M2091:R2091)</f>
        <v>100.8893124</v>
      </c>
      <c r="T2091" s="39" t="n">
        <f aca="false">S2091/(1-Resumo!$C$5)</f>
        <v>114.646945909091</v>
      </c>
      <c r="U2091" s="39" t="n">
        <v>112.3</v>
      </c>
      <c r="V2091" s="39" t="n">
        <f aca="false">J2091*Resumo!$B$6</f>
        <v>0.72992</v>
      </c>
      <c r="W2091" s="39" t="n">
        <f aca="false">J2091*Resumo!$B$7</f>
        <v>1.45984</v>
      </c>
      <c r="X2091" s="39" t="n">
        <f aca="false">Resumo!$B$9</f>
        <v>1</v>
      </c>
      <c r="Y2091" s="39" t="n">
        <f aca="false">Resumo!$B$10*CEILING(I2091/100,1)</f>
        <v>4.5</v>
      </c>
      <c r="Z2091" s="39" t="n">
        <f aca="false">Resumo!$B$12*CEILING(I2091,1)</f>
        <v>3.54</v>
      </c>
      <c r="AA2091" s="39" t="n">
        <f aca="false">Resumo!$B$13*CEILING(I2091,1)</f>
        <v>26.55</v>
      </c>
      <c r="AB2091" s="39" t="n">
        <f aca="false">SUM(U2091:AA2091)</f>
        <v>150.07976</v>
      </c>
      <c r="AC2091" s="39" t="n">
        <f aca="false">AB2091/(1-Resumo!$B$5)</f>
        <v>170.545181818182</v>
      </c>
      <c r="AD2091" s="39" t="n">
        <f aca="false">(AB2091-AA2091)/(1-Resumo!$B$5)</f>
        <v>140.374727272727</v>
      </c>
      <c r="AE2091" s="39" t="n">
        <f aca="false">AC2091-T2091</f>
        <v>55.8982359090909</v>
      </c>
      <c r="AF2091" s="40" t="n">
        <f aca="false">AC2091/T2091-1</f>
        <v>0.4875684691454</v>
      </c>
      <c r="AG2091" s="37" t="str">
        <f aca="false">IF(AC2091&lt;T2091,"SIM","NÃO")</f>
        <v>NÃO</v>
      </c>
      <c r="AH2091" s="37" t="n">
        <v>8</v>
      </c>
      <c r="AI2091" s="37" t="n">
        <v>5</v>
      </c>
      <c r="AJ2091" s="37" t="s">
        <v>323</v>
      </c>
    </row>
    <row r="2092" customFormat="false" ht="15" hidden="false" customHeight="false" outlineLevel="0" collapsed="false">
      <c r="A2092" s="37" t="n">
        <v>399036253</v>
      </c>
      <c r="B2092" s="38" t="n">
        <v>46289.7636226852</v>
      </c>
      <c r="C2092" s="37" t="s">
        <v>320</v>
      </c>
      <c r="D2092" s="37" t="s">
        <v>2188</v>
      </c>
      <c r="E2092" s="37" t="n">
        <v>26155090</v>
      </c>
      <c r="F2092" s="37" t="s">
        <v>145</v>
      </c>
      <c r="G2092" s="37" t="s">
        <v>207</v>
      </c>
      <c r="H2092" s="37" t="s">
        <v>173</v>
      </c>
      <c r="I2092" s="37" t="n">
        <v>71.9</v>
      </c>
      <c r="J2092" s="39" t="n">
        <v>799.99</v>
      </c>
      <c r="K2092" s="37" t="s">
        <v>322</v>
      </c>
      <c r="L2092" s="39" t="n">
        <v>151.84</v>
      </c>
      <c r="M2092" s="39" t="n">
        <v>110.55</v>
      </c>
      <c r="N2092" s="39" t="n">
        <f aca="false">J2092*Resumo!$C$7</f>
        <v>1.59998</v>
      </c>
      <c r="O2092" s="39" t="n">
        <f aca="false">J2092*Resumo!$C$8</f>
        <v>1.59998</v>
      </c>
      <c r="P2092" s="39" t="n">
        <f aca="false">Resumo!$C$10*CEILING(I2092/100,1)</f>
        <v>1</v>
      </c>
      <c r="Q2092" s="39" t="n">
        <f aca="false">Resumo!$C$9</f>
        <v>11.9</v>
      </c>
      <c r="R2092" s="39" t="n">
        <f aca="false">SUM(M2092:Q2092)*Resumo!$C$11</f>
        <v>6.9657478</v>
      </c>
      <c r="S2092" s="39" t="n">
        <f aca="false">SUM(M2092:R2092)</f>
        <v>133.6157078</v>
      </c>
      <c r="T2092" s="39" t="n">
        <f aca="false">S2092/(1-Resumo!$C$5)</f>
        <v>151.836031590909</v>
      </c>
      <c r="U2092" s="39" t="n">
        <v>134.39</v>
      </c>
      <c r="V2092" s="39" t="n">
        <f aca="false">J2092*Resumo!$B$6</f>
        <v>0.79999</v>
      </c>
      <c r="W2092" s="39" t="n">
        <f aca="false">J2092*Resumo!$B$7</f>
        <v>1.59998</v>
      </c>
      <c r="X2092" s="39" t="n">
        <f aca="false">Resumo!$B$9</f>
        <v>1</v>
      </c>
      <c r="Y2092" s="39" t="n">
        <f aca="false">Resumo!$B$10*CEILING(I2092/100,1)</f>
        <v>4.5</v>
      </c>
      <c r="Z2092" s="39" t="n">
        <f aca="false">Resumo!$B$12*CEILING(I2092,1)</f>
        <v>4.32</v>
      </c>
      <c r="AA2092" s="39" t="n">
        <f aca="false">Resumo!$B$13*CEILING(I2092,1)</f>
        <v>32.4</v>
      </c>
      <c r="AB2092" s="39" t="n">
        <f aca="false">SUM(U2092:AA2092)</f>
        <v>179.00997</v>
      </c>
      <c r="AC2092" s="39" t="n">
        <f aca="false">AB2092/(1-Resumo!$B$5)</f>
        <v>203.420420454545</v>
      </c>
      <c r="AD2092" s="39" t="n">
        <f aca="false">(AB2092-AA2092)/(1-Resumo!$B$5)</f>
        <v>166.602238636364</v>
      </c>
      <c r="AE2092" s="39" t="n">
        <f aca="false">AC2092-T2092</f>
        <v>51.5843888636364</v>
      </c>
      <c r="AF2092" s="40" t="n">
        <f aca="false">AC2092/T2092-1</f>
        <v>0.339737467603341</v>
      </c>
      <c r="AG2092" s="37" t="str">
        <f aca="false">IF(AC2092&lt;T2092,"SIM","NÃO")</f>
        <v>NÃO</v>
      </c>
      <c r="AH2092" s="37" t="n">
        <v>10</v>
      </c>
      <c r="AI2092" s="37" t="n">
        <v>5</v>
      </c>
      <c r="AJ2092" s="37" t="s">
        <v>323</v>
      </c>
    </row>
    <row r="2093" customFormat="false" ht="15" hidden="false" customHeight="false" outlineLevel="0" collapsed="false">
      <c r="A2093" s="37" t="n">
        <v>399041252</v>
      </c>
      <c r="B2093" s="38" t="n">
        <v>46289.7756828704</v>
      </c>
      <c r="C2093" s="37" t="s">
        <v>320</v>
      </c>
      <c r="D2093" s="37" t="s">
        <v>2189</v>
      </c>
      <c r="E2093" s="37" t="n">
        <v>27250100</v>
      </c>
      <c r="F2093" s="37" t="s">
        <v>148</v>
      </c>
      <c r="G2093" s="37" t="s">
        <v>201</v>
      </c>
      <c r="H2093" s="37" t="s">
        <v>171</v>
      </c>
      <c r="I2093" s="37" t="n">
        <v>52.3</v>
      </c>
      <c r="J2093" s="39" t="n">
        <v>592.37</v>
      </c>
      <c r="K2093" s="37" t="s">
        <v>322</v>
      </c>
      <c r="L2093" s="39" t="n">
        <v>142.5</v>
      </c>
      <c r="M2093" s="39" t="n">
        <v>103.6</v>
      </c>
      <c r="N2093" s="39" t="n">
        <f aca="false">J2093*Resumo!$C$7</f>
        <v>1.18474</v>
      </c>
      <c r="O2093" s="39" t="n">
        <f aca="false">J2093*Resumo!$C$8</f>
        <v>1.18474</v>
      </c>
      <c r="P2093" s="39" t="n">
        <f aca="false">Resumo!$C$10*CEILING(I2093/100,1)</f>
        <v>1</v>
      </c>
      <c r="Q2093" s="39" t="n">
        <f aca="false">Resumo!$C$9</f>
        <v>11.9</v>
      </c>
      <c r="R2093" s="39" t="n">
        <f aca="false">SUM(M2093:Q2093)*Resumo!$C$11</f>
        <v>6.5378214</v>
      </c>
      <c r="S2093" s="39" t="n">
        <f aca="false">SUM(M2093:R2093)</f>
        <v>125.4073014</v>
      </c>
      <c r="T2093" s="39" t="n">
        <f aca="false">S2093/(1-Resumo!$C$5)</f>
        <v>142.508297045455</v>
      </c>
      <c r="U2093" s="39" t="n">
        <v>142.32</v>
      </c>
      <c r="V2093" s="39" t="n">
        <f aca="false">J2093*Resumo!$B$6</f>
        <v>0.59237</v>
      </c>
      <c r="W2093" s="39" t="n">
        <f aca="false">J2093*Resumo!$B$7</f>
        <v>1.18474</v>
      </c>
      <c r="X2093" s="39" t="n">
        <f aca="false">Resumo!$B$9</f>
        <v>1</v>
      </c>
      <c r="Y2093" s="39" t="n">
        <f aca="false">Resumo!$B$10*CEILING(I2093/100,1)</f>
        <v>4.5</v>
      </c>
      <c r="Z2093" s="39" t="n">
        <f aca="false">Resumo!$B$12*CEILING(I2093,1)</f>
        <v>3.18</v>
      </c>
      <c r="AA2093" s="39" t="n">
        <f aca="false">Resumo!$B$13*CEILING(I2093,1)</f>
        <v>23.85</v>
      </c>
      <c r="AB2093" s="39" t="n">
        <f aca="false">SUM(U2093:AA2093)</f>
        <v>176.62711</v>
      </c>
      <c r="AC2093" s="39" t="n">
        <f aca="false">AB2093/(1-Resumo!$B$5)</f>
        <v>200.712625</v>
      </c>
      <c r="AD2093" s="39" t="n">
        <f aca="false">(AB2093-AA2093)/(1-Resumo!$B$5)</f>
        <v>173.610352272727</v>
      </c>
      <c r="AE2093" s="39" t="n">
        <f aca="false">AC2093-T2093</f>
        <v>58.2043279545455</v>
      </c>
      <c r="AF2093" s="40" t="n">
        <f aca="false">AC2093/T2093-1</f>
        <v>0.408427643591731</v>
      </c>
      <c r="AG2093" s="37" t="str">
        <f aca="false">IF(AC2093&lt;T2093,"SIM","NÃO")</f>
        <v>NÃO</v>
      </c>
      <c r="AH2093" s="37" t="n">
        <v>13</v>
      </c>
      <c r="AI2093" s="37" t="n">
        <v>10</v>
      </c>
      <c r="AJ2093" s="37" t="s">
        <v>323</v>
      </c>
    </row>
    <row r="2094" customFormat="false" ht="15" hidden="false" customHeight="false" outlineLevel="0" collapsed="false">
      <c r="A2094" s="37" t="n">
        <v>399054582</v>
      </c>
      <c r="B2094" s="38" t="n">
        <v>46289.8079050926</v>
      </c>
      <c r="C2094" s="37" t="s">
        <v>320</v>
      </c>
      <c r="D2094" s="37" t="s">
        <v>2190</v>
      </c>
      <c r="E2094" s="37" t="n">
        <v>23575330</v>
      </c>
      <c r="F2094" s="37" t="s">
        <v>139</v>
      </c>
      <c r="G2094" s="37" t="s">
        <v>198</v>
      </c>
      <c r="H2094" s="37" t="s">
        <v>170</v>
      </c>
      <c r="I2094" s="37" t="n">
        <v>48.3</v>
      </c>
      <c r="J2094" s="39" t="n">
        <v>449.31</v>
      </c>
      <c r="K2094" s="37" t="s">
        <v>322</v>
      </c>
      <c r="L2094" s="39" t="n">
        <v>102.74</v>
      </c>
      <c r="M2094" s="39" t="n">
        <v>71</v>
      </c>
      <c r="N2094" s="39" t="n">
        <f aca="false">J2094*Resumo!$C$7</f>
        <v>0.89862</v>
      </c>
      <c r="O2094" s="39" t="n">
        <f aca="false">J2094*Resumo!$C$8</f>
        <v>0.89862</v>
      </c>
      <c r="P2094" s="39" t="n">
        <f aca="false">Resumo!$C$10*CEILING(I2094/100,1)</f>
        <v>1</v>
      </c>
      <c r="Q2094" s="39" t="n">
        <f aca="false">Resumo!$C$9</f>
        <v>11.9</v>
      </c>
      <c r="R2094" s="39" t="n">
        <f aca="false">SUM(M2094:Q2094)*Resumo!$C$11</f>
        <v>4.7133482</v>
      </c>
      <c r="S2094" s="39" t="n">
        <f aca="false">SUM(M2094:R2094)</f>
        <v>90.4105882</v>
      </c>
      <c r="T2094" s="39" t="n">
        <f aca="false">S2094/(1-Resumo!$C$5)</f>
        <v>102.739304772727</v>
      </c>
      <c r="U2094" s="39" t="n">
        <v>93.97</v>
      </c>
      <c r="V2094" s="39" t="n">
        <f aca="false">J2094*Resumo!$B$6</f>
        <v>0.44931</v>
      </c>
      <c r="W2094" s="39" t="n">
        <f aca="false">J2094*Resumo!$B$7</f>
        <v>0.89862</v>
      </c>
      <c r="X2094" s="39" t="n">
        <f aca="false">Resumo!$B$9</f>
        <v>1</v>
      </c>
      <c r="Y2094" s="39" t="n">
        <f aca="false">Resumo!$B$10*CEILING(I2094/100,1)</f>
        <v>4.5</v>
      </c>
      <c r="Z2094" s="39" t="n">
        <f aca="false">Resumo!$B$12*CEILING(I2094,1)</f>
        <v>2.94</v>
      </c>
      <c r="AA2094" s="39" t="n">
        <f aca="false">Resumo!$B$13*CEILING(I2094,1)</f>
        <v>22.05</v>
      </c>
      <c r="AB2094" s="39" t="n">
        <f aca="false">SUM(U2094:AA2094)</f>
        <v>125.80793</v>
      </c>
      <c r="AC2094" s="39" t="n">
        <f aca="false">AB2094/(1-Resumo!$B$5)</f>
        <v>142.963556818182</v>
      </c>
      <c r="AD2094" s="39" t="n">
        <f aca="false">(AB2094-AA2094)/(1-Resumo!$B$5)</f>
        <v>117.906738636364</v>
      </c>
      <c r="AE2094" s="39" t="n">
        <f aca="false">AC2094-T2094</f>
        <v>40.2242520454546</v>
      </c>
      <c r="AF2094" s="40" t="n">
        <f aca="false">AC2094/T2094-1</f>
        <v>0.391517658547873</v>
      </c>
      <c r="AG2094" s="37" t="str">
        <f aca="false">IF(AC2094&lt;T2094,"SIM","NÃO")</f>
        <v>NÃO</v>
      </c>
      <c r="AH2094" s="37" t="n">
        <v>8</v>
      </c>
      <c r="AI2094" s="37" t="n">
        <v>5</v>
      </c>
      <c r="AJ2094" s="37" t="s">
        <v>323</v>
      </c>
    </row>
    <row r="2095" customFormat="false" ht="15" hidden="false" customHeight="false" outlineLevel="0" collapsed="false">
      <c r="A2095" s="37" t="n">
        <v>399056011</v>
      </c>
      <c r="B2095" s="38" t="n">
        <v>46289.8113425926</v>
      </c>
      <c r="C2095" s="37" t="s">
        <v>320</v>
      </c>
      <c r="D2095" s="37" t="s">
        <v>2191</v>
      </c>
      <c r="E2095" s="37" t="n">
        <v>21825330</v>
      </c>
      <c r="F2095" s="37" t="s">
        <v>139</v>
      </c>
      <c r="G2095" s="37" t="s">
        <v>198</v>
      </c>
      <c r="H2095" s="37" t="s">
        <v>168</v>
      </c>
      <c r="I2095" s="37" t="n">
        <v>21.5</v>
      </c>
      <c r="J2095" s="39" t="n">
        <v>299.99</v>
      </c>
      <c r="K2095" s="37" t="s">
        <v>322</v>
      </c>
      <c r="L2095" s="39" t="n">
        <v>81.76</v>
      </c>
      <c r="M2095" s="39" t="n">
        <v>54.1</v>
      </c>
      <c r="N2095" s="39" t="n">
        <f aca="false">J2095*Resumo!$C$7</f>
        <v>0.59998</v>
      </c>
      <c r="O2095" s="39" t="n">
        <f aca="false">J2095*Resumo!$C$8</f>
        <v>0.59998</v>
      </c>
      <c r="P2095" s="39" t="n">
        <f aca="false">Resumo!$C$10*CEILING(I2095/100,1)</f>
        <v>1</v>
      </c>
      <c r="Q2095" s="39" t="n">
        <f aca="false">Resumo!$C$9</f>
        <v>11.9</v>
      </c>
      <c r="R2095" s="39" t="n">
        <f aca="false">SUM(M2095:Q2095)*Resumo!$C$11</f>
        <v>3.7509978</v>
      </c>
      <c r="S2095" s="39" t="n">
        <f aca="false">SUM(M2095:R2095)</f>
        <v>71.9509578</v>
      </c>
      <c r="T2095" s="39" t="n">
        <f aca="false">S2095/(1-Resumo!$C$5)</f>
        <v>81.7624520454545</v>
      </c>
      <c r="U2095" s="39" t="n">
        <v>82.21</v>
      </c>
      <c r="V2095" s="39" t="n">
        <f aca="false">J2095*Resumo!$B$6</f>
        <v>0.29999</v>
      </c>
      <c r="W2095" s="39" t="n">
        <f aca="false">J2095*Resumo!$B$7</f>
        <v>0.59998</v>
      </c>
      <c r="X2095" s="39" t="n">
        <f aca="false">Resumo!$B$9</f>
        <v>1</v>
      </c>
      <c r="Y2095" s="39" t="n">
        <f aca="false">Resumo!$B$10*CEILING(I2095/100,1)</f>
        <v>4.5</v>
      </c>
      <c r="Z2095" s="39" t="n">
        <f aca="false">Resumo!$B$12*CEILING(I2095,1)</f>
        <v>1.32</v>
      </c>
      <c r="AA2095" s="39" t="n">
        <f aca="false">Resumo!$B$13*CEILING(I2095,1)</f>
        <v>9.9</v>
      </c>
      <c r="AB2095" s="39" t="n">
        <f aca="false">SUM(U2095:AA2095)</f>
        <v>99.82997</v>
      </c>
      <c r="AC2095" s="39" t="n">
        <f aca="false">AB2095/(1-Resumo!$B$5)</f>
        <v>113.443147727273</v>
      </c>
      <c r="AD2095" s="39" t="n">
        <f aca="false">(AB2095-AA2095)/(1-Resumo!$B$5)</f>
        <v>102.193147727273</v>
      </c>
      <c r="AE2095" s="39" t="n">
        <f aca="false">AC2095-T2095</f>
        <v>31.6806956818182</v>
      </c>
      <c r="AF2095" s="40" t="n">
        <f aca="false">AC2095/T2095-1</f>
        <v>0.387472426392078</v>
      </c>
      <c r="AG2095" s="37" t="str">
        <f aca="false">IF(AC2095&lt;T2095,"SIM","NÃO")</f>
        <v>NÃO</v>
      </c>
      <c r="AH2095" s="37" t="n">
        <v>8</v>
      </c>
      <c r="AI2095" s="37" t="n">
        <v>5</v>
      </c>
      <c r="AJ2095" s="37" t="s">
        <v>323</v>
      </c>
    </row>
    <row r="2096" customFormat="false" ht="15" hidden="false" customHeight="false" outlineLevel="0" collapsed="false">
      <c r="A2096" s="37" t="n">
        <v>399067507</v>
      </c>
      <c r="B2096" s="38" t="n">
        <v>46289.8382523148</v>
      </c>
      <c r="C2096" s="37" t="s">
        <v>320</v>
      </c>
      <c r="D2096" s="37" t="s">
        <v>2192</v>
      </c>
      <c r="E2096" s="37" t="n">
        <v>25085132</v>
      </c>
      <c r="F2096" s="37" t="s">
        <v>141</v>
      </c>
      <c r="G2096" s="37" t="s">
        <v>207</v>
      </c>
      <c r="H2096" s="37" t="s">
        <v>171</v>
      </c>
      <c r="I2096" s="37" t="n">
        <v>52.3</v>
      </c>
      <c r="J2096" s="39" t="n">
        <v>592.37</v>
      </c>
      <c r="K2096" s="37" t="s">
        <v>322</v>
      </c>
      <c r="L2096" s="39" t="n">
        <v>128.11</v>
      </c>
      <c r="M2096" s="39" t="n">
        <v>91.6</v>
      </c>
      <c r="N2096" s="39" t="n">
        <f aca="false">J2096*Resumo!$C$7</f>
        <v>1.18474</v>
      </c>
      <c r="O2096" s="39" t="n">
        <f aca="false">J2096*Resumo!$C$8</f>
        <v>1.18474</v>
      </c>
      <c r="P2096" s="39" t="n">
        <f aca="false">Resumo!$C$10*CEILING(I2096/100,1)</f>
        <v>1</v>
      </c>
      <c r="Q2096" s="39" t="n">
        <f aca="false">Resumo!$C$9</f>
        <v>11.9</v>
      </c>
      <c r="R2096" s="39" t="n">
        <f aca="false">SUM(M2096:Q2096)*Resumo!$C$11</f>
        <v>5.8778214</v>
      </c>
      <c r="S2096" s="39" t="n">
        <f aca="false">SUM(M2096:R2096)</f>
        <v>112.7473014</v>
      </c>
      <c r="T2096" s="39" t="n">
        <f aca="false">S2096/(1-Resumo!$C$5)</f>
        <v>128.121933409091</v>
      </c>
      <c r="U2096" s="39" t="n">
        <v>112.3</v>
      </c>
      <c r="V2096" s="39" t="n">
        <f aca="false">J2096*Resumo!$B$6</f>
        <v>0.59237</v>
      </c>
      <c r="W2096" s="39" t="n">
        <f aca="false">J2096*Resumo!$B$7</f>
        <v>1.18474</v>
      </c>
      <c r="X2096" s="39" t="n">
        <f aca="false">Resumo!$B$9</f>
        <v>1</v>
      </c>
      <c r="Y2096" s="39" t="n">
        <f aca="false">Resumo!$B$10*CEILING(I2096/100,1)</f>
        <v>4.5</v>
      </c>
      <c r="Z2096" s="39" t="n">
        <f aca="false">Resumo!$B$12*CEILING(I2096,1)</f>
        <v>3.18</v>
      </c>
      <c r="AA2096" s="39" t="n">
        <f aca="false">Resumo!$B$13*CEILING(I2096,1)</f>
        <v>23.85</v>
      </c>
      <c r="AB2096" s="39" t="n">
        <f aca="false">SUM(U2096:AA2096)</f>
        <v>146.60711</v>
      </c>
      <c r="AC2096" s="39" t="n">
        <f aca="false">AB2096/(1-Resumo!$B$5)</f>
        <v>166.598988636364</v>
      </c>
      <c r="AD2096" s="39" t="n">
        <f aca="false">(AB2096-AA2096)/(1-Resumo!$B$5)</f>
        <v>139.496715909091</v>
      </c>
      <c r="AE2096" s="39" t="n">
        <f aca="false">AC2096-T2096</f>
        <v>38.4770552272727</v>
      </c>
      <c r="AF2096" s="40" t="n">
        <f aca="false">AC2096/T2096-1</f>
        <v>0.300315911596621</v>
      </c>
      <c r="AG2096" s="37" t="str">
        <f aca="false">IF(AC2096&lt;T2096,"SIM","NÃO")</f>
        <v>NÃO</v>
      </c>
      <c r="AH2096" s="37" t="n">
        <v>10</v>
      </c>
      <c r="AI2096" s="37" t="n">
        <v>5</v>
      </c>
      <c r="AJ2096" s="37" t="s">
        <v>323</v>
      </c>
    </row>
    <row r="2097" customFormat="false" ht="15" hidden="false" customHeight="false" outlineLevel="0" collapsed="false">
      <c r="A2097" s="37" t="n">
        <v>399069444</v>
      </c>
      <c r="B2097" s="38" t="n">
        <v>46289.8428703704</v>
      </c>
      <c r="C2097" s="37" t="s">
        <v>320</v>
      </c>
      <c r="D2097" s="37" t="s">
        <v>2193</v>
      </c>
      <c r="E2097" s="37" t="n">
        <v>23555024</v>
      </c>
      <c r="F2097" s="37" t="s">
        <v>139</v>
      </c>
      <c r="G2097" s="37" t="s">
        <v>198</v>
      </c>
      <c r="H2097" s="37" t="s">
        <v>170</v>
      </c>
      <c r="I2097" s="37" t="n">
        <v>48.3</v>
      </c>
      <c r="J2097" s="39" t="n">
        <v>449.35</v>
      </c>
      <c r="K2097" s="37" t="s">
        <v>322</v>
      </c>
      <c r="L2097" s="39" t="n">
        <v>102.74</v>
      </c>
      <c r="M2097" s="39" t="n">
        <v>71</v>
      </c>
      <c r="N2097" s="39" t="n">
        <f aca="false">J2097*Resumo!$C$7</f>
        <v>0.8987</v>
      </c>
      <c r="O2097" s="39" t="n">
        <f aca="false">J2097*Resumo!$C$8</f>
        <v>0.8987</v>
      </c>
      <c r="P2097" s="39" t="n">
        <f aca="false">Resumo!$C$10*CEILING(I2097/100,1)</f>
        <v>1</v>
      </c>
      <c r="Q2097" s="39" t="n">
        <f aca="false">Resumo!$C$9</f>
        <v>11.9</v>
      </c>
      <c r="R2097" s="39" t="n">
        <f aca="false">SUM(M2097:Q2097)*Resumo!$C$11</f>
        <v>4.713357</v>
      </c>
      <c r="S2097" s="39" t="n">
        <f aca="false">SUM(M2097:R2097)</f>
        <v>90.410757</v>
      </c>
      <c r="T2097" s="39" t="n">
        <f aca="false">S2097/(1-Resumo!$C$5)</f>
        <v>102.739496590909</v>
      </c>
      <c r="U2097" s="39" t="n">
        <v>93.97</v>
      </c>
      <c r="V2097" s="39" t="n">
        <f aca="false">J2097*Resumo!$B$6</f>
        <v>0.44935</v>
      </c>
      <c r="W2097" s="39" t="n">
        <f aca="false">J2097*Resumo!$B$7</f>
        <v>0.8987</v>
      </c>
      <c r="X2097" s="39" t="n">
        <f aca="false">Resumo!$B$9</f>
        <v>1</v>
      </c>
      <c r="Y2097" s="39" t="n">
        <f aca="false">Resumo!$B$10*CEILING(I2097/100,1)</f>
        <v>4.5</v>
      </c>
      <c r="Z2097" s="39" t="n">
        <f aca="false">Resumo!$B$12*CEILING(I2097,1)</f>
        <v>2.94</v>
      </c>
      <c r="AA2097" s="39" t="n">
        <f aca="false">Resumo!$B$13*CEILING(I2097,1)</f>
        <v>22.05</v>
      </c>
      <c r="AB2097" s="39" t="n">
        <f aca="false">SUM(U2097:AA2097)</f>
        <v>125.80805</v>
      </c>
      <c r="AC2097" s="39" t="n">
        <f aca="false">AB2097/(1-Resumo!$B$5)</f>
        <v>142.963693181818</v>
      </c>
      <c r="AD2097" s="39" t="n">
        <f aca="false">(AB2097-AA2097)/(1-Resumo!$B$5)</f>
        <v>117.906875</v>
      </c>
      <c r="AE2097" s="39" t="n">
        <f aca="false">AC2097-T2097</f>
        <v>40.2241965909091</v>
      </c>
      <c r="AF2097" s="40" t="n">
        <f aca="false">AC2097/T2097-1</f>
        <v>0.391516387812127</v>
      </c>
      <c r="AG2097" s="37" t="str">
        <f aca="false">IF(AC2097&lt;T2097,"SIM","NÃO")</f>
        <v>NÃO</v>
      </c>
      <c r="AH2097" s="37" t="n">
        <v>8</v>
      </c>
      <c r="AI2097" s="37" t="n">
        <v>5</v>
      </c>
      <c r="AJ2097" s="37" t="s">
        <v>323</v>
      </c>
    </row>
    <row r="2098" customFormat="false" ht="15" hidden="false" customHeight="false" outlineLevel="0" collapsed="false">
      <c r="A2098" s="37" t="n">
        <v>399096199</v>
      </c>
      <c r="B2098" s="38" t="n">
        <v>46289.903275463</v>
      </c>
      <c r="C2098" s="37" t="s">
        <v>325</v>
      </c>
      <c r="D2098" s="37" t="s">
        <v>2194</v>
      </c>
      <c r="E2098" s="37" t="n">
        <v>20720310</v>
      </c>
      <c r="F2098" s="37" t="s">
        <v>139</v>
      </c>
      <c r="G2098" s="37" t="s">
        <v>198</v>
      </c>
      <c r="H2098" s="37" t="s">
        <v>169</v>
      </c>
      <c r="I2098" s="37" t="n">
        <v>40</v>
      </c>
      <c r="J2098" s="39" t="n">
        <v>616</v>
      </c>
      <c r="K2098" s="37" t="s">
        <v>322</v>
      </c>
      <c r="L2098" s="39" t="n">
        <v>92.81</v>
      </c>
      <c r="M2098" s="39" t="n">
        <v>62.05</v>
      </c>
      <c r="N2098" s="39" t="n">
        <f aca="false">J2098*Resumo!$C$7</f>
        <v>1.232</v>
      </c>
      <c r="O2098" s="39" t="n">
        <f aca="false">J2098*Resumo!$C$8</f>
        <v>1.232</v>
      </c>
      <c r="P2098" s="39" t="n">
        <f aca="false">Resumo!$C$10*CEILING(I2098/100,1)</f>
        <v>1</v>
      </c>
      <c r="Q2098" s="39" t="n">
        <f aca="false">Resumo!$C$9</f>
        <v>11.9</v>
      </c>
      <c r="R2098" s="39" t="n">
        <f aca="false">SUM(M2098:Q2098)*Resumo!$C$11</f>
        <v>4.25777</v>
      </c>
      <c r="S2098" s="39" t="n">
        <f aca="false">SUM(M2098:R2098)</f>
        <v>81.67177</v>
      </c>
      <c r="T2098" s="39" t="n">
        <f aca="false">S2098/(1-Resumo!$C$5)</f>
        <v>92.8088295454545</v>
      </c>
      <c r="U2098" s="39" t="n">
        <v>93.97</v>
      </c>
      <c r="V2098" s="39" t="n">
        <f aca="false">J2098*Resumo!$B$6</f>
        <v>0.616</v>
      </c>
      <c r="W2098" s="39" t="n">
        <f aca="false">J2098*Resumo!$B$7</f>
        <v>1.232</v>
      </c>
      <c r="X2098" s="39" t="n">
        <f aca="false">Resumo!$B$9</f>
        <v>1</v>
      </c>
      <c r="Y2098" s="39" t="n">
        <f aca="false">Resumo!$B$10*CEILING(I2098/100,1)</f>
        <v>4.5</v>
      </c>
      <c r="Z2098" s="39" t="n">
        <f aca="false">Resumo!$B$12*CEILING(I2098,1)</f>
        <v>2.4</v>
      </c>
      <c r="AA2098" s="39" t="n">
        <f aca="false">Resumo!$B$13*CEILING(I2098,1)</f>
        <v>18</v>
      </c>
      <c r="AB2098" s="39" t="n">
        <f aca="false">SUM(U2098:AA2098)</f>
        <v>121.718</v>
      </c>
      <c r="AC2098" s="39" t="n">
        <f aca="false">AB2098/(1-Resumo!$B$5)</f>
        <v>138.315909090909</v>
      </c>
      <c r="AD2098" s="39" t="n">
        <f aca="false">(AB2098-AA2098)/(1-Resumo!$B$5)</f>
        <v>117.861363636364</v>
      </c>
      <c r="AE2098" s="39" t="n">
        <f aca="false">AC2098-T2098</f>
        <v>45.5070795454545</v>
      </c>
      <c r="AF2098" s="40" t="n">
        <f aca="false">AC2098/T2098-1</f>
        <v>0.490331359293425</v>
      </c>
      <c r="AG2098" s="37" t="str">
        <f aca="false">IF(AC2098&lt;T2098,"SIM","NÃO")</f>
        <v>NÃO</v>
      </c>
      <c r="AH2098" s="37" t="n">
        <v>8</v>
      </c>
      <c r="AI2098" s="37" t="n">
        <v>5</v>
      </c>
      <c r="AJ2098" s="37" t="s">
        <v>323</v>
      </c>
    </row>
    <row r="2099" customFormat="false" ht="15" hidden="false" customHeight="false" outlineLevel="0" collapsed="false">
      <c r="A2099" s="37" t="n">
        <v>399110449</v>
      </c>
      <c r="B2099" s="38" t="n">
        <v>46289.9378819445</v>
      </c>
      <c r="C2099" s="37" t="s">
        <v>325</v>
      </c>
      <c r="D2099" s="37" t="s">
        <v>2195</v>
      </c>
      <c r="E2099" s="37" t="n">
        <v>24933440</v>
      </c>
      <c r="F2099" s="37" t="s">
        <v>151</v>
      </c>
      <c r="G2099" s="37" t="s">
        <v>201</v>
      </c>
      <c r="H2099" s="37" t="s">
        <v>168</v>
      </c>
      <c r="I2099" s="37" t="n">
        <v>27.6</v>
      </c>
      <c r="J2099" s="39" t="n">
        <v>539</v>
      </c>
      <c r="K2099" s="37" t="s">
        <v>322</v>
      </c>
      <c r="L2099" s="39" t="n">
        <v>109.77</v>
      </c>
      <c r="M2099" s="39" t="n">
        <v>76.5</v>
      </c>
      <c r="N2099" s="39" t="n">
        <f aca="false">J2099*Resumo!$C$7</f>
        <v>1.078</v>
      </c>
      <c r="O2099" s="39" t="n">
        <f aca="false">J2099*Resumo!$C$8</f>
        <v>1.078</v>
      </c>
      <c r="P2099" s="39" t="n">
        <f aca="false">Resumo!$C$10*CEILING(I2099/100,1)</f>
        <v>1</v>
      </c>
      <c r="Q2099" s="39" t="n">
        <f aca="false">Resumo!$C$9</f>
        <v>11.9</v>
      </c>
      <c r="R2099" s="39" t="n">
        <f aca="false">SUM(M2099:Q2099)*Resumo!$C$11</f>
        <v>5.03558</v>
      </c>
      <c r="S2099" s="39" t="n">
        <f aca="false">SUM(M2099:R2099)</f>
        <v>96.59158</v>
      </c>
      <c r="T2099" s="39" t="n">
        <f aca="false">S2099/(1-Resumo!$C$5)</f>
        <v>109.763159090909</v>
      </c>
      <c r="U2099" s="39" t="n">
        <v>100.58</v>
      </c>
      <c r="V2099" s="39" t="n">
        <f aca="false">J2099*Resumo!$B$6</f>
        <v>0.539</v>
      </c>
      <c r="W2099" s="39" t="n">
        <f aca="false">J2099*Resumo!$B$7</f>
        <v>1.078</v>
      </c>
      <c r="X2099" s="39" t="n">
        <f aca="false">Resumo!$B$9</f>
        <v>1</v>
      </c>
      <c r="Y2099" s="39" t="n">
        <f aca="false">Resumo!$B$10*CEILING(I2099/100,1)</f>
        <v>4.5</v>
      </c>
      <c r="Z2099" s="39" t="n">
        <f aca="false">Resumo!$B$12*CEILING(I2099,1)</f>
        <v>1.68</v>
      </c>
      <c r="AA2099" s="39" t="n">
        <f aca="false">Resumo!$B$13*CEILING(I2099,1)</f>
        <v>12.6</v>
      </c>
      <c r="AB2099" s="39" t="n">
        <f aca="false">SUM(U2099:AA2099)</f>
        <v>121.977</v>
      </c>
      <c r="AC2099" s="39" t="n">
        <f aca="false">AB2099/(1-Resumo!$B$5)</f>
        <v>138.610227272727</v>
      </c>
      <c r="AD2099" s="39" t="n">
        <f aca="false">(AB2099-AA2099)/(1-Resumo!$B$5)</f>
        <v>124.292045454545</v>
      </c>
      <c r="AE2099" s="39" t="n">
        <f aca="false">AC2099-T2099</f>
        <v>28.8470681818182</v>
      </c>
      <c r="AF2099" s="40" t="n">
        <f aca="false">AC2099/T2099-1</f>
        <v>0.262811934539222</v>
      </c>
      <c r="AG2099" s="37" t="str">
        <f aca="false">IF(AC2099&lt;T2099,"SIM","NÃO")</f>
        <v>NÃO</v>
      </c>
      <c r="AH2099" s="37" t="n">
        <v>13</v>
      </c>
      <c r="AI2099" s="37" t="n">
        <v>7</v>
      </c>
      <c r="AJ2099" s="37" t="s">
        <v>323</v>
      </c>
    </row>
    <row r="2100" customFormat="false" ht="15" hidden="false" customHeight="false" outlineLevel="0" collapsed="false">
      <c r="A2100" s="37" t="n">
        <v>399115459</v>
      </c>
      <c r="B2100" s="38" t="n">
        <v>46289.9508217593</v>
      </c>
      <c r="C2100" s="37" t="s">
        <v>320</v>
      </c>
      <c r="D2100" s="37" t="s">
        <v>2196</v>
      </c>
      <c r="E2100" s="37" t="n">
        <v>26110180</v>
      </c>
      <c r="F2100" s="37" t="s">
        <v>145</v>
      </c>
      <c r="G2100" s="37" t="s">
        <v>207</v>
      </c>
      <c r="H2100" s="37" t="s">
        <v>172</v>
      </c>
      <c r="I2100" s="37" t="n">
        <v>67.3</v>
      </c>
      <c r="J2100" s="39" t="n">
        <v>694.72</v>
      </c>
      <c r="K2100" s="37" t="s">
        <v>322</v>
      </c>
      <c r="L2100" s="39" t="n">
        <v>139.76</v>
      </c>
      <c r="M2100" s="39" t="n">
        <v>100.9</v>
      </c>
      <c r="N2100" s="39" t="n">
        <f aca="false">J2100*Resumo!$C$7</f>
        <v>1.38944</v>
      </c>
      <c r="O2100" s="39" t="n">
        <f aca="false">J2100*Resumo!$C$8</f>
        <v>1.38944</v>
      </c>
      <c r="P2100" s="39" t="n">
        <f aca="false">Resumo!$C$10*CEILING(I2100/100,1)</f>
        <v>1</v>
      </c>
      <c r="Q2100" s="39" t="n">
        <f aca="false">Resumo!$C$9</f>
        <v>11.9</v>
      </c>
      <c r="R2100" s="39" t="n">
        <f aca="false">SUM(M2100:Q2100)*Resumo!$C$11</f>
        <v>6.4118384</v>
      </c>
      <c r="S2100" s="39" t="n">
        <f aca="false">SUM(M2100:R2100)</f>
        <v>122.9907184</v>
      </c>
      <c r="T2100" s="39" t="n">
        <f aca="false">S2100/(1-Resumo!$C$5)</f>
        <v>139.76218</v>
      </c>
      <c r="U2100" s="39" t="n">
        <v>131.02</v>
      </c>
      <c r="V2100" s="39" t="n">
        <f aca="false">J2100*Resumo!$B$6</f>
        <v>0.69472</v>
      </c>
      <c r="W2100" s="39" t="n">
        <f aca="false">J2100*Resumo!$B$7</f>
        <v>1.38944</v>
      </c>
      <c r="X2100" s="39" t="n">
        <f aca="false">Resumo!$B$9</f>
        <v>1</v>
      </c>
      <c r="Y2100" s="39" t="n">
        <f aca="false">Resumo!$B$10*CEILING(I2100/100,1)</f>
        <v>4.5</v>
      </c>
      <c r="Z2100" s="39" t="n">
        <f aca="false">Resumo!$B$12*CEILING(I2100,1)</f>
        <v>4.08</v>
      </c>
      <c r="AA2100" s="39" t="n">
        <f aca="false">Resumo!$B$13*CEILING(I2100,1)</f>
        <v>30.6</v>
      </c>
      <c r="AB2100" s="39" t="n">
        <f aca="false">SUM(U2100:AA2100)</f>
        <v>173.28416</v>
      </c>
      <c r="AC2100" s="39" t="n">
        <f aca="false">AB2100/(1-Resumo!$B$5)</f>
        <v>196.913818181818</v>
      </c>
      <c r="AD2100" s="39" t="n">
        <f aca="false">(AB2100-AA2100)/(1-Resumo!$B$5)</f>
        <v>162.141090909091</v>
      </c>
      <c r="AE2100" s="39" t="n">
        <f aca="false">AC2100-T2100</f>
        <v>57.1516381818182</v>
      </c>
      <c r="AF2100" s="40" t="n">
        <f aca="false">AC2100/T2100-1</f>
        <v>0.408920626322644</v>
      </c>
      <c r="AG2100" s="37" t="str">
        <f aca="false">IF(AC2100&lt;T2100,"SIM","NÃO")</f>
        <v>NÃO</v>
      </c>
      <c r="AH2100" s="37" t="n">
        <v>10</v>
      </c>
      <c r="AI2100" s="37" t="n">
        <v>5</v>
      </c>
      <c r="AJ2100" s="37" t="s">
        <v>323</v>
      </c>
    </row>
    <row r="2101" customFormat="false" ht="15" hidden="false" customHeight="false" outlineLevel="0" collapsed="false">
      <c r="A2101" s="37" t="n">
        <v>399117090</v>
      </c>
      <c r="B2101" s="38" t="n">
        <v>46289.9550115741</v>
      </c>
      <c r="C2101" s="37" t="s">
        <v>325</v>
      </c>
      <c r="D2101" s="37" t="s">
        <v>2197</v>
      </c>
      <c r="E2101" s="37" t="n">
        <v>24451785</v>
      </c>
      <c r="F2101" s="37" t="s">
        <v>140</v>
      </c>
      <c r="G2101" s="37" t="s">
        <v>207</v>
      </c>
      <c r="H2101" s="37" t="s">
        <v>170</v>
      </c>
      <c r="I2101" s="37" t="n">
        <v>49.6</v>
      </c>
      <c r="J2101" s="39" t="n">
        <v>749.99</v>
      </c>
      <c r="K2101" s="37" t="s">
        <v>322</v>
      </c>
      <c r="L2101" s="39" t="n">
        <v>117.67</v>
      </c>
      <c r="M2101" s="39" t="n">
        <v>82.25</v>
      </c>
      <c r="N2101" s="39" t="n">
        <f aca="false">J2101*Resumo!$C$7</f>
        <v>1.49998</v>
      </c>
      <c r="O2101" s="39" t="n">
        <f aca="false">J2101*Resumo!$C$8</f>
        <v>1.49998</v>
      </c>
      <c r="P2101" s="39" t="n">
        <f aca="false">Resumo!$C$10*CEILING(I2101/100,1)</f>
        <v>1</v>
      </c>
      <c r="Q2101" s="39" t="n">
        <f aca="false">Resumo!$C$9</f>
        <v>11.9</v>
      </c>
      <c r="R2101" s="39" t="n">
        <f aca="false">SUM(M2101:Q2101)*Resumo!$C$11</f>
        <v>5.3982478</v>
      </c>
      <c r="S2101" s="39" t="n">
        <f aca="false">SUM(M2101:R2101)</f>
        <v>103.5482078</v>
      </c>
      <c r="T2101" s="39" t="n">
        <f aca="false">S2101/(1-Resumo!$C$5)</f>
        <v>117.668417954545</v>
      </c>
      <c r="U2101" s="39" t="n">
        <v>114.95</v>
      </c>
      <c r="V2101" s="39" t="n">
        <f aca="false">J2101*Resumo!$B$6</f>
        <v>0.74999</v>
      </c>
      <c r="W2101" s="39" t="n">
        <f aca="false">J2101*Resumo!$B$7</f>
        <v>1.49998</v>
      </c>
      <c r="X2101" s="39" t="n">
        <f aca="false">Resumo!$B$9</f>
        <v>1</v>
      </c>
      <c r="Y2101" s="39" t="n">
        <f aca="false">Resumo!$B$10*CEILING(I2101/100,1)</f>
        <v>4.5</v>
      </c>
      <c r="Z2101" s="39" t="n">
        <f aca="false">Resumo!$B$12*CEILING(I2101,1)</f>
        <v>3</v>
      </c>
      <c r="AA2101" s="39" t="n">
        <f aca="false">Resumo!$B$13*CEILING(I2101,1)</f>
        <v>22.5</v>
      </c>
      <c r="AB2101" s="39" t="n">
        <f aca="false">SUM(U2101:AA2101)</f>
        <v>148.19997</v>
      </c>
      <c r="AC2101" s="39" t="n">
        <f aca="false">AB2101/(1-Resumo!$B$5)</f>
        <v>168.409056818182</v>
      </c>
      <c r="AD2101" s="39" t="n">
        <f aca="false">(AB2101-AA2101)/(1-Resumo!$B$5)</f>
        <v>142.840875</v>
      </c>
      <c r="AE2101" s="39" t="n">
        <f aca="false">AC2101-T2101</f>
        <v>50.7406388636364</v>
      </c>
      <c r="AF2101" s="40" t="n">
        <f aca="false">AC2101/T2101-1</f>
        <v>0.431217141741781</v>
      </c>
      <c r="AG2101" s="37" t="str">
        <f aca="false">IF(AC2101&lt;T2101,"SIM","NÃO")</f>
        <v>NÃO</v>
      </c>
      <c r="AH2101" s="37" t="n">
        <v>10</v>
      </c>
      <c r="AI2101" s="37" t="n">
        <v>7</v>
      </c>
      <c r="AJ2101" s="37" t="s">
        <v>323</v>
      </c>
    </row>
    <row r="2102" customFormat="false" ht="15" hidden="false" customHeight="false" outlineLevel="0" collapsed="false">
      <c r="A2102" s="37" t="n">
        <v>399118525</v>
      </c>
      <c r="B2102" s="38" t="n">
        <v>46289.9587962963</v>
      </c>
      <c r="C2102" s="37" t="s">
        <v>325</v>
      </c>
      <c r="D2102" s="37" t="s">
        <v>706</v>
      </c>
      <c r="E2102" s="37" t="n">
        <v>22753005</v>
      </c>
      <c r="F2102" s="37" t="s">
        <v>139</v>
      </c>
      <c r="G2102" s="37" t="s">
        <v>198</v>
      </c>
      <c r="H2102" s="37" t="s">
        <v>170</v>
      </c>
      <c r="I2102" s="37" t="n">
        <v>48</v>
      </c>
      <c r="J2102" s="39" t="n">
        <v>829.99</v>
      </c>
      <c r="K2102" s="37" t="s">
        <v>322</v>
      </c>
      <c r="L2102" s="39" t="n">
        <v>104.57</v>
      </c>
      <c r="M2102" s="39" t="n">
        <v>71</v>
      </c>
      <c r="N2102" s="39" t="n">
        <f aca="false">J2102*Resumo!$C$7</f>
        <v>1.65998</v>
      </c>
      <c r="O2102" s="39" t="n">
        <f aca="false">J2102*Resumo!$C$8</f>
        <v>1.65998</v>
      </c>
      <c r="P2102" s="39" t="n">
        <f aca="false">Resumo!$C$10*CEILING(I2102/100,1)</f>
        <v>1</v>
      </c>
      <c r="Q2102" s="39" t="n">
        <f aca="false">Resumo!$C$9</f>
        <v>11.9</v>
      </c>
      <c r="R2102" s="39" t="n">
        <f aca="false">SUM(M2102:Q2102)*Resumo!$C$11</f>
        <v>4.7970978</v>
      </c>
      <c r="S2102" s="39" t="n">
        <f aca="false">SUM(M2102:R2102)</f>
        <v>92.0170578</v>
      </c>
      <c r="T2102" s="39" t="n">
        <f aca="false">S2102/(1-Resumo!$C$5)</f>
        <v>104.564838409091</v>
      </c>
      <c r="U2102" s="39" t="n">
        <v>93.97</v>
      </c>
      <c r="V2102" s="39" t="n">
        <f aca="false">J2102*Resumo!$B$6</f>
        <v>0.82999</v>
      </c>
      <c r="W2102" s="39" t="n">
        <f aca="false">J2102*Resumo!$B$7</f>
        <v>1.65998</v>
      </c>
      <c r="X2102" s="39" t="n">
        <f aca="false">Resumo!$B$9</f>
        <v>1</v>
      </c>
      <c r="Y2102" s="39" t="n">
        <f aca="false">Resumo!$B$10*CEILING(I2102/100,1)</f>
        <v>4.5</v>
      </c>
      <c r="Z2102" s="39" t="n">
        <f aca="false">Resumo!$B$12*CEILING(I2102,1)</f>
        <v>2.88</v>
      </c>
      <c r="AA2102" s="39" t="n">
        <f aca="false">Resumo!$B$13*CEILING(I2102,1)</f>
        <v>21.6</v>
      </c>
      <c r="AB2102" s="39" t="n">
        <f aca="false">SUM(U2102:AA2102)</f>
        <v>126.43997</v>
      </c>
      <c r="AC2102" s="39" t="n">
        <f aca="false">AB2102/(1-Resumo!$B$5)</f>
        <v>143.681784090909</v>
      </c>
      <c r="AD2102" s="39" t="n">
        <f aca="false">(AB2102-AA2102)/(1-Resumo!$B$5)</f>
        <v>119.136329545455</v>
      </c>
      <c r="AE2102" s="39" t="n">
        <f aca="false">AC2102-T2102</f>
        <v>39.1169456818182</v>
      </c>
      <c r="AF2102" s="40" t="n">
        <f aca="false">AC2102/T2102-1</f>
        <v>0.374092728272388</v>
      </c>
      <c r="AG2102" s="37" t="str">
        <f aca="false">IF(AC2102&lt;T2102,"SIM","NÃO")</f>
        <v>NÃO</v>
      </c>
      <c r="AH2102" s="37" t="n">
        <v>8</v>
      </c>
      <c r="AI2102" s="37" t="n">
        <v>5</v>
      </c>
      <c r="AJ2102" s="37" t="s">
        <v>323</v>
      </c>
    </row>
    <row r="2103" customFormat="false" ht="15" hidden="false" customHeight="false" outlineLevel="0" collapsed="false">
      <c r="A2103" s="37" t="n">
        <v>399128664</v>
      </c>
      <c r="B2103" s="38" t="n">
        <v>46289.9888888889</v>
      </c>
      <c r="C2103" s="37" t="s">
        <v>320</v>
      </c>
      <c r="D2103" s="37" t="s">
        <v>1886</v>
      </c>
      <c r="E2103" s="37" t="n">
        <v>21073230</v>
      </c>
      <c r="F2103" s="37" t="s">
        <v>139</v>
      </c>
      <c r="G2103" s="37" t="s">
        <v>198</v>
      </c>
      <c r="H2103" s="37" t="s">
        <v>169</v>
      </c>
      <c r="I2103" s="37" t="n">
        <v>36.8</v>
      </c>
      <c r="J2103" s="39" t="n">
        <v>371.8</v>
      </c>
      <c r="K2103" s="37" t="s">
        <v>322</v>
      </c>
      <c r="L2103" s="39" t="n">
        <v>91.63</v>
      </c>
      <c r="M2103" s="39" t="n">
        <v>62.05</v>
      </c>
      <c r="N2103" s="39" t="n">
        <f aca="false">J2103*Resumo!$C$7</f>
        <v>0.7436</v>
      </c>
      <c r="O2103" s="39" t="n">
        <f aca="false">J2103*Resumo!$C$8</f>
        <v>0.7436</v>
      </c>
      <c r="P2103" s="39" t="n">
        <f aca="false">Resumo!$C$10*CEILING(I2103/100,1)</f>
        <v>1</v>
      </c>
      <c r="Q2103" s="39" t="n">
        <f aca="false">Resumo!$C$9</f>
        <v>11.9</v>
      </c>
      <c r="R2103" s="39" t="n">
        <f aca="false">SUM(M2103:Q2103)*Resumo!$C$11</f>
        <v>4.204046</v>
      </c>
      <c r="S2103" s="39" t="n">
        <f aca="false">SUM(M2103:R2103)</f>
        <v>80.641246</v>
      </c>
      <c r="T2103" s="39" t="n">
        <f aca="false">S2103/(1-Resumo!$C$5)</f>
        <v>91.6377795454546</v>
      </c>
      <c r="U2103" s="39" t="n">
        <v>93.97</v>
      </c>
      <c r="V2103" s="39" t="n">
        <f aca="false">J2103*Resumo!$B$6</f>
        <v>0.3718</v>
      </c>
      <c r="W2103" s="39" t="n">
        <f aca="false">J2103*Resumo!$B$7</f>
        <v>0.7436</v>
      </c>
      <c r="X2103" s="39" t="n">
        <f aca="false">Resumo!$B$9</f>
        <v>1</v>
      </c>
      <c r="Y2103" s="39" t="n">
        <f aca="false">Resumo!$B$10*CEILING(I2103/100,1)</f>
        <v>4.5</v>
      </c>
      <c r="Z2103" s="39" t="n">
        <f aca="false">Resumo!$B$12*CEILING(I2103,1)</f>
        <v>2.22</v>
      </c>
      <c r="AA2103" s="39" t="n">
        <f aca="false">Resumo!$B$13*CEILING(I2103,1)</f>
        <v>16.65</v>
      </c>
      <c r="AB2103" s="39" t="n">
        <f aca="false">SUM(U2103:AA2103)</f>
        <v>119.4554</v>
      </c>
      <c r="AC2103" s="39" t="n">
        <f aca="false">AB2103/(1-Resumo!$B$5)</f>
        <v>135.744772727273</v>
      </c>
      <c r="AD2103" s="39" t="n">
        <f aca="false">(AB2103-AA2103)/(1-Resumo!$B$5)</f>
        <v>116.824318181818</v>
      </c>
      <c r="AE2103" s="39" t="n">
        <f aca="false">AC2103-T2103</f>
        <v>44.1069931818182</v>
      </c>
      <c r="AF2103" s="40" t="n">
        <f aca="false">AC2103/T2103-1</f>
        <v>0.481318877438972</v>
      </c>
      <c r="AG2103" s="37" t="str">
        <f aca="false">IF(AC2103&lt;T2103,"SIM","NÃO")</f>
        <v>NÃO</v>
      </c>
      <c r="AH2103" s="37" t="n">
        <v>8</v>
      </c>
      <c r="AI2103" s="37" t="n">
        <v>5</v>
      </c>
      <c r="AJ2103" s="37" t="s">
        <v>323</v>
      </c>
    </row>
    <row r="2104" customFormat="false" ht="15" hidden="false" customHeight="false" outlineLevel="0" collapsed="false">
      <c r="A2104" s="37" t="n">
        <v>399140389</v>
      </c>
      <c r="B2104" s="38" t="n">
        <v>46290.0318287037</v>
      </c>
      <c r="C2104" s="37" t="s">
        <v>325</v>
      </c>
      <c r="D2104" s="37" t="s">
        <v>2198</v>
      </c>
      <c r="E2104" s="37" t="n">
        <v>23943138</v>
      </c>
      <c r="F2104" s="37" t="s">
        <v>149</v>
      </c>
      <c r="G2104" s="37" t="s">
        <v>201</v>
      </c>
      <c r="H2104" s="37" t="s">
        <v>171</v>
      </c>
      <c r="I2104" s="37" t="n">
        <v>52.3</v>
      </c>
      <c r="J2104" s="39" t="n">
        <v>639.78</v>
      </c>
      <c r="K2104" s="37" t="s">
        <v>322</v>
      </c>
      <c r="L2104" s="39" t="n">
        <v>142.74</v>
      </c>
      <c r="M2104" s="39" t="n">
        <v>103.6</v>
      </c>
      <c r="N2104" s="39" t="n">
        <f aca="false">J2104*Resumo!$C$7</f>
        <v>1.27956</v>
      </c>
      <c r="O2104" s="39" t="n">
        <f aca="false">J2104*Resumo!$C$8</f>
        <v>1.27956</v>
      </c>
      <c r="P2104" s="39" t="n">
        <f aca="false">Resumo!$C$10*CEILING(I2104/100,1)</f>
        <v>1</v>
      </c>
      <c r="Q2104" s="39" t="n">
        <f aca="false">Resumo!$C$9</f>
        <v>11.9</v>
      </c>
      <c r="R2104" s="39" t="n">
        <f aca="false">SUM(M2104:Q2104)*Resumo!$C$11</f>
        <v>6.5482516</v>
      </c>
      <c r="S2104" s="39" t="n">
        <f aca="false">SUM(M2104:R2104)</f>
        <v>125.6073716</v>
      </c>
      <c r="T2104" s="39" t="n">
        <f aca="false">S2104/(1-Resumo!$C$5)</f>
        <v>142.735649545455</v>
      </c>
      <c r="U2104" s="39" t="n">
        <v>142.32</v>
      </c>
      <c r="V2104" s="39" t="n">
        <f aca="false">J2104*Resumo!$B$6</f>
        <v>0.63978</v>
      </c>
      <c r="W2104" s="39" t="n">
        <f aca="false">J2104*Resumo!$B$7</f>
        <v>1.27956</v>
      </c>
      <c r="X2104" s="39" t="n">
        <f aca="false">Resumo!$B$9</f>
        <v>1</v>
      </c>
      <c r="Y2104" s="39" t="n">
        <f aca="false">Resumo!$B$10*CEILING(I2104/100,1)</f>
        <v>4.5</v>
      </c>
      <c r="Z2104" s="39" t="n">
        <f aca="false">Resumo!$B$12*CEILING(I2104,1)</f>
        <v>3.18</v>
      </c>
      <c r="AA2104" s="39" t="n">
        <f aca="false">Resumo!$B$13*CEILING(I2104,1)</f>
        <v>23.85</v>
      </c>
      <c r="AB2104" s="39" t="n">
        <f aca="false">SUM(U2104:AA2104)</f>
        <v>176.76934</v>
      </c>
      <c r="AC2104" s="39" t="n">
        <f aca="false">AB2104/(1-Resumo!$B$5)</f>
        <v>200.87425</v>
      </c>
      <c r="AD2104" s="39" t="n">
        <f aca="false">(AB2104-AA2104)/(1-Resumo!$B$5)</f>
        <v>173.771977272727</v>
      </c>
      <c r="AE2104" s="39" t="n">
        <f aca="false">AC2104-T2104</f>
        <v>58.1386004545454</v>
      </c>
      <c r="AF2104" s="40" t="n">
        <f aca="false">AC2104/T2104-1</f>
        <v>0.407316606886152</v>
      </c>
      <c r="AG2104" s="37" t="str">
        <f aca="false">IF(AC2104&lt;T2104,"SIM","NÃO")</f>
        <v>NÃO</v>
      </c>
      <c r="AH2104" s="37" t="n">
        <v>13</v>
      </c>
      <c r="AI2104" s="37" t="n">
        <v>10</v>
      </c>
      <c r="AJ2104" s="37" t="s">
        <v>323</v>
      </c>
    </row>
    <row r="2105" customFormat="false" ht="15" hidden="false" customHeight="false" outlineLevel="0" collapsed="false">
      <c r="A2105" s="37" t="n">
        <v>399162436</v>
      </c>
      <c r="B2105" s="38" t="n">
        <v>46290.1350810185</v>
      </c>
      <c r="C2105" s="37" t="s">
        <v>320</v>
      </c>
      <c r="D2105" s="37" t="s">
        <v>2199</v>
      </c>
      <c r="E2105" s="37" t="n">
        <v>25036160</v>
      </c>
      <c r="F2105" s="37" t="s">
        <v>141</v>
      </c>
      <c r="G2105" s="37" t="s">
        <v>207</v>
      </c>
      <c r="H2105" s="37" t="s">
        <v>171</v>
      </c>
      <c r="I2105" s="37" t="n">
        <v>52.3</v>
      </c>
      <c r="J2105" s="39" t="n">
        <v>636.89</v>
      </c>
      <c r="K2105" s="37" t="s">
        <v>322</v>
      </c>
      <c r="L2105" s="39" t="n">
        <v>128.33</v>
      </c>
      <c r="M2105" s="39" t="n">
        <v>91.6</v>
      </c>
      <c r="N2105" s="39" t="n">
        <f aca="false">J2105*Resumo!$C$7</f>
        <v>1.27378</v>
      </c>
      <c r="O2105" s="39" t="n">
        <f aca="false">J2105*Resumo!$C$8</f>
        <v>1.27378</v>
      </c>
      <c r="P2105" s="39" t="n">
        <f aca="false">Resumo!$C$10*CEILING(I2105/100,1)</f>
        <v>1</v>
      </c>
      <c r="Q2105" s="39" t="n">
        <f aca="false">Resumo!$C$9</f>
        <v>11.9</v>
      </c>
      <c r="R2105" s="39" t="n">
        <f aca="false">SUM(M2105:Q2105)*Resumo!$C$11</f>
        <v>5.8876158</v>
      </c>
      <c r="S2105" s="39" t="n">
        <f aca="false">SUM(M2105:R2105)</f>
        <v>112.9351758</v>
      </c>
      <c r="T2105" s="39" t="n">
        <f aca="false">S2105/(1-Resumo!$C$5)</f>
        <v>128.335427045455</v>
      </c>
      <c r="U2105" s="39" t="n">
        <v>112.3</v>
      </c>
      <c r="V2105" s="39" t="n">
        <f aca="false">J2105*Resumo!$B$6</f>
        <v>0.63689</v>
      </c>
      <c r="W2105" s="39" t="n">
        <f aca="false">J2105*Resumo!$B$7</f>
        <v>1.27378</v>
      </c>
      <c r="X2105" s="39" t="n">
        <f aca="false">Resumo!$B$9</f>
        <v>1</v>
      </c>
      <c r="Y2105" s="39" t="n">
        <f aca="false">Resumo!$B$10*CEILING(I2105/100,1)</f>
        <v>4.5</v>
      </c>
      <c r="Z2105" s="39" t="n">
        <f aca="false">Resumo!$B$12*CEILING(I2105,1)</f>
        <v>3.18</v>
      </c>
      <c r="AA2105" s="39" t="n">
        <f aca="false">Resumo!$B$13*CEILING(I2105,1)</f>
        <v>23.85</v>
      </c>
      <c r="AB2105" s="39" t="n">
        <f aca="false">SUM(U2105:AA2105)</f>
        <v>146.74067</v>
      </c>
      <c r="AC2105" s="39" t="n">
        <f aca="false">AB2105/(1-Resumo!$B$5)</f>
        <v>166.750761363636</v>
      </c>
      <c r="AD2105" s="39" t="n">
        <f aca="false">(AB2105-AA2105)/(1-Resumo!$B$5)</f>
        <v>139.648488636364</v>
      </c>
      <c r="AE2105" s="39" t="n">
        <f aca="false">AC2105-T2105</f>
        <v>38.4153343181818</v>
      </c>
      <c r="AF2105" s="40" t="n">
        <f aca="false">AC2105/T2105-1</f>
        <v>0.299335383865405</v>
      </c>
      <c r="AG2105" s="37" t="str">
        <f aca="false">IF(AC2105&lt;T2105,"SIM","NÃO")</f>
        <v>NÃO</v>
      </c>
      <c r="AH2105" s="37" t="n">
        <v>10</v>
      </c>
      <c r="AI2105" s="37" t="n">
        <v>5</v>
      </c>
      <c r="AJ2105" s="37" t="s">
        <v>323</v>
      </c>
    </row>
    <row r="2106" customFormat="false" ht="15" hidden="false" customHeight="false" outlineLevel="0" collapsed="false">
      <c r="A2106" s="37" t="n">
        <v>399168952</v>
      </c>
      <c r="B2106" s="38" t="n">
        <v>46290.1682986111</v>
      </c>
      <c r="C2106" s="37" t="s">
        <v>325</v>
      </c>
      <c r="D2106" s="37" t="s">
        <v>2200</v>
      </c>
      <c r="E2106" s="37" t="n">
        <v>27700000</v>
      </c>
      <c r="F2106" s="37" t="s">
        <v>241</v>
      </c>
      <c r="G2106" s="37" t="s">
        <v>201</v>
      </c>
      <c r="H2106" s="37" t="s">
        <v>169</v>
      </c>
      <c r="I2106" s="37" t="n">
        <v>40</v>
      </c>
      <c r="J2106" s="39" t="n">
        <v>629.99</v>
      </c>
      <c r="K2106" s="37" t="s">
        <v>322</v>
      </c>
      <c r="L2106" s="39" t="n">
        <v>123.27</v>
      </c>
      <c r="M2106" s="39" t="n">
        <v>87.4</v>
      </c>
      <c r="N2106" s="39" t="n">
        <f aca="false">J2106*Resumo!$C$7</f>
        <v>1.25998</v>
      </c>
      <c r="O2106" s="39" t="n">
        <f aca="false">J2106*Resumo!$C$8</f>
        <v>1.25998</v>
      </c>
      <c r="P2106" s="39" t="n">
        <f aca="false">Resumo!$C$10*CEILING(I2106/100,1)</f>
        <v>1</v>
      </c>
      <c r="Q2106" s="39" t="n">
        <f aca="false">Resumo!$C$9</f>
        <v>11.9</v>
      </c>
      <c r="R2106" s="39" t="n">
        <f aca="false">SUM(M2106:Q2106)*Resumo!$C$11</f>
        <v>5.6550978</v>
      </c>
      <c r="S2106" s="39" t="n">
        <f aca="false">SUM(M2106:R2106)</f>
        <v>108.4750578</v>
      </c>
      <c r="T2106" s="39" t="n">
        <f aca="false">S2106/(1-Resumo!$C$5)</f>
        <v>123.267111136364</v>
      </c>
      <c r="U2106" s="39" t="n">
        <v>124.38</v>
      </c>
      <c r="V2106" s="39" t="n">
        <f aca="false">J2106*Resumo!$B$6</f>
        <v>0.62999</v>
      </c>
      <c r="W2106" s="39" t="n">
        <f aca="false">J2106*Resumo!$B$7</f>
        <v>1.25998</v>
      </c>
      <c r="X2106" s="39" t="n">
        <f aca="false">Resumo!$B$9</f>
        <v>1</v>
      </c>
      <c r="Y2106" s="39" t="n">
        <f aca="false">Resumo!$B$10*CEILING(I2106/100,1)</f>
        <v>4.5</v>
      </c>
      <c r="Z2106" s="39" t="n">
        <f aca="false">Resumo!$B$12*CEILING(I2106,1)</f>
        <v>2.4</v>
      </c>
      <c r="AA2106" s="39" t="n">
        <f aca="false">Resumo!$B$13*CEILING(I2106,1)</f>
        <v>18</v>
      </c>
      <c r="AB2106" s="39" t="n">
        <f aca="false">SUM(U2106:AA2106)</f>
        <v>152.16997</v>
      </c>
      <c r="AC2106" s="39" t="n">
        <f aca="false">AB2106/(1-Resumo!$B$5)</f>
        <v>172.920420454545</v>
      </c>
      <c r="AD2106" s="39" t="n">
        <f aca="false">(AB2106-AA2106)/(1-Resumo!$B$5)</f>
        <v>152.465875</v>
      </c>
      <c r="AE2106" s="39" t="n">
        <f aca="false">AC2106-T2106</f>
        <v>49.6533093181818</v>
      </c>
      <c r="AF2106" s="40" t="n">
        <f aca="false">AC2106/T2106-1</f>
        <v>0.402810683729361</v>
      </c>
      <c r="AG2106" s="37" t="str">
        <f aca="false">IF(AC2106&lt;T2106,"SIM","NÃO")</f>
        <v>NÃO</v>
      </c>
      <c r="AH2106" s="37" t="n">
        <v>13</v>
      </c>
      <c r="AI2106" s="37" t="n">
        <v>10</v>
      </c>
      <c r="AJ2106" s="37" t="s">
        <v>327</v>
      </c>
    </row>
    <row r="2107" customFormat="false" ht="15" hidden="false" customHeight="false" outlineLevel="0" collapsed="false">
      <c r="A2107" s="37" t="n">
        <v>399200776</v>
      </c>
      <c r="B2107" s="38" t="n">
        <v>46290.3175462963</v>
      </c>
      <c r="C2107" s="37" t="s">
        <v>325</v>
      </c>
      <c r="D2107" s="37" t="s">
        <v>2201</v>
      </c>
      <c r="E2107" s="37" t="n">
        <v>21031690</v>
      </c>
      <c r="F2107" s="37" t="s">
        <v>139</v>
      </c>
      <c r="G2107" s="37" t="s">
        <v>198</v>
      </c>
      <c r="H2107" s="37" t="s">
        <v>170</v>
      </c>
      <c r="I2107" s="37" t="n">
        <v>46.8</v>
      </c>
      <c r="J2107" s="39" t="n">
        <v>529.99</v>
      </c>
      <c r="K2107" s="37" t="s">
        <v>322</v>
      </c>
      <c r="L2107" s="39" t="n">
        <v>103.13</v>
      </c>
      <c r="M2107" s="39" t="n">
        <v>71</v>
      </c>
      <c r="N2107" s="39" t="n">
        <f aca="false">J2107*Resumo!$C$7</f>
        <v>1.05998</v>
      </c>
      <c r="O2107" s="39" t="n">
        <f aca="false">J2107*Resumo!$C$8</f>
        <v>1.05998</v>
      </c>
      <c r="P2107" s="39" t="n">
        <f aca="false">Resumo!$C$10*CEILING(I2107/100,1)</f>
        <v>1</v>
      </c>
      <c r="Q2107" s="39" t="n">
        <f aca="false">Resumo!$C$9</f>
        <v>11.9</v>
      </c>
      <c r="R2107" s="39" t="n">
        <f aca="false">SUM(M2107:Q2107)*Resumo!$C$11</f>
        <v>4.7310978</v>
      </c>
      <c r="S2107" s="39" t="n">
        <f aca="false">SUM(M2107:R2107)</f>
        <v>90.7510578</v>
      </c>
      <c r="T2107" s="39" t="n">
        <f aca="false">S2107/(1-Resumo!$C$5)</f>
        <v>103.126202045455</v>
      </c>
      <c r="U2107" s="39" t="n">
        <v>93.97</v>
      </c>
      <c r="V2107" s="39" t="n">
        <f aca="false">J2107*Resumo!$B$6</f>
        <v>0.52999</v>
      </c>
      <c r="W2107" s="39" t="n">
        <f aca="false">J2107*Resumo!$B$7</f>
        <v>1.05998</v>
      </c>
      <c r="X2107" s="39" t="n">
        <f aca="false">Resumo!$B$9</f>
        <v>1</v>
      </c>
      <c r="Y2107" s="39" t="n">
        <f aca="false">Resumo!$B$10*CEILING(I2107/100,1)</f>
        <v>4.5</v>
      </c>
      <c r="Z2107" s="39" t="n">
        <f aca="false">Resumo!$B$12*CEILING(I2107,1)</f>
        <v>2.82</v>
      </c>
      <c r="AA2107" s="39" t="n">
        <f aca="false">Resumo!$B$13*CEILING(I2107,1)</f>
        <v>21.15</v>
      </c>
      <c r="AB2107" s="39" t="n">
        <f aca="false">SUM(U2107:AA2107)</f>
        <v>125.02997</v>
      </c>
      <c r="AC2107" s="39" t="n">
        <f aca="false">AB2107/(1-Resumo!$B$5)</f>
        <v>142.079511363636</v>
      </c>
      <c r="AD2107" s="39" t="n">
        <f aca="false">(AB2107-AA2107)/(1-Resumo!$B$5)</f>
        <v>118.045420454545</v>
      </c>
      <c r="AE2107" s="39" t="n">
        <f aca="false">AC2107-T2107</f>
        <v>38.9533093181818</v>
      </c>
      <c r="AF2107" s="40" t="n">
        <f aca="false">AC2107/T2107-1</f>
        <v>0.377724657221571</v>
      </c>
      <c r="AG2107" s="37" t="str">
        <f aca="false">IF(AC2107&lt;T2107,"SIM","NÃO")</f>
        <v>NÃO</v>
      </c>
      <c r="AH2107" s="37" t="n">
        <v>8</v>
      </c>
      <c r="AI2107" s="37" t="n">
        <v>5</v>
      </c>
      <c r="AJ2107" s="37" t="s">
        <v>323</v>
      </c>
    </row>
    <row r="2108" customFormat="false" ht="15" hidden="false" customHeight="false" outlineLevel="0" collapsed="false">
      <c r="A2108" s="37" t="n">
        <v>399217973</v>
      </c>
      <c r="B2108" s="38" t="n">
        <v>46290.3523958333</v>
      </c>
      <c r="C2108" s="37" t="s">
        <v>517</v>
      </c>
      <c r="D2108" s="37" t="s">
        <v>2202</v>
      </c>
      <c r="E2108" s="37" t="n">
        <v>23933216</v>
      </c>
      <c r="F2108" s="37" t="s">
        <v>149</v>
      </c>
      <c r="G2108" s="37" t="s">
        <v>201</v>
      </c>
      <c r="H2108" s="37" t="s">
        <v>174</v>
      </c>
      <c r="I2108" s="37" t="n">
        <v>82</v>
      </c>
      <c r="J2108" s="39" t="n">
        <v>949.98</v>
      </c>
      <c r="K2108" s="37" t="s">
        <v>322</v>
      </c>
      <c r="L2108" s="39" t="n">
        <v>193.15</v>
      </c>
      <c r="M2108" s="39" t="n">
        <v>144.41</v>
      </c>
      <c r="N2108" s="39" t="n">
        <f aca="false">J2108*Resumo!$C$7</f>
        <v>1.89996</v>
      </c>
      <c r="O2108" s="39" t="n">
        <f aca="false">J2108*Resumo!$C$8</f>
        <v>1.89996</v>
      </c>
      <c r="P2108" s="39" t="n">
        <f aca="false">Resumo!$C$10*CEILING(I2108/100,1)</f>
        <v>1</v>
      </c>
      <c r="Q2108" s="39" t="n">
        <f aca="false">Resumo!$C$9</f>
        <v>11.9</v>
      </c>
      <c r="R2108" s="39" t="n">
        <f aca="false">SUM(M2108:Q2108)*Resumo!$C$11</f>
        <v>8.8610456</v>
      </c>
      <c r="S2108" s="39" t="n">
        <f aca="false">SUM(M2108:R2108)</f>
        <v>169.9709656</v>
      </c>
      <c r="T2108" s="39" t="n">
        <f aca="false">S2108/(1-Resumo!$C$5)</f>
        <v>193.148824545455</v>
      </c>
      <c r="U2108" s="39" t="n">
        <v>197.35</v>
      </c>
      <c r="V2108" s="39" t="n">
        <f aca="false">J2108*Resumo!$B$6</f>
        <v>0.94998</v>
      </c>
      <c r="W2108" s="39" t="n">
        <f aca="false">J2108*Resumo!$B$7</f>
        <v>1.89996</v>
      </c>
      <c r="X2108" s="39" t="n">
        <f aca="false">Resumo!$B$9</f>
        <v>1</v>
      </c>
      <c r="Y2108" s="39" t="n">
        <f aca="false">Resumo!$B$10*CEILING(I2108/100,1)</f>
        <v>4.5</v>
      </c>
      <c r="Z2108" s="39" t="n">
        <f aca="false">Resumo!$B$12*CEILING(I2108,1)</f>
        <v>4.92</v>
      </c>
      <c r="AA2108" s="39" t="n">
        <f aca="false">Resumo!$B$13*CEILING(I2108,1)</f>
        <v>36.9</v>
      </c>
      <c r="AB2108" s="39" t="n">
        <f aca="false">SUM(U2108:AA2108)</f>
        <v>247.51994</v>
      </c>
      <c r="AC2108" s="39" t="n">
        <f aca="false">AB2108/(1-Resumo!$B$5)</f>
        <v>281.272659090909</v>
      </c>
      <c r="AD2108" s="39" t="n">
        <f aca="false">(AB2108-AA2108)/(1-Resumo!$B$5)</f>
        <v>239.340840909091</v>
      </c>
      <c r="AE2108" s="39" t="n">
        <f aca="false">AC2108-T2108</f>
        <v>88.1238345454545</v>
      </c>
      <c r="AF2108" s="40" t="n">
        <f aca="false">AC2108/T2108-1</f>
        <v>0.456248360572942</v>
      </c>
      <c r="AG2108" s="37" t="str">
        <f aca="false">IF(AC2108&lt;T2108,"SIM","NÃO")</f>
        <v>NÃO</v>
      </c>
      <c r="AH2108" s="37" t="n">
        <v>13</v>
      </c>
      <c r="AI2108" s="37" t="n">
        <v>10</v>
      </c>
      <c r="AJ2108" s="37" t="s">
        <v>323</v>
      </c>
    </row>
    <row r="2109" customFormat="false" ht="15" hidden="false" customHeight="false" outlineLevel="0" collapsed="false">
      <c r="A2109" s="37" t="n">
        <v>399238069</v>
      </c>
      <c r="B2109" s="38" t="n">
        <v>46290.4213425926</v>
      </c>
      <c r="C2109" s="37" t="s">
        <v>320</v>
      </c>
      <c r="D2109" s="37" t="s">
        <v>2203</v>
      </c>
      <c r="E2109" s="37" t="n">
        <v>21862755</v>
      </c>
      <c r="F2109" s="37" t="s">
        <v>139</v>
      </c>
      <c r="G2109" s="37" t="s">
        <v>198</v>
      </c>
      <c r="H2109" s="37" t="s">
        <v>168</v>
      </c>
      <c r="I2109" s="37" t="n">
        <v>21.8</v>
      </c>
      <c r="J2109" s="39" t="n">
        <v>319.99</v>
      </c>
      <c r="K2109" s="37" t="s">
        <v>322</v>
      </c>
      <c r="L2109" s="39" t="n">
        <v>81.86</v>
      </c>
      <c r="M2109" s="39" t="n">
        <v>54.1</v>
      </c>
      <c r="N2109" s="39" t="n">
        <f aca="false">J2109*Resumo!$C$7</f>
        <v>0.63998</v>
      </c>
      <c r="O2109" s="39" t="n">
        <f aca="false">J2109*Resumo!$C$8</f>
        <v>0.63998</v>
      </c>
      <c r="P2109" s="39" t="n">
        <f aca="false">Resumo!$C$10*CEILING(I2109/100,1)</f>
        <v>1</v>
      </c>
      <c r="Q2109" s="39" t="n">
        <f aca="false">Resumo!$C$9</f>
        <v>11.9</v>
      </c>
      <c r="R2109" s="39" t="n">
        <f aca="false">SUM(M2109:Q2109)*Resumo!$C$11</f>
        <v>3.7553978</v>
      </c>
      <c r="S2109" s="39" t="n">
        <f aca="false">SUM(M2109:R2109)</f>
        <v>72.0353578</v>
      </c>
      <c r="T2109" s="39" t="n">
        <f aca="false">S2109/(1-Resumo!$C$5)</f>
        <v>81.8583611363636</v>
      </c>
      <c r="U2109" s="39" t="n">
        <v>82.21</v>
      </c>
      <c r="V2109" s="39" t="n">
        <f aca="false">J2109*Resumo!$B$6</f>
        <v>0.31999</v>
      </c>
      <c r="W2109" s="39" t="n">
        <f aca="false">J2109*Resumo!$B$7</f>
        <v>0.63998</v>
      </c>
      <c r="X2109" s="39" t="n">
        <f aca="false">Resumo!$B$9</f>
        <v>1</v>
      </c>
      <c r="Y2109" s="39" t="n">
        <f aca="false">Resumo!$B$10*CEILING(I2109/100,1)</f>
        <v>4.5</v>
      </c>
      <c r="Z2109" s="39" t="n">
        <f aca="false">Resumo!$B$12*CEILING(I2109,1)</f>
        <v>1.32</v>
      </c>
      <c r="AA2109" s="39" t="n">
        <f aca="false">Resumo!$B$13*CEILING(I2109,1)</f>
        <v>9.9</v>
      </c>
      <c r="AB2109" s="39" t="n">
        <f aca="false">SUM(U2109:AA2109)</f>
        <v>99.88997</v>
      </c>
      <c r="AC2109" s="39" t="n">
        <f aca="false">AB2109/(1-Resumo!$B$5)</f>
        <v>113.511329545455</v>
      </c>
      <c r="AD2109" s="39" t="n">
        <f aca="false">(AB2109-AA2109)/(1-Resumo!$B$5)</f>
        <v>102.261329545455</v>
      </c>
      <c r="AE2109" s="39" t="n">
        <f aca="false">AC2109-T2109</f>
        <v>31.6529684090909</v>
      </c>
      <c r="AF2109" s="40" t="n">
        <f aca="false">AC2109/T2109-1</f>
        <v>0.386679722995698</v>
      </c>
      <c r="AG2109" s="37" t="str">
        <f aca="false">IF(AC2109&lt;T2109,"SIM","NÃO")</f>
        <v>NÃO</v>
      </c>
      <c r="AH2109" s="37" t="n">
        <v>8</v>
      </c>
      <c r="AI2109" s="37" t="n">
        <v>5</v>
      </c>
      <c r="AJ2109" s="37" t="s">
        <v>323</v>
      </c>
    </row>
    <row r="2110" customFormat="false" ht="15" hidden="false" customHeight="false" outlineLevel="0" collapsed="false">
      <c r="A2110" s="37" t="n">
        <v>399243706</v>
      </c>
      <c r="B2110" s="38" t="n">
        <v>46290.4344791667</v>
      </c>
      <c r="C2110" s="37" t="s">
        <v>325</v>
      </c>
      <c r="D2110" s="37" t="s">
        <v>1435</v>
      </c>
      <c r="E2110" s="37" t="n">
        <v>28500000</v>
      </c>
      <c r="F2110" s="37" t="s">
        <v>260</v>
      </c>
      <c r="G2110" s="37" t="s">
        <v>201</v>
      </c>
      <c r="H2110" s="37" t="s">
        <v>170</v>
      </c>
      <c r="I2110" s="37" t="n">
        <v>46.8</v>
      </c>
      <c r="J2110" s="39" t="n">
        <v>569.99</v>
      </c>
      <c r="K2110" s="37" t="s">
        <v>322</v>
      </c>
      <c r="L2110" s="39" t="n">
        <v>130.89</v>
      </c>
      <c r="M2110" s="39" t="n">
        <v>94</v>
      </c>
      <c r="N2110" s="39" t="n">
        <f aca="false">J2110*Resumo!$C$7</f>
        <v>1.13998</v>
      </c>
      <c r="O2110" s="39" t="n">
        <f aca="false">J2110*Resumo!$C$8</f>
        <v>1.13998</v>
      </c>
      <c r="P2110" s="39" t="n">
        <f aca="false">Resumo!$C$10*CEILING(I2110/100,1)</f>
        <v>1</v>
      </c>
      <c r="Q2110" s="39" t="n">
        <f aca="false">Resumo!$C$9</f>
        <v>11.9</v>
      </c>
      <c r="R2110" s="39" t="n">
        <f aca="false">SUM(M2110:Q2110)*Resumo!$C$11</f>
        <v>6.0048978</v>
      </c>
      <c r="S2110" s="39" t="n">
        <f aca="false">SUM(M2110:R2110)</f>
        <v>115.1848578</v>
      </c>
      <c r="T2110" s="39" t="n">
        <f aca="false">S2110/(1-Resumo!$C$5)</f>
        <v>130.891883863636</v>
      </c>
      <c r="U2110" s="39" t="n">
        <v>152.54</v>
      </c>
      <c r="V2110" s="39" t="n">
        <f aca="false">J2110*Resumo!$B$6</f>
        <v>0.56999</v>
      </c>
      <c r="W2110" s="39" t="n">
        <f aca="false">J2110*Resumo!$B$7</f>
        <v>1.13998</v>
      </c>
      <c r="X2110" s="39" t="n">
        <f aca="false">Resumo!$B$9</f>
        <v>1</v>
      </c>
      <c r="Y2110" s="39" t="n">
        <f aca="false">Resumo!$B$10*CEILING(I2110/100,1)</f>
        <v>4.5</v>
      </c>
      <c r="Z2110" s="39" t="n">
        <f aca="false">Resumo!$B$12*CEILING(I2110,1)</f>
        <v>2.82</v>
      </c>
      <c r="AA2110" s="39" t="n">
        <f aca="false">Resumo!$B$13*CEILING(I2110,1)</f>
        <v>21.15</v>
      </c>
      <c r="AB2110" s="39" t="n">
        <f aca="false">SUM(U2110:AA2110)</f>
        <v>183.71997</v>
      </c>
      <c r="AC2110" s="39" t="n">
        <f aca="false">AB2110/(1-Resumo!$B$5)</f>
        <v>208.772693181818</v>
      </c>
      <c r="AD2110" s="39" t="n">
        <f aca="false">(AB2110-AA2110)/(1-Resumo!$B$5)</f>
        <v>184.738602272727</v>
      </c>
      <c r="AE2110" s="39" t="n">
        <f aca="false">AC2110-T2110</f>
        <v>77.8808093181818</v>
      </c>
      <c r="AF2110" s="40" t="n">
        <f aca="false">AC2110/T2110-1</f>
        <v>0.595001057508794</v>
      </c>
      <c r="AG2110" s="37" t="str">
        <f aca="false">IF(AC2110&lt;T2110,"SIM","NÃO")</f>
        <v>NÃO</v>
      </c>
      <c r="AH2110" s="37" t="n">
        <v>13</v>
      </c>
      <c r="AI2110" s="37" t="n">
        <v>11</v>
      </c>
      <c r="AJ2110" s="37" t="s">
        <v>327</v>
      </c>
    </row>
    <row r="2111" customFormat="false" ht="15" hidden="false" customHeight="false" outlineLevel="0" collapsed="false">
      <c r="A2111" s="37" t="n">
        <v>399253714</v>
      </c>
      <c r="B2111" s="38" t="n">
        <v>46290.4546412037</v>
      </c>
      <c r="C2111" s="37" t="s">
        <v>325</v>
      </c>
      <c r="D2111" s="37" t="s">
        <v>1172</v>
      </c>
      <c r="E2111" s="37" t="n">
        <v>23040550</v>
      </c>
      <c r="F2111" s="37" t="s">
        <v>139</v>
      </c>
      <c r="G2111" s="37" t="s">
        <v>198</v>
      </c>
      <c r="H2111" s="37" t="s">
        <v>171</v>
      </c>
      <c r="I2111" s="37" t="n">
        <v>53.3</v>
      </c>
      <c r="J2111" s="39" t="n">
        <v>749.99</v>
      </c>
      <c r="K2111" s="37" t="s">
        <v>322</v>
      </c>
      <c r="L2111" s="39" t="n">
        <v>114.74</v>
      </c>
      <c r="M2111" s="39" t="n">
        <v>79.81</v>
      </c>
      <c r="N2111" s="39" t="n">
        <f aca="false">J2111*Resumo!$C$7</f>
        <v>1.49998</v>
      </c>
      <c r="O2111" s="39" t="n">
        <f aca="false">J2111*Resumo!$C$8</f>
        <v>1.49998</v>
      </c>
      <c r="P2111" s="39" t="n">
        <f aca="false">Resumo!$C$10*CEILING(I2111/100,1)</f>
        <v>1</v>
      </c>
      <c r="Q2111" s="39" t="n">
        <f aca="false">Resumo!$C$9</f>
        <v>11.9</v>
      </c>
      <c r="R2111" s="39" t="n">
        <f aca="false">SUM(M2111:Q2111)*Resumo!$C$11</f>
        <v>5.2640478</v>
      </c>
      <c r="S2111" s="39" t="n">
        <f aca="false">SUM(M2111:R2111)</f>
        <v>100.9740078</v>
      </c>
      <c r="T2111" s="39" t="n">
        <f aca="false">S2111/(1-Resumo!$C$5)</f>
        <v>114.743190681818</v>
      </c>
      <c r="U2111" s="39" t="n">
        <v>112.3</v>
      </c>
      <c r="V2111" s="39" t="n">
        <f aca="false">J2111*Resumo!$B$6</f>
        <v>0.74999</v>
      </c>
      <c r="W2111" s="39" t="n">
        <f aca="false">J2111*Resumo!$B$7</f>
        <v>1.49998</v>
      </c>
      <c r="X2111" s="39" t="n">
        <f aca="false">Resumo!$B$9</f>
        <v>1</v>
      </c>
      <c r="Y2111" s="39" t="n">
        <f aca="false">Resumo!$B$10*CEILING(I2111/100,1)</f>
        <v>4.5</v>
      </c>
      <c r="Z2111" s="39" t="n">
        <f aca="false">Resumo!$B$12*CEILING(I2111,1)</f>
        <v>3.24</v>
      </c>
      <c r="AA2111" s="39" t="n">
        <f aca="false">Resumo!$B$13*CEILING(I2111,1)</f>
        <v>24.3</v>
      </c>
      <c r="AB2111" s="39" t="n">
        <f aca="false">SUM(U2111:AA2111)</f>
        <v>147.58997</v>
      </c>
      <c r="AC2111" s="39" t="n">
        <f aca="false">AB2111/(1-Resumo!$B$5)</f>
        <v>167.715875</v>
      </c>
      <c r="AD2111" s="39" t="n">
        <f aca="false">(AB2111-AA2111)/(1-Resumo!$B$5)</f>
        <v>140.102238636364</v>
      </c>
      <c r="AE2111" s="39" t="n">
        <f aca="false">AC2111-T2111</f>
        <v>52.9726843181818</v>
      </c>
      <c r="AF2111" s="40" t="n">
        <f aca="false">AC2111/T2111-1</f>
        <v>0.461662988482467</v>
      </c>
      <c r="AG2111" s="37" t="str">
        <f aca="false">IF(AC2111&lt;T2111,"SIM","NÃO")</f>
        <v>NÃO</v>
      </c>
      <c r="AH2111" s="37" t="n">
        <v>8</v>
      </c>
      <c r="AI2111" s="37" t="n">
        <v>5</v>
      </c>
      <c r="AJ2111" s="37" t="s">
        <v>323</v>
      </c>
    </row>
    <row r="2112" customFormat="false" ht="15" hidden="false" customHeight="false" outlineLevel="0" collapsed="false">
      <c r="A2112" s="37" t="n">
        <v>399268752</v>
      </c>
      <c r="B2112" s="38" t="n">
        <v>46290.481400463</v>
      </c>
      <c r="C2112" s="37" t="s">
        <v>325</v>
      </c>
      <c r="D2112" s="37" t="s">
        <v>485</v>
      </c>
      <c r="E2112" s="37" t="n">
        <v>23898081</v>
      </c>
      <c r="F2112" s="37" t="s">
        <v>205</v>
      </c>
      <c r="G2112" s="37" t="s">
        <v>201</v>
      </c>
      <c r="H2112" s="37" t="s">
        <v>170</v>
      </c>
      <c r="I2112" s="37" t="n">
        <v>41</v>
      </c>
      <c r="J2112" s="39" t="n">
        <v>699.99</v>
      </c>
      <c r="K2112" s="37" t="s">
        <v>322</v>
      </c>
      <c r="L2112" s="39" t="n">
        <v>131.51</v>
      </c>
      <c r="M2112" s="39" t="n">
        <v>94</v>
      </c>
      <c r="N2112" s="39" t="n">
        <f aca="false">J2112*Resumo!$C$7</f>
        <v>1.39998</v>
      </c>
      <c r="O2112" s="39" t="n">
        <f aca="false">J2112*Resumo!$C$8</f>
        <v>1.39998</v>
      </c>
      <c r="P2112" s="39" t="n">
        <f aca="false">Resumo!$C$10*CEILING(I2112/100,1)</f>
        <v>1</v>
      </c>
      <c r="Q2112" s="39" t="n">
        <f aca="false">Resumo!$C$9</f>
        <v>11.9</v>
      </c>
      <c r="R2112" s="39" t="n">
        <f aca="false">SUM(M2112:Q2112)*Resumo!$C$11</f>
        <v>6.0334978</v>
      </c>
      <c r="S2112" s="39" t="n">
        <f aca="false">SUM(M2112:R2112)</f>
        <v>115.7334578</v>
      </c>
      <c r="T2112" s="39" t="n">
        <f aca="false">S2112/(1-Resumo!$C$5)</f>
        <v>131.515292954545</v>
      </c>
      <c r="U2112" s="39" t="n">
        <v>103.97</v>
      </c>
      <c r="V2112" s="39" t="n">
        <f aca="false">J2112*Resumo!$B$6</f>
        <v>0.69999</v>
      </c>
      <c r="W2112" s="39" t="n">
        <f aca="false">J2112*Resumo!$B$7</f>
        <v>1.39998</v>
      </c>
      <c r="X2112" s="39" t="n">
        <f aca="false">Resumo!$B$9</f>
        <v>1</v>
      </c>
      <c r="Y2112" s="39" t="n">
        <f aca="false">Resumo!$B$10*CEILING(I2112/100,1)</f>
        <v>4.5</v>
      </c>
      <c r="Z2112" s="39" t="n">
        <f aca="false">Resumo!$B$12*CEILING(I2112,1)</f>
        <v>2.46</v>
      </c>
      <c r="AA2112" s="39" t="n">
        <f aca="false">Resumo!$B$13*CEILING(I2112,1)</f>
        <v>18.45</v>
      </c>
      <c r="AB2112" s="39" t="n">
        <f aca="false">SUM(U2112:AA2112)</f>
        <v>132.47997</v>
      </c>
      <c r="AC2112" s="39" t="n">
        <f aca="false">AB2112/(1-Resumo!$B$5)</f>
        <v>150.545420454545</v>
      </c>
      <c r="AD2112" s="39" t="n">
        <f aca="false">(AB2112-AA2112)/(1-Resumo!$B$5)</f>
        <v>129.579511363636</v>
      </c>
      <c r="AE2112" s="39" t="n">
        <f aca="false">AC2112-T2112</f>
        <v>19.0301275</v>
      </c>
      <c r="AF2112" s="40" t="n">
        <f aca="false">AC2112/T2112-1</f>
        <v>0.144698970533999</v>
      </c>
      <c r="AG2112" s="37" t="str">
        <f aca="false">IF(AC2112&lt;T2112,"SIM","NÃO")</f>
        <v>NÃO</v>
      </c>
      <c r="AH2112" s="37" t="n">
        <v>13</v>
      </c>
      <c r="AI2112" s="37" t="n">
        <v>5</v>
      </c>
      <c r="AJ2112" s="37" t="s">
        <v>327</v>
      </c>
    </row>
    <row r="2113" customFormat="false" ht="15" hidden="false" customHeight="false" outlineLevel="0" collapsed="false">
      <c r="A2113" s="37" t="n">
        <v>399300855</v>
      </c>
      <c r="B2113" s="38" t="n">
        <v>46290.5503703704</v>
      </c>
      <c r="C2113" s="37" t="s">
        <v>320</v>
      </c>
      <c r="D2113" s="37" t="s">
        <v>2204</v>
      </c>
      <c r="E2113" s="37" t="n">
        <v>25847020</v>
      </c>
      <c r="F2113" s="37" t="s">
        <v>215</v>
      </c>
      <c r="G2113" s="37" t="s">
        <v>201</v>
      </c>
      <c r="H2113" s="37" t="s">
        <v>174</v>
      </c>
      <c r="I2113" s="37" t="n">
        <v>91</v>
      </c>
      <c r="J2113" s="39" t="n">
        <v>1159.98</v>
      </c>
      <c r="K2113" s="37" t="s">
        <v>322</v>
      </c>
      <c r="L2113" s="39" t="n">
        <v>194.16</v>
      </c>
      <c r="M2113" s="39" t="n">
        <v>144.41</v>
      </c>
      <c r="N2113" s="39" t="n">
        <f aca="false">J2113*Resumo!$C$7</f>
        <v>2.31996</v>
      </c>
      <c r="O2113" s="39" t="n">
        <f aca="false">J2113*Resumo!$C$8</f>
        <v>2.31996</v>
      </c>
      <c r="P2113" s="39" t="n">
        <f aca="false">Resumo!$C$10*CEILING(I2113/100,1)</f>
        <v>1</v>
      </c>
      <c r="Q2113" s="39" t="n">
        <f aca="false">Resumo!$C$9</f>
        <v>11.9</v>
      </c>
      <c r="R2113" s="39" t="n">
        <f aca="false">SUM(M2113:Q2113)*Resumo!$C$11</f>
        <v>8.9072456</v>
      </c>
      <c r="S2113" s="39" t="n">
        <f aca="false">SUM(M2113:R2113)</f>
        <v>170.8571656</v>
      </c>
      <c r="T2113" s="39" t="n">
        <f aca="false">S2113/(1-Resumo!$C$5)</f>
        <v>194.15587</v>
      </c>
      <c r="U2113" s="39" t="n">
        <v>197.35</v>
      </c>
      <c r="V2113" s="39" t="n">
        <f aca="false">J2113*Resumo!$B$6</f>
        <v>1.15998</v>
      </c>
      <c r="W2113" s="39" t="n">
        <f aca="false">J2113*Resumo!$B$7</f>
        <v>2.31996</v>
      </c>
      <c r="X2113" s="39" t="n">
        <f aca="false">Resumo!$B$9</f>
        <v>1</v>
      </c>
      <c r="Y2113" s="39" t="n">
        <f aca="false">Resumo!$B$10*CEILING(I2113/100,1)</f>
        <v>4.5</v>
      </c>
      <c r="Z2113" s="39" t="n">
        <f aca="false">Resumo!$B$12*CEILING(I2113,1)</f>
        <v>5.46</v>
      </c>
      <c r="AA2113" s="39" t="n">
        <f aca="false">Resumo!$B$13*CEILING(I2113,1)</f>
        <v>40.95</v>
      </c>
      <c r="AB2113" s="39" t="n">
        <f aca="false">SUM(U2113:AA2113)</f>
        <v>252.73994</v>
      </c>
      <c r="AC2113" s="39" t="n">
        <f aca="false">AB2113/(1-Resumo!$B$5)</f>
        <v>287.204477272727</v>
      </c>
      <c r="AD2113" s="39" t="n">
        <f aca="false">(AB2113-AA2113)/(1-Resumo!$B$5)</f>
        <v>240.670386363636</v>
      </c>
      <c r="AE2113" s="39" t="n">
        <f aca="false">AC2113-T2113</f>
        <v>93.0486072727273</v>
      </c>
      <c r="AF2113" s="40" t="n">
        <f aca="false">AC2113/T2113-1</f>
        <v>0.479246943565123</v>
      </c>
      <c r="AG2113" s="37" t="str">
        <f aca="false">IF(AC2113&lt;T2113,"SIM","NÃO")</f>
        <v>NÃO</v>
      </c>
      <c r="AH2113" s="37" t="n">
        <v>13</v>
      </c>
      <c r="AI2113" s="37" t="n">
        <v>8</v>
      </c>
      <c r="AJ2113" s="37" t="s">
        <v>327</v>
      </c>
    </row>
    <row r="2114" customFormat="false" ht="15" hidden="false" customHeight="false" outlineLevel="0" collapsed="false">
      <c r="A2114" s="37" t="n">
        <v>399310070</v>
      </c>
      <c r="B2114" s="38" t="n">
        <v>46290.5706018519</v>
      </c>
      <c r="C2114" s="37" t="s">
        <v>320</v>
      </c>
      <c r="D2114" s="37" t="s">
        <v>2057</v>
      </c>
      <c r="E2114" s="37" t="n">
        <v>20973011</v>
      </c>
      <c r="F2114" s="37" t="s">
        <v>139</v>
      </c>
      <c r="G2114" s="37" t="s">
        <v>198</v>
      </c>
      <c r="H2114" s="37" t="s">
        <v>172</v>
      </c>
      <c r="I2114" s="37" t="n">
        <v>66.8</v>
      </c>
      <c r="J2114" s="39" t="n">
        <v>658.46</v>
      </c>
      <c r="K2114" s="37" t="s">
        <v>322</v>
      </c>
      <c r="L2114" s="39" t="n">
        <v>124.37</v>
      </c>
      <c r="M2114" s="39" t="n">
        <v>88.2</v>
      </c>
      <c r="N2114" s="39" t="n">
        <f aca="false">J2114*Resumo!$C$7</f>
        <v>1.31692</v>
      </c>
      <c r="O2114" s="39" t="n">
        <f aca="false">J2114*Resumo!$C$8</f>
        <v>1.31692</v>
      </c>
      <c r="P2114" s="39" t="n">
        <f aca="false">Resumo!$C$10*CEILING(I2114/100,1)</f>
        <v>1</v>
      </c>
      <c r="Q2114" s="39" t="n">
        <f aca="false">Resumo!$C$9</f>
        <v>11.9</v>
      </c>
      <c r="R2114" s="39" t="n">
        <f aca="false">SUM(M2114:Q2114)*Resumo!$C$11</f>
        <v>5.7053612</v>
      </c>
      <c r="S2114" s="39" t="n">
        <f aca="false">SUM(M2114:R2114)</f>
        <v>109.4392012</v>
      </c>
      <c r="T2114" s="39" t="n">
        <f aca="false">S2114/(1-Resumo!$C$5)</f>
        <v>124.362728636364</v>
      </c>
      <c r="U2114" s="39" t="n">
        <v>131.02</v>
      </c>
      <c r="V2114" s="39" t="n">
        <f aca="false">J2114*Resumo!$B$6</f>
        <v>0.65846</v>
      </c>
      <c r="W2114" s="39" t="n">
        <f aca="false">J2114*Resumo!$B$7</f>
        <v>1.31692</v>
      </c>
      <c r="X2114" s="39" t="n">
        <f aca="false">Resumo!$B$9</f>
        <v>1</v>
      </c>
      <c r="Y2114" s="39" t="n">
        <f aca="false">Resumo!$B$10*CEILING(I2114/100,1)</f>
        <v>4.5</v>
      </c>
      <c r="Z2114" s="39" t="n">
        <f aca="false">Resumo!$B$12*CEILING(I2114,1)</f>
        <v>4.02</v>
      </c>
      <c r="AA2114" s="39" t="n">
        <f aca="false">Resumo!$B$13*CEILING(I2114,1)</f>
        <v>30.15</v>
      </c>
      <c r="AB2114" s="39" t="n">
        <f aca="false">SUM(U2114:AA2114)</f>
        <v>172.66538</v>
      </c>
      <c r="AC2114" s="39" t="n">
        <f aca="false">AB2114/(1-Resumo!$B$5)</f>
        <v>196.210659090909</v>
      </c>
      <c r="AD2114" s="39" t="n">
        <f aca="false">(AB2114-AA2114)/(1-Resumo!$B$5)</f>
        <v>161.949295454545</v>
      </c>
      <c r="AE2114" s="39" t="n">
        <f aca="false">AC2114-T2114</f>
        <v>71.8479304545455</v>
      </c>
      <c r="AF2114" s="40" t="n">
        <f aca="false">AC2114/T2114-1</f>
        <v>0.577728803817329</v>
      </c>
      <c r="AG2114" s="37" t="str">
        <f aca="false">IF(AC2114&lt;T2114,"SIM","NÃO")</f>
        <v>NÃO</v>
      </c>
      <c r="AH2114" s="37" t="n">
        <v>8</v>
      </c>
      <c r="AI2114" s="37" t="n">
        <v>5</v>
      </c>
      <c r="AJ2114" s="37" t="s">
        <v>323</v>
      </c>
    </row>
    <row r="2115" customFormat="false" ht="15" hidden="false" customHeight="false" outlineLevel="0" collapsed="false">
      <c r="A2115" s="37" t="n">
        <v>399324399</v>
      </c>
      <c r="B2115" s="38" t="n">
        <v>46290.6010069445</v>
      </c>
      <c r="C2115" s="37" t="s">
        <v>325</v>
      </c>
      <c r="D2115" s="37" t="s">
        <v>1427</v>
      </c>
      <c r="E2115" s="37" t="n">
        <v>22451264</v>
      </c>
      <c r="F2115" s="37" t="s">
        <v>139</v>
      </c>
      <c r="G2115" s="37" t="s">
        <v>198</v>
      </c>
      <c r="H2115" s="37" t="s">
        <v>170</v>
      </c>
      <c r="I2115" s="37" t="n">
        <v>45.3</v>
      </c>
      <c r="J2115" s="39" t="n">
        <v>678.99</v>
      </c>
      <c r="K2115" s="37" t="s">
        <v>322</v>
      </c>
      <c r="L2115" s="39" t="n">
        <v>103.84</v>
      </c>
      <c r="M2115" s="39" t="n">
        <v>71</v>
      </c>
      <c r="N2115" s="39" t="n">
        <f aca="false">J2115*Resumo!$C$7</f>
        <v>1.35798</v>
      </c>
      <c r="O2115" s="39" t="n">
        <f aca="false">J2115*Resumo!$C$8</f>
        <v>1.35798</v>
      </c>
      <c r="P2115" s="39" t="n">
        <f aca="false">Resumo!$C$10*CEILING(I2115/100,1)</f>
        <v>1</v>
      </c>
      <c r="Q2115" s="39" t="n">
        <f aca="false">Resumo!$C$9</f>
        <v>11.9</v>
      </c>
      <c r="R2115" s="39" t="n">
        <f aca="false">SUM(M2115:Q2115)*Resumo!$C$11</f>
        <v>4.7638778</v>
      </c>
      <c r="S2115" s="39" t="n">
        <f aca="false">SUM(M2115:R2115)</f>
        <v>91.3798378</v>
      </c>
      <c r="T2115" s="39" t="n">
        <f aca="false">S2115/(1-Resumo!$C$5)</f>
        <v>103.840724772727</v>
      </c>
      <c r="U2115" s="39" t="n">
        <v>93.97</v>
      </c>
      <c r="V2115" s="39" t="n">
        <f aca="false">J2115*Resumo!$B$6</f>
        <v>0.67899</v>
      </c>
      <c r="W2115" s="39" t="n">
        <f aca="false">J2115*Resumo!$B$7</f>
        <v>1.35798</v>
      </c>
      <c r="X2115" s="39" t="n">
        <f aca="false">Resumo!$B$9</f>
        <v>1</v>
      </c>
      <c r="Y2115" s="39" t="n">
        <f aca="false">Resumo!$B$10*CEILING(I2115/100,1)</f>
        <v>4.5</v>
      </c>
      <c r="Z2115" s="39" t="n">
        <f aca="false">Resumo!$B$12*CEILING(I2115,1)</f>
        <v>2.76</v>
      </c>
      <c r="AA2115" s="39" t="n">
        <f aca="false">Resumo!$B$13*CEILING(I2115,1)</f>
        <v>20.7</v>
      </c>
      <c r="AB2115" s="39" t="n">
        <f aca="false">SUM(U2115:AA2115)</f>
        <v>124.96697</v>
      </c>
      <c r="AC2115" s="39" t="n">
        <f aca="false">AB2115/(1-Resumo!$B$5)</f>
        <v>142.007920454545</v>
      </c>
      <c r="AD2115" s="39" t="n">
        <f aca="false">(AB2115-AA2115)/(1-Resumo!$B$5)</f>
        <v>118.485193181818</v>
      </c>
      <c r="AE2115" s="39" t="n">
        <f aca="false">AC2115-T2115</f>
        <v>38.1671956818182</v>
      </c>
      <c r="AF2115" s="40" t="n">
        <f aca="false">AC2115/T2115-1</f>
        <v>0.367555174189639</v>
      </c>
      <c r="AG2115" s="37" t="str">
        <f aca="false">IF(AC2115&lt;T2115,"SIM","NÃO")</f>
        <v>NÃO</v>
      </c>
      <c r="AH2115" s="37" t="n">
        <v>8</v>
      </c>
      <c r="AI2115" s="37" t="n">
        <v>5</v>
      </c>
      <c r="AJ2115" s="37" t="s">
        <v>323</v>
      </c>
    </row>
    <row r="2116" customFormat="false" ht="15" hidden="false" customHeight="false" outlineLevel="0" collapsed="false">
      <c r="A2116" s="37" t="n">
        <v>399343643</v>
      </c>
      <c r="B2116" s="38" t="n">
        <v>46290.638587963</v>
      </c>
      <c r="C2116" s="37" t="s">
        <v>320</v>
      </c>
      <c r="D2116" s="37" t="s">
        <v>2205</v>
      </c>
      <c r="E2116" s="37" t="n">
        <v>23595475</v>
      </c>
      <c r="F2116" s="37" t="s">
        <v>139</v>
      </c>
      <c r="G2116" s="37" t="s">
        <v>198</v>
      </c>
      <c r="H2116" s="37" t="s">
        <v>169</v>
      </c>
      <c r="I2116" s="37" t="n">
        <v>36.8</v>
      </c>
      <c r="J2116" s="39" t="n">
        <v>389.63</v>
      </c>
      <c r="K2116" s="37" t="s">
        <v>322</v>
      </c>
      <c r="L2116" s="39" t="n">
        <v>91.73</v>
      </c>
      <c r="M2116" s="39" t="n">
        <v>62.05</v>
      </c>
      <c r="N2116" s="39" t="n">
        <f aca="false">J2116*Resumo!$C$7</f>
        <v>0.77926</v>
      </c>
      <c r="O2116" s="39" t="n">
        <f aca="false">J2116*Resumo!$C$8</f>
        <v>0.77926</v>
      </c>
      <c r="P2116" s="39" t="n">
        <f aca="false">Resumo!$C$10*CEILING(I2116/100,1)</f>
        <v>1</v>
      </c>
      <c r="Q2116" s="39" t="n">
        <f aca="false">Resumo!$C$9</f>
        <v>11.9</v>
      </c>
      <c r="R2116" s="39" t="n">
        <f aca="false">SUM(M2116:Q2116)*Resumo!$C$11</f>
        <v>4.2079686</v>
      </c>
      <c r="S2116" s="39" t="n">
        <f aca="false">SUM(M2116:R2116)</f>
        <v>80.7164886</v>
      </c>
      <c r="T2116" s="39" t="n">
        <f aca="false">S2116/(1-Resumo!$C$5)</f>
        <v>91.7232825</v>
      </c>
      <c r="U2116" s="39" t="n">
        <v>93.97</v>
      </c>
      <c r="V2116" s="39" t="n">
        <f aca="false">J2116*Resumo!$B$6</f>
        <v>0.38963</v>
      </c>
      <c r="W2116" s="39" t="n">
        <f aca="false">J2116*Resumo!$B$7</f>
        <v>0.77926</v>
      </c>
      <c r="X2116" s="39" t="n">
        <f aca="false">Resumo!$B$9</f>
        <v>1</v>
      </c>
      <c r="Y2116" s="39" t="n">
        <f aca="false">Resumo!$B$10*CEILING(I2116/100,1)</f>
        <v>4.5</v>
      </c>
      <c r="Z2116" s="39" t="n">
        <f aca="false">Resumo!$B$12*CEILING(I2116,1)</f>
        <v>2.22</v>
      </c>
      <c r="AA2116" s="39" t="n">
        <f aca="false">Resumo!$B$13*CEILING(I2116,1)</f>
        <v>16.65</v>
      </c>
      <c r="AB2116" s="39" t="n">
        <f aca="false">SUM(U2116:AA2116)</f>
        <v>119.50889</v>
      </c>
      <c r="AC2116" s="39" t="n">
        <f aca="false">AB2116/(1-Resumo!$B$5)</f>
        <v>135.805556818182</v>
      </c>
      <c r="AD2116" s="39" t="n">
        <f aca="false">(AB2116-AA2116)/(1-Resumo!$B$5)</f>
        <v>116.885102272727</v>
      </c>
      <c r="AE2116" s="39" t="n">
        <f aca="false">AC2116-T2116</f>
        <v>44.0822743181818</v>
      </c>
      <c r="AF2116" s="40" t="n">
        <f aca="false">AC2116/T2116-1</f>
        <v>0.480600705913265</v>
      </c>
      <c r="AG2116" s="37" t="str">
        <f aca="false">IF(AC2116&lt;T2116,"SIM","NÃO")</f>
        <v>NÃO</v>
      </c>
      <c r="AH2116" s="37" t="n">
        <v>8</v>
      </c>
      <c r="AI2116" s="37" t="n">
        <v>5</v>
      </c>
      <c r="AJ2116" s="37" t="s">
        <v>323</v>
      </c>
    </row>
    <row r="2117" customFormat="false" ht="15" hidden="false" customHeight="false" outlineLevel="0" collapsed="false">
      <c r="A2117" s="37" t="n">
        <v>399344093</v>
      </c>
      <c r="B2117" s="38" t="n">
        <v>46290.6394097222</v>
      </c>
      <c r="C2117" s="37" t="s">
        <v>320</v>
      </c>
      <c r="D2117" s="37" t="s">
        <v>2206</v>
      </c>
      <c r="E2117" s="37" t="n">
        <v>21550610</v>
      </c>
      <c r="F2117" s="37" t="s">
        <v>139</v>
      </c>
      <c r="G2117" s="37" t="s">
        <v>198</v>
      </c>
      <c r="H2117" s="37" t="s">
        <v>168</v>
      </c>
      <c r="I2117" s="37" t="n">
        <v>27.4</v>
      </c>
      <c r="J2117" s="39" t="n">
        <v>369.99</v>
      </c>
      <c r="K2117" s="37" t="s">
        <v>322</v>
      </c>
      <c r="L2117" s="39" t="n">
        <v>82.1</v>
      </c>
      <c r="M2117" s="39" t="n">
        <v>54.1</v>
      </c>
      <c r="N2117" s="39" t="n">
        <f aca="false">J2117*Resumo!$C$7</f>
        <v>0.73998</v>
      </c>
      <c r="O2117" s="39" t="n">
        <f aca="false">J2117*Resumo!$C$8</f>
        <v>0.73998</v>
      </c>
      <c r="P2117" s="39" t="n">
        <f aca="false">Resumo!$C$10*CEILING(I2117/100,1)</f>
        <v>1</v>
      </c>
      <c r="Q2117" s="39" t="n">
        <f aca="false">Resumo!$C$9</f>
        <v>11.9</v>
      </c>
      <c r="R2117" s="39" t="n">
        <f aca="false">SUM(M2117:Q2117)*Resumo!$C$11</f>
        <v>3.7663978</v>
      </c>
      <c r="S2117" s="39" t="n">
        <f aca="false">SUM(M2117:R2117)</f>
        <v>72.2463578</v>
      </c>
      <c r="T2117" s="39" t="n">
        <f aca="false">S2117/(1-Resumo!$C$5)</f>
        <v>82.0981338636364</v>
      </c>
      <c r="U2117" s="39" t="n">
        <v>82.21</v>
      </c>
      <c r="V2117" s="39" t="n">
        <f aca="false">J2117*Resumo!$B$6</f>
        <v>0.36999</v>
      </c>
      <c r="W2117" s="39" t="n">
        <f aca="false">J2117*Resumo!$B$7</f>
        <v>0.73998</v>
      </c>
      <c r="X2117" s="39" t="n">
        <f aca="false">Resumo!$B$9</f>
        <v>1</v>
      </c>
      <c r="Y2117" s="39" t="n">
        <f aca="false">Resumo!$B$10*CEILING(I2117/100,1)</f>
        <v>4.5</v>
      </c>
      <c r="Z2117" s="39" t="n">
        <f aca="false">Resumo!$B$12*CEILING(I2117,1)</f>
        <v>1.68</v>
      </c>
      <c r="AA2117" s="39" t="n">
        <f aca="false">Resumo!$B$13*CEILING(I2117,1)</f>
        <v>12.6</v>
      </c>
      <c r="AB2117" s="39" t="n">
        <f aca="false">SUM(U2117:AA2117)</f>
        <v>103.09997</v>
      </c>
      <c r="AC2117" s="39" t="n">
        <f aca="false">AB2117/(1-Resumo!$B$5)</f>
        <v>117.159056818182</v>
      </c>
      <c r="AD2117" s="39" t="n">
        <f aca="false">(AB2117-AA2117)/(1-Resumo!$B$5)</f>
        <v>102.840875</v>
      </c>
      <c r="AE2117" s="39" t="n">
        <f aca="false">AC2117-T2117</f>
        <v>35.0609229545454</v>
      </c>
      <c r="AF2117" s="40" t="n">
        <f aca="false">AC2117/T2117-1</f>
        <v>0.427061143835267</v>
      </c>
      <c r="AG2117" s="37" t="str">
        <f aca="false">IF(AC2117&lt;T2117,"SIM","NÃO")</f>
        <v>NÃO</v>
      </c>
      <c r="AH2117" s="37" t="n">
        <v>8</v>
      </c>
      <c r="AI2117" s="37" t="n">
        <v>5</v>
      </c>
      <c r="AJ2117" s="37" t="s">
        <v>323</v>
      </c>
    </row>
    <row r="2118" customFormat="false" ht="15" hidden="false" customHeight="false" outlineLevel="0" collapsed="false">
      <c r="A2118" s="37" t="n">
        <v>399381237</v>
      </c>
      <c r="B2118" s="38" t="n">
        <v>46290.7193634259</v>
      </c>
      <c r="C2118" s="37" t="s">
        <v>320</v>
      </c>
      <c r="D2118" s="37" t="s">
        <v>524</v>
      </c>
      <c r="E2118" s="37" t="n">
        <v>25880000</v>
      </c>
      <c r="F2118" s="37" t="s">
        <v>218</v>
      </c>
      <c r="G2118" s="37" t="s">
        <v>201</v>
      </c>
      <c r="H2118" s="37" t="s">
        <v>168</v>
      </c>
      <c r="I2118" s="37" t="n">
        <v>20.9</v>
      </c>
      <c r="J2118" s="39" t="n">
        <v>450.79</v>
      </c>
      <c r="K2118" s="37" t="s">
        <v>322</v>
      </c>
      <c r="L2118" s="39" t="n">
        <v>109.34</v>
      </c>
      <c r="M2118" s="39" t="n">
        <v>76.5</v>
      </c>
      <c r="N2118" s="39" t="n">
        <f aca="false">J2118*Resumo!$C$7</f>
        <v>0.90158</v>
      </c>
      <c r="O2118" s="39" t="n">
        <f aca="false">J2118*Resumo!$C$8</f>
        <v>0.90158</v>
      </c>
      <c r="P2118" s="39" t="n">
        <f aca="false">Resumo!$C$10*CEILING(I2118/100,1)</f>
        <v>1</v>
      </c>
      <c r="Q2118" s="39" t="n">
        <f aca="false">Resumo!$C$9</f>
        <v>11.9</v>
      </c>
      <c r="R2118" s="39" t="n">
        <f aca="false">SUM(M2118:Q2118)*Resumo!$C$11</f>
        <v>5.0161738</v>
      </c>
      <c r="S2118" s="39" t="n">
        <f aca="false">SUM(M2118:R2118)</f>
        <v>96.2193338</v>
      </c>
      <c r="T2118" s="39" t="n">
        <f aca="false">S2118/(1-Resumo!$C$5)</f>
        <v>109.340152045455</v>
      </c>
      <c r="U2118" s="39" t="n">
        <v>120.78</v>
      </c>
      <c r="V2118" s="39" t="n">
        <f aca="false">J2118*Resumo!$B$6</f>
        <v>0.45079</v>
      </c>
      <c r="W2118" s="39" t="n">
        <f aca="false">J2118*Resumo!$B$7</f>
        <v>0.90158</v>
      </c>
      <c r="X2118" s="39" t="n">
        <f aca="false">Resumo!$B$9</f>
        <v>1</v>
      </c>
      <c r="Y2118" s="39" t="n">
        <f aca="false">Resumo!$B$10*CEILING(I2118/100,1)</f>
        <v>4.5</v>
      </c>
      <c r="Z2118" s="39" t="n">
        <f aca="false">Resumo!$B$12*CEILING(I2118,1)</f>
        <v>1.26</v>
      </c>
      <c r="AA2118" s="39" t="n">
        <f aca="false">Resumo!$B$13*CEILING(I2118,1)</f>
        <v>9.45</v>
      </c>
      <c r="AB2118" s="39" t="n">
        <f aca="false">SUM(U2118:AA2118)</f>
        <v>138.34237</v>
      </c>
      <c r="AC2118" s="39" t="n">
        <f aca="false">AB2118/(1-Resumo!$B$5)</f>
        <v>157.207238636364</v>
      </c>
      <c r="AD2118" s="39" t="n">
        <f aca="false">(AB2118-AA2118)/(1-Resumo!$B$5)</f>
        <v>146.468602272727</v>
      </c>
      <c r="AE2118" s="39" t="n">
        <f aca="false">AC2118-T2118</f>
        <v>47.8670865909091</v>
      </c>
      <c r="AF2118" s="40" t="n">
        <f aca="false">AC2118/T2118-1</f>
        <v>0.43778141602556</v>
      </c>
      <c r="AG2118" s="37" t="str">
        <f aca="false">IF(AC2118&lt;T2118,"SIM","NÃO")</f>
        <v>NÃO</v>
      </c>
      <c r="AH2118" s="37" t="n">
        <v>13</v>
      </c>
      <c r="AI2118" s="37" t="n">
        <v>10</v>
      </c>
      <c r="AJ2118" s="37" t="s">
        <v>327</v>
      </c>
    </row>
    <row r="2119" customFormat="false" ht="15" hidden="false" customHeight="false" outlineLevel="0" collapsed="false">
      <c r="A2119" s="37" t="n">
        <v>399393931</v>
      </c>
      <c r="B2119" s="38" t="n">
        <v>46290.7527546296</v>
      </c>
      <c r="C2119" s="37" t="s">
        <v>352</v>
      </c>
      <c r="D2119" s="37" t="s">
        <v>2207</v>
      </c>
      <c r="E2119" s="37" t="n">
        <v>22061010</v>
      </c>
      <c r="F2119" s="37" t="s">
        <v>139</v>
      </c>
      <c r="G2119" s="37" t="s">
        <v>198</v>
      </c>
      <c r="H2119" s="37" t="s">
        <v>169</v>
      </c>
      <c r="I2119" s="37" t="n">
        <v>36.9</v>
      </c>
      <c r="J2119" s="39" t="n">
        <v>439.99</v>
      </c>
      <c r="K2119" s="37" t="s">
        <v>322</v>
      </c>
      <c r="L2119" s="39" t="n">
        <v>91.97</v>
      </c>
      <c r="M2119" s="39" t="n">
        <v>62.05</v>
      </c>
      <c r="N2119" s="39" t="n">
        <f aca="false">J2119*Resumo!$C$7</f>
        <v>0.87998</v>
      </c>
      <c r="O2119" s="39" t="n">
        <f aca="false">J2119*Resumo!$C$8</f>
        <v>0.87998</v>
      </c>
      <c r="P2119" s="39" t="n">
        <f aca="false">Resumo!$C$10*CEILING(I2119/100,1)</f>
        <v>1</v>
      </c>
      <c r="Q2119" s="39" t="n">
        <f aca="false">Resumo!$C$9</f>
        <v>11.9</v>
      </c>
      <c r="R2119" s="39" t="n">
        <f aca="false">SUM(M2119:Q2119)*Resumo!$C$11</f>
        <v>4.2190478</v>
      </c>
      <c r="S2119" s="39" t="n">
        <f aca="false">SUM(M2119:R2119)</f>
        <v>80.9290078</v>
      </c>
      <c r="T2119" s="39" t="n">
        <f aca="false">S2119/(1-Resumo!$C$5)</f>
        <v>91.9647815909091</v>
      </c>
      <c r="U2119" s="39" t="n">
        <v>93.97</v>
      </c>
      <c r="V2119" s="39" t="n">
        <f aca="false">J2119*Resumo!$B$6</f>
        <v>0.43999</v>
      </c>
      <c r="W2119" s="39" t="n">
        <f aca="false">J2119*Resumo!$B$7</f>
        <v>0.87998</v>
      </c>
      <c r="X2119" s="39" t="n">
        <f aca="false">Resumo!$B$9</f>
        <v>1</v>
      </c>
      <c r="Y2119" s="39" t="n">
        <f aca="false">Resumo!$B$10*CEILING(I2119/100,1)</f>
        <v>4.5</v>
      </c>
      <c r="Z2119" s="39" t="n">
        <f aca="false">Resumo!$B$12*CEILING(I2119,1)</f>
        <v>2.22</v>
      </c>
      <c r="AA2119" s="39" t="n">
        <f aca="false">Resumo!$B$13*CEILING(I2119,1)</f>
        <v>16.65</v>
      </c>
      <c r="AB2119" s="39" t="n">
        <f aca="false">SUM(U2119:AA2119)</f>
        <v>119.65997</v>
      </c>
      <c r="AC2119" s="39" t="n">
        <f aca="false">AB2119/(1-Resumo!$B$5)</f>
        <v>135.977238636364</v>
      </c>
      <c r="AD2119" s="39" t="n">
        <f aca="false">(AB2119-AA2119)/(1-Resumo!$B$5)</f>
        <v>117.056784090909</v>
      </c>
      <c r="AE2119" s="39" t="n">
        <f aca="false">AC2119-T2119</f>
        <v>44.0124570454546</v>
      </c>
      <c r="AF2119" s="40" t="n">
        <f aca="false">AC2119/T2119-1</f>
        <v>0.478579476665721</v>
      </c>
      <c r="AG2119" s="37" t="str">
        <f aca="false">IF(AC2119&lt;T2119,"SIM","NÃO")</f>
        <v>NÃO</v>
      </c>
      <c r="AH2119" s="37" t="n">
        <v>8</v>
      </c>
      <c r="AI2119" s="37" t="n">
        <v>5</v>
      </c>
      <c r="AJ2119" s="37" t="s">
        <v>323</v>
      </c>
    </row>
    <row r="2120" customFormat="false" ht="15" hidden="false" customHeight="false" outlineLevel="0" collapsed="false">
      <c r="A2120" s="37" t="n">
        <v>399444144</v>
      </c>
      <c r="B2120" s="38" t="n">
        <v>46290.8568634259</v>
      </c>
      <c r="C2120" s="37" t="s">
        <v>517</v>
      </c>
      <c r="D2120" s="37" t="s">
        <v>2208</v>
      </c>
      <c r="E2120" s="37" t="n">
        <v>23914020</v>
      </c>
      <c r="F2120" s="37" t="s">
        <v>149</v>
      </c>
      <c r="G2120" s="37" t="s">
        <v>201</v>
      </c>
      <c r="H2120" s="37" t="s">
        <v>167</v>
      </c>
      <c r="I2120" s="37" t="n">
        <v>16.35</v>
      </c>
      <c r="J2120" s="39" t="n">
        <v>373.99</v>
      </c>
      <c r="K2120" s="37" t="s">
        <v>322</v>
      </c>
      <c r="L2120" s="39" t="n">
        <v>80.45</v>
      </c>
      <c r="M2120" s="39" t="n">
        <v>52.71</v>
      </c>
      <c r="N2120" s="39" t="n">
        <f aca="false">J2120*Resumo!$C$7</f>
        <v>0.74798</v>
      </c>
      <c r="O2120" s="39" t="n">
        <f aca="false">J2120*Resumo!$C$8</f>
        <v>0.74798</v>
      </c>
      <c r="P2120" s="39" t="n">
        <f aca="false">Resumo!$C$10*CEILING(I2120/100,1)</f>
        <v>1</v>
      </c>
      <c r="Q2120" s="39" t="n">
        <f aca="false">Resumo!$C$9</f>
        <v>11.9</v>
      </c>
      <c r="R2120" s="39" t="n">
        <f aca="false">SUM(M2120:Q2120)*Resumo!$C$11</f>
        <v>3.6908278</v>
      </c>
      <c r="S2120" s="39" t="n">
        <f aca="false">SUM(M2120:R2120)</f>
        <v>70.7967878</v>
      </c>
      <c r="T2120" s="39" t="n">
        <f aca="false">S2120/(1-Resumo!$C$5)</f>
        <v>80.4508952272727</v>
      </c>
      <c r="U2120" s="39" t="n">
        <v>77.35</v>
      </c>
      <c r="V2120" s="39" t="n">
        <f aca="false">J2120*Resumo!$B$6</f>
        <v>0.37399</v>
      </c>
      <c r="W2120" s="39" t="n">
        <f aca="false">J2120*Resumo!$B$7</f>
        <v>0.74798</v>
      </c>
      <c r="X2120" s="39" t="n">
        <f aca="false">Resumo!$B$9</f>
        <v>1</v>
      </c>
      <c r="Y2120" s="39" t="n">
        <f aca="false">Resumo!$B$10*CEILING(I2120/100,1)</f>
        <v>4.5</v>
      </c>
      <c r="Z2120" s="39" t="n">
        <f aca="false">Resumo!$B$12*CEILING(I2120,1)</f>
        <v>1.02</v>
      </c>
      <c r="AA2120" s="39" t="n">
        <f aca="false">Resumo!$B$13*CEILING(I2120,1)</f>
        <v>7.65</v>
      </c>
      <c r="AB2120" s="39" t="n">
        <f aca="false">SUM(U2120:AA2120)</f>
        <v>92.64197</v>
      </c>
      <c r="AC2120" s="39" t="n">
        <f aca="false">AB2120/(1-Resumo!$B$5)</f>
        <v>105.274965909091</v>
      </c>
      <c r="AD2120" s="39" t="n">
        <f aca="false">(AB2120-AA2120)/(1-Resumo!$B$5)</f>
        <v>96.5817840909091</v>
      </c>
      <c r="AE2120" s="39" t="n">
        <f aca="false">AC2120-T2120</f>
        <v>24.8240706818182</v>
      </c>
      <c r="AF2120" s="40" t="n">
        <f aca="false">AC2120/T2120-1</f>
        <v>0.308561770651408</v>
      </c>
      <c r="AG2120" s="37" t="str">
        <f aca="false">IF(AC2120&lt;T2120,"SIM","NÃO")</f>
        <v>NÃO</v>
      </c>
      <c r="AH2120" s="37" t="n">
        <v>13</v>
      </c>
      <c r="AI2120" s="37" t="n">
        <v>10</v>
      </c>
      <c r="AJ2120" s="37" t="s">
        <v>323</v>
      </c>
    </row>
    <row r="2121" customFormat="false" ht="15" hidden="false" customHeight="false" outlineLevel="0" collapsed="false">
      <c r="A2121" s="37" t="n">
        <v>399444155</v>
      </c>
      <c r="B2121" s="38" t="n">
        <v>46290.876099537</v>
      </c>
      <c r="C2121" s="37" t="s">
        <v>320</v>
      </c>
      <c r="D2121" s="37" t="s">
        <v>2209</v>
      </c>
      <c r="E2121" s="37" t="n">
        <v>25943521</v>
      </c>
      <c r="F2121" s="37" t="s">
        <v>220</v>
      </c>
      <c r="G2121" s="37" t="s">
        <v>201</v>
      </c>
      <c r="H2121" s="37" t="s">
        <v>171</v>
      </c>
      <c r="I2121" s="37" t="n">
        <v>52.3</v>
      </c>
      <c r="J2121" s="39" t="n">
        <v>625.99</v>
      </c>
      <c r="K2121" s="37" t="s">
        <v>322</v>
      </c>
      <c r="L2121" s="39" t="n">
        <v>142.67</v>
      </c>
      <c r="M2121" s="39" t="n">
        <v>103.6</v>
      </c>
      <c r="N2121" s="39" t="n">
        <f aca="false">J2121*Resumo!$C$7</f>
        <v>1.25198</v>
      </c>
      <c r="O2121" s="39" t="n">
        <f aca="false">J2121*Resumo!$C$8</f>
        <v>1.25198</v>
      </c>
      <c r="P2121" s="39" t="n">
        <f aca="false">Resumo!$C$10*CEILING(I2121/100,1)</f>
        <v>1</v>
      </c>
      <c r="Q2121" s="39" t="n">
        <f aca="false">Resumo!$C$9</f>
        <v>11.9</v>
      </c>
      <c r="R2121" s="39" t="n">
        <f aca="false">SUM(M2121:Q2121)*Resumo!$C$11</f>
        <v>6.5452178</v>
      </c>
      <c r="S2121" s="39" t="n">
        <f aca="false">SUM(M2121:R2121)</f>
        <v>125.5491778</v>
      </c>
      <c r="T2121" s="39" t="n">
        <f aca="false">S2121/(1-Resumo!$C$5)</f>
        <v>142.669520227273</v>
      </c>
      <c r="U2121" s="39" t="n">
        <v>127.03</v>
      </c>
      <c r="V2121" s="39" t="n">
        <f aca="false">J2121*Resumo!$B$6</f>
        <v>0.62599</v>
      </c>
      <c r="W2121" s="39" t="n">
        <f aca="false">J2121*Resumo!$B$7</f>
        <v>1.25198</v>
      </c>
      <c r="X2121" s="39" t="n">
        <f aca="false">Resumo!$B$9</f>
        <v>1</v>
      </c>
      <c r="Y2121" s="39" t="n">
        <f aca="false">Resumo!$B$10*CEILING(I2121/100,1)</f>
        <v>4.5</v>
      </c>
      <c r="Z2121" s="39" t="n">
        <f aca="false">Resumo!$B$12*CEILING(I2121,1)</f>
        <v>3.18</v>
      </c>
      <c r="AA2121" s="39" t="n">
        <f aca="false">Resumo!$B$13*CEILING(I2121,1)</f>
        <v>23.85</v>
      </c>
      <c r="AB2121" s="39" t="n">
        <f aca="false">SUM(U2121:AA2121)</f>
        <v>161.43797</v>
      </c>
      <c r="AC2121" s="39" t="n">
        <f aca="false">AB2121/(1-Resumo!$B$5)</f>
        <v>183.452238636364</v>
      </c>
      <c r="AD2121" s="39" t="n">
        <f aca="false">(AB2121-AA2121)/(1-Resumo!$B$5)</f>
        <v>156.349965909091</v>
      </c>
      <c r="AE2121" s="39" t="n">
        <f aca="false">AC2121-T2121</f>
        <v>40.7827184090909</v>
      </c>
      <c r="AF2121" s="40" t="n">
        <f aca="false">AC2121/T2121-1</f>
        <v>0.285854458220116</v>
      </c>
      <c r="AG2121" s="37" t="str">
        <f aca="false">IF(AC2121&lt;T2121,"SIM","NÃO")</f>
        <v>NÃO</v>
      </c>
      <c r="AH2121" s="37" t="n">
        <v>13</v>
      </c>
      <c r="AI2121" s="37" t="n">
        <v>6</v>
      </c>
      <c r="AJ2121" s="37" t="s">
        <v>327</v>
      </c>
    </row>
    <row r="2122" customFormat="false" ht="15" hidden="false" customHeight="false" outlineLevel="0" collapsed="false">
      <c r="A2122" s="37" t="n">
        <v>399459120</v>
      </c>
      <c r="B2122" s="38" t="n">
        <v>46290.915474537</v>
      </c>
      <c r="C2122" s="37" t="s">
        <v>320</v>
      </c>
      <c r="D2122" s="37" t="s">
        <v>2210</v>
      </c>
      <c r="E2122" s="37" t="n">
        <v>20730390</v>
      </c>
      <c r="F2122" s="37" t="s">
        <v>139</v>
      </c>
      <c r="G2122" s="37" t="s">
        <v>198</v>
      </c>
      <c r="H2122" s="37" t="s">
        <v>168</v>
      </c>
      <c r="I2122" s="37" t="n">
        <v>31</v>
      </c>
      <c r="J2122" s="39" t="n">
        <v>323.94</v>
      </c>
      <c r="K2122" s="37" t="s">
        <v>322</v>
      </c>
      <c r="L2122" s="39" t="n">
        <v>81.89</v>
      </c>
      <c r="M2122" s="39" t="n">
        <v>54.1</v>
      </c>
      <c r="N2122" s="39" t="n">
        <f aca="false">J2122*Resumo!$C$7</f>
        <v>0.64788</v>
      </c>
      <c r="O2122" s="39" t="n">
        <f aca="false">J2122*Resumo!$C$8</f>
        <v>0.64788</v>
      </c>
      <c r="P2122" s="39" t="n">
        <f aca="false">Resumo!$C$10*CEILING(I2122/100,1)</f>
        <v>1</v>
      </c>
      <c r="Q2122" s="39" t="n">
        <f aca="false">Resumo!$C$9</f>
        <v>11.9</v>
      </c>
      <c r="R2122" s="39" t="n">
        <f aca="false">SUM(M2122:Q2122)*Resumo!$C$11</f>
        <v>3.7562668</v>
      </c>
      <c r="S2122" s="39" t="n">
        <f aca="false">SUM(M2122:R2122)</f>
        <v>72.0520268</v>
      </c>
      <c r="T2122" s="39" t="n">
        <f aca="false">S2122/(1-Resumo!$C$5)</f>
        <v>81.8773031818182</v>
      </c>
      <c r="U2122" s="39" t="n">
        <v>82.21</v>
      </c>
      <c r="V2122" s="39" t="n">
        <f aca="false">J2122*Resumo!$B$6</f>
        <v>0.32394</v>
      </c>
      <c r="W2122" s="39" t="n">
        <f aca="false">J2122*Resumo!$B$7</f>
        <v>0.64788</v>
      </c>
      <c r="X2122" s="39" t="n">
        <f aca="false">Resumo!$B$9</f>
        <v>1</v>
      </c>
      <c r="Y2122" s="39" t="n">
        <f aca="false">Resumo!$B$10*CEILING(I2122/100,1)</f>
        <v>4.5</v>
      </c>
      <c r="Z2122" s="39" t="n">
        <f aca="false">Resumo!$B$12*CEILING(I2122,1)</f>
        <v>1.86</v>
      </c>
      <c r="AA2122" s="39" t="n">
        <f aca="false">Resumo!$B$13*CEILING(I2122,1)</f>
        <v>13.95</v>
      </c>
      <c r="AB2122" s="39" t="n">
        <f aca="false">SUM(U2122:AA2122)</f>
        <v>104.49182</v>
      </c>
      <c r="AC2122" s="39" t="n">
        <f aca="false">AB2122/(1-Resumo!$B$5)</f>
        <v>118.740704545455</v>
      </c>
      <c r="AD2122" s="39" t="n">
        <f aca="false">(AB2122-AA2122)/(1-Resumo!$B$5)</f>
        <v>102.888431818182</v>
      </c>
      <c r="AE2122" s="39" t="n">
        <f aca="false">AC2122-T2122</f>
        <v>36.8634013636363</v>
      </c>
      <c r="AF2122" s="40" t="n">
        <f aca="false">AC2122/T2122-1</f>
        <v>0.450227351550366</v>
      </c>
      <c r="AG2122" s="37" t="str">
        <f aca="false">IF(AC2122&lt;T2122,"SIM","NÃO")</f>
        <v>NÃO</v>
      </c>
      <c r="AH2122" s="37" t="n">
        <v>8</v>
      </c>
      <c r="AI2122" s="37" t="n">
        <v>5</v>
      </c>
      <c r="AJ2122" s="37" t="s">
        <v>323</v>
      </c>
    </row>
    <row r="2123" customFormat="false" ht="15" hidden="false" customHeight="false" outlineLevel="0" collapsed="false">
      <c r="A2123" s="37" t="n">
        <v>399480351</v>
      </c>
      <c r="B2123" s="38" t="n">
        <v>46290.9593981481</v>
      </c>
      <c r="C2123" s="37" t="s">
        <v>325</v>
      </c>
      <c r="D2123" s="37" t="s">
        <v>2211</v>
      </c>
      <c r="E2123" s="37" t="n">
        <v>22221010</v>
      </c>
      <c r="F2123" s="37" t="s">
        <v>139</v>
      </c>
      <c r="G2123" s="37" t="s">
        <v>198</v>
      </c>
      <c r="H2123" s="37" t="s">
        <v>176</v>
      </c>
      <c r="I2123" s="37" t="n">
        <v>134.4</v>
      </c>
      <c r="J2123" s="39" t="n">
        <v>1505.79</v>
      </c>
      <c r="K2123" s="37" t="s">
        <v>322</v>
      </c>
      <c r="L2123" s="39" t="n">
        <v>233.5</v>
      </c>
      <c r="M2123" s="39" t="n">
        <v>174.85</v>
      </c>
      <c r="N2123" s="39" t="n">
        <f aca="false">J2123*Resumo!$C$7</f>
        <v>3.01158</v>
      </c>
      <c r="O2123" s="39" t="n">
        <f aca="false">J2123*Resumo!$C$8</f>
        <v>3.01158</v>
      </c>
      <c r="P2123" s="39" t="n">
        <f aca="false">Resumo!$C$10*CEILING(I2123/100,1)</f>
        <v>2</v>
      </c>
      <c r="Q2123" s="39" t="n">
        <f aca="false">Resumo!$C$9</f>
        <v>11.9</v>
      </c>
      <c r="R2123" s="39" t="n">
        <f aca="false">SUM(M2123:Q2123)*Resumo!$C$11</f>
        <v>10.7125238</v>
      </c>
      <c r="S2123" s="39" t="n">
        <f aca="false">SUM(M2123:R2123)</f>
        <v>205.4856838</v>
      </c>
      <c r="T2123" s="39" t="n">
        <f aca="false">S2123/(1-Resumo!$C$5)</f>
        <v>233.506458863636</v>
      </c>
      <c r="U2123" s="39" t="n">
        <v>239.25</v>
      </c>
      <c r="V2123" s="39" t="n">
        <f aca="false">J2123*Resumo!$B$6</f>
        <v>1.50579</v>
      </c>
      <c r="W2123" s="39" t="n">
        <f aca="false">J2123*Resumo!$B$7</f>
        <v>3.01158</v>
      </c>
      <c r="X2123" s="39" t="n">
        <f aca="false">Resumo!$B$9</f>
        <v>1</v>
      </c>
      <c r="Y2123" s="39" t="n">
        <f aca="false">Resumo!$B$10*CEILING(I2123/100,1)</f>
        <v>9</v>
      </c>
      <c r="Z2123" s="39" t="n">
        <f aca="false">Resumo!$B$12*CEILING(I2123,1)</f>
        <v>8.1</v>
      </c>
      <c r="AA2123" s="39" t="n">
        <f aca="false">Resumo!$B$13*CEILING(I2123,1)</f>
        <v>60.75</v>
      </c>
      <c r="AB2123" s="39" t="n">
        <f aca="false">SUM(U2123:AA2123)</f>
        <v>322.61737</v>
      </c>
      <c r="AC2123" s="39" t="n">
        <f aca="false">AB2123/(1-Resumo!$B$5)</f>
        <v>366.610647727273</v>
      </c>
      <c r="AD2123" s="39" t="n">
        <f aca="false">(AB2123-AA2123)/(1-Resumo!$B$5)</f>
        <v>297.576556818182</v>
      </c>
      <c r="AE2123" s="39" t="n">
        <f aca="false">AC2123-T2123</f>
        <v>133.104188863636</v>
      </c>
      <c r="AF2123" s="40" t="n">
        <f aca="false">AC2123/T2123-1</f>
        <v>0.57002358526351</v>
      </c>
      <c r="AG2123" s="37" t="str">
        <f aca="false">IF(AC2123&lt;T2123,"SIM","NÃO")</f>
        <v>NÃO</v>
      </c>
      <c r="AH2123" s="37" t="n">
        <v>8</v>
      </c>
      <c r="AI2123" s="37" t="n">
        <v>5</v>
      </c>
      <c r="AJ2123" s="37" t="s">
        <v>323</v>
      </c>
    </row>
    <row r="2124" customFormat="false" ht="15" hidden="false" customHeight="false" outlineLevel="0" collapsed="false">
      <c r="A2124" s="37" t="n">
        <v>399494521</v>
      </c>
      <c r="B2124" s="38" t="n">
        <v>46291.0036689815</v>
      </c>
      <c r="C2124" s="37" t="s">
        <v>346</v>
      </c>
      <c r="D2124" s="37" t="s">
        <v>2212</v>
      </c>
      <c r="E2124" s="37" t="n">
        <v>26327210</v>
      </c>
      <c r="F2124" s="37" t="s">
        <v>222</v>
      </c>
      <c r="G2124" s="37" t="s">
        <v>207</v>
      </c>
      <c r="H2124" s="37" t="s">
        <v>170</v>
      </c>
      <c r="I2124" s="37" t="n">
        <v>48</v>
      </c>
      <c r="J2124" s="39" t="n">
        <v>999.99</v>
      </c>
      <c r="K2124" s="37" t="s">
        <v>322</v>
      </c>
      <c r="L2124" s="39" t="n">
        <v>118.86</v>
      </c>
      <c r="M2124" s="39" t="n">
        <v>82.25</v>
      </c>
      <c r="N2124" s="39" t="n">
        <f aca="false">J2124*Resumo!$C$7</f>
        <v>1.99998</v>
      </c>
      <c r="O2124" s="39" t="n">
        <f aca="false">J2124*Resumo!$C$8</f>
        <v>1.99998</v>
      </c>
      <c r="P2124" s="39" t="n">
        <f aca="false">Resumo!$C$10*CEILING(I2124/100,1)</f>
        <v>1</v>
      </c>
      <c r="Q2124" s="39" t="n">
        <f aca="false">Resumo!$C$9</f>
        <v>11.9</v>
      </c>
      <c r="R2124" s="39" t="n">
        <f aca="false">SUM(M2124:Q2124)*Resumo!$C$11</f>
        <v>5.4532478</v>
      </c>
      <c r="S2124" s="39" t="n">
        <f aca="false">SUM(M2124:R2124)</f>
        <v>104.6032078</v>
      </c>
      <c r="T2124" s="39" t="n">
        <f aca="false">S2124/(1-Resumo!$C$5)</f>
        <v>118.867281590909</v>
      </c>
      <c r="U2124" s="39" t="n">
        <v>93.97</v>
      </c>
      <c r="V2124" s="39" t="n">
        <f aca="false">J2124*Resumo!$B$6</f>
        <v>0.99999</v>
      </c>
      <c r="W2124" s="39" t="n">
        <f aca="false">J2124*Resumo!$B$7</f>
        <v>1.99998</v>
      </c>
      <c r="X2124" s="39" t="n">
        <f aca="false">Resumo!$B$9</f>
        <v>1</v>
      </c>
      <c r="Y2124" s="39" t="n">
        <f aca="false">Resumo!$B$10*CEILING(I2124/100,1)</f>
        <v>4.5</v>
      </c>
      <c r="Z2124" s="39" t="n">
        <f aca="false">Resumo!$B$12*CEILING(I2124,1)</f>
        <v>2.88</v>
      </c>
      <c r="AA2124" s="39" t="n">
        <f aca="false">Resumo!$B$13*CEILING(I2124,1)</f>
        <v>21.6</v>
      </c>
      <c r="AB2124" s="39" t="n">
        <f aca="false">SUM(U2124:AA2124)</f>
        <v>126.94997</v>
      </c>
      <c r="AC2124" s="39" t="n">
        <f aca="false">AB2124/(1-Resumo!$B$5)</f>
        <v>144.261329545455</v>
      </c>
      <c r="AD2124" s="39" t="n">
        <f aca="false">(AB2124-AA2124)/(1-Resumo!$B$5)</f>
        <v>119.715875</v>
      </c>
      <c r="AE2124" s="39" t="n">
        <f aca="false">AC2124-T2124</f>
        <v>25.3940479545454</v>
      </c>
      <c r="AF2124" s="40" t="n">
        <f aca="false">AC2124/T2124-1</f>
        <v>0.213633622428929</v>
      </c>
      <c r="AG2124" s="37" t="str">
        <f aca="false">IF(AC2124&lt;T2124,"SIM","NÃO")</f>
        <v>NÃO</v>
      </c>
      <c r="AH2124" s="37" t="n">
        <v>10</v>
      </c>
      <c r="AI2124" s="37" t="n">
        <v>5</v>
      </c>
      <c r="AJ2124" s="37" t="s">
        <v>327</v>
      </c>
    </row>
    <row r="2125" customFormat="false" ht="15" hidden="false" customHeight="false" outlineLevel="0" collapsed="false">
      <c r="A2125" s="37" t="n">
        <v>399497805</v>
      </c>
      <c r="B2125" s="38" t="n">
        <v>46291.0162962963</v>
      </c>
      <c r="C2125" s="37" t="s">
        <v>320</v>
      </c>
      <c r="D2125" s="37" t="s">
        <v>2213</v>
      </c>
      <c r="E2125" s="37" t="n">
        <v>23570510</v>
      </c>
      <c r="F2125" s="37" t="s">
        <v>139</v>
      </c>
      <c r="G2125" s="37" t="s">
        <v>198</v>
      </c>
      <c r="H2125" s="37" t="s">
        <v>168</v>
      </c>
      <c r="I2125" s="37" t="n">
        <v>35</v>
      </c>
      <c r="J2125" s="39" t="n">
        <v>459.99</v>
      </c>
      <c r="K2125" s="37" t="s">
        <v>322</v>
      </c>
      <c r="L2125" s="39" t="n">
        <v>82.53</v>
      </c>
      <c r="M2125" s="39" t="n">
        <v>54.1</v>
      </c>
      <c r="N2125" s="39" t="n">
        <f aca="false">J2125*Resumo!$C$7</f>
        <v>0.91998</v>
      </c>
      <c r="O2125" s="39" t="n">
        <f aca="false">J2125*Resumo!$C$8</f>
        <v>0.91998</v>
      </c>
      <c r="P2125" s="39" t="n">
        <f aca="false">Resumo!$C$10*CEILING(I2125/100,1)</f>
        <v>1</v>
      </c>
      <c r="Q2125" s="39" t="n">
        <f aca="false">Resumo!$C$9</f>
        <v>11.9</v>
      </c>
      <c r="R2125" s="39" t="n">
        <f aca="false">SUM(M2125:Q2125)*Resumo!$C$11</f>
        <v>3.7861978</v>
      </c>
      <c r="S2125" s="39" t="n">
        <f aca="false">SUM(M2125:R2125)</f>
        <v>72.6261578</v>
      </c>
      <c r="T2125" s="39" t="n">
        <f aca="false">S2125/(1-Resumo!$C$5)</f>
        <v>82.5297247727273</v>
      </c>
      <c r="U2125" s="39" t="n">
        <v>82.21</v>
      </c>
      <c r="V2125" s="39" t="n">
        <f aca="false">J2125*Resumo!$B$6</f>
        <v>0.45999</v>
      </c>
      <c r="W2125" s="39" t="n">
        <f aca="false">J2125*Resumo!$B$7</f>
        <v>0.91998</v>
      </c>
      <c r="X2125" s="39" t="n">
        <f aca="false">Resumo!$B$9</f>
        <v>1</v>
      </c>
      <c r="Y2125" s="39" t="n">
        <f aca="false">Resumo!$B$10*CEILING(I2125/100,1)</f>
        <v>4.5</v>
      </c>
      <c r="Z2125" s="39" t="n">
        <f aca="false">Resumo!$B$12*CEILING(I2125,1)</f>
        <v>2.1</v>
      </c>
      <c r="AA2125" s="39" t="n">
        <f aca="false">Resumo!$B$13*CEILING(I2125,1)</f>
        <v>15.75</v>
      </c>
      <c r="AB2125" s="39" t="n">
        <f aca="false">SUM(U2125:AA2125)</f>
        <v>106.93997</v>
      </c>
      <c r="AC2125" s="39" t="n">
        <f aca="false">AB2125/(1-Resumo!$B$5)</f>
        <v>121.522693181818</v>
      </c>
      <c r="AD2125" s="39" t="n">
        <f aca="false">(AB2125-AA2125)/(1-Resumo!$B$5)</f>
        <v>103.624965909091</v>
      </c>
      <c r="AE2125" s="39" t="n">
        <f aca="false">AC2125-T2125</f>
        <v>38.9929684090909</v>
      </c>
      <c r="AF2125" s="40" t="n">
        <f aca="false">AC2125/T2125-1</f>
        <v>0.472471809599158</v>
      </c>
      <c r="AG2125" s="37" t="str">
        <f aca="false">IF(AC2125&lt;T2125,"SIM","NÃO")</f>
        <v>NÃO</v>
      </c>
      <c r="AH2125" s="37" t="n">
        <v>8</v>
      </c>
      <c r="AI2125" s="37" t="n">
        <v>5</v>
      </c>
      <c r="AJ2125" s="37" t="s">
        <v>323</v>
      </c>
    </row>
    <row r="2126" customFormat="false" ht="15" hidden="false" customHeight="false" outlineLevel="0" collapsed="false">
      <c r="A2126" s="37" t="n">
        <v>399608782</v>
      </c>
      <c r="B2126" s="38" t="n">
        <v>46291.4297569445</v>
      </c>
      <c r="C2126" s="37" t="s">
        <v>320</v>
      </c>
      <c r="D2126" s="37" t="s">
        <v>2214</v>
      </c>
      <c r="E2126" s="37" t="n">
        <v>21044650</v>
      </c>
      <c r="F2126" s="37" t="s">
        <v>139</v>
      </c>
      <c r="G2126" s="37" t="s">
        <v>198</v>
      </c>
      <c r="H2126" s="37" t="s">
        <v>168</v>
      </c>
      <c r="I2126" s="37" t="n">
        <v>27</v>
      </c>
      <c r="J2126" s="39" t="n">
        <v>270.99</v>
      </c>
      <c r="K2126" s="37" t="s">
        <v>322</v>
      </c>
      <c r="L2126" s="39" t="n">
        <v>81.61</v>
      </c>
      <c r="M2126" s="39" t="n">
        <v>54.1</v>
      </c>
      <c r="N2126" s="39" t="n">
        <f aca="false">J2126*Resumo!$C$7</f>
        <v>0.54198</v>
      </c>
      <c r="O2126" s="39" t="n">
        <f aca="false">J2126*Resumo!$C$8</f>
        <v>0.54198</v>
      </c>
      <c r="P2126" s="39" t="n">
        <f aca="false">Resumo!$C$10*CEILING(I2126/100,1)</f>
        <v>1</v>
      </c>
      <c r="Q2126" s="39" t="n">
        <f aca="false">Resumo!$C$9</f>
        <v>11.9</v>
      </c>
      <c r="R2126" s="39" t="n">
        <f aca="false">SUM(M2126:Q2126)*Resumo!$C$11</f>
        <v>3.7446178</v>
      </c>
      <c r="S2126" s="39" t="n">
        <f aca="false">SUM(M2126:R2126)</f>
        <v>71.8285778</v>
      </c>
      <c r="T2126" s="39" t="n">
        <f aca="false">S2126/(1-Resumo!$C$5)</f>
        <v>81.6233838636364</v>
      </c>
      <c r="U2126" s="39" t="n">
        <v>82.21</v>
      </c>
      <c r="V2126" s="39" t="n">
        <f aca="false">J2126*Resumo!$B$6</f>
        <v>0.27099</v>
      </c>
      <c r="W2126" s="39" t="n">
        <f aca="false">J2126*Resumo!$B$7</f>
        <v>0.54198</v>
      </c>
      <c r="X2126" s="39" t="n">
        <f aca="false">Resumo!$B$9</f>
        <v>1</v>
      </c>
      <c r="Y2126" s="39" t="n">
        <f aca="false">Resumo!$B$10*CEILING(I2126/100,1)</f>
        <v>4.5</v>
      </c>
      <c r="Z2126" s="39" t="n">
        <f aca="false">Resumo!$B$12*CEILING(I2126,1)</f>
        <v>1.62</v>
      </c>
      <c r="AA2126" s="39" t="n">
        <f aca="false">Resumo!$B$13*CEILING(I2126,1)</f>
        <v>12.15</v>
      </c>
      <c r="AB2126" s="39" t="n">
        <f aca="false">SUM(U2126:AA2126)</f>
        <v>102.29297</v>
      </c>
      <c r="AC2126" s="39" t="n">
        <f aca="false">AB2126/(1-Resumo!$B$5)</f>
        <v>116.242011363636</v>
      </c>
      <c r="AD2126" s="39" t="n">
        <f aca="false">(AB2126-AA2126)/(1-Resumo!$B$5)</f>
        <v>102.435193181818</v>
      </c>
      <c r="AE2126" s="39" t="n">
        <f aca="false">AC2126-T2126</f>
        <v>34.6186275</v>
      </c>
      <c r="AF2126" s="40" t="n">
        <f aca="false">AC2126/T2126-1</f>
        <v>0.424126345433502</v>
      </c>
      <c r="AG2126" s="37" t="str">
        <f aca="false">IF(AC2126&lt;T2126,"SIM","NÃO")</f>
        <v>NÃO</v>
      </c>
      <c r="AH2126" s="37" t="n">
        <v>8</v>
      </c>
      <c r="AI2126" s="37" t="n">
        <v>5</v>
      </c>
      <c r="AJ2126" s="37" t="s">
        <v>323</v>
      </c>
    </row>
    <row r="2127" customFormat="false" ht="15" hidden="false" customHeight="false" outlineLevel="0" collapsed="false">
      <c r="A2127" s="37" t="n">
        <v>399626447</v>
      </c>
      <c r="B2127" s="38" t="n">
        <v>46291.4722800926</v>
      </c>
      <c r="C2127" s="37" t="s">
        <v>320</v>
      </c>
      <c r="D2127" s="37" t="s">
        <v>2215</v>
      </c>
      <c r="E2127" s="37" t="n">
        <v>21930410</v>
      </c>
      <c r="F2127" s="37" t="s">
        <v>139</v>
      </c>
      <c r="G2127" s="37" t="s">
        <v>198</v>
      </c>
      <c r="H2127" s="37" t="s">
        <v>168</v>
      </c>
      <c r="I2127" s="37" t="n">
        <v>30.5</v>
      </c>
      <c r="J2127" s="39" t="n">
        <v>406.6</v>
      </c>
      <c r="K2127" s="37" t="s">
        <v>322</v>
      </c>
      <c r="L2127" s="39" t="n">
        <v>82.26</v>
      </c>
      <c r="M2127" s="39" t="n">
        <v>54.1</v>
      </c>
      <c r="N2127" s="39" t="n">
        <f aca="false">J2127*Resumo!$C$7</f>
        <v>0.8132</v>
      </c>
      <c r="O2127" s="39" t="n">
        <f aca="false">J2127*Resumo!$C$8</f>
        <v>0.8132</v>
      </c>
      <c r="P2127" s="39" t="n">
        <f aca="false">Resumo!$C$10*CEILING(I2127/100,1)</f>
        <v>1</v>
      </c>
      <c r="Q2127" s="39" t="n">
        <f aca="false">Resumo!$C$9</f>
        <v>11.9</v>
      </c>
      <c r="R2127" s="39" t="n">
        <f aca="false">SUM(M2127:Q2127)*Resumo!$C$11</f>
        <v>3.774452</v>
      </c>
      <c r="S2127" s="39" t="n">
        <f aca="false">SUM(M2127:R2127)</f>
        <v>72.400852</v>
      </c>
      <c r="T2127" s="39" t="n">
        <f aca="false">S2127/(1-Resumo!$C$5)</f>
        <v>82.2736954545455</v>
      </c>
      <c r="U2127" s="39" t="n">
        <v>82.21</v>
      </c>
      <c r="V2127" s="39" t="n">
        <f aca="false">J2127*Resumo!$B$6</f>
        <v>0.4066</v>
      </c>
      <c r="W2127" s="39" t="n">
        <f aca="false">J2127*Resumo!$B$7</f>
        <v>0.8132</v>
      </c>
      <c r="X2127" s="39" t="n">
        <f aca="false">Resumo!$B$9</f>
        <v>1</v>
      </c>
      <c r="Y2127" s="39" t="n">
        <f aca="false">Resumo!$B$10*CEILING(I2127/100,1)</f>
        <v>4.5</v>
      </c>
      <c r="Z2127" s="39" t="n">
        <f aca="false">Resumo!$B$12*CEILING(I2127,1)</f>
        <v>1.86</v>
      </c>
      <c r="AA2127" s="39" t="n">
        <f aca="false">Resumo!$B$13*CEILING(I2127,1)</f>
        <v>13.95</v>
      </c>
      <c r="AB2127" s="39" t="n">
        <f aca="false">SUM(U2127:AA2127)</f>
        <v>104.7398</v>
      </c>
      <c r="AC2127" s="39" t="n">
        <f aca="false">AB2127/(1-Resumo!$B$5)</f>
        <v>119.0225</v>
      </c>
      <c r="AD2127" s="39" t="n">
        <f aca="false">(AB2127-AA2127)/(1-Resumo!$B$5)</f>
        <v>103.170227272727</v>
      </c>
      <c r="AE2127" s="39" t="n">
        <f aca="false">AC2127-T2127</f>
        <v>36.7488045454546</v>
      </c>
      <c r="AF2127" s="40" t="n">
        <f aca="false">AC2127/T2127-1</f>
        <v>0.446665296148725</v>
      </c>
      <c r="AG2127" s="37" t="str">
        <f aca="false">IF(AC2127&lt;T2127,"SIM","NÃO")</f>
        <v>NÃO</v>
      </c>
      <c r="AH2127" s="37" t="n">
        <v>8</v>
      </c>
      <c r="AI2127" s="37" t="n">
        <v>5</v>
      </c>
      <c r="AJ2127" s="37" t="s">
        <v>323</v>
      </c>
    </row>
    <row r="2128" customFormat="false" ht="15" hidden="false" customHeight="false" outlineLevel="0" collapsed="false">
      <c r="A2128" s="37" t="n">
        <v>399647413</v>
      </c>
      <c r="B2128" s="38" t="n">
        <v>46291.4967361111</v>
      </c>
      <c r="C2128" s="37" t="s">
        <v>517</v>
      </c>
      <c r="D2128" s="37" t="s">
        <v>2216</v>
      </c>
      <c r="E2128" s="37" t="n">
        <v>24723190</v>
      </c>
      <c r="F2128" s="37" t="s">
        <v>140</v>
      </c>
      <c r="G2128" s="37" t="s">
        <v>207</v>
      </c>
      <c r="H2128" s="37" t="s">
        <v>170</v>
      </c>
      <c r="I2128" s="37" t="n">
        <v>48</v>
      </c>
      <c r="J2128" s="39" t="n">
        <v>859.99</v>
      </c>
      <c r="K2128" s="37" t="s">
        <v>322</v>
      </c>
      <c r="L2128" s="39" t="n">
        <v>118.19</v>
      </c>
      <c r="M2128" s="39" t="n">
        <v>82.25</v>
      </c>
      <c r="N2128" s="39" t="n">
        <f aca="false">J2128*Resumo!$C$7</f>
        <v>1.71998</v>
      </c>
      <c r="O2128" s="39" t="n">
        <f aca="false">J2128*Resumo!$C$8</f>
        <v>1.71998</v>
      </c>
      <c r="P2128" s="39" t="n">
        <f aca="false">Resumo!$C$10*CEILING(I2128/100,1)</f>
        <v>1</v>
      </c>
      <c r="Q2128" s="39" t="n">
        <f aca="false">Resumo!$C$9</f>
        <v>11.9</v>
      </c>
      <c r="R2128" s="39" t="n">
        <f aca="false">SUM(M2128:Q2128)*Resumo!$C$11</f>
        <v>5.4224478</v>
      </c>
      <c r="S2128" s="39" t="n">
        <f aca="false">SUM(M2128:R2128)</f>
        <v>104.0124078</v>
      </c>
      <c r="T2128" s="39" t="n">
        <f aca="false">S2128/(1-Resumo!$C$5)</f>
        <v>118.195917954545</v>
      </c>
      <c r="U2128" s="39" t="n">
        <v>114.95</v>
      </c>
      <c r="V2128" s="39" t="n">
        <f aca="false">J2128*Resumo!$B$6</f>
        <v>0.85999</v>
      </c>
      <c r="W2128" s="39" t="n">
        <f aca="false">J2128*Resumo!$B$7</f>
        <v>1.71998</v>
      </c>
      <c r="X2128" s="39" t="n">
        <f aca="false">Resumo!$B$9</f>
        <v>1</v>
      </c>
      <c r="Y2128" s="39" t="n">
        <f aca="false">Resumo!$B$10*CEILING(I2128/100,1)</f>
        <v>4.5</v>
      </c>
      <c r="Z2128" s="39" t="n">
        <f aca="false">Resumo!$B$12*CEILING(I2128,1)</f>
        <v>2.88</v>
      </c>
      <c r="AA2128" s="39" t="n">
        <f aca="false">Resumo!$B$13*CEILING(I2128,1)</f>
        <v>21.6</v>
      </c>
      <c r="AB2128" s="39" t="n">
        <f aca="false">SUM(U2128:AA2128)</f>
        <v>147.50997</v>
      </c>
      <c r="AC2128" s="39" t="n">
        <f aca="false">AB2128/(1-Resumo!$B$5)</f>
        <v>167.624965909091</v>
      </c>
      <c r="AD2128" s="39" t="n">
        <f aca="false">(AB2128-AA2128)/(1-Resumo!$B$5)</f>
        <v>143.079511363636</v>
      </c>
      <c r="AE2128" s="39" t="n">
        <f aca="false">AC2128-T2128</f>
        <v>49.4290479545455</v>
      </c>
      <c r="AF2128" s="40" t="n">
        <f aca="false">AC2128/T2128-1</f>
        <v>0.418195897201411</v>
      </c>
      <c r="AG2128" s="37" t="str">
        <f aca="false">IF(AC2128&lt;T2128,"SIM","NÃO")</f>
        <v>NÃO</v>
      </c>
      <c r="AH2128" s="37" t="n">
        <v>10</v>
      </c>
      <c r="AI2128" s="37" t="n">
        <v>7</v>
      </c>
      <c r="AJ2128" s="37" t="s">
        <v>323</v>
      </c>
    </row>
    <row r="2129" customFormat="false" ht="15" hidden="false" customHeight="false" outlineLevel="0" collapsed="false">
      <c r="A2129" s="37" t="n">
        <v>399648217</v>
      </c>
      <c r="B2129" s="38" t="n">
        <v>46291.5003472222</v>
      </c>
      <c r="C2129" s="37" t="s">
        <v>517</v>
      </c>
      <c r="D2129" s="37" t="s">
        <v>1779</v>
      </c>
      <c r="E2129" s="37" t="n">
        <v>23047530</v>
      </c>
      <c r="F2129" s="37" t="s">
        <v>139</v>
      </c>
      <c r="G2129" s="37" t="s">
        <v>198</v>
      </c>
      <c r="H2129" s="37" t="s">
        <v>168</v>
      </c>
      <c r="I2129" s="37" t="n">
        <v>27.6</v>
      </c>
      <c r="J2129" s="39" t="n">
        <v>535.49</v>
      </c>
      <c r="K2129" s="37" t="s">
        <v>322</v>
      </c>
      <c r="L2129" s="39" t="n">
        <v>82.89</v>
      </c>
      <c r="M2129" s="39" t="n">
        <v>54.1</v>
      </c>
      <c r="N2129" s="39" t="n">
        <f aca="false">J2129*Resumo!$C$7</f>
        <v>1.07098</v>
      </c>
      <c r="O2129" s="39" t="n">
        <f aca="false">J2129*Resumo!$C$8</f>
        <v>1.07098</v>
      </c>
      <c r="P2129" s="39" t="n">
        <f aca="false">Resumo!$C$10*CEILING(I2129/100,1)</f>
        <v>1</v>
      </c>
      <c r="Q2129" s="39" t="n">
        <f aca="false">Resumo!$C$9</f>
        <v>11.9</v>
      </c>
      <c r="R2129" s="39" t="n">
        <f aca="false">SUM(M2129:Q2129)*Resumo!$C$11</f>
        <v>3.8028078</v>
      </c>
      <c r="S2129" s="39" t="n">
        <f aca="false">SUM(M2129:R2129)</f>
        <v>72.9447678</v>
      </c>
      <c r="T2129" s="39" t="n">
        <f aca="false">S2129/(1-Resumo!$C$5)</f>
        <v>82.8917815909091</v>
      </c>
      <c r="U2129" s="39" t="n">
        <v>82.21</v>
      </c>
      <c r="V2129" s="39" t="n">
        <f aca="false">J2129*Resumo!$B$6</f>
        <v>0.53549</v>
      </c>
      <c r="W2129" s="39" t="n">
        <f aca="false">J2129*Resumo!$B$7</f>
        <v>1.07098</v>
      </c>
      <c r="X2129" s="39" t="n">
        <f aca="false">Resumo!$B$9</f>
        <v>1</v>
      </c>
      <c r="Y2129" s="39" t="n">
        <f aca="false">Resumo!$B$10*CEILING(I2129/100,1)</f>
        <v>4.5</v>
      </c>
      <c r="Z2129" s="39" t="n">
        <f aca="false">Resumo!$B$12*CEILING(I2129,1)</f>
        <v>1.68</v>
      </c>
      <c r="AA2129" s="39" t="n">
        <f aca="false">Resumo!$B$13*CEILING(I2129,1)</f>
        <v>12.6</v>
      </c>
      <c r="AB2129" s="39" t="n">
        <f aca="false">SUM(U2129:AA2129)</f>
        <v>103.59647</v>
      </c>
      <c r="AC2129" s="39" t="n">
        <f aca="false">AB2129/(1-Resumo!$B$5)</f>
        <v>117.723261363636</v>
      </c>
      <c r="AD2129" s="39" t="n">
        <f aca="false">(AB2129-AA2129)/(1-Resumo!$B$5)</f>
        <v>103.405079545455</v>
      </c>
      <c r="AE2129" s="39" t="n">
        <f aca="false">AC2129-T2129</f>
        <v>34.8314797727273</v>
      </c>
      <c r="AF2129" s="40" t="n">
        <f aca="false">AC2129/T2129-1</f>
        <v>0.420204260352721</v>
      </c>
      <c r="AG2129" s="37" t="str">
        <f aca="false">IF(AC2129&lt;T2129,"SIM","NÃO")</f>
        <v>NÃO</v>
      </c>
      <c r="AH2129" s="37" t="n">
        <v>8</v>
      </c>
      <c r="AI2129" s="37" t="n">
        <v>5</v>
      </c>
      <c r="AJ2129" s="37" t="s">
        <v>323</v>
      </c>
    </row>
    <row r="2130" customFormat="false" ht="15" hidden="false" customHeight="false" outlineLevel="0" collapsed="false">
      <c r="A2130" s="37" t="n">
        <v>399653391</v>
      </c>
      <c r="B2130" s="38" t="n">
        <v>46291.5301273148</v>
      </c>
      <c r="C2130" s="37" t="s">
        <v>320</v>
      </c>
      <c r="D2130" s="37" t="s">
        <v>1033</v>
      </c>
      <c r="E2130" s="37" t="n">
        <v>21854002</v>
      </c>
      <c r="F2130" s="37" t="s">
        <v>139</v>
      </c>
      <c r="G2130" s="37" t="s">
        <v>198</v>
      </c>
      <c r="H2130" s="37" t="s">
        <v>170</v>
      </c>
      <c r="I2130" s="37" t="n">
        <v>48</v>
      </c>
      <c r="J2130" s="39" t="n">
        <v>828.99</v>
      </c>
      <c r="K2130" s="37" t="s">
        <v>322</v>
      </c>
      <c r="L2130" s="39" t="n">
        <v>104.57</v>
      </c>
      <c r="M2130" s="39" t="n">
        <v>71</v>
      </c>
      <c r="N2130" s="39" t="n">
        <f aca="false">J2130*Resumo!$C$7</f>
        <v>1.65798</v>
      </c>
      <c r="O2130" s="39" t="n">
        <f aca="false">J2130*Resumo!$C$8</f>
        <v>1.65798</v>
      </c>
      <c r="P2130" s="39" t="n">
        <f aca="false">Resumo!$C$10*CEILING(I2130/100,1)</f>
        <v>1</v>
      </c>
      <c r="Q2130" s="39" t="n">
        <f aca="false">Resumo!$C$9</f>
        <v>11.9</v>
      </c>
      <c r="R2130" s="39" t="n">
        <f aca="false">SUM(M2130:Q2130)*Resumo!$C$11</f>
        <v>4.7968778</v>
      </c>
      <c r="S2130" s="39" t="n">
        <f aca="false">SUM(M2130:R2130)</f>
        <v>92.0128378</v>
      </c>
      <c r="T2130" s="39" t="n">
        <f aca="false">S2130/(1-Resumo!$C$5)</f>
        <v>104.560042954545</v>
      </c>
      <c r="U2130" s="39" t="n">
        <v>93.97</v>
      </c>
      <c r="V2130" s="39" t="n">
        <f aca="false">J2130*Resumo!$B$6</f>
        <v>0.82899</v>
      </c>
      <c r="W2130" s="39" t="n">
        <f aca="false">J2130*Resumo!$B$7</f>
        <v>1.65798</v>
      </c>
      <c r="X2130" s="39" t="n">
        <f aca="false">Resumo!$B$9</f>
        <v>1</v>
      </c>
      <c r="Y2130" s="39" t="n">
        <f aca="false">Resumo!$B$10*CEILING(I2130/100,1)</f>
        <v>4.5</v>
      </c>
      <c r="Z2130" s="39" t="n">
        <f aca="false">Resumo!$B$12*CEILING(I2130,1)</f>
        <v>2.88</v>
      </c>
      <c r="AA2130" s="39" t="n">
        <f aca="false">Resumo!$B$13*CEILING(I2130,1)</f>
        <v>21.6</v>
      </c>
      <c r="AB2130" s="39" t="n">
        <f aca="false">SUM(U2130:AA2130)</f>
        <v>126.43697</v>
      </c>
      <c r="AC2130" s="39" t="n">
        <f aca="false">AB2130/(1-Resumo!$B$5)</f>
        <v>143.678375</v>
      </c>
      <c r="AD2130" s="39" t="n">
        <f aca="false">(AB2130-AA2130)/(1-Resumo!$B$5)</f>
        <v>119.132920454545</v>
      </c>
      <c r="AE2130" s="39" t="n">
        <f aca="false">AC2130-T2130</f>
        <v>39.1183320454545</v>
      </c>
      <c r="AF2130" s="40" t="n">
        <f aca="false">AC2130/T2130-1</f>
        <v>0.374123144368448</v>
      </c>
      <c r="AG2130" s="37" t="str">
        <f aca="false">IF(AC2130&lt;T2130,"SIM","NÃO")</f>
        <v>NÃO</v>
      </c>
      <c r="AH2130" s="37" t="n">
        <v>8</v>
      </c>
      <c r="AI2130" s="37" t="n">
        <v>5</v>
      </c>
      <c r="AJ2130" s="37" t="s">
        <v>323</v>
      </c>
    </row>
    <row r="2131" customFormat="false" ht="15" hidden="false" customHeight="false" outlineLevel="0" collapsed="false">
      <c r="A2131" s="37" t="n">
        <v>399663599</v>
      </c>
      <c r="B2131" s="38" t="n">
        <v>46291.5522685185</v>
      </c>
      <c r="C2131" s="37" t="s">
        <v>320</v>
      </c>
      <c r="D2131" s="37" t="s">
        <v>2217</v>
      </c>
      <c r="E2131" s="37" t="n">
        <v>24456060</v>
      </c>
      <c r="F2131" s="37" t="s">
        <v>140</v>
      </c>
      <c r="G2131" s="37" t="s">
        <v>207</v>
      </c>
      <c r="H2131" s="37" t="s">
        <v>167</v>
      </c>
      <c r="I2131" s="37" t="n">
        <v>15</v>
      </c>
      <c r="J2131" s="39" t="n">
        <v>249.99</v>
      </c>
      <c r="K2131" s="37" t="s">
        <v>322</v>
      </c>
      <c r="L2131" s="39" t="n">
        <v>75.03</v>
      </c>
      <c r="M2131" s="39" t="n">
        <v>48.69</v>
      </c>
      <c r="N2131" s="39" t="n">
        <f aca="false">J2131*Resumo!$C$7</f>
        <v>0.49998</v>
      </c>
      <c r="O2131" s="39" t="n">
        <f aca="false">J2131*Resumo!$C$8</f>
        <v>0.49998</v>
      </c>
      <c r="P2131" s="39" t="n">
        <f aca="false">Resumo!$C$10*CEILING(I2131/100,1)</f>
        <v>1</v>
      </c>
      <c r="Q2131" s="39" t="n">
        <f aca="false">Resumo!$C$9</f>
        <v>11.9</v>
      </c>
      <c r="R2131" s="39" t="n">
        <f aca="false">SUM(M2131:Q2131)*Resumo!$C$11</f>
        <v>3.4424478</v>
      </c>
      <c r="S2131" s="39" t="n">
        <f aca="false">SUM(M2131:R2131)</f>
        <v>66.0324078</v>
      </c>
      <c r="T2131" s="39" t="n">
        <f aca="false">S2131/(1-Resumo!$C$5)</f>
        <v>75.0368270454545</v>
      </c>
      <c r="U2131" s="39" t="n">
        <v>57.47</v>
      </c>
      <c r="V2131" s="39" t="n">
        <f aca="false">J2131*Resumo!$B$6</f>
        <v>0.24999</v>
      </c>
      <c r="W2131" s="39" t="n">
        <f aca="false">J2131*Resumo!$B$7</f>
        <v>0.49998</v>
      </c>
      <c r="X2131" s="39" t="n">
        <f aca="false">Resumo!$B$9</f>
        <v>1</v>
      </c>
      <c r="Y2131" s="39" t="n">
        <f aca="false">Resumo!$B$10*CEILING(I2131/100,1)</f>
        <v>4.5</v>
      </c>
      <c r="Z2131" s="39" t="n">
        <f aca="false">Resumo!$B$12*CEILING(I2131,1)</f>
        <v>0.9</v>
      </c>
      <c r="AA2131" s="39" t="n">
        <f aca="false">Resumo!$B$13*CEILING(I2131,1)</f>
        <v>6.75</v>
      </c>
      <c r="AB2131" s="39" t="n">
        <f aca="false">SUM(U2131:AA2131)</f>
        <v>71.36997</v>
      </c>
      <c r="AC2131" s="39" t="n">
        <f aca="false">AB2131/(1-Resumo!$B$5)</f>
        <v>81.1022386363636</v>
      </c>
      <c r="AD2131" s="39" t="n">
        <f aca="false">(AB2131-AA2131)/(1-Resumo!$B$5)</f>
        <v>73.4317840909091</v>
      </c>
      <c r="AE2131" s="39" t="n">
        <f aca="false">AC2131-T2131</f>
        <v>6.06541159090909</v>
      </c>
      <c r="AF2131" s="40" t="n">
        <f aca="false">AC2131/T2131-1</f>
        <v>0.0808324636013047</v>
      </c>
      <c r="AG2131" s="37" t="str">
        <f aca="false">IF(AC2131&lt;T2131,"SIM","NÃO")</f>
        <v>NÃO</v>
      </c>
      <c r="AH2131" s="37" t="n">
        <v>10</v>
      </c>
      <c r="AI2131" s="37" t="n">
        <v>7</v>
      </c>
      <c r="AJ2131" s="37" t="s">
        <v>323</v>
      </c>
    </row>
    <row r="2132" customFormat="false" ht="15" hidden="false" customHeight="false" outlineLevel="0" collapsed="false">
      <c r="A2132" s="37" t="n">
        <v>399677587</v>
      </c>
      <c r="B2132" s="38" t="n">
        <v>46291.5828240741</v>
      </c>
      <c r="C2132" s="37" t="s">
        <v>352</v>
      </c>
      <c r="D2132" s="37" t="s">
        <v>2218</v>
      </c>
      <c r="E2132" s="37" t="n">
        <v>22241000</v>
      </c>
      <c r="F2132" s="37" t="s">
        <v>139</v>
      </c>
      <c r="G2132" s="37" t="s">
        <v>198</v>
      </c>
      <c r="H2132" s="37" t="s">
        <v>169</v>
      </c>
      <c r="I2132" s="37" t="n">
        <v>40</v>
      </c>
      <c r="J2132" s="39" t="n">
        <v>599.99</v>
      </c>
      <c r="K2132" s="37" t="s">
        <v>322</v>
      </c>
      <c r="L2132" s="39" t="n">
        <v>92.73</v>
      </c>
      <c r="M2132" s="39" t="n">
        <v>62.05</v>
      </c>
      <c r="N2132" s="39" t="n">
        <f aca="false">J2132*Resumo!$C$7</f>
        <v>1.19998</v>
      </c>
      <c r="O2132" s="39" t="n">
        <f aca="false">J2132*Resumo!$C$8</f>
        <v>1.19998</v>
      </c>
      <c r="P2132" s="39" t="n">
        <f aca="false">Resumo!$C$10*CEILING(I2132/100,1)</f>
        <v>1</v>
      </c>
      <c r="Q2132" s="39" t="n">
        <f aca="false">Resumo!$C$9</f>
        <v>11.9</v>
      </c>
      <c r="R2132" s="39" t="n">
        <f aca="false">SUM(M2132:Q2132)*Resumo!$C$11</f>
        <v>4.2542478</v>
      </c>
      <c r="S2132" s="39" t="n">
        <f aca="false">SUM(M2132:R2132)</f>
        <v>81.6042078</v>
      </c>
      <c r="T2132" s="39" t="n">
        <f aca="false">S2132/(1-Resumo!$C$5)</f>
        <v>92.7320543181818</v>
      </c>
      <c r="U2132" s="39" t="n">
        <v>93.97</v>
      </c>
      <c r="V2132" s="39" t="n">
        <f aca="false">J2132*Resumo!$B$6</f>
        <v>0.59999</v>
      </c>
      <c r="W2132" s="39" t="n">
        <f aca="false">J2132*Resumo!$B$7</f>
        <v>1.19998</v>
      </c>
      <c r="X2132" s="39" t="n">
        <f aca="false">Resumo!$B$9</f>
        <v>1</v>
      </c>
      <c r="Y2132" s="39" t="n">
        <f aca="false">Resumo!$B$10*CEILING(I2132/100,1)</f>
        <v>4.5</v>
      </c>
      <c r="Z2132" s="39" t="n">
        <f aca="false">Resumo!$B$12*CEILING(I2132,1)</f>
        <v>2.4</v>
      </c>
      <c r="AA2132" s="39" t="n">
        <f aca="false">Resumo!$B$13*CEILING(I2132,1)</f>
        <v>18</v>
      </c>
      <c r="AB2132" s="39" t="n">
        <f aca="false">SUM(U2132:AA2132)</f>
        <v>121.66997</v>
      </c>
      <c r="AC2132" s="39" t="n">
        <f aca="false">AB2132/(1-Resumo!$B$5)</f>
        <v>138.261329545455</v>
      </c>
      <c r="AD2132" s="39" t="n">
        <f aca="false">(AB2132-AA2132)/(1-Resumo!$B$5)</f>
        <v>117.806784090909</v>
      </c>
      <c r="AE2132" s="39" t="n">
        <f aca="false">AC2132-T2132</f>
        <v>45.5292752272727</v>
      </c>
      <c r="AF2132" s="40" t="n">
        <f aca="false">AC2132/T2132-1</f>
        <v>0.490976669955492</v>
      </c>
      <c r="AG2132" s="37" t="str">
        <f aca="false">IF(AC2132&lt;T2132,"SIM","NÃO")</f>
        <v>NÃO</v>
      </c>
      <c r="AH2132" s="37" t="n">
        <v>8</v>
      </c>
      <c r="AI2132" s="37" t="n">
        <v>5</v>
      </c>
      <c r="AJ2132" s="37" t="s">
        <v>323</v>
      </c>
    </row>
    <row r="2133" customFormat="false" ht="15" hidden="false" customHeight="false" outlineLevel="0" collapsed="false">
      <c r="A2133" s="37" t="n">
        <v>399697333</v>
      </c>
      <c r="B2133" s="38" t="n">
        <v>46291.6246759259</v>
      </c>
      <c r="C2133" s="37" t="s">
        <v>325</v>
      </c>
      <c r="D2133" s="37" t="s">
        <v>2219</v>
      </c>
      <c r="E2133" s="37" t="n">
        <v>20261030</v>
      </c>
      <c r="F2133" s="37" t="s">
        <v>139</v>
      </c>
      <c r="G2133" s="37" t="s">
        <v>198</v>
      </c>
      <c r="H2133" s="37" t="s">
        <v>170</v>
      </c>
      <c r="I2133" s="37" t="n">
        <v>49.6</v>
      </c>
      <c r="J2133" s="39" t="n">
        <v>779.99</v>
      </c>
      <c r="K2133" s="37" t="s">
        <v>322</v>
      </c>
      <c r="L2133" s="39" t="n">
        <v>104.33</v>
      </c>
      <c r="M2133" s="39" t="n">
        <v>71</v>
      </c>
      <c r="N2133" s="39" t="n">
        <f aca="false">J2133*Resumo!$C$7</f>
        <v>1.55998</v>
      </c>
      <c r="O2133" s="39" t="n">
        <f aca="false">J2133*Resumo!$C$8</f>
        <v>1.55998</v>
      </c>
      <c r="P2133" s="39" t="n">
        <f aca="false">Resumo!$C$10*CEILING(I2133/100,1)</f>
        <v>1</v>
      </c>
      <c r="Q2133" s="39" t="n">
        <f aca="false">Resumo!$C$9</f>
        <v>11.9</v>
      </c>
      <c r="R2133" s="39" t="n">
        <f aca="false">SUM(M2133:Q2133)*Resumo!$C$11</f>
        <v>4.7860978</v>
      </c>
      <c r="S2133" s="39" t="n">
        <f aca="false">SUM(M2133:R2133)</f>
        <v>91.8060578</v>
      </c>
      <c r="T2133" s="39" t="n">
        <f aca="false">S2133/(1-Resumo!$C$5)</f>
        <v>104.325065681818</v>
      </c>
      <c r="U2133" s="39" t="n">
        <v>93.97</v>
      </c>
      <c r="V2133" s="39" t="n">
        <f aca="false">J2133*Resumo!$B$6</f>
        <v>0.77999</v>
      </c>
      <c r="W2133" s="39" t="n">
        <f aca="false">J2133*Resumo!$B$7</f>
        <v>1.55998</v>
      </c>
      <c r="X2133" s="39" t="n">
        <f aca="false">Resumo!$B$9</f>
        <v>1</v>
      </c>
      <c r="Y2133" s="39" t="n">
        <f aca="false">Resumo!$B$10*CEILING(I2133/100,1)</f>
        <v>4.5</v>
      </c>
      <c r="Z2133" s="39" t="n">
        <f aca="false">Resumo!$B$12*CEILING(I2133,1)</f>
        <v>3</v>
      </c>
      <c r="AA2133" s="39" t="n">
        <f aca="false">Resumo!$B$13*CEILING(I2133,1)</f>
        <v>22.5</v>
      </c>
      <c r="AB2133" s="39" t="n">
        <f aca="false">SUM(U2133:AA2133)</f>
        <v>127.30997</v>
      </c>
      <c r="AC2133" s="39" t="n">
        <f aca="false">AB2133/(1-Resumo!$B$5)</f>
        <v>144.670420454545</v>
      </c>
      <c r="AD2133" s="39" t="n">
        <f aca="false">(AB2133-AA2133)/(1-Resumo!$B$5)</f>
        <v>119.102238636364</v>
      </c>
      <c r="AE2133" s="39" t="n">
        <f aca="false">AC2133-T2133</f>
        <v>40.3453547727273</v>
      </c>
      <c r="AF2133" s="40" t="n">
        <f aca="false">AC2133/T2133-1</f>
        <v>0.386727336417663</v>
      </c>
      <c r="AG2133" s="37" t="str">
        <f aca="false">IF(AC2133&lt;T2133,"SIM","NÃO")</f>
        <v>NÃO</v>
      </c>
      <c r="AH2133" s="37" t="n">
        <v>8</v>
      </c>
      <c r="AI2133" s="37" t="n">
        <v>5</v>
      </c>
      <c r="AJ2133" s="37" t="s">
        <v>323</v>
      </c>
    </row>
    <row r="2134" customFormat="false" ht="15" hidden="false" customHeight="false" outlineLevel="0" collapsed="false">
      <c r="A2134" s="37" t="n">
        <v>399709044</v>
      </c>
      <c r="B2134" s="38" t="n">
        <v>46291.6550694444</v>
      </c>
      <c r="C2134" s="37" t="s">
        <v>325</v>
      </c>
      <c r="D2134" s="37" t="s">
        <v>2220</v>
      </c>
      <c r="E2134" s="37" t="n">
        <v>28013602</v>
      </c>
      <c r="F2134" s="37" t="s">
        <v>144</v>
      </c>
      <c r="G2134" s="37" t="s">
        <v>201</v>
      </c>
      <c r="H2134" s="37" t="s">
        <v>169</v>
      </c>
      <c r="I2134" s="37" t="n">
        <v>36</v>
      </c>
      <c r="J2134" s="39" t="n">
        <v>383</v>
      </c>
      <c r="K2134" s="37" t="s">
        <v>322</v>
      </c>
      <c r="L2134" s="39" t="n">
        <v>122.09</v>
      </c>
      <c r="M2134" s="39" t="n">
        <v>87.4</v>
      </c>
      <c r="N2134" s="39" t="n">
        <f aca="false">J2134*Resumo!$C$7</f>
        <v>0.766</v>
      </c>
      <c r="O2134" s="39" t="n">
        <f aca="false">J2134*Resumo!$C$8</f>
        <v>0.766</v>
      </c>
      <c r="P2134" s="39" t="n">
        <f aca="false">Resumo!$C$10*CEILING(I2134/100,1)</f>
        <v>1</v>
      </c>
      <c r="Q2134" s="39" t="n">
        <f aca="false">Resumo!$C$9</f>
        <v>11.9</v>
      </c>
      <c r="R2134" s="39" t="n">
        <f aca="false">SUM(M2134:Q2134)*Resumo!$C$11</f>
        <v>5.60076</v>
      </c>
      <c r="S2134" s="39" t="n">
        <f aca="false">SUM(M2134:R2134)</f>
        <v>107.43276</v>
      </c>
      <c r="T2134" s="39" t="n">
        <f aca="false">S2134/(1-Resumo!$C$5)</f>
        <v>122.082681818182</v>
      </c>
      <c r="U2134" s="39" t="n">
        <v>143.04</v>
      </c>
      <c r="V2134" s="39" t="n">
        <f aca="false">J2134*Resumo!$B$6</f>
        <v>0.383</v>
      </c>
      <c r="W2134" s="39" t="n">
        <f aca="false">J2134*Resumo!$B$7</f>
        <v>0.766</v>
      </c>
      <c r="X2134" s="39" t="n">
        <f aca="false">Resumo!$B$9</f>
        <v>1</v>
      </c>
      <c r="Y2134" s="39" t="n">
        <f aca="false">Resumo!$B$10*CEILING(I2134/100,1)</f>
        <v>4.5</v>
      </c>
      <c r="Z2134" s="39" t="n">
        <f aca="false">Resumo!$B$12*CEILING(I2134,1)</f>
        <v>2.16</v>
      </c>
      <c r="AA2134" s="39" t="n">
        <f aca="false">Resumo!$B$13*CEILING(I2134,1)</f>
        <v>16.2</v>
      </c>
      <c r="AB2134" s="39" t="n">
        <f aca="false">SUM(U2134:AA2134)</f>
        <v>168.049</v>
      </c>
      <c r="AC2134" s="39" t="n">
        <f aca="false">AB2134/(1-Resumo!$B$5)</f>
        <v>190.964772727273</v>
      </c>
      <c r="AD2134" s="39" t="n">
        <f aca="false">(AB2134-AA2134)/(1-Resumo!$B$5)</f>
        <v>172.555681818182</v>
      </c>
      <c r="AE2134" s="39" t="n">
        <f aca="false">AC2134-T2134</f>
        <v>68.8820909090909</v>
      </c>
      <c r="AF2134" s="40" t="n">
        <f aca="false">AC2134/T2134-1</f>
        <v>0.564224916124281</v>
      </c>
      <c r="AG2134" s="37" t="str">
        <f aca="false">IF(AC2134&lt;T2134,"SIM","NÃO")</f>
        <v>NÃO</v>
      </c>
      <c r="AH2134" s="37" t="n">
        <v>13</v>
      </c>
      <c r="AI2134" s="37" t="n">
        <v>11</v>
      </c>
      <c r="AJ2134" s="37" t="s">
        <v>323</v>
      </c>
    </row>
    <row r="2135" customFormat="false" ht="15" hidden="false" customHeight="false" outlineLevel="0" collapsed="false">
      <c r="A2135" s="37" t="n">
        <v>399709578</v>
      </c>
      <c r="B2135" s="38" t="n">
        <v>46291.6562847222</v>
      </c>
      <c r="C2135" s="37" t="s">
        <v>325</v>
      </c>
      <c r="D2135" s="37" t="s">
        <v>2221</v>
      </c>
      <c r="E2135" s="37" t="n">
        <v>28897036</v>
      </c>
      <c r="F2135" s="37" t="s">
        <v>158</v>
      </c>
      <c r="G2135" s="37" t="s">
        <v>201</v>
      </c>
      <c r="H2135" s="37" t="s">
        <v>169</v>
      </c>
      <c r="I2135" s="37" t="n">
        <v>40</v>
      </c>
      <c r="J2135" s="39" t="n">
        <v>649.99</v>
      </c>
      <c r="K2135" s="37" t="s">
        <v>322</v>
      </c>
      <c r="L2135" s="39" t="n">
        <v>123.36</v>
      </c>
      <c r="M2135" s="39" t="n">
        <v>87.4</v>
      </c>
      <c r="N2135" s="39" t="n">
        <f aca="false">J2135*Resumo!$C$7</f>
        <v>1.29998</v>
      </c>
      <c r="O2135" s="39" t="n">
        <f aca="false">J2135*Resumo!$C$8</f>
        <v>1.29998</v>
      </c>
      <c r="P2135" s="39" t="n">
        <f aca="false">Resumo!$C$10*CEILING(I2135/100,1)</f>
        <v>1</v>
      </c>
      <c r="Q2135" s="39" t="n">
        <f aca="false">Resumo!$C$9</f>
        <v>11.9</v>
      </c>
      <c r="R2135" s="39" t="n">
        <f aca="false">SUM(M2135:Q2135)*Resumo!$C$11</f>
        <v>5.6594978</v>
      </c>
      <c r="S2135" s="39" t="n">
        <f aca="false">SUM(M2135:R2135)</f>
        <v>108.5594578</v>
      </c>
      <c r="T2135" s="39" t="n">
        <f aca="false">S2135/(1-Resumo!$C$5)</f>
        <v>123.363020227273</v>
      </c>
      <c r="U2135" s="39" t="n">
        <v>124.38</v>
      </c>
      <c r="V2135" s="39" t="n">
        <f aca="false">J2135*Resumo!$B$6</f>
        <v>0.64999</v>
      </c>
      <c r="W2135" s="39" t="n">
        <f aca="false">J2135*Resumo!$B$7</f>
        <v>1.29998</v>
      </c>
      <c r="X2135" s="39" t="n">
        <f aca="false">Resumo!$B$9</f>
        <v>1</v>
      </c>
      <c r="Y2135" s="39" t="n">
        <f aca="false">Resumo!$B$10*CEILING(I2135/100,1)</f>
        <v>4.5</v>
      </c>
      <c r="Z2135" s="39" t="n">
        <f aca="false">Resumo!$B$12*CEILING(I2135,1)</f>
        <v>2.4</v>
      </c>
      <c r="AA2135" s="39" t="n">
        <f aca="false">Resumo!$B$13*CEILING(I2135,1)</f>
        <v>18</v>
      </c>
      <c r="AB2135" s="39" t="n">
        <f aca="false">SUM(U2135:AA2135)</f>
        <v>152.22997</v>
      </c>
      <c r="AC2135" s="39" t="n">
        <f aca="false">AB2135/(1-Resumo!$B$5)</f>
        <v>172.988602272727</v>
      </c>
      <c r="AD2135" s="39" t="n">
        <f aca="false">(AB2135-AA2135)/(1-Resumo!$B$5)</f>
        <v>152.534056818182</v>
      </c>
      <c r="AE2135" s="39" t="n">
        <f aca="false">AC2135-T2135</f>
        <v>49.6255820454546</v>
      </c>
      <c r="AF2135" s="40" t="n">
        <f aca="false">AC2135/T2135-1</f>
        <v>0.402272755271628</v>
      </c>
      <c r="AG2135" s="37" t="str">
        <f aca="false">IF(AC2135&lt;T2135,"SIM","NÃO")</f>
        <v>NÃO</v>
      </c>
      <c r="AH2135" s="37" t="n">
        <v>13</v>
      </c>
      <c r="AI2135" s="37" t="n">
        <v>10</v>
      </c>
      <c r="AJ2135" s="37" t="s">
        <v>323</v>
      </c>
    </row>
    <row r="2136" customFormat="false" ht="15" hidden="false" customHeight="false" outlineLevel="0" collapsed="false">
      <c r="A2136" s="37" t="n">
        <v>399712769</v>
      </c>
      <c r="B2136" s="38" t="n">
        <v>46291.6652662037</v>
      </c>
      <c r="C2136" s="37" t="s">
        <v>320</v>
      </c>
      <c r="D2136" s="37" t="s">
        <v>2222</v>
      </c>
      <c r="E2136" s="37" t="n">
        <v>25953003</v>
      </c>
      <c r="F2136" s="37" t="s">
        <v>221</v>
      </c>
      <c r="G2136" s="37" t="s">
        <v>201</v>
      </c>
      <c r="H2136" s="37" t="s">
        <v>172</v>
      </c>
      <c r="I2136" s="37" t="n">
        <v>69.6</v>
      </c>
      <c r="J2136" s="39" t="n">
        <v>839.99</v>
      </c>
      <c r="K2136" s="37" t="s">
        <v>322</v>
      </c>
      <c r="L2136" s="39" t="n">
        <v>156.05</v>
      </c>
      <c r="M2136" s="39" t="n">
        <v>113.9</v>
      </c>
      <c r="N2136" s="39" t="n">
        <f aca="false">J2136*Resumo!$C$7</f>
        <v>1.67998</v>
      </c>
      <c r="O2136" s="39" t="n">
        <f aca="false">J2136*Resumo!$C$8</f>
        <v>1.67998</v>
      </c>
      <c r="P2136" s="39" t="n">
        <f aca="false">Resumo!$C$10*CEILING(I2136/100,1)</f>
        <v>1</v>
      </c>
      <c r="Q2136" s="39" t="n">
        <f aca="false">Resumo!$C$9</f>
        <v>11.9</v>
      </c>
      <c r="R2136" s="39" t="n">
        <f aca="false">SUM(M2136:Q2136)*Resumo!$C$11</f>
        <v>7.1587978</v>
      </c>
      <c r="S2136" s="39" t="n">
        <f aca="false">SUM(M2136:R2136)</f>
        <v>137.3187578</v>
      </c>
      <c r="T2136" s="39" t="n">
        <f aca="false">S2136/(1-Resumo!$C$5)</f>
        <v>156.044042954545</v>
      </c>
      <c r="U2136" s="39" t="n">
        <v>166.05</v>
      </c>
      <c r="V2136" s="39" t="n">
        <f aca="false">J2136*Resumo!$B$6</f>
        <v>0.83999</v>
      </c>
      <c r="W2136" s="39" t="n">
        <f aca="false">J2136*Resumo!$B$7</f>
        <v>1.67998</v>
      </c>
      <c r="X2136" s="39" t="n">
        <f aca="false">Resumo!$B$9</f>
        <v>1</v>
      </c>
      <c r="Y2136" s="39" t="n">
        <f aca="false">Resumo!$B$10*CEILING(I2136/100,1)</f>
        <v>4.5</v>
      </c>
      <c r="Z2136" s="39" t="n">
        <f aca="false">Resumo!$B$12*CEILING(I2136,1)</f>
        <v>4.2</v>
      </c>
      <c r="AA2136" s="39" t="n">
        <f aca="false">Resumo!$B$13*CEILING(I2136,1)</f>
        <v>31.5</v>
      </c>
      <c r="AB2136" s="39" t="n">
        <f aca="false">SUM(U2136:AA2136)</f>
        <v>209.76997</v>
      </c>
      <c r="AC2136" s="39" t="n">
        <f aca="false">AB2136/(1-Resumo!$B$5)</f>
        <v>238.374965909091</v>
      </c>
      <c r="AD2136" s="39" t="n">
        <f aca="false">(AB2136-AA2136)/(1-Resumo!$B$5)</f>
        <v>202.579511363636</v>
      </c>
      <c r="AE2136" s="39" t="n">
        <f aca="false">AC2136-T2136</f>
        <v>82.3309229545455</v>
      </c>
      <c r="AF2136" s="40" t="n">
        <f aca="false">AC2136/T2136-1</f>
        <v>0.527613367326864</v>
      </c>
      <c r="AG2136" s="37" t="str">
        <f aca="false">IF(AC2136&lt;T2136,"SIM","NÃO")</f>
        <v>NÃO</v>
      </c>
      <c r="AH2136" s="37" t="n">
        <v>13</v>
      </c>
      <c r="AI2136" s="37" t="n">
        <v>10</v>
      </c>
      <c r="AJ2136" s="37" t="s">
        <v>327</v>
      </c>
    </row>
    <row r="2137" customFormat="false" ht="15" hidden="false" customHeight="false" outlineLevel="0" collapsed="false">
      <c r="A2137" s="37" t="n">
        <v>399730709</v>
      </c>
      <c r="B2137" s="38" t="n">
        <v>46291.7109259259</v>
      </c>
      <c r="C2137" s="37" t="s">
        <v>352</v>
      </c>
      <c r="D2137" s="37" t="s">
        <v>2223</v>
      </c>
      <c r="E2137" s="37" t="n">
        <v>20771580</v>
      </c>
      <c r="F2137" s="37" t="s">
        <v>139</v>
      </c>
      <c r="G2137" s="37" t="s">
        <v>198</v>
      </c>
      <c r="H2137" s="37" t="s">
        <v>170</v>
      </c>
      <c r="I2137" s="37" t="n">
        <v>45.3</v>
      </c>
      <c r="J2137" s="39" t="n">
        <v>679.99</v>
      </c>
      <c r="K2137" s="37" t="s">
        <v>322</v>
      </c>
      <c r="L2137" s="39" t="n">
        <v>103.84</v>
      </c>
      <c r="M2137" s="39" t="n">
        <v>71</v>
      </c>
      <c r="N2137" s="39" t="n">
        <f aca="false">J2137*Resumo!$C$7</f>
        <v>1.35998</v>
      </c>
      <c r="O2137" s="39" t="n">
        <f aca="false">J2137*Resumo!$C$8</f>
        <v>1.35998</v>
      </c>
      <c r="P2137" s="39" t="n">
        <f aca="false">Resumo!$C$10*CEILING(I2137/100,1)</f>
        <v>1</v>
      </c>
      <c r="Q2137" s="39" t="n">
        <f aca="false">Resumo!$C$9</f>
        <v>11.9</v>
      </c>
      <c r="R2137" s="39" t="n">
        <f aca="false">SUM(M2137:Q2137)*Resumo!$C$11</f>
        <v>4.7640978</v>
      </c>
      <c r="S2137" s="39" t="n">
        <f aca="false">SUM(M2137:R2137)</f>
        <v>91.3840578</v>
      </c>
      <c r="T2137" s="39" t="n">
        <f aca="false">S2137/(1-Resumo!$C$5)</f>
        <v>103.845520227273</v>
      </c>
      <c r="U2137" s="39" t="n">
        <v>93.97</v>
      </c>
      <c r="V2137" s="39" t="n">
        <f aca="false">J2137*Resumo!$B$6</f>
        <v>0.67999</v>
      </c>
      <c r="W2137" s="39" t="n">
        <f aca="false">J2137*Resumo!$B$7</f>
        <v>1.35998</v>
      </c>
      <c r="X2137" s="39" t="n">
        <f aca="false">Resumo!$B$9</f>
        <v>1</v>
      </c>
      <c r="Y2137" s="39" t="n">
        <f aca="false">Resumo!$B$10*CEILING(I2137/100,1)</f>
        <v>4.5</v>
      </c>
      <c r="Z2137" s="39" t="n">
        <f aca="false">Resumo!$B$12*CEILING(I2137,1)</f>
        <v>2.76</v>
      </c>
      <c r="AA2137" s="39" t="n">
        <f aca="false">Resumo!$B$13*CEILING(I2137,1)</f>
        <v>20.7</v>
      </c>
      <c r="AB2137" s="39" t="n">
        <f aca="false">SUM(U2137:AA2137)</f>
        <v>124.96997</v>
      </c>
      <c r="AC2137" s="39" t="n">
        <f aca="false">AB2137/(1-Resumo!$B$5)</f>
        <v>142.011329545455</v>
      </c>
      <c r="AD2137" s="39" t="n">
        <f aca="false">(AB2137-AA2137)/(1-Resumo!$B$5)</f>
        <v>118.488602272727</v>
      </c>
      <c r="AE2137" s="39" t="n">
        <f aca="false">AC2137-T2137</f>
        <v>38.1658093181818</v>
      </c>
      <c r="AF2137" s="40" t="n">
        <f aca="false">AC2137/T2137-1</f>
        <v>0.367524850707603</v>
      </c>
      <c r="AG2137" s="37" t="str">
        <f aca="false">IF(AC2137&lt;T2137,"SIM","NÃO")</f>
        <v>NÃO</v>
      </c>
      <c r="AH2137" s="37" t="n">
        <v>8</v>
      </c>
      <c r="AI2137" s="37" t="n">
        <v>5</v>
      </c>
      <c r="AJ2137" s="37" t="s">
        <v>323</v>
      </c>
    </row>
    <row r="2138" customFormat="false" ht="15" hidden="false" customHeight="false" outlineLevel="0" collapsed="false">
      <c r="A2138" s="37" t="n">
        <v>399737121</v>
      </c>
      <c r="B2138" s="38" t="n">
        <v>46291.7183101852</v>
      </c>
      <c r="C2138" s="37" t="s">
        <v>320</v>
      </c>
      <c r="D2138" s="37" t="s">
        <v>632</v>
      </c>
      <c r="E2138" s="37" t="n">
        <v>23860000</v>
      </c>
      <c r="F2138" s="37" t="s">
        <v>203</v>
      </c>
      <c r="G2138" s="37" t="s">
        <v>201</v>
      </c>
      <c r="H2138" s="37" t="s">
        <v>171</v>
      </c>
      <c r="I2138" s="37" t="n">
        <v>52.3</v>
      </c>
      <c r="J2138" s="39" t="n">
        <v>653.04</v>
      </c>
      <c r="K2138" s="37" t="s">
        <v>322</v>
      </c>
      <c r="L2138" s="39" t="n">
        <v>142.81</v>
      </c>
      <c r="M2138" s="39" t="n">
        <v>103.6</v>
      </c>
      <c r="N2138" s="39" t="n">
        <f aca="false">J2138*Resumo!$C$7</f>
        <v>1.30608</v>
      </c>
      <c r="O2138" s="39" t="n">
        <f aca="false">J2138*Resumo!$C$8</f>
        <v>1.30608</v>
      </c>
      <c r="P2138" s="39" t="n">
        <f aca="false">Resumo!$C$10*CEILING(I2138/100,1)</f>
        <v>1</v>
      </c>
      <c r="Q2138" s="39" t="n">
        <f aca="false">Resumo!$C$9</f>
        <v>11.9</v>
      </c>
      <c r="R2138" s="39" t="n">
        <f aca="false">SUM(M2138:Q2138)*Resumo!$C$11</f>
        <v>6.5511688</v>
      </c>
      <c r="S2138" s="39" t="n">
        <f aca="false">SUM(M2138:R2138)</f>
        <v>125.6633288</v>
      </c>
      <c r="T2138" s="39" t="n">
        <f aca="false">S2138/(1-Resumo!$C$5)</f>
        <v>142.799237272727</v>
      </c>
      <c r="U2138" s="39" t="n">
        <v>142.32</v>
      </c>
      <c r="V2138" s="39" t="n">
        <f aca="false">J2138*Resumo!$B$6</f>
        <v>0.65304</v>
      </c>
      <c r="W2138" s="39" t="n">
        <f aca="false">J2138*Resumo!$B$7</f>
        <v>1.30608</v>
      </c>
      <c r="X2138" s="39" t="n">
        <f aca="false">Resumo!$B$9</f>
        <v>1</v>
      </c>
      <c r="Y2138" s="39" t="n">
        <f aca="false">Resumo!$B$10*CEILING(I2138/100,1)</f>
        <v>4.5</v>
      </c>
      <c r="Z2138" s="39" t="n">
        <f aca="false">Resumo!$B$12*CEILING(I2138,1)</f>
        <v>3.18</v>
      </c>
      <c r="AA2138" s="39" t="n">
        <f aca="false">Resumo!$B$13*CEILING(I2138,1)</f>
        <v>23.85</v>
      </c>
      <c r="AB2138" s="39" t="n">
        <f aca="false">SUM(U2138:AA2138)</f>
        <v>176.80912</v>
      </c>
      <c r="AC2138" s="39" t="n">
        <f aca="false">AB2138/(1-Resumo!$B$5)</f>
        <v>200.919454545455</v>
      </c>
      <c r="AD2138" s="39" t="n">
        <f aca="false">(AB2138-AA2138)/(1-Resumo!$B$5)</f>
        <v>173.817181818182</v>
      </c>
      <c r="AE2138" s="39" t="n">
        <f aca="false">AC2138-T2138</f>
        <v>58.1202172727273</v>
      </c>
      <c r="AF2138" s="40" t="n">
        <f aca="false">AC2138/T2138-1</f>
        <v>0.407006496552398</v>
      </c>
      <c r="AG2138" s="37" t="str">
        <f aca="false">IF(AC2138&lt;T2138,"SIM","NÃO")</f>
        <v>NÃO</v>
      </c>
      <c r="AH2138" s="37" t="n">
        <v>13</v>
      </c>
      <c r="AI2138" s="37" t="n">
        <v>10</v>
      </c>
      <c r="AJ2138" s="37" t="s">
        <v>327</v>
      </c>
    </row>
    <row r="2139" customFormat="false" ht="15" hidden="false" customHeight="false" outlineLevel="0" collapsed="false">
      <c r="A2139" s="37" t="n">
        <v>399762199</v>
      </c>
      <c r="B2139" s="38" t="n">
        <v>46291.7826967593</v>
      </c>
      <c r="C2139" s="37" t="s">
        <v>320</v>
      </c>
      <c r="D2139" s="37" t="s">
        <v>2224</v>
      </c>
      <c r="E2139" s="37" t="n">
        <v>24451001</v>
      </c>
      <c r="F2139" s="37" t="s">
        <v>140</v>
      </c>
      <c r="G2139" s="37" t="s">
        <v>207</v>
      </c>
      <c r="H2139" s="37" t="s">
        <v>171</v>
      </c>
      <c r="I2139" s="37" t="n">
        <v>52.3</v>
      </c>
      <c r="J2139" s="39" t="n">
        <v>636.83</v>
      </c>
      <c r="K2139" s="37" t="s">
        <v>322</v>
      </c>
      <c r="L2139" s="39" t="n">
        <v>128.33</v>
      </c>
      <c r="M2139" s="39" t="n">
        <v>91.6</v>
      </c>
      <c r="N2139" s="39" t="n">
        <f aca="false">J2139*Resumo!$C$7</f>
        <v>1.27366</v>
      </c>
      <c r="O2139" s="39" t="n">
        <f aca="false">J2139*Resumo!$C$8</f>
        <v>1.27366</v>
      </c>
      <c r="P2139" s="39" t="n">
        <f aca="false">Resumo!$C$10*CEILING(I2139/100,1)</f>
        <v>1</v>
      </c>
      <c r="Q2139" s="39" t="n">
        <f aca="false">Resumo!$C$9</f>
        <v>11.9</v>
      </c>
      <c r="R2139" s="39" t="n">
        <f aca="false">SUM(M2139:Q2139)*Resumo!$C$11</f>
        <v>5.8876026</v>
      </c>
      <c r="S2139" s="39" t="n">
        <f aca="false">SUM(M2139:R2139)</f>
        <v>112.9349226</v>
      </c>
      <c r="T2139" s="39" t="n">
        <f aca="false">S2139/(1-Resumo!$C$5)</f>
        <v>128.335139318182</v>
      </c>
      <c r="U2139" s="39" t="n">
        <v>128.14</v>
      </c>
      <c r="V2139" s="39" t="n">
        <f aca="false">J2139*Resumo!$B$6</f>
        <v>0.63683</v>
      </c>
      <c r="W2139" s="39" t="n">
        <f aca="false">J2139*Resumo!$B$7</f>
        <v>1.27366</v>
      </c>
      <c r="X2139" s="39" t="n">
        <f aca="false">Resumo!$B$9</f>
        <v>1</v>
      </c>
      <c r="Y2139" s="39" t="n">
        <f aca="false">Resumo!$B$10*CEILING(I2139/100,1)</f>
        <v>4.5</v>
      </c>
      <c r="Z2139" s="39" t="n">
        <f aca="false">Resumo!$B$12*CEILING(I2139,1)</f>
        <v>3.18</v>
      </c>
      <c r="AA2139" s="39" t="n">
        <f aca="false">Resumo!$B$13*CEILING(I2139,1)</f>
        <v>23.85</v>
      </c>
      <c r="AB2139" s="39" t="n">
        <f aca="false">SUM(U2139:AA2139)</f>
        <v>162.58049</v>
      </c>
      <c r="AC2139" s="39" t="n">
        <f aca="false">AB2139/(1-Resumo!$B$5)</f>
        <v>184.750556818182</v>
      </c>
      <c r="AD2139" s="39" t="n">
        <f aca="false">(AB2139-AA2139)/(1-Resumo!$B$5)</f>
        <v>157.648284090909</v>
      </c>
      <c r="AE2139" s="39" t="n">
        <f aca="false">AC2139-T2139</f>
        <v>56.4154175</v>
      </c>
      <c r="AF2139" s="40" t="n">
        <f aca="false">AC2139/T2139-1</f>
        <v>0.439594469602975</v>
      </c>
      <c r="AG2139" s="37" t="str">
        <f aca="false">IF(AC2139&lt;T2139,"SIM","NÃO")</f>
        <v>NÃO</v>
      </c>
      <c r="AH2139" s="37" t="n">
        <v>10</v>
      </c>
      <c r="AI2139" s="37" t="n">
        <v>7</v>
      </c>
      <c r="AJ2139" s="37" t="s">
        <v>323</v>
      </c>
    </row>
    <row r="2140" customFormat="false" ht="15" hidden="false" customHeight="false" outlineLevel="0" collapsed="false">
      <c r="A2140" s="37" t="n">
        <v>399784240</v>
      </c>
      <c r="B2140" s="38" t="n">
        <v>46291.8191550926</v>
      </c>
      <c r="C2140" s="37" t="s">
        <v>517</v>
      </c>
      <c r="D2140" s="37" t="s">
        <v>2225</v>
      </c>
      <c r="E2140" s="37" t="n">
        <v>22740050</v>
      </c>
      <c r="F2140" s="37" t="s">
        <v>139</v>
      </c>
      <c r="G2140" s="37" t="s">
        <v>198</v>
      </c>
      <c r="H2140" s="37" t="s">
        <v>170</v>
      </c>
      <c r="I2140" s="37" t="n">
        <v>41</v>
      </c>
      <c r="J2140" s="39" t="n">
        <v>499.79</v>
      </c>
      <c r="K2140" s="37" t="s">
        <v>322</v>
      </c>
      <c r="L2140" s="39" t="n">
        <v>102.98</v>
      </c>
      <c r="M2140" s="39" t="n">
        <v>71</v>
      </c>
      <c r="N2140" s="39" t="n">
        <f aca="false">J2140*Resumo!$C$7</f>
        <v>0.99958</v>
      </c>
      <c r="O2140" s="39" t="n">
        <f aca="false">J2140*Resumo!$C$8</f>
        <v>0.99958</v>
      </c>
      <c r="P2140" s="39" t="n">
        <f aca="false">Resumo!$C$10*CEILING(I2140/100,1)</f>
        <v>1</v>
      </c>
      <c r="Q2140" s="39" t="n">
        <f aca="false">Resumo!$C$9</f>
        <v>11.9</v>
      </c>
      <c r="R2140" s="39" t="n">
        <f aca="false">SUM(M2140:Q2140)*Resumo!$C$11</f>
        <v>4.7244538</v>
      </c>
      <c r="S2140" s="39" t="n">
        <f aca="false">SUM(M2140:R2140)</f>
        <v>90.6236138</v>
      </c>
      <c r="T2140" s="39" t="n">
        <f aca="false">S2140/(1-Resumo!$C$5)</f>
        <v>102.981379318182</v>
      </c>
      <c r="U2140" s="39" t="n">
        <v>93.97</v>
      </c>
      <c r="V2140" s="39" t="n">
        <f aca="false">J2140*Resumo!$B$6</f>
        <v>0.49979</v>
      </c>
      <c r="W2140" s="39" t="n">
        <f aca="false">J2140*Resumo!$B$7</f>
        <v>0.99958</v>
      </c>
      <c r="X2140" s="39" t="n">
        <f aca="false">Resumo!$B$9</f>
        <v>1</v>
      </c>
      <c r="Y2140" s="39" t="n">
        <f aca="false">Resumo!$B$10*CEILING(I2140/100,1)</f>
        <v>4.5</v>
      </c>
      <c r="Z2140" s="39" t="n">
        <f aca="false">Resumo!$B$12*CEILING(I2140,1)</f>
        <v>2.46</v>
      </c>
      <c r="AA2140" s="39" t="n">
        <f aca="false">Resumo!$B$13*CEILING(I2140,1)</f>
        <v>18.45</v>
      </c>
      <c r="AB2140" s="39" t="n">
        <f aca="false">SUM(U2140:AA2140)</f>
        <v>121.87937</v>
      </c>
      <c r="AC2140" s="39" t="n">
        <f aca="false">AB2140/(1-Resumo!$B$5)</f>
        <v>138.499284090909</v>
      </c>
      <c r="AD2140" s="39" t="n">
        <f aca="false">(AB2140-AA2140)/(1-Resumo!$B$5)</f>
        <v>117.533375</v>
      </c>
      <c r="AE2140" s="39" t="n">
        <f aca="false">AC2140-T2140</f>
        <v>35.5179047727273</v>
      </c>
      <c r="AF2140" s="40" t="n">
        <f aca="false">AC2140/T2140-1</f>
        <v>0.344896378431556</v>
      </c>
      <c r="AG2140" s="37" t="str">
        <f aca="false">IF(AC2140&lt;T2140,"SIM","NÃO")</f>
        <v>NÃO</v>
      </c>
      <c r="AH2140" s="37" t="n">
        <v>8</v>
      </c>
      <c r="AI2140" s="37" t="n">
        <v>5</v>
      </c>
      <c r="AJ2140" s="37" t="s">
        <v>323</v>
      </c>
    </row>
    <row r="2141" customFormat="false" ht="15" hidden="false" customHeight="false" outlineLevel="0" collapsed="false">
      <c r="A2141" s="37" t="n">
        <v>399786001</v>
      </c>
      <c r="B2141" s="38" t="n">
        <v>46291.8481597222</v>
      </c>
      <c r="C2141" s="37" t="s">
        <v>352</v>
      </c>
      <c r="D2141" s="37" t="s">
        <v>2226</v>
      </c>
      <c r="E2141" s="37" t="n">
        <v>26293552</v>
      </c>
      <c r="F2141" s="37" t="s">
        <v>142</v>
      </c>
      <c r="G2141" s="37" t="s">
        <v>207</v>
      </c>
      <c r="H2141" s="37" t="s">
        <v>170</v>
      </c>
      <c r="I2141" s="37" t="n">
        <v>48</v>
      </c>
      <c r="J2141" s="39" t="n">
        <v>1014.99</v>
      </c>
      <c r="K2141" s="37" t="s">
        <v>322</v>
      </c>
      <c r="L2141" s="39" t="n">
        <v>118.94</v>
      </c>
      <c r="M2141" s="39" t="n">
        <v>82.25</v>
      </c>
      <c r="N2141" s="39" t="n">
        <f aca="false">J2141*Resumo!$C$7</f>
        <v>2.02998</v>
      </c>
      <c r="O2141" s="39" t="n">
        <f aca="false">J2141*Resumo!$C$8</f>
        <v>2.02998</v>
      </c>
      <c r="P2141" s="39" t="n">
        <f aca="false">Resumo!$C$10*CEILING(I2141/100,1)</f>
        <v>1</v>
      </c>
      <c r="Q2141" s="39" t="n">
        <f aca="false">Resumo!$C$9</f>
        <v>11.9</v>
      </c>
      <c r="R2141" s="39" t="n">
        <f aca="false">SUM(M2141:Q2141)*Resumo!$C$11</f>
        <v>5.4565478</v>
      </c>
      <c r="S2141" s="39" t="n">
        <f aca="false">SUM(M2141:R2141)</f>
        <v>104.6665078</v>
      </c>
      <c r="T2141" s="39" t="n">
        <f aca="false">S2141/(1-Resumo!$C$5)</f>
        <v>118.939213409091</v>
      </c>
      <c r="U2141" s="39" t="n">
        <v>93.97</v>
      </c>
      <c r="V2141" s="39" t="n">
        <f aca="false">J2141*Resumo!$B$6</f>
        <v>1.01499</v>
      </c>
      <c r="W2141" s="39" t="n">
        <f aca="false">J2141*Resumo!$B$7</f>
        <v>2.02998</v>
      </c>
      <c r="X2141" s="39" t="n">
        <f aca="false">Resumo!$B$9</f>
        <v>1</v>
      </c>
      <c r="Y2141" s="39" t="n">
        <f aca="false">Resumo!$B$10*CEILING(I2141/100,1)</f>
        <v>4.5</v>
      </c>
      <c r="Z2141" s="39" t="n">
        <f aca="false">Resumo!$B$12*CEILING(I2141,1)</f>
        <v>2.88</v>
      </c>
      <c r="AA2141" s="39" t="n">
        <f aca="false">Resumo!$B$13*CEILING(I2141,1)</f>
        <v>21.6</v>
      </c>
      <c r="AB2141" s="39" t="n">
        <f aca="false">SUM(U2141:AA2141)</f>
        <v>126.99497</v>
      </c>
      <c r="AC2141" s="39" t="n">
        <f aca="false">AB2141/(1-Resumo!$B$5)</f>
        <v>144.312465909091</v>
      </c>
      <c r="AD2141" s="39" t="n">
        <f aca="false">(AB2141-AA2141)/(1-Resumo!$B$5)</f>
        <v>119.767011363636</v>
      </c>
      <c r="AE2141" s="39" t="n">
        <f aca="false">AC2141-T2141</f>
        <v>25.3732525</v>
      </c>
      <c r="AF2141" s="40" t="n">
        <f aca="false">AC2141/T2141-1</f>
        <v>0.213329580486873</v>
      </c>
      <c r="AG2141" s="37" t="str">
        <f aca="false">IF(AC2141&lt;T2141,"SIM","NÃO")</f>
        <v>NÃO</v>
      </c>
      <c r="AH2141" s="37" t="n">
        <v>10</v>
      </c>
      <c r="AI2141" s="37" t="n">
        <v>5</v>
      </c>
      <c r="AJ2141" s="37" t="s">
        <v>323</v>
      </c>
    </row>
    <row r="2142" customFormat="false" ht="15" hidden="false" customHeight="false" outlineLevel="0" collapsed="false">
      <c r="A2142" s="37" t="n">
        <v>399790345</v>
      </c>
      <c r="B2142" s="38" t="n">
        <v>46291.8579282407</v>
      </c>
      <c r="C2142" s="37" t="s">
        <v>320</v>
      </c>
      <c r="D2142" s="37" t="s">
        <v>2227</v>
      </c>
      <c r="E2142" s="37" t="n">
        <v>27525260</v>
      </c>
      <c r="F2142" s="37" t="s">
        <v>236</v>
      </c>
      <c r="G2142" s="37" t="s">
        <v>201</v>
      </c>
      <c r="H2142" s="37" t="s">
        <v>172</v>
      </c>
      <c r="I2142" s="37" t="n">
        <v>63</v>
      </c>
      <c r="J2142" s="39" t="n">
        <v>769.69</v>
      </c>
      <c r="K2142" s="37" t="s">
        <v>322</v>
      </c>
      <c r="L2142" s="39" t="n">
        <v>155.7</v>
      </c>
      <c r="M2142" s="39" t="n">
        <v>113.9</v>
      </c>
      <c r="N2142" s="39" t="n">
        <f aca="false">J2142*Resumo!$C$7</f>
        <v>1.53938</v>
      </c>
      <c r="O2142" s="39" t="n">
        <f aca="false">J2142*Resumo!$C$8</f>
        <v>1.53938</v>
      </c>
      <c r="P2142" s="39" t="n">
        <f aca="false">Resumo!$C$10*CEILING(I2142/100,1)</f>
        <v>1</v>
      </c>
      <c r="Q2142" s="39" t="n">
        <f aca="false">Resumo!$C$9</f>
        <v>11.9</v>
      </c>
      <c r="R2142" s="39" t="n">
        <f aca="false">SUM(M2142:Q2142)*Resumo!$C$11</f>
        <v>7.1433318</v>
      </c>
      <c r="S2142" s="39" t="n">
        <f aca="false">SUM(M2142:R2142)</f>
        <v>137.0220918</v>
      </c>
      <c r="T2142" s="39" t="n">
        <f aca="false">S2142/(1-Resumo!$C$5)</f>
        <v>155.7069225</v>
      </c>
      <c r="U2142" s="39" t="n">
        <v>166.05</v>
      </c>
      <c r="V2142" s="39" t="n">
        <f aca="false">J2142*Resumo!$B$6</f>
        <v>0.76969</v>
      </c>
      <c r="W2142" s="39" t="n">
        <f aca="false">J2142*Resumo!$B$7</f>
        <v>1.53938</v>
      </c>
      <c r="X2142" s="39" t="n">
        <f aca="false">Resumo!$B$9</f>
        <v>1</v>
      </c>
      <c r="Y2142" s="39" t="n">
        <f aca="false">Resumo!$B$10*CEILING(I2142/100,1)</f>
        <v>4.5</v>
      </c>
      <c r="Z2142" s="39" t="n">
        <f aca="false">Resumo!$B$12*CEILING(I2142,1)</f>
        <v>3.78</v>
      </c>
      <c r="AA2142" s="39" t="n">
        <f aca="false">Resumo!$B$13*CEILING(I2142,1)</f>
        <v>28.35</v>
      </c>
      <c r="AB2142" s="39" t="n">
        <f aca="false">SUM(U2142:AA2142)</f>
        <v>205.98907</v>
      </c>
      <c r="AC2142" s="39" t="n">
        <f aca="false">AB2142/(1-Resumo!$B$5)</f>
        <v>234.078488636364</v>
      </c>
      <c r="AD2142" s="39" t="n">
        <f aca="false">(AB2142-AA2142)/(1-Resumo!$B$5)</f>
        <v>201.862579545455</v>
      </c>
      <c r="AE2142" s="39" t="n">
        <f aca="false">AC2142-T2142</f>
        <v>78.3715661363636</v>
      </c>
      <c r="AF2142" s="40" t="n">
        <f aca="false">AC2142/T2142-1</f>
        <v>0.503327436430218</v>
      </c>
      <c r="AG2142" s="37" t="str">
        <f aca="false">IF(AC2142&lt;T2142,"SIM","NÃO")</f>
        <v>NÃO</v>
      </c>
      <c r="AH2142" s="37" t="n">
        <v>13</v>
      </c>
      <c r="AI2142" s="37" t="n">
        <v>10</v>
      </c>
      <c r="AJ2142" s="37" t="s">
        <v>327</v>
      </c>
    </row>
    <row r="2143" customFormat="false" ht="15" hidden="false" customHeight="false" outlineLevel="0" collapsed="false">
      <c r="A2143" s="37" t="n">
        <v>399796282</v>
      </c>
      <c r="B2143" s="38" t="n">
        <v>46291.8747337963</v>
      </c>
      <c r="C2143" s="37" t="s">
        <v>320</v>
      </c>
      <c r="D2143" s="37" t="s">
        <v>2228</v>
      </c>
      <c r="E2143" s="37" t="n">
        <v>21380010</v>
      </c>
      <c r="F2143" s="37" t="s">
        <v>139</v>
      </c>
      <c r="G2143" s="37" t="s">
        <v>198</v>
      </c>
      <c r="H2143" s="37" t="s">
        <v>168</v>
      </c>
      <c r="I2143" s="37" t="n">
        <v>20.9</v>
      </c>
      <c r="J2143" s="39" t="n">
        <v>440.99</v>
      </c>
      <c r="K2143" s="37" t="s">
        <v>322</v>
      </c>
      <c r="L2143" s="39" t="n">
        <v>82.43</v>
      </c>
      <c r="M2143" s="39" t="n">
        <v>54.1</v>
      </c>
      <c r="N2143" s="39" t="n">
        <f aca="false">J2143*Resumo!$C$7</f>
        <v>0.88198</v>
      </c>
      <c r="O2143" s="39" t="n">
        <f aca="false">J2143*Resumo!$C$8</f>
        <v>0.88198</v>
      </c>
      <c r="P2143" s="39" t="n">
        <f aca="false">Resumo!$C$10*CEILING(I2143/100,1)</f>
        <v>1</v>
      </c>
      <c r="Q2143" s="39" t="n">
        <f aca="false">Resumo!$C$9</f>
        <v>11.9</v>
      </c>
      <c r="R2143" s="39" t="n">
        <f aca="false">SUM(M2143:Q2143)*Resumo!$C$11</f>
        <v>3.7820178</v>
      </c>
      <c r="S2143" s="39" t="n">
        <f aca="false">SUM(M2143:R2143)</f>
        <v>72.5459778</v>
      </c>
      <c r="T2143" s="39" t="n">
        <f aca="false">S2143/(1-Resumo!$C$5)</f>
        <v>82.4386111363636</v>
      </c>
      <c r="U2143" s="39" t="n">
        <v>82.21</v>
      </c>
      <c r="V2143" s="39" t="n">
        <f aca="false">J2143*Resumo!$B$6</f>
        <v>0.44099</v>
      </c>
      <c r="W2143" s="39" t="n">
        <f aca="false">J2143*Resumo!$B$7</f>
        <v>0.88198</v>
      </c>
      <c r="X2143" s="39" t="n">
        <f aca="false">Resumo!$B$9</f>
        <v>1</v>
      </c>
      <c r="Y2143" s="39" t="n">
        <f aca="false">Resumo!$B$10*CEILING(I2143/100,1)</f>
        <v>4.5</v>
      </c>
      <c r="Z2143" s="39" t="n">
        <f aca="false">Resumo!$B$12*CEILING(I2143,1)</f>
        <v>1.26</v>
      </c>
      <c r="AA2143" s="39" t="n">
        <f aca="false">Resumo!$B$13*CEILING(I2143,1)</f>
        <v>9.45</v>
      </c>
      <c r="AB2143" s="39" t="n">
        <f aca="false">SUM(U2143:AA2143)</f>
        <v>99.74297</v>
      </c>
      <c r="AC2143" s="39" t="n">
        <f aca="false">AB2143/(1-Resumo!$B$5)</f>
        <v>113.344284090909</v>
      </c>
      <c r="AD2143" s="39" t="n">
        <f aca="false">(AB2143-AA2143)/(1-Resumo!$B$5)</f>
        <v>102.605647727273</v>
      </c>
      <c r="AE2143" s="39" t="n">
        <f aca="false">AC2143-T2143</f>
        <v>30.9056729545455</v>
      </c>
      <c r="AF2143" s="40" t="n">
        <f aca="false">AC2143/T2143-1</f>
        <v>0.374893178433388</v>
      </c>
      <c r="AG2143" s="37" t="str">
        <f aca="false">IF(AC2143&lt;T2143,"SIM","NÃO")</f>
        <v>NÃO</v>
      </c>
      <c r="AH2143" s="37" t="n">
        <v>8</v>
      </c>
      <c r="AI2143" s="37" t="n">
        <v>5</v>
      </c>
      <c r="AJ2143" s="37" t="s">
        <v>323</v>
      </c>
    </row>
    <row r="2144" customFormat="false" ht="15" hidden="false" customHeight="false" outlineLevel="0" collapsed="false">
      <c r="A2144" s="37" t="n">
        <v>399803048</v>
      </c>
      <c r="B2144" s="38" t="n">
        <v>46291.8933217593</v>
      </c>
      <c r="C2144" s="37" t="s">
        <v>325</v>
      </c>
      <c r="D2144" s="37" t="s">
        <v>2229</v>
      </c>
      <c r="E2144" s="37" t="n">
        <v>28988804</v>
      </c>
      <c r="F2144" s="37" t="s">
        <v>153</v>
      </c>
      <c r="G2144" s="37" t="s">
        <v>201</v>
      </c>
      <c r="H2144" s="37" t="s">
        <v>172</v>
      </c>
      <c r="I2144" s="37" t="n">
        <v>68.1</v>
      </c>
      <c r="J2144" s="39" t="n">
        <v>960</v>
      </c>
      <c r="K2144" s="37" t="s">
        <v>322</v>
      </c>
      <c r="L2144" s="39" t="n">
        <v>156.62</v>
      </c>
      <c r="M2144" s="39" t="n">
        <v>113.9</v>
      </c>
      <c r="N2144" s="39" t="n">
        <f aca="false">J2144*Resumo!$C$7</f>
        <v>1.92</v>
      </c>
      <c r="O2144" s="39" t="n">
        <f aca="false">J2144*Resumo!$C$8</f>
        <v>1.92</v>
      </c>
      <c r="P2144" s="39" t="n">
        <f aca="false">Resumo!$C$10*CEILING(I2144/100,1)</f>
        <v>1</v>
      </c>
      <c r="Q2144" s="39" t="n">
        <f aca="false">Resumo!$C$9</f>
        <v>11.9</v>
      </c>
      <c r="R2144" s="39" t="n">
        <f aca="false">SUM(M2144:Q2144)*Resumo!$C$11</f>
        <v>7.1852</v>
      </c>
      <c r="S2144" s="39" t="n">
        <f aca="false">SUM(M2144:R2144)</f>
        <v>137.8252</v>
      </c>
      <c r="T2144" s="39" t="n">
        <f aca="false">S2144/(1-Resumo!$C$5)</f>
        <v>156.619545454546</v>
      </c>
      <c r="U2144" s="39" t="n">
        <v>166.05</v>
      </c>
      <c r="V2144" s="39" t="n">
        <f aca="false">J2144*Resumo!$B$6</f>
        <v>0.96</v>
      </c>
      <c r="W2144" s="39" t="n">
        <f aca="false">J2144*Resumo!$B$7</f>
        <v>1.92</v>
      </c>
      <c r="X2144" s="39" t="n">
        <f aca="false">Resumo!$B$9</f>
        <v>1</v>
      </c>
      <c r="Y2144" s="39" t="n">
        <f aca="false">Resumo!$B$10*CEILING(I2144/100,1)</f>
        <v>4.5</v>
      </c>
      <c r="Z2144" s="39" t="n">
        <f aca="false">Resumo!$B$12*CEILING(I2144,1)</f>
        <v>4.14</v>
      </c>
      <c r="AA2144" s="39" t="n">
        <f aca="false">Resumo!$B$13*CEILING(I2144,1)</f>
        <v>31.05</v>
      </c>
      <c r="AB2144" s="39" t="n">
        <f aca="false">SUM(U2144:AA2144)</f>
        <v>209.62</v>
      </c>
      <c r="AC2144" s="39" t="n">
        <f aca="false">AB2144/(1-Resumo!$B$5)</f>
        <v>238.204545454546</v>
      </c>
      <c r="AD2144" s="39" t="n">
        <f aca="false">(AB2144-AA2144)/(1-Resumo!$B$5)</f>
        <v>202.920454545455</v>
      </c>
      <c r="AE2144" s="39" t="n">
        <f aca="false">AC2144-T2144</f>
        <v>81.585</v>
      </c>
      <c r="AF2144" s="40" t="n">
        <f aca="false">AC2144/T2144-1</f>
        <v>0.520911995774358</v>
      </c>
      <c r="AG2144" s="37" t="str">
        <f aca="false">IF(AC2144&lt;T2144,"SIM","NÃO")</f>
        <v>NÃO</v>
      </c>
      <c r="AH2144" s="37" t="n">
        <v>13</v>
      </c>
      <c r="AI2144" s="37" t="n">
        <v>10</v>
      </c>
      <c r="AJ2144" s="37" t="s">
        <v>323</v>
      </c>
    </row>
    <row r="2145" customFormat="false" ht="15" hidden="false" customHeight="false" outlineLevel="0" collapsed="false">
      <c r="A2145" s="37" t="n">
        <v>399813842</v>
      </c>
      <c r="B2145" s="38" t="n">
        <v>46291.9250231482</v>
      </c>
      <c r="C2145" s="37" t="s">
        <v>320</v>
      </c>
      <c r="D2145" s="37" t="s">
        <v>2230</v>
      </c>
      <c r="E2145" s="37" t="n">
        <v>25954205</v>
      </c>
      <c r="F2145" s="37" t="s">
        <v>221</v>
      </c>
      <c r="G2145" s="37" t="s">
        <v>201</v>
      </c>
      <c r="H2145" s="37" t="s">
        <v>172</v>
      </c>
      <c r="I2145" s="37" t="n">
        <v>63.9</v>
      </c>
      <c r="J2145" s="39" t="n">
        <v>716.35</v>
      </c>
      <c r="K2145" s="37" t="s">
        <v>322</v>
      </c>
      <c r="L2145" s="39" t="n">
        <v>155.44</v>
      </c>
      <c r="M2145" s="39" t="n">
        <v>113.9</v>
      </c>
      <c r="N2145" s="39" t="n">
        <f aca="false">J2145*Resumo!$C$7</f>
        <v>1.4327</v>
      </c>
      <c r="O2145" s="39" t="n">
        <f aca="false">J2145*Resumo!$C$8</f>
        <v>1.4327</v>
      </c>
      <c r="P2145" s="39" t="n">
        <f aca="false">Resumo!$C$10*CEILING(I2145/100,1)</f>
        <v>1</v>
      </c>
      <c r="Q2145" s="39" t="n">
        <f aca="false">Resumo!$C$9</f>
        <v>11.9</v>
      </c>
      <c r="R2145" s="39" t="n">
        <f aca="false">SUM(M2145:Q2145)*Resumo!$C$11</f>
        <v>7.131597</v>
      </c>
      <c r="S2145" s="39" t="n">
        <f aca="false">SUM(M2145:R2145)</f>
        <v>136.796997</v>
      </c>
      <c r="T2145" s="39" t="n">
        <f aca="false">S2145/(1-Resumo!$C$5)</f>
        <v>155.451132954545</v>
      </c>
      <c r="U2145" s="39" t="n">
        <v>166.05</v>
      </c>
      <c r="V2145" s="39" t="n">
        <f aca="false">J2145*Resumo!$B$6</f>
        <v>0.71635</v>
      </c>
      <c r="W2145" s="39" t="n">
        <f aca="false">J2145*Resumo!$B$7</f>
        <v>1.4327</v>
      </c>
      <c r="X2145" s="39" t="n">
        <f aca="false">Resumo!$B$9</f>
        <v>1</v>
      </c>
      <c r="Y2145" s="39" t="n">
        <f aca="false">Resumo!$B$10*CEILING(I2145/100,1)</f>
        <v>4.5</v>
      </c>
      <c r="Z2145" s="39" t="n">
        <f aca="false">Resumo!$B$12*CEILING(I2145,1)</f>
        <v>3.84</v>
      </c>
      <c r="AA2145" s="39" t="n">
        <f aca="false">Resumo!$B$13*CEILING(I2145,1)</f>
        <v>28.8</v>
      </c>
      <c r="AB2145" s="39" t="n">
        <f aca="false">SUM(U2145:AA2145)</f>
        <v>206.33905</v>
      </c>
      <c r="AC2145" s="39" t="n">
        <f aca="false">AB2145/(1-Resumo!$B$5)</f>
        <v>234.476193181818</v>
      </c>
      <c r="AD2145" s="39" t="n">
        <f aca="false">(AB2145-AA2145)/(1-Resumo!$B$5)</f>
        <v>201.748920454545</v>
      </c>
      <c r="AE2145" s="39" t="n">
        <f aca="false">AC2145-T2145</f>
        <v>79.0250602272727</v>
      </c>
      <c r="AF2145" s="40" t="n">
        <f aca="false">AC2145/T2145-1</f>
        <v>0.508359500026159</v>
      </c>
      <c r="AG2145" s="37" t="str">
        <f aca="false">IF(AC2145&lt;T2145,"SIM","NÃO")</f>
        <v>NÃO</v>
      </c>
      <c r="AH2145" s="37" t="n">
        <v>13</v>
      </c>
      <c r="AI2145" s="37" t="n">
        <v>10</v>
      </c>
      <c r="AJ2145" s="37" t="s">
        <v>327</v>
      </c>
    </row>
    <row r="2146" customFormat="false" ht="15" hidden="false" customHeight="false" outlineLevel="0" collapsed="false">
      <c r="A2146" s="37" t="n">
        <v>399817125</v>
      </c>
      <c r="B2146" s="38" t="n">
        <v>46291.9351041667</v>
      </c>
      <c r="C2146" s="37" t="s">
        <v>325</v>
      </c>
      <c r="D2146" s="37" t="s">
        <v>2231</v>
      </c>
      <c r="E2146" s="37" t="n">
        <v>25935426</v>
      </c>
      <c r="F2146" s="37" t="s">
        <v>156</v>
      </c>
      <c r="G2146" s="37" t="s">
        <v>201</v>
      </c>
      <c r="H2146" s="37" t="s">
        <v>168</v>
      </c>
      <c r="I2146" s="37" t="n">
        <v>27.6</v>
      </c>
      <c r="J2146" s="39" t="n">
        <v>329.7</v>
      </c>
      <c r="K2146" s="37" t="s">
        <v>322</v>
      </c>
      <c r="L2146" s="39" t="n">
        <v>108.76</v>
      </c>
      <c r="M2146" s="39" t="n">
        <v>76.5</v>
      </c>
      <c r="N2146" s="39" t="n">
        <f aca="false">J2146*Resumo!$C$7</f>
        <v>0.6594</v>
      </c>
      <c r="O2146" s="39" t="n">
        <f aca="false">J2146*Resumo!$C$8</f>
        <v>0.6594</v>
      </c>
      <c r="P2146" s="39" t="n">
        <f aca="false">Resumo!$C$10*CEILING(I2146/100,1)</f>
        <v>1</v>
      </c>
      <c r="Q2146" s="39" t="n">
        <f aca="false">Resumo!$C$9</f>
        <v>11.9</v>
      </c>
      <c r="R2146" s="39" t="n">
        <f aca="false">SUM(M2146:Q2146)*Resumo!$C$11</f>
        <v>4.989534</v>
      </c>
      <c r="S2146" s="39" t="n">
        <f aca="false">SUM(M2146:R2146)</f>
        <v>95.708334</v>
      </c>
      <c r="T2146" s="39" t="n">
        <f aca="false">S2146/(1-Resumo!$C$5)</f>
        <v>108.759470454545</v>
      </c>
      <c r="U2146" s="39" t="n">
        <v>103.28</v>
      </c>
      <c r="V2146" s="39" t="n">
        <f aca="false">J2146*Resumo!$B$6</f>
        <v>0.3297</v>
      </c>
      <c r="W2146" s="39" t="n">
        <f aca="false">J2146*Resumo!$B$7</f>
        <v>0.6594</v>
      </c>
      <c r="X2146" s="39" t="n">
        <f aca="false">Resumo!$B$9</f>
        <v>1</v>
      </c>
      <c r="Y2146" s="39" t="n">
        <f aca="false">Resumo!$B$10*CEILING(I2146/100,1)</f>
        <v>4.5</v>
      </c>
      <c r="Z2146" s="39" t="n">
        <f aca="false">Resumo!$B$12*CEILING(I2146,1)</f>
        <v>1.68</v>
      </c>
      <c r="AA2146" s="39" t="n">
        <f aca="false">Resumo!$B$13*CEILING(I2146,1)</f>
        <v>12.6</v>
      </c>
      <c r="AB2146" s="39" t="n">
        <f aca="false">SUM(U2146:AA2146)</f>
        <v>124.0491</v>
      </c>
      <c r="AC2146" s="39" t="n">
        <f aca="false">AB2146/(1-Resumo!$B$5)</f>
        <v>140.964886363636</v>
      </c>
      <c r="AD2146" s="39" t="n">
        <f aca="false">(AB2146-AA2146)/(1-Resumo!$B$5)</f>
        <v>126.646704545455</v>
      </c>
      <c r="AE2146" s="39" t="n">
        <f aca="false">AC2146-T2146</f>
        <v>32.2054159090909</v>
      </c>
      <c r="AF2146" s="40" t="n">
        <f aca="false">AC2146/T2146-1</f>
        <v>0.296115968333541</v>
      </c>
      <c r="AG2146" s="37" t="str">
        <f aca="false">IF(AC2146&lt;T2146,"SIM","NÃO")</f>
        <v>NÃO</v>
      </c>
      <c r="AH2146" s="37" t="n">
        <v>13</v>
      </c>
      <c r="AI2146" s="37" t="n">
        <v>6</v>
      </c>
      <c r="AJ2146" s="37" t="s">
        <v>323</v>
      </c>
    </row>
    <row r="2147" customFormat="false" ht="15" hidden="false" customHeight="false" outlineLevel="0" collapsed="false">
      <c r="A2147" s="37" t="n">
        <v>399879169</v>
      </c>
      <c r="B2147" s="38" t="n">
        <v>46292.1925231482</v>
      </c>
      <c r="C2147" s="37" t="s">
        <v>352</v>
      </c>
      <c r="D2147" s="37" t="s">
        <v>2232</v>
      </c>
      <c r="E2147" s="37" t="n">
        <v>23059001</v>
      </c>
      <c r="F2147" s="37" t="s">
        <v>139</v>
      </c>
      <c r="G2147" s="37" t="s">
        <v>198</v>
      </c>
      <c r="H2147" s="37" t="s">
        <v>171</v>
      </c>
      <c r="I2147" s="37" t="n">
        <v>52.3</v>
      </c>
      <c r="J2147" s="39" t="n">
        <v>692.99</v>
      </c>
      <c r="K2147" s="37" t="s">
        <v>322</v>
      </c>
      <c r="L2147" s="39" t="n">
        <v>114.48</v>
      </c>
      <c r="M2147" s="39" t="n">
        <v>79.81</v>
      </c>
      <c r="N2147" s="39" t="n">
        <f aca="false">J2147*Resumo!$C$7</f>
        <v>1.38598</v>
      </c>
      <c r="O2147" s="39" t="n">
        <f aca="false">J2147*Resumo!$C$8</f>
        <v>1.38598</v>
      </c>
      <c r="P2147" s="39" t="n">
        <f aca="false">Resumo!$C$10*CEILING(I2147/100,1)</f>
        <v>1</v>
      </c>
      <c r="Q2147" s="39" t="n">
        <f aca="false">Resumo!$C$9</f>
        <v>11.9</v>
      </c>
      <c r="R2147" s="39" t="n">
        <f aca="false">SUM(M2147:Q2147)*Resumo!$C$11</f>
        <v>5.2515078</v>
      </c>
      <c r="S2147" s="39" t="n">
        <f aca="false">SUM(M2147:R2147)</f>
        <v>100.7334678</v>
      </c>
      <c r="T2147" s="39" t="n">
        <f aca="false">S2147/(1-Resumo!$C$5)</f>
        <v>114.469849772727</v>
      </c>
      <c r="U2147" s="39" t="n">
        <v>112.3</v>
      </c>
      <c r="V2147" s="39" t="n">
        <f aca="false">J2147*Resumo!$B$6</f>
        <v>0.69299</v>
      </c>
      <c r="W2147" s="39" t="n">
        <f aca="false">J2147*Resumo!$B$7</f>
        <v>1.38598</v>
      </c>
      <c r="X2147" s="39" t="n">
        <f aca="false">Resumo!$B$9</f>
        <v>1</v>
      </c>
      <c r="Y2147" s="39" t="n">
        <f aca="false">Resumo!$B$10*CEILING(I2147/100,1)</f>
        <v>4.5</v>
      </c>
      <c r="Z2147" s="39" t="n">
        <f aca="false">Resumo!$B$12*CEILING(I2147,1)</f>
        <v>3.18</v>
      </c>
      <c r="AA2147" s="39" t="n">
        <f aca="false">Resumo!$B$13*CEILING(I2147,1)</f>
        <v>23.85</v>
      </c>
      <c r="AB2147" s="39" t="n">
        <f aca="false">SUM(U2147:AA2147)</f>
        <v>146.90897</v>
      </c>
      <c r="AC2147" s="39" t="n">
        <f aca="false">AB2147/(1-Resumo!$B$5)</f>
        <v>166.942011363636</v>
      </c>
      <c r="AD2147" s="39" t="n">
        <f aca="false">(AB2147-AA2147)/(1-Resumo!$B$5)</f>
        <v>139.839738636364</v>
      </c>
      <c r="AE2147" s="39" t="n">
        <f aca="false">AC2147-T2147</f>
        <v>52.4721615909091</v>
      </c>
      <c r="AF2147" s="40" t="n">
        <f aca="false">AC2147/T2147-1</f>
        <v>0.45839285798915</v>
      </c>
      <c r="AG2147" s="37" t="str">
        <f aca="false">IF(AC2147&lt;T2147,"SIM","NÃO")</f>
        <v>NÃO</v>
      </c>
      <c r="AH2147" s="37" t="n">
        <v>8</v>
      </c>
      <c r="AI2147" s="37" t="n">
        <v>5</v>
      </c>
      <c r="AJ2147" s="37" t="s">
        <v>323</v>
      </c>
    </row>
    <row r="2148" customFormat="false" ht="15" hidden="false" customHeight="false" outlineLevel="0" collapsed="false">
      <c r="A2148" s="37" t="n">
        <v>399961737</v>
      </c>
      <c r="B2148" s="38" t="n">
        <v>46292.484537037</v>
      </c>
      <c r="C2148" s="37" t="s">
        <v>320</v>
      </c>
      <c r="D2148" s="37" t="s">
        <v>2233</v>
      </c>
      <c r="E2148" s="37" t="n">
        <v>24465000</v>
      </c>
      <c r="F2148" s="37" t="s">
        <v>140</v>
      </c>
      <c r="G2148" s="37" t="s">
        <v>207</v>
      </c>
      <c r="H2148" s="37" t="s">
        <v>169</v>
      </c>
      <c r="I2148" s="37" t="n">
        <v>36.9</v>
      </c>
      <c r="J2148" s="39" t="n">
        <v>399.99</v>
      </c>
      <c r="K2148" s="37" t="s">
        <v>322</v>
      </c>
      <c r="L2148" s="39" t="n">
        <v>112.88</v>
      </c>
      <c r="M2148" s="39" t="n">
        <v>79.65</v>
      </c>
      <c r="N2148" s="39" t="n">
        <f aca="false">J2148*Resumo!$C$7</f>
        <v>0.79998</v>
      </c>
      <c r="O2148" s="39" t="n">
        <f aca="false">J2148*Resumo!$C$8</f>
        <v>0.79998</v>
      </c>
      <c r="P2148" s="39" t="n">
        <f aca="false">Resumo!$C$10*CEILING(I2148/100,1)</f>
        <v>1</v>
      </c>
      <c r="Q2148" s="39" t="n">
        <f aca="false">Resumo!$C$9</f>
        <v>11.9</v>
      </c>
      <c r="R2148" s="39" t="n">
        <f aca="false">SUM(M2148:Q2148)*Resumo!$C$11</f>
        <v>5.1782478</v>
      </c>
      <c r="S2148" s="39" t="n">
        <f aca="false">SUM(M2148:R2148)</f>
        <v>99.3282078</v>
      </c>
      <c r="T2148" s="39" t="n">
        <f aca="false">S2148/(1-Resumo!$C$5)</f>
        <v>112.872963409091</v>
      </c>
      <c r="U2148" s="39" t="n">
        <v>114.95</v>
      </c>
      <c r="V2148" s="39" t="n">
        <f aca="false">J2148*Resumo!$B$6</f>
        <v>0.39999</v>
      </c>
      <c r="W2148" s="39" t="n">
        <f aca="false">J2148*Resumo!$B$7</f>
        <v>0.79998</v>
      </c>
      <c r="X2148" s="39" t="n">
        <f aca="false">Resumo!$B$9</f>
        <v>1</v>
      </c>
      <c r="Y2148" s="39" t="n">
        <f aca="false">Resumo!$B$10*CEILING(I2148/100,1)</f>
        <v>4.5</v>
      </c>
      <c r="Z2148" s="39" t="n">
        <f aca="false">Resumo!$B$12*CEILING(I2148,1)</f>
        <v>2.22</v>
      </c>
      <c r="AA2148" s="39" t="n">
        <f aca="false">Resumo!$B$13*CEILING(I2148,1)</f>
        <v>16.65</v>
      </c>
      <c r="AB2148" s="39" t="n">
        <f aca="false">SUM(U2148:AA2148)</f>
        <v>140.51997</v>
      </c>
      <c r="AC2148" s="39" t="n">
        <f aca="false">AB2148/(1-Resumo!$B$5)</f>
        <v>159.681784090909</v>
      </c>
      <c r="AD2148" s="39" t="n">
        <f aca="false">(AB2148-AA2148)/(1-Resumo!$B$5)</f>
        <v>140.761329545455</v>
      </c>
      <c r="AE2148" s="39" t="n">
        <f aca="false">AC2148-T2148</f>
        <v>46.8088206818182</v>
      </c>
      <c r="AF2148" s="40" t="n">
        <f aca="false">AC2148/T2148-1</f>
        <v>0.414703568224454</v>
      </c>
      <c r="AG2148" s="37" t="str">
        <f aca="false">IF(AC2148&lt;T2148,"SIM","NÃO")</f>
        <v>NÃO</v>
      </c>
      <c r="AH2148" s="37" t="n">
        <v>10</v>
      </c>
      <c r="AI2148" s="37" t="n">
        <v>7</v>
      </c>
      <c r="AJ2148" s="37" t="s">
        <v>323</v>
      </c>
    </row>
    <row r="2149" customFormat="false" ht="15" hidden="false" customHeight="false" outlineLevel="0" collapsed="false">
      <c r="A2149" s="37" t="n">
        <v>399961977</v>
      </c>
      <c r="B2149" s="38" t="n">
        <v>46292.4851041667</v>
      </c>
      <c r="C2149" s="37" t="s">
        <v>320</v>
      </c>
      <c r="D2149" s="37" t="s">
        <v>2234</v>
      </c>
      <c r="E2149" s="37" t="n">
        <v>21060110</v>
      </c>
      <c r="F2149" s="37" t="s">
        <v>139</v>
      </c>
      <c r="G2149" s="37" t="s">
        <v>198</v>
      </c>
      <c r="H2149" s="37" t="s">
        <v>171</v>
      </c>
      <c r="I2149" s="37" t="n">
        <v>52.3</v>
      </c>
      <c r="J2149" s="39" t="n">
        <v>636.83</v>
      </c>
      <c r="K2149" s="37" t="s">
        <v>322</v>
      </c>
      <c r="L2149" s="39" t="n">
        <v>114.19</v>
      </c>
      <c r="M2149" s="39" t="n">
        <v>79.81</v>
      </c>
      <c r="N2149" s="39" t="n">
        <f aca="false">J2149*Resumo!$C$7</f>
        <v>1.27366</v>
      </c>
      <c r="O2149" s="39" t="n">
        <f aca="false">J2149*Resumo!$C$8</f>
        <v>1.27366</v>
      </c>
      <c r="P2149" s="39" t="n">
        <f aca="false">Resumo!$C$10*CEILING(I2149/100,1)</f>
        <v>1</v>
      </c>
      <c r="Q2149" s="39" t="n">
        <f aca="false">Resumo!$C$9</f>
        <v>11.9</v>
      </c>
      <c r="R2149" s="39" t="n">
        <f aca="false">SUM(M2149:Q2149)*Resumo!$C$11</f>
        <v>5.2391526</v>
      </c>
      <c r="S2149" s="39" t="n">
        <f aca="false">SUM(M2149:R2149)</f>
        <v>100.4964726</v>
      </c>
      <c r="T2149" s="39" t="n">
        <f aca="false">S2149/(1-Resumo!$C$5)</f>
        <v>114.200537045455</v>
      </c>
      <c r="U2149" s="39" t="n">
        <v>112.3</v>
      </c>
      <c r="V2149" s="39" t="n">
        <f aca="false">J2149*Resumo!$B$6</f>
        <v>0.63683</v>
      </c>
      <c r="W2149" s="39" t="n">
        <f aca="false">J2149*Resumo!$B$7</f>
        <v>1.27366</v>
      </c>
      <c r="X2149" s="39" t="n">
        <f aca="false">Resumo!$B$9</f>
        <v>1</v>
      </c>
      <c r="Y2149" s="39" t="n">
        <f aca="false">Resumo!$B$10*CEILING(I2149/100,1)</f>
        <v>4.5</v>
      </c>
      <c r="Z2149" s="39" t="n">
        <f aca="false">Resumo!$B$12*CEILING(I2149,1)</f>
        <v>3.18</v>
      </c>
      <c r="AA2149" s="39" t="n">
        <f aca="false">Resumo!$B$13*CEILING(I2149,1)</f>
        <v>23.85</v>
      </c>
      <c r="AB2149" s="39" t="n">
        <f aca="false">SUM(U2149:AA2149)</f>
        <v>146.74049</v>
      </c>
      <c r="AC2149" s="39" t="n">
        <f aca="false">AB2149/(1-Resumo!$B$5)</f>
        <v>166.750556818182</v>
      </c>
      <c r="AD2149" s="39" t="n">
        <f aca="false">(AB2149-AA2149)/(1-Resumo!$B$5)</f>
        <v>139.648284090909</v>
      </c>
      <c r="AE2149" s="39" t="n">
        <f aca="false">AC2149-T2149</f>
        <v>52.5500197727273</v>
      </c>
      <c r="AF2149" s="40" t="n">
        <f aca="false">AC2149/T2149-1</f>
        <v>0.460155627392638</v>
      </c>
      <c r="AG2149" s="37" t="str">
        <f aca="false">IF(AC2149&lt;T2149,"SIM","NÃO")</f>
        <v>NÃO</v>
      </c>
      <c r="AH2149" s="37" t="n">
        <v>8</v>
      </c>
      <c r="AI2149" s="37" t="n">
        <v>5</v>
      </c>
      <c r="AJ2149" s="37" t="s">
        <v>323</v>
      </c>
    </row>
    <row r="2150" customFormat="false" ht="15" hidden="false" customHeight="false" outlineLevel="0" collapsed="false">
      <c r="A2150" s="37" t="n">
        <v>399964376</v>
      </c>
      <c r="B2150" s="38" t="n">
        <v>46292.4912268519</v>
      </c>
      <c r="C2150" s="37" t="s">
        <v>320</v>
      </c>
      <c r="D2150" s="37" t="s">
        <v>2235</v>
      </c>
      <c r="E2150" s="37" t="n">
        <v>22793261</v>
      </c>
      <c r="F2150" s="37" t="s">
        <v>139</v>
      </c>
      <c r="G2150" s="37" t="s">
        <v>198</v>
      </c>
      <c r="H2150" s="37" t="s">
        <v>171</v>
      </c>
      <c r="I2150" s="37" t="n">
        <v>52.3</v>
      </c>
      <c r="J2150" s="39" t="n">
        <v>636.83</v>
      </c>
      <c r="K2150" s="37" t="s">
        <v>322</v>
      </c>
      <c r="L2150" s="39" t="n">
        <v>114.19</v>
      </c>
      <c r="M2150" s="39" t="n">
        <v>79.81</v>
      </c>
      <c r="N2150" s="39" t="n">
        <f aca="false">J2150*Resumo!$C$7</f>
        <v>1.27366</v>
      </c>
      <c r="O2150" s="39" t="n">
        <f aca="false">J2150*Resumo!$C$8</f>
        <v>1.27366</v>
      </c>
      <c r="P2150" s="39" t="n">
        <f aca="false">Resumo!$C$10*CEILING(I2150/100,1)</f>
        <v>1</v>
      </c>
      <c r="Q2150" s="39" t="n">
        <f aca="false">Resumo!$C$9</f>
        <v>11.9</v>
      </c>
      <c r="R2150" s="39" t="n">
        <f aca="false">SUM(M2150:Q2150)*Resumo!$C$11</f>
        <v>5.2391526</v>
      </c>
      <c r="S2150" s="39" t="n">
        <f aca="false">SUM(M2150:R2150)</f>
        <v>100.4964726</v>
      </c>
      <c r="T2150" s="39" t="n">
        <f aca="false">S2150/(1-Resumo!$C$5)</f>
        <v>114.200537045455</v>
      </c>
      <c r="U2150" s="39" t="n">
        <v>112.3</v>
      </c>
      <c r="V2150" s="39" t="n">
        <f aca="false">J2150*Resumo!$B$6</f>
        <v>0.63683</v>
      </c>
      <c r="W2150" s="39" t="n">
        <f aca="false">J2150*Resumo!$B$7</f>
        <v>1.27366</v>
      </c>
      <c r="X2150" s="39" t="n">
        <f aca="false">Resumo!$B$9</f>
        <v>1</v>
      </c>
      <c r="Y2150" s="39" t="n">
        <f aca="false">Resumo!$B$10*CEILING(I2150/100,1)</f>
        <v>4.5</v>
      </c>
      <c r="Z2150" s="39" t="n">
        <f aca="false">Resumo!$B$12*CEILING(I2150,1)</f>
        <v>3.18</v>
      </c>
      <c r="AA2150" s="39" t="n">
        <f aca="false">Resumo!$B$13*CEILING(I2150,1)</f>
        <v>23.85</v>
      </c>
      <c r="AB2150" s="39" t="n">
        <f aca="false">SUM(U2150:AA2150)</f>
        <v>146.74049</v>
      </c>
      <c r="AC2150" s="39" t="n">
        <f aca="false">AB2150/(1-Resumo!$B$5)</f>
        <v>166.750556818182</v>
      </c>
      <c r="AD2150" s="39" t="n">
        <f aca="false">(AB2150-AA2150)/(1-Resumo!$B$5)</f>
        <v>139.648284090909</v>
      </c>
      <c r="AE2150" s="39" t="n">
        <f aca="false">AC2150-T2150</f>
        <v>52.5500197727273</v>
      </c>
      <c r="AF2150" s="40" t="n">
        <f aca="false">AC2150/T2150-1</f>
        <v>0.460155627392638</v>
      </c>
      <c r="AG2150" s="37" t="str">
        <f aca="false">IF(AC2150&lt;T2150,"SIM","NÃO")</f>
        <v>NÃO</v>
      </c>
      <c r="AH2150" s="37" t="n">
        <v>8</v>
      </c>
      <c r="AI2150" s="37" t="n">
        <v>5</v>
      </c>
      <c r="AJ2150" s="37" t="s">
        <v>323</v>
      </c>
    </row>
    <row r="2151" customFormat="false" ht="15" hidden="false" customHeight="false" outlineLevel="0" collapsed="false">
      <c r="A2151" s="37" t="n">
        <v>399983228</v>
      </c>
      <c r="B2151" s="38" t="n">
        <v>46292.5371296296</v>
      </c>
      <c r="C2151" s="37" t="s">
        <v>320</v>
      </c>
      <c r="D2151" s="37" t="s">
        <v>2236</v>
      </c>
      <c r="E2151" s="37" t="n">
        <v>21620560</v>
      </c>
      <c r="F2151" s="37" t="s">
        <v>139</v>
      </c>
      <c r="G2151" s="37" t="s">
        <v>198</v>
      </c>
      <c r="H2151" s="37" t="s">
        <v>171</v>
      </c>
      <c r="I2151" s="37" t="n">
        <v>52.3</v>
      </c>
      <c r="J2151" s="39" t="n">
        <v>636.83</v>
      </c>
      <c r="K2151" s="37" t="s">
        <v>322</v>
      </c>
      <c r="L2151" s="39" t="n">
        <v>114.19</v>
      </c>
      <c r="M2151" s="39" t="n">
        <v>79.81</v>
      </c>
      <c r="N2151" s="39" t="n">
        <f aca="false">J2151*Resumo!$C$7</f>
        <v>1.27366</v>
      </c>
      <c r="O2151" s="39" t="n">
        <f aca="false">J2151*Resumo!$C$8</f>
        <v>1.27366</v>
      </c>
      <c r="P2151" s="39" t="n">
        <f aca="false">Resumo!$C$10*CEILING(I2151/100,1)</f>
        <v>1</v>
      </c>
      <c r="Q2151" s="39" t="n">
        <f aca="false">Resumo!$C$9</f>
        <v>11.9</v>
      </c>
      <c r="R2151" s="39" t="n">
        <f aca="false">SUM(M2151:Q2151)*Resumo!$C$11</f>
        <v>5.2391526</v>
      </c>
      <c r="S2151" s="39" t="n">
        <f aca="false">SUM(M2151:R2151)</f>
        <v>100.4964726</v>
      </c>
      <c r="T2151" s="39" t="n">
        <f aca="false">S2151/(1-Resumo!$C$5)</f>
        <v>114.200537045455</v>
      </c>
      <c r="U2151" s="39" t="n">
        <v>112.3</v>
      </c>
      <c r="V2151" s="39" t="n">
        <f aca="false">J2151*Resumo!$B$6</f>
        <v>0.63683</v>
      </c>
      <c r="W2151" s="39" t="n">
        <f aca="false">J2151*Resumo!$B$7</f>
        <v>1.27366</v>
      </c>
      <c r="X2151" s="39" t="n">
        <f aca="false">Resumo!$B$9</f>
        <v>1</v>
      </c>
      <c r="Y2151" s="39" t="n">
        <f aca="false">Resumo!$B$10*CEILING(I2151/100,1)</f>
        <v>4.5</v>
      </c>
      <c r="Z2151" s="39" t="n">
        <f aca="false">Resumo!$B$12*CEILING(I2151,1)</f>
        <v>3.18</v>
      </c>
      <c r="AA2151" s="39" t="n">
        <f aca="false">Resumo!$B$13*CEILING(I2151,1)</f>
        <v>23.85</v>
      </c>
      <c r="AB2151" s="39" t="n">
        <f aca="false">SUM(U2151:AA2151)</f>
        <v>146.74049</v>
      </c>
      <c r="AC2151" s="39" t="n">
        <f aca="false">AB2151/(1-Resumo!$B$5)</f>
        <v>166.750556818182</v>
      </c>
      <c r="AD2151" s="39" t="n">
        <f aca="false">(AB2151-AA2151)/(1-Resumo!$B$5)</f>
        <v>139.648284090909</v>
      </c>
      <c r="AE2151" s="39" t="n">
        <f aca="false">AC2151-T2151</f>
        <v>52.5500197727273</v>
      </c>
      <c r="AF2151" s="40" t="n">
        <f aca="false">AC2151/T2151-1</f>
        <v>0.460155627392638</v>
      </c>
      <c r="AG2151" s="37" t="str">
        <f aca="false">IF(AC2151&lt;T2151,"SIM","NÃO")</f>
        <v>NÃO</v>
      </c>
      <c r="AH2151" s="37" t="n">
        <v>8</v>
      </c>
      <c r="AI2151" s="37" t="n">
        <v>5</v>
      </c>
      <c r="AJ2151" s="37" t="s">
        <v>323</v>
      </c>
    </row>
    <row r="2152" customFormat="false" ht="15" hidden="false" customHeight="false" outlineLevel="0" collapsed="false">
      <c r="A2152" s="37" t="n">
        <v>399987496</v>
      </c>
      <c r="B2152" s="38" t="n">
        <v>46292.5471875</v>
      </c>
      <c r="C2152" s="37" t="s">
        <v>320</v>
      </c>
      <c r="D2152" s="37" t="s">
        <v>2237</v>
      </c>
      <c r="E2152" s="37" t="n">
        <v>21750210</v>
      </c>
      <c r="F2152" s="37" t="s">
        <v>139</v>
      </c>
      <c r="G2152" s="37" t="s">
        <v>198</v>
      </c>
      <c r="H2152" s="37" t="s">
        <v>168</v>
      </c>
      <c r="I2152" s="37" t="n">
        <v>25.8</v>
      </c>
      <c r="J2152" s="39" t="n">
        <v>333.99</v>
      </c>
      <c r="K2152" s="37" t="s">
        <v>322</v>
      </c>
      <c r="L2152" s="39" t="n">
        <v>81.93</v>
      </c>
      <c r="M2152" s="39" t="n">
        <v>54.1</v>
      </c>
      <c r="N2152" s="39" t="n">
        <f aca="false">J2152*Resumo!$C$7</f>
        <v>0.66798</v>
      </c>
      <c r="O2152" s="39" t="n">
        <f aca="false">J2152*Resumo!$C$8</f>
        <v>0.66798</v>
      </c>
      <c r="P2152" s="39" t="n">
        <f aca="false">Resumo!$C$10*CEILING(I2152/100,1)</f>
        <v>1</v>
      </c>
      <c r="Q2152" s="39" t="n">
        <f aca="false">Resumo!$C$9</f>
        <v>11.9</v>
      </c>
      <c r="R2152" s="39" t="n">
        <f aca="false">SUM(M2152:Q2152)*Resumo!$C$11</f>
        <v>3.7584778</v>
      </c>
      <c r="S2152" s="39" t="n">
        <f aca="false">SUM(M2152:R2152)</f>
        <v>72.0944378</v>
      </c>
      <c r="T2152" s="39" t="n">
        <f aca="false">S2152/(1-Resumo!$C$5)</f>
        <v>81.9254975</v>
      </c>
      <c r="U2152" s="39" t="n">
        <v>82.21</v>
      </c>
      <c r="V2152" s="39" t="n">
        <f aca="false">J2152*Resumo!$B$6</f>
        <v>0.33399</v>
      </c>
      <c r="W2152" s="39" t="n">
        <f aca="false">J2152*Resumo!$B$7</f>
        <v>0.66798</v>
      </c>
      <c r="X2152" s="39" t="n">
        <f aca="false">Resumo!$B$9</f>
        <v>1</v>
      </c>
      <c r="Y2152" s="39" t="n">
        <f aca="false">Resumo!$B$10*CEILING(I2152/100,1)</f>
        <v>4.5</v>
      </c>
      <c r="Z2152" s="39" t="n">
        <f aca="false">Resumo!$B$12*CEILING(I2152,1)</f>
        <v>1.56</v>
      </c>
      <c r="AA2152" s="39" t="n">
        <f aca="false">Resumo!$B$13*CEILING(I2152,1)</f>
        <v>11.7</v>
      </c>
      <c r="AB2152" s="39" t="n">
        <f aca="false">SUM(U2152:AA2152)</f>
        <v>101.97197</v>
      </c>
      <c r="AC2152" s="39" t="n">
        <f aca="false">AB2152/(1-Resumo!$B$5)</f>
        <v>115.877238636364</v>
      </c>
      <c r="AD2152" s="39" t="n">
        <f aca="false">(AB2152-AA2152)/(1-Resumo!$B$5)</f>
        <v>102.581784090909</v>
      </c>
      <c r="AE2152" s="39" t="n">
        <f aca="false">AC2152-T2152</f>
        <v>33.9517411363636</v>
      </c>
      <c r="AF2152" s="40" t="n">
        <f aca="false">AC2152/T2152-1</f>
        <v>0.414422153937651</v>
      </c>
      <c r="AG2152" s="37" t="str">
        <f aca="false">IF(AC2152&lt;T2152,"SIM","NÃO")</f>
        <v>NÃO</v>
      </c>
      <c r="AH2152" s="37" t="n">
        <v>8</v>
      </c>
      <c r="AI2152" s="37" t="n">
        <v>5</v>
      </c>
      <c r="AJ2152" s="37" t="s">
        <v>323</v>
      </c>
    </row>
    <row r="2153" customFormat="false" ht="15" hidden="false" customHeight="false" outlineLevel="0" collapsed="false">
      <c r="A2153" s="37" t="n">
        <v>400004700</v>
      </c>
      <c r="B2153" s="38" t="n">
        <v>46292.5878472222</v>
      </c>
      <c r="C2153" s="37" t="s">
        <v>325</v>
      </c>
      <c r="D2153" s="37" t="s">
        <v>2238</v>
      </c>
      <c r="E2153" s="37" t="n">
        <v>25250597</v>
      </c>
      <c r="F2153" s="37" t="s">
        <v>141</v>
      </c>
      <c r="G2153" s="37" t="s">
        <v>207</v>
      </c>
      <c r="H2153" s="37" t="s">
        <v>170</v>
      </c>
      <c r="I2153" s="37" t="n">
        <v>41</v>
      </c>
      <c r="J2153" s="39" t="n">
        <v>699.99</v>
      </c>
      <c r="K2153" s="37" t="s">
        <v>322</v>
      </c>
      <c r="L2153" s="39" t="n">
        <v>117.43</v>
      </c>
      <c r="M2153" s="39" t="n">
        <v>82.25</v>
      </c>
      <c r="N2153" s="39" t="n">
        <f aca="false">J2153*Resumo!$C$7</f>
        <v>1.39998</v>
      </c>
      <c r="O2153" s="39" t="n">
        <f aca="false">J2153*Resumo!$C$8</f>
        <v>1.39998</v>
      </c>
      <c r="P2153" s="39" t="n">
        <f aca="false">Resumo!$C$10*CEILING(I2153/100,1)</f>
        <v>1</v>
      </c>
      <c r="Q2153" s="39" t="n">
        <f aca="false">Resumo!$C$9</f>
        <v>11.9</v>
      </c>
      <c r="R2153" s="39" t="n">
        <f aca="false">SUM(M2153:Q2153)*Resumo!$C$11</f>
        <v>5.3872478</v>
      </c>
      <c r="S2153" s="39" t="n">
        <f aca="false">SUM(M2153:R2153)</f>
        <v>103.3372078</v>
      </c>
      <c r="T2153" s="39" t="n">
        <f aca="false">S2153/(1-Resumo!$C$5)</f>
        <v>117.428645227273</v>
      </c>
      <c r="U2153" s="39" t="n">
        <v>93.97</v>
      </c>
      <c r="V2153" s="39" t="n">
        <f aca="false">J2153*Resumo!$B$6</f>
        <v>0.69999</v>
      </c>
      <c r="W2153" s="39" t="n">
        <f aca="false">J2153*Resumo!$B$7</f>
        <v>1.39998</v>
      </c>
      <c r="X2153" s="39" t="n">
        <f aca="false">Resumo!$B$9</f>
        <v>1</v>
      </c>
      <c r="Y2153" s="39" t="n">
        <f aca="false">Resumo!$B$10*CEILING(I2153/100,1)</f>
        <v>4.5</v>
      </c>
      <c r="Z2153" s="39" t="n">
        <f aca="false">Resumo!$B$12*CEILING(I2153,1)</f>
        <v>2.46</v>
      </c>
      <c r="AA2153" s="39" t="n">
        <f aca="false">Resumo!$B$13*CEILING(I2153,1)</f>
        <v>18.45</v>
      </c>
      <c r="AB2153" s="39" t="n">
        <f aca="false">SUM(U2153:AA2153)</f>
        <v>122.47997</v>
      </c>
      <c r="AC2153" s="39" t="n">
        <f aca="false">AB2153/(1-Resumo!$B$5)</f>
        <v>139.181784090909</v>
      </c>
      <c r="AD2153" s="39" t="n">
        <f aca="false">(AB2153-AA2153)/(1-Resumo!$B$5)</f>
        <v>118.215875</v>
      </c>
      <c r="AE2153" s="39" t="n">
        <f aca="false">AC2153-T2153</f>
        <v>21.7531388636364</v>
      </c>
      <c r="AF2153" s="40" t="n">
        <f aca="false">AC2153/T2153-1</f>
        <v>0.185245591665774</v>
      </c>
      <c r="AG2153" s="37" t="str">
        <f aca="false">IF(AC2153&lt;T2153,"SIM","NÃO")</f>
        <v>NÃO</v>
      </c>
      <c r="AH2153" s="37" t="n">
        <v>10</v>
      </c>
      <c r="AI2153" s="37" t="n">
        <v>5</v>
      </c>
      <c r="AJ2153" s="37" t="s">
        <v>323</v>
      </c>
    </row>
    <row r="2154" customFormat="false" ht="15" hidden="false" customHeight="false" outlineLevel="0" collapsed="false">
      <c r="A2154" s="37" t="n">
        <v>400006168</v>
      </c>
      <c r="B2154" s="38" t="n">
        <v>46292.591099537</v>
      </c>
      <c r="C2154" s="37" t="s">
        <v>325</v>
      </c>
      <c r="D2154" s="37" t="s">
        <v>2239</v>
      </c>
      <c r="E2154" s="37" t="n">
        <v>24360380</v>
      </c>
      <c r="F2154" s="37" t="s">
        <v>143</v>
      </c>
      <c r="G2154" s="37" t="s">
        <v>207</v>
      </c>
      <c r="H2154" s="37" t="s">
        <v>170</v>
      </c>
      <c r="I2154" s="37" t="n">
        <v>48.6</v>
      </c>
      <c r="J2154" s="39" t="n">
        <v>604.3</v>
      </c>
      <c r="K2154" s="37" t="s">
        <v>322</v>
      </c>
      <c r="L2154" s="39" t="n">
        <v>116.98</v>
      </c>
      <c r="M2154" s="39" t="n">
        <v>82.25</v>
      </c>
      <c r="N2154" s="39" t="n">
        <f aca="false">J2154*Resumo!$C$7</f>
        <v>1.2086</v>
      </c>
      <c r="O2154" s="39" t="n">
        <f aca="false">J2154*Resumo!$C$8</f>
        <v>1.2086</v>
      </c>
      <c r="P2154" s="39" t="n">
        <f aca="false">Resumo!$C$10*CEILING(I2154/100,1)</f>
        <v>1</v>
      </c>
      <c r="Q2154" s="39" t="n">
        <f aca="false">Resumo!$C$9</f>
        <v>11.9</v>
      </c>
      <c r="R2154" s="39" t="n">
        <f aca="false">SUM(M2154:Q2154)*Resumo!$C$11</f>
        <v>5.366196</v>
      </c>
      <c r="S2154" s="39" t="n">
        <f aca="false">SUM(M2154:R2154)</f>
        <v>102.933396</v>
      </c>
      <c r="T2154" s="39" t="n">
        <f aca="false">S2154/(1-Resumo!$C$5)</f>
        <v>116.969768181818</v>
      </c>
      <c r="U2154" s="39" t="n">
        <v>114.95</v>
      </c>
      <c r="V2154" s="39" t="n">
        <f aca="false">J2154*Resumo!$B$6</f>
        <v>0.6043</v>
      </c>
      <c r="W2154" s="39" t="n">
        <f aca="false">J2154*Resumo!$B$7</f>
        <v>1.2086</v>
      </c>
      <c r="X2154" s="39" t="n">
        <f aca="false">Resumo!$B$9</f>
        <v>1</v>
      </c>
      <c r="Y2154" s="39" t="n">
        <f aca="false">Resumo!$B$10*CEILING(I2154/100,1)</f>
        <v>4.5</v>
      </c>
      <c r="Z2154" s="39" t="n">
        <f aca="false">Resumo!$B$12*CEILING(I2154,1)</f>
        <v>2.94</v>
      </c>
      <c r="AA2154" s="39" t="n">
        <f aca="false">Resumo!$B$13*CEILING(I2154,1)</f>
        <v>22.05</v>
      </c>
      <c r="AB2154" s="39" t="n">
        <f aca="false">SUM(U2154:AA2154)</f>
        <v>147.2529</v>
      </c>
      <c r="AC2154" s="39" t="n">
        <f aca="false">AB2154/(1-Resumo!$B$5)</f>
        <v>167.332840909091</v>
      </c>
      <c r="AD2154" s="39" t="n">
        <f aca="false">(AB2154-AA2154)/(1-Resumo!$B$5)</f>
        <v>142.276022727273</v>
      </c>
      <c r="AE2154" s="39" t="n">
        <f aca="false">AC2154-T2154</f>
        <v>50.3630727272727</v>
      </c>
      <c r="AF2154" s="40" t="n">
        <f aca="false">AC2154/T2154-1</f>
        <v>0.430564867402218</v>
      </c>
      <c r="AG2154" s="37" t="str">
        <f aca="false">IF(AC2154&lt;T2154,"SIM","NÃO")</f>
        <v>NÃO</v>
      </c>
      <c r="AH2154" s="37" t="n">
        <v>10</v>
      </c>
      <c r="AI2154" s="37" t="n">
        <v>7</v>
      </c>
      <c r="AJ2154" s="37" t="s">
        <v>323</v>
      </c>
    </row>
    <row r="2155" customFormat="false" ht="15" hidden="false" customHeight="false" outlineLevel="0" collapsed="false">
      <c r="A2155" s="37" t="n">
        <v>400008504</v>
      </c>
      <c r="B2155" s="38" t="n">
        <v>46292.5966782407</v>
      </c>
      <c r="C2155" s="37" t="s">
        <v>320</v>
      </c>
      <c r="D2155" s="37" t="s">
        <v>2240</v>
      </c>
      <c r="E2155" s="37" t="n">
        <v>23092650</v>
      </c>
      <c r="F2155" s="37" t="s">
        <v>139</v>
      </c>
      <c r="G2155" s="37" t="s">
        <v>198</v>
      </c>
      <c r="H2155" s="37" t="s">
        <v>172</v>
      </c>
      <c r="I2155" s="37" t="n">
        <v>69.45</v>
      </c>
      <c r="J2155" s="39" t="n">
        <v>859.99</v>
      </c>
      <c r="K2155" s="37" t="s">
        <v>322</v>
      </c>
      <c r="L2155" s="39" t="n">
        <v>125.33</v>
      </c>
      <c r="M2155" s="39" t="n">
        <v>88.2</v>
      </c>
      <c r="N2155" s="39" t="n">
        <f aca="false">J2155*Resumo!$C$7</f>
        <v>1.71998</v>
      </c>
      <c r="O2155" s="39" t="n">
        <f aca="false">J2155*Resumo!$C$8</f>
        <v>1.71998</v>
      </c>
      <c r="P2155" s="39" t="n">
        <f aca="false">Resumo!$C$10*CEILING(I2155/100,1)</f>
        <v>1</v>
      </c>
      <c r="Q2155" s="39" t="n">
        <f aca="false">Resumo!$C$9</f>
        <v>11.9</v>
      </c>
      <c r="R2155" s="39" t="n">
        <f aca="false">SUM(M2155:Q2155)*Resumo!$C$11</f>
        <v>5.7496978</v>
      </c>
      <c r="S2155" s="39" t="n">
        <f aca="false">SUM(M2155:R2155)</f>
        <v>110.2896578</v>
      </c>
      <c r="T2155" s="39" t="n">
        <f aca="false">S2155/(1-Resumo!$C$5)</f>
        <v>125.329156590909</v>
      </c>
      <c r="U2155" s="39" t="n">
        <v>131.02</v>
      </c>
      <c r="V2155" s="39" t="n">
        <f aca="false">J2155*Resumo!$B$6</f>
        <v>0.85999</v>
      </c>
      <c r="W2155" s="39" t="n">
        <f aca="false">J2155*Resumo!$B$7</f>
        <v>1.71998</v>
      </c>
      <c r="X2155" s="39" t="n">
        <f aca="false">Resumo!$B$9</f>
        <v>1</v>
      </c>
      <c r="Y2155" s="39" t="n">
        <f aca="false">Resumo!$B$10*CEILING(I2155/100,1)</f>
        <v>4.5</v>
      </c>
      <c r="Z2155" s="39" t="n">
        <f aca="false">Resumo!$B$12*CEILING(I2155,1)</f>
        <v>4.2</v>
      </c>
      <c r="AA2155" s="39" t="n">
        <f aca="false">Resumo!$B$13*CEILING(I2155,1)</f>
        <v>31.5</v>
      </c>
      <c r="AB2155" s="39" t="n">
        <f aca="false">SUM(U2155:AA2155)</f>
        <v>174.79997</v>
      </c>
      <c r="AC2155" s="39" t="n">
        <f aca="false">AB2155/(1-Resumo!$B$5)</f>
        <v>198.636329545455</v>
      </c>
      <c r="AD2155" s="39" t="n">
        <f aca="false">(AB2155-AA2155)/(1-Resumo!$B$5)</f>
        <v>162.840875</v>
      </c>
      <c r="AE2155" s="39" t="n">
        <f aca="false">AC2155-T2155</f>
        <v>73.3071729545454</v>
      </c>
      <c r="AF2155" s="40" t="n">
        <f aca="false">AC2155/T2155-1</f>
        <v>0.58491714895864</v>
      </c>
      <c r="AG2155" s="37" t="str">
        <f aca="false">IF(AC2155&lt;T2155,"SIM","NÃO")</f>
        <v>NÃO</v>
      </c>
      <c r="AH2155" s="37" t="n">
        <v>8</v>
      </c>
      <c r="AI2155" s="37" t="n">
        <v>5</v>
      </c>
      <c r="AJ2155" s="37" t="s">
        <v>323</v>
      </c>
    </row>
    <row r="2156" customFormat="false" ht="15" hidden="false" customHeight="false" outlineLevel="0" collapsed="false">
      <c r="A2156" s="37" t="n">
        <v>400011553</v>
      </c>
      <c r="B2156" s="38" t="n">
        <v>46292.6036111111</v>
      </c>
      <c r="C2156" s="37" t="s">
        <v>325</v>
      </c>
      <c r="D2156" s="37" t="s">
        <v>2241</v>
      </c>
      <c r="E2156" s="37" t="n">
        <v>23573340</v>
      </c>
      <c r="F2156" s="37" t="s">
        <v>139</v>
      </c>
      <c r="G2156" s="37" t="s">
        <v>198</v>
      </c>
      <c r="H2156" s="37" t="s">
        <v>172</v>
      </c>
      <c r="I2156" s="37" t="n">
        <v>68.1</v>
      </c>
      <c r="J2156" s="39" t="n">
        <v>960</v>
      </c>
      <c r="K2156" s="37" t="s">
        <v>322</v>
      </c>
      <c r="L2156" s="39" t="n">
        <v>125.81</v>
      </c>
      <c r="M2156" s="39" t="n">
        <v>88.2</v>
      </c>
      <c r="N2156" s="39" t="n">
        <f aca="false">J2156*Resumo!$C$7</f>
        <v>1.92</v>
      </c>
      <c r="O2156" s="39" t="n">
        <f aca="false">J2156*Resumo!$C$8</f>
        <v>1.92</v>
      </c>
      <c r="P2156" s="39" t="n">
        <f aca="false">Resumo!$C$10*CEILING(I2156/100,1)</f>
        <v>1</v>
      </c>
      <c r="Q2156" s="39" t="n">
        <f aca="false">Resumo!$C$9</f>
        <v>11.9</v>
      </c>
      <c r="R2156" s="39" t="n">
        <f aca="false">SUM(M2156:Q2156)*Resumo!$C$11</f>
        <v>5.7717</v>
      </c>
      <c r="S2156" s="39" t="n">
        <f aca="false">SUM(M2156:R2156)</f>
        <v>110.7117</v>
      </c>
      <c r="T2156" s="39" t="n">
        <f aca="false">S2156/(1-Resumo!$C$5)</f>
        <v>125.80875</v>
      </c>
      <c r="U2156" s="39" t="n">
        <v>131.02</v>
      </c>
      <c r="V2156" s="39" t="n">
        <f aca="false">J2156*Resumo!$B$6</f>
        <v>0.96</v>
      </c>
      <c r="W2156" s="39" t="n">
        <f aca="false">J2156*Resumo!$B$7</f>
        <v>1.92</v>
      </c>
      <c r="X2156" s="39" t="n">
        <f aca="false">Resumo!$B$9</f>
        <v>1</v>
      </c>
      <c r="Y2156" s="39" t="n">
        <f aca="false">Resumo!$B$10*CEILING(I2156/100,1)</f>
        <v>4.5</v>
      </c>
      <c r="Z2156" s="39" t="n">
        <f aca="false">Resumo!$B$12*CEILING(I2156,1)</f>
        <v>4.14</v>
      </c>
      <c r="AA2156" s="39" t="n">
        <f aca="false">Resumo!$B$13*CEILING(I2156,1)</f>
        <v>31.05</v>
      </c>
      <c r="AB2156" s="39" t="n">
        <f aca="false">SUM(U2156:AA2156)</f>
        <v>174.59</v>
      </c>
      <c r="AC2156" s="39" t="n">
        <f aca="false">AB2156/(1-Resumo!$B$5)</f>
        <v>198.397727272727</v>
      </c>
      <c r="AD2156" s="39" t="n">
        <f aca="false">(AB2156-AA2156)/(1-Resumo!$B$5)</f>
        <v>163.113636363636</v>
      </c>
      <c r="AE2156" s="39" t="n">
        <f aca="false">AC2156-T2156</f>
        <v>72.5889772727273</v>
      </c>
      <c r="AF2156" s="40" t="n">
        <f aca="false">AC2156/T2156-1</f>
        <v>0.57697876556859</v>
      </c>
      <c r="AG2156" s="37" t="str">
        <f aca="false">IF(AC2156&lt;T2156,"SIM","NÃO")</f>
        <v>NÃO</v>
      </c>
      <c r="AH2156" s="37" t="n">
        <v>8</v>
      </c>
      <c r="AI2156" s="37" t="n">
        <v>5</v>
      </c>
      <c r="AJ2156" s="37" t="s">
        <v>323</v>
      </c>
    </row>
    <row r="2157" customFormat="false" ht="15" hidden="false" customHeight="false" outlineLevel="0" collapsed="false">
      <c r="A2157" s="37" t="n">
        <v>400019220</v>
      </c>
      <c r="B2157" s="38" t="n">
        <v>46292.6212731482</v>
      </c>
      <c r="C2157" s="37" t="s">
        <v>325</v>
      </c>
      <c r="D2157" s="37" t="s">
        <v>2242</v>
      </c>
      <c r="E2157" s="37" t="n">
        <v>23954030</v>
      </c>
      <c r="F2157" s="37" t="s">
        <v>149</v>
      </c>
      <c r="G2157" s="37" t="s">
        <v>201</v>
      </c>
      <c r="H2157" s="37" t="s">
        <v>170</v>
      </c>
      <c r="I2157" s="37" t="n">
        <v>45.3</v>
      </c>
      <c r="J2157" s="39" t="n">
        <v>689.99</v>
      </c>
      <c r="K2157" s="37" t="s">
        <v>322</v>
      </c>
      <c r="L2157" s="39" t="n">
        <v>131.47</v>
      </c>
      <c r="M2157" s="39" t="n">
        <v>94</v>
      </c>
      <c r="N2157" s="39" t="n">
        <f aca="false">J2157*Resumo!$C$7</f>
        <v>1.37998</v>
      </c>
      <c r="O2157" s="39" t="n">
        <f aca="false">J2157*Resumo!$C$8</f>
        <v>1.37998</v>
      </c>
      <c r="P2157" s="39" t="n">
        <f aca="false">Resumo!$C$10*CEILING(I2157/100,1)</f>
        <v>1</v>
      </c>
      <c r="Q2157" s="39" t="n">
        <f aca="false">Resumo!$C$9</f>
        <v>11.9</v>
      </c>
      <c r="R2157" s="39" t="n">
        <f aca="false">SUM(M2157:Q2157)*Resumo!$C$11</f>
        <v>6.0312978</v>
      </c>
      <c r="S2157" s="39" t="n">
        <f aca="false">SUM(M2157:R2157)</f>
        <v>115.6912578</v>
      </c>
      <c r="T2157" s="39" t="n">
        <f aca="false">S2157/(1-Resumo!$C$5)</f>
        <v>131.467338409091</v>
      </c>
      <c r="U2157" s="39" t="n">
        <v>124.38</v>
      </c>
      <c r="V2157" s="39" t="n">
        <f aca="false">J2157*Resumo!$B$6</f>
        <v>0.68999</v>
      </c>
      <c r="W2157" s="39" t="n">
        <f aca="false">J2157*Resumo!$B$7</f>
        <v>1.37998</v>
      </c>
      <c r="X2157" s="39" t="n">
        <f aca="false">Resumo!$B$9</f>
        <v>1</v>
      </c>
      <c r="Y2157" s="39" t="n">
        <f aca="false">Resumo!$B$10*CEILING(I2157/100,1)</f>
        <v>4.5</v>
      </c>
      <c r="Z2157" s="39" t="n">
        <f aca="false">Resumo!$B$12*CEILING(I2157,1)</f>
        <v>2.76</v>
      </c>
      <c r="AA2157" s="39" t="n">
        <f aca="false">Resumo!$B$13*CEILING(I2157,1)</f>
        <v>20.7</v>
      </c>
      <c r="AB2157" s="39" t="n">
        <f aca="false">SUM(U2157:AA2157)</f>
        <v>155.40997</v>
      </c>
      <c r="AC2157" s="39" t="n">
        <f aca="false">AB2157/(1-Resumo!$B$5)</f>
        <v>176.602238636364</v>
      </c>
      <c r="AD2157" s="39" t="n">
        <f aca="false">(AB2157-AA2157)/(1-Resumo!$B$5)</f>
        <v>153.079511363636</v>
      </c>
      <c r="AE2157" s="39" t="n">
        <f aca="false">AC2157-T2157</f>
        <v>45.1349002272727</v>
      </c>
      <c r="AF2157" s="40" t="n">
        <f aca="false">AC2157/T2157-1</f>
        <v>0.343316452386258</v>
      </c>
      <c r="AG2157" s="37" t="str">
        <f aca="false">IF(AC2157&lt;T2157,"SIM","NÃO")</f>
        <v>NÃO</v>
      </c>
      <c r="AH2157" s="37" t="n">
        <v>13</v>
      </c>
      <c r="AI2157" s="37" t="n">
        <v>10</v>
      </c>
      <c r="AJ2157" s="37" t="s">
        <v>323</v>
      </c>
    </row>
    <row r="2158" customFormat="false" ht="15" hidden="false" customHeight="false" outlineLevel="0" collapsed="false">
      <c r="A2158" s="37" t="n">
        <v>400025702</v>
      </c>
      <c r="B2158" s="38" t="n">
        <v>46292.6337037037</v>
      </c>
      <c r="C2158" s="37" t="s">
        <v>325</v>
      </c>
      <c r="D2158" s="37" t="s">
        <v>2176</v>
      </c>
      <c r="E2158" s="37" t="n">
        <v>26700000</v>
      </c>
      <c r="F2158" s="37" t="s">
        <v>227</v>
      </c>
      <c r="G2158" s="37" t="s">
        <v>201</v>
      </c>
      <c r="H2158" s="37" t="s">
        <v>169</v>
      </c>
      <c r="I2158" s="37" t="n">
        <v>36.8</v>
      </c>
      <c r="J2158" s="39" t="n">
        <v>413.7</v>
      </c>
      <c r="K2158" s="37" t="s">
        <v>322</v>
      </c>
      <c r="L2158" s="39" t="n">
        <v>122.24</v>
      </c>
      <c r="M2158" s="39" t="n">
        <v>87.4</v>
      </c>
      <c r="N2158" s="39" t="n">
        <f aca="false">J2158*Resumo!$C$7</f>
        <v>0.8274</v>
      </c>
      <c r="O2158" s="39" t="n">
        <f aca="false">J2158*Resumo!$C$8</f>
        <v>0.8274</v>
      </c>
      <c r="P2158" s="39" t="n">
        <f aca="false">Resumo!$C$10*CEILING(I2158/100,1)</f>
        <v>1</v>
      </c>
      <c r="Q2158" s="39" t="n">
        <f aca="false">Resumo!$C$9</f>
        <v>11.9</v>
      </c>
      <c r="R2158" s="39" t="n">
        <f aca="false">SUM(M2158:Q2158)*Resumo!$C$11</f>
        <v>5.607514</v>
      </c>
      <c r="S2158" s="39" t="n">
        <f aca="false">SUM(M2158:R2158)</f>
        <v>107.562314</v>
      </c>
      <c r="T2158" s="39" t="n">
        <f aca="false">S2158/(1-Resumo!$C$5)</f>
        <v>122.229902272727</v>
      </c>
      <c r="U2158" s="39" t="n">
        <v>124.38</v>
      </c>
      <c r="V2158" s="39" t="n">
        <f aca="false">J2158*Resumo!$B$6</f>
        <v>0.4137</v>
      </c>
      <c r="W2158" s="39" t="n">
        <f aca="false">J2158*Resumo!$B$7</f>
        <v>0.8274</v>
      </c>
      <c r="X2158" s="39" t="n">
        <f aca="false">Resumo!$B$9</f>
        <v>1</v>
      </c>
      <c r="Y2158" s="39" t="n">
        <f aca="false">Resumo!$B$10*CEILING(I2158/100,1)</f>
        <v>4.5</v>
      </c>
      <c r="Z2158" s="39" t="n">
        <f aca="false">Resumo!$B$12*CEILING(I2158,1)</f>
        <v>2.22</v>
      </c>
      <c r="AA2158" s="39" t="n">
        <f aca="false">Resumo!$B$13*CEILING(I2158,1)</f>
        <v>16.65</v>
      </c>
      <c r="AB2158" s="39" t="n">
        <f aca="false">SUM(U2158:AA2158)</f>
        <v>149.9911</v>
      </c>
      <c r="AC2158" s="39" t="n">
        <f aca="false">AB2158/(1-Resumo!$B$5)</f>
        <v>170.444431818182</v>
      </c>
      <c r="AD2158" s="39" t="n">
        <f aca="false">(AB2158-AA2158)/(1-Resumo!$B$5)</f>
        <v>151.523977272727</v>
      </c>
      <c r="AE2158" s="39" t="n">
        <f aca="false">AC2158-T2158</f>
        <v>48.2145295454545</v>
      </c>
      <c r="AF2158" s="40" t="n">
        <f aca="false">AC2158/T2158-1</f>
        <v>0.394457728010574</v>
      </c>
      <c r="AG2158" s="37" t="str">
        <f aca="false">IF(AC2158&lt;T2158,"SIM","NÃO")</f>
        <v>NÃO</v>
      </c>
      <c r="AH2158" s="37" t="n">
        <v>13</v>
      </c>
      <c r="AI2158" s="37" t="n">
        <v>10</v>
      </c>
      <c r="AJ2158" s="37" t="s">
        <v>327</v>
      </c>
    </row>
    <row r="2159" customFormat="false" ht="15" hidden="false" customHeight="false" outlineLevel="0" collapsed="false">
      <c r="A2159" s="37" t="n">
        <v>400007665</v>
      </c>
      <c r="B2159" s="38" t="n">
        <v>46292.7234606482</v>
      </c>
      <c r="C2159" s="37" t="s">
        <v>341</v>
      </c>
      <c r="D2159" s="37" t="s">
        <v>2243</v>
      </c>
      <c r="E2159" s="37" t="n">
        <v>25730050</v>
      </c>
      <c r="F2159" s="37" t="s">
        <v>150</v>
      </c>
      <c r="G2159" s="37" t="s">
        <v>201</v>
      </c>
      <c r="H2159" s="37" t="s">
        <v>170</v>
      </c>
      <c r="I2159" s="37" t="n">
        <v>45.3</v>
      </c>
      <c r="J2159" s="39" t="n">
        <v>699.99</v>
      </c>
      <c r="K2159" s="37" t="s">
        <v>322</v>
      </c>
      <c r="L2159" s="39" t="n">
        <v>131.51</v>
      </c>
      <c r="M2159" s="39" t="n">
        <v>94</v>
      </c>
      <c r="N2159" s="39" t="n">
        <f aca="false">J2159*Resumo!$C$7</f>
        <v>1.39998</v>
      </c>
      <c r="O2159" s="39" t="n">
        <f aca="false">J2159*Resumo!$C$8</f>
        <v>1.39998</v>
      </c>
      <c r="P2159" s="39" t="n">
        <f aca="false">Resumo!$C$10*CEILING(I2159/100,1)</f>
        <v>1</v>
      </c>
      <c r="Q2159" s="39" t="n">
        <f aca="false">Resumo!$C$9</f>
        <v>11.9</v>
      </c>
      <c r="R2159" s="39" t="n">
        <f aca="false">SUM(M2159:Q2159)*Resumo!$C$11</f>
        <v>6.0334978</v>
      </c>
      <c r="S2159" s="39" t="n">
        <f aca="false">SUM(M2159:R2159)</f>
        <v>115.7334578</v>
      </c>
      <c r="T2159" s="39" t="n">
        <f aca="false">S2159/(1-Resumo!$C$5)</f>
        <v>131.515292954545</v>
      </c>
      <c r="U2159" s="39" t="n">
        <v>124.38</v>
      </c>
      <c r="V2159" s="39" t="n">
        <f aca="false">J2159*Resumo!$B$6</f>
        <v>0.69999</v>
      </c>
      <c r="W2159" s="39" t="n">
        <f aca="false">J2159*Resumo!$B$7</f>
        <v>1.39998</v>
      </c>
      <c r="X2159" s="39" t="n">
        <f aca="false">Resumo!$B$9</f>
        <v>1</v>
      </c>
      <c r="Y2159" s="39" t="n">
        <f aca="false">Resumo!$B$10*CEILING(I2159/100,1)</f>
        <v>4.5</v>
      </c>
      <c r="Z2159" s="39" t="n">
        <f aca="false">Resumo!$B$12*CEILING(I2159,1)</f>
        <v>2.76</v>
      </c>
      <c r="AA2159" s="39" t="n">
        <f aca="false">Resumo!$B$13*CEILING(I2159,1)</f>
        <v>20.7</v>
      </c>
      <c r="AB2159" s="39" t="n">
        <f aca="false">SUM(U2159:AA2159)</f>
        <v>155.43997</v>
      </c>
      <c r="AC2159" s="39" t="n">
        <f aca="false">AB2159/(1-Resumo!$B$5)</f>
        <v>176.636329545455</v>
      </c>
      <c r="AD2159" s="39" t="n">
        <f aca="false">(AB2159-AA2159)/(1-Resumo!$B$5)</f>
        <v>153.113602272727</v>
      </c>
      <c r="AE2159" s="39" t="n">
        <f aca="false">AC2159-T2159</f>
        <v>45.1210365909091</v>
      </c>
      <c r="AF2159" s="40" t="n">
        <f aca="false">AC2159/T2159-1</f>
        <v>0.34308585395087</v>
      </c>
      <c r="AG2159" s="37" t="str">
        <f aca="false">IF(AC2159&lt;T2159,"SIM","NÃO")</f>
        <v>NÃO</v>
      </c>
      <c r="AH2159" s="37" t="n">
        <v>13</v>
      </c>
      <c r="AI2159" s="37" t="n">
        <v>8</v>
      </c>
      <c r="AJ2159" s="37" t="s">
        <v>323</v>
      </c>
    </row>
    <row r="2160" customFormat="false" ht="15" hidden="false" customHeight="false" outlineLevel="0" collapsed="false">
      <c r="A2160" s="37" t="n">
        <v>400073896</v>
      </c>
      <c r="B2160" s="38" t="n">
        <v>46292.7462731482</v>
      </c>
      <c r="C2160" s="37" t="s">
        <v>320</v>
      </c>
      <c r="D2160" s="37" t="s">
        <v>2244</v>
      </c>
      <c r="E2160" s="37" t="n">
        <v>26087535</v>
      </c>
      <c r="F2160" s="37" t="s">
        <v>142</v>
      </c>
      <c r="G2160" s="37" t="s">
        <v>207</v>
      </c>
      <c r="H2160" s="37" t="s">
        <v>169</v>
      </c>
      <c r="I2160" s="37" t="n">
        <v>36.9</v>
      </c>
      <c r="J2160" s="39" t="n">
        <v>378.99</v>
      </c>
      <c r="K2160" s="37" t="s">
        <v>322</v>
      </c>
      <c r="L2160" s="39" t="n">
        <v>112.77</v>
      </c>
      <c r="M2160" s="39" t="n">
        <v>79.65</v>
      </c>
      <c r="N2160" s="39" t="n">
        <f aca="false">J2160*Resumo!$C$7</f>
        <v>0.75798</v>
      </c>
      <c r="O2160" s="39" t="n">
        <f aca="false">J2160*Resumo!$C$8</f>
        <v>0.75798</v>
      </c>
      <c r="P2160" s="39" t="n">
        <f aca="false">Resumo!$C$10*CEILING(I2160/100,1)</f>
        <v>1</v>
      </c>
      <c r="Q2160" s="39" t="n">
        <f aca="false">Resumo!$C$9</f>
        <v>11.9</v>
      </c>
      <c r="R2160" s="39" t="n">
        <f aca="false">SUM(M2160:Q2160)*Resumo!$C$11</f>
        <v>5.1736278</v>
      </c>
      <c r="S2160" s="39" t="n">
        <f aca="false">SUM(M2160:R2160)</f>
        <v>99.2395878</v>
      </c>
      <c r="T2160" s="39" t="n">
        <f aca="false">S2160/(1-Resumo!$C$5)</f>
        <v>112.772258863636</v>
      </c>
      <c r="U2160" s="39" t="n">
        <v>93.97</v>
      </c>
      <c r="V2160" s="39" t="n">
        <f aca="false">J2160*Resumo!$B$6</f>
        <v>0.37899</v>
      </c>
      <c r="W2160" s="39" t="n">
        <f aca="false">J2160*Resumo!$B$7</f>
        <v>0.75798</v>
      </c>
      <c r="X2160" s="39" t="n">
        <f aca="false">Resumo!$B$9</f>
        <v>1</v>
      </c>
      <c r="Y2160" s="39" t="n">
        <f aca="false">Resumo!$B$10*CEILING(I2160/100,1)</f>
        <v>4.5</v>
      </c>
      <c r="Z2160" s="39" t="n">
        <f aca="false">Resumo!$B$12*CEILING(I2160,1)</f>
        <v>2.22</v>
      </c>
      <c r="AA2160" s="39" t="n">
        <f aca="false">Resumo!$B$13*CEILING(I2160,1)</f>
        <v>16.65</v>
      </c>
      <c r="AB2160" s="39" t="n">
        <f aca="false">SUM(U2160:AA2160)</f>
        <v>119.47697</v>
      </c>
      <c r="AC2160" s="39" t="n">
        <f aca="false">AB2160/(1-Resumo!$B$5)</f>
        <v>135.769284090909</v>
      </c>
      <c r="AD2160" s="39" t="n">
        <f aca="false">(AB2160-AA2160)/(1-Resumo!$B$5)</f>
        <v>116.848829545455</v>
      </c>
      <c r="AE2160" s="39" t="n">
        <f aca="false">AC2160-T2160</f>
        <v>22.9970252272727</v>
      </c>
      <c r="AF2160" s="40" t="n">
        <f aca="false">AC2160/T2160-1</f>
        <v>0.203924488690793</v>
      </c>
      <c r="AG2160" s="37" t="str">
        <f aca="false">IF(AC2160&lt;T2160,"SIM","NÃO")</f>
        <v>NÃO</v>
      </c>
      <c r="AH2160" s="37" t="n">
        <v>10</v>
      </c>
      <c r="AI2160" s="37" t="n">
        <v>5</v>
      </c>
      <c r="AJ2160" s="37" t="s">
        <v>323</v>
      </c>
    </row>
    <row r="2161" customFormat="false" ht="15" hidden="false" customHeight="false" outlineLevel="0" collapsed="false">
      <c r="A2161" s="37" t="n">
        <v>400085078</v>
      </c>
      <c r="B2161" s="38" t="n">
        <v>46292.7734375</v>
      </c>
      <c r="C2161" s="37" t="s">
        <v>325</v>
      </c>
      <c r="D2161" s="37" t="s">
        <v>1088</v>
      </c>
      <c r="E2161" s="37" t="n">
        <v>25555221</v>
      </c>
      <c r="F2161" s="37" t="s">
        <v>147</v>
      </c>
      <c r="G2161" s="37" t="s">
        <v>207</v>
      </c>
      <c r="H2161" s="37" t="s">
        <v>171</v>
      </c>
      <c r="I2161" s="37" t="n">
        <v>58.6</v>
      </c>
      <c r="J2161" s="39" t="n">
        <v>658.98</v>
      </c>
      <c r="K2161" s="37" t="s">
        <v>322</v>
      </c>
      <c r="L2161" s="39" t="n">
        <v>128.44</v>
      </c>
      <c r="M2161" s="39" t="n">
        <v>91.6</v>
      </c>
      <c r="N2161" s="39" t="n">
        <f aca="false">J2161*Resumo!$C$7</f>
        <v>1.31796</v>
      </c>
      <c r="O2161" s="39" t="n">
        <f aca="false">J2161*Resumo!$C$8</f>
        <v>1.31796</v>
      </c>
      <c r="P2161" s="39" t="n">
        <f aca="false">Resumo!$C$10*CEILING(I2161/100,1)</f>
        <v>1</v>
      </c>
      <c r="Q2161" s="39" t="n">
        <f aca="false">Resumo!$C$9</f>
        <v>11.9</v>
      </c>
      <c r="R2161" s="39" t="n">
        <f aca="false">SUM(M2161:Q2161)*Resumo!$C$11</f>
        <v>5.8924756</v>
      </c>
      <c r="S2161" s="39" t="n">
        <f aca="false">SUM(M2161:R2161)</f>
        <v>113.0283956</v>
      </c>
      <c r="T2161" s="39" t="n">
        <f aca="false">S2161/(1-Resumo!$C$5)</f>
        <v>128.441358636364</v>
      </c>
      <c r="U2161" s="39" t="n">
        <v>112.3</v>
      </c>
      <c r="V2161" s="39" t="n">
        <f aca="false">J2161*Resumo!$B$6</f>
        <v>0.65898</v>
      </c>
      <c r="W2161" s="39" t="n">
        <f aca="false">J2161*Resumo!$B$7</f>
        <v>1.31796</v>
      </c>
      <c r="X2161" s="39" t="n">
        <f aca="false">Resumo!$B$9</f>
        <v>1</v>
      </c>
      <c r="Y2161" s="39" t="n">
        <f aca="false">Resumo!$B$10*CEILING(I2161/100,1)</f>
        <v>4.5</v>
      </c>
      <c r="Z2161" s="39" t="n">
        <f aca="false">Resumo!$B$12*CEILING(I2161,1)</f>
        <v>3.54</v>
      </c>
      <c r="AA2161" s="39" t="n">
        <f aca="false">Resumo!$B$13*CEILING(I2161,1)</f>
        <v>26.55</v>
      </c>
      <c r="AB2161" s="39" t="n">
        <f aca="false">SUM(U2161:AA2161)</f>
        <v>149.86694</v>
      </c>
      <c r="AC2161" s="39" t="n">
        <f aca="false">AB2161/(1-Resumo!$B$5)</f>
        <v>170.303340909091</v>
      </c>
      <c r="AD2161" s="39" t="n">
        <f aca="false">(AB2161-AA2161)/(1-Resumo!$B$5)</f>
        <v>140.132886363636</v>
      </c>
      <c r="AE2161" s="39" t="n">
        <f aca="false">AC2161-T2161</f>
        <v>41.8619822727273</v>
      </c>
      <c r="AF2161" s="40" t="n">
        <f aca="false">AC2161/T2161-1</f>
        <v>0.325922917019624</v>
      </c>
      <c r="AG2161" s="37" t="str">
        <f aca="false">IF(AC2161&lt;T2161,"SIM","NÃO")</f>
        <v>NÃO</v>
      </c>
      <c r="AH2161" s="37" t="n">
        <v>10</v>
      </c>
      <c r="AI2161" s="37" t="n">
        <v>5</v>
      </c>
      <c r="AJ2161" s="37" t="s">
        <v>323</v>
      </c>
    </row>
    <row r="2162" customFormat="false" ht="15" hidden="false" customHeight="false" outlineLevel="0" collapsed="false">
      <c r="A2162" s="37" t="n">
        <v>400088243</v>
      </c>
      <c r="B2162" s="38" t="n">
        <v>46292.7809143519</v>
      </c>
      <c r="C2162" s="37" t="s">
        <v>320</v>
      </c>
      <c r="D2162" s="37" t="s">
        <v>2245</v>
      </c>
      <c r="E2162" s="37" t="n">
        <v>27961086</v>
      </c>
      <c r="F2162" s="37" t="s">
        <v>146</v>
      </c>
      <c r="G2162" s="37" t="s">
        <v>201</v>
      </c>
      <c r="H2162" s="37" t="s">
        <v>170</v>
      </c>
      <c r="I2162" s="37" t="n">
        <v>45.3</v>
      </c>
      <c r="J2162" s="39" t="n">
        <v>699.99</v>
      </c>
      <c r="K2162" s="37" t="s">
        <v>322</v>
      </c>
      <c r="L2162" s="39" t="n">
        <v>131.51</v>
      </c>
      <c r="M2162" s="39" t="n">
        <v>94</v>
      </c>
      <c r="N2162" s="39" t="n">
        <f aca="false">J2162*Resumo!$C$7</f>
        <v>1.39998</v>
      </c>
      <c r="O2162" s="39" t="n">
        <f aca="false">J2162*Resumo!$C$8</f>
        <v>1.39998</v>
      </c>
      <c r="P2162" s="39" t="n">
        <f aca="false">Resumo!$C$10*CEILING(I2162/100,1)</f>
        <v>1</v>
      </c>
      <c r="Q2162" s="39" t="n">
        <f aca="false">Resumo!$C$9</f>
        <v>11.9</v>
      </c>
      <c r="R2162" s="39" t="n">
        <f aca="false">SUM(M2162:Q2162)*Resumo!$C$11</f>
        <v>6.0334978</v>
      </c>
      <c r="S2162" s="39" t="n">
        <f aca="false">SUM(M2162:R2162)</f>
        <v>115.7334578</v>
      </c>
      <c r="T2162" s="39" t="n">
        <f aca="false">S2162/(1-Resumo!$C$5)</f>
        <v>131.515292954545</v>
      </c>
      <c r="U2162" s="39" t="n">
        <v>152.54</v>
      </c>
      <c r="V2162" s="39" t="n">
        <f aca="false">J2162*Resumo!$B$6</f>
        <v>0.69999</v>
      </c>
      <c r="W2162" s="39" t="n">
        <f aca="false">J2162*Resumo!$B$7</f>
        <v>1.39998</v>
      </c>
      <c r="X2162" s="39" t="n">
        <f aca="false">Resumo!$B$9</f>
        <v>1</v>
      </c>
      <c r="Y2162" s="39" t="n">
        <f aca="false">Resumo!$B$10*CEILING(I2162/100,1)</f>
        <v>4.5</v>
      </c>
      <c r="Z2162" s="39" t="n">
        <f aca="false">Resumo!$B$12*CEILING(I2162,1)</f>
        <v>2.76</v>
      </c>
      <c r="AA2162" s="39" t="n">
        <f aca="false">Resumo!$B$13*CEILING(I2162,1)</f>
        <v>20.7</v>
      </c>
      <c r="AB2162" s="39" t="n">
        <f aca="false">SUM(U2162:AA2162)</f>
        <v>183.59997</v>
      </c>
      <c r="AC2162" s="39" t="n">
        <f aca="false">AB2162/(1-Resumo!$B$5)</f>
        <v>208.636329545455</v>
      </c>
      <c r="AD2162" s="39" t="n">
        <f aca="false">(AB2162-AA2162)/(1-Resumo!$B$5)</f>
        <v>185.113602272727</v>
      </c>
      <c r="AE2162" s="39" t="n">
        <f aca="false">AC2162-T2162</f>
        <v>77.1210365909091</v>
      </c>
      <c r="AF2162" s="40" t="n">
        <f aca="false">AC2162/T2162-1</f>
        <v>0.586403564622434</v>
      </c>
      <c r="AG2162" s="37" t="str">
        <f aca="false">IF(AC2162&lt;T2162,"SIM","NÃO")</f>
        <v>NÃO</v>
      </c>
      <c r="AH2162" s="37" t="n">
        <v>13</v>
      </c>
      <c r="AI2162" s="37" t="n">
        <v>11</v>
      </c>
      <c r="AJ2162" s="37" t="s">
        <v>323</v>
      </c>
    </row>
    <row r="2163" customFormat="false" ht="15" hidden="false" customHeight="false" outlineLevel="0" collapsed="false">
      <c r="A2163" s="37" t="n">
        <v>400096191</v>
      </c>
      <c r="B2163" s="38" t="n">
        <v>46292.7994907407</v>
      </c>
      <c r="C2163" s="37" t="s">
        <v>325</v>
      </c>
      <c r="D2163" s="37" t="s">
        <v>2246</v>
      </c>
      <c r="E2163" s="37" t="n">
        <v>23885000</v>
      </c>
      <c r="F2163" s="37" t="s">
        <v>203</v>
      </c>
      <c r="G2163" s="37" t="s">
        <v>201</v>
      </c>
      <c r="H2163" s="37" t="s">
        <v>174</v>
      </c>
      <c r="I2163" s="37" t="n">
        <v>82</v>
      </c>
      <c r="J2163" s="39" t="n">
        <v>1399.98</v>
      </c>
      <c r="K2163" s="37" t="s">
        <v>322</v>
      </c>
      <c r="L2163" s="39" t="n">
        <v>195.31</v>
      </c>
      <c r="M2163" s="39" t="n">
        <v>144.41</v>
      </c>
      <c r="N2163" s="39" t="n">
        <f aca="false">J2163*Resumo!$C$7</f>
        <v>2.79996</v>
      </c>
      <c r="O2163" s="39" t="n">
        <f aca="false">J2163*Resumo!$C$8</f>
        <v>2.79996</v>
      </c>
      <c r="P2163" s="39" t="n">
        <f aca="false">Resumo!$C$10*CEILING(I2163/100,1)</f>
        <v>1</v>
      </c>
      <c r="Q2163" s="39" t="n">
        <f aca="false">Resumo!$C$9</f>
        <v>11.9</v>
      </c>
      <c r="R2163" s="39" t="n">
        <f aca="false">SUM(M2163:Q2163)*Resumo!$C$11</f>
        <v>8.9600456</v>
      </c>
      <c r="S2163" s="39" t="n">
        <f aca="false">SUM(M2163:R2163)</f>
        <v>171.8699656</v>
      </c>
      <c r="T2163" s="39" t="n">
        <f aca="false">S2163/(1-Resumo!$C$5)</f>
        <v>195.306779090909</v>
      </c>
      <c r="U2163" s="39" t="n">
        <v>197.35</v>
      </c>
      <c r="V2163" s="39" t="n">
        <f aca="false">J2163*Resumo!$B$6</f>
        <v>1.39998</v>
      </c>
      <c r="W2163" s="39" t="n">
        <f aca="false">J2163*Resumo!$B$7</f>
        <v>2.79996</v>
      </c>
      <c r="X2163" s="39" t="n">
        <f aca="false">Resumo!$B$9</f>
        <v>1</v>
      </c>
      <c r="Y2163" s="39" t="n">
        <f aca="false">Resumo!$B$10*CEILING(I2163/100,1)</f>
        <v>4.5</v>
      </c>
      <c r="Z2163" s="39" t="n">
        <f aca="false">Resumo!$B$12*CEILING(I2163,1)</f>
        <v>4.92</v>
      </c>
      <c r="AA2163" s="39" t="n">
        <f aca="false">Resumo!$B$13*CEILING(I2163,1)</f>
        <v>36.9</v>
      </c>
      <c r="AB2163" s="39" t="n">
        <f aca="false">SUM(U2163:AA2163)</f>
        <v>248.86994</v>
      </c>
      <c r="AC2163" s="39" t="n">
        <f aca="false">AB2163/(1-Resumo!$B$5)</f>
        <v>282.80675</v>
      </c>
      <c r="AD2163" s="39" t="n">
        <f aca="false">(AB2163-AA2163)/(1-Resumo!$B$5)</f>
        <v>240.874931818182</v>
      </c>
      <c r="AE2163" s="39" t="n">
        <f aca="false">AC2163-T2163</f>
        <v>87.4999709090909</v>
      </c>
      <c r="AF2163" s="40" t="n">
        <f aca="false">AC2163/T2163-1</f>
        <v>0.448012973826999</v>
      </c>
      <c r="AG2163" s="37" t="str">
        <f aca="false">IF(AC2163&lt;T2163,"SIM","NÃO")</f>
        <v>NÃO</v>
      </c>
      <c r="AH2163" s="37" t="n">
        <v>13</v>
      </c>
      <c r="AI2163" s="37" t="n">
        <v>10</v>
      </c>
      <c r="AJ2163" s="37" t="s">
        <v>327</v>
      </c>
    </row>
    <row r="2164" customFormat="false" ht="15" hidden="false" customHeight="false" outlineLevel="0" collapsed="false">
      <c r="A2164" s="37" t="n">
        <v>400103950</v>
      </c>
      <c r="B2164" s="38" t="n">
        <v>46292.818587963</v>
      </c>
      <c r="C2164" s="37" t="s">
        <v>325</v>
      </c>
      <c r="D2164" s="37" t="s">
        <v>2247</v>
      </c>
      <c r="E2164" s="37" t="n">
        <v>20780370</v>
      </c>
      <c r="F2164" s="37" t="s">
        <v>139</v>
      </c>
      <c r="G2164" s="37" t="s">
        <v>198</v>
      </c>
      <c r="H2164" s="37" t="s">
        <v>171</v>
      </c>
      <c r="I2164" s="37" t="n">
        <v>52.3</v>
      </c>
      <c r="J2164" s="39" t="n">
        <v>636.83</v>
      </c>
      <c r="K2164" s="37" t="s">
        <v>322</v>
      </c>
      <c r="L2164" s="39" t="n">
        <v>114.19</v>
      </c>
      <c r="M2164" s="39" t="n">
        <v>79.81</v>
      </c>
      <c r="N2164" s="39" t="n">
        <f aca="false">J2164*Resumo!$C$7</f>
        <v>1.27366</v>
      </c>
      <c r="O2164" s="39" t="n">
        <f aca="false">J2164*Resumo!$C$8</f>
        <v>1.27366</v>
      </c>
      <c r="P2164" s="39" t="n">
        <f aca="false">Resumo!$C$10*CEILING(I2164/100,1)</f>
        <v>1</v>
      </c>
      <c r="Q2164" s="39" t="n">
        <f aca="false">Resumo!$C$9</f>
        <v>11.9</v>
      </c>
      <c r="R2164" s="39" t="n">
        <f aca="false">SUM(M2164:Q2164)*Resumo!$C$11</f>
        <v>5.2391526</v>
      </c>
      <c r="S2164" s="39" t="n">
        <f aca="false">SUM(M2164:R2164)</f>
        <v>100.4964726</v>
      </c>
      <c r="T2164" s="39" t="n">
        <f aca="false">S2164/(1-Resumo!$C$5)</f>
        <v>114.200537045455</v>
      </c>
      <c r="U2164" s="39" t="n">
        <v>112.3</v>
      </c>
      <c r="V2164" s="39" t="n">
        <f aca="false">J2164*Resumo!$B$6</f>
        <v>0.63683</v>
      </c>
      <c r="W2164" s="39" t="n">
        <f aca="false">J2164*Resumo!$B$7</f>
        <v>1.27366</v>
      </c>
      <c r="X2164" s="39" t="n">
        <f aca="false">Resumo!$B$9</f>
        <v>1</v>
      </c>
      <c r="Y2164" s="39" t="n">
        <f aca="false">Resumo!$B$10*CEILING(I2164/100,1)</f>
        <v>4.5</v>
      </c>
      <c r="Z2164" s="39" t="n">
        <f aca="false">Resumo!$B$12*CEILING(I2164,1)</f>
        <v>3.18</v>
      </c>
      <c r="AA2164" s="39" t="n">
        <f aca="false">Resumo!$B$13*CEILING(I2164,1)</f>
        <v>23.85</v>
      </c>
      <c r="AB2164" s="39" t="n">
        <f aca="false">SUM(U2164:AA2164)</f>
        <v>146.74049</v>
      </c>
      <c r="AC2164" s="39" t="n">
        <f aca="false">AB2164/(1-Resumo!$B$5)</f>
        <v>166.750556818182</v>
      </c>
      <c r="AD2164" s="39" t="n">
        <f aca="false">(AB2164-AA2164)/(1-Resumo!$B$5)</f>
        <v>139.648284090909</v>
      </c>
      <c r="AE2164" s="39" t="n">
        <f aca="false">AC2164-T2164</f>
        <v>52.5500197727273</v>
      </c>
      <c r="AF2164" s="40" t="n">
        <f aca="false">AC2164/T2164-1</f>
        <v>0.460155627392638</v>
      </c>
      <c r="AG2164" s="37" t="str">
        <f aca="false">IF(AC2164&lt;T2164,"SIM","NÃO")</f>
        <v>NÃO</v>
      </c>
      <c r="AH2164" s="37" t="n">
        <v>8</v>
      </c>
      <c r="AI2164" s="37" t="n">
        <v>5</v>
      </c>
      <c r="AJ2164" s="37" t="s">
        <v>323</v>
      </c>
    </row>
    <row r="2165" customFormat="false" ht="15" hidden="false" customHeight="false" outlineLevel="0" collapsed="false">
      <c r="A2165" s="37" t="n">
        <v>400131733</v>
      </c>
      <c r="B2165" s="38" t="n">
        <v>46292.8835300926</v>
      </c>
      <c r="C2165" s="37" t="s">
        <v>320</v>
      </c>
      <c r="D2165" s="37" t="s">
        <v>2248</v>
      </c>
      <c r="E2165" s="37" t="n">
        <v>28625805</v>
      </c>
      <c r="F2165" s="37" t="s">
        <v>157</v>
      </c>
      <c r="G2165" s="37" t="s">
        <v>201</v>
      </c>
      <c r="H2165" s="37" t="s">
        <v>168</v>
      </c>
      <c r="I2165" s="37" t="n">
        <v>25.4</v>
      </c>
      <c r="J2165" s="39" t="n">
        <v>439.99</v>
      </c>
      <c r="K2165" s="37" t="s">
        <v>322</v>
      </c>
      <c r="L2165" s="39" t="n">
        <v>109.28</v>
      </c>
      <c r="M2165" s="39" t="n">
        <v>76.5</v>
      </c>
      <c r="N2165" s="39" t="n">
        <f aca="false">J2165*Resumo!$C$7</f>
        <v>0.87998</v>
      </c>
      <c r="O2165" s="39" t="n">
        <f aca="false">J2165*Resumo!$C$8</f>
        <v>0.87998</v>
      </c>
      <c r="P2165" s="39" t="n">
        <f aca="false">Resumo!$C$10*CEILING(I2165/100,1)</f>
        <v>1</v>
      </c>
      <c r="Q2165" s="39" t="n">
        <f aca="false">Resumo!$C$9</f>
        <v>11.9</v>
      </c>
      <c r="R2165" s="39" t="n">
        <f aca="false">SUM(M2165:Q2165)*Resumo!$C$11</f>
        <v>5.0137978</v>
      </c>
      <c r="S2165" s="39" t="n">
        <f aca="false">SUM(M2165:R2165)</f>
        <v>96.1737578</v>
      </c>
      <c r="T2165" s="39" t="n">
        <f aca="false">S2165/(1-Resumo!$C$5)</f>
        <v>109.288361136364</v>
      </c>
      <c r="U2165" s="39" t="n">
        <v>120.78</v>
      </c>
      <c r="V2165" s="39" t="n">
        <f aca="false">J2165*Resumo!$B$6</f>
        <v>0.43999</v>
      </c>
      <c r="W2165" s="39" t="n">
        <f aca="false">J2165*Resumo!$B$7</f>
        <v>0.87998</v>
      </c>
      <c r="X2165" s="39" t="n">
        <f aca="false">Resumo!$B$9</f>
        <v>1</v>
      </c>
      <c r="Y2165" s="39" t="n">
        <f aca="false">Resumo!$B$10*CEILING(I2165/100,1)</f>
        <v>4.5</v>
      </c>
      <c r="Z2165" s="39" t="n">
        <f aca="false">Resumo!$B$12*CEILING(I2165,1)</f>
        <v>1.56</v>
      </c>
      <c r="AA2165" s="39" t="n">
        <f aca="false">Resumo!$B$13*CEILING(I2165,1)</f>
        <v>11.7</v>
      </c>
      <c r="AB2165" s="39" t="n">
        <f aca="false">SUM(U2165:AA2165)</f>
        <v>140.85997</v>
      </c>
      <c r="AC2165" s="39" t="n">
        <f aca="false">AB2165/(1-Resumo!$B$5)</f>
        <v>160.068147727273</v>
      </c>
      <c r="AD2165" s="39" t="n">
        <f aca="false">(AB2165-AA2165)/(1-Resumo!$B$5)</f>
        <v>146.772693181818</v>
      </c>
      <c r="AE2165" s="39" t="n">
        <f aca="false">AC2165-T2165</f>
        <v>50.7797865909091</v>
      </c>
      <c r="AF2165" s="40" t="n">
        <f aca="false">AC2165/T2165-1</f>
        <v>0.464640388627925</v>
      </c>
      <c r="AG2165" s="37" t="str">
        <f aca="false">IF(AC2165&lt;T2165,"SIM","NÃO")</f>
        <v>NÃO</v>
      </c>
      <c r="AH2165" s="37" t="n">
        <v>13</v>
      </c>
      <c r="AI2165" s="37" t="n">
        <v>10</v>
      </c>
      <c r="AJ2165" s="37" t="s">
        <v>323</v>
      </c>
    </row>
    <row r="2166" customFormat="false" ht="15" hidden="false" customHeight="false" outlineLevel="0" collapsed="false">
      <c r="A2166" s="37" t="n">
        <v>400134935</v>
      </c>
      <c r="B2166" s="38" t="n">
        <v>46292.891400463</v>
      </c>
      <c r="C2166" s="37" t="s">
        <v>325</v>
      </c>
      <c r="D2166" s="37" t="s">
        <v>1088</v>
      </c>
      <c r="E2166" s="37" t="n">
        <v>25555221</v>
      </c>
      <c r="F2166" s="37" t="s">
        <v>147</v>
      </c>
      <c r="G2166" s="37" t="s">
        <v>207</v>
      </c>
      <c r="H2166" s="37" t="s">
        <v>171</v>
      </c>
      <c r="I2166" s="37" t="n">
        <v>58.6</v>
      </c>
      <c r="J2166" s="39" t="n">
        <v>658.98</v>
      </c>
      <c r="K2166" s="37" t="s">
        <v>322</v>
      </c>
      <c r="L2166" s="39" t="n">
        <v>128.44</v>
      </c>
      <c r="M2166" s="39" t="n">
        <v>91.6</v>
      </c>
      <c r="N2166" s="39" t="n">
        <f aca="false">J2166*Resumo!$C$7</f>
        <v>1.31796</v>
      </c>
      <c r="O2166" s="39" t="n">
        <f aca="false">J2166*Resumo!$C$8</f>
        <v>1.31796</v>
      </c>
      <c r="P2166" s="39" t="n">
        <f aca="false">Resumo!$C$10*CEILING(I2166/100,1)</f>
        <v>1</v>
      </c>
      <c r="Q2166" s="39" t="n">
        <f aca="false">Resumo!$C$9</f>
        <v>11.9</v>
      </c>
      <c r="R2166" s="39" t="n">
        <f aca="false">SUM(M2166:Q2166)*Resumo!$C$11</f>
        <v>5.8924756</v>
      </c>
      <c r="S2166" s="39" t="n">
        <f aca="false">SUM(M2166:R2166)</f>
        <v>113.0283956</v>
      </c>
      <c r="T2166" s="39" t="n">
        <f aca="false">S2166/(1-Resumo!$C$5)</f>
        <v>128.441358636364</v>
      </c>
      <c r="U2166" s="39" t="n">
        <v>112.3</v>
      </c>
      <c r="V2166" s="39" t="n">
        <f aca="false">J2166*Resumo!$B$6</f>
        <v>0.65898</v>
      </c>
      <c r="W2166" s="39" t="n">
        <f aca="false">J2166*Resumo!$B$7</f>
        <v>1.31796</v>
      </c>
      <c r="X2166" s="39" t="n">
        <f aca="false">Resumo!$B$9</f>
        <v>1</v>
      </c>
      <c r="Y2166" s="39" t="n">
        <f aca="false">Resumo!$B$10*CEILING(I2166/100,1)</f>
        <v>4.5</v>
      </c>
      <c r="Z2166" s="39" t="n">
        <f aca="false">Resumo!$B$12*CEILING(I2166,1)</f>
        <v>3.54</v>
      </c>
      <c r="AA2166" s="39" t="n">
        <f aca="false">Resumo!$B$13*CEILING(I2166,1)</f>
        <v>26.55</v>
      </c>
      <c r="AB2166" s="39" t="n">
        <f aca="false">SUM(U2166:AA2166)</f>
        <v>149.86694</v>
      </c>
      <c r="AC2166" s="39" t="n">
        <f aca="false">AB2166/(1-Resumo!$B$5)</f>
        <v>170.303340909091</v>
      </c>
      <c r="AD2166" s="39" t="n">
        <f aca="false">(AB2166-AA2166)/(1-Resumo!$B$5)</f>
        <v>140.132886363636</v>
      </c>
      <c r="AE2166" s="39" t="n">
        <f aca="false">AC2166-T2166</f>
        <v>41.8619822727273</v>
      </c>
      <c r="AF2166" s="40" t="n">
        <f aca="false">AC2166/T2166-1</f>
        <v>0.325922917019624</v>
      </c>
      <c r="AG2166" s="37" t="str">
        <f aca="false">IF(AC2166&lt;T2166,"SIM","NÃO")</f>
        <v>NÃO</v>
      </c>
      <c r="AH2166" s="37" t="n">
        <v>10</v>
      </c>
      <c r="AI2166" s="37" t="n">
        <v>5</v>
      </c>
      <c r="AJ2166" s="37" t="s">
        <v>323</v>
      </c>
    </row>
    <row r="2167" customFormat="false" ht="15" hidden="false" customHeight="false" outlineLevel="0" collapsed="false">
      <c r="A2167" s="37" t="n">
        <v>400146466</v>
      </c>
      <c r="B2167" s="38" t="n">
        <v>46292.9000810185</v>
      </c>
      <c r="C2167" s="37" t="s">
        <v>517</v>
      </c>
      <c r="D2167" s="37" t="s">
        <v>2249</v>
      </c>
      <c r="E2167" s="37" t="n">
        <v>24717241</v>
      </c>
      <c r="F2167" s="37" t="s">
        <v>140</v>
      </c>
      <c r="G2167" s="37" t="s">
        <v>207</v>
      </c>
      <c r="H2167" s="37" t="s">
        <v>168</v>
      </c>
      <c r="I2167" s="37" t="n">
        <v>21.8</v>
      </c>
      <c r="J2167" s="39" t="n">
        <v>319.99</v>
      </c>
      <c r="K2167" s="37" t="s">
        <v>322</v>
      </c>
      <c r="L2167" s="39" t="n">
        <v>100.92</v>
      </c>
      <c r="M2167" s="39" t="n">
        <v>70</v>
      </c>
      <c r="N2167" s="39" t="n">
        <f aca="false">J2167*Resumo!$C$7</f>
        <v>0.63998</v>
      </c>
      <c r="O2167" s="39" t="n">
        <f aca="false">J2167*Resumo!$C$8</f>
        <v>0.63998</v>
      </c>
      <c r="P2167" s="39" t="n">
        <f aca="false">Resumo!$C$10*CEILING(I2167/100,1)</f>
        <v>1</v>
      </c>
      <c r="Q2167" s="39" t="n">
        <f aca="false">Resumo!$C$9</f>
        <v>11.9</v>
      </c>
      <c r="R2167" s="39" t="n">
        <f aca="false">SUM(M2167:Q2167)*Resumo!$C$11</f>
        <v>4.6298978</v>
      </c>
      <c r="S2167" s="39" t="n">
        <f aca="false">SUM(M2167:R2167)</f>
        <v>88.8098578</v>
      </c>
      <c r="T2167" s="39" t="n">
        <f aca="false">S2167/(1-Resumo!$C$5)</f>
        <v>100.920292954545</v>
      </c>
      <c r="U2167" s="39" t="n">
        <v>100.58</v>
      </c>
      <c r="V2167" s="39" t="n">
        <f aca="false">J2167*Resumo!$B$6</f>
        <v>0.31999</v>
      </c>
      <c r="W2167" s="39" t="n">
        <f aca="false">J2167*Resumo!$B$7</f>
        <v>0.63998</v>
      </c>
      <c r="X2167" s="39" t="n">
        <f aca="false">Resumo!$B$9</f>
        <v>1</v>
      </c>
      <c r="Y2167" s="39" t="n">
        <f aca="false">Resumo!$B$10*CEILING(I2167/100,1)</f>
        <v>4.5</v>
      </c>
      <c r="Z2167" s="39" t="n">
        <f aca="false">Resumo!$B$12*CEILING(I2167,1)</f>
        <v>1.32</v>
      </c>
      <c r="AA2167" s="39" t="n">
        <f aca="false">Resumo!$B$13*CEILING(I2167,1)</f>
        <v>9.9</v>
      </c>
      <c r="AB2167" s="39" t="n">
        <f aca="false">SUM(U2167:AA2167)</f>
        <v>118.25997</v>
      </c>
      <c r="AC2167" s="39" t="n">
        <f aca="false">AB2167/(1-Resumo!$B$5)</f>
        <v>134.386329545455</v>
      </c>
      <c r="AD2167" s="39" t="n">
        <f aca="false">(AB2167-AA2167)/(1-Resumo!$B$5)</f>
        <v>123.136329545455</v>
      </c>
      <c r="AE2167" s="39" t="n">
        <f aca="false">AC2167-T2167</f>
        <v>33.4660365909091</v>
      </c>
      <c r="AF2167" s="40" t="n">
        <f aca="false">AC2167/T2167-1</f>
        <v>0.331608595369241</v>
      </c>
      <c r="AG2167" s="37" t="str">
        <f aca="false">IF(AC2167&lt;T2167,"SIM","NÃO")</f>
        <v>NÃO</v>
      </c>
      <c r="AH2167" s="37" t="n">
        <v>10</v>
      </c>
      <c r="AI2167" s="37" t="n">
        <v>7</v>
      </c>
      <c r="AJ2167" s="37" t="s">
        <v>323</v>
      </c>
    </row>
    <row r="2168" customFormat="false" ht="15" hidden="false" customHeight="false" outlineLevel="0" collapsed="false">
      <c r="A2168" s="37" t="n">
        <v>400187860</v>
      </c>
      <c r="B2168" s="38" t="n">
        <v>46293.0349537037</v>
      </c>
      <c r="C2168" s="37" t="s">
        <v>320</v>
      </c>
      <c r="D2168" s="37" t="s">
        <v>933</v>
      </c>
      <c r="E2168" s="37" t="n">
        <v>24436000</v>
      </c>
      <c r="F2168" s="37" t="s">
        <v>140</v>
      </c>
      <c r="G2168" s="37" t="s">
        <v>207</v>
      </c>
      <c r="H2168" s="37" t="s">
        <v>168</v>
      </c>
      <c r="I2168" s="37" t="n">
        <v>28.8</v>
      </c>
      <c r="J2168" s="39" t="n">
        <v>799.39</v>
      </c>
      <c r="K2168" s="37" t="s">
        <v>322</v>
      </c>
      <c r="L2168" s="39" t="n">
        <v>103.23</v>
      </c>
      <c r="M2168" s="39" t="n">
        <v>70</v>
      </c>
      <c r="N2168" s="39" t="n">
        <f aca="false">J2168*Resumo!$C$7</f>
        <v>1.59878</v>
      </c>
      <c r="O2168" s="39" t="n">
        <f aca="false">J2168*Resumo!$C$8</f>
        <v>1.59878</v>
      </c>
      <c r="P2168" s="39" t="n">
        <f aca="false">Resumo!$C$10*CEILING(I2168/100,1)</f>
        <v>1</v>
      </c>
      <c r="Q2168" s="39" t="n">
        <f aca="false">Resumo!$C$9</f>
        <v>11.9</v>
      </c>
      <c r="R2168" s="39" t="n">
        <f aca="false">SUM(M2168:Q2168)*Resumo!$C$11</f>
        <v>4.7353658</v>
      </c>
      <c r="S2168" s="39" t="n">
        <f aca="false">SUM(M2168:R2168)</f>
        <v>90.8329258</v>
      </c>
      <c r="T2168" s="39" t="n">
        <f aca="false">S2168/(1-Resumo!$C$5)</f>
        <v>103.219233863636</v>
      </c>
      <c r="U2168" s="39" t="n">
        <v>100.58</v>
      </c>
      <c r="V2168" s="39" t="n">
        <f aca="false">J2168*Resumo!$B$6</f>
        <v>0.79939</v>
      </c>
      <c r="W2168" s="39" t="n">
        <f aca="false">J2168*Resumo!$B$7</f>
        <v>1.59878</v>
      </c>
      <c r="X2168" s="39" t="n">
        <f aca="false">Resumo!$B$9</f>
        <v>1</v>
      </c>
      <c r="Y2168" s="39" t="n">
        <f aca="false">Resumo!$B$10*CEILING(I2168/100,1)</f>
        <v>4.5</v>
      </c>
      <c r="Z2168" s="39" t="n">
        <f aca="false">Resumo!$B$12*CEILING(I2168,1)</f>
        <v>1.74</v>
      </c>
      <c r="AA2168" s="39" t="n">
        <f aca="false">Resumo!$B$13*CEILING(I2168,1)</f>
        <v>13.05</v>
      </c>
      <c r="AB2168" s="39" t="n">
        <f aca="false">SUM(U2168:AA2168)</f>
        <v>123.26817</v>
      </c>
      <c r="AC2168" s="39" t="n">
        <f aca="false">AB2168/(1-Resumo!$B$5)</f>
        <v>140.077465909091</v>
      </c>
      <c r="AD2168" s="39" t="n">
        <f aca="false">(AB2168-AA2168)/(1-Resumo!$B$5)</f>
        <v>125.247920454545</v>
      </c>
      <c r="AE2168" s="39" t="n">
        <f aca="false">AC2168-T2168</f>
        <v>36.8582320454545</v>
      </c>
      <c r="AF2168" s="40" t="n">
        <f aca="false">AC2168/T2168-1</f>
        <v>0.357086859355575</v>
      </c>
      <c r="AG2168" s="37" t="str">
        <f aca="false">IF(AC2168&lt;T2168,"SIM","NÃO")</f>
        <v>NÃO</v>
      </c>
      <c r="AH2168" s="37" t="n">
        <v>10</v>
      </c>
      <c r="AI2168" s="37" t="n">
        <v>7</v>
      </c>
      <c r="AJ2168" s="37" t="s">
        <v>323</v>
      </c>
    </row>
    <row r="2169" customFormat="false" ht="15" hidden="false" customHeight="false" outlineLevel="0" collapsed="false">
      <c r="A2169" s="37" t="n">
        <v>400279234</v>
      </c>
      <c r="B2169" s="38" t="n">
        <v>46293.3633680556</v>
      </c>
      <c r="C2169" s="37" t="s">
        <v>320</v>
      </c>
      <c r="D2169" s="37" t="s">
        <v>2250</v>
      </c>
      <c r="E2169" s="37" t="n">
        <v>24120015</v>
      </c>
      <c r="F2169" s="37" t="s">
        <v>143</v>
      </c>
      <c r="G2169" s="37" t="s">
        <v>207</v>
      </c>
      <c r="H2169" s="37" t="s">
        <v>175</v>
      </c>
      <c r="I2169" s="37" t="n">
        <v>108</v>
      </c>
      <c r="J2169" s="39" t="n">
        <v>1359.96</v>
      </c>
      <c r="K2169" s="37" t="s">
        <v>322</v>
      </c>
      <c r="L2169" s="39" t="n">
        <v>196.35</v>
      </c>
      <c r="M2169" s="39" t="n">
        <v>144.44</v>
      </c>
      <c r="N2169" s="39" t="n">
        <f aca="false">J2169*Resumo!$C$7</f>
        <v>2.71992</v>
      </c>
      <c r="O2169" s="39" t="n">
        <f aca="false">J2169*Resumo!$C$8</f>
        <v>2.71992</v>
      </c>
      <c r="P2169" s="39" t="n">
        <f aca="false">Resumo!$C$10*CEILING(I2169/100,1)</f>
        <v>2</v>
      </c>
      <c r="Q2169" s="39" t="n">
        <f aca="false">Resumo!$C$9</f>
        <v>11.9</v>
      </c>
      <c r="R2169" s="39" t="n">
        <f aca="false">SUM(M2169:Q2169)*Resumo!$C$11</f>
        <v>9.0078912</v>
      </c>
      <c r="S2169" s="39" t="n">
        <f aca="false">SUM(M2169:R2169)</f>
        <v>172.7877312</v>
      </c>
      <c r="T2169" s="39" t="n">
        <f aca="false">S2169/(1-Resumo!$C$5)</f>
        <v>196.349694545455</v>
      </c>
      <c r="U2169" s="39" t="n">
        <v>214.11</v>
      </c>
      <c r="V2169" s="39" t="n">
        <f aca="false">J2169*Resumo!$B$6</f>
        <v>1.35996</v>
      </c>
      <c r="W2169" s="39" t="n">
        <f aca="false">J2169*Resumo!$B$7</f>
        <v>2.71992</v>
      </c>
      <c r="X2169" s="39" t="n">
        <f aca="false">Resumo!$B$9</f>
        <v>1</v>
      </c>
      <c r="Y2169" s="39" t="n">
        <f aca="false">Resumo!$B$10*CEILING(I2169/100,1)</f>
        <v>9</v>
      </c>
      <c r="Z2169" s="39" t="n">
        <f aca="false">Resumo!$B$12*CEILING(I2169,1)</f>
        <v>6.48</v>
      </c>
      <c r="AA2169" s="39" t="n">
        <f aca="false">Resumo!$B$13*CEILING(I2169,1)</f>
        <v>48.6</v>
      </c>
      <c r="AB2169" s="39" t="n">
        <f aca="false">SUM(U2169:AA2169)</f>
        <v>283.26988</v>
      </c>
      <c r="AC2169" s="39" t="n">
        <f aca="false">AB2169/(1-Resumo!$B$5)</f>
        <v>321.897590909091</v>
      </c>
      <c r="AD2169" s="39" t="n">
        <f aca="false">(AB2169-AA2169)/(1-Resumo!$B$5)</f>
        <v>266.670318181818</v>
      </c>
      <c r="AE2169" s="39" t="n">
        <f aca="false">AC2169-T2169</f>
        <v>125.547896363636</v>
      </c>
      <c r="AF2169" s="40" t="n">
        <f aca="false">AC2169/T2169-1</f>
        <v>0.639409685124681</v>
      </c>
      <c r="AG2169" s="37" t="str">
        <f aca="false">IF(AC2169&lt;T2169,"SIM","NÃO")</f>
        <v>NÃO</v>
      </c>
      <c r="AH2169" s="37" t="n">
        <v>10</v>
      </c>
      <c r="AI2169" s="37" t="n">
        <v>7</v>
      </c>
      <c r="AJ2169" s="37" t="s">
        <v>323</v>
      </c>
    </row>
    <row r="2170" customFormat="false" ht="15" hidden="false" customHeight="false" outlineLevel="0" collapsed="false">
      <c r="A2170" s="37" t="n">
        <v>400457620</v>
      </c>
      <c r="B2170" s="38" t="n">
        <v>46293.6763310185</v>
      </c>
      <c r="C2170" s="37" t="s">
        <v>320</v>
      </c>
      <c r="D2170" s="37" t="s">
        <v>2251</v>
      </c>
      <c r="E2170" s="37" t="n">
        <v>27276367</v>
      </c>
      <c r="F2170" s="37" t="s">
        <v>148</v>
      </c>
      <c r="G2170" s="37" t="s">
        <v>201</v>
      </c>
      <c r="H2170" s="37" t="s">
        <v>170</v>
      </c>
      <c r="I2170" s="37" t="n">
        <v>48</v>
      </c>
      <c r="J2170" s="39" t="n">
        <v>828.99</v>
      </c>
      <c r="K2170" s="37" t="s">
        <v>322</v>
      </c>
      <c r="L2170" s="39" t="n">
        <v>132.14</v>
      </c>
      <c r="M2170" s="39" t="n">
        <v>94</v>
      </c>
      <c r="N2170" s="39" t="n">
        <f aca="false">J2170*Resumo!$C$7</f>
        <v>1.65798</v>
      </c>
      <c r="O2170" s="39" t="n">
        <f aca="false">J2170*Resumo!$C$8</f>
        <v>1.65798</v>
      </c>
      <c r="P2170" s="39" t="n">
        <f aca="false">Resumo!$C$10*CEILING(I2170/100,1)</f>
        <v>1</v>
      </c>
      <c r="Q2170" s="39" t="n">
        <f aca="false">Resumo!$C$9</f>
        <v>11.9</v>
      </c>
      <c r="R2170" s="39" t="n">
        <f aca="false">SUM(M2170:Q2170)*Resumo!$C$11</f>
        <v>6.0618778</v>
      </c>
      <c r="S2170" s="39" t="n">
        <f aca="false">SUM(M2170:R2170)</f>
        <v>116.2778378</v>
      </c>
      <c r="T2170" s="39" t="n">
        <f aca="false">S2170/(1-Resumo!$C$5)</f>
        <v>132.133906590909</v>
      </c>
      <c r="U2170" s="39" t="n">
        <v>124.38</v>
      </c>
      <c r="V2170" s="39" t="n">
        <f aca="false">J2170*Resumo!$B$6</f>
        <v>0.82899</v>
      </c>
      <c r="W2170" s="39" t="n">
        <f aca="false">J2170*Resumo!$B$7</f>
        <v>1.65798</v>
      </c>
      <c r="X2170" s="39" t="n">
        <f aca="false">Resumo!$B$9</f>
        <v>1</v>
      </c>
      <c r="Y2170" s="39" t="n">
        <f aca="false">Resumo!$B$10*CEILING(I2170/100,1)</f>
        <v>4.5</v>
      </c>
      <c r="Z2170" s="39" t="n">
        <f aca="false">Resumo!$B$12*CEILING(I2170,1)</f>
        <v>2.88</v>
      </c>
      <c r="AA2170" s="39" t="n">
        <f aca="false">Resumo!$B$13*CEILING(I2170,1)</f>
        <v>21.6</v>
      </c>
      <c r="AB2170" s="39" t="n">
        <f aca="false">SUM(U2170:AA2170)</f>
        <v>156.84697</v>
      </c>
      <c r="AC2170" s="39" t="n">
        <f aca="false">AB2170/(1-Resumo!$B$5)</f>
        <v>178.235193181818</v>
      </c>
      <c r="AD2170" s="39" t="n">
        <f aca="false">(AB2170-AA2170)/(1-Resumo!$B$5)</f>
        <v>153.689738636364</v>
      </c>
      <c r="AE2170" s="39" t="n">
        <f aca="false">AC2170-T2170</f>
        <v>46.1012865909091</v>
      </c>
      <c r="AF2170" s="40" t="n">
        <f aca="false">AC2170/T2170-1</f>
        <v>0.348898233468872</v>
      </c>
      <c r="AG2170" s="37" t="str">
        <f aca="false">IF(AC2170&lt;T2170,"SIM","NÃO")</f>
        <v>NÃO</v>
      </c>
      <c r="AH2170" s="37" t="n">
        <v>13</v>
      </c>
      <c r="AI2170" s="37" t="n">
        <v>10</v>
      </c>
      <c r="AJ2170" s="37" t="s">
        <v>323</v>
      </c>
    </row>
    <row r="2171" customFormat="false" ht="15" hidden="false" customHeight="false" outlineLevel="0" collapsed="false">
      <c r="A2171" s="37" t="n">
        <v>400487254</v>
      </c>
      <c r="B2171" s="38" t="n">
        <v>46293.7294791667</v>
      </c>
      <c r="C2171" s="37" t="s">
        <v>320</v>
      </c>
      <c r="D2171" s="37" t="s">
        <v>2252</v>
      </c>
      <c r="E2171" s="37" t="n">
        <v>23015170</v>
      </c>
      <c r="F2171" s="37" t="s">
        <v>139</v>
      </c>
      <c r="G2171" s="37" t="s">
        <v>198</v>
      </c>
      <c r="H2171" s="37" t="s">
        <v>170</v>
      </c>
      <c r="I2171" s="37" t="n">
        <v>41.4</v>
      </c>
      <c r="J2171" s="39" t="n">
        <v>413.47</v>
      </c>
      <c r="K2171" s="37" t="s">
        <v>322</v>
      </c>
      <c r="L2171" s="39" t="n">
        <v>102.58</v>
      </c>
      <c r="M2171" s="39" t="n">
        <v>71</v>
      </c>
      <c r="N2171" s="39" t="n">
        <f aca="false">J2171*Resumo!$C$7</f>
        <v>0.82694</v>
      </c>
      <c r="O2171" s="39" t="n">
        <f aca="false">J2171*Resumo!$C$8</f>
        <v>0.82694</v>
      </c>
      <c r="P2171" s="39" t="n">
        <f aca="false">Resumo!$C$10*CEILING(I2171/100,1)</f>
        <v>1</v>
      </c>
      <c r="Q2171" s="39" t="n">
        <f aca="false">Resumo!$C$9</f>
        <v>11.9</v>
      </c>
      <c r="R2171" s="39" t="n">
        <f aca="false">SUM(M2171:Q2171)*Resumo!$C$11</f>
        <v>4.7054634</v>
      </c>
      <c r="S2171" s="39" t="n">
        <f aca="false">SUM(M2171:R2171)</f>
        <v>90.2593434</v>
      </c>
      <c r="T2171" s="39" t="n">
        <f aca="false">S2171/(1-Resumo!$C$5)</f>
        <v>102.567435681818</v>
      </c>
      <c r="U2171" s="39" t="n">
        <v>93.97</v>
      </c>
      <c r="V2171" s="39" t="n">
        <f aca="false">J2171*Resumo!$B$6</f>
        <v>0.41347</v>
      </c>
      <c r="W2171" s="39" t="n">
        <f aca="false">J2171*Resumo!$B$7</f>
        <v>0.82694</v>
      </c>
      <c r="X2171" s="39" t="n">
        <f aca="false">Resumo!$B$9</f>
        <v>1</v>
      </c>
      <c r="Y2171" s="39" t="n">
        <f aca="false">Resumo!$B$10*CEILING(I2171/100,1)</f>
        <v>4.5</v>
      </c>
      <c r="Z2171" s="39" t="n">
        <f aca="false">Resumo!$B$12*CEILING(I2171,1)</f>
        <v>2.52</v>
      </c>
      <c r="AA2171" s="39" t="n">
        <f aca="false">Resumo!$B$13*CEILING(I2171,1)</f>
        <v>18.9</v>
      </c>
      <c r="AB2171" s="39" t="n">
        <f aca="false">SUM(U2171:AA2171)</f>
        <v>122.13041</v>
      </c>
      <c r="AC2171" s="39" t="n">
        <f aca="false">AB2171/(1-Resumo!$B$5)</f>
        <v>138.784556818182</v>
      </c>
      <c r="AD2171" s="39" t="n">
        <f aca="false">(AB2171-AA2171)/(1-Resumo!$B$5)</f>
        <v>117.307284090909</v>
      </c>
      <c r="AE2171" s="39" t="n">
        <f aca="false">AC2171-T2171</f>
        <v>36.2171211363636</v>
      </c>
      <c r="AF2171" s="40" t="n">
        <f aca="false">AC2171/T2171-1</f>
        <v>0.353105455894553</v>
      </c>
      <c r="AG2171" s="37" t="str">
        <f aca="false">IF(AC2171&lt;T2171,"SIM","NÃO")</f>
        <v>NÃO</v>
      </c>
      <c r="AH2171" s="37" t="n">
        <v>8</v>
      </c>
      <c r="AI2171" s="37" t="n">
        <v>5</v>
      </c>
      <c r="AJ2171" s="37" t="s">
        <v>323</v>
      </c>
    </row>
    <row r="2172" customFormat="false" ht="15" hidden="false" customHeight="false" outlineLevel="0" collapsed="false">
      <c r="A2172" s="37" t="n">
        <v>400506608</v>
      </c>
      <c r="B2172" s="38" t="n">
        <v>46293.7589930556</v>
      </c>
      <c r="C2172" s="37" t="s">
        <v>325</v>
      </c>
      <c r="D2172" s="37" t="s">
        <v>2253</v>
      </c>
      <c r="E2172" s="37" t="n">
        <v>21061340</v>
      </c>
      <c r="F2172" s="37" t="s">
        <v>139</v>
      </c>
      <c r="G2172" s="37" t="s">
        <v>198</v>
      </c>
      <c r="H2172" s="37" t="s">
        <v>168</v>
      </c>
      <c r="I2172" s="37" t="n">
        <v>25.8</v>
      </c>
      <c r="J2172" s="39" t="n">
        <v>306</v>
      </c>
      <c r="K2172" s="37" t="s">
        <v>322</v>
      </c>
      <c r="L2172" s="39" t="n">
        <v>81.78</v>
      </c>
      <c r="M2172" s="39" t="n">
        <v>54.1</v>
      </c>
      <c r="N2172" s="39" t="n">
        <f aca="false">J2172*Resumo!$C$7</f>
        <v>0.612</v>
      </c>
      <c r="O2172" s="39" t="n">
        <f aca="false">J2172*Resumo!$C$8</f>
        <v>0.612</v>
      </c>
      <c r="P2172" s="39" t="n">
        <f aca="false">Resumo!$C$10*CEILING(I2172/100,1)</f>
        <v>1</v>
      </c>
      <c r="Q2172" s="39" t="n">
        <f aca="false">Resumo!$C$9</f>
        <v>11.9</v>
      </c>
      <c r="R2172" s="39" t="n">
        <f aca="false">SUM(M2172:Q2172)*Resumo!$C$11</f>
        <v>3.75232</v>
      </c>
      <c r="S2172" s="39" t="n">
        <f aca="false">SUM(M2172:R2172)</f>
        <v>71.97632</v>
      </c>
      <c r="T2172" s="39" t="n">
        <f aca="false">S2172/(1-Resumo!$C$5)</f>
        <v>81.7912727272727</v>
      </c>
      <c r="U2172" s="39" t="n">
        <v>82.21</v>
      </c>
      <c r="V2172" s="39" t="n">
        <f aca="false">J2172*Resumo!$B$6</f>
        <v>0.306</v>
      </c>
      <c r="W2172" s="39" t="n">
        <f aca="false">J2172*Resumo!$B$7</f>
        <v>0.612</v>
      </c>
      <c r="X2172" s="39" t="n">
        <f aca="false">Resumo!$B$9</f>
        <v>1</v>
      </c>
      <c r="Y2172" s="39" t="n">
        <f aca="false">Resumo!$B$10*CEILING(I2172/100,1)</f>
        <v>4.5</v>
      </c>
      <c r="Z2172" s="39" t="n">
        <f aca="false">Resumo!$B$12*CEILING(I2172,1)</f>
        <v>1.56</v>
      </c>
      <c r="AA2172" s="39" t="n">
        <f aca="false">Resumo!$B$13*CEILING(I2172,1)</f>
        <v>11.7</v>
      </c>
      <c r="AB2172" s="39" t="n">
        <f aca="false">SUM(U2172:AA2172)</f>
        <v>101.888</v>
      </c>
      <c r="AC2172" s="39" t="n">
        <f aca="false">AB2172/(1-Resumo!$B$5)</f>
        <v>115.781818181818</v>
      </c>
      <c r="AD2172" s="39" t="n">
        <f aca="false">(AB2172-AA2172)/(1-Resumo!$B$5)</f>
        <v>102.486363636364</v>
      </c>
      <c r="AE2172" s="39" t="n">
        <f aca="false">AC2172-T2172</f>
        <v>33.9905454545454</v>
      </c>
      <c r="AF2172" s="40" t="n">
        <f aca="false">AC2172/T2172-1</f>
        <v>0.415576678552057</v>
      </c>
      <c r="AG2172" s="37" t="str">
        <f aca="false">IF(AC2172&lt;T2172,"SIM","NÃO")</f>
        <v>NÃO</v>
      </c>
      <c r="AH2172" s="37" t="n">
        <v>8</v>
      </c>
      <c r="AI2172" s="37" t="n">
        <v>5</v>
      </c>
      <c r="AJ2172" s="37" t="s">
        <v>323</v>
      </c>
    </row>
    <row r="2173" customFormat="false" ht="15" hidden="false" customHeight="false" outlineLevel="0" collapsed="false">
      <c r="A2173" s="37" t="n">
        <v>400708698</v>
      </c>
      <c r="B2173" s="38" t="n">
        <v>46294.3170717593</v>
      </c>
      <c r="C2173" s="37" t="s">
        <v>325</v>
      </c>
      <c r="D2173" s="37" t="s">
        <v>2254</v>
      </c>
      <c r="E2173" s="37" t="n">
        <v>24425320</v>
      </c>
      <c r="F2173" s="37" t="s">
        <v>140</v>
      </c>
      <c r="G2173" s="37" t="s">
        <v>207</v>
      </c>
      <c r="H2173" s="37" t="s">
        <v>168</v>
      </c>
      <c r="I2173" s="37" t="n">
        <v>31.9</v>
      </c>
      <c r="J2173" s="39" t="n">
        <v>483.99</v>
      </c>
      <c r="K2173" s="37" t="s">
        <v>322</v>
      </c>
      <c r="L2173" s="39" t="n">
        <v>101.72</v>
      </c>
      <c r="M2173" s="39" t="n">
        <v>70</v>
      </c>
      <c r="N2173" s="39" t="n">
        <f aca="false">J2173*Resumo!$C$7</f>
        <v>0.96798</v>
      </c>
      <c r="O2173" s="39" t="n">
        <f aca="false">J2173*Resumo!$C$8</f>
        <v>0.96798</v>
      </c>
      <c r="P2173" s="39" t="n">
        <f aca="false">Resumo!$C$10*CEILING(I2173/100,1)</f>
        <v>1</v>
      </c>
      <c r="Q2173" s="39" t="n">
        <f aca="false">Resumo!$C$9</f>
        <v>11.9</v>
      </c>
      <c r="R2173" s="39" t="n">
        <f aca="false">SUM(M2173:Q2173)*Resumo!$C$11</f>
        <v>4.6659778</v>
      </c>
      <c r="S2173" s="39" t="n">
        <f aca="false">SUM(M2173:R2173)</f>
        <v>89.5019378</v>
      </c>
      <c r="T2173" s="39" t="n">
        <f aca="false">S2173/(1-Resumo!$C$5)</f>
        <v>101.7067475</v>
      </c>
      <c r="U2173" s="39" t="n">
        <v>100.58</v>
      </c>
      <c r="V2173" s="39" t="n">
        <f aca="false">J2173*Resumo!$B$6</f>
        <v>0.48399</v>
      </c>
      <c r="W2173" s="39" t="n">
        <f aca="false">J2173*Resumo!$B$7</f>
        <v>0.96798</v>
      </c>
      <c r="X2173" s="39" t="n">
        <f aca="false">Resumo!$B$9</f>
        <v>1</v>
      </c>
      <c r="Y2173" s="39" t="n">
        <f aca="false">Resumo!$B$10*CEILING(I2173/100,1)</f>
        <v>4.5</v>
      </c>
      <c r="Z2173" s="39" t="n">
        <f aca="false">Resumo!$B$12*CEILING(I2173,1)</f>
        <v>1.92</v>
      </c>
      <c r="AA2173" s="39" t="n">
        <f aca="false">Resumo!$B$13*CEILING(I2173,1)</f>
        <v>14.4</v>
      </c>
      <c r="AB2173" s="39" t="n">
        <f aca="false">SUM(U2173:AA2173)</f>
        <v>123.85197</v>
      </c>
      <c r="AC2173" s="39" t="n">
        <f aca="false">AB2173/(1-Resumo!$B$5)</f>
        <v>140.740875</v>
      </c>
      <c r="AD2173" s="39" t="n">
        <f aca="false">(AB2173-AA2173)/(1-Resumo!$B$5)</f>
        <v>124.377238636364</v>
      </c>
      <c r="AE2173" s="39" t="n">
        <f aca="false">AC2173-T2173</f>
        <v>39.0341275</v>
      </c>
      <c r="AF2173" s="40" t="n">
        <f aca="false">AC2173/T2173-1</f>
        <v>0.383790932848384</v>
      </c>
      <c r="AG2173" s="37" t="str">
        <f aca="false">IF(AC2173&lt;T2173,"SIM","NÃO")</f>
        <v>NÃO</v>
      </c>
      <c r="AH2173" s="37" t="n">
        <v>10</v>
      </c>
      <c r="AI2173" s="37" t="n">
        <v>7</v>
      </c>
      <c r="AJ2173" s="37" t="s">
        <v>323</v>
      </c>
    </row>
    <row r="2174" customFormat="false" ht="15" hidden="false" customHeight="false" outlineLevel="0" collapsed="false">
      <c r="A2174" s="37" t="n">
        <v>400742691</v>
      </c>
      <c r="B2174" s="38" t="n">
        <v>46294.4002314815</v>
      </c>
      <c r="C2174" s="37" t="s">
        <v>320</v>
      </c>
      <c r="D2174" s="37" t="s">
        <v>2255</v>
      </c>
      <c r="E2174" s="37" t="n">
        <v>23903500</v>
      </c>
      <c r="F2174" s="37" t="s">
        <v>149</v>
      </c>
      <c r="G2174" s="37" t="s">
        <v>201</v>
      </c>
      <c r="H2174" s="37" t="s">
        <v>168</v>
      </c>
      <c r="I2174" s="37" t="n">
        <v>27</v>
      </c>
      <c r="J2174" s="39" t="n">
        <v>270.99</v>
      </c>
      <c r="K2174" s="37" t="s">
        <v>322</v>
      </c>
      <c r="L2174" s="39" t="n">
        <v>108.48</v>
      </c>
      <c r="M2174" s="39" t="n">
        <v>76.5</v>
      </c>
      <c r="N2174" s="39" t="n">
        <f aca="false">J2174*Resumo!$C$7</f>
        <v>0.54198</v>
      </c>
      <c r="O2174" s="39" t="n">
        <f aca="false">J2174*Resumo!$C$8</f>
        <v>0.54198</v>
      </c>
      <c r="P2174" s="39" t="n">
        <f aca="false">Resumo!$C$10*CEILING(I2174/100,1)</f>
        <v>1</v>
      </c>
      <c r="Q2174" s="39" t="n">
        <f aca="false">Resumo!$C$9</f>
        <v>11.9</v>
      </c>
      <c r="R2174" s="39" t="n">
        <f aca="false">SUM(M2174:Q2174)*Resumo!$C$11</f>
        <v>4.9766178</v>
      </c>
      <c r="S2174" s="39" t="n">
        <f aca="false">SUM(M2174:R2174)</f>
        <v>95.4605778</v>
      </c>
      <c r="T2174" s="39" t="n">
        <f aca="false">S2174/(1-Resumo!$C$5)</f>
        <v>108.477929318182</v>
      </c>
      <c r="U2174" s="39" t="n">
        <v>108.83</v>
      </c>
      <c r="V2174" s="39" t="n">
        <f aca="false">J2174*Resumo!$B$6</f>
        <v>0.27099</v>
      </c>
      <c r="W2174" s="39" t="n">
        <f aca="false">J2174*Resumo!$B$7</f>
        <v>0.54198</v>
      </c>
      <c r="X2174" s="39" t="n">
        <f aca="false">Resumo!$B$9</f>
        <v>1</v>
      </c>
      <c r="Y2174" s="39" t="n">
        <f aca="false">Resumo!$B$10*CEILING(I2174/100,1)</f>
        <v>4.5</v>
      </c>
      <c r="Z2174" s="39" t="n">
        <f aca="false">Resumo!$B$12*CEILING(I2174,1)</f>
        <v>1.62</v>
      </c>
      <c r="AA2174" s="39" t="n">
        <f aca="false">Resumo!$B$13*CEILING(I2174,1)</f>
        <v>12.15</v>
      </c>
      <c r="AB2174" s="39" t="n">
        <f aca="false">SUM(U2174:AA2174)</f>
        <v>128.91297</v>
      </c>
      <c r="AC2174" s="39" t="n">
        <f aca="false">AB2174/(1-Resumo!$B$5)</f>
        <v>146.492011363636</v>
      </c>
      <c r="AD2174" s="39" t="n">
        <f aca="false">(AB2174-AA2174)/(1-Resumo!$B$5)</f>
        <v>132.685193181818</v>
      </c>
      <c r="AE2174" s="39" t="n">
        <f aca="false">AC2174-T2174</f>
        <v>38.0140820454545</v>
      </c>
      <c r="AF2174" s="40" t="n">
        <f aca="false">AC2174/T2174-1</f>
        <v>0.350431486703195</v>
      </c>
      <c r="AG2174" s="37" t="str">
        <f aca="false">IF(AC2174&lt;T2174,"SIM","NÃO")</f>
        <v>NÃO</v>
      </c>
      <c r="AH2174" s="37" t="n">
        <v>13</v>
      </c>
      <c r="AI2174" s="37" t="n">
        <v>10</v>
      </c>
      <c r="AJ2174" s="37" t="s">
        <v>323</v>
      </c>
    </row>
    <row r="2175" customFormat="false" ht="15" hidden="false" customHeight="false" outlineLevel="0" collapsed="false">
      <c r="A2175" s="37" t="n">
        <v>400748865</v>
      </c>
      <c r="B2175" s="38" t="n">
        <v>46294.4120023148</v>
      </c>
      <c r="C2175" s="37" t="s">
        <v>325</v>
      </c>
      <c r="D2175" s="37" t="s">
        <v>2256</v>
      </c>
      <c r="E2175" s="37" t="n">
        <v>22260000</v>
      </c>
      <c r="F2175" s="37" t="s">
        <v>139</v>
      </c>
      <c r="G2175" s="37" t="s">
        <v>198</v>
      </c>
      <c r="H2175" s="37" t="s">
        <v>167</v>
      </c>
      <c r="I2175" s="37" t="n">
        <v>16</v>
      </c>
      <c r="J2175" s="39" t="n">
        <v>292.4</v>
      </c>
      <c r="K2175" s="37" t="s">
        <v>322</v>
      </c>
      <c r="L2175" s="39" t="n">
        <v>64.6</v>
      </c>
      <c r="M2175" s="39" t="n">
        <v>39.83</v>
      </c>
      <c r="N2175" s="39" t="n">
        <f aca="false">J2175*Resumo!$C$7</f>
        <v>0.5848</v>
      </c>
      <c r="O2175" s="39" t="n">
        <f aca="false">J2175*Resumo!$C$8</f>
        <v>0.5848</v>
      </c>
      <c r="P2175" s="39" t="n">
        <f aca="false">Resumo!$C$10*CEILING(I2175/100,1)</f>
        <v>1</v>
      </c>
      <c r="Q2175" s="39" t="n">
        <f aca="false">Resumo!$C$9</f>
        <v>11.9</v>
      </c>
      <c r="R2175" s="39" t="n">
        <f aca="false">SUM(M2175:Q2175)*Resumo!$C$11</f>
        <v>2.964478</v>
      </c>
      <c r="S2175" s="39" t="n">
        <f aca="false">SUM(M2175:R2175)</f>
        <v>56.864078</v>
      </c>
      <c r="T2175" s="39" t="n">
        <f aca="false">S2175/(1-Resumo!$C$5)</f>
        <v>64.6182704545455</v>
      </c>
      <c r="U2175" s="39" t="n">
        <v>46.98</v>
      </c>
      <c r="V2175" s="39" t="n">
        <f aca="false">J2175*Resumo!$B$6</f>
        <v>0.2924</v>
      </c>
      <c r="W2175" s="39" t="n">
        <f aca="false">J2175*Resumo!$B$7</f>
        <v>0.5848</v>
      </c>
      <c r="X2175" s="39" t="n">
        <f aca="false">Resumo!$B$9</f>
        <v>1</v>
      </c>
      <c r="Y2175" s="39" t="n">
        <f aca="false">Resumo!$B$10*CEILING(I2175/100,1)</f>
        <v>4.5</v>
      </c>
      <c r="Z2175" s="39" t="n">
        <f aca="false">Resumo!$B$12*CEILING(I2175,1)</f>
        <v>0.96</v>
      </c>
      <c r="AA2175" s="39" t="n">
        <f aca="false">Resumo!$B$13*CEILING(I2175,1)</f>
        <v>7.2</v>
      </c>
      <c r="AB2175" s="39" t="n">
        <f aca="false">SUM(U2175:AA2175)</f>
        <v>61.5172</v>
      </c>
      <c r="AC2175" s="39" t="n">
        <f aca="false">AB2175/(1-Resumo!$B$5)</f>
        <v>69.9059090909091</v>
      </c>
      <c r="AD2175" s="39" t="n">
        <f aca="false">(AB2175-AA2175)/(1-Resumo!$B$5)</f>
        <v>61.7240909090909</v>
      </c>
      <c r="AE2175" s="39" t="n">
        <f aca="false">AC2175-T2175</f>
        <v>5.28763863636364</v>
      </c>
      <c r="AF2175" s="40" t="n">
        <f aca="false">AC2175/T2175-1</f>
        <v>0.0818288480822638</v>
      </c>
      <c r="AG2175" s="37" t="str">
        <f aca="false">IF(AC2175&lt;T2175,"SIM","NÃO")</f>
        <v>NÃO</v>
      </c>
      <c r="AH2175" s="37" t="n">
        <v>8</v>
      </c>
      <c r="AI2175" s="37" t="n">
        <v>5</v>
      </c>
      <c r="AJ2175" s="37" t="s">
        <v>323</v>
      </c>
    </row>
    <row r="2176" customFormat="false" ht="15" hidden="false" customHeight="false" outlineLevel="0" collapsed="false">
      <c r="A2176" s="37" t="n">
        <v>400749950</v>
      </c>
      <c r="B2176" s="38" t="n">
        <v>46294.4141435185</v>
      </c>
      <c r="C2176" s="37" t="s">
        <v>320</v>
      </c>
      <c r="D2176" s="37" t="s">
        <v>2257</v>
      </c>
      <c r="E2176" s="37" t="n">
        <v>25931422</v>
      </c>
      <c r="F2176" s="37" t="s">
        <v>156</v>
      </c>
      <c r="G2176" s="37" t="s">
        <v>201</v>
      </c>
      <c r="H2176" s="37" t="s">
        <v>167</v>
      </c>
      <c r="I2176" s="37" t="n">
        <v>19.9</v>
      </c>
      <c r="J2176" s="39" t="n">
        <v>270.99</v>
      </c>
      <c r="K2176" s="37" t="s">
        <v>322</v>
      </c>
      <c r="L2176" s="39" t="n">
        <v>79.95</v>
      </c>
      <c r="M2176" s="39" t="n">
        <v>52.71</v>
      </c>
      <c r="N2176" s="39" t="n">
        <f aca="false">J2176*Resumo!$C$7</f>
        <v>0.54198</v>
      </c>
      <c r="O2176" s="39" t="n">
        <f aca="false">J2176*Resumo!$C$8</f>
        <v>0.54198</v>
      </c>
      <c r="P2176" s="39" t="n">
        <f aca="false">Resumo!$C$10*CEILING(I2176/100,1)</f>
        <v>1</v>
      </c>
      <c r="Q2176" s="39" t="n">
        <f aca="false">Resumo!$C$9</f>
        <v>11.9</v>
      </c>
      <c r="R2176" s="39" t="n">
        <f aca="false">SUM(M2176:Q2176)*Resumo!$C$11</f>
        <v>3.6681678</v>
      </c>
      <c r="S2176" s="39" t="n">
        <f aca="false">SUM(M2176:R2176)</f>
        <v>70.3621278</v>
      </c>
      <c r="T2176" s="39" t="n">
        <f aca="false">S2176/(1-Resumo!$C$5)</f>
        <v>79.9569634090909</v>
      </c>
      <c r="U2176" s="39" t="n">
        <v>89.03</v>
      </c>
      <c r="V2176" s="39" t="n">
        <f aca="false">J2176*Resumo!$B$6</f>
        <v>0.27099</v>
      </c>
      <c r="W2176" s="39" t="n">
        <f aca="false">J2176*Resumo!$B$7</f>
        <v>0.54198</v>
      </c>
      <c r="X2176" s="39" t="n">
        <f aca="false">Resumo!$B$9</f>
        <v>1</v>
      </c>
      <c r="Y2176" s="39" t="n">
        <f aca="false">Resumo!$B$10*CEILING(I2176/100,1)</f>
        <v>4.5</v>
      </c>
      <c r="Z2176" s="39" t="n">
        <f aca="false">Resumo!$B$12*CEILING(I2176,1)</f>
        <v>1.2</v>
      </c>
      <c r="AA2176" s="39" t="n">
        <f aca="false">Resumo!$B$13*CEILING(I2176,1)</f>
        <v>9</v>
      </c>
      <c r="AB2176" s="39" t="n">
        <f aca="false">SUM(U2176:AA2176)</f>
        <v>105.54297</v>
      </c>
      <c r="AC2176" s="39" t="n">
        <f aca="false">AB2176/(1-Resumo!$B$5)</f>
        <v>119.935193181818</v>
      </c>
      <c r="AD2176" s="39" t="n">
        <f aca="false">(AB2176-AA2176)/(1-Resumo!$B$5)</f>
        <v>109.707920454545</v>
      </c>
      <c r="AE2176" s="39" t="n">
        <f aca="false">AC2176-T2176</f>
        <v>39.9782297727273</v>
      </c>
      <c r="AF2176" s="40" t="n">
        <f aca="false">AC2176/T2176-1</f>
        <v>0.499996849157253</v>
      </c>
      <c r="AG2176" s="37" t="str">
        <f aca="false">IF(AC2176&lt;T2176,"SIM","NÃO")</f>
        <v>NÃO</v>
      </c>
      <c r="AH2176" s="37" t="n">
        <v>13</v>
      </c>
      <c r="AI2176" s="37" t="n">
        <v>6</v>
      </c>
      <c r="AJ2176" s="37" t="s">
        <v>323</v>
      </c>
    </row>
    <row r="2177" customFormat="false" ht="15" hidden="false" customHeight="false" outlineLevel="0" collapsed="false">
      <c r="A2177" s="37" t="n">
        <v>400796564</v>
      </c>
      <c r="B2177" s="38" t="n">
        <v>46294.4809722222</v>
      </c>
      <c r="C2177" s="37" t="s">
        <v>325</v>
      </c>
      <c r="D2177" s="37" t="s">
        <v>2258</v>
      </c>
      <c r="E2177" s="37" t="n">
        <v>20520051</v>
      </c>
      <c r="F2177" s="37" t="s">
        <v>139</v>
      </c>
      <c r="G2177" s="37" t="s">
        <v>198</v>
      </c>
      <c r="H2177" s="37" t="s">
        <v>175</v>
      </c>
      <c r="I2177" s="37" t="n">
        <v>117.14</v>
      </c>
      <c r="J2177" s="39" t="n">
        <v>1549.99</v>
      </c>
      <c r="K2177" s="37" t="s">
        <v>322</v>
      </c>
      <c r="L2177" s="39" t="n">
        <v>187.07</v>
      </c>
      <c r="M2177" s="39" t="n">
        <v>135.94</v>
      </c>
      <c r="N2177" s="39" t="n">
        <f aca="false">J2177*Resumo!$C$7</f>
        <v>3.09998</v>
      </c>
      <c r="O2177" s="39" t="n">
        <f aca="false">J2177*Resumo!$C$8</f>
        <v>3.09998</v>
      </c>
      <c r="P2177" s="39" t="n">
        <f aca="false">Resumo!$C$10*CEILING(I2177/100,1)</f>
        <v>2</v>
      </c>
      <c r="Q2177" s="39" t="n">
        <f aca="false">Resumo!$C$9</f>
        <v>11.9</v>
      </c>
      <c r="R2177" s="39" t="n">
        <f aca="false">SUM(M2177:Q2177)*Resumo!$C$11</f>
        <v>8.5821978</v>
      </c>
      <c r="S2177" s="39" t="n">
        <f aca="false">SUM(M2177:R2177)</f>
        <v>164.6221578</v>
      </c>
      <c r="T2177" s="39" t="n">
        <f aca="false">S2177/(1-Resumo!$C$5)</f>
        <v>187.070633863636</v>
      </c>
      <c r="U2177" s="39" t="n">
        <v>201.59</v>
      </c>
      <c r="V2177" s="39" t="n">
        <f aca="false">J2177*Resumo!$B$6</f>
        <v>1.54999</v>
      </c>
      <c r="W2177" s="39" t="n">
        <f aca="false">J2177*Resumo!$B$7</f>
        <v>3.09998</v>
      </c>
      <c r="X2177" s="39" t="n">
        <f aca="false">Resumo!$B$9</f>
        <v>1</v>
      </c>
      <c r="Y2177" s="39" t="n">
        <f aca="false">Resumo!$B$10*CEILING(I2177/100,1)</f>
        <v>9</v>
      </c>
      <c r="Z2177" s="39" t="n">
        <f aca="false">Resumo!$B$12*CEILING(I2177,1)</f>
        <v>7.08</v>
      </c>
      <c r="AA2177" s="39" t="n">
        <f aca="false">Resumo!$B$13*CEILING(I2177,1)</f>
        <v>53.1</v>
      </c>
      <c r="AB2177" s="39" t="n">
        <f aca="false">SUM(U2177:AA2177)</f>
        <v>276.41997</v>
      </c>
      <c r="AC2177" s="39" t="n">
        <f aca="false">AB2177/(1-Resumo!$B$5)</f>
        <v>314.113602272727</v>
      </c>
      <c r="AD2177" s="39" t="n">
        <f aca="false">(AB2177-AA2177)/(1-Resumo!$B$5)</f>
        <v>253.772693181818</v>
      </c>
      <c r="AE2177" s="39" t="n">
        <f aca="false">AC2177-T2177</f>
        <v>127.042968409091</v>
      </c>
      <c r="AF2177" s="40" t="n">
        <f aca="false">AC2177/T2177-1</f>
        <v>0.679117645486239</v>
      </c>
      <c r="AG2177" s="37" t="str">
        <f aca="false">IF(AC2177&lt;T2177,"SIM","NÃO")</f>
        <v>NÃO</v>
      </c>
      <c r="AH2177" s="37" t="n">
        <v>8</v>
      </c>
      <c r="AI2177" s="37" t="n">
        <v>5</v>
      </c>
      <c r="AJ2177" s="37" t="s">
        <v>323</v>
      </c>
    </row>
    <row r="2178" customFormat="false" ht="15" hidden="false" customHeight="false" outlineLevel="0" collapsed="false">
      <c r="A2178" s="37" t="n">
        <v>400806072</v>
      </c>
      <c r="B2178" s="38" t="n">
        <v>46294.4973958333</v>
      </c>
      <c r="C2178" s="37" t="s">
        <v>320</v>
      </c>
      <c r="D2178" s="37" t="s">
        <v>2259</v>
      </c>
      <c r="E2178" s="37" t="n">
        <v>23955210</v>
      </c>
      <c r="F2178" s="37" t="s">
        <v>149</v>
      </c>
      <c r="G2178" s="37" t="s">
        <v>201</v>
      </c>
      <c r="H2178" s="37" t="s">
        <v>168</v>
      </c>
      <c r="I2178" s="37" t="n">
        <v>29.2</v>
      </c>
      <c r="J2178" s="39" t="n">
        <v>429.95</v>
      </c>
      <c r="K2178" s="37" t="s">
        <v>322</v>
      </c>
      <c r="L2178" s="39" t="n">
        <v>109.24</v>
      </c>
      <c r="M2178" s="39" t="n">
        <v>76.5</v>
      </c>
      <c r="N2178" s="39" t="n">
        <f aca="false">J2178*Resumo!$C$7</f>
        <v>0.8599</v>
      </c>
      <c r="O2178" s="39" t="n">
        <f aca="false">J2178*Resumo!$C$8</f>
        <v>0.8599</v>
      </c>
      <c r="P2178" s="39" t="n">
        <f aca="false">Resumo!$C$10*CEILING(I2178/100,1)</f>
        <v>1</v>
      </c>
      <c r="Q2178" s="39" t="n">
        <f aca="false">Resumo!$C$9</f>
        <v>11.9</v>
      </c>
      <c r="R2178" s="39" t="n">
        <f aca="false">SUM(M2178:Q2178)*Resumo!$C$11</f>
        <v>5.011589</v>
      </c>
      <c r="S2178" s="39" t="n">
        <f aca="false">SUM(M2178:R2178)</f>
        <v>96.131389</v>
      </c>
      <c r="T2178" s="39" t="n">
        <f aca="false">S2178/(1-Resumo!$C$5)</f>
        <v>109.240214772727</v>
      </c>
      <c r="U2178" s="39" t="n">
        <v>108.83</v>
      </c>
      <c r="V2178" s="39" t="n">
        <f aca="false">J2178*Resumo!$B$6</f>
        <v>0.42995</v>
      </c>
      <c r="W2178" s="39" t="n">
        <f aca="false">J2178*Resumo!$B$7</f>
        <v>0.8599</v>
      </c>
      <c r="X2178" s="39" t="n">
        <f aca="false">Resumo!$B$9</f>
        <v>1</v>
      </c>
      <c r="Y2178" s="39" t="n">
        <f aca="false">Resumo!$B$10*CEILING(I2178/100,1)</f>
        <v>4.5</v>
      </c>
      <c r="Z2178" s="39" t="n">
        <f aca="false">Resumo!$B$12*CEILING(I2178,1)</f>
        <v>1.8</v>
      </c>
      <c r="AA2178" s="39" t="n">
        <f aca="false">Resumo!$B$13*CEILING(I2178,1)</f>
        <v>13.5</v>
      </c>
      <c r="AB2178" s="39" t="n">
        <f aca="false">SUM(U2178:AA2178)</f>
        <v>130.91985</v>
      </c>
      <c r="AC2178" s="39" t="n">
        <f aca="false">AB2178/(1-Resumo!$B$5)</f>
        <v>148.772556818182</v>
      </c>
      <c r="AD2178" s="39" t="n">
        <f aca="false">(AB2178-AA2178)/(1-Resumo!$B$5)</f>
        <v>133.431647727273</v>
      </c>
      <c r="AE2178" s="39" t="n">
        <f aca="false">AC2178-T2178</f>
        <v>39.5323420454545</v>
      </c>
      <c r="AF2178" s="40" t="n">
        <f aca="false">AC2178/T2178-1</f>
        <v>0.361884514120565</v>
      </c>
      <c r="AG2178" s="37" t="str">
        <f aca="false">IF(AC2178&lt;T2178,"SIM","NÃO")</f>
        <v>NÃO</v>
      </c>
      <c r="AH2178" s="37" t="n">
        <v>13</v>
      </c>
      <c r="AI2178" s="37" t="n">
        <v>10</v>
      </c>
      <c r="AJ2178" s="37" t="s">
        <v>323</v>
      </c>
    </row>
    <row r="2179" customFormat="false" ht="15" hidden="false" customHeight="false" outlineLevel="0" collapsed="false">
      <c r="A2179" s="37" t="n">
        <v>400818798</v>
      </c>
      <c r="B2179" s="38" t="n">
        <v>46294.5167592593</v>
      </c>
      <c r="C2179" s="37" t="s">
        <v>320</v>
      </c>
      <c r="D2179" s="37" t="s">
        <v>572</v>
      </c>
      <c r="E2179" s="37" t="n">
        <v>22780070</v>
      </c>
      <c r="F2179" s="37" t="s">
        <v>139</v>
      </c>
      <c r="G2179" s="37" t="s">
        <v>198</v>
      </c>
      <c r="H2179" s="37" t="s">
        <v>168</v>
      </c>
      <c r="I2179" s="37" t="n">
        <v>20.9</v>
      </c>
      <c r="J2179" s="39" t="n">
        <v>450.79</v>
      </c>
      <c r="K2179" s="37" t="s">
        <v>322</v>
      </c>
      <c r="L2179" s="39" t="n">
        <v>82.48</v>
      </c>
      <c r="M2179" s="39" t="n">
        <v>54.1</v>
      </c>
      <c r="N2179" s="39" t="n">
        <f aca="false">J2179*Resumo!$C$7</f>
        <v>0.90158</v>
      </c>
      <c r="O2179" s="39" t="n">
        <f aca="false">J2179*Resumo!$C$8</f>
        <v>0.90158</v>
      </c>
      <c r="P2179" s="39" t="n">
        <f aca="false">Resumo!$C$10*CEILING(I2179/100,1)</f>
        <v>1</v>
      </c>
      <c r="Q2179" s="39" t="n">
        <f aca="false">Resumo!$C$9</f>
        <v>11.9</v>
      </c>
      <c r="R2179" s="39" t="n">
        <f aca="false">SUM(M2179:Q2179)*Resumo!$C$11</f>
        <v>3.7841738</v>
      </c>
      <c r="S2179" s="39" t="n">
        <f aca="false">SUM(M2179:R2179)</f>
        <v>72.5873338</v>
      </c>
      <c r="T2179" s="39" t="n">
        <f aca="false">S2179/(1-Resumo!$C$5)</f>
        <v>82.4856065909091</v>
      </c>
      <c r="U2179" s="39" t="n">
        <v>82.21</v>
      </c>
      <c r="V2179" s="39" t="n">
        <f aca="false">J2179*Resumo!$B$6</f>
        <v>0.45079</v>
      </c>
      <c r="W2179" s="39" t="n">
        <f aca="false">J2179*Resumo!$B$7</f>
        <v>0.90158</v>
      </c>
      <c r="X2179" s="39" t="n">
        <f aca="false">Resumo!$B$9</f>
        <v>1</v>
      </c>
      <c r="Y2179" s="39" t="n">
        <f aca="false">Resumo!$B$10*CEILING(I2179/100,1)</f>
        <v>4.5</v>
      </c>
      <c r="Z2179" s="39" t="n">
        <f aca="false">Resumo!$B$12*CEILING(I2179,1)</f>
        <v>1.26</v>
      </c>
      <c r="AA2179" s="39" t="n">
        <f aca="false">Resumo!$B$13*CEILING(I2179,1)</f>
        <v>9.45</v>
      </c>
      <c r="AB2179" s="39" t="n">
        <f aca="false">SUM(U2179:AA2179)</f>
        <v>99.77237</v>
      </c>
      <c r="AC2179" s="39" t="n">
        <f aca="false">AB2179/(1-Resumo!$B$5)</f>
        <v>113.377693181818</v>
      </c>
      <c r="AD2179" s="39" t="n">
        <f aca="false">(AB2179-AA2179)/(1-Resumo!$B$5)</f>
        <v>102.639056818182</v>
      </c>
      <c r="AE2179" s="39" t="n">
        <f aca="false">AC2179-T2179</f>
        <v>30.8920865909091</v>
      </c>
      <c r="AF2179" s="40" t="n">
        <f aca="false">AC2179/T2179-1</f>
        <v>0.374514874384324</v>
      </c>
      <c r="AG2179" s="37" t="str">
        <f aca="false">IF(AC2179&lt;T2179,"SIM","NÃO")</f>
        <v>NÃO</v>
      </c>
      <c r="AH2179" s="37" t="n">
        <v>8</v>
      </c>
      <c r="AI2179" s="37" t="n">
        <v>5</v>
      </c>
      <c r="AJ2179" s="37" t="s">
        <v>323</v>
      </c>
    </row>
    <row r="2180" customFormat="false" ht="15" hidden="false" customHeight="false" outlineLevel="0" collapsed="false">
      <c r="A2180" s="37" t="n">
        <v>400862729</v>
      </c>
      <c r="B2180" s="38" t="n">
        <v>46294.5751736111</v>
      </c>
      <c r="C2180" s="37" t="s">
        <v>320</v>
      </c>
      <c r="D2180" s="37" t="s">
        <v>2260</v>
      </c>
      <c r="E2180" s="37" t="n">
        <v>21061300</v>
      </c>
      <c r="F2180" s="37" t="s">
        <v>139</v>
      </c>
      <c r="G2180" s="37" t="s">
        <v>198</v>
      </c>
      <c r="H2180" s="37" t="s">
        <v>169</v>
      </c>
      <c r="I2180" s="37" t="n">
        <v>36.8</v>
      </c>
      <c r="J2180" s="39" t="n">
        <v>389.63</v>
      </c>
      <c r="K2180" s="37" t="s">
        <v>322</v>
      </c>
      <c r="L2180" s="39" t="n">
        <v>91.73</v>
      </c>
      <c r="M2180" s="39" t="n">
        <v>62.05</v>
      </c>
      <c r="N2180" s="39" t="n">
        <f aca="false">J2180*Resumo!$C$7</f>
        <v>0.77926</v>
      </c>
      <c r="O2180" s="39" t="n">
        <f aca="false">J2180*Resumo!$C$8</f>
        <v>0.77926</v>
      </c>
      <c r="P2180" s="39" t="n">
        <f aca="false">Resumo!$C$10*CEILING(I2180/100,1)</f>
        <v>1</v>
      </c>
      <c r="Q2180" s="39" t="n">
        <f aca="false">Resumo!$C$9</f>
        <v>11.9</v>
      </c>
      <c r="R2180" s="39" t="n">
        <f aca="false">SUM(M2180:Q2180)*Resumo!$C$11</f>
        <v>4.2079686</v>
      </c>
      <c r="S2180" s="39" t="n">
        <f aca="false">SUM(M2180:R2180)</f>
        <v>80.7164886</v>
      </c>
      <c r="T2180" s="39" t="n">
        <f aca="false">S2180/(1-Resumo!$C$5)</f>
        <v>91.7232825</v>
      </c>
      <c r="U2180" s="39" t="n">
        <v>93.97</v>
      </c>
      <c r="V2180" s="39" t="n">
        <f aca="false">J2180*Resumo!$B$6</f>
        <v>0.38963</v>
      </c>
      <c r="W2180" s="39" t="n">
        <f aca="false">J2180*Resumo!$B$7</f>
        <v>0.77926</v>
      </c>
      <c r="X2180" s="39" t="n">
        <f aca="false">Resumo!$B$9</f>
        <v>1</v>
      </c>
      <c r="Y2180" s="39" t="n">
        <f aca="false">Resumo!$B$10*CEILING(I2180/100,1)</f>
        <v>4.5</v>
      </c>
      <c r="Z2180" s="39" t="n">
        <f aca="false">Resumo!$B$12*CEILING(I2180,1)</f>
        <v>2.22</v>
      </c>
      <c r="AA2180" s="39" t="n">
        <f aca="false">Resumo!$B$13*CEILING(I2180,1)</f>
        <v>16.65</v>
      </c>
      <c r="AB2180" s="39" t="n">
        <f aca="false">SUM(U2180:AA2180)</f>
        <v>119.50889</v>
      </c>
      <c r="AC2180" s="39" t="n">
        <f aca="false">AB2180/(1-Resumo!$B$5)</f>
        <v>135.805556818182</v>
      </c>
      <c r="AD2180" s="39" t="n">
        <f aca="false">(AB2180-AA2180)/(1-Resumo!$B$5)</f>
        <v>116.885102272727</v>
      </c>
      <c r="AE2180" s="39" t="n">
        <f aca="false">AC2180-T2180</f>
        <v>44.0822743181818</v>
      </c>
      <c r="AF2180" s="40" t="n">
        <f aca="false">AC2180/T2180-1</f>
        <v>0.480600705913265</v>
      </c>
      <c r="AG2180" s="37" t="str">
        <f aca="false">IF(AC2180&lt;T2180,"SIM","NÃO")</f>
        <v>NÃO</v>
      </c>
      <c r="AH2180" s="37" t="n">
        <v>8</v>
      </c>
      <c r="AI2180" s="37" t="n">
        <v>5</v>
      </c>
      <c r="AJ2180" s="37" t="s">
        <v>323</v>
      </c>
    </row>
    <row r="2181" customFormat="false" ht="15" hidden="false" customHeight="false" outlineLevel="0" collapsed="false">
      <c r="A2181" s="37" t="n">
        <v>400871792</v>
      </c>
      <c r="B2181" s="38" t="n">
        <v>46294.5875694445</v>
      </c>
      <c r="C2181" s="37" t="s">
        <v>320</v>
      </c>
      <c r="D2181" s="37" t="s">
        <v>2261</v>
      </c>
      <c r="E2181" s="37" t="n">
        <v>28992678</v>
      </c>
      <c r="F2181" s="37" t="s">
        <v>281</v>
      </c>
      <c r="G2181" s="37" t="s">
        <v>201</v>
      </c>
      <c r="H2181" s="37" t="s">
        <v>172</v>
      </c>
      <c r="I2181" s="37" t="n">
        <v>66.8</v>
      </c>
      <c r="J2181" s="39" t="n">
        <v>719.99</v>
      </c>
      <c r="K2181" s="37" t="s">
        <v>322</v>
      </c>
      <c r="L2181" s="39" t="n">
        <v>155.47</v>
      </c>
      <c r="M2181" s="39" t="n">
        <v>113.9</v>
      </c>
      <c r="N2181" s="39" t="n">
        <f aca="false">J2181*Resumo!$C$7</f>
        <v>1.43998</v>
      </c>
      <c r="O2181" s="39" t="n">
        <f aca="false">J2181*Resumo!$C$8</f>
        <v>1.43998</v>
      </c>
      <c r="P2181" s="39" t="n">
        <f aca="false">Resumo!$C$10*CEILING(I2181/100,1)</f>
        <v>1</v>
      </c>
      <c r="Q2181" s="39" t="n">
        <f aca="false">Resumo!$C$9</f>
        <v>11.9</v>
      </c>
      <c r="R2181" s="39" t="n">
        <f aca="false">SUM(M2181:Q2181)*Resumo!$C$11</f>
        <v>7.1323978</v>
      </c>
      <c r="S2181" s="39" t="n">
        <f aca="false">SUM(M2181:R2181)</f>
        <v>136.8123578</v>
      </c>
      <c r="T2181" s="39" t="n">
        <f aca="false">S2181/(1-Resumo!$C$5)</f>
        <v>155.468588409091</v>
      </c>
      <c r="U2181" s="39" t="n">
        <v>166.05</v>
      </c>
      <c r="V2181" s="39" t="n">
        <f aca="false">J2181*Resumo!$B$6</f>
        <v>0.71999</v>
      </c>
      <c r="W2181" s="39" t="n">
        <f aca="false">J2181*Resumo!$B$7</f>
        <v>1.43998</v>
      </c>
      <c r="X2181" s="39" t="n">
        <f aca="false">Resumo!$B$9</f>
        <v>1</v>
      </c>
      <c r="Y2181" s="39" t="n">
        <f aca="false">Resumo!$B$10*CEILING(I2181/100,1)</f>
        <v>4.5</v>
      </c>
      <c r="Z2181" s="39" t="n">
        <f aca="false">Resumo!$B$12*CEILING(I2181,1)</f>
        <v>4.02</v>
      </c>
      <c r="AA2181" s="39" t="n">
        <f aca="false">Resumo!$B$13*CEILING(I2181,1)</f>
        <v>30.15</v>
      </c>
      <c r="AB2181" s="39" t="n">
        <f aca="false">SUM(U2181:AA2181)</f>
        <v>207.87997</v>
      </c>
      <c r="AC2181" s="39" t="n">
        <f aca="false">AB2181/(1-Resumo!$B$5)</f>
        <v>236.227238636364</v>
      </c>
      <c r="AD2181" s="39" t="n">
        <f aca="false">(AB2181-AA2181)/(1-Resumo!$B$5)</f>
        <v>201.965875</v>
      </c>
      <c r="AE2181" s="39" t="n">
        <f aca="false">AC2181-T2181</f>
        <v>80.7586502272728</v>
      </c>
      <c r="AF2181" s="40" t="n">
        <f aca="false">AC2181/T2181-1</f>
        <v>0.519453164485994</v>
      </c>
      <c r="AG2181" s="37" t="str">
        <f aca="false">IF(AC2181&lt;T2181,"SIM","NÃO")</f>
        <v>NÃO</v>
      </c>
      <c r="AH2181" s="37" t="n">
        <v>13</v>
      </c>
      <c r="AI2181" s="37" t="n">
        <v>10</v>
      </c>
      <c r="AJ2181" s="37" t="s">
        <v>327</v>
      </c>
    </row>
    <row r="2182" customFormat="false" ht="15" hidden="false" customHeight="false" outlineLevel="0" collapsed="false">
      <c r="A2182" s="37" t="n">
        <v>400872300</v>
      </c>
      <c r="B2182" s="38" t="n">
        <v>46294.5880671296</v>
      </c>
      <c r="C2182" s="37" t="s">
        <v>320</v>
      </c>
      <c r="D2182" s="37" t="s">
        <v>1592</v>
      </c>
      <c r="E2182" s="37" t="n">
        <v>22783210</v>
      </c>
      <c r="F2182" s="37" t="s">
        <v>139</v>
      </c>
      <c r="G2182" s="37" t="s">
        <v>198</v>
      </c>
      <c r="H2182" s="37" t="s">
        <v>169</v>
      </c>
      <c r="I2182" s="37" t="n">
        <v>36.8</v>
      </c>
      <c r="J2182" s="39" t="n">
        <v>464.95</v>
      </c>
      <c r="K2182" s="37" t="s">
        <v>322</v>
      </c>
      <c r="L2182" s="39" t="n">
        <v>92.08</v>
      </c>
      <c r="M2182" s="39" t="n">
        <v>62.05</v>
      </c>
      <c r="N2182" s="39" t="n">
        <f aca="false">J2182*Resumo!$C$7</f>
        <v>0.9299</v>
      </c>
      <c r="O2182" s="39" t="n">
        <f aca="false">J2182*Resumo!$C$8</f>
        <v>0.9299</v>
      </c>
      <c r="P2182" s="39" t="n">
        <f aca="false">Resumo!$C$10*CEILING(I2182/100,1)</f>
        <v>1</v>
      </c>
      <c r="Q2182" s="39" t="n">
        <f aca="false">Resumo!$C$9</f>
        <v>11.9</v>
      </c>
      <c r="R2182" s="39" t="n">
        <f aca="false">SUM(M2182:Q2182)*Resumo!$C$11</f>
        <v>4.224539</v>
      </c>
      <c r="S2182" s="39" t="n">
        <f aca="false">SUM(M2182:R2182)</f>
        <v>81.034339</v>
      </c>
      <c r="T2182" s="39" t="n">
        <f aca="false">S2182/(1-Resumo!$C$5)</f>
        <v>92.0844761363636</v>
      </c>
      <c r="U2182" s="39" t="n">
        <v>93.97</v>
      </c>
      <c r="V2182" s="39" t="n">
        <f aca="false">J2182*Resumo!$B$6</f>
        <v>0.46495</v>
      </c>
      <c r="W2182" s="39" t="n">
        <f aca="false">J2182*Resumo!$B$7</f>
        <v>0.9299</v>
      </c>
      <c r="X2182" s="39" t="n">
        <f aca="false">Resumo!$B$9</f>
        <v>1</v>
      </c>
      <c r="Y2182" s="39" t="n">
        <f aca="false">Resumo!$B$10*CEILING(I2182/100,1)</f>
        <v>4.5</v>
      </c>
      <c r="Z2182" s="39" t="n">
        <f aca="false">Resumo!$B$12*CEILING(I2182,1)</f>
        <v>2.22</v>
      </c>
      <c r="AA2182" s="39" t="n">
        <f aca="false">Resumo!$B$13*CEILING(I2182,1)</f>
        <v>16.65</v>
      </c>
      <c r="AB2182" s="39" t="n">
        <f aca="false">SUM(U2182:AA2182)</f>
        <v>119.73485</v>
      </c>
      <c r="AC2182" s="39" t="n">
        <f aca="false">AB2182/(1-Resumo!$B$5)</f>
        <v>136.062329545455</v>
      </c>
      <c r="AD2182" s="39" t="n">
        <f aca="false">(AB2182-AA2182)/(1-Resumo!$B$5)</f>
        <v>117.141875</v>
      </c>
      <c r="AE2182" s="39" t="n">
        <f aca="false">AC2182-T2182</f>
        <v>43.9778534090909</v>
      </c>
      <c r="AF2182" s="40" t="n">
        <f aca="false">AC2182/T2182-1</f>
        <v>0.477581621292672</v>
      </c>
      <c r="AG2182" s="37" t="str">
        <f aca="false">IF(AC2182&lt;T2182,"SIM","NÃO")</f>
        <v>NÃO</v>
      </c>
      <c r="AH2182" s="37" t="n">
        <v>8</v>
      </c>
      <c r="AI2182" s="37" t="n">
        <v>5</v>
      </c>
      <c r="AJ2182" s="37" t="s">
        <v>323</v>
      </c>
    </row>
    <row r="2183" customFormat="false" ht="15" hidden="false" customHeight="false" outlineLevel="0" collapsed="false">
      <c r="A2183" s="37" t="n">
        <v>400887669</v>
      </c>
      <c r="B2183" s="38" t="n">
        <v>46294.6063310185</v>
      </c>
      <c r="C2183" s="37" t="s">
        <v>325</v>
      </c>
      <c r="D2183" s="37" t="s">
        <v>2262</v>
      </c>
      <c r="E2183" s="37" t="n">
        <v>21510013</v>
      </c>
      <c r="F2183" s="37" t="s">
        <v>139</v>
      </c>
      <c r="G2183" s="37" t="s">
        <v>198</v>
      </c>
      <c r="H2183" s="37" t="s">
        <v>169</v>
      </c>
      <c r="I2183" s="37" t="n">
        <v>36</v>
      </c>
      <c r="J2183" s="39" t="n">
        <v>382</v>
      </c>
      <c r="K2183" s="37" t="s">
        <v>322</v>
      </c>
      <c r="L2183" s="39" t="n">
        <v>91.68</v>
      </c>
      <c r="M2183" s="39" t="n">
        <v>62.05</v>
      </c>
      <c r="N2183" s="39" t="n">
        <f aca="false">J2183*Resumo!$C$7</f>
        <v>0.764</v>
      </c>
      <c r="O2183" s="39" t="n">
        <f aca="false">J2183*Resumo!$C$8</f>
        <v>0.764</v>
      </c>
      <c r="P2183" s="39" t="n">
        <f aca="false">Resumo!$C$10*CEILING(I2183/100,1)</f>
        <v>1</v>
      </c>
      <c r="Q2183" s="39" t="n">
        <f aca="false">Resumo!$C$9</f>
        <v>11.9</v>
      </c>
      <c r="R2183" s="39" t="n">
        <f aca="false">SUM(M2183:Q2183)*Resumo!$C$11</f>
        <v>4.20629</v>
      </c>
      <c r="S2183" s="39" t="n">
        <f aca="false">SUM(M2183:R2183)</f>
        <v>80.68429</v>
      </c>
      <c r="T2183" s="39" t="n">
        <f aca="false">S2183/(1-Resumo!$C$5)</f>
        <v>91.6866931818182</v>
      </c>
      <c r="U2183" s="39" t="n">
        <v>93.97</v>
      </c>
      <c r="V2183" s="39" t="n">
        <f aca="false">J2183*Resumo!$B$6</f>
        <v>0.382</v>
      </c>
      <c r="W2183" s="39" t="n">
        <f aca="false">J2183*Resumo!$B$7</f>
        <v>0.764</v>
      </c>
      <c r="X2183" s="39" t="n">
        <f aca="false">Resumo!$B$9</f>
        <v>1</v>
      </c>
      <c r="Y2183" s="39" t="n">
        <f aca="false">Resumo!$B$10*CEILING(I2183/100,1)</f>
        <v>4.5</v>
      </c>
      <c r="Z2183" s="39" t="n">
        <f aca="false">Resumo!$B$12*CEILING(I2183,1)</f>
        <v>2.16</v>
      </c>
      <c r="AA2183" s="39" t="n">
        <f aca="false">Resumo!$B$13*CEILING(I2183,1)</f>
        <v>16.2</v>
      </c>
      <c r="AB2183" s="39" t="n">
        <f aca="false">SUM(U2183:AA2183)</f>
        <v>118.976</v>
      </c>
      <c r="AC2183" s="39" t="n">
        <f aca="false">AB2183/(1-Resumo!$B$5)</f>
        <v>135.2</v>
      </c>
      <c r="AD2183" s="39" t="n">
        <f aca="false">(AB2183-AA2183)/(1-Resumo!$B$5)</f>
        <v>116.790909090909</v>
      </c>
      <c r="AE2183" s="39" t="n">
        <f aca="false">AC2183-T2183</f>
        <v>43.5133068181818</v>
      </c>
      <c r="AF2183" s="40" t="n">
        <f aca="false">AC2183/T2183-1</f>
        <v>0.474586936316847</v>
      </c>
      <c r="AG2183" s="37" t="str">
        <f aca="false">IF(AC2183&lt;T2183,"SIM","NÃO")</f>
        <v>NÃO</v>
      </c>
      <c r="AH2183" s="37" t="n">
        <v>8</v>
      </c>
      <c r="AI2183" s="37" t="n">
        <v>5</v>
      </c>
      <c r="AJ2183" s="37" t="s">
        <v>323</v>
      </c>
    </row>
    <row r="2184" customFormat="false" ht="15" hidden="false" customHeight="false" outlineLevel="0" collapsed="false">
      <c r="A2184" s="37" t="n">
        <v>400908995</v>
      </c>
      <c r="B2184" s="38" t="n">
        <v>46294.6357060185</v>
      </c>
      <c r="C2184" s="37" t="s">
        <v>352</v>
      </c>
      <c r="D2184" s="37" t="s">
        <v>2263</v>
      </c>
      <c r="E2184" s="37" t="n">
        <v>23094205</v>
      </c>
      <c r="F2184" s="37" t="s">
        <v>139</v>
      </c>
      <c r="G2184" s="37" t="s">
        <v>198</v>
      </c>
      <c r="H2184" s="37" t="s">
        <v>172</v>
      </c>
      <c r="I2184" s="37" t="n">
        <v>60.1</v>
      </c>
      <c r="J2184" s="39" t="n">
        <v>1169.99</v>
      </c>
      <c r="K2184" s="37" t="s">
        <v>322</v>
      </c>
      <c r="L2184" s="39" t="n">
        <v>126.82</v>
      </c>
      <c r="M2184" s="39" t="n">
        <v>88.2</v>
      </c>
      <c r="N2184" s="39" t="n">
        <f aca="false">J2184*Resumo!$C$7</f>
        <v>2.33998</v>
      </c>
      <c r="O2184" s="39" t="n">
        <f aca="false">J2184*Resumo!$C$8</f>
        <v>2.33998</v>
      </c>
      <c r="P2184" s="39" t="n">
        <f aca="false">Resumo!$C$10*CEILING(I2184/100,1)</f>
        <v>1</v>
      </c>
      <c r="Q2184" s="39" t="n">
        <f aca="false">Resumo!$C$9</f>
        <v>11.9</v>
      </c>
      <c r="R2184" s="39" t="n">
        <f aca="false">SUM(M2184:Q2184)*Resumo!$C$11</f>
        <v>5.8178978</v>
      </c>
      <c r="S2184" s="39" t="n">
        <f aca="false">SUM(M2184:R2184)</f>
        <v>111.5978578</v>
      </c>
      <c r="T2184" s="39" t="n">
        <f aca="false">S2184/(1-Resumo!$C$5)</f>
        <v>126.8157475</v>
      </c>
      <c r="U2184" s="39" t="n">
        <v>131.02</v>
      </c>
      <c r="V2184" s="39" t="n">
        <f aca="false">J2184*Resumo!$B$6</f>
        <v>1.16999</v>
      </c>
      <c r="W2184" s="39" t="n">
        <f aca="false">J2184*Resumo!$B$7</f>
        <v>2.33998</v>
      </c>
      <c r="X2184" s="39" t="n">
        <f aca="false">Resumo!$B$9</f>
        <v>1</v>
      </c>
      <c r="Y2184" s="39" t="n">
        <f aca="false">Resumo!$B$10*CEILING(I2184/100,1)</f>
        <v>4.5</v>
      </c>
      <c r="Z2184" s="39" t="n">
        <f aca="false">Resumo!$B$12*CEILING(I2184,1)</f>
        <v>3.66</v>
      </c>
      <c r="AA2184" s="39" t="n">
        <f aca="false">Resumo!$B$13*CEILING(I2184,1)</f>
        <v>27.45</v>
      </c>
      <c r="AB2184" s="39" t="n">
        <f aca="false">SUM(U2184:AA2184)</f>
        <v>171.13997</v>
      </c>
      <c r="AC2184" s="39" t="n">
        <f aca="false">AB2184/(1-Resumo!$B$5)</f>
        <v>194.477238636364</v>
      </c>
      <c r="AD2184" s="39" t="n">
        <f aca="false">(AB2184-AA2184)/(1-Resumo!$B$5)</f>
        <v>163.284056818182</v>
      </c>
      <c r="AE2184" s="39" t="n">
        <f aca="false">AC2184-T2184</f>
        <v>67.6614911363636</v>
      </c>
      <c r="AF2184" s="40" t="n">
        <f aca="false">AC2184/T2184-1</f>
        <v>0.533541712841015</v>
      </c>
      <c r="AG2184" s="37" t="str">
        <f aca="false">IF(AC2184&lt;T2184,"SIM","NÃO")</f>
        <v>NÃO</v>
      </c>
      <c r="AH2184" s="37" t="n">
        <v>8</v>
      </c>
      <c r="AI2184" s="37" t="n">
        <v>5</v>
      </c>
      <c r="AJ2184" s="37" t="s">
        <v>323</v>
      </c>
    </row>
    <row r="2185" customFormat="false" ht="15" hidden="false" customHeight="false" outlineLevel="0" collapsed="false">
      <c r="A2185" s="37" t="n">
        <v>400919086</v>
      </c>
      <c r="B2185" s="38" t="n">
        <v>46294.6453703704</v>
      </c>
      <c r="C2185" s="37" t="s">
        <v>320</v>
      </c>
      <c r="D2185" s="37" t="s">
        <v>2264</v>
      </c>
      <c r="E2185" s="37" t="n">
        <v>20560032</v>
      </c>
      <c r="F2185" s="37" t="s">
        <v>139</v>
      </c>
      <c r="G2185" s="37" t="s">
        <v>198</v>
      </c>
      <c r="H2185" s="37" t="s">
        <v>168</v>
      </c>
      <c r="I2185" s="37" t="n">
        <v>29.2</v>
      </c>
      <c r="J2185" s="39" t="n">
        <v>429.99</v>
      </c>
      <c r="K2185" s="37" t="s">
        <v>322</v>
      </c>
      <c r="L2185" s="39" t="n">
        <v>82.39</v>
      </c>
      <c r="M2185" s="39" t="n">
        <v>54.1</v>
      </c>
      <c r="N2185" s="39" t="n">
        <f aca="false">J2185*Resumo!$C$7</f>
        <v>0.85998</v>
      </c>
      <c r="O2185" s="39" t="n">
        <f aca="false">J2185*Resumo!$C$8</f>
        <v>0.85998</v>
      </c>
      <c r="P2185" s="39" t="n">
        <f aca="false">Resumo!$C$10*CEILING(I2185/100,1)</f>
        <v>1</v>
      </c>
      <c r="Q2185" s="39" t="n">
        <f aca="false">Resumo!$C$9</f>
        <v>11.9</v>
      </c>
      <c r="R2185" s="39" t="n">
        <f aca="false">SUM(M2185:Q2185)*Resumo!$C$11</f>
        <v>3.7795978</v>
      </c>
      <c r="S2185" s="39" t="n">
        <f aca="false">SUM(M2185:R2185)</f>
        <v>72.4995578</v>
      </c>
      <c r="T2185" s="39" t="n">
        <f aca="false">S2185/(1-Resumo!$C$5)</f>
        <v>82.3858611363636</v>
      </c>
      <c r="U2185" s="39" t="n">
        <v>82.21</v>
      </c>
      <c r="V2185" s="39" t="n">
        <f aca="false">J2185*Resumo!$B$6</f>
        <v>0.42999</v>
      </c>
      <c r="W2185" s="39" t="n">
        <f aca="false">J2185*Resumo!$B$7</f>
        <v>0.85998</v>
      </c>
      <c r="X2185" s="39" t="n">
        <f aca="false">Resumo!$B$9</f>
        <v>1</v>
      </c>
      <c r="Y2185" s="39" t="n">
        <f aca="false">Resumo!$B$10*CEILING(I2185/100,1)</f>
        <v>4.5</v>
      </c>
      <c r="Z2185" s="39" t="n">
        <f aca="false">Resumo!$B$12*CEILING(I2185,1)</f>
        <v>1.8</v>
      </c>
      <c r="AA2185" s="39" t="n">
        <f aca="false">Resumo!$B$13*CEILING(I2185,1)</f>
        <v>13.5</v>
      </c>
      <c r="AB2185" s="39" t="n">
        <f aca="false">SUM(U2185:AA2185)</f>
        <v>104.29997</v>
      </c>
      <c r="AC2185" s="39" t="n">
        <f aca="false">AB2185/(1-Resumo!$B$5)</f>
        <v>118.522693181818</v>
      </c>
      <c r="AD2185" s="39" t="n">
        <f aca="false">(AB2185-AA2185)/(1-Resumo!$B$5)</f>
        <v>103.181784090909</v>
      </c>
      <c r="AE2185" s="39" t="n">
        <f aca="false">AC2185-T2185</f>
        <v>36.1368320454545</v>
      </c>
      <c r="AF2185" s="40" t="n">
        <f aca="false">AC2185/T2185-1</f>
        <v>0.438629050507119</v>
      </c>
      <c r="AG2185" s="37" t="str">
        <f aca="false">IF(AC2185&lt;T2185,"SIM","NÃO")</f>
        <v>NÃO</v>
      </c>
      <c r="AH2185" s="37" t="n">
        <v>8</v>
      </c>
      <c r="AI2185" s="37" t="n">
        <v>5</v>
      </c>
      <c r="AJ2185" s="37" t="s">
        <v>323</v>
      </c>
    </row>
    <row r="2186" customFormat="false" ht="15" hidden="false" customHeight="false" outlineLevel="0" collapsed="false">
      <c r="A2186" s="37" t="n">
        <v>400923309</v>
      </c>
      <c r="B2186" s="38" t="n">
        <v>46294.653125</v>
      </c>
      <c r="C2186" s="37" t="s">
        <v>320</v>
      </c>
      <c r="D2186" s="37" t="s">
        <v>2265</v>
      </c>
      <c r="E2186" s="37" t="n">
        <v>22780500</v>
      </c>
      <c r="F2186" s="37" t="s">
        <v>139</v>
      </c>
      <c r="G2186" s="37" t="s">
        <v>198</v>
      </c>
      <c r="H2186" s="37" t="s">
        <v>168</v>
      </c>
      <c r="I2186" s="37" t="n">
        <v>27</v>
      </c>
      <c r="J2186" s="39" t="n">
        <v>270.99</v>
      </c>
      <c r="K2186" s="37" t="s">
        <v>322</v>
      </c>
      <c r="L2186" s="39" t="n">
        <v>81.61</v>
      </c>
      <c r="M2186" s="39" t="n">
        <v>54.1</v>
      </c>
      <c r="N2186" s="39" t="n">
        <f aca="false">J2186*Resumo!$C$7</f>
        <v>0.54198</v>
      </c>
      <c r="O2186" s="39" t="n">
        <f aca="false">J2186*Resumo!$C$8</f>
        <v>0.54198</v>
      </c>
      <c r="P2186" s="39" t="n">
        <f aca="false">Resumo!$C$10*CEILING(I2186/100,1)</f>
        <v>1</v>
      </c>
      <c r="Q2186" s="39" t="n">
        <f aca="false">Resumo!$C$9</f>
        <v>11.9</v>
      </c>
      <c r="R2186" s="39" t="n">
        <f aca="false">SUM(M2186:Q2186)*Resumo!$C$11</f>
        <v>3.7446178</v>
      </c>
      <c r="S2186" s="39" t="n">
        <f aca="false">SUM(M2186:R2186)</f>
        <v>71.8285778</v>
      </c>
      <c r="T2186" s="39" t="n">
        <f aca="false">S2186/(1-Resumo!$C$5)</f>
        <v>81.6233838636364</v>
      </c>
      <c r="U2186" s="39" t="n">
        <v>82.21</v>
      </c>
      <c r="V2186" s="39" t="n">
        <f aca="false">J2186*Resumo!$B$6</f>
        <v>0.27099</v>
      </c>
      <c r="W2186" s="39" t="n">
        <f aca="false">J2186*Resumo!$B$7</f>
        <v>0.54198</v>
      </c>
      <c r="X2186" s="39" t="n">
        <f aca="false">Resumo!$B$9</f>
        <v>1</v>
      </c>
      <c r="Y2186" s="39" t="n">
        <f aca="false">Resumo!$B$10*CEILING(I2186/100,1)</f>
        <v>4.5</v>
      </c>
      <c r="Z2186" s="39" t="n">
        <f aca="false">Resumo!$B$12*CEILING(I2186,1)</f>
        <v>1.62</v>
      </c>
      <c r="AA2186" s="39" t="n">
        <f aca="false">Resumo!$B$13*CEILING(I2186,1)</f>
        <v>12.15</v>
      </c>
      <c r="AB2186" s="39" t="n">
        <f aca="false">SUM(U2186:AA2186)</f>
        <v>102.29297</v>
      </c>
      <c r="AC2186" s="39" t="n">
        <f aca="false">AB2186/(1-Resumo!$B$5)</f>
        <v>116.242011363636</v>
      </c>
      <c r="AD2186" s="39" t="n">
        <f aca="false">(AB2186-AA2186)/(1-Resumo!$B$5)</f>
        <v>102.435193181818</v>
      </c>
      <c r="AE2186" s="39" t="n">
        <f aca="false">AC2186-T2186</f>
        <v>34.6186275</v>
      </c>
      <c r="AF2186" s="40" t="n">
        <f aca="false">AC2186/T2186-1</f>
        <v>0.424126345433502</v>
      </c>
      <c r="AG2186" s="37" t="str">
        <f aca="false">IF(AC2186&lt;T2186,"SIM","NÃO")</f>
        <v>NÃO</v>
      </c>
      <c r="AH2186" s="37" t="n">
        <v>8</v>
      </c>
      <c r="AI2186" s="37" t="n">
        <v>5</v>
      </c>
      <c r="AJ2186" s="37" t="s">
        <v>323</v>
      </c>
    </row>
    <row r="2187" customFormat="false" ht="15" hidden="false" customHeight="false" outlineLevel="0" collapsed="false">
      <c r="A2187" s="37" t="n">
        <v>400953656</v>
      </c>
      <c r="B2187" s="38" t="n">
        <v>46294.6936458333</v>
      </c>
      <c r="C2187" s="37" t="s">
        <v>320</v>
      </c>
      <c r="D2187" s="37" t="s">
        <v>2266</v>
      </c>
      <c r="E2187" s="37" t="n">
        <v>21341460</v>
      </c>
      <c r="F2187" s="37" t="s">
        <v>139</v>
      </c>
      <c r="G2187" s="37" t="s">
        <v>198</v>
      </c>
      <c r="H2187" s="37" t="s">
        <v>169</v>
      </c>
      <c r="I2187" s="37" t="n">
        <v>35.4</v>
      </c>
      <c r="J2187" s="39" t="n">
        <v>499.99</v>
      </c>
      <c r="K2187" s="37" t="s">
        <v>322</v>
      </c>
      <c r="L2187" s="39" t="n">
        <v>92.25</v>
      </c>
      <c r="M2187" s="39" t="n">
        <v>62.05</v>
      </c>
      <c r="N2187" s="39" t="n">
        <f aca="false">J2187*Resumo!$C$7</f>
        <v>0.99998</v>
      </c>
      <c r="O2187" s="39" t="n">
        <f aca="false">J2187*Resumo!$C$8</f>
        <v>0.99998</v>
      </c>
      <c r="P2187" s="39" t="n">
        <f aca="false">Resumo!$C$10*CEILING(I2187/100,1)</f>
        <v>1</v>
      </c>
      <c r="Q2187" s="39" t="n">
        <f aca="false">Resumo!$C$9</f>
        <v>11.9</v>
      </c>
      <c r="R2187" s="39" t="n">
        <f aca="false">SUM(M2187:Q2187)*Resumo!$C$11</f>
        <v>4.2322478</v>
      </c>
      <c r="S2187" s="39" t="n">
        <f aca="false">SUM(M2187:R2187)</f>
        <v>81.1822078</v>
      </c>
      <c r="T2187" s="39" t="n">
        <f aca="false">S2187/(1-Resumo!$C$5)</f>
        <v>92.2525088636364</v>
      </c>
      <c r="U2187" s="39" t="n">
        <v>93.97</v>
      </c>
      <c r="V2187" s="39" t="n">
        <f aca="false">J2187*Resumo!$B$6</f>
        <v>0.49999</v>
      </c>
      <c r="W2187" s="39" t="n">
        <f aca="false">J2187*Resumo!$B$7</f>
        <v>0.99998</v>
      </c>
      <c r="X2187" s="39" t="n">
        <f aca="false">Resumo!$B$9</f>
        <v>1</v>
      </c>
      <c r="Y2187" s="39" t="n">
        <f aca="false">Resumo!$B$10*CEILING(I2187/100,1)</f>
        <v>4.5</v>
      </c>
      <c r="Z2187" s="39" t="n">
        <f aca="false">Resumo!$B$12*CEILING(I2187,1)</f>
        <v>2.16</v>
      </c>
      <c r="AA2187" s="39" t="n">
        <f aca="false">Resumo!$B$13*CEILING(I2187,1)</f>
        <v>16.2</v>
      </c>
      <c r="AB2187" s="39" t="n">
        <f aca="false">SUM(U2187:AA2187)</f>
        <v>119.32997</v>
      </c>
      <c r="AC2187" s="39" t="n">
        <f aca="false">AB2187/(1-Resumo!$B$5)</f>
        <v>135.602238636364</v>
      </c>
      <c r="AD2187" s="39" t="n">
        <f aca="false">(AB2187-AA2187)/(1-Resumo!$B$5)</f>
        <v>117.193147727273</v>
      </c>
      <c r="AE2187" s="39" t="n">
        <f aca="false">AC2187-T2187</f>
        <v>43.3497297727273</v>
      </c>
      <c r="AF2187" s="40" t="n">
        <f aca="false">AC2187/T2187-1</f>
        <v>0.469902990246097</v>
      </c>
      <c r="AG2187" s="37" t="str">
        <f aca="false">IF(AC2187&lt;T2187,"SIM","NÃO")</f>
        <v>NÃO</v>
      </c>
      <c r="AH2187" s="37" t="n">
        <v>8</v>
      </c>
      <c r="AI2187" s="37" t="n">
        <v>5</v>
      </c>
      <c r="AJ2187" s="37" t="s">
        <v>323</v>
      </c>
    </row>
    <row r="2188" customFormat="false" ht="15" hidden="false" customHeight="false" outlineLevel="0" collapsed="false">
      <c r="A2188" s="37" t="n">
        <v>400956221</v>
      </c>
      <c r="B2188" s="38" t="n">
        <v>46294.6962268519</v>
      </c>
      <c r="C2188" s="37" t="s">
        <v>325</v>
      </c>
      <c r="D2188" s="37" t="s">
        <v>2267</v>
      </c>
      <c r="E2188" s="37" t="n">
        <v>21030040</v>
      </c>
      <c r="F2188" s="37" t="s">
        <v>139</v>
      </c>
      <c r="G2188" s="37" t="s">
        <v>198</v>
      </c>
      <c r="H2188" s="37" t="s">
        <v>170</v>
      </c>
      <c r="I2188" s="37" t="n">
        <v>46.8</v>
      </c>
      <c r="J2188" s="39" t="n">
        <v>569.99</v>
      </c>
      <c r="K2188" s="37" t="s">
        <v>322</v>
      </c>
      <c r="L2188" s="39" t="n">
        <v>103.32</v>
      </c>
      <c r="M2188" s="39" t="n">
        <v>71</v>
      </c>
      <c r="N2188" s="39" t="n">
        <f aca="false">J2188*Resumo!$C$7</f>
        <v>1.13998</v>
      </c>
      <c r="O2188" s="39" t="n">
        <f aca="false">J2188*Resumo!$C$8</f>
        <v>1.13998</v>
      </c>
      <c r="P2188" s="39" t="n">
        <f aca="false">Resumo!$C$10*CEILING(I2188/100,1)</f>
        <v>1</v>
      </c>
      <c r="Q2188" s="39" t="n">
        <f aca="false">Resumo!$C$9</f>
        <v>11.9</v>
      </c>
      <c r="R2188" s="39" t="n">
        <f aca="false">SUM(M2188:Q2188)*Resumo!$C$11</f>
        <v>4.7398978</v>
      </c>
      <c r="S2188" s="39" t="n">
        <f aca="false">SUM(M2188:R2188)</f>
        <v>90.9198578</v>
      </c>
      <c r="T2188" s="39" t="n">
        <f aca="false">S2188/(1-Resumo!$C$5)</f>
        <v>103.318020227273</v>
      </c>
      <c r="U2188" s="39" t="n">
        <v>93.97</v>
      </c>
      <c r="V2188" s="39" t="n">
        <f aca="false">J2188*Resumo!$B$6</f>
        <v>0.56999</v>
      </c>
      <c r="W2188" s="39" t="n">
        <f aca="false">J2188*Resumo!$B$7</f>
        <v>1.13998</v>
      </c>
      <c r="X2188" s="39" t="n">
        <f aca="false">Resumo!$B$9</f>
        <v>1</v>
      </c>
      <c r="Y2188" s="39" t="n">
        <f aca="false">Resumo!$B$10*CEILING(I2188/100,1)</f>
        <v>4.5</v>
      </c>
      <c r="Z2188" s="39" t="n">
        <f aca="false">Resumo!$B$12*CEILING(I2188,1)</f>
        <v>2.82</v>
      </c>
      <c r="AA2188" s="39" t="n">
        <f aca="false">Resumo!$B$13*CEILING(I2188,1)</f>
        <v>21.15</v>
      </c>
      <c r="AB2188" s="39" t="n">
        <f aca="false">SUM(U2188:AA2188)</f>
        <v>125.14997</v>
      </c>
      <c r="AC2188" s="39" t="n">
        <f aca="false">AB2188/(1-Resumo!$B$5)</f>
        <v>142.215875</v>
      </c>
      <c r="AD2188" s="39" t="n">
        <f aca="false">(AB2188-AA2188)/(1-Resumo!$B$5)</f>
        <v>118.181784090909</v>
      </c>
      <c r="AE2188" s="39" t="n">
        <f aca="false">AC2188-T2188</f>
        <v>38.8978547727273</v>
      </c>
      <c r="AF2188" s="40" t="n">
        <f aca="false">AC2188/T2188-1</f>
        <v>0.376486644703046</v>
      </c>
      <c r="AG2188" s="37" t="str">
        <f aca="false">IF(AC2188&lt;T2188,"SIM","NÃO")</f>
        <v>NÃO</v>
      </c>
      <c r="AH2188" s="37" t="n">
        <v>8</v>
      </c>
      <c r="AI2188" s="37" t="n">
        <v>5</v>
      </c>
      <c r="AJ2188" s="37" t="s">
        <v>323</v>
      </c>
    </row>
    <row r="2189" customFormat="false" ht="15" hidden="false" customHeight="false" outlineLevel="0" collapsed="false">
      <c r="A2189" s="37" t="n">
        <v>400965800</v>
      </c>
      <c r="B2189" s="38" t="n">
        <v>46294.7074189815</v>
      </c>
      <c r="C2189" s="37" t="s">
        <v>320</v>
      </c>
      <c r="D2189" s="37" t="s">
        <v>2268</v>
      </c>
      <c r="E2189" s="37" t="n">
        <v>23587410</v>
      </c>
      <c r="F2189" s="37" t="s">
        <v>139</v>
      </c>
      <c r="G2189" s="37" t="s">
        <v>198</v>
      </c>
      <c r="H2189" s="37" t="s">
        <v>175</v>
      </c>
      <c r="I2189" s="37" t="n">
        <v>117</v>
      </c>
      <c r="J2189" s="39" t="n">
        <v>1399.99</v>
      </c>
      <c r="K2189" s="37" t="s">
        <v>322</v>
      </c>
      <c r="L2189" s="39" t="n">
        <v>186.35</v>
      </c>
      <c r="M2189" s="39" t="n">
        <v>135.94</v>
      </c>
      <c r="N2189" s="39" t="n">
        <f aca="false">J2189*Resumo!$C$7</f>
        <v>2.79998</v>
      </c>
      <c r="O2189" s="39" t="n">
        <f aca="false">J2189*Resumo!$C$8</f>
        <v>2.79998</v>
      </c>
      <c r="P2189" s="39" t="n">
        <f aca="false">Resumo!$C$10*CEILING(I2189/100,1)</f>
        <v>2</v>
      </c>
      <c r="Q2189" s="39" t="n">
        <f aca="false">Resumo!$C$9</f>
        <v>11.9</v>
      </c>
      <c r="R2189" s="39" t="n">
        <f aca="false">SUM(M2189:Q2189)*Resumo!$C$11</f>
        <v>8.5491978</v>
      </c>
      <c r="S2189" s="39" t="n">
        <f aca="false">SUM(M2189:R2189)</f>
        <v>163.9891578</v>
      </c>
      <c r="T2189" s="39" t="n">
        <f aca="false">S2189/(1-Resumo!$C$5)</f>
        <v>186.351315681818</v>
      </c>
      <c r="U2189" s="39" t="n">
        <v>201.59</v>
      </c>
      <c r="V2189" s="39" t="n">
        <f aca="false">J2189*Resumo!$B$6</f>
        <v>1.39999</v>
      </c>
      <c r="W2189" s="39" t="n">
        <f aca="false">J2189*Resumo!$B$7</f>
        <v>2.79998</v>
      </c>
      <c r="X2189" s="39" t="n">
        <f aca="false">Resumo!$B$9</f>
        <v>1</v>
      </c>
      <c r="Y2189" s="39" t="n">
        <f aca="false">Resumo!$B$10*CEILING(I2189/100,1)</f>
        <v>9</v>
      </c>
      <c r="Z2189" s="39" t="n">
        <f aca="false">Resumo!$B$12*CEILING(I2189,1)</f>
        <v>7.02</v>
      </c>
      <c r="AA2189" s="39" t="n">
        <f aca="false">Resumo!$B$13*CEILING(I2189,1)</f>
        <v>52.65</v>
      </c>
      <c r="AB2189" s="39" t="n">
        <f aca="false">SUM(U2189:AA2189)</f>
        <v>275.45997</v>
      </c>
      <c r="AC2189" s="39" t="n">
        <f aca="false">AB2189/(1-Resumo!$B$5)</f>
        <v>313.022693181818</v>
      </c>
      <c r="AD2189" s="39" t="n">
        <f aca="false">(AB2189-AA2189)/(1-Resumo!$B$5)</f>
        <v>253.193147727273</v>
      </c>
      <c r="AE2189" s="39" t="n">
        <f aca="false">AC2189-T2189</f>
        <v>126.6713775</v>
      </c>
      <c r="AF2189" s="40" t="n">
        <f aca="false">AC2189/T2189-1</f>
        <v>0.679745012996219</v>
      </c>
      <c r="AG2189" s="37" t="str">
        <f aca="false">IF(AC2189&lt;T2189,"SIM","NÃO")</f>
        <v>NÃO</v>
      </c>
      <c r="AH2189" s="37" t="n">
        <v>8</v>
      </c>
      <c r="AI2189" s="37" t="n">
        <v>5</v>
      </c>
      <c r="AJ2189" s="37" t="s">
        <v>323</v>
      </c>
    </row>
    <row r="2190" customFormat="false" ht="15" hidden="false" customHeight="false" outlineLevel="0" collapsed="false">
      <c r="A2190" s="37" t="n">
        <v>400994581</v>
      </c>
      <c r="B2190" s="38" t="n">
        <v>46294.7329513889</v>
      </c>
      <c r="C2190" s="37" t="s">
        <v>517</v>
      </c>
      <c r="D2190" s="37" t="s">
        <v>2269</v>
      </c>
      <c r="E2190" s="37" t="n">
        <v>24856152</v>
      </c>
      <c r="F2190" s="37" t="s">
        <v>154</v>
      </c>
      <c r="G2190" s="37" t="s">
        <v>201</v>
      </c>
      <c r="H2190" s="37" t="s">
        <v>168</v>
      </c>
      <c r="I2190" s="37" t="n">
        <v>29.2</v>
      </c>
      <c r="J2190" s="39" t="n">
        <v>395.99</v>
      </c>
      <c r="K2190" s="37" t="s">
        <v>322</v>
      </c>
      <c r="L2190" s="39" t="n">
        <v>109.07</v>
      </c>
      <c r="M2190" s="39" t="n">
        <v>76.5</v>
      </c>
      <c r="N2190" s="39" t="n">
        <f aca="false">J2190*Resumo!$C$7</f>
        <v>0.79198</v>
      </c>
      <c r="O2190" s="39" t="n">
        <f aca="false">J2190*Resumo!$C$8</f>
        <v>0.79198</v>
      </c>
      <c r="P2190" s="39" t="n">
        <f aca="false">Resumo!$C$10*CEILING(I2190/100,1)</f>
        <v>1</v>
      </c>
      <c r="Q2190" s="39" t="n">
        <f aca="false">Resumo!$C$9</f>
        <v>11.9</v>
      </c>
      <c r="R2190" s="39" t="n">
        <f aca="false">SUM(M2190:Q2190)*Resumo!$C$11</f>
        <v>5.0041178</v>
      </c>
      <c r="S2190" s="39" t="n">
        <f aca="false">SUM(M2190:R2190)</f>
        <v>95.9880778</v>
      </c>
      <c r="T2190" s="39" t="n">
        <f aca="false">S2190/(1-Resumo!$C$5)</f>
        <v>109.077361136364</v>
      </c>
      <c r="U2190" s="39" t="n">
        <v>100.58</v>
      </c>
      <c r="V2190" s="39" t="n">
        <f aca="false">J2190*Resumo!$B$6</f>
        <v>0.39599</v>
      </c>
      <c r="W2190" s="39" t="n">
        <f aca="false">J2190*Resumo!$B$7</f>
        <v>0.79198</v>
      </c>
      <c r="X2190" s="39" t="n">
        <f aca="false">Resumo!$B$9</f>
        <v>1</v>
      </c>
      <c r="Y2190" s="39" t="n">
        <f aca="false">Resumo!$B$10*CEILING(I2190/100,1)</f>
        <v>4.5</v>
      </c>
      <c r="Z2190" s="39" t="n">
        <f aca="false">Resumo!$B$12*CEILING(I2190,1)</f>
        <v>1.8</v>
      </c>
      <c r="AA2190" s="39" t="n">
        <f aca="false">Resumo!$B$13*CEILING(I2190,1)</f>
        <v>13.5</v>
      </c>
      <c r="AB2190" s="39" t="n">
        <f aca="false">SUM(U2190:AA2190)</f>
        <v>122.56797</v>
      </c>
      <c r="AC2190" s="39" t="n">
        <f aca="false">AB2190/(1-Resumo!$B$5)</f>
        <v>139.281784090909</v>
      </c>
      <c r="AD2190" s="39" t="n">
        <f aca="false">(AB2190-AA2190)/(1-Resumo!$B$5)</f>
        <v>123.940875</v>
      </c>
      <c r="AE2190" s="39" t="n">
        <f aca="false">AC2190-T2190</f>
        <v>30.2044229545455</v>
      </c>
      <c r="AF2190" s="40" t="n">
        <f aca="false">AC2190/T2190-1</f>
        <v>0.276908266205535</v>
      </c>
      <c r="AG2190" s="37" t="str">
        <f aca="false">IF(AC2190&lt;T2190,"SIM","NÃO")</f>
        <v>NÃO</v>
      </c>
      <c r="AH2190" s="37" t="n">
        <v>13</v>
      </c>
      <c r="AI2190" s="37" t="n">
        <v>7</v>
      </c>
      <c r="AJ2190" s="37" t="s">
        <v>323</v>
      </c>
    </row>
    <row r="2191" customFormat="false" ht="15" hidden="false" customHeight="false" outlineLevel="0" collapsed="false">
      <c r="A2191" s="37" t="n">
        <v>400982772</v>
      </c>
      <c r="B2191" s="38" t="n">
        <v>46294.7338541667</v>
      </c>
      <c r="C2191" s="37" t="s">
        <v>325</v>
      </c>
      <c r="D2191" s="37" t="s">
        <v>2270</v>
      </c>
      <c r="E2191" s="37" t="n">
        <v>25804000</v>
      </c>
      <c r="F2191" s="37" t="s">
        <v>214</v>
      </c>
      <c r="G2191" s="37" t="s">
        <v>201</v>
      </c>
      <c r="H2191" s="37" t="s">
        <v>171</v>
      </c>
      <c r="I2191" s="37" t="n">
        <v>55</v>
      </c>
      <c r="J2191" s="39" t="n">
        <v>698</v>
      </c>
      <c r="K2191" s="37" t="s">
        <v>322</v>
      </c>
      <c r="L2191" s="39" t="n">
        <v>143.02</v>
      </c>
      <c r="M2191" s="39" t="n">
        <v>103.6</v>
      </c>
      <c r="N2191" s="39" t="n">
        <f aca="false">J2191*Resumo!$C$7</f>
        <v>1.396</v>
      </c>
      <c r="O2191" s="39" t="n">
        <f aca="false">J2191*Resumo!$C$8</f>
        <v>1.396</v>
      </c>
      <c r="P2191" s="39" t="n">
        <f aca="false">Resumo!$C$10*CEILING(I2191/100,1)</f>
        <v>1</v>
      </c>
      <c r="Q2191" s="39" t="n">
        <f aca="false">Resumo!$C$9</f>
        <v>11.9</v>
      </c>
      <c r="R2191" s="39" t="n">
        <f aca="false">SUM(M2191:Q2191)*Resumo!$C$11</f>
        <v>6.56106</v>
      </c>
      <c r="S2191" s="39" t="n">
        <f aca="false">SUM(M2191:R2191)</f>
        <v>125.85306</v>
      </c>
      <c r="T2191" s="39" t="n">
        <f aca="false">S2191/(1-Resumo!$C$5)</f>
        <v>143.014840909091</v>
      </c>
      <c r="U2191" s="39" t="n">
        <v>142.32</v>
      </c>
      <c r="V2191" s="39" t="n">
        <f aca="false">J2191*Resumo!$B$6</f>
        <v>0.698</v>
      </c>
      <c r="W2191" s="39" t="n">
        <f aca="false">J2191*Resumo!$B$7</f>
        <v>1.396</v>
      </c>
      <c r="X2191" s="39" t="n">
        <f aca="false">Resumo!$B$9</f>
        <v>1</v>
      </c>
      <c r="Y2191" s="39" t="n">
        <f aca="false">Resumo!$B$10*CEILING(I2191/100,1)</f>
        <v>4.5</v>
      </c>
      <c r="Z2191" s="39" t="n">
        <f aca="false">Resumo!$B$12*CEILING(I2191,1)</f>
        <v>3.3</v>
      </c>
      <c r="AA2191" s="39" t="n">
        <f aca="false">Resumo!$B$13*CEILING(I2191,1)</f>
        <v>24.75</v>
      </c>
      <c r="AB2191" s="39" t="n">
        <f aca="false">SUM(U2191:AA2191)</f>
        <v>177.964</v>
      </c>
      <c r="AC2191" s="39" t="n">
        <f aca="false">AB2191/(1-Resumo!$B$5)</f>
        <v>202.231818181818</v>
      </c>
      <c r="AD2191" s="39" t="n">
        <f aca="false">(AB2191-AA2191)/(1-Resumo!$B$5)</f>
        <v>174.106818181818</v>
      </c>
      <c r="AE2191" s="39" t="n">
        <f aca="false">AC2191-T2191</f>
        <v>59.2169772727273</v>
      </c>
      <c r="AF2191" s="40" t="n">
        <f aca="false">AC2191/T2191-1</f>
        <v>0.414061763774357</v>
      </c>
      <c r="AG2191" s="37" t="str">
        <f aca="false">IF(AC2191&lt;T2191,"SIM","NÃO")</f>
        <v>NÃO</v>
      </c>
      <c r="AH2191" s="37" t="n">
        <v>13</v>
      </c>
      <c r="AI2191" s="37" t="n">
        <v>8</v>
      </c>
      <c r="AJ2191" s="37" t="s">
        <v>327</v>
      </c>
    </row>
    <row r="2192" customFormat="false" ht="15" hidden="false" customHeight="false" outlineLevel="0" collapsed="false">
      <c r="A2192" s="37" t="n">
        <v>400983277</v>
      </c>
      <c r="B2192" s="38" t="n">
        <v>46294.7359375</v>
      </c>
      <c r="C2192" s="37" t="s">
        <v>355</v>
      </c>
      <c r="D2192" s="37" t="s">
        <v>2271</v>
      </c>
      <c r="E2192" s="37" t="n">
        <v>20011030</v>
      </c>
      <c r="F2192" s="37" t="s">
        <v>139</v>
      </c>
      <c r="G2192" s="37" t="s">
        <v>198</v>
      </c>
      <c r="H2192" s="37" t="s">
        <v>168</v>
      </c>
      <c r="I2192" s="37" t="n">
        <v>27.6</v>
      </c>
      <c r="J2192" s="39" t="n">
        <v>360.99</v>
      </c>
      <c r="K2192" s="37" t="s">
        <v>322</v>
      </c>
      <c r="L2192" s="39" t="n">
        <v>82.05</v>
      </c>
      <c r="M2192" s="39" t="n">
        <v>54.1</v>
      </c>
      <c r="N2192" s="39" t="n">
        <f aca="false">J2192*Resumo!$C$7</f>
        <v>0.72198</v>
      </c>
      <c r="O2192" s="39" t="n">
        <f aca="false">J2192*Resumo!$C$8</f>
        <v>0.72198</v>
      </c>
      <c r="P2192" s="39" t="n">
        <f aca="false">Resumo!$C$10*CEILING(I2192/100,1)</f>
        <v>1</v>
      </c>
      <c r="Q2192" s="39" t="n">
        <f aca="false">Resumo!$C$9</f>
        <v>11.9</v>
      </c>
      <c r="R2192" s="39" t="n">
        <f aca="false">SUM(M2192:Q2192)*Resumo!$C$11</f>
        <v>3.7644178</v>
      </c>
      <c r="S2192" s="39" t="n">
        <f aca="false">SUM(M2192:R2192)</f>
        <v>72.2083778</v>
      </c>
      <c r="T2192" s="39" t="n">
        <f aca="false">S2192/(1-Resumo!$C$5)</f>
        <v>82.0549747727273</v>
      </c>
      <c r="U2192" s="39" t="n">
        <v>82.21</v>
      </c>
      <c r="V2192" s="39" t="n">
        <f aca="false">J2192*Resumo!$B$6</f>
        <v>0.36099</v>
      </c>
      <c r="W2192" s="39" t="n">
        <f aca="false">J2192*Resumo!$B$7</f>
        <v>0.72198</v>
      </c>
      <c r="X2192" s="39" t="n">
        <f aca="false">Resumo!$B$9</f>
        <v>1</v>
      </c>
      <c r="Y2192" s="39" t="n">
        <f aca="false">Resumo!$B$10*CEILING(I2192/100,1)</f>
        <v>4.5</v>
      </c>
      <c r="Z2192" s="39" t="n">
        <f aca="false">Resumo!$B$12*CEILING(I2192,1)</f>
        <v>1.68</v>
      </c>
      <c r="AA2192" s="39" t="n">
        <f aca="false">Resumo!$B$13*CEILING(I2192,1)</f>
        <v>12.6</v>
      </c>
      <c r="AB2192" s="39" t="n">
        <f aca="false">SUM(U2192:AA2192)</f>
        <v>103.07297</v>
      </c>
      <c r="AC2192" s="39" t="n">
        <f aca="false">AB2192/(1-Resumo!$B$5)</f>
        <v>117.128375</v>
      </c>
      <c r="AD2192" s="39" t="n">
        <f aca="false">(AB2192-AA2192)/(1-Resumo!$B$5)</f>
        <v>102.810193181818</v>
      </c>
      <c r="AE2192" s="39" t="n">
        <f aca="false">AC2192-T2192</f>
        <v>35.0734002272727</v>
      </c>
      <c r="AF2192" s="40" t="n">
        <f aca="false">AC2192/T2192-1</f>
        <v>0.427437828412204</v>
      </c>
      <c r="AG2192" s="37" t="str">
        <f aca="false">IF(AC2192&lt;T2192,"SIM","NÃO")</f>
        <v>NÃO</v>
      </c>
      <c r="AH2192" s="37" t="n">
        <v>8</v>
      </c>
      <c r="AI2192" s="37" t="n">
        <v>5</v>
      </c>
      <c r="AJ2192" s="37" t="s">
        <v>323</v>
      </c>
    </row>
    <row r="2193" customFormat="false" ht="15" hidden="false" customHeight="false" outlineLevel="0" collapsed="false">
      <c r="A2193" s="37" t="n">
        <v>400973615</v>
      </c>
      <c r="B2193" s="38" t="n">
        <v>46294.736875</v>
      </c>
      <c r="C2193" s="37" t="s">
        <v>355</v>
      </c>
      <c r="D2193" s="37" t="s">
        <v>2272</v>
      </c>
      <c r="E2193" s="37" t="n">
        <v>25922160</v>
      </c>
      <c r="F2193" s="37" t="s">
        <v>156</v>
      </c>
      <c r="G2193" s="37" t="s">
        <v>201</v>
      </c>
      <c r="H2193" s="37" t="s">
        <v>168</v>
      </c>
      <c r="I2193" s="37" t="n">
        <v>31.2</v>
      </c>
      <c r="J2193" s="39" t="n">
        <v>336.25</v>
      </c>
      <c r="K2193" s="37" t="s">
        <v>322</v>
      </c>
      <c r="L2193" s="39" t="n">
        <v>108.78</v>
      </c>
      <c r="M2193" s="39" t="n">
        <v>76.5</v>
      </c>
      <c r="N2193" s="39" t="n">
        <f aca="false">J2193*Resumo!$C$7</f>
        <v>0.6725</v>
      </c>
      <c r="O2193" s="39" t="n">
        <f aca="false">J2193*Resumo!$C$8</f>
        <v>0.6725</v>
      </c>
      <c r="P2193" s="39" t="n">
        <f aca="false">Resumo!$C$10*CEILING(I2193/100,1)</f>
        <v>1</v>
      </c>
      <c r="Q2193" s="39" t="n">
        <f aca="false">Resumo!$C$9</f>
        <v>11.9</v>
      </c>
      <c r="R2193" s="39" t="n">
        <f aca="false">SUM(M2193:Q2193)*Resumo!$C$11</f>
        <v>4.990975</v>
      </c>
      <c r="S2193" s="39" t="n">
        <f aca="false">SUM(M2193:R2193)</f>
        <v>95.735975</v>
      </c>
      <c r="T2193" s="39" t="n">
        <f aca="false">S2193/(1-Resumo!$C$5)</f>
        <v>108.790880681818</v>
      </c>
      <c r="U2193" s="39" t="n">
        <v>103.28</v>
      </c>
      <c r="V2193" s="39" t="n">
        <f aca="false">J2193*Resumo!$B$6</f>
        <v>0.33625</v>
      </c>
      <c r="W2193" s="39" t="n">
        <f aca="false">J2193*Resumo!$B$7</f>
        <v>0.6725</v>
      </c>
      <c r="X2193" s="39" t="n">
        <f aca="false">Resumo!$B$9</f>
        <v>1</v>
      </c>
      <c r="Y2193" s="39" t="n">
        <f aca="false">Resumo!$B$10*CEILING(I2193/100,1)</f>
        <v>4.5</v>
      </c>
      <c r="Z2193" s="39" t="n">
        <f aca="false">Resumo!$B$12*CEILING(I2193,1)</f>
        <v>1.92</v>
      </c>
      <c r="AA2193" s="39" t="n">
        <f aca="false">Resumo!$B$13*CEILING(I2193,1)</f>
        <v>14.4</v>
      </c>
      <c r="AB2193" s="39" t="n">
        <f aca="false">SUM(U2193:AA2193)</f>
        <v>126.10875</v>
      </c>
      <c r="AC2193" s="39" t="n">
        <f aca="false">AB2193/(1-Resumo!$B$5)</f>
        <v>143.305397727273</v>
      </c>
      <c r="AD2193" s="39" t="n">
        <f aca="false">(AB2193-AA2193)/(1-Resumo!$B$5)</f>
        <v>126.941761363636</v>
      </c>
      <c r="AE2193" s="39" t="n">
        <f aca="false">AC2193-T2193</f>
        <v>34.5145170454545</v>
      </c>
      <c r="AF2193" s="40" t="n">
        <f aca="false">AC2193/T2193-1</f>
        <v>0.317255608458576</v>
      </c>
      <c r="AG2193" s="37" t="str">
        <f aca="false">IF(AC2193&lt;T2193,"SIM","NÃO")</f>
        <v>NÃO</v>
      </c>
      <c r="AH2193" s="37" t="n">
        <v>13</v>
      </c>
      <c r="AI2193" s="37" t="n">
        <v>6</v>
      </c>
      <c r="AJ2193" s="37" t="s">
        <v>323</v>
      </c>
    </row>
    <row r="2194" customFormat="false" ht="15" hidden="false" customHeight="false" outlineLevel="0" collapsed="false">
      <c r="A2194" s="37" t="n">
        <v>401003240</v>
      </c>
      <c r="B2194" s="38" t="n">
        <v>46294.7653703704</v>
      </c>
      <c r="C2194" s="37" t="s">
        <v>320</v>
      </c>
      <c r="D2194" s="37" t="s">
        <v>2273</v>
      </c>
      <c r="E2194" s="37" t="n">
        <v>23085260</v>
      </c>
      <c r="F2194" s="37" t="s">
        <v>139</v>
      </c>
      <c r="G2194" s="37" t="s">
        <v>198</v>
      </c>
      <c r="H2194" s="37" t="s">
        <v>169</v>
      </c>
      <c r="I2194" s="37" t="n">
        <v>36</v>
      </c>
      <c r="J2194" s="39" t="n">
        <v>449.99</v>
      </c>
      <c r="K2194" s="37" t="s">
        <v>322</v>
      </c>
      <c r="L2194" s="39" t="n">
        <v>92.01</v>
      </c>
      <c r="M2194" s="39" t="n">
        <v>62.05</v>
      </c>
      <c r="N2194" s="39" t="n">
        <f aca="false">J2194*Resumo!$C$7</f>
        <v>0.89998</v>
      </c>
      <c r="O2194" s="39" t="n">
        <f aca="false">J2194*Resumo!$C$8</f>
        <v>0.89998</v>
      </c>
      <c r="P2194" s="39" t="n">
        <f aca="false">Resumo!$C$10*CEILING(I2194/100,1)</f>
        <v>1</v>
      </c>
      <c r="Q2194" s="39" t="n">
        <f aca="false">Resumo!$C$9</f>
        <v>11.9</v>
      </c>
      <c r="R2194" s="39" t="n">
        <f aca="false">SUM(M2194:Q2194)*Resumo!$C$11</f>
        <v>4.2212478</v>
      </c>
      <c r="S2194" s="39" t="n">
        <f aca="false">SUM(M2194:R2194)</f>
        <v>80.9712078</v>
      </c>
      <c r="T2194" s="39" t="n">
        <f aca="false">S2194/(1-Resumo!$C$5)</f>
        <v>92.0127361363636</v>
      </c>
      <c r="U2194" s="39" t="n">
        <v>93.97</v>
      </c>
      <c r="V2194" s="39" t="n">
        <f aca="false">J2194*Resumo!$B$6</f>
        <v>0.44999</v>
      </c>
      <c r="W2194" s="39" t="n">
        <f aca="false">J2194*Resumo!$B$7</f>
        <v>0.89998</v>
      </c>
      <c r="X2194" s="39" t="n">
        <f aca="false">Resumo!$B$9</f>
        <v>1</v>
      </c>
      <c r="Y2194" s="39" t="n">
        <f aca="false">Resumo!$B$10*CEILING(I2194/100,1)</f>
        <v>4.5</v>
      </c>
      <c r="Z2194" s="39" t="n">
        <f aca="false">Resumo!$B$12*CEILING(I2194,1)</f>
        <v>2.16</v>
      </c>
      <c r="AA2194" s="39" t="n">
        <f aca="false">Resumo!$B$13*CEILING(I2194,1)</f>
        <v>16.2</v>
      </c>
      <c r="AB2194" s="39" t="n">
        <f aca="false">SUM(U2194:AA2194)</f>
        <v>119.17997</v>
      </c>
      <c r="AC2194" s="39" t="n">
        <f aca="false">AB2194/(1-Resumo!$B$5)</f>
        <v>135.431784090909</v>
      </c>
      <c r="AD2194" s="39" t="n">
        <f aca="false">(AB2194-AA2194)/(1-Resumo!$B$5)</f>
        <v>117.022693181818</v>
      </c>
      <c r="AE2194" s="39" t="n">
        <f aca="false">AC2194-T2194</f>
        <v>43.4190479545454</v>
      </c>
      <c r="AF2194" s="40" t="n">
        <f aca="false">AC2194/T2194-1</f>
        <v>0.471880847996934</v>
      </c>
      <c r="AG2194" s="37" t="str">
        <f aca="false">IF(AC2194&lt;T2194,"SIM","NÃO")</f>
        <v>NÃO</v>
      </c>
      <c r="AH2194" s="37" t="n">
        <v>8</v>
      </c>
      <c r="AI2194" s="37" t="n">
        <v>5</v>
      </c>
      <c r="AJ2194" s="37" t="s">
        <v>323</v>
      </c>
    </row>
    <row r="2195" customFormat="false" ht="15" hidden="false" customHeight="false" outlineLevel="0" collapsed="false">
      <c r="A2195" s="37" t="n">
        <v>401027439</v>
      </c>
      <c r="B2195" s="38" t="n">
        <v>46294.782037037</v>
      </c>
      <c r="C2195" s="37" t="s">
        <v>517</v>
      </c>
      <c r="D2195" s="37" t="s">
        <v>2274</v>
      </c>
      <c r="E2195" s="37" t="n">
        <v>21725050</v>
      </c>
      <c r="F2195" s="37" t="s">
        <v>139</v>
      </c>
      <c r="G2195" s="37" t="s">
        <v>198</v>
      </c>
      <c r="H2195" s="37" t="s">
        <v>170</v>
      </c>
      <c r="I2195" s="37" t="n">
        <v>41.4</v>
      </c>
      <c r="J2195" s="39" t="n">
        <v>365.49</v>
      </c>
      <c r="K2195" s="37" t="s">
        <v>322</v>
      </c>
      <c r="L2195" s="39" t="n">
        <v>102.33</v>
      </c>
      <c r="M2195" s="39" t="n">
        <v>71</v>
      </c>
      <c r="N2195" s="39" t="n">
        <f aca="false">J2195*Resumo!$C$7</f>
        <v>0.73098</v>
      </c>
      <c r="O2195" s="39" t="n">
        <f aca="false">J2195*Resumo!$C$8</f>
        <v>0.73098</v>
      </c>
      <c r="P2195" s="39" t="n">
        <f aca="false">Resumo!$C$10*CEILING(I2195/100,1)</f>
        <v>1</v>
      </c>
      <c r="Q2195" s="39" t="n">
        <f aca="false">Resumo!$C$9</f>
        <v>11.9</v>
      </c>
      <c r="R2195" s="39" t="n">
        <f aca="false">SUM(M2195:Q2195)*Resumo!$C$11</f>
        <v>4.6949078</v>
      </c>
      <c r="S2195" s="39" t="n">
        <f aca="false">SUM(M2195:R2195)</f>
        <v>90.0568678</v>
      </c>
      <c r="T2195" s="39" t="n">
        <f aca="false">S2195/(1-Resumo!$C$5)</f>
        <v>102.337349772727</v>
      </c>
      <c r="U2195" s="39" t="n">
        <v>93.97</v>
      </c>
      <c r="V2195" s="39" t="n">
        <f aca="false">J2195*Resumo!$B$6</f>
        <v>0.36549</v>
      </c>
      <c r="W2195" s="39" t="n">
        <f aca="false">J2195*Resumo!$B$7</f>
        <v>0.73098</v>
      </c>
      <c r="X2195" s="39" t="n">
        <f aca="false">Resumo!$B$9</f>
        <v>1</v>
      </c>
      <c r="Y2195" s="39" t="n">
        <f aca="false">Resumo!$B$10*CEILING(I2195/100,1)</f>
        <v>4.5</v>
      </c>
      <c r="Z2195" s="39" t="n">
        <f aca="false">Resumo!$B$12*CEILING(I2195,1)</f>
        <v>2.52</v>
      </c>
      <c r="AA2195" s="39" t="n">
        <f aca="false">Resumo!$B$13*CEILING(I2195,1)</f>
        <v>18.9</v>
      </c>
      <c r="AB2195" s="39" t="n">
        <f aca="false">SUM(U2195:AA2195)</f>
        <v>121.98647</v>
      </c>
      <c r="AC2195" s="39" t="n">
        <f aca="false">AB2195/(1-Resumo!$B$5)</f>
        <v>138.620988636364</v>
      </c>
      <c r="AD2195" s="39" t="n">
        <f aca="false">(AB2195-AA2195)/(1-Resumo!$B$5)</f>
        <v>117.143715909091</v>
      </c>
      <c r="AE2195" s="39" t="n">
        <f aca="false">AC2195-T2195</f>
        <v>36.2836388636364</v>
      </c>
      <c r="AF2195" s="40" t="n">
        <f aca="false">AC2195/T2195-1</f>
        <v>0.354549330661931</v>
      </c>
      <c r="AG2195" s="37" t="str">
        <f aca="false">IF(AC2195&lt;T2195,"SIM","NÃO")</f>
        <v>NÃO</v>
      </c>
      <c r="AH2195" s="37" t="n">
        <v>8</v>
      </c>
      <c r="AI2195" s="37" t="n">
        <v>5</v>
      </c>
      <c r="AJ2195" s="37" t="s">
        <v>323</v>
      </c>
    </row>
    <row r="2196" customFormat="false" ht="15" hidden="false" customHeight="false" outlineLevel="0" collapsed="false">
      <c r="A2196" s="37" t="n">
        <v>401068234</v>
      </c>
      <c r="B2196" s="38" t="n">
        <v>46294.8552893519</v>
      </c>
      <c r="C2196" s="37" t="s">
        <v>325</v>
      </c>
      <c r="D2196" s="37" t="s">
        <v>1845</v>
      </c>
      <c r="E2196" s="37" t="n">
        <v>23078001</v>
      </c>
      <c r="F2196" s="37" t="s">
        <v>139</v>
      </c>
      <c r="G2196" s="37" t="s">
        <v>198</v>
      </c>
      <c r="H2196" s="37" t="s">
        <v>172</v>
      </c>
      <c r="I2196" s="37" t="n">
        <v>69.45</v>
      </c>
      <c r="J2196" s="39" t="n">
        <v>746.95</v>
      </c>
      <c r="K2196" s="37" t="s">
        <v>322</v>
      </c>
      <c r="L2196" s="39" t="n">
        <v>124.77</v>
      </c>
      <c r="M2196" s="39" t="n">
        <v>88.2</v>
      </c>
      <c r="N2196" s="39" t="n">
        <f aca="false">J2196*Resumo!$C$7</f>
        <v>1.4939</v>
      </c>
      <c r="O2196" s="39" t="n">
        <f aca="false">J2196*Resumo!$C$8</f>
        <v>1.4939</v>
      </c>
      <c r="P2196" s="39" t="n">
        <f aca="false">Resumo!$C$10*CEILING(I2196/100,1)</f>
        <v>1</v>
      </c>
      <c r="Q2196" s="39" t="n">
        <f aca="false">Resumo!$C$9</f>
        <v>11.9</v>
      </c>
      <c r="R2196" s="39" t="n">
        <f aca="false">SUM(M2196:Q2196)*Resumo!$C$11</f>
        <v>5.724829</v>
      </c>
      <c r="S2196" s="39" t="n">
        <f aca="false">SUM(M2196:R2196)</f>
        <v>109.812629</v>
      </c>
      <c r="T2196" s="39" t="n">
        <f aca="false">S2196/(1-Resumo!$C$5)</f>
        <v>124.787078409091</v>
      </c>
      <c r="U2196" s="39" t="n">
        <v>131.02</v>
      </c>
      <c r="V2196" s="39" t="n">
        <f aca="false">J2196*Resumo!$B$6</f>
        <v>0.74695</v>
      </c>
      <c r="W2196" s="39" t="n">
        <f aca="false">J2196*Resumo!$B$7</f>
        <v>1.4939</v>
      </c>
      <c r="X2196" s="39" t="n">
        <f aca="false">Resumo!$B$9</f>
        <v>1</v>
      </c>
      <c r="Y2196" s="39" t="n">
        <f aca="false">Resumo!$B$10*CEILING(I2196/100,1)</f>
        <v>4.5</v>
      </c>
      <c r="Z2196" s="39" t="n">
        <f aca="false">Resumo!$B$12*CEILING(I2196,1)</f>
        <v>4.2</v>
      </c>
      <c r="AA2196" s="39" t="n">
        <f aca="false">Resumo!$B$13*CEILING(I2196,1)</f>
        <v>31.5</v>
      </c>
      <c r="AB2196" s="39" t="n">
        <f aca="false">SUM(U2196:AA2196)</f>
        <v>174.46085</v>
      </c>
      <c r="AC2196" s="39" t="n">
        <f aca="false">AB2196/(1-Resumo!$B$5)</f>
        <v>198.250965909091</v>
      </c>
      <c r="AD2196" s="39" t="n">
        <f aca="false">(AB2196-AA2196)/(1-Resumo!$B$5)</f>
        <v>162.455511363636</v>
      </c>
      <c r="AE2196" s="39" t="n">
        <f aca="false">AC2196-T2196</f>
        <v>73.4638875</v>
      </c>
      <c r="AF2196" s="40" t="n">
        <f aca="false">AC2196/T2196-1</f>
        <v>0.588713899200064</v>
      </c>
      <c r="AG2196" s="37" t="str">
        <f aca="false">IF(AC2196&lt;T2196,"SIM","NÃO")</f>
        <v>NÃO</v>
      </c>
      <c r="AH2196" s="37" t="n">
        <v>8</v>
      </c>
      <c r="AI2196" s="37" t="n">
        <v>5</v>
      </c>
      <c r="AJ2196" s="37" t="s">
        <v>323</v>
      </c>
    </row>
    <row r="2197" customFormat="false" ht="15" hidden="false" customHeight="false" outlineLevel="0" collapsed="false">
      <c r="A2197" s="37" t="n">
        <v>401089775</v>
      </c>
      <c r="B2197" s="38" t="n">
        <v>46294.8849189815</v>
      </c>
      <c r="C2197" s="37" t="s">
        <v>320</v>
      </c>
      <c r="D2197" s="37" t="s">
        <v>2275</v>
      </c>
      <c r="E2197" s="37" t="n">
        <v>21046385</v>
      </c>
      <c r="F2197" s="37" t="s">
        <v>139</v>
      </c>
      <c r="G2197" s="37" t="s">
        <v>198</v>
      </c>
      <c r="H2197" s="37" t="s">
        <v>168</v>
      </c>
      <c r="I2197" s="37" t="n">
        <v>21</v>
      </c>
      <c r="J2197" s="39" t="n">
        <v>379.99</v>
      </c>
      <c r="K2197" s="37" t="s">
        <v>322</v>
      </c>
      <c r="L2197" s="39" t="n">
        <v>82.15</v>
      </c>
      <c r="M2197" s="39" t="n">
        <v>54.1</v>
      </c>
      <c r="N2197" s="39" t="n">
        <f aca="false">J2197*Resumo!$C$7</f>
        <v>0.75998</v>
      </c>
      <c r="O2197" s="39" t="n">
        <f aca="false">J2197*Resumo!$C$8</f>
        <v>0.75998</v>
      </c>
      <c r="P2197" s="39" t="n">
        <f aca="false">Resumo!$C$10*CEILING(I2197/100,1)</f>
        <v>1</v>
      </c>
      <c r="Q2197" s="39" t="n">
        <f aca="false">Resumo!$C$9</f>
        <v>11.9</v>
      </c>
      <c r="R2197" s="39" t="n">
        <f aca="false">SUM(M2197:Q2197)*Resumo!$C$11</f>
        <v>3.7685978</v>
      </c>
      <c r="S2197" s="39" t="n">
        <f aca="false">SUM(M2197:R2197)</f>
        <v>72.2885578</v>
      </c>
      <c r="T2197" s="39" t="n">
        <f aca="false">S2197/(1-Resumo!$C$5)</f>
        <v>82.1460884090909</v>
      </c>
      <c r="U2197" s="39" t="n">
        <v>82.21</v>
      </c>
      <c r="V2197" s="39" t="n">
        <f aca="false">J2197*Resumo!$B$6</f>
        <v>0.37999</v>
      </c>
      <c r="W2197" s="39" t="n">
        <f aca="false">J2197*Resumo!$B$7</f>
        <v>0.75998</v>
      </c>
      <c r="X2197" s="39" t="n">
        <f aca="false">Resumo!$B$9</f>
        <v>1</v>
      </c>
      <c r="Y2197" s="39" t="n">
        <f aca="false">Resumo!$B$10*CEILING(I2197/100,1)</f>
        <v>4.5</v>
      </c>
      <c r="Z2197" s="39" t="n">
        <f aca="false">Resumo!$B$12*CEILING(I2197,1)</f>
        <v>1.26</v>
      </c>
      <c r="AA2197" s="39" t="n">
        <f aca="false">Resumo!$B$13*CEILING(I2197,1)</f>
        <v>9.45</v>
      </c>
      <c r="AB2197" s="39" t="n">
        <f aca="false">SUM(U2197:AA2197)</f>
        <v>99.55997</v>
      </c>
      <c r="AC2197" s="39" t="n">
        <f aca="false">AB2197/(1-Resumo!$B$5)</f>
        <v>113.136329545455</v>
      </c>
      <c r="AD2197" s="39" t="n">
        <f aca="false">(AB2197-AA2197)/(1-Resumo!$B$5)</f>
        <v>102.397693181818</v>
      </c>
      <c r="AE2197" s="39" t="n">
        <f aca="false">AC2197-T2197</f>
        <v>30.9902411363637</v>
      </c>
      <c r="AF2197" s="40" t="n">
        <f aca="false">AC2197/T2197-1</f>
        <v>0.377257660547767</v>
      </c>
      <c r="AG2197" s="37" t="str">
        <f aca="false">IF(AC2197&lt;T2197,"SIM","NÃO")</f>
        <v>NÃO</v>
      </c>
      <c r="AH2197" s="37" t="n">
        <v>8</v>
      </c>
      <c r="AI2197" s="37" t="n">
        <v>5</v>
      </c>
      <c r="AJ2197" s="37" t="s">
        <v>323</v>
      </c>
    </row>
    <row r="2198" customFormat="false" ht="15" hidden="false" customHeight="false" outlineLevel="0" collapsed="false">
      <c r="A2198" s="37" t="n">
        <v>401115211</v>
      </c>
      <c r="B2198" s="38" t="n">
        <v>46294.9183101852</v>
      </c>
      <c r="C2198" s="37" t="s">
        <v>320</v>
      </c>
      <c r="D2198" s="37" t="s">
        <v>2276</v>
      </c>
      <c r="E2198" s="37" t="n">
        <v>23017000</v>
      </c>
      <c r="F2198" s="37" t="s">
        <v>139</v>
      </c>
      <c r="G2198" s="37" t="s">
        <v>198</v>
      </c>
      <c r="H2198" s="37" t="s">
        <v>175</v>
      </c>
      <c r="I2198" s="37" t="n">
        <v>117</v>
      </c>
      <c r="J2198" s="39" t="n">
        <v>1163.99</v>
      </c>
      <c r="K2198" s="37" t="s">
        <v>322</v>
      </c>
      <c r="L2198" s="39" t="n">
        <v>185.23</v>
      </c>
      <c r="M2198" s="39" t="n">
        <v>135.94</v>
      </c>
      <c r="N2198" s="39" t="n">
        <f aca="false">J2198*Resumo!$C$7</f>
        <v>2.32798</v>
      </c>
      <c r="O2198" s="39" t="n">
        <f aca="false">J2198*Resumo!$C$8</f>
        <v>2.32798</v>
      </c>
      <c r="P2198" s="39" t="n">
        <f aca="false">Resumo!$C$10*CEILING(I2198/100,1)</f>
        <v>2</v>
      </c>
      <c r="Q2198" s="39" t="n">
        <f aca="false">Resumo!$C$9</f>
        <v>11.9</v>
      </c>
      <c r="R2198" s="39" t="n">
        <f aca="false">SUM(M2198:Q2198)*Resumo!$C$11</f>
        <v>8.4972778</v>
      </c>
      <c r="S2198" s="39" t="n">
        <f aca="false">SUM(M2198:R2198)</f>
        <v>162.9932378</v>
      </c>
      <c r="T2198" s="39" t="n">
        <f aca="false">S2198/(1-Resumo!$C$5)</f>
        <v>185.219588409091</v>
      </c>
      <c r="U2198" s="39" t="n">
        <v>201.59</v>
      </c>
      <c r="V2198" s="39" t="n">
        <f aca="false">J2198*Resumo!$B$6</f>
        <v>1.16399</v>
      </c>
      <c r="W2198" s="39" t="n">
        <f aca="false">J2198*Resumo!$B$7</f>
        <v>2.32798</v>
      </c>
      <c r="X2198" s="39" t="n">
        <f aca="false">Resumo!$B$9</f>
        <v>1</v>
      </c>
      <c r="Y2198" s="39" t="n">
        <f aca="false">Resumo!$B$10*CEILING(I2198/100,1)</f>
        <v>9</v>
      </c>
      <c r="Z2198" s="39" t="n">
        <f aca="false">Resumo!$B$12*CEILING(I2198,1)</f>
        <v>7.02</v>
      </c>
      <c r="AA2198" s="39" t="n">
        <f aca="false">Resumo!$B$13*CEILING(I2198,1)</f>
        <v>52.65</v>
      </c>
      <c r="AB2198" s="39" t="n">
        <f aca="false">SUM(U2198:AA2198)</f>
        <v>274.75197</v>
      </c>
      <c r="AC2198" s="39" t="n">
        <f aca="false">AB2198/(1-Resumo!$B$5)</f>
        <v>312.218147727273</v>
      </c>
      <c r="AD2198" s="39" t="n">
        <f aca="false">(AB2198-AA2198)/(1-Resumo!$B$5)</f>
        <v>252.388602272727</v>
      </c>
      <c r="AE2198" s="39" t="n">
        <f aca="false">AC2198-T2198</f>
        <v>126.998559318182</v>
      </c>
      <c r="AF2198" s="40" t="n">
        <f aca="false">AC2198/T2198-1</f>
        <v>0.685664839280836</v>
      </c>
      <c r="AG2198" s="37" t="str">
        <f aca="false">IF(AC2198&lt;T2198,"SIM","NÃO")</f>
        <v>NÃO</v>
      </c>
      <c r="AH2198" s="37" t="n">
        <v>8</v>
      </c>
      <c r="AI2198" s="37" t="n">
        <v>5</v>
      </c>
      <c r="AJ2198" s="37" t="s">
        <v>323</v>
      </c>
    </row>
    <row r="2199" customFormat="false" ht="15" hidden="false" customHeight="false" outlineLevel="0" collapsed="false">
      <c r="A2199" s="37" t="n">
        <v>401121692</v>
      </c>
      <c r="B2199" s="38" t="n">
        <v>46294.9272800926</v>
      </c>
      <c r="C2199" s="37" t="s">
        <v>320</v>
      </c>
      <c r="D2199" s="37" t="s">
        <v>2277</v>
      </c>
      <c r="E2199" s="37" t="n">
        <v>21511000</v>
      </c>
      <c r="F2199" s="37" t="s">
        <v>139</v>
      </c>
      <c r="G2199" s="37" t="s">
        <v>198</v>
      </c>
      <c r="H2199" s="37" t="s">
        <v>168</v>
      </c>
      <c r="I2199" s="37" t="n">
        <v>33</v>
      </c>
      <c r="J2199" s="39" t="n">
        <v>348.23</v>
      </c>
      <c r="K2199" s="37" t="s">
        <v>322</v>
      </c>
      <c r="L2199" s="39" t="n">
        <v>82</v>
      </c>
      <c r="M2199" s="39" t="n">
        <v>54.1</v>
      </c>
      <c r="N2199" s="39" t="n">
        <f aca="false">J2199*Resumo!$C$7</f>
        <v>0.69646</v>
      </c>
      <c r="O2199" s="39" t="n">
        <f aca="false">J2199*Resumo!$C$8</f>
        <v>0.69646</v>
      </c>
      <c r="P2199" s="39" t="n">
        <f aca="false">Resumo!$C$10*CEILING(I2199/100,1)</f>
        <v>1</v>
      </c>
      <c r="Q2199" s="39" t="n">
        <f aca="false">Resumo!$C$9</f>
        <v>11.9</v>
      </c>
      <c r="R2199" s="39" t="n">
        <f aca="false">SUM(M2199:Q2199)*Resumo!$C$11</f>
        <v>3.7616106</v>
      </c>
      <c r="S2199" s="39" t="n">
        <f aca="false">SUM(M2199:R2199)</f>
        <v>72.1545306</v>
      </c>
      <c r="T2199" s="39" t="n">
        <f aca="false">S2199/(1-Resumo!$C$5)</f>
        <v>81.9937847727273</v>
      </c>
      <c r="U2199" s="39" t="n">
        <v>82.21</v>
      </c>
      <c r="V2199" s="39" t="n">
        <f aca="false">J2199*Resumo!$B$6</f>
        <v>0.34823</v>
      </c>
      <c r="W2199" s="39" t="n">
        <f aca="false">J2199*Resumo!$B$7</f>
        <v>0.69646</v>
      </c>
      <c r="X2199" s="39" t="n">
        <f aca="false">Resumo!$B$9</f>
        <v>1</v>
      </c>
      <c r="Y2199" s="39" t="n">
        <f aca="false">Resumo!$B$10*CEILING(I2199/100,1)</f>
        <v>4.5</v>
      </c>
      <c r="Z2199" s="39" t="n">
        <f aca="false">Resumo!$B$12*CEILING(I2199,1)</f>
        <v>1.98</v>
      </c>
      <c r="AA2199" s="39" t="n">
        <f aca="false">Resumo!$B$13*CEILING(I2199,1)</f>
        <v>14.85</v>
      </c>
      <c r="AB2199" s="39" t="n">
        <f aca="false">SUM(U2199:AA2199)</f>
        <v>105.58469</v>
      </c>
      <c r="AC2199" s="39" t="n">
        <f aca="false">AB2199/(1-Resumo!$B$5)</f>
        <v>119.982602272727</v>
      </c>
      <c r="AD2199" s="39" t="n">
        <f aca="false">(AB2199-AA2199)/(1-Resumo!$B$5)</f>
        <v>103.107602272727</v>
      </c>
      <c r="AE2199" s="39" t="n">
        <f aca="false">AC2199-T2199</f>
        <v>37.9888175</v>
      </c>
      <c r="AF2199" s="40" t="n">
        <f aca="false">AC2199/T2199-1</f>
        <v>0.463313379243299</v>
      </c>
      <c r="AG2199" s="37" t="str">
        <f aca="false">IF(AC2199&lt;T2199,"SIM","NÃO")</f>
        <v>NÃO</v>
      </c>
      <c r="AH2199" s="37" t="n">
        <v>8</v>
      </c>
      <c r="AI2199" s="37" t="n">
        <v>5</v>
      </c>
      <c r="AJ2199" s="37" t="s">
        <v>323</v>
      </c>
    </row>
    <row r="2200" customFormat="false" ht="15" hidden="false" customHeight="false" outlineLevel="0" collapsed="false">
      <c r="A2200" s="37" t="n">
        <v>401199175</v>
      </c>
      <c r="B2200" s="38" t="n">
        <v>46295.0512847222</v>
      </c>
      <c r="C2200" s="37" t="s">
        <v>325</v>
      </c>
      <c r="D2200" s="37" t="s">
        <v>2278</v>
      </c>
      <c r="E2200" s="37" t="n">
        <v>21540660</v>
      </c>
      <c r="F2200" s="37" t="s">
        <v>139</v>
      </c>
      <c r="G2200" s="37" t="s">
        <v>198</v>
      </c>
      <c r="H2200" s="37" t="s">
        <v>170</v>
      </c>
      <c r="I2200" s="37" t="n">
        <v>46.8</v>
      </c>
      <c r="J2200" s="39" t="n">
        <v>541.49</v>
      </c>
      <c r="K2200" s="37" t="s">
        <v>322</v>
      </c>
      <c r="L2200" s="39" t="n">
        <v>103.17</v>
      </c>
      <c r="M2200" s="39" t="n">
        <v>71</v>
      </c>
      <c r="N2200" s="39" t="n">
        <f aca="false">J2200*Resumo!$C$7</f>
        <v>1.08298</v>
      </c>
      <c r="O2200" s="39" t="n">
        <f aca="false">J2200*Resumo!$C$8</f>
        <v>1.08298</v>
      </c>
      <c r="P2200" s="39" t="n">
        <f aca="false">Resumo!$C$10*CEILING(I2200/100,1)</f>
        <v>1</v>
      </c>
      <c r="Q2200" s="39" t="n">
        <f aca="false">Resumo!$C$9</f>
        <v>11.9</v>
      </c>
      <c r="R2200" s="39" t="n">
        <f aca="false">SUM(M2200:Q2200)*Resumo!$C$11</f>
        <v>4.7336278</v>
      </c>
      <c r="S2200" s="39" t="n">
        <f aca="false">SUM(M2200:R2200)</f>
        <v>90.7995878</v>
      </c>
      <c r="T2200" s="39" t="n">
        <f aca="false">S2200/(1-Resumo!$C$5)</f>
        <v>103.181349772727</v>
      </c>
      <c r="U2200" s="39" t="n">
        <v>93.97</v>
      </c>
      <c r="V2200" s="39" t="n">
        <f aca="false">J2200*Resumo!$B$6</f>
        <v>0.54149</v>
      </c>
      <c r="W2200" s="39" t="n">
        <f aca="false">J2200*Resumo!$B$7</f>
        <v>1.08298</v>
      </c>
      <c r="X2200" s="39" t="n">
        <f aca="false">Resumo!$B$9</f>
        <v>1</v>
      </c>
      <c r="Y2200" s="39" t="n">
        <f aca="false">Resumo!$B$10*CEILING(I2200/100,1)</f>
        <v>4.5</v>
      </c>
      <c r="Z2200" s="39" t="n">
        <f aca="false">Resumo!$B$12*CEILING(I2200,1)</f>
        <v>2.82</v>
      </c>
      <c r="AA2200" s="39" t="n">
        <f aca="false">Resumo!$B$13*CEILING(I2200,1)</f>
        <v>21.15</v>
      </c>
      <c r="AB2200" s="39" t="n">
        <f aca="false">SUM(U2200:AA2200)</f>
        <v>125.06447</v>
      </c>
      <c r="AC2200" s="39" t="n">
        <f aca="false">AB2200/(1-Resumo!$B$5)</f>
        <v>142.118715909091</v>
      </c>
      <c r="AD2200" s="39" t="n">
        <f aca="false">(AB2200-AA2200)/(1-Resumo!$B$5)</f>
        <v>118.084625</v>
      </c>
      <c r="AE2200" s="39" t="n">
        <f aca="false">AC2200-T2200</f>
        <v>38.9373661363636</v>
      </c>
      <c r="AF2200" s="40" t="n">
        <f aca="false">AC2200/T2200-1</f>
        <v>0.377368257171758</v>
      </c>
      <c r="AG2200" s="37" t="str">
        <f aca="false">IF(AC2200&lt;T2200,"SIM","NÃO")</f>
        <v>NÃO</v>
      </c>
      <c r="AH2200" s="37" t="n">
        <v>8</v>
      </c>
      <c r="AI2200" s="37" t="n">
        <v>5</v>
      </c>
      <c r="AJ2200" s="37" t="s">
        <v>323</v>
      </c>
    </row>
    <row r="2201" customFormat="false" ht="15" hidden="false" customHeight="false" outlineLevel="0" collapsed="false">
      <c r="A2201" s="37" t="n">
        <v>401359146</v>
      </c>
      <c r="B2201" s="38" t="n">
        <v>46295.309224537</v>
      </c>
      <c r="C2201" s="37" t="s">
        <v>517</v>
      </c>
      <c r="D2201" s="37" t="s">
        <v>2279</v>
      </c>
      <c r="E2201" s="37" t="n">
        <v>20941150</v>
      </c>
      <c r="F2201" s="37" t="s">
        <v>139</v>
      </c>
      <c r="G2201" s="37" t="s">
        <v>198</v>
      </c>
      <c r="H2201" s="37" t="s">
        <v>168</v>
      </c>
      <c r="I2201" s="37" t="n">
        <v>23.8</v>
      </c>
      <c r="J2201" s="39" t="n">
        <v>1971.99</v>
      </c>
      <c r="K2201" s="37" t="s">
        <v>322</v>
      </c>
      <c r="L2201" s="39" t="n">
        <v>89.77</v>
      </c>
      <c r="M2201" s="39" t="n">
        <v>54.1</v>
      </c>
      <c r="N2201" s="39" t="n">
        <f aca="false">J2201*Resumo!$C$7</f>
        <v>3.94398</v>
      </c>
      <c r="O2201" s="39" t="n">
        <f aca="false">J2201*Resumo!$C$8</f>
        <v>3.94398</v>
      </c>
      <c r="P2201" s="39" t="n">
        <f aca="false">Resumo!$C$10*CEILING(I2201/100,1)</f>
        <v>1</v>
      </c>
      <c r="Q2201" s="39" t="n">
        <f aca="false">Resumo!$C$9</f>
        <v>11.9</v>
      </c>
      <c r="R2201" s="39" t="n">
        <f aca="false">SUM(M2201:Q2201)*Resumo!$C$11</f>
        <v>4.1188378</v>
      </c>
      <c r="S2201" s="39" t="n">
        <f aca="false">SUM(M2201:R2201)</f>
        <v>79.0067978</v>
      </c>
      <c r="T2201" s="39" t="n">
        <f aca="false">S2201/(1-Resumo!$C$5)</f>
        <v>89.7804520454546</v>
      </c>
      <c r="U2201" s="39" t="n">
        <v>82.21</v>
      </c>
      <c r="V2201" s="39" t="n">
        <f aca="false">J2201*Resumo!$B$6</f>
        <v>1.97199</v>
      </c>
      <c r="W2201" s="39" t="n">
        <f aca="false">J2201*Resumo!$B$7</f>
        <v>3.94398</v>
      </c>
      <c r="X2201" s="39" t="n">
        <f aca="false">Resumo!$B$9</f>
        <v>1</v>
      </c>
      <c r="Y2201" s="39" t="n">
        <f aca="false">Resumo!$B$10*CEILING(I2201/100,1)</f>
        <v>4.5</v>
      </c>
      <c r="Z2201" s="39" t="n">
        <f aca="false">Resumo!$B$12*CEILING(I2201,1)</f>
        <v>1.44</v>
      </c>
      <c r="AA2201" s="39" t="n">
        <f aca="false">Resumo!$B$13*CEILING(I2201,1)</f>
        <v>10.8</v>
      </c>
      <c r="AB2201" s="39" t="n">
        <f aca="false">SUM(U2201:AA2201)</f>
        <v>105.86597</v>
      </c>
      <c r="AC2201" s="39" t="n">
        <f aca="false">AB2201/(1-Resumo!$B$5)</f>
        <v>120.302238636364</v>
      </c>
      <c r="AD2201" s="39" t="n">
        <f aca="false">(AB2201-AA2201)/(1-Resumo!$B$5)</f>
        <v>108.029511363636</v>
      </c>
      <c r="AE2201" s="39" t="n">
        <f aca="false">AC2201-T2201</f>
        <v>30.5217865909091</v>
      </c>
      <c r="AF2201" s="40" t="n">
        <f aca="false">AC2201/T2201-1</f>
        <v>0.33996026858337</v>
      </c>
      <c r="AG2201" s="37" t="str">
        <f aca="false">IF(AC2201&lt;T2201,"SIM","NÃO")</f>
        <v>NÃO</v>
      </c>
      <c r="AH2201" s="37" t="n">
        <v>8</v>
      </c>
      <c r="AI2201" s="37" t="n">
        <v>5</v>
      </c>
      <c r="AJ2201" s="37" t="s">
        <v>323</v>
      </c>
    </row>
    <row r="2202" customFormat="false" ht="15" hidden="false" customHeight="false" outlineLevel="0" collapsed="false">
      <c r="A2202" s="37" t="n">
        <v>401347735</v>
      </c>
      <c r="B2202" s="38" t="n">
        <v>46295.3110300926</v>
      </c>
      <c r="C2202" s="37" t="s">
        <v>325</v>
      </c>
      <c r="D2202" s="37" t="s">
        <v>2280</v>
      </c>
      <c r="E2202" s="37" t="n">
        <v>22743470</v>
      </c>
      <c r="F2202" s="37" t="s">
        <v>139</v>
      </c>
      <c r="G2202" s="37" t="s">
        <v>198</v>
      </c>
      <c r="H2202" s="37" t="s">
        <v>172</v>
      </c>
      <c r="I2202" s="37" t="n">
        <v>69.15</v>
      </c>
      <c r="J2202" s="39" t="n">
        <v>717.6</v>
      </c>
      <c r="K2202" s="37" t="s">
        <v>322</v>
      </c>
      <c r="L2202" s="39" t="n">
        <v>124.66</v>
      </c>
      <c r="M2202" s="39" t="n">
        <v>88.2</v>
      </c>
      <c r="N2202" s="39" t="n">
        <f aca="false">J2202*Resumo!$C$7</f>
        <v>1.4352</v>
      </c>
      <c r="O2202" s="39" t="n">
        <f aca="false">J2202*Resumo!$C$8</f>
        <v>1.4352</v>
      </c>
      <c r="P2202" s="39" t="n">
        <f aca="false">Resumo!$C$10*CEILING(I2202/100,1)</f>
        <v>1</v>
      </c>
      <c r="Q2202" s="39" t="n">
        <f aca="false">Resumo!$C$9</f>
        <v>11.9</v>
      </c>
      <c r="R2202" s="39" t="n">
        <f aca="false">SUM(M2202:Q2202)*Resumo!$C$11</f>
        <v>5.718372</v>
      </c>
      <c r="S2202" s="39" t="n">
        <f aca="false">SUM(M2202:R2202)</f>
        <v>109.688772</v>
      </c>
      <c r="T2202" s="39" t="n">
        <f aca="false">S2202/(1-Resumo!$C$5)</f>
        <v>124.646331818182</v>
      </c>
      <c r="U2202" s="39" t="n">
        <v>131.02</v>
      </c>
      <c r="V2202" s="39" t="n">
        <f aca="false">J2202*Resumo!$B$6</f>
        <v>0.7176</v>
      </c>
      <c r="W2202" s="39" t="n">
        <f aca="false">J2202*Resumo!$B$7</f>
        <v>1.4352</v>
      </c>
      <c r="X2202" s="39" t="n">
        <f aca="false">Resumo!$B$9</f>
        <v>1</v>
      </c>
      <c r="Y2202" s="39" t="n">
        <f aca="false">Resumo!$B$10*CEILING(I2202/100,1)</f>
        <v>4.5</v>
      </c>
      <c r="Z2202" s="39" t="n">
        <f aca="false">Resumo!$B$12*CEILING(I2202,1)</f>
        <v>4.2</v>
      </c>
      <c r="AA2202" s="39" t="n">
        <f aca="false">Resumo!$B$13*CEILING(I2202,1)</f>
        <v>31.5</v>
      </c>
      <c r="AB2202" s="39" t="n">
        <f aca="false">SUM(U2202:AA2202)</f>
        <v>174.3728</v>
      </c>
      <c r="AC2202" s="39" t="n">
        <f aca="false">AB2202/(1-Resumo!$B$5)</f>
        <v>198.150909090909</v>
      </c>
      <c r="AD2202" s="39" t="n">
        <f aca="false">(AB2202-AA2202)/(1-Resumo!$B$5)</f>
        <v>162.355454545455</v>
      </c>
      <c r="AE2202" s="39" t="n">
        <f aca="false">AC2202-T2202</f>
        <v>73.5045772727273</v>
      </c>
      <c r="AF2202" s="40" t="n">
        <f aca="false">AC2202/T2202-1</f>
        <v>0.58970509761929</v>
      </c>
      <c r="AG2202" s="37" t="str">
        <f aca="false">IF(AC2202&lt;T2202,"SIM","NÃO")</f>
        <v>NÃO</v>
      </c>
      <c r="AH2202" s="37" t="n">
        <v>8</v>
      </c>
      <c r="AI2202" s="37" t="n">
        <v>5</v>
      </c>
      <c r="AJ2202" s="37" t="s">
        <v>323</v>
      </c>
    </row>
    <row r="2203" customFormat="false" ht="15" hidden="false" customHeight="false" outlineLevel="0" collapsed="false">
      <c r="A2203" s="37" t="n">
        <v>401358466</v>
      </c>
      <c r="B2203" s="38" t="n">
        <v>46295.311400463</v>
      </c>
      <c r="C2203" s="37" t="s">
        <v>517</v>
      </c>
      <c r="D2203" s="37" t="s">
        <v>2281</v>
      </c>
      <c r="E2203" s="37" t="n">
        <v>22793060</v>
      </c>
      <c r="F2203" s="37" t="s">
        <v>139</v>
      </c>
      <c r="G2203" s="37" t="s">
        <v>198</v>
      </c>
      <c r="H2203" s="37" t="s">
        <v>169</v>
      </c>
      <c r="I2203" s="37" t="n">
        <v>36.8</v>
      </c>
      <c r="J2203" s="39" t="n">
        <v>449.99</v>
      </c>
      <c r="K2203" s="37" t="s">
        <v>322</v>
      </c>
      <c r="L2203" s="39" t="n">
        <v>92.01</v>
      </c>
      <c r="M2203" s="39" t="n">
        <v>62.05</v>
      </c>
      <c r="N2203" s="39" t="n">
        <f aca="false">J2203*Resumo!$C$7</f>
        <v>0.89998</v>
      </c>
      <c r="O2203" s="39" t="n">
        <f aca="false">J2203*Resumo!$C$8</f>
        <v>0.89998</v>
      </c>
      <c r="P2203" s="39" t="n">
        <f aca="false">Resumo!$C$10*CEILING(I2203/100,1)</f>
        <v>1</v>
      </c>
      <c r="Q2203" s="39" t="n">
        <f aca="false">Resumo!$C$9</f>
        <v>11.9</v>
      </c>
      <c r="R2203" s="39" t="n">
        <f aca="false">SUM(M2203:Q2203)*Resumo!$C$11</f>
        <v>4.2212478</v>
      </c>
      <c r="S2203" s="39" t="n">
        <f aca="false">SUM(M2203:R2203)</f>
        <v>80.9712078</v>
      </c>
      <c r="T2203" s="39" t="n">
        <f aca="false">S2203/(1-Resumo!$C$5)</f>
        <v>92.0127361363636</v>
      </c>
      <c r="U2203" s="39" t="n">
        <v>93.97</v>
      </c>
      <c r="V2203" s="39" t="n">
        <f aca="false">J2203*Resumo!$B$6</f>
        <v>0.44999</v>
      </c>
      <c r="W2203" s="39" t="n">
        <f aca="false">J2203*Resumo!$B$7</f>
        <v>0.89998</v>
      </c>
      <c r="X2203" s="39" t="n">
        <f aca="false">Resumo!$B$9</f>
        <v>1</v>
      </c>
      <c r="Y2203" s="39" t="n">
        <f aca="false">Resumo!$B$10*CEILING(I2203/100,1)</f>
        <v>4.5</v>
      </c>
      <c r="Z2203" s="39" t="n">
        <f aca="false">Resumo!$B$12*CEILING(I2203,1)</f>
        <v>2.22</v>
      </c>
      <c r="AA2203" s="39" t="n">
        <f aca="false">Resumo!$B$13*CEILING(I2203,1)</f>
        <v>16.65</v>
      </c>
      <c r="AB2203" s="39" t="n">
        <f aca="false">SUM(U2203:AA2203)</f>
        <v>119.68997</v>
      </c>
      <c r="AC2203" s="39" t="n">
        <f aca="false">AB2203/(1-Resumo!$B$5)</f>
        <v>136.011329545455</v>
      </c>
      <c r="AD2203" s="39" t="n">
        <f aca="false">(AB2203-AA2203)/(1-Resumo!$B$5)</f>
        <v>117.090875</v>
      </c>
      <c r="AE2203" s="39" t="n">
        <f aca="false">AC2203-T2203</f>
        <v>43.9985934090909</v>
      </c>
      <c r="AF2203" s="40" t="n">
        <f aca="false">AC2203/T2203-1</f>
        <v>0.478179383165876</v>
      </c>
      <c r="AG2203" s="37" t="str">
        <f aca="false">IF(AC2203&lt;T2203,"SIM","NÃO")</f>
        <v>NÃO</v>
      </c>
      <c r="AH2203" s="37" t="n">
        <v>8</v>
      </c>
      <c r="AI2203" s="37" t="n">
        <v>5</v>
      </c>
      <c r="AJ2203" s="37" t="s">
        <v>323</v>
      </c>
    </row>
    <row r="2204" customFormat="false" ht="15" hidden="false" customHeight="false" outlineLevel="0" collapsed="false">
      <c r="A2204" s="37" t="n">
        <v>401351650</v>
      </c>
      <c r="B2204" s="38" t="n">
        <v>46295.3174074074</v>
      </c>
      <c r="C2204" s="37" t="s">
        <v>320</v>
      </c>
      <c r="D2204" s="37" t="s">
        <v>2282</v>
      </c>
      <c r="E2204" s="37" t="n">
        <v>28020889</v>
      </c>
      <c r="F2204" s="37" t="s">
        <v>144</v>
      </c>
      <c r="G2204" s="37" t="s">
        <v>201</v>
      </c>
      <c r="H2204" s="37" t="s">
        <v>172</v>
      </c>
      <c r="I2204" s="37" t="n">
        <v>66.8</v>
      </c>
      <c r="J2204" s="39" t="n">
        <v>719.99</v>
      </c>
      <c r="K2204" s="37" t="s">
        <v>322</v>
      </c>
      <c r="L2204" s="39" t="n">
        <v>155.47</v>
      </c>
      <c r="M2204" s="39" t="n">
        <v>113.9</v>
      </c>
      <c r="N2204" s="39" t="n">
        <f aca="false">J2204*Resumo!$C$7</f>
        <v>1.43998</v>
      </c>
      <c r="O2204" s="39" t="n">
        <f aca="false">J2204*Resumo!$C$8</f>
        <v>1.43998</v>
      </c>
      <c r="P2204" s="39" t="n">
        <f aca="false">Resumo!$C$10*CEILING(I2204/100,1)</f>
        <v>1</v>
      </c>
      <c r="Q2204" s="39" t="n">
        <f aca="false">Resumo!$C$9</f>
        <v>11.9</v>
      </c>
      <c r="R2204" s="39" t="n">
        <f aca="false">SUM(M2204:Q2204)*Resumo!$C$11</f>
        <v>7.1323978</v>
      </c>
      <c r="S2204" s="39" t="n">
        <f aca="false">SUM(M2204:R2204)</f>
        <v>136.8123578</v>
      </c>
      <c r="T2204" s="39" t="n">
        <f aca="false">S2204/(1-Resumo!$C$5)</f>
        <v>155.468588409091</v>
      </c>
      <c r="U2204" s="39" t="n">
        <v>171.54</v>
      </c>
      <c r="V2204" s="39" t="n">
        <f aca="false">J2204*Resumo!$B$6</f>
        <v>0.71999</v>
      </c>
      <c r="W2204" s="39" t="n">
        <f aca="false">J2204*Resumo!$B$7</f>
        <v>1.43998</v>
      </c>
      <c r="X2204" s="39" t="n">
        <f aca="false">Resumo!$B$9</f>
        <v>1</v>
      </c>
      <c r="Y2204" s="39" t="n">
        <f aca="false">Resumo!$B$10*CEILING(I2204/100,1)</f>
        <v>4.5</v>
      </c>
      <c r="Z2204" s="39" t="n">
        <f aca="false">Resumo!$B$12*CEILING(I2204,1)</f>
        <v>4.02</v>
      </c>
      <c r="AA2204" s="39" t="n">
        <f aca="false">Resumo!$B$13*CEILING(I2204,1)</f>
        <v>30.15</v>
      </c>
      <c r="AB2204" s="39" t="n">
        <f aca="false">SUM(U2204:AA2204)</f>
        <v>213.36997</v>
      </c>
      <c r="AC2204" s="39" t="n">
        <f aca="false">AB2204/(1-Resumo!$B$5)</f>
        <v>242.465875</v>
      </c>
      <c r="AD2204" s="39" t="n">
        <f aca="false">(AB2204-AA2204)/(1-Resumo!$B$5)</f>
        <v>208.204511363636</v>
      </c>
      <c r="AE2204" s="39" t="n">
        <f aca="false">AC2204-T2204</f>
        <v>86.9972865909091</v>
      </c>
      <c r="AF2204" s="40" t="n">
        <f aca="false">AC2204/T2204-1</f>
        <v>0.559581118482851</v>
      </c>
      <c r="AG2204" s="37" t="str">
        <f aca="false">IF(AC2204&lt;T2204,"SIM","NÃO")</f>
        <v>NÃO</v>
      </c>
      <c r="AH2204" s="37" t="n">
        <v>13</v>
      </c>
      <c r="AI2204" s="37" t="n">
        <v>11</v>
      </c>
      <c r="AJ2204" s="37" t="s">
        <v>323</v>
      </c>
    </row>
    <row r="2205" customFormat="false" ht="15" hidden="false" customHeight="false" outlineLevel="0" collapsed="false">
      <c r="A2205" s="37" t="n">
        <v>401383452</v>
      </c>
      <c r="B2205" s="38" t="n">
        <v>46295.3723032407</v>
      </c>
      <c r="C2205" s="37" t="s">
        <v>341</v>
      </c>
      <c r="D2205" s="37" t="s">
        <v>2283</v>
      </c>
      <c r="E2205" s="37" t="n">
        <v>25060210</v>
      </c>
      <c r="F2205" s="37" t="s">
        <v>141</v>
      </c>
      <c r="G2205" s="37" t="s">
        <v>207</v>
      </c>
      <c r="H2205" s="37" t="s">
        <v>170</v>
      </c>
      <c r="I2205" s="37" t="n">
        <v>41.4</v>
      </c>
      <c r="J2205" s="39" t="n">
        <v>499.99</v>
      </c>
      <c r="K2205" s="37" t="s">
        <v>322</v>
      </c>
      <c r="L2205" s="39" t="n">
        <v>116.47</v>
      </c>
      <c r="M2205" s="39" t="n">
        <v>82.25</v>
      </c>
      <c r="N2205" s="39" t="n">
        <f aca="false">J2205*Resumo!$C$7</f>
        <v>0.99998</v>
      </c>
      <c r="O2205" s="39" t="n">
        <f aca="false">J2205*Resumo!$C$8</f>
        <v>0.99998</v>
      </c>
      <c r="P2205" s="39" t="n">
        <f aca="false">Resumo!$C$10*CEILING(I2205/100,1)</f>
        <v>1</v>
      </c>
      <c r="Q2205" s="39" t="n">
        <f aca="false">Resumo!$C$9</f>
        <v>11.9</v>
      </c>
      <c r="R2205" s="39" t="n">
        <f aca="false">SUM(M2205:Q2205)*Resumo!$C$11</f>
        <v>5.3432478</v>
      </c>
      <c r="S2205" s="39" t="n">
        <f aca="false">SUM(M2205:R2205)</f>
        <v>102.4932078</v>
      </c>
      <c r="T2205" s="39" t="n">
        <f aca="false">S2205/(1-Resumo!$C$5)</f>
        <v>116.469554318182</v>
      </c>
      <c r="U2205" s="39" t="n">
        <v>93.97</v>
      </c>
      <c r="V2205" s="39" t="n">
        <f aca="false">J2205*Resumo!$B$6</f>
        <v>0.49999</v>
      </c>
      <c r="W2205" s="39" t="n">
        <f aca="false">J2205*Resumo!$B$7</f>
        <v>0.99998</v>
      </c>
      <c r="X2205" s="39" t="n">
        <f aca="false">Resumo!$B$9</f>
        <v>1</v>
      </c>
      <c r="Y2205" s="39" t="n">
        <f aca="false">Resumo!$B$10*CEILING(I2205/100,1)</f>
        <v>4.5</v>
      </c>
      <c r="Z2205" s="39" t="n">
        <f aca="false">Resumo!$B$12*CEILING(I2205,1)</f>
        <v>2.52</v>
      </c>
      <c r="AA2205" s="39" t="n">
        <f aca="false">Resumo!$B$13*CEILING(I2205,1)</f>
        <v>18.9</v>
      </c>
      <c r="AB2205" s="39" t="n">
        <f aca="false">SUM(U2205:AA2205)</f>
        <v>122.38997</v>
      </c>
      <c r="AC2205" s="39" t="n">
        <f aca="false">AB2205/(1-Resumo!$B$5)</f>
        <v>139.079511363636</v>
      </c>
      <c r="AD2205" s="39" t="n">
        <f aca="false">(AB2205-AA2205)/(1-Resumo!$B$5)</f>
        <v>117.602238636364</v>
      </c>
      <c r="AE2205" s="39" t="n">
        <f aca="false">AC2205-T2205</f>
        <v>22.6099570454545</v>
      </c>
      <c r="AF2205" s="40" t="n">
        <f aca="false">AC2205/T2205-1</f>
        <v>0.194127617108302</v>
      </c>
      <c r="AG2205" s="37" t="str">
        <f aca="false">IF(AC2205&lt;T2205,"SIM","NÃO")</f>
        <v>NÃO</v>
      </c>
      <c r="AH2205" s="37" t="n">
        <v>10</v>
      </c>
      <c r="AI2205" s="37" t="n">
        <v>5</v>
      </c>
      <c r="AJ2205" s="37" t="s">
        <v>323</v>
      </c>
    </row>
    <row r="2206" customFormat="false" ht="15" hidden="false" customHeight="false" outlineLevel="0" collapsed="false">
      <c r="A2206" s="37" t="n">
        <v>401416024</v>
      </c>
      <c r="B2206" s="38" t="n">
        <v>46295.3983101852</v>
      </c>
      <c r="C2206" s="37" t="s">
        <v>517</v>
      </c>
      <c r="D2206" s="37" t="s">
        <v>2284</v>
      </c>
      <c r="E2206" s="37" t="n">
        <v>26313400</v>
      </c>
      <c r="F2206" s="37" t="s">
        <v>222</v>
      </c>
      <c r="G2206" s="37" t="s">
        <v>207</v>
      </c>
      <c r="H2206" s="37" t="s">
        <v>170</v>
      </c>
      <c r="I2206" s="37" t="n">
        <v>46.8</v>
      </c>
      <c r="J2206" s="39" t="n">
        <v>539.99</v>
      </c>
      <c r="K2206" s="37" t="s">
        <v>322</v>
      </c>
      <c r="L2206" s="39" t="n">
        <v>116.66</v>
      </c>
      <c r="M2206" s="39" t="n">
        <v>82.25</v>
      </c>
      <c r="N2206" s="39" t="n">
        <f aca="false">J2206*Resumo!$C$7</f>
        <v>1.07998</v>
      </c>
      <c r="O2206" s="39" t="n">
        <f aca="false">J2206*Resumo!$C$8</f>
        <v>1.07998</v>
      </c>
      <c r="P2206" s="39" t="n">
        <f aca="false">Resumo!$C$10*CEILING(I2206/100,1)</f>
        <v>1</v>
      </c>
      <c r="Q2206" s="39" t="n">
        <f aca="false">Resumo!$C$9</f>
        <v>11.9</v>
      </c>
      <c r="R2206" s="39" t="n">
        <f aca="false">SUM(M2206:Q2206)*Resumo!$C$11</f>
        <v>5.3520478</v>
      </c>
      <c r="S2206" s="39" t="n">
        <f aca="false">SUM(M2206:R2206)</f>
        <v>102.6620078</v>
      </c>
      <c r="T2206" s="39" t="n">
        <f aca="false">S2206/(1-Resumo!$C$5)</f>
        <v>116.6613725</v>
      </c>
      <c r="U2206" s="39" t="n">
        <v>93.97</v>
      </c>
      <c r="V2206" s="39" t="n">
        <f aca="false">J2206*Resumo!$B$6</f>
        <v>0.53999</v>
      </c>
      <c r="W2206" s="39" t="n">
        <f aca="false">J2206*Resumo!$B$7</f>
        <v>1.07998</v>
      </c>
      <c r="X2206" s="39" t="n">
        <f aca="false">Resumo!$B$9</f>
        <v>1</v>
      </c>
      <c r="Y2206" s="39" t="n">
        <f aca="false">Resumo!$B$10*CEILING(I2206/100,1)</f>
        <v>4.5</v>
      </c>
      <c r="Z2206" s="39" t="n">
        <f aca="false">Resumo!$B$12*CEILING(I2206,1)</f>
        <v>2.82</v>
      </c>
      <c r="AA2206" s="39" t="n">
        <f aca="false">Resumo!$B$13*CEILING(I2206,1)</f>
        <v>21.15</v>
      </c>
      <c r="AB2206" s="39" t="n">
        <f aca="false">SUM(U2206:AA2206)</f>
        <v>125.05997</v>
      </c>
      <c r="AC2206" s="39" t="n">
        <f aca="false">AB2206/(1-Resumo!$B$5)</f>
        <v>142.113602272727</v>
      </c>
      <c r="AD2206" s="39" t="n">
        <f aca="false">(AB2206-AA2206)/(1-Resumo!$B$5)</f>
        <v>118.079511363636</v>
      </c>
      <c r="AE2206" s="39" t="n">
        <f aca="false">AC2206-T2206</f>
        <v>25.4522297727273</v>
      </c>
      <c r="AF2206" s="40" t="n">
        <f aca="false">AC2206/T2206-1</f>
        <v>0.218171869808298</v>
      </c>
      <c r="AG2206" s="37" t="str">
        <f aca="false">IF(AC2206&lt;T2206,"SIM","NÃO")</f>
        <v>NÃO</v>
      </c>
      <c r="AH2206" s="37" t="n">
        <v>10</v>
      </c>
      <c r="AI2206" s="37" t="n">
        <v>5</v>
      </c>
      <c r="AJ2206" s="37" t="s">
        <v>327</v>
      </c>
    </row>
    <row r="2207" customFormat="false" ht="15" hidden="false" customHeight="false" outlineLevel="0" collapsed="false">
      <c r="A2207" s="37" t="n">
        <v>401416782</v>
      </c>
      <c r="B2207" s="38" t="n">
        <v>46295.4149189815</v>
      </c>
      <c r="C2207" s="37" t="s">
        <v>320</v>
      </c>
      <c r="D2207" s="37" t="s">
        <v>2285</v>
      </c>
      <c r="E2207" s="37" t="n">
        <v>22060030</v>
      </c>
      <c r="F2207" s="37" t="s">
        <v>139</v>
      </c>
      <c r="G2207" s="37" t="s">
        <v>198</v>
      </c>
      <c r="H2207" s="37" t="s">
        <v>168</v>
      </c>
      <c r="I2207" s="37" t="n">
        <v>31</v>
      </c>
      <c r="J2207" s="39" t="n">
        <v>323.94</v>
      </c>
      <c r="K2207" s="37" t="s">
        <v>322</v>
      </c>
      <c r="L2207" s="39" t="n">
        <v>81.89</v>
      </c>
      <c r="M2207" s="39" t="n">
        <v>54.1</v>
      </c>
      <c r="N2207" s="39" t="n">
        <f aca="false">J2207*Resumo!$C$7</f>
        <v>0.64788</v>
      </c>
      <c r="O2207" s="39" t="n">
        <f aca="false">J2207*Resumo!$C$8</f>
        <v>0.64788</v>
      </c>
      <c r="P2207" s="39" t="n">
        <f aca="false">Resumo!$C$10*CEILING(I2207/100,1)</f>
        <v>1</v>
      </c>
      <c r="Q2207" s="39" t="n">
        <f aca="false">Resumo!$C$9</f>
        <v>11.9</v>
      </c>
      <c r="R2207" s="39" t="n">
        <f aca="false">SUM(M2207:Q2207)*Resumo!$C$11</f>
        <v>3.7562668</v>
      </c>
      <c r="S2207" s="39" t="n">
        <f aca="false">SUM(M2207:R2207)</f>
        <v>72.0520268</v>
      </c>
      <c r="T2207" s="39" t="n">
        <f aca="false">S2207/(1-Resumo!$C$5)</f>
        <v>81.8773031818182</v>
      </c>
      <c r="U2207" s="39" t="n">
        <v>82.21</v>
      </c>
      <c r="V2207" s="39" t="n">
        <f aca="false">J2207*Resumo!$B$6</f>
        <v>0.32394</v>
      </c>
      <c r="W2207" s="39" t="n">
        <f aca="false">J2207*Resumo!$B$7</f>
        <v>0.64788</v>
      </c>
      <c r="X2207" s="39" t="n">
        <f aca="false">Resumo!$B$9</f>
        <v>1</v>
      </c>
      <c r="Y2207" s="39" t="n">
        <f aca="false">Resumo!$B$10*CEILING(I2207/100,1)</f>
        <v>4.5</v>
      </c>
      <c r="Z2207" s="39" t="n">
        <f aca="false">Resumo!$B$12*CEILING(I2207,1)</f>
        <v>1.86</v>
      </c>
      <c r="AA2207" s="39" t="n">
        <f aca="false">Resumo!$B$13*CEILING(I2207,1)</f>
        <v>13.95</v>
      </c>
      <c r="AB2207" s="39" t="n">
        <f aca="false">SUM(U2207:AA2207)</f>
        <v>104.49182</v>
      </c>
      <c r="AC2207" s="39" t="n">
        <f aca="false">AB2207/(1-Resumo!$B$5)</f>
        <v>118.740704545455</v>
      </c>
      <c r="AD2207" s="39" t="n">
        <f aca="false">(AB2207-AA2207)/(1-Resumo!$B$5)</f>
        <v>102.888431818182</v>
      </c>
      <c r="AE2207" s="39" t="n">
        <f aca="false">AC2207-T2207</f>
        <v>36.8634013636363</v>
      </c>
      <c r="AF2207" s="40" t="n">
        <f aca="false">AC2207/T2207-1</f>
        <v>0.450227351550366</v>
      </c>
      <c r="AG2207" s="37" t="str">
        <f aca="false">IF(AC2207&lt;T2207,"SIM","NÃO")</f>
        <v>NÃO</v>
      </c>
      <c r="AH2207" s="37" t="n">
        <v>8</v>
      </c>
      <c r="AI2207" s="37" t="n">
        <v>5</v>
      </c>
      <c r="AJ2207" s="37" t="s">
        <v>323</v>
      </c>
    </row>
    <row r="2208" customFormat="false" ht="15" hidden="false" customHeight="false" outlineLevel="0" collapsed="false">
      <c r="A2208" s="37" t="n">
        <v>401490832</v>
      </c>
      <c r="B2208" s="38" t="n">
        <v>46295.4878472222</v>
      </c>
      <c r="C2208" s="37" t="s">
        <v>517</v>
      </c>
      <c r="D2208" s="37" t="s">
        <v>2286</v>
      </c>
      <c r="E2208" s="37" t="n">
        <v>21235620</v>
      </c>
      <c r="F2208" s="37" t="s">
        <v>139</v>
      </c>
      <c r="G2208" s="37" t="s">
        <v>198</v>
      </c>
      <c r="H2208" s="37" t="s">
        <v>170</v>
      </c>
      <c r="I2208" s="37" t="n">
        <v>48.3</v>
      </c>
      <c r="J2208" s="39" t="n">
        <v>449.99</v>
      </c>
      <c r="K2208" s="37" t="s">
        <v>322</v>
      </c>
      <c r="L2208" s="39" t="n">
        <v>102.74</v>
      </c>
      <c r="M2208" s="39" t="n">
        <v>71</v>
      </c>
      <c r="N2208" s="39" t="n">
        <f aca="false">J2208*Resumo!$C$7</f>
        <v>0.89998</v>
      </c>
      <c r="O2208" s="39" t="n">
        <f aca="false">J2208*Resumo!$C$8</f>
        <v>0.89998</v>
      </c>
      <c r="P2208" s="39" t="n">
        <f aca="false">Resumo!$C$10*CEILING(I2208/100,1)</f>
        <v>1</v>
      </c>
      <c r="Q2208" s="39" t="n">
        <f aca="false">Resumo!$C$9</f>
        <v>11.9</v>
      </c>
      <c r="R2208" s="39" t="n">
        <f aca="false">SUM(M2208:Q2208)*Resumo!$C$11</f>
        <v>4.7134978</v>
      </c>
      <c r="S2208" s="39" t="n">
        <f aca="false">SUM(M2208:R2208)</f>
        <v>90.4134578</v>
      </c>
      <c r="T2208" s="39" t="n">
        <f aca="false">S2208/(1-Resumo!$C$5)</f>
        <v>102.742565681818</v>
      </c>
      <c r="U2208" s="39" t="n">
        <v>93.97</v>
      </c>
      <c r="V2208" s="39" t="n">
        <f aca="false">J2208*Resumo!$B$6</f>
        <v>0.44999</v>
      </c>
      <c r="W2208" s="39" t="n">
        <f aca="false">J2208*Resumo!$B$7</f>
        <v>0.89998</v>
      </c>
      <c r="X2208" s="39" t="n">
        <f aca="false">Resumo!$B$9</f>
        <v>1</v>
      </c>
      <c r="Y2208" s="39" t="n">
        <f aca="false">Resumo!$B$10*CEILING(I2208/100,1)</f>
        <v>4.5</v>
      </c>
      <c r="Z2208" s="39" t="n">
        <f aca="false">Resumo!$B$12*CEILING(I2208,1)</f>
        <v>2.94</v>
      </c>
      <c r="AA2208" s="39" t="n">
        <f aca="false">Resumo!$B$13*CEILING(I2208,1)</f>
        <v>22.05</v>
      </c>
      <c r="AB2208" s="39" t="n">
        <f aca="false">SUM(U2208:AA2208)</f>
        <v>125.80997</v>
      </c>
      <c r="AC2208" s="39" t="n">
        <f aca="false">AB2208/(1-Resumo!$B$5)</f>
        <v>142.965875</v>
      </c>
      <c r="AD2208" s="39" t="n">
        <f aca="false">(AB2208-AA2208)/(1-Resumo!$B$5)</f>
        <v>117.909056818182</v>
      </c>
      <c r="AE2208" s="39" t="n">
        <f aca="false">AC2208-T2208</f>
        <v>40.2233093181818</v>
      </c>
      <c r="AF2208" s="40" t="n">
        <f aca="false">AC2208/T2208-1</f>
        <v>0.39149605668549</v>
      </c>
      <c r="AG2208" s="37" t="str">
        <f aca="false">IF(AC2208&lt;T2208,"SIM","NÃO")</f>
        <v>NÃO</v>
      </c>
      <c r="AH2208" s="37" t="n">
        <v>8</v>
      </c>
      <c r="AI2208" s="37" t="n">
        <v>5</v>
      </c>
      <c r="AJ2208" s="37" t="s">
        <v>323</v>
      </c>
    </row>
    <row r="2209" customFormat="false" ht="15" hidden="false" customHeight="false" outlineLevel="0" collapsed="false">
      <c r="A2209" s="37" t="n">
        <v>401474120</v>
      </c>
      <c r="B2209" s="38" t="n">
        <v>46295.4897916667</v>
      </c>
      <c r="C2209" s="37" t="s">
        <v>325</v>
      </c>
      <c r="D2209" s="37" t="s">
        <v>2287</v>
      </c>
      <c r="E2209" s="37" t="n">
        <v>26383493</v>
      </c>
      <c r="F2209" s="37" t="s">
        <v>222</v>
      </c>
      <c r="G2209" s="37" t="s">
        <v>207</v>
      </c>
      <c r="H2209" s="37" t="s">
        <v>170</v>
      </c>
      <c r="I2209" s="37" t="n">
        <v>49.6</v>
      </c>
      <c r="J2209" s="39" t="n">
        <v>759.99</v>
      </c>
      <c r="K2209" s="37" t="s">
        <v>322</v>
      </c>
      <c r="L2209" s="39" t="n">
        <v>117.72</v>
      </c>
      <c r="M2209" s="39" t="n">
        <v>82.25</v>
      </c>
      <c r="N2209" s="39" t="n">
        <f aca="false">J2209*Resumo!$C$7</f>
        <v>1.51998</v>
      </c>
      <c r="O2209" s="39" t="n">
        <f aca="false">J2209*Resumo!$C$8</f>
        <v>1.51998</v>
      </c>
      <c r="P2209" s="39" t="n">
        <f aca="false">Resumo!$C$10*CEILING(I2209/100,1)</f>
        <v>1</v>
      </c>
      <c r="Q2209" s="39" t="n">
        <f aca="false">Resumo!$C$9</f>
        <v>11.9</v>
      </c>
      <c r="R2209" s="39" t="n">
        <f aca="false">SUM(M2209:Q2209)*Resumo!$C$11</f>
        <v>5.4004478</v>
      </c>
      <c r="S2209" s="39" t="n">
        <f aca="false">SUM(M2209:R2209)</f>
        <v>103.5904078</v>
      </c>
      <c r="T2209" s="39" t="n">
        <f aca="false">S2209/(1-Resumo!$C$5)</f>
        <v>117.7163725</v>
      </c>
      <c r="U2209" s="39" t="n">
        <v>93.97</v>
      </c>
      <c r="V2209" s="39" t="n">
        <f aca="false">J2209*Resumo!$B$6</f>
        <v>0.75999</v>
      </c>
      <c r="W2209" s="39" t="n">
        <f aca="false">J2209*Resumo!$B$7</f>
        <v>1.51998</v>
      </c>
      <c r="X2209" s="39" t="n">
        <f aca="false">Resumo!$B$9</f>
        <v>1</v>
      </c>
      <c r="Y2209" s="39" t="n">
        <f aca="false">Resumo!$B$10*CEILING(I2209/100,1)</f>
        <v>4.5</v>
      </c>
      <c r="Z2209" s="39" t="n">
        <f aca="false">Resumo!$B$12*CEILING(I2209,1)</f>
        <v>3</v>
      </c>
      <c r="AA2209" s="39" t="n">
        <f aca="false">Resumo!$B$13*CEILING(I2209,1)</f>
        <v>22.5</v>
      </c>
      <c r="AB2209" s="39" t="n">
        <f aca="false">SUM(U2209:AA2209)</f>
        <v>127.24997</v>
      </c>
      <c r="AC2209" s="39" t="n">
        <f aca="false">AB2209/(1-Resumo!$B$5)</f>
        <v>144.602238636364</v>
      </c>
      <c r="AD2209" s="39" t="n">
        <f aca="false">(AB2209-AA2209)/(1-Resumo!$B$5)</f>
        <v>119.034056818182</v>
      </c>
      <c r="AE2209" s="39" t="n">
        <f aca="false">AC2209-T2209</f>
        <v>26.8858661363636</v>
      </c>
      <c r="AF2209" s="40" t="n">
        <f aca="false">AC2209/T2209-1</f>
        <v>0.228395299357051</v>
      </c>
      <c r="AG2209" s="37" t="str">
        <f aca="false">IF(AC2209&lt;T2209,"SIM","NÃO")</f>
        <v>NÃO</v>
      </c>
      <c r="AH2209" s="37" t="n">
        <v>10</v>
      </c>
      <c r="AI2209" s="37" t="n">
        <v>5</v>
      </c>
      <c r="AJ2209" s="37" t="s">
        <v>327</v>
      </c>
    </row>
    <row r="2210" customFormat="false" ht="15" hidden="false" customHeight="false" outlineLevel="0" collapsed="false">
      <c r="A2210" s="37" t="n">
        <v>401475040</v>
      </c>
      <c r="B2210" s="38" t="n">
        <v>46295.4906712963</v>
      </c>
      <c r="C2210" s="37" t="s">
        <v>320</v>
      </c>
      <c r="D2210" s="37" t="s">
        <v>2288</v>
      </c>
      <c r="E2210" s="37" t="n">
        <v>28909010</v>
      </c>
      <c r="F2210" s="37" t="s">
        <v>152</v>
      </c>
      <c r="G2210" s="37" t="s">
        <v>201</v>
      </c>
      <c r="H2210" s="37" t="s">
        <v>169</v>
      </c>
      <c r="I2210" s="37" t="n">
        <v>37.2</v>
      </c>
      <c r="J2210" s="39" t="n">
        <v>378.99</v>
      </c>
      <c r="K2210" s="37" t="s">
        <v>322</v>
      </c>
      <c r="L2210" s="39" t="n">
        <v>122.07</v>
      </c>
      <c r="M2210" s="39" t="n">
        <v>87.4</v>
      </c>
      <c r="N2210" s="39" t="n">
        <f aca="false">J2210*Resumo!$C$7</f>
        <v>0.75798</v>
      </c>
      <c r="O2210" s="39" t="n">
        <f aca="false">J2210*Resumo!$C$8</f>
        <v>0.75798</v>
      </c>
      <c r="P2210" s="39" t="n">
        <f aca="false">Resumo!$C$10*CEILING(I2210/100,1)</f>
        <v>1</v>
      </c>
      <c r="Q2210" s="39" t="n">
        <f aca="false">Resumo!$C$9</f>
        <v>11.9</v>
      </c>
      <c r="R2210" s="39" t="n">
        <f aca="false">SUM(M2210:Q2210)*Resumo!$C$11</f>
        <v>5.5998778</v>
      </c>
      <c r="S2210" s="39" t="n">
        <f aca="false">SUM(M2210:R2210)</f>
        <v>107.4158378</v>
      </c>
      <c r="T2210" s="39" t="n">
        <f aca="false">S2210/(1-Resumo!$C$5)</f>
        <v>122.063452045455</v>
      </c>
      <c r="U2210" s="39" t="n">
        <v>124.38</v>
      </c>
      <c r="V2210" s="39" t="n">
        <f aca="false">J2210*Resumo!$B$6</f>
        <v>0.37899</v>
      </c>
      <c r="W2210" s="39" t="n">
        <f aca="false">J2210*Resumo!$B$7</f>
        <v>0.75798</v>
      </c>
      <c r="X2210" s="39" t="n">
        <f aca="false">Resumo!$B$9</f>
        <v>1</v>
      </c>
      <c r="Y2210" s="39" t="n">
        <f aca="false">Resumo!$B$10*CEILING(I2210/100,1)</f>
        <v>4.5</v>
      </c>
      <c r="Z2210" s="39" t="n">
        <f aca="false">Resumo!$B$12*CEILING(I2210,1)</f>
        <v>2.28</v>
      </c>
      <c r="AA2210" s="39" t="n">
        <f aca="false">Resumo!$B$13*CEILING(I2210,1)</f>
        <v>17.1</v>
      </c>
      <c r="AB2210" s="39" t="n">
        <f aca="false">SUM(U2210:AA2210)</f>
        <v>150.39697</v>
      </c>
      <c r="AC2210" s="39" t="n">
        <f aca="false">AB2210/(1-Resumo!$B$5)</f>
        <v>170.905647727273</v>
      </c>
      <c r="AD2210" s="39" t="n">
        <f aca="false">(AB2210-AA2210)/(1-Resumo!$B$5)</f>
        <v>151.473829545455</v>
      </c>
      <c r="AE2210" s="39" t="n">
        <f aca="false">AC2210-T2210</f>
        <v>48.8421956818182</v>
      </c>
      <c r="AF2210" s="40" t="n">
        <f aca="false">AC2210/T2210-1</f>
        <v>0.400137755104862</v>
      </c>
      <c r="AG2210" s="37" t="str">
        <f aca="false">IF(AC2210&lt;T2210,"SIM","NÃO")</f>
        <v>NÃO</v>
      </c>
      <c r="AH2210" s="37" t="n">
        <v>13</v>
      </c>
      <c r="AI2210" s="37" t="n">
        <v>10</v>
      </c>
      <c r="AJ2210" s="37" t="s">
        <v>323</v>
      </c>
    </row>
    <row r="2211" customFormat="false" ht="15" hidden="false" customHeight="false" outlineLevel="0" collapsed="false">
      <c r="A2211" s="37" t="n">
        <v>401501864</v>
      </c>
      <c r="B2211" s="38" t="n">
        <v>46295.5240162037</v>
      </c>
      <c r="C2211" s="37" t="s">
        <v>325</v>
      </c>
      <c r="D2211" s="37" t="s">
        <v>2289</v>
      </c>
      <c r="E2211" s="37" t="n">
        <v>27971221</v>
      </c>
      <c r="F2211" s="37" t="s">
        <v>146</v>
      </c>
      <c r="G2211" s="37" t="s">
        <v>201</v>
      </c>
      <c r="H2211" s="37" t="s">
        <v>178</v>
      </c>
      <c r="I2211" s="37" t="n">
        <v>188.4</v>
      </c>
      <c r="J2211" s="39" t="n">
        <v>1994</v>
      </c>
      <c r="K2211" s="37" t="s">
        <v>322</v>
      </c>
      <c r="L2211" s="39" t="n">
        <v>198.28</v>
      </c>
      <c r="M2211" s="39" t="n">
        <v>143.51</v>
      </c>
      <c r="N2211" s="39" t="n">
        <f aca="false">J2211*Resumo!$C$7</f>
        <v>3.988</v>
      </c>
      <c r="O2211" s="39" t="n">
        <f aca="false">J2211*Resumo!$C$8</f>
        <v>3.988</v>
      </c>
      <c r="P2211" s="39" t="n">
        <f aca="false">Resumo!$C$10*CEILING(I2211/100,1)</f>
        <v>2</v>
      </c>
      <c r="Q2211" s="39" t="n">
        <f aca="false">Resumo!$C$9</f>
        <v>11.9</v>
      </c>
      <c r="R2211" s="39" t="n">
        <f aca="false">SUM(M2211:Q2211)*Resumo!$C$11</f>
        <v>9.09623</v>
      </c>
      <c r="S2211" s="39" t="n">
        <f aca="false">SUM(M2211:R2211)</f>
        <v>174.48223</v>
      </c>
      <c r="T2211" s="39" t="n">
        <f aca="false">S2211/(1-Resumo!$C$5)</f>
        <v>198.275261363636</v>
      </c>
      <c r="U2211" s="39" t="n">
        <v>353.17</v>
      </c>
      <c r="V2211" s="39" t="n">
        <f aca="false">J2211*Resumo!$B$6</f>
        <v>1.994</v>
      </c>
      <c r="W2211" s="39" t="n">
        <f aca="false">J2211*Resumo!$B$7</f>
        <v>3.988</v>
      </c>
      <c r="X2211" s="39" t="n">
        <f aca="false">Resumo!$B$9</f>
        <v>1</v>
      </c>
      <c r="Y2211" s="39" t="n">
        <f aca="false">Resumo!$B$10*CEILING(I2211/100,1)</f>
        <v>9</v>
      </c>
      <c r="Z2211" s="39" t="n">
        <f aca="false">Resumo!$B$12*CEILING(I2211,1)</f>
        <v>11.34</v>
      </c>
      <c r="AA2211" s="39" t="n">
        <f aca="false">Resumo!$B$13*CEILING(I2211,1)</f>
        <v>85.05</v>
      </c>
      <c r="AB2211" s="39" t="n">
        <f aca="false">SUM(U2211:AA2211)</f>
        <v>465.542</v>
      </c>
      <c r="AC2211" s="39" t="n">
        <f aca="false">AB2211/(1-Resumo!$B$5)</f>
        <v>529.025</v>
      </c>
      <c r="AD2211" s="39" t="n">
        <f aca="false">(AB2211-AA2211)/(1-Resumo!$B$5)</f>
        <v>432.377272727273</v>
      </c>
      <c r="AE2211" s="39" t="n">
        <f aca="false">AC2211-T2211</f>
        <v>330.749738636364</v>
      </c>
      <c r="AF2211" s="40" t="n">
        <f aca="false">AC2211/T2211-1</f>
        <v>1.66813417045392</v>
      </c>
      <c r="AG2211" s="37" t="str">
        <f aca="false">IF(AC2211&lt;T2211,"SIM","NÃO")</f>
        <v>NÃO</v>
      </c>
      <c r="AH2211" s="37" t="n">
        <v>13</v>
      </c>
      <c r="AI2211" s="37" t="n">
        <v>11</v>
      </c>
      <c r="AJ2211" s="37" t="s">
        <v>323</v>
      </c>
    </row>
    <row r="2212" customFormat="false" ht="15" hidden="false" customHeight="false" outlineLevel="0" collapsed="false">
      <c r="A2212" s="37" t="n">
        <v>401521124</v>
      </c>
      <c r="B2212" s="38" t="n">
        <v>46295.5491898148</v>
      </c>
      <c r="C2212" s="37" t="s">
        <v>320</v>
      </c>
      <c r="D2212" s="37" t="s">
        <v>2290</v>
      </c>
      <c r="E2212" s="37" t="n">
        <v>24457600</v>
      </c>
      <c r="F2212" s="37" t="s">
        <v>140</v>
      </c>
      <c r="G2212" s="37" t="s">
        <v>207</v>
      </c>
      <c r="H2212" s="37" t="s">
        <v>170</v>
      </c>
      <c r="I2212" s="37" t="n">
        <v>48.3</v>
      </c>
      <c r="J2212" s="39" t="n">
        <v>450.99</v>
      </c>
      <c r="K2212" s="37" t="s">
        <v>322</v>
      </c>
      <c r="L2212" s="39" t="n">
        <v>116.23</v>
      </c>
      <c r="M2212" s="39" t="n">
        <v>82.25</v>
      </c>
      <c r="N2212" s="39" t="n">
        <f aca="false">J2212*Resumo!$C$7</f>
        <v>0.90198</v>
      </c>
      <c r="O2212" s="39" t="n">
        <f aca="false">J2212*Resumo!$C$8</f>
        <v>0.90198</v>
      </c>
      <c r="P2212" s="39" t="n">
        <f aca="false">Resumo!$C$10*CEILING(I2212/100,1)</f>
        <v>1</v>
      </c>
      <c r="Q2212" s="39" t="n">
        <f aca="false">Resumo!$C$9</f>
        <v>11.9</v>
      </c>
      <c r="R2212" s="39" t="n">
        <f aca="false">SUM(M2212:Q2212)*Resumo!$C$11</f>
        <v>5.3324678</v>
      </c>
      <c r="S2212" s="39" t="n">
        <f aca="false">SUM(M2212:R2212)</f>
        <v>102.2864278</v>
      </c>
      <c r="T2212" s="39" t="n">
        <f aca="false">S2212/(1-Resumo!$C$5)</f>
        <v>116.234577045455</v>
      </c>
      <c r="U2212" s="39" t="n">
        <v>114.95</v>
      </c>
      <c r="V2212" s="39" t="n">
        <f aca="false">J2212*Resumo!$B$6</f>
        <v>0.45099</v>
      </c>
      <c r="W2212" s="39" t="n">
        <f aca="false">J2212*Resumo!$B$7</f>
        <v>0.90198</v>
      </c>
      <c r="X2212" s="39" t="n">
        <f aca="false">Resumo!$B$9</f>
        <v>1</v>
      </c>
      <c r="Y2212" s="39" t="n">
        <f aca="false">Resumo!$B$10*CEILING(I2212/100,1)</f>
        <v>4.5</v>
      </c>
      <c r="Z2212" s="39" t="n">
        <f aca="false">Resumo!$B$12*CEILING(I2212,1)</f>
        <v>2.94</v>
      </c>
      <c r="AA2212" s="39" t="n">
        <f aca="false">Resumo!$B$13*CEILING(I2212,1)</f>
        <v>22.05</v>
      </c>
      <c r="AB2212" s="39" t="n">
        <f aca="false">SUM(U2212:AA2212)</f>
        <v>146.79297</v>
      </c>
      <c r="AC2212" s="39" t="n">
        <f aca="false">AB2212/(1-Resumo!$B$5)</f>
        <v>166.810193181818</v>
      </c>
      <c r="AD2212" s="39" t="n">
        <f aca="false">(AB2212-AA2212)/(1-Resumo!$B$5)</f>
        <v>141.753375</v>
      </c>
      <c r="AE2212" s="39" t="n">
        <f aca="false">AC2212-T2212</f>
        <v>50.5756161363636</v>
      </c>
      <c r="AF2212" s="40" t="n">
        <f aca="false">AC2212/T2212-1</f>
        <v>0.435116790734186</v>
      </c>
      <c r="AG2212" s="37" t="str">
        <f aca="false">IF(AC2212&lt;T2212,"SIM","NÃO")</f>
        <v>NÃO</v>
      </c>
      <c r="AH2212" s="37" t="n">
        <v>10</v>
      </c>
      <c r="AI2212" s="37" t="n">
        <v>7</v>
      </c>
      <c r="AJ2212" s="37" t="s">
        <v>323</v>
      </c>
    </row>
    <row r="2213" customFormat="false" ht="15" hidden="false" customHeight="false" outlineLevel="0" collapsed="false">
      <c r="A2213" s="37" t="n">
        <v>401561453</v>
      </c>
      <c r="B2213" s="38" t="n">
        <v>46295.6031134259</v>
      </c>
      <c r="C2213" s="37" t="s">
        <v>325</v>
      </c>
      <c r="D2213" s="37" t="s">
        <v>2291</v>
      </c>
      <c r="E2213" s="37" t="n">
        <v>27998000</v>
      </c>
      <c r="F2213" s="37" t="s">
        <v>243</v>
      </c>
      <c r="G2213" s="37" t="s">
        <v>201</v>
      </c>
      <c r="H2213" s="37" t="s">
        <v>168</v>
      </c>
      <c r="I2213" s="37" t="n">
        <v>31.9</v>
      </c>
      <c r="J2213" s="39" t="n">
        <v>483.99</v>
      </c>
      <c r="K2213" s="37" t="s">
        <v>322</v>
      </c>
      <c r="L2213" s="39" t="n">
        <v>109.5</v>
      </c>
      <c r="M2213" s="39" t="n">
        <v>76.5</v>
      </c>
      <c r="N2213" s="39" t="n">
        <f aca="false">J2213*Resumo!$C$7</f>
        <v>0.96798</v>
      </c>
      <c r="O2213" s="39" t="n">
        <f aca="false">J2213*Resumo!$C$8</f>
        <v>0.96798</v>
      </c>
      <c r="P2213" s="39" t="n">
        <f aca="false">Resumo!$C$10*CEILING(I2213/100,1)</f>
        <v>1</v>
      </c>
      <c r="Q2213" s="39" t="n">
        <f aca="false">Resumo!$C$9</f>
        <v>11.9</v>
      </c>
      <c r="R2213" s="39" t="n">
        <f aca="false">SUM(M2213:Q2213)*Resumo!$C$11</f>
        <v>5.0234778</v>
      </c>
      <c r="S2213" s="39" t="n">
        <f aca="false">SUM(M2213:R2213)</f>
        <v>96.3594378</v>
      </c>
      <c r="T2213" s="39" t="n">
        <f aca="false">S2213/(1-Resumo!$C$5)</f>
        <v>109.499361136364</v>
      </c>
      <c r="U2213" s="39" t="n">
        <v>138.29</v>
      </c>
      <c r="V2213" s="39" t="n">
        <f aca="false">J2213*Resumo!$B$6</f>
        <v>0.48399</v>
      </c>
      <c r="W2213" s="39" t="n">
        <f aca="false">J2213*Resumo!$B$7</f>
        <v>0.96798</v>
      </c>
      <c r="X2213" s="39" t="n">
        <f aca="false">Resumo!$B$9</f>
        <v>1</v>
      </c>
      <c r="Y2213" s="39" t="n">
        <f aca="false">Resumo!$B$10*CEILING(I2213/100,1)</f>
        <v>4.5</v>
      </c>
      <c r="Z2213" s="39" t="n">
        <f aca="false">Resumo!$B$12*CEILING(I2213,1)</f>
        <v>1.92</v>
      </c>
      <c r="AA2213" s="39" t="n">
        <f aca="false">Resumo!$B$13*CEILING(I2213,1)</f>
        <v>14.4</v>
      </c>
      <c r="AB2213" s="39" t="n">
        <f aca="false">SUM(U2213:AA2213)</f>
        <v>161.56197</v>
      </c>
      <c r="AC2213" s="39" t="n">
        <f aca="false">AB2213/(1-Resumo!$B$5)</f>
        <v>183.593147727273</v>
      </c>
      <c r="AD2213" s="39" t="n">
        <f aca="false">(AB2213-AA2213)/(1-Resumo!$B$5)</f>
        <v>167.229511363636</v>
      </c>
      <c r="AE2213" s="39" t="n">
        <f aca="false">AC2213-T2213</f>
        <v>74.0937865909091</v>
      </c>
      <c r="AF2213" s="40" t="n">
        <f aca="false">AC2213/T2213-1</f>
        <v>0.676659533187937</v>
      </c>
      <c r="AG2213" s="37" t="str">
        <f aca="false">IF(AC2213&lt;T2213,"SIM","NÃO")</f>
        <v>NÃO</v>
      </c>
      <c r="AH2213" s="37" t="n">
        <v>13</v>
      </c>
      <c r="AI2213" s="37" t="n">
        <v>11</v>
      </c>
      <c r="AJ2213" s="37" t="s">
        <v>327</v>
      </c>
    </row>
    <row r="2214" customFormat="false" ht="15" hidden="false" customHeight="false" outlineLevel="0" collapsed="false">
      <c r="A2214" s="37" t="n">
        <v>401605148</v>
      </c>
      <c r="B2214" s="38" t="n">
        <v>46295.6584953704</v>
      </c>
      <c r="C2214" s="37" t="s">
        <v>320</v>
      </c>
      <c r="D2214" s="37" t="s">
        <v>2292</v>
      </c>
      <c r="E2214" s="37" t="n">
        <v>28686645</v>
      </c>
      <c r="F2214" s="37" t="s">
        <v>269</v>
      </c>
      <c r="G2214" s="37" t="s">
        <v>201</v>
      </c>
      <c r="H2214" s="37" t="s">
        <v>168</v>
      </c>
      <c r="I2214" s="37" t="n">
        <v>27.5</v>
      </c>
      <c r="J2214" s="39" t="n">
        <v>399.99</v>
      </c>
      <c r="K2214" s="37" t="s">
        <v>322</v>
      </c>
      <c r="L2214" s="39" t="n">
        <v>109.1</v>
      </c>
      <c r="M2214" s="39" t="n">
        <v>76.5</v>
      </c>
      <c r="N2214" s="39" t="n">
        <f aca="false">J2214*Resumo!$C$7</f>
        <v>0.79998</v>
      </c>
      <c r="O2214" s="39" t="n">
        <f aca="false">J2214*Resumo!$C$8</f>
        <v>0.79998</v>
      </c>
      <c r="P2214" s="39" t="n">
        <f aca="false">Resumo!$C$10*CEILING(I2214/100,1)</f>
        <v>1</v>
      </c>
      <c r="Q2214" s="39" t="n">
        <f aca="false">Resumo!$C$9</f>
        <v>11.9</v>
      </c>
      <c r="R2214" s="39" t="n">
        <f aca="false">SUM(M2214:Q2214)*Resumo!$C$11</f>
        <v>5.0049978</v>
      </c>
      <c r="S2214" s="39" t="n">
        <f aca="false">SUM(M2214:R2214)</f>
        <v>96.0049578</v>
      </c>
      <c r="T2214" s="39" t="n">
        <f aca="false">S2214/(1-Resumo!$C$5)</f>
        <v>109.096542954545</v>
      </c>
      <c r="U2214" s="39" t="n">
        <v>120.78</v>
      </c>
      <c r="V2214" s="39" t="n">
        <f aca="false">J2214*Resumo!$B$6</f>
        <v>0.39999</v>
      </c>
      <c r="W2214" s="39" t="n">
        <f aca="false">J2214*Resumo!$B$7</f>
        <v>0.79998</v>
      </c>
      <c r="X2214" s="39" t="n">
        <f aca="false">Resumo!$B$9</f>
        <v>1</v>
      </c>
      <c r="Y2214" s="39" t="n">
        <f aca="false">Resumo!$B$10*CEILING(I2214/100,1)</f>
        <v>4.5</v>
      </c>
      <c r="Z2214" s="39" t="n">
        <f aca="false">Resumo!$B$12*CEILING(I2214,1)</f>
        <v>1.68</v>
      </c>
      <c r="AA2214" s="39" t="n">
        <f aca="false">Resumo!$B$13*CEILING(I2214,1)</f>
        <v>12.6</v>
      </c>
      <c r="AB2214" s="39" t="n">
        <f aca="false">SUM(U2214:AA2214)</f>
        <v>141.75997</v>
      </c>
      <c r="AC2214" s="39" t="n">
        <f aca="false">AB2214/(1-Resumo!$B$5)</f>
        <v>161.090875</v>
      </c>
      <c r="AD2214" s="39" t="n">
        <f aca="false">(AB2214-AA2214)/(1-Resumo!$B$5)</f>
        <v>146.772693181818</v>
      </c>
      <c r="AE2214" s="39" t="n">
        <f aca="false">AC2214-T2214</f>
        <v>51.9943320454545</v>
      </c>
      <c r="AF2214" s="40" t="n">
        <f aca="false">AC2214/T2214-1</f>
        <v>0.476590097516818</v>
      </c>
      <c r="AG2214" s="37" t="str">
        <f aca="false">IF(AC2214&lt;T2214,"SIM","NÃO")</f>
        <v>NÃO</v>
      </c>
      <c r="AH2214" s="37" t="n">
        <v>13</v>
      </c>
      <c r="AI2214" s="37" t="n">
        <v>10</v>
      </c>
      <c r="AJ2214" s="37" t="s">
        <v>327</v>
      </c>
    </row>
    <row r="2215" customFormat="false" ht="15" hidden="false" customHeight="false" outlineLevel="0" collapsed="false">
      <c r="A2215" s="37" t="n">
        <v>401619163</v>
      </c>
      <c r="B2215" s="38" t="n">
        <v>46295.6761226852</v>
      </c>
      <c r="C2215" s="37" t="s">
        <v>320</v>
      </c>
      <c r="D2215" s="37" t="s">
        <v>2293</v>
      </c>
      <c r="E2215" s="37" t="n">
        <v>24467610</v>
      </c>
      <c r="F2215" s="37" t="s">
        <v>140</v>
      </c>
      <c r="G2215" s="37" t="s">
        <v>207</v>
      </c>
      <c r="H2215" s="37" t="s">
        <v>169</v>
      </c>
      <c r="I2215" s="37" t="n">
        <v>37.2</v>
      </c>
      <c r="J2215" s="39" t="n">
        <v>360.99</v>
      </c>
      <c r="K2215" s="37" t="s">
        <v>322</v>
      </c>
      <c r="L2215" s="39" t="n">
        <v>112.68</v>
      </c>
      <c r="M2215" s="39" t="n">
        <v>79.65</v>
      </c>
      <c r="N2215" s="39" t="n">
        <f aca="false">J2215*Resumo!$C$7</f>
        <v>0.72198</v>
      </c>
      <c r="O2215" s="39" t="n">
        <f aca="false">J2215*Resumo!$C$8</f>
        <v>0.72198</v>
      </c>
      <c r="P2215" s="39" t="n">
        <f aca="false">Resumo!$C$10*CEILING(I2215/100,1)</f>
        <v>1</v>
      </c>
      <c r="Q2215" s="39" t="n">
        <f aca="false">Resumo!$C$9</f>
        <v>11.9</v>
      </c>
      <c r="R2215" s="39" t="n">
        <f aca="false">SUM(M2215:Q2215)*Resumo!$C$11</f>
        <v>5.1696678</v>
      </c>
      <c r="S2215" s="39" t="n">
        <f aca="false">SUM(M2215:R2215)</f>
        <v>99.1636278</v>
      </c>
      <c r="T2215" s="39" t="n">
        <f aca="false">S2215/(1-Resumo!$C$5)</f>
        <v>112.685940681818</v>
      </c>
      <c r="U2215" s="39" t="n">
        <v>114.95</v>
      </c>
      <c r="V2215" s="39" t="n">
        <f aca="false">J2215*Resumo!$B$6</f>
        <v>0.36099</v>
      </c>
      <c r="W2215" s="39" t="n">
        <f aca="false">J2215*Resumo!$B$7</f>
        <v>0.72198</v>
      </c>
      <c r="X2215" s="39" t="n">
        <f aca="false">Resumo!$B$9</f>
        <v>1</v>
      </c>
      <c r="Y2215" s="39" t="n">
        <f aca="false">Resumo!$B$10*CEILING(I2215/100,1)</f>
        <v>4.5</v>
      </c>
      <c r="Z2215" s="39" t="n">
        <f aca="false">Resumo!$B$12*CEILING(I2215,1)</f>
        <v>2.28</v>
      </c>
      <c r="AA2215" s="39" t="n">
        <f aca="false">Resumo!$B$13*CEILING(I2215,1)</f>
        <v>17.1</v>
      </c>
      <c r="AB2215" s="39" t="n">
        <f aca="false">SUM(U2215:AA2215)</f>
        <v>140.91297</v>
      </c>
      <c r="AC2215" s="39" t="n">
        <f aca="false">AB2215/(1-Resumo!$B$5)</f>
        <v>160.128375</v>
      </c>
      <c r="AD2215" s="39" t="n">
        <f aca="false">(AB2215-AA2215)/(1-Resumo!$B$5)</f>
        <v>140.696556818182</v>
      </c>
      <c r="AE2215" s="39" t="n">
        <f aca="false">AC2215-T2215</f>
        <v>47.4424343181818</v>
      </c>
      <c r="AF2215" s="40" t="n">
        <f aca="false">AC2215/T2215-1</f>
        <v>0.421014671671784</v>
      </c>
      <c r="AG2215" s="37" t="str">
        <f aca="false">IF(AC2215&lt;T2215,"SIM","NÃO")</f>
        <v>NÃO</v>
      </c>
      <c r="AH2215" s="37" t="n">
        <v>10</v>
      </c>
      <c r="AI2215" s="37" t="n">
        <v>7</v>
      </c>
      <c r="AJ2215" s="37" t="s">
        <v>323</v>
      </c>
    </row>
    <row r="2216" customFormat="false" ht="15" hidden="false" customHeight="false" outlineLevel="0" collapsed="false">
      <c r="A2216" s="37" t="n">
        <v>401637633</v>
      </c>
      <c r="B2216" s="38" t="n">
        <v>46295.6982986111</v>
      </c>
      <c r="C2216" s="37" t="s">
        <v>325</v>
      </c>
      <c r="D2216" s="37" t="s">
        <v>2294</v>
      </c>
      <c r="E2216" s="37" t="n">
        <v>21555490</v>
      </c>
      <c r="F2216" s="37" t="s">
        <v>139</v>
      </c>
      <c r="G2216" s="37" t="s">
        <v>198</v>
      </c>
      <c r="H2216" s="37" t="s">
        <v>172</v>
      </c>
      <c r="I2216" s="37" t="n">
        <v>63</v>
      </c>
      <c r="J2216" s="39" t="n">
        <v>848.38</v>
      </c>
      <c r="K2216" s="37" t="s">
        <v>322</v>
      </c>
      <c r="L2216" s="39" t="n">
        <v>125.28</v>
      </c>
      <c r="M2216" s="39" t="n">
        <v>88.2</v>
      </c>
      <c r="N2216" s="39" t="n">
        <f aca="false">J2216*Resumo!$C$7</f>
        <v>1.69676</v>
      </c>
      <c r="O2216" s="39" t="n">
        <f aca="false">J2216*Resumo!$C$8</f>
        <v>1.69676</v>
      </c>
      <c r="P2216" s="39" t="n">
        <f aca="false">Resumo!$C$10*CEILING(I2216/100,1)</f>
        <v>1</v>
      </c>
      <c r="Q2216" s="39" t="n">
        <f aca="false">Resumo!$C$9</f>
        <v>11.9</v>
      </c>
      <c r="R2216" s="39" t="n">
        <f aca="false">SUM(M2216:Q2216)*Resumo!$C$11</f>
        <v>5.7471436</v>
      </c>
      <c r="S2216" s="39" t="n">
        <f aca="false">SUM(M2216:R2216)</f>
        <v>110.2406636</v>
      </c>
      <c r="T2216" s="39" t="n">
        <f aca="false">S2216/(1-Resumo!$C$5)</f>
        <v>125.273481363636</v>
      </c>
      <c r="U2216" s="39" t="n">
        <v>131.02</v>
      </c>
      <c r="V2216" s="39" t="n">
        <f aca="false">J2216*Resumo!$B$6</f>
        <v>0.84838</v>
      </c>
      <c r="W2216" s="39" t="n">
        <f aca="false">J2216*Resumo!$B$7</f>
        <v>1.69676</v>
      </c>
      <c r="X2216" s="39" t="n">
        <f aca="false">Resumo!$B$9</f>
        <v>1</v>
      </c>
      <c r="Y2216" s="39" t="n">
        <f aca="false">Resumo!$B$10*CEILING(I2216/100,1)</f>
        <v>4.5</v>
      </c>
      <c r="Z2216" s="39" t="n">
        <f aca="false">Resumo!$B$12*CEILING(I2216,1)</f>
        <v>3.78</v>
      </c>
      <c r="AA2216" s="39" t="n">
        <f aca="false">Resumo!$B$13*CEILING(I2216,1)</f>
        <v>28.35</v>
      </c>
      <c r="AB2216" s="39" t="n">
        <f aca="false">SUM(U2216:AA2216)</f>
        <v>171.19514</v>
      </c>
      <c r="AC2216" s="39" t="n">
        <f aca="false">AB2216/(1-Resumo!$B$5)</f>
        <v>194.539931818182</v>
      </c>
      <c r="AD2216" s="39" t="n">
        <f aca="false">(AB2216-AA2216)/(1-Resumo!$B$5)</f>
        <v>162.324022727273</v>
      </c>
      <c r="AE2216" s="39" t="n">
        <f aca="false">AC2216-T2216</f>
        <v>69.2664504545455</v>
      </c>
      <c r="AF2216" s="40" t="n">
        <f aca="false">AC2216/T2216-1</f>
        <v>0.552921892970173</v>
      </c>
      <c r="AG2216" s="37" t="str">
        <f aca="false">IF(AC2216&lt;T2216,"SIM","NÃO")</f>
        <v>NÃO</v>
      </c>
      <c r="AH2216" s="37" t="n">
        <v>8</v>
      </c>
      <c r="AI2216" s="37" t="n">
        <v>5</v>
      </c>
      <c r="AJ2216" s="37" t="s">
        <v>323</v>
      </c>
    </row>
    <row r="2217" customFormat="false" ht="15" hidden="false" customHeight="false" outlineLevel="0" collapsed="false">
      <c r="A2217" s="37" t="n">
        <v>401680125</v>
      </c>
      <c r="B2217" s="38" t="n">
        <v>46295.7563657407</v>
      </c>
      <c r="C2217" s="37" t="s">
        <v>359</v>
      </c>
      <c r="D2217" s="37" t="s">
        <v>2295</v>
      </c>
      <c r="E2217" s="37" t="n">
        <v>24936380</v>
      </c>
      <c r="F2217" s="37" t="s">
        <v>151</v>
      </c>
      <c r="G2217" s="37" t="s">
        <v>201</v>
      </c>
      <c r="H2217" s="37" t="s">
        <v>168</v>
      </c>
      <c r="I2217" s="37" t="n">
        <v>24.4</v>
      </c>
      <c r="J2217" s="39" t="n">
        <v>349.99</v>
      </c>
      <c r="K2217" s="37" t="s">
        <v>322</v>
      </c>
      <c r="L2217" s="39" t="n">
        <v>108.85</v>
      </c>
      <c r="M2217" s="39" t="n">
        <v>76.5</v>
      </c>
      <c r="N2217" s="39" t="n">
        <f aca="false">J2217*Resumo!$C$7</f>
        <v>0.69998</v>
      </c>
      <c r="O2217" s="39" t="n">
        <f aca="false">J2217*Resumo!$C$8</f>
        <v>0.69998</v>
      </c>
      <c r="P2217" s="39" t="n">
        <f aca="false">Resumo!$C$10*CEILING(I2217/100,1)</f>
        <v>1</v>
      </c>
      <c r="Q2217" s="39" t="n">
        <f aca="false">Resumo!$C$9</f>
        <v>11.9</v>
      </c>
      <c r="R2217" s="39" t="n">
        <f aca="false">SUM(M2217:Q2217)*Resumo!$C$11</f>
        <v>4.9939978</v>
      </c>
      <c r="S2217" s="39" t="n">
        <f aca="false">SUM(M2217:R2217)</f>
        <v>95.7939578</v>
      </c>
      <c r="T2217" s="39" t="n">
        <f aca="false">S2217/(1-Resumo!$C$5)</f>
        <v>108.856770227273</v>
      </c>
      <c r="U2217" s="39" t="n">
        <v>100.58</v>
      </c>
      <c r="V2217" s="39" t="n">
        <f aca="false">J2217*Resumo!$B$6</f>
        <v>0.34999</v>
      </c>
      <c r="W2217" s="39" t="n">
        <f aca="false">J2217*Resumo!$B$7</f>
        <v>0.69998</v>
      </c>
      <c r="X2217" s="39" t="n">
        <f aca="false">Resumo!$B$9</f>
        <v>1</v>
      </c>
      <c r="Y2217" s="39" t="n">
        <f aca="false">Resumo!$B$10*CEILING(I2217/100,1)</f>
        <v>4.5</v>
      </c>
      <c r="Z2217" s="39" t="n">
        <f aca="false">Resumo!$B$12*CEILING(I2217,1)</f>
        <v>1.5</v>
      </c>
      <c r="AA2217" s="39" t="n">
        <f aca="false">Resumo!$B$13*CEILING(I2217,1)</f>
        <v>11.25</v>
      </c>
      <c r="AB2217" s="39" t="n">
        <f aca="false">SUM(U2217:AA2217)</f>
        <v>119.87997</v>
      </c>
      <c r="AC2217" s="39" t="n">
        <f aca="false">AB2217/(1-Resumo!$B$5)</f>
        <v>136.227238636364</v>
      </c>
      <c r="AD2217" s="39" t="n">
        <f aca="false">(AB2217-AA2217)/(1-Resumo!$B$5)</f>
        <v>123.443147727273</v>
      </c>
      <c r="AE2217" s="39" t="n">
        <f aca="false">AC2217-T2217</f>
        <v>27.3704684090909</v>
      </c>
      <c r="AF2217" s="40" t="n">
        <f aca="false">AC2217/T2217-1</f>
        <v>0.251435609856387</v>
      </c>
      <c r="AG2217" s="37" t="str">
        <f aca="false">IF(AC2217&lt;T2217,"SIM","NÃO")</f>
        <v>NÃO</v>
      </c>
      <c r="AH2217" s="37" t="n">
        <v>13</v>
      </c>
      <c r="AI2217" s="37" t="n">
        <v>7</v>
      </c>
      <c r="AJ2217" s="37" t="s">
        <v>323</v>
      </c>
    </row>
    <row r="2218" customFormat="false" ht="15" hidden="false" customHeight="false" outlineLevel="0" collapsed="false">
      <c r="A2218" s="37" t="n">
        <v>401761929</v>
      </c>
      <c r="B2218" s="38" t="n">
        <v>46295.847349537</v>
      </c>
      <c r="C2218" s="37" t="s">
        <v>325</v>
      </c>
      <c r="D2218" s="37" t="s">
        <v>2296</v>
      </c>
      <c r="E2218" s="37" t="n">
        <v>23955135</v>
      </c>
      <c r="F2218" s="37" t="s">
        <v>149</v>
      </c>
      <c r="G2218" s="37" t="s">
        <v>201</v>
      </c>
      <c r="H2218" s="37" t="s">
        <v>171</v>
      </c>
      <c r="I2218" s="37" t="n">
        <v>56.7</v>
      </c>
      <c r="J2218" s="39" t="n">
        <v>705.81</v>
      </c>
      <c r="K2218" s="37" t="s">
        <v>322</v>
      </c>
      <c r="L2218" s="39" t="n">
        <v>143.05</v>
      </c>
      <c r="M2218" s="39" t="n">
        <v>103.6</v>
      </c>
      <c r="N2218" s="39" t="n">
        <f aca="false">J2218*Resumo!$C$7</f>
        <v>1.41162</v>
      </c>
      <c r="O2218" s="39" t="n">
        <f aca="false">J2218*Resumo!$C$8</f>
        <v>1.41162</v>
      </c>
      <c r="P2218" s="39" t="n">
        <f aca="false">Resumo!$C$10*CEILING(I2218/100,1)</f>
        <v>1</v>
      </c>
      <c r="Q2218" s="39" t="n">
        <f aca="false">Resumo!$C$9</f>
        <v>11.9</v>
      </c>
      <c r="R2218" s="39" t="n">
        <f aca="false">SUM(M2218:Q2218)*Resumo!$C$11</f>
        <v>6.5627782</v>
      </c>
      <c r="S2218" s="39" t="n">
        <f aca="false">SUM(M2218:R2218)</f>
        <v>125.8860182</v>
      </c>
      <c r="T2218" s="39" t="n">
        <f aca="false">S2218/(1-Resumo!$C$5)</f>
        <v>143.052293409091</v>
      </c>
      <c r="U2218" s="39" t="n">
        <v>142.32</v>
      </c>
      <c r="V2218" s="39" t="n">
        <f aca="false">J2218*Resumo!$B$6</f>
        <v>0.70581</v>
      </c>
      <c r="W2218" s="39" t="n">
        <f aca="false">J2218*Resumo!$B$7</f>
        <v>1.41162</v>
      </c>
      <c r="X2218" s="39" t="n">
        <f aca="false">Resumo!$B$9</f>
        <v>1</v>
      </c>
      <c r="Y2218" s="39" t="n">
        <f aca="false">Resumo!$B$10*CEILING(I2218/100,1)</f>
        <v>4.5</v>
      </c>
      <c r="Z2218" s="39" t="n">
        <f aca="false">Resumo!$B$12*CEILING(I2218,1)</f>
        <v>3.42</v>
      </c>
      <c r="AA2218" s="39" t="n">
        <f aca="false">Resumo!$B$13*CEILING(I2218,1)</f>
        <v>25.65</v>
      </c>
      <c r="AB2218" s="39" t="n">
        <f aca="false">SUM(U2218:AA2218)</f>
        <v>179.00743</v>
      </c>
      <c r="AC2218" s="39" t="n">
        <f aca="false">AB2218/(1-Resumo!$B$5)</f>
        <v>203.417534090909</v>
      </c>
      <c r="AD2218" s="39" t="n">
        <f aca="false">(AB2218-AA2218)/(1-Resumo!$B$5)</f>
        <v>174.269806818182</v>
      </c>
      <c r="AE2218" s="39" t="n">
        <f aca="false">AC2218-T2218</f>
        <v>60.3652406818182</v>
      </c>
      <c r="AF2218" s="40" t="n">
        <f aca="false">AC2218/T2218-1</f>
        <v>0.421980237039541</v>
      </c>
      <c r="AG2218" s="37" t="str">
        <f aca="false">IF(AC2218&lt;T2218,"SIM","NÃO")</f>
        <v>NÃO</v>
      </c>
      <c r="AH2218" s="37" t="n">
        <v>13</v>
      </c>
      <c r="AI2218" s="37" t="n">
        <v>10</v>
      </c>
      <c r="AJ2218" s="37" t="s">
        <v>323</v>
      </c>
    </row>
    <row r="2219" customFormat="false" ht="15" hidden="false" customHeight="false" outlineLevel="0" collapsed="false">
      <c r="A2219" s="37" t="n">
        <v>401791560</v>
      </c>
      <c r="B2219" s="38" t="n">
        <v>46295.8862731482</v>
      </c>
      <c r="C2219" s="37" t="s">
        <v>1993</v>
      </c>
      <c r="D2219" s="37" t="s">
        <v>434</v>
      </c>
      <c r="E2219" s="37" t="n">
        <v>28200000</v>
      </c>
      <c r="F2219" s="37" t="s">
        <v>245</v>
      </c>
      <c r="G2219" s="37" t="s">
        <v>201</v>
      </c>
      <c r="H2219" s="37" t="s">
        <v>169</v>
      </c>
      <c r="I2219" s="37" t="n">
        <v>39</v>
      </c>
      <c r="J2219" s="39" t="n">
        <v>619.99</v>
      </c>
      <c r="K2219" s="37" t="s">
        <v>322</v>
      </c>
      <c r="L2219" s="39" t="n">
        <v>123.22</v>
      </c>
      <c r="M2219" s="39" t="n">
        <v>87.4</v>
      </c>
      <c r="N2219" s="39" t="n">
        <f aca="false">J2219*Resumo!$C$7</f>
        <v>1.23998</v>
      </c>
      <c r="O2219" s="39" t="n">
        <f aca="false">J2219*Resumo!$C$8</f>
        <v>1.23998</v>
      </c>
      <c r="P2219" s="39" t="n">
        <f aca="false">Resumo!$C$10*CEILING(I2219/100,1)</f>
        <v>1</v>
      </c>
      <c r="Q2219" s="39" t="n">
        <f aca="false">Resumo!$C$9</f>
        <v>11.9</v>
      </c>
      <c r="R2219" s="39" t="n">
        <f aca="false">SUM(M2219:Q2219)*Resumo!$C$11</f>
        <v>5.6528978</v>
      </c>
      <c r="S2219" s="39" t="n">
        <f aca="false">SUM(M2219:R2219)</f>
        <v>108.4328578</v>
      </c>
      <c r="T2219" s="39" t="n">
        <f aca="false">S2219/(1-Resumo!$C$5)</f>
        <v>123.219156590909</v>
      </c>
      <c r="U2219" s="39" t="n">
        <v>143.04</v>
      </c>
      <c r="V2219" s="39" t="n">
        <f aca="false">J2219*Resumo!$B$6</f>
        <v>0.61999</v>
      </c>
      <c r="W2219" s="39" t="n">
        <f aca="false">J2219*Resumo!$B$7</f>
        <v>1.23998</v>
      </c>
      <c r="X2219" s="39" t="n">
        <f aca="false">Resumo!$B$9</f>
        <v>1</v>
      </c>
      <c r="Y2219" s="39" t="n">
        <f aca="false">Resumo!$B$10*CEILING(I2219/100,1)</f>
        <v>4.5</v>
      </c>
      <c r="Z2219" s="39" t="n">
        <f aca="false">Resumo!$B$12*CEILING(I2219,1)</f>
        <v>2.34</v>
      </c>
      <c r="AA2219" s="39" t="n">
        <f aca="false">Resumo!$B$13*CEILING(I2219,1)</f>
        <v>17.55</v>
      </c>
      <c r="AB2219" s="39" t="n">
        <f aca="false">SUM(U2219:AA2219)</f>
        <v>170.28997</v>
      </c>
      <c r="AC2219" s="39" t="n">
        <f aca="false">AB2219/(1-Resumo!$B$5)</f>
        <v>193.511329545455</v>
      </c>
      <c r="AD2219" s="39" t="n">
        <f aca="false">(AB2219-AA2219)/(1-Resumo!$B$5)</f>
        <v>173.568147727273</v>
      </c>
      <c r="AE2219" s="39" t="n">
        <f aca="false">AC2219-T2219</f>
        <v>70.2921729545455</v>
      </c>
      <c r="AF2219" s="40" t="n">
        <f aca="false">AC2219/T2219-1</f>
        <v>0.570464649323298</v>
      </c>
      <c r="AG2219" s="37" t="str">
        <f aca="false">IF(AC2219&lt;T2219,"SIM","NÃO")</f>
        <v>NÃO</v>
      </c>
      <c r="AH2219" s="37" t="n">
        <v>13</v>
      </c>
      <c r="AI2219" s="37" t="n">
        <v>11</v>
      </c>
      <c r="AJ2219" s="37" t="s">
        <v>327</v>
      </c>
    </row>
    <row r="2220" customFormat="false" ht="15" hidden="false" customHeight="false" outlineLevel="0" collapsed="false">
      <c r="A2220" s="37" t="n">
        <v>401794913</v>
      </c>
      <c r="B2220" s="38" t="n">
        <v>46295.8905439815</v>
      </c>
      <c r="C2220" s="37" t="s">
        <v>320</v>
      </c>
      <c r="D2220" s="37" t="s">
        <v>2262</v>
      </c>
      <c r="E2220" s="37" t="n">
        <v>21510013</v>
      </c>
      <c r="F2220" s="37" t="s">
        <v>139</v>
      </c>
      <c r="G2220" s="37" t="s">
        <v>198</v>
      </c>
      <c r="H2220" s="37" t="s">
        <v>169</v>
      </c>
      <c r="I2220" s="37" t="n">
        <v>39</v>
      </c>
      <c r="J2220" s="39" t="n">
        <v>549.99</v>
      </c>
      <c r="K2220" s="37" t="s">
        <v>322</v>
      </c>
      <c r="L2220" s="39" t="n">
        <v>92.49</v>
      </c>
      <c r="M2220" s="39" t="n">
        <v>62.05</v>
      </c>
      <c r="N2220" s="39" t="n">
        <f aca="false">J2220*Resumo!$C$7</f>
        <v>1.09998</v>
      </c>
      <c r="O2220" s="39" t="n">
        <f aca="false">J2220*Resumo!$C$8</f>
        <v>1.09998</v>
      </c>
      <c r="P2220" s="39" t="n">
        <f aca="false">Resumo!$C$10*CEILING(I2220/100,1)</f>
        <v>1</v>
      </c>
      <c r="Q2220" s="39" t="n">
        <f aca="false">Resumo!$C$9</f>
        <v>11.9</v>
      </c>
      <c r="R2220" s="39" t="n">
        <f aca="false">SUM(M2220:Q2220)*Resumo!$C$11</f>
        <v>4.2432478</v>
      </c>
      <c r="S2220" s="39" t="n">
        <f aca="false">SUM(M2220:R2220)</f>
        <v>81.3932078</v>
      </c>
      <c r="T2220" s="39" t="n">
        <f aca="false">S2220/(1-Resumo!$C$5)</f>
        <v>92.4922815909091</v>
      </c>
      <c r="U2220" s="39" t="n">
        <v>93.97</v>
      </c>
      <c r="V2220" s="39" t="n">
        <f aca="false">J2220*Resumo!$B$6</f>
        <v>0.54999</v>
      </c>
      <c r="W2220" s="39" t="n">
        <f aca="false">J2220*Resumo!$B$7</f>
        <v>1.09998</v>
      </c>
      <c r="X2220" s="39" t="n">
        <f aca="false">Resumo!$B$9</f>
        <v>1</v>
      </c>
      <c r="Y2220" s="39" t="n">
        <f aca="false">Resumo!$B$10*CEILING(I2220/100,1)</f>
        <v>4.5</v>
      </c>
      <c r="Z2220" s="39" t="n">
        <f aca="false">Resumo!$B$12*CEILING(I2220,1)</f>
        <v>2.34</v>
      </c>
      <c r="AA2220" s="39" t="n">
        <f aca="false">Resumo!$B$13*CEILING(I2220,1)</f>
        <v>17.55</v>
      </c>
      <c r="AB2220" s="39" t="n">
        <f aca="false">SUM(U2220:AA2220)</f>
        <v>121.00997</v>
      </c>
      <c r="AC2220" s="39" t="n">
        <f aca="false">AB2220/(1-Resumo!$B$5)</f>
        <v>137.511329545455</v>
      </c>
      <c r="AD2220" s="39" t="n">
        <f aca="false">(AB2220-AA2220)/(1-Resumo!$B$5)</f>
        <v>117.568147727273</v>
      </c>
      <c r="AE2220" s="39" t="n">
        <f aca="false">AC2220-T2220</f>
        <v>45.0190479545455</v>
      </c>
      <c r="AF2220" s="40" t="n">
        <f aca="false">AC2220/T2220-1</f>
        <v>0.4867330244232</v>
      </c>
      <c r="AG2220" s="37" t="str">
        <f aca="false">IF(AC2220&lt;T2220,"SIM","NÃO")</f>
        <v>NÃO</v>
      </c>
      <c r="AH2220" s="37" t="n">
        <v>8</v>
      </c>
      <c r="AI2220" s="37" t="n">
        <v>5</v>
      </c>
      <c r="AJ2220" s="37" t="s">
        <v>323</v>
      </c>
    </row>
    <row r="2221" customFormat="false" ht="15" hidden="false" customHeight="false" outlineLevel="0" collapsed="false">
      <c r="A2221" s="37" t="n">
        <v>401804176</v>
      </c>
      <c r="B2221" s="38" t="n">
        <v>46295.9039814815</v>
      </c>
      <c r="C2221" s="37" t="s">
        <v>320</v>
      </c>
      <c r="D2221" s="37" t="s">
        <v>2297</v>
      </c>
      <c r="E2221" s="37" t="n">
        <v>21550160</v>
      </c>
      <c r="F2221" s="37" t="s">
        <v>139</v>
      </c>
      <c r="G2221" s="37" t="s">
        <v>198</v>
      </c>
      <c r="H2221" s="37" t="s">
        <v>168</v>
      </c>
      <c r="I2221" s="37" t="n">
        <v>30.5</v>
      </c>
      <c r="J2221" s="39" t="n">
        <v>406.6</v>
      </c>
      <c r="K2221" s="37" t="s">
        <v>322</v>
      </c>
      <c r="L2221" s="39" t="n">
        <v>82.26</v>
      </c>
      <c r="M2221" s="39" t="n">
        <v>54.1</v>
      </c>
      <c r="N2221" s="39" t="n">
        <f aca="false">J2221*Resumo!$C$7</f>
        <v>0.8132</v>
      </c>
      <c r="O2221" s="39" t="n">
        <f aca="false">J2221*Resumo!$C$8</f>
        <v>0.8132</v>
      </c>
      <c r="P2221" s="39" t="n">
        <f aca="false">Resumo!$C$10*CEILING(I2221/100,1)</f>
        <v>1</v>
      </c>
      <c r="Q2221" s="39" t="n">
        <f aca="false">Resumo!$C$9</f>
        <v>11.9</v>
      </c>
      <c r="R2221" s="39" t="n">
        <f aca="false">SUM(M2221:Q2221)*Resumo!$C$11</f>
        <v>3.774452</v>
      </c>
      <c r="S2221" s="39" t="n">
        <f aca="false">SUM(M2221:R2221)</f>
        <v>72.400852</v>
      </c>
      <c r="T2221" s="39" t="n">
        <f aca="false">S2221/(1-Resumo!$C$5)</f>
        <v>82.2736954545455</v>
      </c>
      <c r="U2221" s="39" t="n">
        <v>82.21</v>
      </c>
      <c r="V2221" s="39" t="n">
        <f aca="false">J2221*Resumo!$B$6</f>
        <v>0.4066</v>
      </c>
      <c r="W2221" s="39" t="n">
        <f aca="false">J2221*Resumo!$B$7</f>
        <v>0.8132</v>
      </c>
      <c r="X2221" s="39" t="n">
        <f aca="false">Resumo!$B$9</f>
        <v>1</v>
      </c>
      <c r="Y2221" s="39" t="n">
        <f aca="false">Resumo!$B$10*CEILING(I2221/100,1)</f>
        <v>4.5</v>
      </c>
      <c r="Z2221" s="39" t="n">
        <f aca="false">Resumo!$B$12*CEILING(I2221,1)</f>
        <v>1.86</v>
      </c>
      <c r="AA2221" s="39" t="n">
        <f aca="false">Resumo!$B$13*CEILING(I2221,1)</f>
        <v>13.95</v>
      </c>
      <c r="AB2221" s="39" t="n">
        <f aca="false">SUM(U2221:AA2221)</f>
        <v>104.7398</v>
      </c>
      <c r="AC2221" s="39" t="n">
        <f aca="false">AB2221/(1-Resumo!$B$5)</f>
        <v>119.0225</v>
      </c>
      <c r="AD2221" s="39" t="n">
        <f aca="false">(AB2221-AA2221)/(1-Resumo!$B$5)</f>
        <v>103.170227272727</v>
      </c>
      <c r="AE2221" s="39" t="n">
        <f aca="false">AC2221-T2221</f>
        <v>36.7488045454546</v>
      </c>
      <c r="AF2221" s="40" t="n">
        <f aca="false">AC2221/T2221-1</f>
        <v>0.446665296148725</v>
      </c>
      <c r="AG2221" s="37" t="str">
        <f aca="false">IF(AC2221&lt;T2221,"SIM","NÃO")</f>
        <v>NÃO</v>
      </c>
      <c r="AH2221" s="37" t="n">
        <v>8</v>
      </c>
      <c r="AI2221" s="37" t="n">
        <v>5</v>
      </c>
      <c r="AJ2221" s="37" t="s">
        <v>323</v>
      </c>
    </row>
    <row r="2222" customFormat="false" ht="15" hidden="false" customHeight="false" outlineLevel="0" collapsed="false">
      <c r="A2222" s="37" t="n">
        <v>401807919</v>
      </c>
      <c r="B2222" s="38" t="n">
        <v>46295.9091550926</v>
      </c>
      <c r="C2222" s="37" t="s">
        <v>325</v>
      </c>
      <c r="D2222" s="37" t="s">
        <v>2298</v>
      </c>
      <c r="E2222" s="37" t="n">
        <v>23040573</v>
      </c>
      <c r="F2222" s="37" t="s">
        <v>139</v>
      </c>
      <c r="G2222" s="37" t="s">
        <v>198</v>
      </c>
      <c r="H2222" s="37" t="s">
        <v>168</v>
      </c>
      <c r="I2222" s="37" t="n">
        <v>31.9</v>
      </c>
      <c r="J2222" s="39" t="n">
        <v>483.99</v>
      </c>
      <c r="K2222" s="37" t="s">
        <v>322</v>
      </c>
      <c r="L2222" s="39" t="n">
        <v>82.65</v>
      </c>
      <c r="M2222" s="39" t="n">
        <v>54.1</v>
      </c>
      <c r="N2222" s="39" t="n">
        <f aca="false">J2222*Resumo!$C$7</f>
        <v>0.96798</v>
      </c>
      <c r="O2222" s="39" t="n">
        <f aca="false">J2222*Resumo!$C$8</f>
        <v>0.96798</v>
      </c>
      <c r="P2222" s="39" t="n">
        <f aca="false">Resumo!$C$10*CEILING(I2222/100,1)</f>
        <v>1</v>
      </c>
      <c r="Q2222" s="39" t="n">
        <f aca="false">Resumo!$C$9</f>
        <v>11.9</v>
      </c>
      <c r="R2222" s="39" t="n">
        <f aca="false">SUM(M2222:Q2222)*Resumo!$C$11</f>
        <v>3.7914778</v>
      </c>
      <c r="S2222" s="39" t="n">
        <f aca="false">SUM(M2222:R2222)</f>
        <v>72.7274378</v>
      </c>
      <c r="T2222" s="39" t="n">
        <f aca="false">S2222/(1-Resumo!$C$5)</f>
        <v>82.6448156818182</v>
      </c>
      <c r="U2222" s="39" t="n">
        <v>82.21</v>
      </c>
      <c r="V2222" s="39" t="n">
        <f aca="false">J2222*Resumo!$B$6</f>
        <v>0.48399</v>
      </c>
      <c r="W2222" s="39" t="n">
        <f aca="false">J2222*Resumo!$B$7</f>
        <v>0.96798</v>
      </c>
      <c r="X2222" s="39" t="n">
        <f aca="false">Resumo!$B$9</f>
        <v>1</v>
      </c>
      <c r="Y2222" s="39" t="n">
        <f aca="false">Resumo!$B$10*CEILING(I2222/100,1)</f>
        <v>4.5</v>
      </c>
      <c r="Z2222" s="39" t="n">
        <f aca="false">Resumo!$B$12*CEILING(I2222,1)</f>
        <v>1.92</v>
      </c>
      <c r="AA2222" s="39" t="n">
        <f aca="false">Resumo!$B$13*CEILING(I2222,1)</f>
        <v>14.4</v>
      </c>
      <c r="AB2222" s="39" t="n">
        <f aca="false">SUM(U2222:AA2222)</f>
        <v>105.48197</v>
      </c>
      <c r="AC2222" s="39" t="n">
        <f aca="false">AB2222/(1-Resumo!$B$5)</f>
        <v>119.865875</v>
      </c>
      <c r="AD2222" s="39" t="n">
        <f aca="false">(AB2222-AA2222)/(1-Resumo!$B$5)</f>
        <v>103.502238636364</v>
      </c>
      <c r="AE2222" s="39" t="n">
        <f aca="false">AC2222-T2222</f>
        <v>37.2210593181818</v>
      </c>
      <c r="AF2222" s="40" t="n">
        <f aca="false">AC2222/T2222-1</f>
        <v>0.450373795514078</v>
      </c>
      <c r="AG2222" s="37" t="str">
        <f aca="false">IF(AC2222&lt;T2222,"SIM","NÃO")</f>
        <v>NÃO</v>
      </c>
      <c r="AH2222" s="37" t="n">
        <v>8</v>
      </c>
      <c r="AI2222" s="37" t="n">
        <v>5</v>
      </c>
      <c r="AJ2222" s="37" t="s">
        <v>323</v>
      </c>
    </row>
    <row r="2223" customFormat="false" ht="15" hidden="false" customHeight="false" outlineLevel="0" collapsed="false">
      <c r="A2223" s="37" t="n">
        <v>401823478</v>
      </c>
      <c r="B2223" s="38" t="n">
        <v>46295.9291435185</v>
      </c>
      <c r="C2223" s="37" t="s">
        <v>325</v>
      </c>
      <c r="D2223" s="37" t="s">
        <v>2299</v>
      </c>
      <c r="E2223" s="37" t="n">
        <v>23071642</v>
      </c>
      <c r="F2223" s="37" t="s">
        <v>139</v>
      </c>
      <c r="G2223" s="37" t="s">
        <v>198</v>
      </c>
      <c r="H2223" s="37" t="s">
        <v>172</v>
      </c>
      <c r="I2223" s="37" t="n">
        <v>66.8</v>
      </c>
      <c r="J2223" s="39" t="n">
        <v>691.9</v>
      </c>
      <c r="K2223" s="37" t="s">
        <v>322</v>
      </c>
      <c r="L2223" s="39" t="n">
        <v>124.51</v>
      </c>
      <c r="M2223" s="39" t="n">
        <v>88.2</v>
      </c>
      <c r="N2223" s="39" t="n">
        <f aca="false">J2223*Resumo!$C$7</f>
        <v>1.3838</v>
      </c>
      <c r="O2223" s="39" t="n">
        <f aca="false">J2223*Resumo!$C$8</f>
        <v>1.3838</v>
      </c>
      <c r="P2223" s="39" t="n">
        <f aca="false">Resumo!$C$10*CEILING(I2223/100,1)</f>
        <v>1</v>
      </c>
      <c r="Q2223" s="39" t="n">
        <f aca="false">Resumo!$C$9</f>
        <v>11.9</v>
      </c>
      <c r="R2223" s="39" t="n">
        <f aca="false">SUM(M2223:Q2223)*Resumo!$C$11</f>
        <v>5.712718</v>
      </c>
      <c r="S2223" s="39" t="n">
        <f aca="false">SUM(M2223:R2223)</f>
        <v>109.580318</v>
      </c>
      <c r="T2223" s="39" t="n">
        <f aca="false">S2223/(1-Resumo!$C$5)</f>
        <v>124.523088636364</v>
      </c>
      <c r="U2223" s="39" t="n">
        <v>131.02</v>
      </c>
      <c r="V2223" s="39" t="n">
        <f aca="false">J2223*Resumo!$B$6</f>
        <v>0.6919</v>
      </c>
      <c r="W2223" s="39" t="n">
        <f aca="false">J2223*Resumo!$B$7</f>
        <v>1.3838</v>
      </c>
      <c r="X2223" s="39" t="n">
        <f aca="false">Resumo!$B$9</f>
        <v>1</v>
      </c>
      <c r="Y2223" s="39" t="n">
        <f aca="false">Resumo!$B$10*CEILING(I2223/100,1)</f>
        <v>4.5</v>
      </c>
      <c r="Z2223" s="39" t="n">
        <f aca="false">Resumo!$B$12*CEILING(I2223,1)</f>
        <v>4.02</v>
      </c>
      <c r="AA2223" s="39" t="n">
        <f aca="false">Resumo!$B$13*CEILING(I2223,1)</f>
        <v>30.15</v>
      </c>
      <c r="AB2223" s="39" t="n">
        <f aca="false">SUM(U2223:AA2223)</f>
        <v>172.7657</v>
      </c>
      <c r="AC2223" s="39" t="n">
        <f aca="false">AB2223/(1-Resumo!$B$5)</f>
        <v>196.324659090909</v>
      </c>
      <c r="AD2223" s="39" t="n">
        <f aca="false">(AB2223-AA2223)/(1-Resumo!$B$5)</f>
        <v>162.063295454545</v>
      </c>
      <c r="AE2223" s="39" t="n">
        <f aca="false">AC2223-T2223</f>
        <v>71.8015704545455</v>
      </c>
      <c r="AF2223" s="40" t="n">
        <f aca="false">AC2223/T2223-1</f>
        <v>0.576612508096573</v>
      </c>
      <c r="AG2223" s="37" t="str">
        <f aca="false">IF(AC2223&lt;T2223,"SIM","NÃO")</f>
        <v>NÃO</v>
      </c>
      <c r="AH2223" s="37" t="n">
        <v>8</v>
      </c>
      <c r="AI2223" s="37" t="n">
        <v>5</v>
      </c>
      <c r="AJ2223" s="37" t="s">
        <v>323</v>
      </c>
    </row>
    <row r="2224" customFormat="false" ht="15" hidden="false" customHeight="false" outlineLevel="0" collapsed="false">
      <c r="A2224" s="37" t="n">
        <v>401847972</v>
      </c>
      <c r="B2224" s="38" t="n">
        <v>46295.9594328704</v>
      </c>
      <c r="C2224" s="37" t="s">
        <v>320</v>
      </c>
      <c r="D2224" s="37" t="s">
        <v>2300</v>
      </c>
      <c r="E2224" s="37" t="n">
        <v>27130360</v>
      </c>
      <c r="F2224" s="37" t="s">
        <v>230</v>
      </c>
      <c r="G2224" s="37" t="s">
        <v>201</v>
      </c>
      <c r="H2224" s="37" t="s">
        <v>171</v>
      </c>
      <c r="I2224" s="37" t="n">
        <v>51.5</v>
      </c>
      <c r="J2224" s="39" t="n">
        <v>478.99</v>
      </c>
      <c r="K2224" s="37" t="s">
        <v>322</v>
      </c>
      <c r="L2224" s="39" t="n">
        <v>141.97</v>
      </c>
      <c r="M2224" s="39" t="n">
        <v>103.6</v>
      </c>
      <c r="N2224" s="39" t="n">
        <f aca="false">J2224*Resumo!$C$7</f>
        <v>0.95798</v>
      </c>
      <c r="O2224" s="39" t="n">
        <f aca="false">J2224*Resumo!$C$8</f>
        <v>0.95798</v>
      </c>
      <c r="P2224" s="39" t="n">
        <f aca="false">Resumo!$C$10*CEILING(I2224/100,1)</f>
        <v>1</v>
      </c>
      <c r="Q2224" s="39" t="n">
        <f aca="false">Resumo!$C$9</f>
        <v>11.9</v>
      </c>
      <c r="R2224" s="39" t="n">
        <f aca="false">SUM(M2224:Q2224)*Resumo!$C$11</f>
        <v>6.5128778</v>
      </c>
      <c r="S2224" s="39" t="n">
        <f aca="false">SUM(M2224:R2224)</f>
        <v>124.9288378</v>
      </c>
      <c r="T2224" s="39" t="n">
        <f aca="false">S2224/(1-Resumo!$C$5)</f>
        <v>141.964588409091</v>
      </c>
      <c r="U2224" s="39" t="n">
        <v>142.32</v>
      </c>
      <c r="V2224" s="39" t="n">
        <f aca="false">J2224*Resumo!$B$6</f>
        <v>0.47899</v>
      </c>
      <c r="W2224" s="39" t="n">
        <f aca="false">J2224*Resumo!$B$7</f>
        <v>0.95798</v>
      </c>
      <c r="X2224" s="39" t="n">
        <f aca="false">Resumo!$B$9</f>
        <v>1</v>
      </c>
      <c r="Y2224" s="39" t="n">
        <f aca="false">Resumo!$B$10*CEILING(I2224/100,1)</f>
        <v>4.5</v>
      </c>
      <c r="Z2224" s="39" t="n">
        <f aca="false">Resumo!$B$12*CEILING(I2224,1)</f>
        <v>3.12</v>
      </c>
      <c r="AA2224" s="39" t="n">
        <f aca="false">Resumo!$B$13*CEILING(I2224,1)</f>
        <v>23.4</v>
      </c>
      <c r="AB2224" s="39" t="n">
        <f aca="false">SUM(U2224:AA2224)</f>
        <v>175.77697</v>
      </c>
      <c r="AC2224" s="39" t="n">
        <f aca="false">AB2224/(1-Resumo!$B$5)</f>
        <v>199.746556818182</v>
      </c>
      <c r="AD2224" s="39" t="n">
        <f aca="false">(AB2224-AA2224)/(1-Resumo!$B$5)</f>
        <v>173.155647727273</v>
      </c>
      <c r="AE2224" s="39" t="n">
        <f aca="false">AC2224-T2224</f>
        <v>57.7819684090909</v>
      </c>
      <c r="AF2224" s="40" t="n">
        <f aca="false">AC2224/T2224-1</f>
        <v>0.407016771271044</v>
      </c>
      <c r="AG2224" s="37" t="str">
        <f aca="false">IF(AC2224&lt;T2224,"SIM","NÃO")</f>
        <v>NÃO</v>
      </c>
      <c r="AH2224" s="37" t="n">
        <v>13</v>
      </c>
      <c r="AI2224" s="37" t="n">
        <v>10</v>
      </c>
      <c r="AJ2224" s="37" t="s">
        <v>327</v>
      </c>
    </row>
  </sheetData>
  <autoFilter ref="A1:AJ22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2026-10-29T19:00:47Z</dcterms:created>
  <dc:creator>openpyxl</dc:creator>
  <dc:description/>
  <dc:language>en-US</dc:language>
  <cp:lastModifiedBy/>
  <dcterms:modified xsi:type="dcterms:W3CDTF">2026-10-29T19:00:51Z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